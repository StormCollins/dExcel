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E0DFB019-A5C7-4121-ACDB-E014910D1A8C}" xr6:coauthVersionLast="47" xr6:coauthVersionMax="47" xr10:uidLastSave="{00000000-0000-0000-0000-000000000000}"/>
  <bookViews>
    <workbookView xWindow="-23295" yWindow="6270" windowWidth="18000" windowHeight="9360" tabRatio="485" activeTab="1" xr2:uid="{CFAC4E8B-1C32-41D2-A11E-38180CE9FB57}"/>
  </bookViews>
  <sheets>
    <sheet name="Curves" sheetId="1" r:id="rId1"/>
    <sheet name="HullWhi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2" i="2" l="1"/>
  <c r="E64" i="2"/>
  <c r="E25" i="1"/>
  <c r="C23" i="1"/>
  <c r="E23" i="1" s="1"/>
  <c r="C6" i="1" a="1"/>
  <c r="C6" i="2" a="1"/>
  <c r="C6" i="2" l="1"/>
  <c r="E62" i="2"/>
  <c r="C6" i="1"/>
  <c r="D23" i="1" a="1"/>
  <c r="D25" i="1" a="1"/>
  <c r="D62" i="2" a="1"/>
  <c r="D64" i="2" a="1"/>
  <c r="D64" i="2" l="1"/>
  <c r="D62" i="2"/>
  <c r="D25" i="1"/>
  <c r="D23" i="1"/>
  <c r="F23" i="1" a="1"/>
  <c r="F25" i="1" a="1"/>
  <c r="F64" i="2" a="1"/>
  <c r="F62" i="2" a="1"/>
  <c r="F62" i="2" l="1"/>
  <c r="F64" i="2"/>
  <c r="F23" i="1"/>
  <c r="F25" i="1"/>
  <c r="C19" i="1" a="1"/>
  <c r="C58" i="2" a="1"/>
  <c r="C58" i="2" l="1"/>
  <c r="C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<sst xmlns="http://schemas.openxmlformats.org/spreadsheetml/2006/main" count="37" uniqueCount="20">
  <si>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</si>
  <si>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</si>
  <si>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</si>
  <si>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</si>
  <si>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</si>
  <si>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</si>
  <si>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</si>
  <si>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</si>
  <si>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</si>
  <si>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</si>
  <si>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</si>
  <si>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</si>
  <si>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</si>
  <si>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</si>
  <si>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</si>
  <si>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Swaption Maturity</t>
  </si>
  <si>
    <t>Swap Length</t>
  </si>
  <si>
    <t>Swaption Vol</t>
  </si>
  <si>
    <t>Vol Type</t>
  </si>
  <si>
    <t>LogNormal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</si>
</sst>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000000000000"/>
    <numFmt numFmtId="166" formatCode="yyyy\-mm\-dd;@"/>
    <numFmt numFmtId="174" formatCode="#,##0.000000"/>
    <numFmt numFmtId="17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  <xf numFmtId="9" fontId="0" fillId="0" borderId="0" xfId="0" applyNumberFormat="1"/>
    <xf numFmtId="0" fontId="0" fillId="0" borderId="0" xfId="0" quotePrefix="1"/>
    <xf numFmtId="166" fontId="0" fillId="0" borderId="0" xfId="0" quotePrefix="1" applyNumberFormat="1"/>
    <xf numFmtId="15" fontId="0" fillId="0" borderId="0" xfId="0" applyNumberFormat="1"/>
    <xf numFmtId="0" fontId="0" fillId="0" borderId="5" xfId="0" applyBorder="1"/>
    <xf numFmtId="15" fontId="0" fillId="0" borderId="4" xfId="0" applyNumberFormat="1" applyBorder="1"/>
    <xf numFmtId="0" fontId="7" fillId="3" borderId="6" xfId="0" applyFont="1" applyFill="1" applyBorder="1" applyAlignment="1">
      <alignment horizontal="centerContinuous" vertical="center"/>
    </xf>
    <xf numFmtId="0" fontId="7" fillId="3" borderId="7" xfId="0" applyFont="1" applyFill="1" applyBorder="1" applyAlignment="1">
      <alignment horizontal="centerContinuous" vertical="center"/>
    </xf>
    <xf numFmtId="166" fontId="6" fillId="0" borderId="8" xfId="0" applyNumberFormat="1" applyFont="1" applyBorder="1" applyAlignment="1">
      <alignment horizontal="right" vertical="center"/>
    </xf>
    <xf numFmtId="166" fontId="6" fillId="0" borderId="10" xfId="0" applyNumberFormat="1" applyFont="1" applyBorder="1" applyAlignment="1">
      <alignment horizontal="right" vertical="center"/>
    </xf>
    <xf numFmtId="166" fontId="6" fillId="0" borderId="12" xfId="0" applyNumberFormat="1" applyFont="1" applyBorder="1" applyAlignment="1">
      <alignment horizontal="right" vertical="center"/>
    </xf>
    <xf numFmtId="174" fontId="6" fillId="0" borderId="9" xfId="0" applyNumberFormat="1" applyFont="1" applyBorder="1" applyAlignment="1">
      <alignment horizontal="right" vertical="center"/>
    </xf>
    <xf numFmtId="174" fontId="6" fillId="0" borderId="11" xfId="0" applyNumberFormat="1" applyFont="1" applyBorder="1" applyAlignment="1">
      <alignment horizontal="right" vertical="center"/>
    </xf>
    <xf numFmtId="174" fontId="6" fillId="0" borderId="13" xfId="0" applyNumberFormat="1" applyFont="1" applyBorder="1" applyAlignment="1">
      <alignment horizontal="right" vertical="center"/>
    </xf>
    <xf numFmtId="175" fontId="0" fillId="0" borderId="0" xfId="0" applyNumberFormat="1"/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/>
  <dimension ref="B2:Q28"/>
  <sheetViews>
    <sheetView showGridLines="0" zoomScale="122" zoomScaleNormal="145" workbookViewId="0">
      <selection activeCell="B44" sqref="B44"/>
    </sheetView>
  </sheetViews>
  <sheetFormatPr defaultRowHeight="15" x14ac:dyDescent="0.25"/>
  <cols>
    <col min="1" max="1" width="4.28515625" customWidth="1"/>
    <col min="2" max="2" width="20.5703125" customWidth="1"/>
    <col min="3" max="3" width="26.28515625" bestFit="1" customWidth="1"/>
    <col min="4" max="4" width="10.5703125" bestFit="1" customWidth="1"/>
    <col min="5" max="5" width="10.85546875" bestFit="1" customWidth="1"/>
    <col min="6" max="6" width="10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 t="str" cm="1">
        <f t="array" ref="C6">_xll.d.Curve_Create("ExampleCurve",B9:B14,C9:C14)</f>
        <v>@@ExampleCurve::16:08:03</v>
      </c>
      <c r="F6" s="14"/>
    </row>
    <row r="7" spans="2:17" x14ac:dyDescent="0.25">
      <c r="F7" s="12"/>
    </row>
    <row r="8" spans="2:17" x14ac:dyDescent="0.25">
      <c r="B8" s="2" t="s">
        <v>0</v>
      </c>
      <c r="C8" s="2" t="s">
        <v>2</v>
      </c>
      <c r="E8" s="12"/>
    </row>
    <row r="9" spans="2:17" x14ac:dyDescent="0.25">
      <c r="B9" s="9">
        <v>44562</v>
      </c>
      <c r="C9" s="6">
        <v>1</v>
      </c>
      <c r="E9" s="12"/>
    </row>
    <row r="10" spans="2:17" x14ac:dyDescent="0.25">
      <c r="B10" s="9">
        <v>44593</v>
      </c>
      <c r="C10" s="6">
        <v>0.95</v>
      </c>
      <c r="E10" s="13"/>
      <c r="F10" s="10"/>
    </row>
    <row r="11" spans="2:17" x14ac:dyDescent="0.25">
      <c r="B11" s="9">
        <v>44621</v>
      </c>
      <c r="C11" s="6">
        <v>0.9</v>
      </c>
      <c r="E11" s="9"/>
      <c r="F11" s="10"/>
      <c r="H11" s="11"/>
    </row>
    <row r="12" spans="2:17" x14ac:dyDescent="0.25">
      <c r="B12" s="9">
        <v>44652</v>
      </c>
      <c r="C12" s="6">
        <v>0.85</v>
      </c>
      <c r="F12" s="1"/>
    </row>
    <row r="13" spans="2:17" x14ac:dyDescent="0.25">
      <c r="B13" s="9">
        <v>44682</v>
      </c>
      <c r="C13" s="6">
        <v>0.8</v>
      </c>
    </row>
    <row r="14" spans="2:17" x14ac:dyDescent="0.25">
      <c r="B14" s="9">
        <v>44713</v>
      </c>
      <c r="C14" s="6">
        <v>0.75</v>
      </c>
    </row>
    <row r="16" spans="2:17" ht="18.75" x14ac:dyDescent="0.3">
      <c r="B16" s="4" t="s">
        <v>5</v>
      </c>
      <c r="C16" s="4"/>
    </row>
    <row r="18" spans="2:6" x14ac:dyDescent="0.25">
      <c r="B18" s="8" t="s">
        <v>10</v>
      </c>
      <c r="C18" s="8" t="s">
        <v>11</v>
      </c>
    </row>
    <row r="19" spans="2:6" x14ac:dyDescent="0.25">
      <c r="B19" t="s">
        <v>6</v>
      </c>
      <c r="C19" t="str" cm="1">
        <f t="array" ref="C19">_xll.d.And(F23:F25)</f>
        <v>OK</v>
      </c>
    </row>
    <row r="21" spans="2:6" ht="15.75" x14ac:dyDescent="0.25">
      <c r="B21" s="5" t="s">
        <v>6</v>
      </c>
      <c r="C21" s="5"/>
    </row>
    <row r="23" spans="2:6" x14ac:dyDescent="0.25">
      <c r="B23" t="s">
        <v>8</v>
      </c>
      <c r="C23" s="1">
        <f>B12</f>
        <v>44652</v>
      </c>
      <c r="D23" s="6" cm="1">
        <f t="array" ref="D23">_xll.d.Curve_DF(C6,C23)</f>
        <v>0.85</v>
      </c>
      <c r="E23" s="6">
        <f>VLOOKUP(C23,B9:C14,2,FALSE)</f>
        <v>0.85</v>
      </c>
      <c r="F23" t="str" cm="1">
        <f t="array" ref="F23">_xll.d.Equal(D23,E23)</f>
        <v>OK</v>
      </c>
    </row>
    <row r="25" spans="2:6" x14ac:dyDescent="0.25">
      <c r="B25" t="s">
        <v>9</v>
      </c>
      <c r="C25" s="1">
        <v>44607</v>
      </c>
      <c r="D25" s="6" cm="1">
        <f t="array" ref="D25">_xll.d.Curve_DF(C6,C25)</f>
        <v>0.92466210044534647</v>
      </c>
      <c r="E25" s="6">
        <f>EXP((LN(C11)-LN(C10))/((B11-B10)/365)*((C25-B10)/365)+LN(C10))</f>
        <v>0.92466210044534647</v>
      </c>
      <c r="F25" t="str" cm="1">
        <f t="array" ref="F25">_xll.d.Equal(D25,E25)</f>
        <v>OK</v>
      </c>
    </row>
    <row r="28" spans="2:6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dimension ref="B2:P67"/>
  <sheetViews>
    <sheetView showGridLines="0" tabSelected="1" zoomScale="115" zoomScaleNormal="115" workbookViewId="0">
      <selection activeCell="J9" sqref="J9:J14"/>
    </sheetView>
  </sheetViews>
  <sheetFormatPr defaultRowHeight="15" x14ac:dyDescent="0.25"/>
  <cols>
    <col min="2" max="2" width="15" customWidth="1"/>
    <col min="3" max="3" width="15.5703125" customWidth="1"/>
    <col min="7" max="7" width="17.5703125" bestFit="1" customWidth="1"/>
    <col min="8" max="8" width="13.85546875" bestFit="1" customWidth="1"/>
    <col min="9" max="9" width="12.5703125" bestFit="1" customWidth="1"/>
    <col min="10" max="10" width="10.5703125" bestFit="1" customWidth="1"/>
  </cols>
  <sheetData>
    <row r="2" spans="2:16" ht="26.25" x14ac:dyDescent="0.4">
      <c r="B2" s="3" t="s">
        <v>12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4" spans="2:16" ht="18.75" x14ac:dyDescent="0.3">
      <c r="B4" s="4" t="s">
        <v>13</v>
      </c>
      <c r="C4" s="4"/>
      <c r="D4" s="4"/>
      <c r="E4" s="4"/>
      <c r="G4" s="4" t="s">
        <v>14</v>
      </c>
      <c r="H4" s="4"/>
      <c r="I4" s="4"/>
      <c r="J4" s="4"/>
    </row>
    <row r="6" spans="2:16" x14ac:dyDescent="0.25">
      <c r="B6" s="8" t="s">
        <v>3</v>
      </c>
      <c r="C6" s="15" t="str" cm="1">
        <f t="array" ref="C6">_xll.d.Curve_Create("CurveForHullWhite",B9:B41,C9:C41)</f>
        <v>@@CurveForHullWhite::18:48:09</v>
      </c>
      <c r="D6" s="15"/>
      <c r="E6" s="15"/>
      <c r="F6" s="16"/>
    </row>
    <row r="7" spans="2:16" x14ac:dyDescent="0.25">
      <c r="F7" s="12"/>
    </row>
    <row r="8" spans="2:16" x14ac:dyDescent="0.25">
      <c r="B8" s="17" t="s">
        <v>0</v>
      </c>
      <c r="C8" s="18" t="s">
        <v>2</v>
      </c>
      <c r="E8" s="12"/>
      <c r="G8" s="17" t="s">
        <v>15</v>
      </c>
      <c r="H8" s="18" t="s">
        <v>16</v>
      </c>
      <c r="I8" s="18" t="s">
        <v>17</v>
      </c>
      <c r="J8" s="18" t="s">
        <v>18</v>
      </c>
    </row>
    <row r="9" spans="2:16" x14ac:dyDescent="0.25">
      <c r="B9" s="19">
        <v>44706</v>
      </c>
      <c r="C9" s="22">
        <v>1</v>
      </c>
      <c r="E9" s="12"/>
      <c r="G9">
        <v>7</v>
      </c>
      <c r="H9">
        <v>1</v>
      </c>
      <c r="I9" s="25">
        <v>0.36199999999999999</v>
      </c>
      <c r="J9" t="s">
        <v>19</v>
      </c>
    </row>
    <row r="10" spans="2:16" x14ac:dyDescent="0.25">
      <c r="B10" s="20">
        <v>44707</v>
      </c>
      <c r="C10" s="23">
        <v>0.99999800000000005</v>
      </c>
      <c r="E10" s="13"/>
      <c r="F10" s="10"/>
      <c r="G10">
        <v>5</v>
      </c>
      <c r="H10">
        <v>3</v>
      </c>
      <c r="I10" s="25">
        <v>0.38</v>
      </c>
      <c r="J10" t="s">
        <v>19</v>
      </c>
    </row>
    <row r="11" spans="2:16" x14ac:dyDescent="0.25">
      <c r="B11" s="20">
        <v>44718</v>
      </c>
      <c r="C11" s="23">
        <v>0.99997599999999998</v>
      </c>
      <c r="E11" s="9"/>
      <c r="F11" s="10"/>
      <c r="G11">
        <v>4</v>
      </c>
      <c r="H11">
        <v>4</v>
      </c>
      <c r="I11" s="25">
        <v>0.38900000000000001</v>
      </c>
      <c r="J11" t="s">
        <v>19</v>
      </c>
    </row>
    <row r="12" spans="2:16" x14ac:dyDescent="0.25">
      <c r="B12" s="20">
        <v>44741</v>
      </c>
      <c r="C12" s="23">
        <v>0.99992300000000001</v>
      </c>
      <c r="F12" s="1"/>
      <c r="G12">
        <v>3</v>
      </c>
      <c r="H12">
        <v>5</v>
      </c>
      <c r="I12" s="25">
        <v>0.40200000000000002</v>
      </c>
      <c r="J12" t="s">
        <v>19</v>
      </c>
    </row>
    <row r="13" spans="2:16" x14ac:dyDescent="0.25">
      <c r="B13" s="20">
        <v>44773</v>
      </c>
      <c r="C13" s="23">
        <v>0.99979600000000002</v>
      </c>
      <c r="G13">
        <v>2</v>
      </c>
      <c r="H13">
        <v>6</v>
      </c>
      <c r="I13" s="25">
        <v>0.42099999999999999</v>
      </c>
      <c r="J13" t="s">
        <v>19</v>
      </c>
    </row>
    <row r="14" spans="2:16" x14ac:dyDescent="0.25">
      <c r="B14" s="20">
        <v>44802</v>
      </c>
      <c r="C14" s="23">
        <v>0.99965800000000005</v>
      </c>
      <c r="G14">
        <v>1</v>
      </c>
      <c r="H14">
        <v>7</v>
      </c>
      <c r="I14" s="25">
        <v>0.45700000000000002</v>
      </c>
      <c r="J14" t="s">
        <v>19</v>
      </c>
    </row>
    <row r="15" spans="2:16" x14ac:dyDescent="0.25">
      <c r="B15" s="20">
        <v>44830</v>
      </c>
      <c r="C15" s="23">
        <v>0.99958499999999995</v>
      </c>
    </row>
    <row r="16" spans="2:16" x14ac:dyDescent="0.25">
      <c r="B16" s="20">
        <v>44857</v>
      </c>
      <c r="C16" s="23">
        <v>0.999421</v>
      </c>
    </row>
    <row r="17" spans="2:3" x14ac:dyDescent="0.25">
      <c r="B17" s="20">
        <v>44887</v>
      </c>
      <c r="C17" s="23">
        <v>0.99924900000000005</v>
      </c>
    </row>
    <row r="18" spans="2:3" x14ac:dyDescent="0.25">
      <c r="B18" s="20">
        <v>44920</v>
      </c>
      <c r="C18" s="23">
        <v>0.99921499999999996</v>
      </c>
    </row>
    <row r="19" spans="2:3" x14ac:dyDescent="0.25">
      <c r="B19" s="20">
        <v>44949</v>
      </c>
      <c r="C19" s="23">
        <v>0.99906200000000001</v>
      </c>
    </row>
    <row r="20" spans="2:3" x14ac:dyDescent="0.25">
      <c r="B20" s="20">
        <v>44979</v>
      </c>
      <c r="C20" s="23">
        <v>0.99885800000000002</v>
      </c>
    </row>
    <row r="21" spans="2:3" x14ac:dyDescent="0.25">
      <c r="B21" s="20">
        <v>45012</v>
      </c>
      <c r="C21" s="23">
        <v>0.99878100000000003</v>
      </c>
    </row>
    <row r="22" spans="2:3" x14ac:dyDescent="0.25">
      <c r="B22" s="20">
        <v>45041</v>
      </c>
      <c r="C22" s="23">
        <v>0.99856400000000001</v>
      </c>
    </row>
    <row r="23" spans="2:3" x14ac:dyDescent="0.25">
      <c r="B23" s="20">
        <v>45071</v>
      </c>
      <c r="C23" s="23">
        <v>0.998309</v>
      </c>
    </row>
    <row r="24" spans="2:3" x14ac:dyDescent="0.25">
      <c r="B24" s="20">
        <v>45162</v>
      </c>
      <c r="C24" s="23">
        <v>0.99748499999999996</v>
      </c>
    </row>
    <row r="25" spans="2:3" x14ac:dyDescent="0.25">
      <c r="B25" s="20">
        <v>45252</v>
      </c>
      <c r="C25" s="23">
        <v>0.99626000000000003</v>
      </c>
    </row>
    <row r="26" spans="2:3" x14ac:dyDescent="0.25">
      <c r="B26" s="20">
        <v>45344</v>
      </c>
      <c r="C26" s="23">
        <v>0.99468800000000002</v>
      </c>
    </row>
    <row r="27" spans="2:3" x14ac:dyDescent="0.25">
      <c r="B27" s="20">
        <v>45438</v>
      </c>
      <c r="C27" s="23">
        <v>0.99261299999999997</v>
      </c>
    </row>
    <row r="28" spans="2:3" x14ac:dyDescent="0.25">
      <c r="B28" s="20">
        <v>45806</v>
      </c>
      <c r="C28" s="23">
        <v>0.98043999999999998</v>
      </c>
    </row>
    <row r="29" spans="2:3" x14ac:dyDescent="0.25">
      <c r="B29" s="20">
        <v>46173</v>
      </c>
      <c r="C29" s="23">
        <v>0.96520099999999998</v>
      </c>
    </row>
    <row r="30" spans="2:3" x14ac:dyDescent="0.25">
      <c r="B30" s="20">
        <v>46537</v>
      </c>
      <c r="C30" s="23">
        <v>0.94818400000000003</v>
      </c>
    </row>
    <row r="31" spans="2:3" x14ac:dyDescent="0.25">
      <c r="B31" s="20">
        <v>46901</v>
      </c>
      <c r="C31" s="23">
        <v>0.93045800000000001</v>
      </c>
    </row>
    <row r="32" spans="2:3" x14ac:dyDescent="0.25">
      <c r="B32" s="20">
        <v>47267</v>
      </c>
      <c r="C32" s="23">
        <v>0.91225999999999996</v>
      </c>
    </row>
    <row r="33" spans="2:3" x14ac:dyDescent="0.25">
      <c r="B33" s="20">
        <v>47632</v>
      </c>
      <c r="C33" s="23">
        <v>0.89427000000000001</v>
      </c>
    </row>
    <row r="34" spans="2:3" x14ac:dyDescent="0.25">
      <c r="B34" s="20">
        <v>47997</v>
      </c>
      <c r="C34" s="23">
        <v>0.87622500000000003</v>
      </c>
    </row>
    <row r="35" spans="2:3" x14ac:dyDescent="0.25">
      <c r="B35" s="20">
        <v>48364</v>
      </c>
      <c r="C35" s="23">
        <v>0.85857799999999995</v>
      </c>
    </row>
    <row r="36" spans="2:3" x14ac:dyDescent="0.25">
      <c r="B36" s="20">
        <v>49093</v>
      </c>
      <c r="C36" s="23">
        <v>0.82275399999999999</v>
      </c>
    </row>
    <row r="37" spans="2:3" x14ac:dyDescent="0.25">
      <c r="B37" s="20">
        <v>50191</v>
      </c>
      <c r="C37" s="23">
        <v>0.77304499999999998</v>
      </c>
    </row>
    <row r="38" spans="2:3" x14ac:dyDescent="0.25">
      <c r="B38" s="20">
        <v>52015</v>
      </c>
      <c r="C38" s="23">
        <v>0.69641399999999998</v>
      </c>
    </row>
    <row r="39" spans="2:3" x14ac:dyDescent="0.25">
      <c r="B39" s="20">
        <v>53841</v>
      </c>
      <c r="C39" s="23">
        <v>0.63234400000000002</v>
      </c>
    </row>
    <row r="40" spans="2:3" x14ac:dyDescent="0.25">
      <c r="B40" s="20">
        <v>55667</v>
      </c>
      <c r="C40" s="23">
        <v>0.57906999999999997</v>
      </c>
    </row>
    <row r="41" spans="2:3" x14ac:dyDescent="0.25">
      <c r="B41" s="21">
        <v>59320</v>
      </c>
      <c r="C41" s="24">
        <v>0.49973099999999998</v>
      </c>
    </row>
    <row r="42" spans="2:3" x14ac:dyDescent="0.25">
      <c r="B42" s="9"/>
    </row>
    <row r="55" spans="2:6" ht="18.75" x14ac:dyDescent="0.3">
      <c r="B55" s="4" t="s">
        <v>5</v>
      </c>
      <c r="C55" s="4"/>
    </row>
    <row r="57" spans="2:6" x14ac:dyDescent="0.25">
      <c r="B57" s="8" t="s">
        <v>10</v>
      </c>
      <c r="C57" s="8" t="s">
        <v>11</v>
      </c>
    </row>
    <row r="58" spans="2:6" x14ac:dyDescent="0.25">
      <c r="B58" t="s">
        <v>6</v>
      </c>
      <c r="C58" t="str" cm="1">
        <f t="array" ref="C58">_xll.d.And(F62:F64)</f>
        <v>ERROR</v>
      </c>
    </row>
    <row r="60" spans="2:6" ht="15.75" x14ac:dyDescent="0.25">
      <c r="B60" s="5" t="s">
        <v>6</v>
      </c>
      <c r="C60" s="5"/>
    </row>
    <row r="62" spans="2:6" x14ac:dyDescent="0.25">
      <c r="B62" t="s">
        <v>8</v>
      </c>
      <c r="C62" s="1">
        <f>B12</f>
        <v>44741</v>
      </c>
      <c r="D62" s="6" cm="1">
        <f t="array" ref="D62">_xll.d.Curve_DF(C6,C62)</f>
        <v>0.99992300000000001</v>
      </c>
      <c r="E62" s="6">
        <f>VLOOKUP(C62,B9:C14,2,FALSE)</f>
        <v>0.99992300000000001</v>
      </c>
      <c r="F62" t="str" cm="1">
        <f t="array" ref="F62">_xll.d.Equal(D62,E62)</f>
        <v>OK</v>
      </c>
    </row>
    <row r="64" spans="2:6" x14ac:dyDescent="0.25">
      <c r="B64" t="s">
        <v>9</v>
      </c>
      <c r="C64" s="1">
        <v>44607</v>
      </c>
      <c r="D64" s="6" t="e" cm="1">
        <f t="array" ref="D64">_xll.d.Curve_DF(C6,C64)</f>
        <v>#VALUE!</v>
      </c>
      <c r="E64" s="6">
        <f>EXP((LN(C11)-LN(C10))/((B11-B10)/365)*((C64-B10)/365)+LN(C10))</f>
        <v>1.0001980222018509</v>
      </c>
      <c r="F64" t="str" cm="1">
        <f t="array" ref="F64">_xll.d.Equal(D64,E64)</f>
        <v>ERROR</v>
      </c>
    </row>
    <row r="67" spans="2:5" ht="15.75" x14ac:dyDescent="0.25">
      <c r="B67" s="5" t="s">
        <v>7</v>
      </c>
      <c r="C67" s="5"/>
      <c r="E67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Curves</vt:lpstr>
      <vt:lpstr>HullWhite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2022-05-25T16:55:12Z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