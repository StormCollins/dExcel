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65B782FF-7FFA-4D76-AB6C-9601ABE08B90}" xr6:coauthVersionLast="47" xr6:coauthVersionMax="47" xr10:uidLastSave="{00000000-0000-0000-0000-000000000000}"/>
  <bookViews>
    <workbookView xWindow="-120" yWindow="-120" windowWidth="24240" windowHeight="13140" tabRatio="485" activeTab="3" xr2:uid="{CFAC4E8B-1C32-41D2-A11E-38180CE9FB57}"/>
  </bookViews>
  <sheets>
    <sheet name="Curves" sheetId="1" r:id="rId1"/>
    <sheet name="HullWhite" sheetId="2" r:id="rId2"/>
    <sheet name="SinlgeCurveBootstrapping" sheetId="3" r:id="rId3"/>
    <sheet name="MultiCurveBootstrappin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G15" i="4" s="1"/>
  <c r="G10" i="3"/>
  <c r="G12" i="3" s="1"/>
  <c r="H12" i="3" s="1"/>
  <c r="C62" i="2"/>
  <c r="E64" i="2"/>
  <c r="E25" i="1"/>
  <c r="C23" i="1"/>
  <c r="E23" i="1" s="1"/>
  <c r="I15" i="3" a="1"/>
  <c r="I14" i="3" a="1"/>
  <c r="I13" i="3" a="1"/>
  <c r="I12" i="3" a="1"/>
  <c r="I11" i="3" a="1"/>
  <c r="I10" i="3" a="1"/>
  <c r="D4" i="3" a="1"/>
  <c r="C6" i="1" a="1"/>
  <c r="D5" i="4" a="1"/>
  <c r="D4" i="4" a="1"/>
  <c r="C6" i="2" a="1"/>
  <c r="I15" i="3" l="1"/>
  <c r="I14" i="3"/>
  <c r="I13" i="3"/>
  <c r="I12" i="3"/>
  <c r="I11" i="3"/>
  <c r="I10" i="3"/>
  <c r="D4" i="3"/>
  <c r="G12" i="4"/>
  <c r="H12" i="4" s="1"/>
  <c r="G14" i="4"/>
  <c r="H14" i="4" s="1"/>
  <c r="H15" i="4" s="1"/>
  <c r="D5" i="4"/>
  <c r="D4" i="4"/>
  <c r="G11" i="4"/>
  <c r="H11" i="4" s="1"/>
  <c r="G13" i="4"/>
  <c r="H13" i="4" s="1"/>
  <c r="G13" i="3"/>
  <c r="H13" i="3" s="1"/>
  <c r="G14" i="3"/>
  <c r="H14" i="3" s="1"/>
  <c r="G11" i="3"/>
  <c r="H11" i="3" s="1"/>
  <c r="G15" i="3"/>
  <c r="C6" i="1"/>
  <c r="C6" i="2"/>
  <c r="E62" i="2"/>
  <c r="D23" i="1" a="1"/>
  <c r="D25" i="1" a="1"/>
  <c r="I10" i="4" a="1"/>
  <c r="I14" i="4" a="1"/>
  <c r="H17" i="2" a="1"/>
  <c r="I15" i="4" a="1"/>
  <c r="I13" i="4" a="1"/>
  <c r="D62" i="2" a="1"/>
  <c r="I11" i="4" a="1"/>
  <c r="I12" i="4" a="1"/>
  <c r="D64" i="2" a="1"/>
  <c r="D25" i="1" l="1"/>
  <c r="D23" i="1"/>
  <c r="J10" i="3"/>
  <c r="K10" i="3" s="1"/>
  <c r="J14" i="3"/>
  <c r="K14" i="3" s="1"/>
  <c r="J13" i="3"/>
  <c r="K13" i="3" s="1"/>
  <c r="J12" i="3"/>
  <c r="K12" i="3" s="1"/>
  <c r="J11" i="3"/>
  <c r="K11" i="3" s="1"/>
  <c r="I11" i="4"/>
  <c r="J11" i="4" s="1"/>
  <c r="K11" i="4" s="1"/>
  <c r="I13" i="4"/>
  <c r="J13" i="4" s="1"/>
  <c r="K13" i="4" s="1"/>
  <c r="I15" i="4"/>
  <c r="J15" i="4" s="1"/>
  <c r="K15" i="4" s="1"/>
  <c r="I14" i="4"/>
  <c r="J14" i="4" s="1"/>
  <c r="K14" i="4" s="1"/>
  <c r="I12" i="4"/>
  <c r="J12" i="4" s="1"/>
  <c r="K12" i="4" s="1"/>
  <c r="I10" i="4"/>
  <c r="J10" i="4" s="1"/>
  <c r="K10" i="4" s="1"/>
  <c r="H15" i="3"/>
  <c r="H17" i="2"/>
  <c r="D64" i="2"/>
  <c r="D62" i="2"/>
  <c r="G21" i="2" a="1"/>
  <c r="F62" i="2" a="1"/>
  <c r="F64" i="2" a="1"/>
  <c r="F25" i="1" a="1"/>
  <c r="F23" i="1" a="1"/>
  <c r="J15" i="3" l="1"/>
  <c r="K15" i="3" s="1"/>
  <c r="G21" i="2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<sst xmlns="http://schemas.openxmlformats.org/spreadsheetml/2006/main" count="164" uniqueCount="68">
  <si>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</si>
  <si>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</si>
  <si>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</si>
  <si>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</si>
  <si>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</si>
  <si>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</si>
  <si>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</si>
  <si>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</si>
  <si>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</si>
  <si>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</si>
  <si>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</si>
  <si>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</si>
  <si>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</si>
  <si>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</si>
  <si>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</si>
  <si>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</si>
  <si>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</si>
  <si>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</si>
  <si>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</si>
  <si>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</si>
  <si>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</si>
  <si>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</si>
  <si>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</si>
  <si>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</si>
  <si>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</si>
  <si>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</si>
  <si>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</si>
  <si>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</si>
  <si>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</si>
  <si>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</si>
  <si>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</si>
  <si>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</si>
  <si>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</si>
  <si>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</si>
  <si>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</si>
  <si>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</si>
  <si>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</si>
  <si>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</si>
  <si>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</si>
  <si>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</si>
  <si>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</si>
  <si>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</si>
  <si>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</si>
  <si>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</si>
  <si>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</si>
  <si>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</si>
  <si>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</si>
  <si>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</si>
  <si>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</si>
  <si>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</si>
  <si>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</si>
  <si>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</si>
  <si>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</si>
  <si>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</si>
  <si>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</si>
  <si>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Day Count Convention</t>
  </si>
  <si>
    <t>Start Date</t>
  </si>
  <si>
    <t>End Date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</si>
  <si>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</si>
  <si>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</si>
  <si>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</si>
  <si>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</si>
  <si>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</si>
  <si>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</si>
  <si>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</si>
  <si>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Overnight Index Swaps</t>
  </si>
  <si>
    <t>Curve Parameters</t>
  </si>
  <si>
    <t>Instrument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</si>
</sst>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  <numFmt numFmtId="171" formatCode="#,##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73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7" fillId="4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167" fontId="6" fillId="0" borderId="19" xfId="0" applyNumberFormat="1" applyFont="1" applyBorder="1" applyAlignment="1">
      <alignment horizontal="right" vertical="center"/>
    </xf>
    <xf numFmtId="171" fontId="6" fillId="0" borderId="12" xfId="0" applyNumberFormat="1" applyFont="1" applyBorder="1" applyAlignment="1">
      <alignment horizontal="right" vertical="center"/>
    </xf>
    <xf numFmtId="171" fontId="6" fillId="0" borderId="14" xfId="0" applyNumberFormat="1" applyFont="1" applyBorder="1" applyAlignment="1">
      <alignment horizontal="right" vertical="center"/>
    </xf>
    <xf numFmtId="171" fontId="6" fillId="0" borderId="16" xfId="0" applyNumberFormat="1" applyFont="1" applyBorder="1" applyAlignment="1">
      <alignment horizontal="right" vertical="center"/>
    </xf>
    <xf numFmtId="0" fontId="7" fillId="3" borderId="29" xfId="0" applyFont="1" applyFill="1" applyBorder="1" applyAlignment="1">
      <alignment horizontal="centerContinuous" vertical="center"/>
    </xf>
    <xf numFmtId="0" fontId="7" fillId="3" borderId="30" xfId="0" applyFont="1" applyFill="1" applyBorder="1" applyAlignment="1">
      <alignment horizontal="centerContinuous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right"/>
    </xf>
    <xf numFmtId="4" fontId="6" fillId="0" borderId="0" xfId="0" applyNumberFormat="1" applyFont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@@ExampleCurve::16:00:55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2" zoomScaleNormal="115" workbookViewId="0">
      <selection activeCell="O5" sqref="O5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@@CurveForHullWhite::16:00:55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e" cm="1">
        <f t="array" ref="H17">_xll.d.HullWhite_Calibrate("HW",C6,G6:J12)</f>
        <v>#VALUE!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e" cm="1">
        <f t="array" ref="G21">_xll.d.HullWhite_GetParameters(H17)</f>
        <v>#VALUE!</v>
      </c>
      <c r="H21" s="41"/>
    </row>
    <row r="22" spans="2:9" x14ac:dyDescent="0.25">
      <c r="B22" s="21">
        <v>45041</v>
      </c>
      <c r="C22" s="24">
        <v>0.99856400000000001</v>
      </c>
      <c r="G22" s="21"/>
      <c r="H22" s="24"/>
    </row>
    <row r="23" spans="2:9" x14ac:dyDescent="0.25">
      <c r="B23" s="21">
        <v>45071</v>
      </c>
      <c r="C23" s="24">
        <v>0.998309</v>
      </c>
      <c r="G23" s="22"/>
      <c r="H23" s="25"/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OK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36"/>
  <sheetViews>
    <sheetView showGridLines="0" zoomScale="114" workbookViewId="0">
      <selection activeCell="I16" sqref="I16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5" max="5" width="10.140625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str" cm="1">
        <f t="array" ref="D4">_xll.d.Curve_SingleCurveBootstrap("SingleCurve",C10,B21:D26,B28:D31)</f>
        <v>@@SingleCurve::16:01:18</v>
      </c>
      <c r="E4" s="29"/>
    </row>
    <row r="7" spans="2:11" ht="18.75" x14ac:dyDescent="0.3">
      <c r="G7" s="4" t="s">
        <v>35</v>
      </c>
      <c r="H7" s="4"/>
      <c r="I7" s="4"/>
      <c r="J7" s="4"/>
      <c r="K7" s="4"/>
    </row>
    <row r="8" spans="2:11" x14ac:dyDescent="0.25">
      <c r="B8" s="67" t="s">
        <v>66</v>
      </c>
      <c r="C8" s="68"/>
    </row>
    <row r="9" spans="2:11" x14ac:dyDescent="0.25">
      <c r="B9" s="69" t="s">
        <v>32</v>
      </c>
      <c r="C9" s="70" t="s">
        <v>33</v>
      </c>
      <c r="G9" s="15" t="s">
        <v>36</v>
      </c>
      <c r="H9" s="30" t="s">
        <v>43</v>
      </c>
      <c r="I9" s="30" t="s">
        <v>44</v>
      </c>
      <c r="J9" s="30" t="s">
        <v>45</v>
      </c>
      <c r="K9" s="16" t="s">
        <v>46</v>
      </c>
    </row>
    <row r="10" spans="2:11" x14ac:dyDescent="0.25">
      <c r="B10" s="46" t="s">
        <v>31</v>
      </c>
      <c r="C10" s="50">
        <v>44713</v>
      </c>
      <c r="E10" s="72">
        <v>44713</v>
      </c>
      <c r="G10" s="20">
        <f>C10</f>
        <v>44713</v>
      </c>
      <c r="H10" s="61">
        <v>1</v>
      </c>
      <c r="I10" s="61" cm="1">
        <f t="array" ref="I10">_xll.d.Curve_DF($D$4,G10)</f>
        <v>1</v>
      </c>
      <c r="J10" s="61">
        <f t="shared" ref="J10:J15" si="0">H10-I10</f>
        <v>0</v>
      </c>
      <c r="K10" s="64">
        <f>J10/H10</f>
        <v>0</v>
      </c>
    </row>
    <row r="11" spans="2:11" x14ac:dyDescent="0.25">
      <c r="B11" s="46" t="s">
        <v>60</v>
      </c>
      <c r="C11" s="58" t="s">
        <v>48</v>
      </c>
      <c r="E11" s="72">
        <v>44743</v>
      </c>
      <c r="F11" s="10"/>
      <c r="G11" s="21">
        <f>EDATE(G10,1)</f>
        <v>44743</v>
      </c>
      <c r="H11" s="62">
        <f>EXP(-D23*YEARFRAC($C$10,G11,3))</f>
        <v>0.99181450701087914</v>
      </c>
      <c r="I11" s="62" cm="1">
        <f t="array" ref="I11">_xll.d.Curve_DF($D$4,G11)</f>
        <v>0.99184782608695654</v>
      </c>
      <c r="J11" s="62">
        <f t="shared" si="0"/>
        <v>-3.3319076077398257E-5</v>
      </c>
      <c r="K11" s="65">
        <f t="shared" ref="K11:K12" si="1">J11/H11</f>
        <v>-3.3594060020169462E-5</v>
      </c>
    </row>
    <row r="12" spans="2:11" x14ac:dyDescent="0.25">
      <c r="E12" s="72">
        <v>44774</v>
      </c>
      <c r="F12" s="10"/>
      <c r="G12" s="21">
        <f>EDATE(G10,2)</f>
        <v>44774</v>
      </c>
      <c r="H12" s="62">
        <f>EXP(-D24*YEARFRAC($C$10,G12,3))</f>
        <v>0.98342654747456371</v>
      </c>
      <c r="I12" s="62" cm="1">
        <f t="array" ref="I12">_xll.d.Curve_DF($D$4,G12)</f>
        <v>0.98351848122804275</v>
      </c>
      <c r="J12" s="62">
        <f t="shared" si="0"/>
        <v>-9.1933753479045421E-5</v>
      </c>
      <c r="K12" s="65">
        <f t="shared" si="1"/>
        <v>-9.3483091050501949E-5</v>
      </c>
    </row>
    <row r="13" spans="2:11" x14ac:dyDescent="0.25">
      <c r="F13" s="10"/>
      <c r="G13" s="21">
        <f>EDATE(G10,3)</f>
        <v>44805</v>
      </c>
      <c r="H13" s="62">
        <f>EXP(-D25*YEARFRAC($C$10,G13,3))</f>
        <v>0.97510952647028781</v>
      </c>
      <c r="I13" s="62" cm="1">
        <f t="array" ref="I13">_xll.d.Curve_DF($D$4,G13)</f>
        <v>0.97532567183433427</v>
      </c>
      <c r="J13" s="62">
        <f t="shared" si="0"/>
        <v>-2.1614536404646056E-4</v>
      </c>
      <c r="K13" s="65">
        <f>J13/H13</f>
        <v>-2.2166265242927729E-4</v>
      </c>
    </row>
    <row r="14" spans="2:11" x14ac:dyDescent="0.25">
      <c r="B14" s="68" t="s">
        <v>62</v>
      </c>
      <c r="C14" s="68"/>
      <c r="F14" s="10"/>
      <c r="G14" s="21">
        <f>EDATE(G10,6)</f>
        <v>44896</v>
      </c>
      <c r="H14" s="62">
        <f>EXP(-D26*YEARFRAC($C$10,G14,3))</f>
        <v>0.95109912802471741</v>
      </c>
      <c r="I14" s="62" cm="1">
        <f t="array" ref="I14">_xll.d.Curve_DF($D$4,G14)</f>
        <v>0.95208887438961809</v>
      </c>
      <c r="J14" s="62">
        <f t="shared" si="0"/>
        <v>-9.897463649006788E-4</v>
      </c>
      <c r="K14" s="65">
        <f>J14/H14</f>
        <v>-1.0406342890422217E-3</v>
      </c>
    </row>
    <row r="15" spans="2:11" x14ac:dyDescent="0.25">
      <c r="B15" s="69" t="s">
        <v>32</v>
      </c>
      <c r="C15" s="70" t="s">
        <v>33</v>
      </c>
      <c r="F15" s="10"/>
      <c r="G15" s="22">
        <f>EDATE(G10,9)</f>
        <v>44986</v>
      </c>
      <c r="H15" s="63">
        <f>H14*EXP(-D30*YEARFRAC(G14,G15,3))</f>
        <v>0.92793413813861503</v>
      </c>
      <c r="I15" s="63" cm="1">
        <f t="array" ref="I15">_xll.d.Curve_DF($D$4,G15)</f>
        <v>0.92930285811616731</v>
      </c>
      <c r="J15" s="63">
        <f t="shared" si="0"/>
        <v>-1.3687199775522796E-3</v>
      </c>
      <c r="K15" s="66">
        <f>J15/H15</f>
        <v>-1.4750184536780344E-3</v>
      </c>
    </row>
    <row r="16" spans="2:11" x14ac:dyDescent="0.25">
      <c r="B16" s="46" t="s">
        <v>13</v>
      </c>
      <c r="C16" s="58" t="s">
        <v>48</v>
      </c>
      <c r="F16" s="10"/>
      <c r="G16" s="9"/>
    </row>
    <row r="17" spans="2:6" x14ac:dyDescent="0.25">
      <c r="B17" s="46" t="s">
        <v>37</v>
      </c>
      <c r="C17" s="58" t="s">
        <v>38</v>
      </c>
      <c r="F17" s="10"/>
    </row>
    <row r="18" spans="2:6" x14ac:dyDescent="0.25">
      <c r="B18" s="46" t="s">
        <v>61</v>
      </c>
      <c r="C18" s="58" t="s">
        <v>26</v>
      </c>
      <c r="F18" s="10"/>
    </row>
    <row r="19" spans="2:6" x14ac:dyDescent="0.25">
      <c r="F19" s="10"/>
    </row>
    <row r="20" spans="2:6" x14ac:dyDescent="0.25">
      <c r="F20" s="10"/>
    </row>
    <row r="21" spans="2:6" x14ac:dyDescent="0.25">
      <c r="B21" s="15" t="s">
        <v>23</v>
      </c>
      <c r="C21" s="30"/>
      <c r="D21" s="16"/>
      <c r="E21" s="16"/>
      <c r="F21" s="10"/>
    </row>
    <row r="22" spans="2:6" x14ac:dyDescent="0.25">
      <c r="B22" s="47" t="s">
        <v>40</v>
      </c>
      <c r="C22" s="48" t="s">
        <v>37</v>
      </c>
      <c r="D22" s="48" t="s">
        <v>41</v>
      </c>
      <c r="E22" s="49" t="s">
        <v>54</v>
      </c>
      <c r="F22" s="10"/>
    </row>
    <row r="23" spans="2:6" x14ac:dyDescent="0.25">
      <c r="B23" s="46" t="s">
        <v>27</v>
      </c>
      <c r="C23" s="46" t="s">
        <v>38</v>
      </c>
      <c r="D23" s="46">
        <v>0.1</v>
      </c>
      <c r="E23" t="b">
        <v>1</v>
      </c>
    </row>
    <row r="24" spans="2:6" x14ac:dyDescent="0.25">
      <c r="B24" s="46" t="s">
        <v>28</v>
      </c>
      <c r="C24" s="46" t="s">
        <v>38</v>
      </c>
      <c r="D24" s="46">
        <v>0.1</v>
      </c>
      <c r="E24" t="b">
        <v>1</v>
      </c>
    </row>
    <row r="25" spans="2:6" x14ac:dyDescent="0.25">
      <c r="B25" s="46" t="s">
        <v>26</v>
      </c>
      <c r="C25" s="46" t="s">
        <v>38</v>
      </c>
      <c r="D25" s="46">
        <v>0.1</v>
      </c>
      <c r="E25" t="b">
        <v>1</v>
      </c>
    </row>
    <row r="26" spans="2:6" x14ac:dyDescent="0.25">
      <c r="B26" s="46" t="s">
        <v>29</v>
      </c>
      <c r="C26" s="46" t="s">
        <v>38</v>
      </c>
      <c r="D26" s="46">
        <v>0.1</v>
      </c>
      <c r="E26" t="b">
        <v>0</v>
      </c>
    </row>
    <row r="28" spans="2:6" x14ac:dyDescent="0.25">
      <c r="B28" s="15" t="s">
        <v>39</v>
      </c>
      <c r="C28" s="30"/>
      <c r="D28" s="16"/>
      <c r="E28" s="16"/>
    </row>
    <row r="29" spans="2:6" x14ac:dyDescent="0.25">
      <c r="B29" s="47" t="s">
        <v>40</v>
      </c>
      <c r="C29" s="48" t="s">
        <v>37</v>
      </c>
      <c r="D29" s="48" t="s">
        <v>41</v>
      </c>
      <c r="E29" s="49" t="s">
        <v>54</v>
      </c>
    </row>
    <row r="30" spans="2:6" x14ac:dyDescent="0.25">
      <c r="B30" t="s">
        <v>29</v>
      </c>
      <c r="C30" t="s">
        <v>38</v>
      </c>
      <c r="D30">
        <v>0.1</v>
      </c>
      <c r="E30" t="b">
        <v>1</v>
      </c>
    </row>
    <row r="31" spans="2:6" x14ac:dyDescent="0.25">
      <c r="B31" t="s">
        <v>30</v>
      </c>
      <c r="C31" t="s">
        <v>38</v>
      </c>
      <c r="D31">
        <v>0.1</v>
      </c>
      <c r="E31" t="b">
        <v>1</v>
      </c>
    </row>
    <row r="33" spans="2:5" x14ac:dyDescent="0.25">
      <c r="B33" s="15" t="s">
        <v>47</v>
      </c>
      <c r="C33" s="30"/>
      <c r="D33" s="16"/>
      <c r="E33" s="16"/>
    </row>
    <row r="34" spans="2:5" x14ac:dyDescent="0.25">
      <c r="B34" s="47" t="s">
        <v>40</v>
      </c>
      <c r="C34" s="48" t="s">
        <v>37</v>
      </c>
      <c r="D34" s="48" t="s">
        <v>41</v>
      </c>
      <c r="E34" s="49" t="s">
        <v>54</v>
      </c>
    </row>
    <row r="35" spans="2:5" x14ac:dyDescent="0.25">
      <c r="B35" t="s">
        <v>29</v>
      </c>
      <c r="C35" t="s">
        <v>38</v>
      </c>
      <c r="D35">
        <v>0.1</v>
      </c>
      <c r="E35" t="b">
        <v>1</v>
      </c>
    </row>
    <row r="36" spans="2:5" x14ac:dyDescent="0.25">
      <c r="B36" t="s">
        <v>30</v>
      </c>
      <c r="C36" t="s">
        <v>38</v>
      </c>
      <c r="D36">
        <v>0.1</v>
      </c>
      <c r="E36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K46"/>
  <sheetViews>
    <sheetView showGridLines="0" tabSelected="1" topLeftCell="A10" zoomScale="119" workbookViewId="0">
      <selection activeCell="B28" sqref="B28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1" ht="26.25" x14ac:dyDescent="0.4">
      <c r="B2" s="3" t="s">
        <v>63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51</v>
      </c>
      <c r="C4" s="51"/>
      <c r="D4" s="54" t="str" cm="1">
        <f t="array" ref="D4">_xll.d.Curve_SingleCurveBootstrap("ForecastingCurve",C10,B31:D36,B38:D41)</f>
        <v>@@ForecastingCurve::16:00:55</v>
      </c>
      <c r="E4" s="55"/>
    </row>
    <row r="5" spans="2:11" x14ac:dyDescent="0.25">
      <c r="B5" s="51" t="s">
        <v>52</v>
      </c>
      <c r="C5" s="51"/>
      <c r="D5" s="56" t="str" cm="1">
        <f t="array" ref="D5">_xll.d.Curve_SingleCurveBootstrap("DiscountingCurve",C10,B31:D36,B38:D41)</f>
        <v>@@DiscountingCurve::16:00:55</v>
      </c>
      <c r="E5" s="57"/>
    </row>
    <row r="7" spans="2:11" ht="18.75" x14ac:dyDescent="0.3">
      <c r="B7" s="4" t="s">
        <v>34</v>
      </c>
      <c r="C7" s="4"/>
      <c r="D7" s="4"/>
      <c r="E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cm="1">
        <f t="array" ref="I10">_xll.d.Curve_DF($D$4,G10)</f>
        <v>1</v>
      </c>
      <c r="J10" s="52">
        <f t="shared" ref="J10:J15" si="0">H10-I10</f>
        <v>0</v>
      </c>
      <c r="K10" s="53">
        <f>J10/H10</f>
        <v>0</v>
      </c>
    </row>
    <row r="11" spans="2:11" x14ac:dyDescent="0.25">
      <c r="B11" s="46" t="s">
        <v>51</v>
      </c>
      <c r="C11" s="58" t="s">
        <v>53</v>
      </c>
      <c r="F11" s="10"/>
      <c r="G11" s="9">
        <f>EDATE(G10,1)</f>
        <v>44743</v>
      </c>
      <c r="H11">
        <f>EXP(-D33*YEARFRAC($C$10,G11,3))</f>
        <v>0.99181450701087914</v>
      </c>
      <c r="I11" s="52" cm="1">
        <f t="array" ref="I11">_xll.d.Curve_DF($D$4,G11)</f>
        <v>0.99184782608695654</v>
      </c>
      <c r="J11" s="52">
        <f t="shared" si="0"/>
        <v>-3.3319076077398257E-5</v>
      </c>
      <c r="K11" s="53">
        <f t="shared" ref="K11:K12" si="1">J11/H11</f>
        <v>-3.3594060020169462E-5</v>
      </c>
    </row>
    <row r="12" spans="2:11" x14ac:dyDescent="0.25">
      <c r="B12" s="46" t="s">
        <v>52</v>
      </c>
      <c r="C12" s="58" t="s">
        <v>49</v>
      </c>
      <c r="F12" s="10"/>
      <c r="G12" s="9">
        <f>EDATE(G10,2)</f>
        <v>44774</v>
      </c>
      <c r="H12">
        <f>EXP(-D34*YEARFRAC($C$10,G12,3))</f>
        <v>0.98342654747456371</v>
      </c>
      <c r="I12" s="52" cm="1">
        <f t="array" ref="I12">_xll.d.Curve_DF($D$4,G12)</f>
        <v>0.98351848122804275</v>
      </c>
      <c r="J12" s="52">
        <f t="shared" si="0"/>
        <v>-9.1933753479045421E-5</v>
      </c>
      <c r="K12" s="53">
        <f t="shared" si="1"/>
        <v>-9.3483091050501949E-5</v>
      </c>
    </row>
    <row r="13" spans="2:11" x14ac:dyDescent="0.25">
      <c r="B13" s="60" t="s">
        <v>58</v>
      </c>
      <c r="C13" s="58" t="s">
        <v>59</v>
      </c>
      <c r="F13" s="10"/>
      <c r="G13" s="9">
        <f>EDATE(G10,3)</f>
        <v>44805</v>
      </c>
      <c r="H13">
        <f>EXP(-D35*YEARFRAC($C$10,G13,3))</f>
        <v>0.97510952647028781</v>
      </c>
      <c r="I13" s="52" cm="1">
        <f t="array" ref="I13">_xll.d.Curve_DF($D$4,G13)</f>
        <v>0.97532567183433427</v>
      </c>
      <c r="J13" s="52">
        <f t="shared" si="0"/>
        <v>-2.1614536404646056E-4</v>
      </c>
      <c r="K13" s="53">
        <f>J13/H13</f>
        <v>-2.2166265242927729E-4</v>
      </c>
    </row>
    <row r="14" spans="2:11" x14ac:dyDescent="0.25">
      <c r="F14" s="10"/>
      <c r="G14" s="9">
        <f>EDATE(G10,6)</f>
        <v>44896</v>
      </c>
      <c r="H14">
        <f>EXP(-D36*YEARFRAC($C$10,G14,3))</f>
        <v>0.95109912802471741</v>
      </c>
      <c r="I14" s="52" cm="1">
        <f t="array" ref="I14">_xll.d.Curve_DF($D$4,G14)</f>
        <v>0.95208887438961809</v>
      </c>
      <c r="J14" s="52">
        <f t="shared" si="0"/>
        <v>-9.897463649006788E-4</v>
      </c>
      <c r="K14" s="53">
        <f>J14/H14</f>
        <v>-1.0406342890422217E-3</v>
      </c>
    </row>
    <row r="15" spans="2:11" x14ac:dyDescent="0.25">
      <c r="B15" s="67" t="s">
        <v>62</v>
      </c>
      <c r="C15" s="68"/>
      <c r="F15" s="10"/>
      <c r="G15" s="9">
        <f>EDATE(G10,9)</f>
        <v>44986</v>
      </c>
      <c r="H15">
        <f>H14*EXP(-D40*YEARFRAC(G14,G15,3))</f>
        <v>0.92793413813861503</v>
      </c>
      <c r="I15" s="52" cm="1">
        <f t="array" ref="I15">_xll.d.Curve_DF($D$4,G15)</f>
        <v>0.92930285811616731</v>
      </c>
      <c r="J15" s="52">
        <f t="shared" si="0"/>
        <v>-1.3687199775522796E-3</v>
      </c>
      <c r="K15" s="53">
        <f>J15/H15</f>
        <v>-1.4750184536780344E-3</v>
      </c>
    </row>
    <row r="16" spans="2:11" x14ac:dyDescent="0.25">
      <c r="B16" s="69" t="s">
        <v>32</v>
      </c>
      <c r="C16" s="70" t="s">
        <v>33</v>
      </c>
      <c r="G16" s="9"/>
    </row>
    <row r="17" spans="2:9" x14ac:dyDescent="0.25">
      <c r="B17" s="46" t="s">
        <v>60</v>
      </c>
      <c r="C17" s="58" t="s">
        <v>53</v>
      </c>
    </row>
    <row r="18" spans="2:9" x14ac:dyDescent="0.25">
      <c r="B18" s="46" t="s">
        <v>37</v>
      </c>
      <c r="C18" s="58" t="s">
        <v>64</v>
      </c>
    </row>
    <row r="19" spans="2:9" x14ac:dyDescent="0.25">
      <c r="B19" s="46" t="s">
        <v>67</v>
      </c>
      <c r="C19" s="58" t="s">
        <v>23</v>
      </c>
    </row>
    <row r="20" spans="2:9" x14ac:dyDescent="0.25">
      <c r="B20" s="46"/>
      <c r="C20" s="58" t="s">
        <v>39</v>
      </c>
    </row>
    <row r="21" spans="2:9" x14ac:dyDescent="0.25">
      <c r="C21" s="71" t="s">
        <v>47</v>
      </c>
      <c r="H21" s="46"/>
      <c r="I21" s="50"/>
    </row>
    <row r="22" spans="2:9" x14ac:dyDescent="0.25">
      <c r="E22" s="46"/>
      <c r="F22" s="58"/>
      <c r="H22" s="50"/>
      <c r="I22" s="50"/>
    </row>
    <row r="23" spans="2:9" x14ac:dyDescent="0.25">
      <c r="B23" s="67" t="s">
        <v>62</v>
      </c>
      <c r="C23" s="68"/>
      <c r="H23" s="50"/>
      <c r="I23" s="50"/>
    </row>
    <row r="24" spans="2:9" x14ac:dyDescent="0.25">
      <c r="B24" s="69" t="s">
        <v>32</v>
      </c>
      <c r="C24" s="70" t="s">
        <v>33</v>
      </c>
      <c r="H24" s="50"/>
      <c r="I24" s="50"/>
    </row>
    <row r="25" spans="2:9" x14ac:dyDescent="0.25">
      <c r="B25" s="46" t="s">
        <v>60</v>
      </c>
      <c r="C25" s="58" t="s">
        <v>49</v>
      </c>
    </row>
    <row r="26" spans="2:9" x14ac:dyDescent="0.25">
      <c r="B26" s="46" t="s">
        <v>37</v>
      </c>
      <c r="C26" s="58" t="s">
        <v>50</v>
      </c>
      <c r="H26" s="46"/>
      <c r="I26" s="50"/>
    </row>
    <row r="27" spans="2:9" x14ac:dyDescent="0.25">
      <c r="B27" s="46" t="s">
        <v>67</v>
      </c>
      <c r="C27" s="58" t="s">
        <v>65</v>
      </c>
      <c r="H27" s="46"/>
      <c r="I27" s="50"/>
    </row>
    <row r="28" spans="2:9" x14ac:dyDescent="0.25">
      <c r="H28" s="46"/>
      <c r="I28" s="50"/>
    </row>
    <row r="29" spans="2:9" x14ac:dyDescent="0.25">
      <c r="H29" s="46"/>
      <c r="I29" s="50"/>
    </row>
    <row r="30" spans="2:9" x14ac:dyDescent="0.25">
      <c r="H30" s="46"/>
      <c r="I30" s="50"/>
    </row>
    <row r="31" spans="2:9" x14ac:dyDescent="0.25">
      <c r="B31" s="15" t="s">
        <v>23</v>
      </c>
      <c r="C31" s="30"/>
      <c r="D31" s="16"/>
      <c r="E31" s="30"/>
      <c r="F31" s="16"/>
    </row>
    <row r="32" spans="2:9" x14ac:dyDescent="0.25">
      <c r="B32" s="47" t="s">
        <v>40</v>
      </c>
      <c r="C32" s="48" t="s">
        <v>37</v>
      </c>
      <c r="D32" s="48" t="s">
        <v>41</v>
      </c>
      <c r="E32" s="49" t="s">
        <v>55</v>
      </c>
      <c r="F32" s="59" t="s">
        <v>54</v>
      </c>
    </row>
    <row r="33" spans="2:6" x14ac:dyDescent="0.25">
      <c r="B33" s="46" t="s">
        <v>27</v>
      </c>
      <c r="C33" s="46" t="s">
        <v>38</v>
      </c>
      <c r="D33" s="46">
        <v>0.1</v>
      </c>
      <c r="F33" t="b">
        <v>1</v>
      </c>
    </row>
    <row r="34" spans="2:6" x14ac:dyDescent="0.25">
      <c r="B34" s="46" t="s">
        <v>28</v>
      </c>
      <c r="C34" s="46" t="s">
        <v>38</v>
      </c>
      <c r="D34" s="46">
        <v>0.1</v>
      </c>
      <c r="F34" t="b">
        <v>1</v>
      </c>
    </row>
    <row r="35" spans="2:6" x14ac:dyDescent="0.25">
      <c r="B35" s="46" t="s">
        <v>26</v>
      </c>
      <c r="C35" s="46" t="s">
        <v>38</v>
      </c>
      <c r="D35" s="46">
        <v>0.1</v>
      </c>
      <c r="F35" t="b">
        <v>0</v>
      </c>
    </row>
    <row r="36" spans="2:6" x14ac:dyDescent="0.25">
      <c r="B36" s="46" t="s">
        <v>29</v>
      </c>
      <c r="C36" s="46" t="s">
        <v>38</v>
      </c>
      <c r="D36" s="46">
        <v>0.1</v>
      </c>
      <c r="F36" t="b">
        <v>1</v>
      </c>
    </row>
    <row r="38" spans="2:6" x14ac:dyDescent="0.25">
      <c r="B38" s="15" t="s">
        <v>39</v>
      </c>
      <c r="C38" s="30"/>
      <c r="D38" s="16"/>
    </row>
    <row r="39" spans="2:6" x14ac:dyDescent="0.25">
      <c r="B39" s="47" t="s">
        <v>40</v>
      </c>
      <c r="C39" s="48" t="s">
        <v>37</v>
      </c>
      <c r="D39" s="49" t="s">
        <v>41</v>
      </c>
      <c r="E39" s="59" t="s">
        <v>56</v>
      </c>
      <c r="F39" s="59" t="s">
        <v>57</v>
      </c>
    </row>
    <row r="40" spans="2:6" x14ac:dyDescent="0.25">
      <c r="B40" t="s">
        <v>29</v>
      </c>
      <c r="C40" t="s">
        <v>38</v>
      </c>
      <c r="D40">
        <v>0.1</v>
      </c>
    </row>
    <row r="41" spans="2:6" x14ac:dyDescent="0.25">
      <c r="B41" t="s">
        <v>30</v>
      </c>
      <c r="C41" t="s">
        <v>38</v>
      </c>
      <c r="D41">
        <v>0.1</v>
      </c>
    </row>
    <row r="43" spans="2:6" x14ac:dyDescent="0.25">
      <c r="B43" s="15" t="s">
        <v>47</v>
      </c>
      <c r="C43" s="30"/>
      <c r="D43" s="16"/>
    </row>
    <row r="44" spans="2:6" x14ac:dyDescent="0.25">
      <c r="B44" s="47" t="s">
        <v>24</v>
      </c>
      <c r="C44" s="48" t="s">
        <v>37</v>
      </c>
      <c r="D44" s="49" t="s">
        <v>25</v>
      </c>
    </row>
    <row r="45" spans="2:6" x14ac:dyDescent="0.25">
      <c r="B45" t="s">
        <v>29</v>
      </c>
      <c r="C45" t="s">
        <v>38</v>
      </c>
      <c r="D45">
        <v>0.1</v>
      </c>
    </row>
    <row r="46" spans="2:6" x14ac:dyDescent="0.25">
      <c r="B46" t="s">
        <v>30</v>
      </c>
      <c r="C46" t="s">
        <v>38</v>
      </c>
      <c r="D46">
        <v>0.1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Curves</vt:lpstr>
      <vt:lpstr>HullWhite</vt:lpstr>
      <vt:lpstr>SinlgeCurveBootstrapping</vt:lpstr>
      <vt:lpstr>MultiCurveBootstrapping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2022-06-21T14:07:18Z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