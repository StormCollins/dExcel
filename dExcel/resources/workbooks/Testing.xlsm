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02F4ED5B-BD0E-46A2-AD5E-A8390D036CB7}" xr6:coauthVersionLast="47" xr6:coauthVersionMax="47" xr10:uidLastSave="{00000000-0000-0000-0000-000000000000}"/>
  <bookViews>
    <workbookView xWindow="-120" yWindow="-120" windowWidth="24240" windowHeight="13140" tabRatio="485" firstSheet="1" activeTab="4" xr2:uid="{CFAC4E8B-1C32-41D2-A11E-38180CE9FB57}"/>
  </bookViews>
  <sheets>
    <sheet name="Curves" sheetId="1" r:id="rId1"/>
    <sheet name="SinlgeCurveBootstrapping" sheetId="3" r:id="rId2"/>
    <sheet name="MultiCurveBootstrapping" sheetId="4" r:id="rId3"/>
    <sheet name="HullWhite" sheetId="2" r:id="rId4"/>
    <sheet name="Table Formatting" sheetId="5" r:id="rId5"/>
  </sheets>
  <calcPr calcId="191029" calcMode="manual" calcCompleted="0" calcOnSave="0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1" i="1" l="1" a="1"/>
  <c r="Q11" i="1"/>
  <c r="H11" i="1" a="1"/>
  <c r="H11" i="1"/>
  <c r="H12" i="1"/>
  <c r="H13" i="1"/>
  <c r="H14" i="1"/>
  <c r="H15" i="1"/>
  <c r="G11" i="1"/>
  <c r="C8" i="1" a="1"/>
  <c r="C8" i="1"/>
  <c r="I15" i="1"/>
  <c r="I14" i="1"/>
  <c r="I13" i="1"/>
  <c r="I12" i="1"/>
  <c r="M15" i="1"/>
  <c r="M11" i="1"/>
  <c r="J13" i="1"/>
  <c r="G28" i="1"/>
  <c r="F15" i="1"/>
  <c r="G15" i="1" s="1"/>
  <c r="F29" i="1"/>
  <c r="G29" i="1" s="1"/>
  <c r="F14" i="1"/>
  <c r="G14" i="1" s="1"/>
  <c r="F13" i="1"/>
  <c r="G13" i="1" s="1"/>
  <c r="F12" i="1"/>
  <c r="G12" i="1" s="1"/>
  <c r="F11" i="1"/>
  <c r="J11" i="1" s="1"/>
  <c r="G20" i="1"/>
  <c r="G26" i="1"/>
  <c r="G24" i="1"/>
  <c r="G22" i="1"/>
  <c r="F27" i="1"/>
  <c r="G27" i="1" s="1"/>
  <c r="F25" i="1"/>
  <c r="G25" i="1" s="1"/>
  <c r="F23" i="1"/>
  <c r="G23" i="1" s="1"/>
  <c r="F21" i="1"/>
  <c r="F19" i="1"/>
  <c r="S20" i="3" a="1"/>
  <c r="S20" i="3"/>
  <c r="T18" i="3" a="1"/>
  <c r="T18" i="3"/>
  <c r="T17" i="3" a="1"/>
  <c r="T17" i="3"/>
  <c r="T16" i="3" a="1"/>
  <c r="T16" i="3"/>
  <c r="T15" i="3" a="1"/>
  <c r="T15" i="3"/>
  <c r="T14" i="3" a="1"/>
  <c r="T14" i="3"/>
  <c r="T13" i="3" a="1"/>
  <c r="T13" i="3"/>
  <c r="T12" i="3" a="1"/>
  <c r="T12" i="3"/>
  <c r="O6" i="3" a="1"/>
  <c r="O6" i="3"/>
  <c r="AA20" i="3"/>
  <c r="Z20" i="3" a="1"/>
  <c r="Z20" i="3"/>
  <c r="Y20" i="3"/>
  <c r="Z19" i="3" a="1"/>
  <c r="Z19" i="3"/>
  <c r="Y19" i="3"/>
  <c r="X20" i="3"/>
  <c r="W20" i="3" a="1"/>
  <c r="W20" i="3"/>
  <c r="W19" i="3" a="1"/>
  <c r="W19" i="3"/>
  <c r="V20" i="3"/>
  <c r="V19" i="3"/>
  <c r="U20" i="3"/>
  <c r="T22" i="3"/>
  <c r="T19" i="3" a="1"/>
  <c r="T19" i="3"/>
  <c r="T20" i="3" a="1"/>
  <c r="T20" i="3"/>
  <c r="R20" i="3"/>
  <c r="S13" i="3"/>
  <c r="S14" i="3"/>
  <c r="R15" i="3"/>
  <c r="S15" i="3"/>
  <c r="R16" i="3"/>
  <c r="S16" i="3"/>
  <c r="R17" i="3"/>
  <c r="S17" i="3"/>
  <c r="R18" i="3"/>
  <c r="R12" i="3"/>
  <c r="S23" i="3" s="1"/>
  <c r="S24" i="3" s="1"/>
  <c r="I10" i="4"/>
  <c r="I15" i="4" s="1"/>
  <c r="G12" i="3"/>
  <c r="G14" i="3" s="1"/>
  <c r="H14" i="3" s="1"/>
  <c r="C62" i="2"/>
  <c r="E64" i="2"/>
  <c r="C6" i="2" a="1"/>
  <c r="D6" i="3" a="1"/>
  <c r="D4" i="4" a="1"/>
  <c r="D5" i="4" a="1"/>
  <c r="J12" i="1" l="1"/>
  <c r="M14" i="1"/>
  <c r="M13" i="1"/>
  <c r="M12" i="1"/>
  <c r="J14" i="1"/>
  <c r="J15" i="1"/>
  <c r="G21" i="1"/>
  <c r="S18" i="3"/>
  <c r="D6" i="3"/>
  <c r="I12" i="4"/>
  <c r="J12" i="4" s="1"/>
  <c r="I14" i="4"/>
  <c r="J14" i="4" s="1"/>
  <c r="J15" i="4" s="1"/>
  <c r="D5" i="4"/>
  <c r="D4" i="4"/>
  <c r="I11" i="4"/>
  <c r="J11" i="4" s="1"/>
  <c r="I13" i="4"/>
  <c r="J13" i="4" s="1"/>
  <c r="G15" i="3"/>
  <c r="H15" i="3" s="1"/>
  <c r="G16" i="3"/>
  <c r="H16" i="3" s="1"/>
  <c r="G13" i="3"/>
  <c r="H13" i="3" s="1"/>
  <c r="G17" i="3"/>
  <c r="C6" i="2"/>
  <c r="E62" i="2"/>
  <c r="D64" i="2" a="1"/>
  <c r="K10" i="4" a="1"/>
  <c r="K11" i="4" a="1"/>
  <c r="I13" i="3" a="1"/>
  <c r="I12" i="3" a="1"/>
  <c r="I14" i="3" a="1"/>
  <c r="I16" i="3" a="1"/>
  <c r="I15" i="3" a="1"/>
  <c r="I17" i="3" a="1"/>
  <c r="K14" i="4" a="1"/>
  <c r="K15" i="4" a="1"/>
  <c r="D62" i="2" a="1"/>
  <c r="K12" i="4" a="1"/>
  <c r="H17" i="2" a="1"/>
  <c r="K13" i="4" a="1"/>
  <c r="N11" i="1" a="1"/>
  <c r="N12" i="1" a="1"/>
  <c r="N13" i="1" a="1"/>
  <c r="N14" i="1" a="1"/>
  <c r="N15" i="1" a="1"/>
  <c r="K11" i="1" a="1"/>
  <c r="K15" i="1" a="1"/>
  <c r="K14" i="1" a="1"/>
  <c r="K13" i="1" a="1"/>
  <c r="K12" i="1" a="1"/>
  <c r="H24" i="1" a="1"/>
  <c r="H19" i="1" a="1"/>
  <c r="H23" i="1" a="1"/>
  <c r="H25" i="1" a="1"/>
  <c r="H20" i="1" a="1"/>
  <c r="H21" i="1" a="1"/>
  <c r="H28" i="1" a="1"/>
  <c r="H26" i="1" a="1"/>
  <c r="H22" i="1" a="1"/>
  <c r="H27" i="1" a="1"/>
  <c r="H29" i="1" a="1"/>
  <c r="N15" i="1" l="1"/>
  <c r="N14" i="1"/>
  <c r="N13" i="1"/>
  <c r="N12" i="1"/>
  <c r="N11" i="1"/>
  <c r="K12" i="1"/>
  <c r="L12" i="1" s="1"/>
  <c r="K13" i="1"/>
  <c r="K14" i="1"/>
  <c r="L14" i="1" s="1"/>
  <c r="K15" i="1"/>
  <c r="L15" i="1" s="1"/>
  <c r="K11" i="1"/>
  <c r="L11" i="1" s="1"/>
  <c r="I11" i="1"/>
  <c r="L13" i="1"/>
  <c r="H25" i="1"/>
  <c r="I25" i="1" s="1"/>
  <c r="H19" i="1"/>
  <c r="I19" i="1" s="1"/>
  <c r="H24" i="1"/>
  <c r="I24" i="1" s="1"/>
  <c r="H29" i="1"/>
  <c r="I29" i="1" s="1"/>
  <c r="H23" i="1"/>
  <c r="I23" i="1" s="1"/>
  <c r="H22" i="1"/>
  <c r="I22" i="1" s="1"/>
  <c r="H28" i="1"/>
  <c r="I28" i="1" s="1"/>
  <c r="H27" i="1"/>
  <c r="I27" i="1" s="1"/>
  <c r="H21" i="1"/>
  <c r="I21" i="1" s="1"/>
  <c r="H26" i="1"/>
  <c r="I26" i="1" s="1"/>
  <c r="H20" i="1"/>
  <c r="I20" i="1" s="1"/>
  <c r="U15" i="3"/>
  <c r="V15" i="3" s="1"/>
  <c r="U17" i="3"/>
  <c r="V17" i="3" s="1"/>
  <c r="U13" i="3"/>
  <c r="V13" i="3" s="1"/>
  <c r="U14" i="3"/>
  <c r="V14" i="3" s="1"/>
  <c r="U16" i="3"/>
  <c r="V16" i="3" s="1"/>
  <c r="U18" i="3"/>
  <c r="V18" i="3" s="1"/>
  <c r="U12" i="3"/>
  <c r="V12" i="3" s="1"/>
  <c r="I17" i="3"/>
  <c r="I15" i="3"/>
  <c r="J15" i="3" s="1"/>
  <c r="K15" i="3" s="1"/>
  <c r="I16" i="3"/>
  <c r="J16" i="3" s="1"/>
  <c r="K16" i="3" s="1"/>
  <c r="I14" i="3"/>
  <c r="J14" i="3" s="1"/>
  <c r="K14" i="3" s="1"/>
  <c r="I12" i="3"/>
  <c r="J12" i="3" s="1"/>
  <c r="K12" i="3" s="1"/>
  <c r="I13" i="3"/>
  <c r="J13" i="3" s="1"/>
  <c r="K13" i="3" s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3"/>
  <c r="H17" i="2"/>
  <c r="D64" i="2"/>
  <c r="D62" i="2"/>
  <c r="F64" i="2" a="1"/>
  <c r="F62" i="2" a="1"/>
  <c r="G21" i="2" a="1"/>
  <c r="O14" i="1" l="1"/>
  <c r="O12" i="1"/>
  <c r="O11" i="1"/>
  <c r="O13" i="1"/>
  <c r="O15" i="1"/>
  <c r="J17" i="3"/>
  <c r="K17" i="3" s="1"/>
  <c r="G21" i="2"/>
  <c r="F62" i="2"/>
  <c r="F64" i="2"/>
  <c r="C58" i="2" a="1"/>
  <c r="C58" i="2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<sst xmlns="http://schemas.openxmlformats.org/spreadsheetml/2006/main" count="264" uniqueCount="93">
  <si>
    <t>Dates</t>
  </si>
  <si>
    <t>Curves</t>
  </si>
  <si>
    <t>Discount Factors</t>
  </si>
  <si>
    <t>Curve Handle</t>
  </si>
  <si>
    <t>Curve Construction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</si>
  <si>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</si>
  <si>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</si>
  <si>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</si>
  <si>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</si>
  <si>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</si>
  <si>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</si>
  <si>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</si>
  <si>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</si>
  <si>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</si>
  <si>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</si>
  <si>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</si>
  <si>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</si>
  <si>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</si>
  <si>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</si>
  <si>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</si>
  <si>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</si>
  <si>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</si>
  <si>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</si>
  <si>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</si>
  <si>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</si>
  <si>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</si>
  <si>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</si>
  <si>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</si>
  <si>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</si>
  <si>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</si>
  <si>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</si>
  <si>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</si>
  <si>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</si>
  <si>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</si>
  <si>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</si>
  <si>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</si>
  <si>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</si>
  <si>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</si>
  <si>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</si>
  <si>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</si>
  <si>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</si>
  <si>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</si>
  <si>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</si>
  <si>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</si>
  <si>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</si>
  <si>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</si>
  <si>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</si>
  <si>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</si>
  <si>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</si>
  <si>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</si>
  <si>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</si>
  <si>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</si>
  <si>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</si>
  <si>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</si>
  <si>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</si>
  <si>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</si>
  <si>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</si>
  <si>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</si>
  <si>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</si>
  <si>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</si>
  <si>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</si>
  <si>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</si>
  <si>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</si>
  <si>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</si>
  <si>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</si>
  <si>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</si>
  <si>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ZAR Swap Curve</t>
  </si>
  <si>
    <t>USD OIS Curve</t>
  </si>
  <si>
    <t>OISs</t>
  </si>
  <si>
    <t>FEDFUND</t>
  </si>
  <si>
    <t>1d</t>
  </si>
  <si>
    <t>EndDates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</si>
  <si>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</si>
  <si>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</si>
  <si>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</si>
  <si>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</si>
  <si>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</si>
  <si>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</si>
  <si>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</si>
  <si>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</si>
  <si>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</si>
  <si>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</si>
  <si>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r>
      <rPr>
        <b/>
        <i/>
        <sz val="11"/>
        <color theme="1"/>
        <rFont val="Calibri"/>
        <family val="2"/>
        <scheme val="minor"/>
      </rPr>
      <t xml:space="preserve">*Note: </t>
    </r>
    <r>
      <rPr>
        <i/>
        <sz val="11"/>
        <color theme="1"/>
        <rFont val="Calibri"/>
        <family val="2"/>
        <scheme val="minor"/>
      </rPr>
      <t>White rows are anchor dates, light grey rows are interpolated dates.</t>
    </r>
  </si>
  <si>
    <t>NACC</t>
  </si>
  <si>
    <t>NACM</t>
  </si>
  <si>
    <t>NACQ</t>
  </si>
  <si>
    <t>Zero Rates</t>
  </si>
  <si>
    <t>Exception Handling</t>
  </si>
  <si>
    <t>#ERROR: Invalid compounding convention 'NACP'.</t>
  </si>
  <si>
    <t>Actual</t>
  </si>
  <si>
    <t>Expected</t>
  </si>
  <si>
    <t>Check</t>
  </si>
  <si>
    <t>Some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</si>
</sst>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0.000000"/>
    <numFmt numFmtId="171" formatCode="#,##0.00000000000"/>
    <numFmt numFmtId="172" formatCode="0.00000000000"/>
    <numFmt numFmtId="177" formatCode="#,##0.0000000"/>
  </numFmts>
  <fonts count="14" x14ac:knownFonts="1">
    <font>
      <sz val="11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 Light"/>
      <family val="2"/>
      <scheme val="major"/>
    </font>
    <font>
      <sz val="10"/>
      <color theme="1"/>
      <name val="Calibri Light"/>
      <family val="2"/>
      <scheme val="major"/>
    </font>
    <font>
      <b/>
      <sz val="12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FFFFFF"/>
      <name val="Calibri Light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theme="6" tint="0.59999389629810485"/>
        <bgColor indexed="64"/>
      </patternFill>
    </fill>
  </fills>
  <borders count="43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499984740745262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/>
      <top/>
      <bottom/>
      <diagonal/>
    </border>
    <border>
      <left/>
      <right/>
      <top/>
      <bottom style="hair">
        <color theme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  <xf numFmtId="0" fontId="3" fillId="0" borderId="3" applyNumberFormat="0" applyFill="0" applyAlignment="0" applyProtection="0"/>
  </cellStyleXfs>
  <cellXfs count="101">
    <xf numFmtId="0" fontId="0" fillId="0" borderId="0" xfId="0"/>
    <xf numFmtId="14" fontId="0" fillId="0" borderId="0" xfId="0" applyNumberFormat="1"/>
    <xf numFmtId="0" fontId="1" fillId="0" borderId="1" xfId="1"/>
    <xf numFmtId="0" fontId="2" fillId="0" borderId="2" xfId="2"/>
    <xf numFmtId="0" fontId="3" fillId="0" borderId="3" xfId="3"/>
    <xf numFmtId="164" fontId="0" fillId="0" borderId="0" xfId="0" applyNumberFormat="1"/>
    <xf numFmtId="165" fontId="0" fillId="0" borderId="0" xfId="0" applyNumberFormat="1"/>
    <xf numFmtId="0" fontId="4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6" fillId="3" borderId="6" xfId="0" applyFont="1" applyFill="1" applyBorder="1" applyAlignment="1">
      <alignment horizontal="centerContinuous" vertical="center"/>
    </xf>
    <xf numFmtId="0" fontId="6" fillId="3" borderId="7" xfId="0" applyFont="1" applyFill="1" applyBorder="1" applyAlignment="1">
      <alignment horizontal="centerContinuous" vertical="center"/>
    </xf>
    <xf numFmtId="4" fontId="5" fillId="0" borderId="11" xfId="0" applyNumberFormat="1" applyFont="1" applyBorder="1" applyAlignment="1">
      <alignment horizontal="right" vertical="center"/>
    </xf>
    <xf numFmtId="4" fontId="5" fillId="0" borderId="13" xfId="0" applyNumberFormat="1" applyFont="1" applyBorder="1" applyAlignment="1">
      <alignment horizontal="right" vertical="center"/>
    </xf>
    <xf numFmtId="4" fontId="5" fillId="0" borderId="15" xfId="0" applyNumberFormat="1" applyFont="1" applyBorder="1" applyAlignment="1">
      <alignment horizontal="right" vertical="center"/>
    </xf>
    <xf numFmtId="166" fontId="5" fillId="0" borderId="11" xfId="0" applyNumberFormat="1" applyFont="1" applyBorder="1" applyAlignment="1">
      <alignment horizontal="right" vertical="center"/>
    </xf>
    <xf numFmtId="166" fontId="5" fillId="0" borderId="13" xfId="0" applyNumberFormat="1" applyFont="1" applyBorder="1" applyAlignment="1">
      <alignment horizontal="right" vertical="center"/>
    </xf>
    <xf numFmtId="166" fontId="5" fillId="0" borderId="15" xfId="0" applyNumberFormat="1" applyFont="1" applyBorder="1" applyAlignment="1">
      <alignment horizontal="right" vertical="center"/>
    </xf>
    <xf numFmtId="167" fontId="5" fillId="0" borderId="12" xfId="0" applyNumberFormat="1" applyFont="1" applyBorder="1" applyAlignment="1">
      <alignment horizontal="right" vertical="center"/>
    </xf>
    <xf numFmtId="167" fontId="5" fillId="0" borderId="14" xfId="0" applyNumberFormat="1" applyFont="1" applyBorder="1" applyAlignment="1">
      <alignment horizontal="right" vertical="center"/>
    </xf>
    <xf numFmtId="167" fontId="5" fillId="0" borderId="16" xfId="0" applyNumberFormat="1" applyFont="1" applyBorder="1" applyAlignment="1">
      <alignment horizontal="right" vertical="center"/>
    </xf>
    <xf numFmtId="0" fontId="6" fillId="3" borderId="9" xfId="0" applyFont="1" applyFill="1" applyBorder="1" applyAlignment="1">
      <alignment horizontal="centerContinuous" vertical="center"/>
    </xf>
    <xf numFmtId="0" fontId="6" fillId="3" borderId="10" xfId="0" applyFont="1" applyFill="1" applyBorder="1" applyAlignment="1">
      <alignment horizontal="centerContinuous" vertical="center"/>
    </xf>
    <xf numFmtId="0" fontId="0" fillId="0" borderId="5" xfId="0" applyBorder="1" applyAlignment="1">
      <alignment horizontal="centerContinuous"/>
    </xf>
    <xf numFmtId="0" fontId="0" fillId="0" borderId="4" xfId="0" applyBorder="1" applyAlignment="1">
      <alignment horizontal="centerContinuous"/>
    </xf>
    <xf numFmtId="0" fontId="6" fillId="3" borderId="8" xfId="0" applyFont="1" applyFill="1" applyBorder="1" applyAlignment="1">
      <alignment horizontal="centerContinuous" vertical="center"/>
    </xf>
    <xf numFmtId="4" fontId="5" fillId="0" borderId="17" xfId="0" applyNumberFormat="1" applyFont="1" applyBorder="1" applyAlignment="1">
      <alignment horizontal="right" vertical="center"/>
    </xf>
    <xf numFmtId="4" fontId="5" fillId="0" borderId="18" xfId="0" applyNumberFormat="1" applyFont="1" applyBorder="1" applyAlignment="1">
      <alignment horizontal="right" vertical="center"/>
    </xf>
    <xf numFmtId="4" fontId="5" fillId="0" borderId="19" xfId="0" applyNumberFormat="1" applyFont="1" applyBorder="1" applyAlignment="1">
      <alignment horizontal="right" vertical="center"/>
    </xf>
    <xf numFmtId="10" fontId="5" fillId="0" borderId="17" xfId="0" applyNumberFormat="1" applyFont="1" applyBorder="1" applyAlignment="1">
      <alignment horizontal="right" vertical="center"/>
    </xf>
    <xf numFmtId="10" fontId="5" fillId="0" borderId="18" xfId="0" applyNumberFormat="1" applyFont="1" applyBorder="1" applyAlignment="1">
      <alignment horizontal="right" vertical="center"/>
    </xf>
    <xf numFmtId="10" fontId="5" fillId="0" borderId="19" xfId="0" applyNumberFormat="1" applyFont="1" applyBorder="1" applyAlignment="1">
      <alignment horizontal="right" vertical="center"/>
    </xf>
    <xf numFmtId="10" fontId="5" fillId="0" borderId="12" xfId="0" applyNumberFormat="1" applyFont="1" applyBorder="1" applyAlignment="1">
      <alignment horizontal="right" vertical="center"/>
    </xf>
    <xf numFmtId="10" fontId="5" fillId="0" borderId="14" xfId="0" applyNumberFormat="1" applyFont="1" applyBorder="1" applyAlignment="1">
      <alignment horizontal="right" vertical="center"/>
    </xf>
    <xf numFmtId="10" fontId="5" fillId="0" borderId="16" xfId="0" applyNumberFormat="1" applyFont="1" applyBorder="1" applyAlignment="1">
      <alignment horizontal="right" vertical="center"/>
    </xf>
    <xf numFmtId="0" fontId="6" fillId="3" borderId="20" xfId="0" applyFont="1" applyFill="1" applyBorder="1" applyAlignment="1">
      <alignment horizontal="centerContinuous" vertical="center"/>
    </xf>
    <xf numFmtId="0" fontId="6" fillId="3" borderId="21" xfId="0" applyFont="1" applyFill="1" applyBorder="1" applyAlignment="1">
      <alignment horizontal="centerContinuous" vertical="center"/>
    </xf>
    <xf numFmtId="0" fontId="0" fillId="0" borderId="5" xfId="0" applyBorder="1"/>
    <xf numFmtId="0" fontId="0" fillId="0" borderId="4" xfId="0" applyBorder="1"/>
    <xf numFmtId="0" fontId="6" fillId="3" borderId="0" xfId="0" applyFont="1" applyFill="1" applyBorder="1" applyAlignment="1">
      <alignment horizontal="centerContinuous" vertical="center"/>
    </xf>
    <xf numFmtId="0" fontId="5" fillId="0" borderId="0" xfId="0" applyFont="1"/>
    <xf numFmtId="0" fontId="6" fillId="4" borderId="22" xfId="0" applyFont="1" applyFill="1" applyBorder="1" applyAlignment="1">
      <alignment horizontal="center" vertical="center"/>
    </xf>
    <xf numFmtId="0" fontId="6" fillId="4" borderId="23" xfId="0" applyFont="1" applyFill="1" applyBorder="1" applyAlignment="1">
      <alignment horizontal="center" vertical="center"/>
    </xf>
    <xf numFmtId="0" fontId="6" fillId="4" borderId="24" xfId="0" applyFont="1" applyFill="1" applyBorder="1" applyAlignment="1">
      <alignment horizontal="center" vertical="center"/>
    </xf>
    <xf numFmtId="166" fontId="5" fillId="0" borderId="0" xfId="0" applyNumberFormat="1" applyFont="1"/>
    <xf numFmtId="0" fontId="7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0" fontId="0" fillId="0" borderId="27" xfId="0" applyFont="1" applyBorder="1" applyAlignment="1">
      <alignment horizontal="centerContinuous"/>
    </xf>
    <xf numFmtId="0" fontId="0" fillId="0" borderId="28" xfId="0" applyFont="1" applyBorder="1" applyAlignment="1">
      <alignment horizontal="centerContinuous"/>
    </xf>
    <xf numFmtId="166" fontId="5" fillId="0" borderId="0" xfId="0" applyNumberFormat="1" applyFont="1" applyAlignment="1">
      <alignment horizontal="right"/>
    </xf>
    <xf numFmtId="0" fontId="5" fillId="0" borderId="0" xfId="0" applyFont="1" applyFill="1" applyBorder="1"/>
    <xf numFmtId="167" fontId="5" fillId="0" borderId="17" xfId="0" applyNumberFormat="1" applyFont="1" applyBorder="1" applyAlignment="1">
      <alignment horizontal="right" vertical="center"/>
    </xf>
    <xf numFmtId="167" fontId="5" fillId="0" borderId="18" xfId="0" applyNumberFormat="1" applyFont="1" applyBorder="1" applyAlignment="1">
      <alignment horizontal="right" vertical="center"/>
    </xf>
    <xf numFmtId="167" fontId="5" fillId="0" borderId="19" xfId="0" applyNumberFormat="1" applyFont="1" applyBorder="1" applyAlignment="1">
      <alignment horizontal="right" vertical="center"/>
    </xf>
    <xf numFmtId="0" fontId="6" fillId="3" borderId="29" xfId="0" applyFont="1" applyFill="1" applyBorder="1" applyAlignment="1">
      <alignment horizontal="centerContinuous" vertical="center"/>
    </xf>
    <xf numFmtId="0" fontId="6" fillId="3" borderId="30" xfId="0" applyFont="1" applyFill="1" applyBorder="1" applyAlignment="1">
      <alignment horizontal="centerContinuous" vertical="center"/>
    </xf>
    <xf numFmtId="0" fontId="6" fillId="4" borderId="31" xfId="0" applyFont="1" applyFill="1" applyBorder="1" applyAlignment="1">
      <alignment horizontal="center" vertical="center"/>
    </xf>
    <xf numFmtId="0" fontId="6" fillId="4" borderId="32" xfId="0" applyFont="1" applyFill="1" applyBorder="1" applyAlignment="1">
      <alignment horizontal="center" vertical="center"/>
    </xf>
    <xf numFmtId="4" fontId="5" fillId="0" borderId="0" xfId="0" applyNumberFormat="1" applyFont="1"/>
    <xf numFmtId="169" fontId="5" fillId="0" borderId="12" xfId="0" applyNumberFormat="1" applyFont="1" applyBorder="1" applyAlignment="1">
      <alignment horizontal="right" vertical="center"/>
    </xf>
    <xf numFmtId="169" fontId="5" fillId="0" borderId="14" xfId="0" applyNumberFormat="1" applyFont="1" applyBorder="1" applyAlignment="1">
      <alignment horizontal="right" vertical="center"/>
    </xf>
    <xf numFmtId="169" fontId="5" fillId="0" borderId="16" xfId="0" applyNumberFormat="1" applyFont="1" applyBorder="1" applyAlignment="1">
      <alignment horizontal="right" vertical="center"/>
    </xf>
    <xf numFmtId="0" fontId="6" fillId="4" borderId="33" xfId="0" applyFont="1" applyFill="1" applyBorder="1" applyAlignment="1">
      <alignment horizontal="center" vertical="center"/>
    </xf>
    <xf numFmtId="0" fontId="0" fillId="0" borderId="0" xfId="0" applyBorder="1"/>
    <xf numFmtId="170" fontId="5" fillId="0" borderId="0" xfId="0" applyNumberFormat="1" applyFont="1"/>
    <xf numFmtId="0" fontId="8" fillId="0" borderId="5" xfId="0" applyFont="1" applyBorder="1" applyAlignment="1">
      <alignment horizontal="centerContinuous"/>
    </xf>
    <xf numFmtId="171" fontId="5" fillId="0" borderId="17" xfId="0" applyNumberFormat="1" applyFont="1" applyBorder="1" applyAlignment="1">
      <alignment horizontal="right" vertical="center"/>
    </xf>
    <xf numFmtId="171" fontId="5" fillId="0" borderId="18" xfId="0" applyNumberFormat="1" applyFont="1" applyBorder="1" applyAlignment="1">
      <alignment horizontal="right" vertical="center"/>
    </xf>
    <xf numFmtId="171" fontId="5" fillId="0" borderId="19" xfId="0" applyNumberFormat="1" applyFont="1" applyBorder="1" applyAlignment="1">
      <alignment horizontal="right" vertical="center"/>
    </xf>
    <xf numFmtId="171" fontId="5" fillId="0" borderId="0" xfId="0" applyNumberFormat="1" applyFont="1" applyFill="1" applyBorder="1" applyAlignment="1">
      <alignment horizontal="right" vertical="center"/>
    </xf>
    <xf numFmtId="171" fontId="5" fillId="0" borderId="34" xfId="0" applyNumberFormat="1" applyFont="1" applyFill="1" applyBorder="1" applyAlignment="1">
      <alignment horizontal="right" vertical="center"/>
    </xf>
    <xf numFmtId="167" fontId="5" fillId="0" borderId="35" xfId="0" applyNumberFormat="1" applyFont="1" applyFill="1" applyBorder="1" applyAlignment="1">
      <alignment horizontal="right" vertical="center"/>
    </xf>
    <xf numFmtId="172" fontId="0" fillId="0" borderId="0" xfId="0" applyNumberFormat="1"/>
    <xf numFmtId="0" fontId="7" fillId="2" borderId="0" xfId="0" applyFont="1" applyFill="1" applyAlignment="1">
      <alignment horizontal="centerContinuous" vertical="center"/>
    </xf>
    <xf numFmtId="0" fontId="9" fillId="0" borderId="36" xfId="2" applyFont="1" applyBorder="1"/>
    <xf numFmtId="0" fontId="2" fillId="0" borderId="36" xfId="2" applyBorder="1"/>
    <xf numFmtId="166" fontId="5" fillId="5" borderId="13" xfId="0" applyNumberFormat="1" applyFont="1" applyFill="1" applyBorder="1" applyAlignment="1">
      <alignment horizontal="right" vertical="center"/>
    </xf>
    <xf numFmtId="167" fontId="5" fillId="5" borderId="18" xfId="0" applyNumberFormat="1" applyFont="1" applyFill="1" applyBorder="1" applyAlignment="1">
      <alignment horizontal="right" vertical="center"/>
    </xf>
    <xf numFmtId="0" fontId="11" fillId="0" borderId="0" xfId="0" applyFont="1"/>
    <xf numFmtId="0" fontId="12" fillId="0" borderId="0" xfId="0" applyFont="1"/>
    <xf numFmtId="4" fontId="13" fillId="3" borderId="37" xfId="0" applyNumberFormat="1" applyFont="1" applyFill="1" applyBorder="1" applyAlignment="1">
      <alignment horizontal="right" vertical="center"/>
    </xf>
    <xf numFmtId="4" fontId="5" fillId="0" borderId="38" xfId="0" applyNumberFormat="1" applyFont="1" applyBorder="1" applyAlignment="1">
      <alignment horizontal="right" vertical="center"/>
    </xf>
    <xf numFmtId="4" fontId="5" fillId="0" borderId="39" xfId="0" applyNumberFormat="1" applyFont="1" applyBorder="1" applyAlignment="1">
      <alignment horizontal="right" vertical="center"/>
    </xf>
    <xf numFmtId="4" fontId="5" fillId="0" borderId="12" xfId="0" applyNumberFormat="1" applyFont="1" applyBorder="1" applyAlignment="1">
      <alignment horizontal="right" vertical="center"/>
    </xf>
    <xf numFmtId="4" fontId="5" fillId="0" borderId="14" xfId="0" applyNumberFormat="1" applyFont="1" applyBorder="1" applyAlignment="1">
      <alignment horizontal="right" vertical="center"/>
    </xf>
    <xf numFmtId="4" fontId="5" fillId="0" borderId="16" xfId="0" applyNumberFormat="1" applyFont="1" applyBorder="1" applyAlignment="1">
      <alignment horizontal="right" vertical="center"/>
    </xf>
    <xf numFmtId="0" fontId="6" fillId="4" borderId="40" xfId="0" applyFont="1" applyFill="1" applyBorder="1" applyAlignment="1">
      <alignment horizontal="center" vertical="center"/>
    </xf>
    <xf numFmtId="0" fontId="6" fillId="4" borderId="41" xfId="0" applyFont="1" applyFill="1" applyBorder="1" applyAlignment="1">
      <alignment horizontal="center" vertical="center"/>
    </xf>
    <xf numFmtId="0" fontId="6" fillId="4" borderId="42" xfId="0" applyFont="1" applyFill="1" applyBorder="1" applyAlignment="1">
      <alignment horizontal="center" vertical="center"/>
    </xf>
    <xf numFmtId="4" fontId="13" fillId="4" borderId="11" xfId="0" applyNumberFormat="1" applyFont="1" applyFill="1" applyBorder="1" applyAlignment="1">
      <alignment horizontal="right" vertical="center"/>
    </xf>
    <xf numFmtId="4" fontId="13" fillId="4" borderId="17" xfId="0" applyNumberFormat="1" applyFont="1" applyFill="1" applyBorder="1" applyAlignment="1">
      <alignment horizontal="right" vertical="center"/>
    </xf>
    <xf numFmtId="4" fontId="13" fillId="4" borderId="12" xfId="0" applyNumberFormat="1" applyFont="1" applyFill="1" applyBorder="1" applyAlignment="1">
      <alignment horizontal="right" vertical="center"/>
    </xf>
    <xf numFmtId="15" fontId="5" fillId="0" borderId="13" xfId="0" applyNumberFormat="1" applyFont="1" applyBorder="1" applyAlignment="1">
      <alignment horizontal="right" vertical="center"/>
    </xf>
    <xf numFmtId="15" fontId="5" fillId="0" borderId="15" xfId="0" applyNumberFormat="1" applyFont="1" applyBorder="1" applyAlignment="1">
      <alignment horizontal="right" vertical="center"/>
    </xf>
    <xf numFmtId="177" fontId="5" fillId="0" borderId="18" xfId="0" applyNumberFormat="1" applyFont="1" applyBorder="1" applyAlignment="1">
      <alignment horizontal="right" vertical="center"/>
    </xf>
    <xf numFmtId="177" fontId="5" fillId="0" borderId="19" xfId="0" applyNumberFormat="1" applyFont="1" applyBorder="1" applyAlignment="1">
      <alignment horizontal="right" vertical="center"/>
    </xf>
  </cellXfs>
  <cellStyles count="4">
    <cellStyle name="Heading 1" xfId="1" builtinId="16" customBuiltin="1"/>
    <cellStyle name="Heading 2" xfId="2" builtinId="17" customBuiltin="1"/>
    <cellStyle name="Heading 3" xfId="3" builtinId="18" customBuilti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Sheet1"/>
  <dimension ref="B2:S39"/>
  <sheetViews>
    <sheetView showGridLines="0" zoomScaleNormal="100" workbookViewId="0">
      <selection activeCell="K3" sqref="A2:K3"/>
    </sheetView>
  </sheetViews>
  <sheetFormatPr defaultRowHeight="15" x14ac:dyDescent="0.25"/>
  <cols>
    <col min="1" max="1" width="4.28515625" customWidth="1"/>
    <col min="2" max="2" width="17.42578125" bestFit="1" customWidth="1"/>
    <col min="3" max="3" width="8.7109375" bestFit="1" customWidth="1"/>
    <col min="4" max="4" width="10.5703125" bestFit="1" customWidth="1"/>
    <col min="5" max="5" width="10.85546875" bestFit="1" customWidth="1"/>
    <col min="6" max="6" width="10.85546875" customWidth="1"/>
    <col min="7" max="7" width="24" bestFit="1" customWidth="1"/>
    <col min="8" max="8" width="23" bestFit="1" customWidth="1"/>
    <col min="9" max="9" width="10.140625" bestFit="1" customWidth="1"/>
    <col min="10" max="10" width="18" bestFit="1" customWidth="1"/>
    <col min="11" max="11" width="17" bestFit="1" customWidth="1"/>
    <col min="12" max="12" width="10.140625" bestFit="1" customWidth="1"/>
    <col min="13" max="13" width="18.140625" bestFit="1" customWidth="1"/>
    <col min="14" max="14" width="17" bestFit="1" customWidth="1"/>
    <col min="15" max="15" width="10.140625" bestFit="1" customWidth="1"/>
    <col min="17" max="17" width="45" bestFit="1" customWidth="1"/>
    <col min="18" max="18" width="45.85546875" bestFit="1" customWidth="1"/>
  </cols>
  <sheetData>
    <row r="2" spans="2:19" ht="26.25" x14ac:dyDescent="0.4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4" spans="2:19" ht="18.75" x14ac:dyDescent="0.3">
      <c r="B4" s="3" t="s">
        <v>4</v>
      </c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</row>
    <row r="6" spans="2:19" ht="18.75" x14ac:dyDescent="0.3">
      <c r="B6" s="79" t="s">
        <v>77</v>
      </c>
      <c r="C6" s="80"/>
      <c r="D6" s="80"/>
      <c r="F6" s="79" t="s">
        <v>34</v>
      </c>
      <c r="G6" s="80"/>
      <c r="H6" s="80"/>
      <c r="I6" s="80"/>
      <c r="J6" s="80"/>
      <c r="K6" s="80"/>
      <c r="L6" s="80"/>
      <c r="M6" s="80"/>
      <c r="N6" s="80"/>
      <c r="O6" s="80"/>
    </row>
    <row r="8" spans="2:19" x14ac:dyDescent="0.25">
      <c r="B8" s="78" t="s">
        <v>3</v>
      </c>
      <c r="C8" s="70" t="str" cm="1">
        <f t="array" aca="1" ref="C8" ca="1">_xll.d.Curve_Create("ExampleCurve",B11:C14,B18:B23,C18:C23)</f>
        <v>@@ExampleCurve::09:57:02</v>
      </c>
      <c r="D8" s="26"/>
      <c r="F8" s="12" t="s">
        <v>86</v>
      </c>
      <c r="G8" s="27"/>
      <c r="H8" s="27"/>
      <c r="I8" s="27"/>
      <c r="J8" s="27"/>
      <c r="K8" s="27"/>
      <c r="L8" s="27"/>
      <c r="M8" s="27"/>
      <c r="N8" s="27"/>
      <c r="O8" s="13"/>
    </row>
    <row r="9" spans="2:19" x14ac:dyDescent="0.25">
      <c r="F9" s="91" t="s">
        <v>92</v>
      </c>
      <c r="G9" s="92" t="s">
        <v>83</v>
      </c>
      <c r="H9" s="92"/>
      <c r="I9" s="92"/>
      <c r="J9" s="92" t="s">
        <v>84</v>
      </c>
      <c r="K9" s="92"/>
      <c r="L9" s="92"/>
      <c r="M9" s="92" t="s">
        <v>85</v>
      </c>
      <c r="N9" s="92"/>
      <c r="O9" s="93"/>
      <c r="Q9" s="27" t="s">
        <v>87</v>
      </c>
      <c r="R9" s="27"/>
      <c r="S9" s="27"/>
    </row>
    <row r="10" spans="2:19" x14ac:dyDescent="0.25">
      <c r="B10" s="12" t="s">
        <v>61</v>
      </c>
      <c r="C10" s="85"/>
      <c r="F10" s="94" t="s">
        <v>35</v>
      </c>
      <c r="G10" s="95" t="s">
        <v>78</v>
      </c>
      <c r="H10" s="95" t="s">
        <v>79</v>
      </c>
      <c r="I10" s="95" t="s">
        <v>91</v>
      </c>
      <c r="J10" s="95" t="s">
        <v>78</v>
      </c>
      <c r="K10" s="95" t="s">
        <v>79</v>
      </c>
      <c r="L10" s="95" t="s">
        <v>91</v>
      </c>
      <c r="M10" s="95" t="s">
        <v>78</v>
      </c>
      <c r="N10" s="95" t="s">
        <v>79</v>
      </c>
      <c r="O10" s="96" t="s">
        <v>91</v>
      </c>
      <c r="Q10" s="43" t="s">
        <v>89</v>
      </c>
      <c r="R10" s="43" t="s">
        <v>90</v>
      </c>
      <c r="S10" s="43" t="s">
        <v>91</v>
      </c>
    </row>
    <row r="11" spans="2:19" x14ac:dyDescent="0.25">
      <c r="B11" s="12" t="s">
        <v>32</v>
      </c>
      <c r="C11" s="85" t="s">
        <v>33</v>
      </c>
      <c r="F11" s="97">
        <f ca="1">B19</f>
        <v>44593</v>
      </c>
      <c r="G11" s="99">
        <f ca="1">-LN(C19)/YEARFRAC($B$18,F11,3)</f>
        <v>0.11833459956542031</v>
      </c>
      <c r="H11" s="99">
        <f t="array" aca="1" ref="H11:H15" ca="1">_xll.d.Curve_GetZeroRates($C$8,F11:F15)</f>
        <v>0.11833459956542096</v>
      </c>
      <c r="I11" s="29">
        <f ca="1">G11-H11</f>
        <v>-6.5225602696727947E-16</v>
      </c>
      <c r="J11" s="29">
        <f ca="1">12*($C19^(-1/(12*YEARFRAC($B$18,$F11,3)))-1)</f>
        <v>0.11891998374379664</v>
      </c>
      <c r="K11" s="29" cm="1">
        <f t="array" aca="1" ref="K11" ca="1">_xll.d.Curve_GetZeroRates($C$8,$F11,"NACM")</f>
        <v>0.11891998374379664</v>
      </c>
      <c r="L11" s="29">
        <f ca="1">J11-K11</f>
        <v>0</v>
      </c>
      <c r="M11" s="29">
        <f ca="1">4*($C19^(-1/(4*YEARFRAC($B$18,$F11,3)))-1)</f>
        <v>0.12010237358908604</v>
      </c>
      <c r="N11" s="29" cm="1">
        <f t="array" aca="1" ref="N11" ca="1">_xll.d.Curve_GetZeroRates($C$8,$F11,"NACQ")</f>
        <v>0.12010237358908693</v>
      </c>
      <c r="O11" s="89">
        <f ca="1">M11-N11</f>
        <v>-8.8817841970012523E-16</v>
      </c>
      <c r="Q11" t="str" cm="1">
        <f t="array" aca="1" ref="Q11" ca="1">_xll.d.Curve_GetZeroRates($C$8,$F11,"NACP")</f>
        <v>#ERROR: Invalid compounding convention 'NACP'.</v>
      </c>
      <c r="R11" t="s">
        <v>88</v>
      </c>
    </row>
    <row r="12" spans="2:19" x14ac:dyDescent="0.25">
      <c r="B12" s="42" t="s">
        <v>76</v>
      </c>
      <c r="C12" s="86" t="s">
        <v>73</v>
      </c>
      <c r="F12" s="97">
        <f ca="1">B20</f>
        <v>44621</v>
      </c>
      <c r="G12" s="99">
        <f ca="1">-LN(C20)/YEARFRAC($B$18,F12,3)</f>
        <v>0.12498285035414584</v>
      </c>
      <c r="H12" s="99">
        <f ca="1"/>
        <v>0.12498285035414587</v>
      </c>
      <c r="I12" s="29">
        <f ca="1">G12-H12</f>
        <v>0</v>
      </c>
      <c r="J12" s="29">
        <f ca="1">12*($C20^(-1/(12*YEARFRAC($B$18,$F12,3)))-1)</f>
        <v>0.12563597891789247</v>
      </c>
      <c r="K12" s="29" cm="1">
        <f t="array" aca="1" ref="K12" ca="1">_xll.d.Curve_GetZeroRates($C$8,$F12,"NACM")</f>
        <v>0.1256359789178898</v>
      </c>
      <c r="L12" s="29">
        <f ca="1">J12-K12</f>
        <v>2.6645352591003757E-15</v>
      </c>
      <c r="M12" s="29">
        <f ca="1">4*($C20^(-1/(4*YEARFRAC($B$18,$F12,3)))-1)</f>
        <v>0.12695593600029031</v>
      </c>
      <c r="N12" s="29" cm="1">
        <f t="array" aca="1" ref="N12" ca="1">_xll.d.Curve_GetZeroRates($C$8,$F12,"NACQ")</f>
        <v>0.12695593600029031</v>
      </c>
      <c r="O12" s="89">
        <f ca="1">M12-N12</f>
        <v>0</v>
      </c>
    </row>
    <row r="13" spans="2:19" x14ac:dyDescent="0.25">
      <c r="B13" s="42" t="s">
        <v>74</v>
      </c>
      <c r="C13" s="86" t="s">
        <v>75</v>
      </c>
      <c r="F13" s="97">
        <f ca="1">B21</f>
        <v>44652</v>
      </c>
      <c r="G13" s="99">
        <f ca="1">-LN(C21)/YEARFRAC($B$18,F13,3)</f>
        <v>0.12352900813242923</v>
      </c>
      <c r="H13" s="99">
        <f ca="1"/>
        <v>0.12352900813242955</v>
      </c>
      <c r="I13" s="29">
        <f ca="1">G13-H13</f>
        <v>-3.1918911957973251E-16</v>
      </c>
      <c r="J13" s="29">
        <f ca="1">12*($C21^(-1/(12*YEARFRAC($B$18,$F13,3)))-1)</f>
        <v>0.12416700444279183</v>
      </c>
      <c r="K13" s="29" cm="1">
        <f t="array" aca="1" ref="K13" ca="1">_xll.d.Curve_GetZeroRates($C$8,$F13,"NACM")</f>
        <v>0.12416700444279183</v>
      </c>
      <c r="L13" s="29">
        <f ca="1">J13-K13</f>
        <v>0</v>
      </c>
      <c r="M13" s="29">
        <f ca="1">4*($C21^(-1/(4*YEARFRAC($B$18,$F13,3)))-1)</f>
        <v>0.12545622286335512</v>
      </c>
      <c r="N13" s="29" cm="1">
        <f t="array" aca="1" ref="N13" ca="1">_xll.d.Curve_GetZeroRates($C$8,$F13,"NACQ")</f>
        <v>0.12545622286335512</v>
      </c>
      <c r="O13" s="89">
        <f ca="1">M13-N13</f>
        <v>0</v>
      </c>
    </row>
    <row r="14" spans="2:19" x14ac:dyDescent="0.25">
      <c r="B14" s="42" t="s">
        <v>54</v>
      </c>
      <c r="C14" s="87" t="s">
        <v>55</v>
      </c>
      <c r="F14" s="97">
        <f ca="1">B22</f>
        <v>44682</v>
      </c>
      <c r="G14" s="99">
        <f ca="1">-LN(C22)/YEARFRAC($B$18,F14,3)</f>
        <v>0.12416689999910947</v>
      </c>
      <c r="H14" s="99">
        <f ca="1"/>
        <v>0.12416689999910957</v>
      </c>
      <c r="I14" s="29">
        <f ca="1">G14-H14</f>
        <v>0</v>
      </c>
      <c r="J14" s="29">
        <f ca="1">12*($C22^(-1/(12*YEARFRAC($B$18,$F14,3)))-1)</f>
        <v>0.12481151386647849</v>
      </c>
      <c r="K14" s="29" cm="1">
        <f t="array" aca="1" ref="K14" ca="1">_xll.d.Curve_GetZeroRates($C$8,$F14,"NACM")</f>
        <v>0.12481151386647849</v>
      </c>
      <c r="L14" s="29">
        <f ca="1">J14-K14</f>
        <v>0</v>
      </c>
      <c r="M14" s="29">
        <f ca="1">4*($C22^(-1/(4*YEARFRAC($B$18,$F14,3)))-1)</f>
        <v>0.12611417406740255</v>
      </c>
      <c r="N14" s="29" cm="1">
        <f t="array" aca="1" ref="N14" ca="1">_xll.d.Curve_GetZeroRates($C$8,$F14,"NACQ")</f>
        <v>0.12611417406740344</v>
      </c>
      <c r="O14" s="89">
        <f ca="1">M14-N14</f>
        <v>-8.8817841970012523E-16</v>
      </c>
    </row>
    <row r="15" spans="2:19" x14ac:dyDescent="0.25">
      <c r="F15" s="98">
        <f ca="1">B23</f>
        <v>46022</v>
      </c>
      <c r="G15" s="100">
        <f ca="1">-LN(C23)/YEARFRAC($B$18,F15,3)</f>
        <v>0.11950895023574995</v>
      </c>
      <c r="H15" s="100">
        <f ca="1"/>
        <v>0.11950895023574998</v>
      </c>
      <c r="I15" s="30">
        <f ca="1">G15-H15</f>
        <v>0</v>
      </c>
      <c r="J15" s="30">
        <f ca="1">12*($C23^(-1/(12*YEARFRAC($B$18,$F15,3)))-1)</f>
        <v>0.12010603026150424</v>
      </c>
      <c r="K15" s="30" cm="1">
        <f t="array" aca="1" ref="K15" ca="1">_xll.d.Curve_GetZeroRates($C$8,$F15,"NACM")</f>
        <v>0.12010603026150424</v>
      </c>
      <c r="L15" s="30">
        <f ca="1">J15-K15</f>
        <v>0</v>
      </c>
      <c r="M15" s="30">
        <f ca="1">4*($C23^(-1/(4*YEARFRAC($B$18,$F15,3)))-1)</f>
        <v>0.1213121624159994</v>
      </c>
      <c r="N15" s="30" cm="1">
        <f t="array" aca="1" ref="N15" ca="1">_xll.d.Curve_GetZeroRates($C$8,$F15,"NACQ")</f>
        <v>0.1213121624159994</v>
      </c>
      <c r="O15" s="90">
        <f ca="1">M15-N15</f>
        <v>0</v>
      </c>
    </row>
    <row r="16" spans="2:19" x14ac:dyDescent="0.25">
      <c r="E16" s="10"/>
    </row>
    <row r="17" spans="2:10" x14ac:dyDescent="0.25">
      <c r="B17" s="12" t="s">
        <v>0</v>
      </c>
      <c r="C17" s="13" t="s">
        <v>2</v>
      </c>
      <c r="E17" s="11"/>
      <c r="F17" s="84" t="s">
        <v>2</v>
      </c>
    </row>
    <row r="18" spans="2:10" x14ac:dyDescent="0.25">
      <c r="B18" s="17">
        <v>44562</v>
      </c>
      <c r="C18" s="88">
        <v>1</v>
      </c>
      <c r="E18" s="8"/>
      <c r="F18" s="12" t="s">
        <v>35</v>
      </c>
      <c r="G18" s="27" t="s">
        <v>80</v>
      </c>
      <c r="H18" s="27" t="s">
        <v>81</v>
      </c>
      <c r="I18" s="27" t="s">
        <v>44</v>
      </c>
      <c r="J18" s="83" t="s">
        <v>82</v>
      </c>
    </row>
    <row r="19" spans="2:10" x14ac:dyDescent="0.25">
      <c r="B19" s="18">
        <v>44593</v>
      </c>
      <c r="C19" s="89">
        <v>0.99</v>
      </c>
      <c r="E19" s="8"/>
      <c r="F19" s="17">
        <f ca="1">B18</f>
        <v>44562</v>
      </c>
      <c r="G19" s="56">
        <v>1</v>
      </c>
      <c r="H19" s="56" cm="1">
        <f t="array" aca="1" ref="H19" ca="1">_xll.d.Curve_GetDiscountFactors($C$8,F19)</f>
        <v>1</v>
      </c>
      <c r="I19" s="56">
        <f t="shared" ref="I19:I25" ca="1" si="0">G19-H19</f>
        <v>0</v>
      </c>
    </row>
    <row r="20" spans="2:10" x14ac:dyDescent="0.25">
      <c r="B20" s="18">
        <v>44621</v>
      </c>
      <c r="C20" s="89">
        <v>0.98</v>
      </c>
      <c r="F20" s="81">
        <v>44576</v>
      </c>
      <c r="G20" s="82">
        <f ca="1">EXP((LN(C19)-LN(C18))/((B19-B18)/365)*((F20-B18)/365)+LN(C18))</f>
        <v>0.99547142371128639</v>
      </c>
      <c r="H20" s="82" cm="1">
        <f t="array" aca="1" ref="H20" ca="1">_xll.d.Curve_GetDiscountFactors($C$8,F20)</f>
        <v>0.99547142371128639</v>
      </c>
      <c r="I20" s="82">
        <f t="shared" ca="1" si="0"/>
        <v>0</v>
      </c>
    </row>
    <row r="21" spans="2:10" x14ac:dyDescent="0.25">
      <c r="B21" s="18">
        <v>44652</v>
      </c>
      <c r="C21" s="89">
        <v>0.97</v>
      </c>
      <c r="F21" s="18">
        <f ca="1">B19</f>
        <v>44593</v>
      </c>
      <c r="G21" s="57">
        <f ca="1">EXP((LN(C19)-LN(C18))/((B19-B18)/365)*((F21-B18)/365)+LN(C18))</f>
        <v>0.99</v>
      </c>
      <c r="H21" s="57" cm="1">
        <f t="array" aca="1" ref="H21" ca="1">_xll.d.Curve_GetDiscountFactors($C$8,F21)</f>
        <v>0.99</v>
      </c>
      <c r="I21" s="57">
        <f t="shared" ca="1" si="0"/>
        <v>0</v>
      </c>
    </row>
    <row r="22" spans="2:10" x14ac:dyDescent="0.25">
      <c r="B22" s="18">
        <v>44682</v>
      </c>
      <c r="C22" s="89">
        <v>0.96</v>
      </c>
      <c r="F22" s="81">
        <v>44607</v>
      </c>
      <c r="G22" s="82">
        <f ca="1">EXP((LN(C20)-LN(C19))/((B20-B19)/365)*((F22-B19)/365)+LN(C19))</f>
        <v>0.98498730956292024</v>
      </c>
      <c r="H22" s="82" cm="1">
        <f t="array" aca="1" ref="H22" ca="1">_xll.d.Curve_GetDiscountFactors($C$8,F22)</f>
        <v>0.98498730956292024</v>
      </c>
      <c r="I22" s="82">
        <f t="shared" ca="1" si="0"/>
        <v>0</v>
      </c>
    </row>
    <row r="23" spans="2:10" x14ac:dyDescent="0.25">
      <c r="B23" s="19">
        <v>46022</v>
      </c>
      <c r="C23" s="90">
        <v>0.62</v>
      </c>
      <c r="F23" s="18">
        <f ca="1">B20</f>
        <v>44621</v>
      </c>
      <c r="G23" s="57">
        <f ca="1">EXP((LN(C20)-LN(C19))/((B20-B19)/365)*((F23-B19)/365)+LN(C19))</f>
        <v>0.98</v>
      </c>
      <c r="H23" s="57" cm="1">
        <f t="array" aca="1" ref="H23" ca="1">_xll.d.Curve_GetDiscountFactors($C$8,F23)</f>
        <v>0.98</v>
      </c>
      <c r="I23" s="57">
        <f t="shared" ca="1" si="0"/>
        <v>0</v>
      </c>
    </row>
    <row r="24" spans="2:10" x14ac:dyDescent="0.25">
      <c r="F24" s="81">
        <v>44635</v>
      </c>
      <c r="G24" s="82">
        <f ca="1">EXP((LN(C21)-LN(C20))/((B21-B20)/365)*((F24-B20)/365)+LN(C20))</f>
        <v>0.97547116833738268</v>
      </c>
      <c r="H24" s="82" cm="1">
        <f t="array" aca="1" ref="H24" ca="1">_xll.d.Curve_GetDiscountFactors($C$8,F24)</f>
        <v>0.97547116833738268</v>
      </c>
      <c r="I24" s="82">
        <f t="shared" ca="1" si="0"/>
        <v>0</v>
      </c>
    </row>
    <row r="25" spans="2:10" x14ac:dyDescent="0.25">
      <c r="F25" s="18">
        <f ca="1">B21</f>
        <v>44652</v>
      </c>
      <c r="G25" s="57">
        <f ca="1">EXP((LN(C21)-LN(C20))/((B21-B20)/365)*((F25-B20)/365)+LN(C20))</f>
        <v>0.97</v>
      </c>
      <c r="H25" s="57" cm="1">
        <f t="array" aca="1" ref="H25" ca="1">_xll.d.Curve_GetDiscountFactors($C$8,F25)</f>
        <v>0.97</v>
      </c>
      <c r="I25" s="57">
        <f t="shared" ca="1" si="0"/>
        <v>0</v>
      </c>
    </row>
    <row r="26" spans="2:10" x14ac:dyDescent="0.25">
      <c r="F26" s="81">
        <v>44666</v>
      </c>
      <c r="G26" s="82">
        <f ca="1">EXP((LN(C22)-LN(C21))/((B22-B21)/365)*((F26-B21)/365)+LN(C21))</f>
        <v>0.96532043596444328</v>
      </c>
      <c r="H26" s="82" cm="1">
        <f t="array" aca="1" ref="H26" ca="1">_xll.d.Curve_GetDiscountFactors($C$8,F26)</f>
        <v>0.96532043596444328</v>
      </c>
      <c r="I26" s="82">
        <f ca="1">G26-H26</f>
        <v>0</v>
      </c>
    </row>
    <row r="27" spans="2:10" x14ac:dyDescent="0.25">
      <c r="F27" s="18">
        <f ca="1">B22</f>
        <v>44682</v>
      </c>
      <c r="G27" s="57">
        <f ca="1">EXP((LN(C22)-LN(C21))/((B22-B21)/365)*((F27-B21)/365)+LN(C21))</f>
        <v>0.96</v>
      </c>
      <c r="H27" s="57" cm="1">
        <f t="array" aca="1" ref="H27" ca="1">_xll.d.Curve_GetDiscountFactors($C$8,F27)</f>
        <v>0.96</v>
      </c>
      <c r="I27" s="57">
        <f ca="1">G27-H27</f>
        <v>0</v>
      </c>
    </row>
    <row r="28" spans="2:10" x14ac:dyDescent="0.25">
      <c r="F28" s="81">
        <v>45107</v>
      </c>
      <c r="G28" s="82">
        <f ca="1">EXP((LN(C23)-LN(C22))/((B23-B22)/365)*((F28-B22)/365)+LN(C22))</f>
        <v>0.8356958461194135</v>
      </c>
      <c r="H28" s="82" cm="1">
        <f t="array" aca="1" ref="H28" ca="1">_xll.d.Curve_GetDiscountFactors($C$8,F28)</f>
        <v>0.8356958461194135</v>
      </c>
      <c r="I28" s="82">
        <f ca="1">G28-H28</f>
        <v>0</v>
      </c>
    </row>
    <row r="29" spans="2:10" x14ac:dyDescent="0.25">
      <c r="F29" s="18">
        <f ca="1">B23</f>
        <v>46022</v>
      </c>
      <c r="G29" s="57">
        <f ca="1">EXP((LN(C23)-LN(C22))/((B23-B22)/365)*((F29-B22)/365)+LN(C22))</f>
        <v>0.62</v>
      </c>
      <c r="H29" s="57" cm="1">
        <f t="array" aca="1" ref="H29" ca="1">_xll.d.Curve_GetDiscountFactors($C$8,F29)</f>
        <v>0.62</v>
      </c>
      <c r="I29" s="57">
        <f ca="1">G29-H29</f>
        <v>0</v>
      </c>
    </row>
    <row r="30" spans="2:10" x14ac:dyDescent="0.25">
      <c r="E30" s="5"/>
    </row>
    <row r="32" spans="2:10" x14ac:dyDescent="0.25">
      <c r="D32" s="5"/>
      <c r="E32" s="5"/>
    </row>
    <row r="34" spans="2:7" x14ac:dyDescent="0.25">
      <c r="C34" s="1"/>
      <c r="D34" s="5"/>
    </row>
    <row r="35" spans="2:7" x14ac:dyDescent="0.25">
      <c r="E35" s="6"/>
    </row>
    <row r="36" spans="2:7" x14ac:dyDescent="0.25">
      <c r="B36" s="5"/>
      <c r="C36" s="5"/>
      <c r="D36" s="5"/>
      <c r="E36" s="5"/>
      <c r="F36" s="5"/>
      <c r="G36" s="5"/>
    </row>
    <row r="37" spans="2:7" x14ac:dyDescent="0.25">
      <c r="B37" s="5"/>
      <c r="C37" s="5"/>
      <c r="D37" s="5"/>
      <c r="E37" s="5"/>
      <c r="F37" s="5"/>
      <c r="G37" s="5"/>
    </row>
    <row r="38" spans="2:7" x14ac:dyDescent="0.25">
      <c r="B38" s="5"/>
      <c r="C38" s="5"/>
      <c r="D38" s="5"/>
      <c r="E38" s="5"/>
      <c r="F38" s="5"/>
      <c r="G38" s="5"/>
    </row>
    <row r="39" spans="2:7" x14ac:dyDescent="0.25">
      <c r="B39" s="5"/>
      <c r="C39" s="5"/>
      <c r="D39" s="5"/>
      <c r="E39" s="5"/>
      <c r="F39" s="5"/>
      <c r="G39" s="5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dimension ref="B2:AA48"/>
  <sheetViews>
    <sheetView showGridLines="0" topLeftCell="A3" zoomScale="114" workbookViewId="0">
      <selection activeCell="G9" sqref="G9:K17"/>
    </sheetView>
  </sheetViews>
  <sheetFormatPr defaultRowHeight="15" x14ac:dyDescent="0.25"/>
  <cols>
    <col min="1" max="1" width="4.28515625" customWidth="1"/>
    <col min="2" max="3" width="15.5703125" customWidth="1"/>
    <col min="4" max="4" width="16" bestFit="1" customWidth="1"/>
    <col min="5" max="5" width="10.140625" bestFit="1" customWidth="1"/>
    <col min="7" max="7" width="10.140625" bestFit="1" customWidth="1"/>
    <col min="8" max="8" width="22.5703125" bestFit="1" customWidth="1"/>
    <col min="9" max="9" width="21.5703125" bestFit="1" customWidth="1"/>
    <col min="10" max="10" width="10.140625" bestFit="1" customWidth="1"/>
    <col min="11" max="11" width="18" bestFit="1" customWidth="1"/>
    <col min="13" max="13" width="17.85546875" bestFit="1" customWidth="1"/>
    <col min="14" max="14" width="10.140625" bestFit="1" customWidth="1"/>
    <col min="15" max="15" width="11.28515625" customWidth="1"/>
    <col min="16" max="16" width="12" customWidth="1"/>
    <col min="18" max="18" width="11.42578125" bestFit="1" customWidth="1"/>
    <col min="19" max="19" width="22.5703125" bestFit="1" customWidth="1"/>
    <col min="20" max="20" width="21.5703125" bestFit="1" customWidth="1"/>
    <col min="21" max="21" width="10.140625" bestFit="1" customWidth="1"/>
    <col min="22" max="22" width="18" bestFit="1" customWidth="1"/>
    <col min="24" max="24" width="15.28515625" bestFit="1" customWidth="1"/>
    <col min="25" max="25" width="11.42578125" bestFit="1" customWidth="1"/>
    <col min="27" max="27" width="15.28515625" bestFit="1" customWidth="1"/>
  </cols>
  <sheetData>
    <row r="2" spans="2:22" ht="26.25" x14ac:dyDescent="0.4">
      <c r="B2" s="2" t="s">
        <v>22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4" spans="2:22" ht="18.75" x14ac:dyDescent="0.3">
      <c r="B4" s="3" t="s">
        <v>66</v>
      </c>
      <c r="C4" s="3"/>
      <c r="D4" s="3"/>
      <c r="E4" s="3"/>
      <c r="F4" s="3"/>
      <c r="G4" s="3"/>
      <c r="H4" s="3"/>
      <c r="I4" s="3"/>
      <c r="J4" s="3"/>
      <c r="K4" s="3"/>
      <c r="M4" s="3" t="s">
        <v>67</v>
      </c>
      <c r="N4" s="3"/>
      <c r="O4" s="3"/>
      <c r="P4" s="3"/>
      <c r="Q4" s="3"/>
      <c r="R4" s="3"/>
      <c r="S4" s="3"/>
      <c r="T4" s="3"/>
      <c r="U4" s="3"/>
      <c r="V4" s="3"/>
    </row>
    <row r="6" spans="2:22" x14ac:dyDescent="0.25">
      <c r="B6" s="47" t="s">
        <v>41</v>
      </c>
      <c r="C6" s="47"/>
      <c r="D6" s="70" t="str" cm="1">
        <f t="array" aca="1" ref="D6" ca="1">_xll.d.Curve_SingleCurveBootstrap("ZARCurve",C12,B23:E28,B30:E33,B35:E38)</f>
        <v>@@ZARCurve::16:52:22</v>
      </c>
      <c r="E6" s="26"/>
      <c r="M6" s="47" t="s">
        <v>41</v>
      </c>
      <c r="N6" s="47"/>
      <c r="O6" s="70" t="str" cm="1">
        <f t="array" aca="1" ref="O6" ca="1">_xll.d.Curve_SingleCurveBootstrap("USDOIS",N12,M23:P25,M27:P48)</f>
        <v>@@USDOIS::18:19:22</v>
      </c>
      <c r="P6" s="26"/>
    </row>
    <row r="9" spans="2:22" ht="18.75" x14ac:dyDescent="0.3">
      <c r="G9" s="3" t="s">
        <v>34</v>
      </c>
      <c r="H9" s="3"/>
      <c r="I9" s="3"/>
      <c r="J9" s="3"/>
      <c r="K9" s="3"/>
      <c r="R9" s="3" t="s">
        <v>34</v>
      </c>
      <c r="S9" s="3"/>
      <c r="T9" s="3"/>
      <c r="U9" s="3"/>
      <c r="V9" s="3"/>
    </row>
    <row r="10" spans="2:22" x14ac:dyDescent="0.25">
      <c r="B10" s="59" t="s">
        <v>61</v>
      </c>
      <c r="C10" s="60"/>
      <c r="M10" s="59" t="s">
        <v>61</v>
      </c>
      <c r="N10" s="60"/>
    </row>
    <row r="11" spans="2:22" x14ac:dyDescent="0.25">
      <c r="B11" s="61" t="s">
        <v>32</v>
      </c>
      <c r="C11" s="62" t="s">
        <v>33</v>
      </c>
      <c r="G11" s="12" t="s">
        <v>35</v>
      </c>
      <c r="H11" s="27" t="s">
        <v>42</v>
      </c>
      <c r="I11" s="27" t="s">
        <v>43</v>
      </c>
      <c r="J11" s="27" t="s">
        <v>44</v>
      </c>
      <c r="K11" s="13" t="s">
        <v>45</v>
      </c>
      <c r="M11" s="61" t="s">
        <v>32</v>
      </c>
      <c r="N11" s="62" t="s">
        <v>33</v>
      </c>
      <c r="R11" s="12" t="s">
        <v>35</v>
      </c>
      <c r="S11" s="27" t="s">
        <v>42</v>
      </c>
      <c r="T11" s="27" t="s">
        <v>43</v>
      </c>
      <c r="U11" s="27" t="s">
        <v>44</v>
      </c>
      <c r="V11" s="13" t="s">
        <v>45</v>
      </c>
    </row>
    <row r="12" spans="2:22" x14ac:dyDescent="0.25">
      <c r="B12" s="42" t="s">
        <v>31</v>
      </c>
      <c r="C12" s="46">
        <v>44713</v>
      </c>
      <c r="E12" s="63"/>
      <c r="G12" s="17">
        <f>C12</f>
        <v>44713</v>
      </c>
      <c r="H12" s="56">
        <v>1</v>
      </c>
      <c r="I12" s="56" cm="1">
        <f t="array" aca="1" ref="I12" ca="1">_xll.d.Curve_DF($D$6,G12)</f>
        <v>1</v>
      </c>
      <c r="J12" s="56">
        <f t="shared" ref="J12:J17" ca="1" si="0">H12-I12</f>
        <v>0</v>
      </c>
      <c r="K12" s="64">
        <f ca="1">J12/H12</f>
        <v>0</v>
      </c>
      <c r="M12" s="42" t="s">
        <v>31</v>
      </c>
      <c r="N12" s="46">
        <v>44651</v>
      </c>
      <c r="P12" s="63"/>
      <c r="R12" s="17">
        <f>N12</f>
        <v>44651</v>
      </c>
      <c r="S12" s="56">
        <v>1</v>
      </c>
      <c r="T12" s="71" cm="1">
        <f t="array" aca="1" ref="T12" ca="1">_xll.d.Curve_DF($O$6,R12)</f>
        <v>1</v>
      </c>
      <c r="U12" s="56" t="e">
        <f t="shared" ref="U12:U17" ca="1" si="1">S12-T12</f>
        <v>#VALUE!</v>
      </c>
      <c r="V12" s="64" t="e">
        <f ca="1">U12/S12</f>
        <v>#VALUE!</v>
      </c>
    </row>
    <row r="13" spans="2:22" x14ac:dyDescent="0.25">
      <c r="B13" s="42" t="s">
        <v>56</v>
      </c>
      <c r="C13" s="54" t="s">
        <v>47</v>
      </c>
      <c r="E13" s="63"/>
      <c r="F13" s="9"/>
      <c r="G13" s="18">
        <f>EDATE(G12,1)</f>
        <v>44743</v>
      </c>
      <c r="H13" s="57">
        <f>EXP(-D25*YEARFRAC($C$12,G13,3))</f>
        <v>0.99181450701087914</v>
      </c>
      <c r="I13" s="57" cm="1">
        <f t="array" aca="1" ref="I13" ca="1">_xll.d.Curve_DF($D$6,G13)</f>
        <v>0.99184782608695665</v>
      </c>
      <c r="J13" s="57">
        <f t="shared" ca="1" si="0"/>
        <v>-3.331907607750928E-5</v>
      </c>
      <c r="K13" s="65">
        <f t="shared" ref="K13:K14" ca="1" si="2">J13/H13</f>
        <v>-3.3594060020281399E-5</v>
      </c>
      <c r="M13" s="42" t="s">
        <v>56</v>
      </c>
      <c r="N13" s="54" t="s">
        <v>47</v>
      </c>
      <c r="P13" s="63"/>
      <c r="R13" s="18">
        <v>44655</v>
      </c>
      <c r="S13" s="57">
        <f>EXP(-O25*YEARFRAC($C$12,R13,3))</f>
        <v>0.99947575390338683</v>
      </c>
      <c r="T13" s="72" cm="1">
        <f t="array" aca="1" ref="T13" ca="1">_xll.d.Curve_DF($O$6,R13)</f>
        <v>0.99996230852004542</v>
      </c>
      <c r="U13" s="57" t="e">
        <f t="shared" ca="1" si="1"/>
        <v>#VALUE!</v>
      </c>
      <c r="V13" s="65" t="e">
        <f t="shared" ref="V13" ca="1" si="3">U13/S13</f>
        <v>#VALUE!</v>
      </c>
    </row>
    <row r="14" spans="2:22" x14ac:dyDescent="0.25">
      <c r="E14" s="63"/>
      <c r="F14" s="9"/>
      <c r="G14" s="18">
        <f>EDATE(G12,2)</f>
        <v>44774</v>
      </c>
      <c r="H14" s="57">
        <f>EXP(-D26*YEARFRAC($C$12,G14,3))</f>
        <v>0.98342654747456371</v>
      </c>
      <c r="I14" s="57" cm="1">
        <f t="array" aca="1" ref="I14" ca="1">_xll.d.Curve_DF($D$6,G14)</f>
        <v>0.98356238210724867</v>
      </c>
      <c r="J14" s="57">
        <f t="shared" ca="1" si="0"/>
        <v>-1.3583463268496132E-4</v>
      </c>
      <c r="K14" s="65">
        <f t="shared" ca="1" si="2"/>
        <v>-1.3812382127957013E-4</v>
      </c>
      <c r="P14" s="63"/>
      <c r="R14" s="18">
        <v>44685</v>
      </c>
      <c r="S14" s="57">
        <f>EXP(-O26*YEARFRAC($C$12,R14,3))</f>
        <v>1</v>
      </c>
      <c r="T14" s="72" cm="1">
        <f t="array" aca="1" ref="T14" ca="1">_xll.d.Curve_DF($O$6,R14)</f>
        <v>0.99967710429531276</v>
      </c>
      <c r="U14" s="57" t="e">
        <f t="shared" ca="1" si="1"/>
        <v>#VALUE!</v>
      </c>
      <c r="V14" s="65" t="e">
        <f t="shared" ref="V14:V15" ca="1" si="4">U14/S14</f>
        <v>#VALUE!</v>
      </c>
    </row>
    <row r="15" spans="2:22" x14ac:dyDescent="0.25">
      <c r="F15" s="9"/>
      <c r="G15" s="18">
        <f>EDATE(G12,3)</f>
        <v>44805</v>
      </c>
      <c r="H15" s="57">
        <f>EXP(-D27*YEARFRAC($C$12,G15,3))</f>
        <v>0.97510952647028781</v>
      </c>
      <c r="I15" s="57" cm="1">
        <f t="array" aca="1" ref="I15" ca="1">_xll.d.Curve_DF($D$6,G15)</f>
        <v>0.97541421699625874</v>
      </c>
      <c r="J15" s="57">
        <f t="shared" ca="1" si="0"/>
        <v>-3.0469052597092983E-4</v>
      </c>
      <c r="K15" s="65">
        <f ca="1">J15/H15</f>
        <v>-3.1246800251644749E-4</v>
      </c>
      <c r="R15" s="18">
        <f>EDATE(R13,2)</f>
        <v>44716</v>
      </c>
      <c r="S15" s="57">
        <f>EXP(-O27*YEARFRAC($C$12,R15,3))</f>
        <v>1</v>
      </c>
      <c r="T15" s="72" cm="1">
        <f t="array" aca="1" ref="T15" ca="1">_xll.d.Curve_DF($O$6,R15)</f>
        <v>0.99899365427268061</v>
      </c>
      <c r="U15" s="57" t="e">
        <f t="shared" ca="1" si="1"/>
        <v>#VALUE!</v>
      </c>
      <c r="V15" s="65" t="e">
        <f t="shared" ca="1" si="4"/>
        <v>#VALUE!</v>
      </c>
    </row>
    <row r="16" spans="2:22" x14ac:dyDescent="0.25">
      <c r="B16" s="60" t="s">
        <v>58</v>
      </c>
      <c r="C16" s="60"/>
      <c r="F16" s="9"/>
      <c r="G16" s="18">
        <f>EDATE(G12,6)</f>
        <v>44896</v>
      </c>
      <c r="H16" s="57">
        <f>EXP(-D28*YEARFRAC($C$12,G16,3))</f>
        <v>0.95109912802471741</v>
      </c>
      <c r="I16" s="57" cm="1">
        <f t="array" aca="1" ref="I16" ca="1">_xll.d.Curve_DF($D$6,G16)</f>
        <v>0.95225671797547617</v>
      </c>
      <c r="J16" s="57">
        <f t="shared" ca="1" si="0"/>
        <v>-1.1575899507587639E-3</v>
      </c>
      <c r="K16" s="65">
        <f ca="1">J16/H16</f>
        <v>-1.2171075723335961E-3</v>
      </c>
      <c r="M16" s="60" t="s">
        <v>58</v>
      </c>
      <c r="N16" s="60"/>
      <c r="R16" s="18">
        <f>EDATE(R13,3)</f>
        <v>44746</v>
      </c>
      <c r="S16" s="57" t="e">
        <f>EXP(-O28*YEARFRAC($C$12,R16,3))</f>
        <v>#VALUE!</v>
      </c>
      <c r="T16" s="72" cm="1">
        <f t="array" aca="1" ref="T16" ca="1">_xll.d.Curve_DF($O$6,R16)</f>
        <v>0.99811865525816368</v>
      </c>
      <c r="U16" s="57" t="e">
        <f t="shared" ca="1" si="1"/>
        <v>#VALUE!</v>
      </c>
      <c r="V16" s="65" t="e">
        <f ca="1">U16/S16</f>
        <v>#VALUE!</v>
      </c>
    </row>
    <row r="17" spans="2:27" x14ac:dyDescent="0.25">
      <c r="B17" s="61" t="s">
        <v>32</v>
      </c>
      <c r="C17" s="62" t="s">
        <v>33</v>
      </c>
      <c r="F17" s="9"/>
      <c r="G17" s="19">
        <f>EDATE(G12,9)</f>
        <v>44986</v>
      </c>
      <c r="H17" s="58">
        <f>H16*EXP(-D32*YEARFRAC(G16,G17,3))</f>
        <v>0.92793413813861503</v>
      </c>
      <c r="I17" s="58" cm="1">
        <f t="array" aca="1" ref="I17" ca="1">_xll.d.Curve_DF($D$6,G17)</f>
        <v>0.92934144936109309</v>
      </c>
      <c r="J17" s="58">
        <f t="shared" ca="1" si="0"/>
        <v>-1.4073112224780582E-3</v>
      </c>
      <c r="K17" s="66">
        <f ca="1">J17/H17</f>
        <v>-1.516606798518101E-3</v>
      </c>
      <c r="M17" s="61" t="s">
        <v>32</v>
      </c>
      <c r="N17" s="62" t="s">
        <v>33</v>
      </c>
      <c r="R17" s="18">
        <f>EDATE(R13,6)</f>
        <v>44838</v>
      </c>
      <c r="S17" s="57">
        <f>EXP(-O29*YEARFRAC($C$12,R17,3))</f>
        <v>0.99882945274881163</v>
      </c>
      <c r="T17" s="72" cm="1">
        <f t="array" aca="1" ref="T17" ca="1">_xll.d.Curve_DF($O$6,R17)</f>
        <v>0.99422614214904093</v>
      </c>
      <c r="U17" s="57" t="e">
        <f t="shared" ca="1" si="1"/>
        <v>#VALUE!</v>
      </c>
      <c r="V17" s="65" t="e">
        <f ca="1">U17/S17</f>
        <v>#VALUE!</v>
      </c>
    </row>
    <row r="18" spans="2:27" x14ac:dyDescent="0.25">
      <c r="B18" s="42" t="s">
        <v>13</v>
      </c>
      <c r="C18" s="54" t="s">
        <v>47</v>
      </c>
      <c r="F18" s="9"/>
      <c r="G18" s="8"/>
      <c r="M18" s="42" t="s">
        <v>13</v>
      </c>
      <c r="N18" s="54" t="s">
        <v>47</v>
      </c>
      <c r="R18" s="19">
        <f>EDATE(R13,9)</f>
        <v>44930</v>
      </c>
      <c r="S18" s="58">
        <f>S17*EXP(-O33*YEARFRAC(R17,R18,3))</f>
        <v>0.99629242434084564</v>
      </c>
      <c r="T18" s="73" cm="1">
        <f t="array" aca="1" ref="T18" ca="1">_xll.d.Curve_DF($O$6,R18)</f>
        <v>0.98882675211448234</v>
      </c>
      <c r="U18" s="58" t="e">
        <f t="shared" ref="U18" ca="1" si="5">S18-T18</f>
        <v>#VALUE!</v>
      </c>
      <c r="V18" s="66" t="e">
        <f ca="1">U18/S18</f>
        <v>#VALUE!</v>
      </c>
    </row>
    <row r="19" spans="2:27" x14ac:dyDescent="0.25">
      <c r="B19" s="42" t="s">
        <v>36</v>
      </c>
      <c r="C19" s="54" t="s">
        <v>37</v>
      </c>
      <c r="F19" s="9"/>
      <c r="M19" s="42" t="s">
        <v>36</v>
      </c>
      <c r="N19" s="54" t="s">
        <v>37</v>
      </c>
      <c r="T19" s="75" cm="1">
        <f t="array" aca="1" ref="T19" ca="1">_xll.d.Curve_DF(O6,R13)</f>
        <v>0.99996230852004542</v>
      </c>
      <c r="V19" s="8">
        <f ca="1">R13-1</f>
        <v>44654</v>
      </c>
      <c r="W19" cm="1">
        <f t="array" aca="1" ref="W19" ca="1">_xll.d.Curve_DF(O6,V19)</f>
        <v>0.99997181672874069</v>
      </c>
      <c r="Y19" s="8">
        <f ca="1">V20-3</f>
        <v>44652</v>
      </c>
      <c r="Z19" cm="1">
        <f t="array" aca="1" ref="Z19" ca="1">_xll.d.Curve_DF(O6,Y19)</f>
        <v>0.9999908334173605</v>
      </c>
    </row>
    <row r="20" spans="2:27" x14ac:dyDescent="0.25">
      <c r="B20" s="42" t="s">
        <v>57</v>
      </c>
      <c r="C20" s="54" t="s">
        <v>26</v>
      </c>
      <c r="F20" s="9"/>
      <c r="M20" s="42" t="s">
        <v>57</v>
      </c>
      <c r="N20" s="54" t="s">
        <v>26</v>
      </c>
      <c r="R20" s="8">
        <f>R13+1</f>
        <v>44656</v>
      </c>
      <c r="S20" cm="1">
        <f t="array" aca="1" ref="S20" ca="1">_xll.d.Curve_GetForwardRate(O6,R13,R20)</f>
        <v>3.4706104866087939E-3</v>
      </c>
      <c r="T20" s="74" cm="1">
        <f t="array" aca="1" ref="T20" ca="1">_xll.d.Curve_DF(O6,R20)</f>
        <v>0.99995280040175871</v>
      </c>
      <c r="U20" s="76">
        <f ca="1">-LN(T20/T19)/T22</f>
        <v>3.4230678771949696E-3</v>
      </c>
      <c r="V20" s="8">
        <f ca="1">R13</f>
        <v>44655</v>
      </c>
      <c r="W20" cm="1">
        <f t="array" aca="1" ref="W20" ca="1">_xll.d.Curve_DF(O6,V20)</f>
        <v>0.99996230852004542</v>
      </c>
      <c r="X20" s="77">
        <f ca="1">-LN(W20/W19)/T22</f>
        <v>3.4230678771949696E-3</v>
      </c>
      <c r="Y20" s="8">
        <f ca="1">V20</f>
        <v>44655</v>
      </c>
      <c r="Z20" cm="1">
        <f t="array" aca="1" ref="Z20" ca="1">_xll.d.Curve_DF(O6,Y20)</f>
        <v>0.99996230852004542</v>
      </c>
      <c r="AA20" s="77">
        <f ca="1">-LN(Z20/Z19)/T22</f>
        <v>1.0269203631601274E-2</v>
      </c>
    </row>
    <row r="21" spans="2:27" x14ac:dyDescent="0.25">
      <c r="F21" s="9"/>
    </row>
    <row r="22" spans="2:27" x14ac:dyDescent="0.25">
      <c r="F22" s="9"/>
      <c r="T22">
        <f ca="1">YEARFRAC(R13,R20,2)</f>
        <v>2.7777777777777779E-3</v>
      </c>
    </row>
    <row r="23" spans="2:27" x14ac:dyDescent="0.25">
      <c r="B23" s="12" t="s">
        <v>23</v>
      </c>
      <c r="C23" s="27"/>
      <c r="D23" s="13"/>
      <c r="E23" s="13"/>
      <c r="F23" s="9"/>
      <c r="M23" s="12" t="s">
        <v>23</v>
      </c>
      <c r="N23" s="27"/>
      <c r="O23" s="13"/>
      <c r="P23" s="13"/>
      <c r="S23">
        <f>YEARFRAC(R12,R13,2)</f>
        <v>1.1111111111111112E-2</v>
      </c>
    </row>
    <row r="24" spans="2:27" x14ac:dyDescent="0.25">
      <c r="B24" s="43" t="s">
        <v>39</v>
      </c>
      <c r="C24" s="44" t="s">
        <v>36</v>
      </c>
      <c r="D24" s="44" t="s">
        <v>40</v>
      </c>
      <c r="E24" s="45" t="s">
        <v>53</v>
      </c>
      <c r="F24" s="9"/>
      <c r="M24" s="43" t="s">
        <v>39</v>
      </c>
      <c r="N24" s="44" t="s">
        <v>36</v>
      </c>
      <c r="O24" s="44" t="s">
        <v>40</v>
      </c>
      <c r="P24" s="45" t="s">
        <v>53</v>
      </c>
      <c r="S24">
        <f>EXP(-S23*O25)</f>
        <v>0.99996333400554738</v>
      </c>
    </row>
    <row r="25" spans="2:27" x14ac:dyDescent="0.25">
      <c r="B25" s="42" t="s">
        <v>27</v>
      </c>
      <c r="C25" s="42" t="s">
        <v>37</v>
      </c>
      <c r="D25" s="42">
        <v>0.1</v>
      </c>
      <c r="E25" s="42" t="b">
        <v>1</v>
      </c>
      <c r="M25" s="42" t="s">
        <v>70</v>
      </c>
      <c r="N25" s="42" t="s">
        <v>69</v>
      </c>
      <c r="O25" s="42">
        <v>3.3E-3</v>
      </c>
      <c r="P25" s="42" t="b">
        <v>1</v>
      </c>
    </row>
    <row r="26" spans="2:27" x14ac:dyDescent="0.25">
      <c r="B26" s="42" t="s">
        <v>28</v>
      </c>
      <c r="C26" s="42" t="s">
        <v>37</v>
      </c>
      <c r="D26" s="42">
        <v>0.1</v>
      </c>
      <c r="E26" s="42" t="b">
        <v>1</v>
      </c>
    </row>
    <row r="27" spans="2:27" x14ac:dyDescent="0.25">
      <c r="B27" s="42" t="s">
        <v>26</v>
      </c>
      <c r="C27" s="42" t="s">
        <v>37</v>
      </c>
      <c r="D27" s="42">
        <v>0.1</v>
      </c>
      <c r="E27" s="42" t="b">
        <v>1</v>
      </c>
      <c r="M27" s="12" t="s">
        <v>68</v>
      </c>
      <c r="N27" s="27"/>
      <c r="O27" s="13"/>
      <c r="P27" s="13"/>
    </row>
    <row r="28" spans="2:27" x14ac:dyDescent="0.25">
      <c r="B28" s="42" t="s">
        <v>29</v>
      </c>
      <c r="C28" s="42" t="s">
        <v>37</v>
      </c>
      <c r="D28" s="42">
        <v>0.1</v>
      </c>
      <c r="E28" s="42" t="b">
        <v>1</v>
      </c>
      <c r="M28" s="43" t="s">
        <v>71</v>
      </c>
      <c r="N28" s="44" t="s">
        <v>36</v>
      </c>
      <c r="O28" s="44" t="s">
        <v>40</v>
      </c>
      <c r="P28" s="45" t="s">
        <v>53</v>
      </c>
    </row>
    <row r="29" spans="2:27" x14ac:dyDescent="0.25">
      <c r="M29" s="17">
        <v>44685</v>
      </c>
      <c r="N29" s="42" t="s">
        <v>69</v>
      </c>
      <c r="O29" s="69">
        <v>3.4199999999999999E-3</v>
      </c>
      <c r="P29" s="42" t="b">
        <v>1</v>
      </c>
    </row>
    <row r="30" spans="2:27" x14ac:dyDescent="0.25">
      <c r="B30" s="12" t="s">
        <v>38</v>
      </c>
      <c r="C30" s="27"/>
      <c r="D30" s="13"/>
      <c r="E30" s="13"/>
      <c r="M30" s="18">
        <v>44718</v>
      </c>
      <c r="N30" s="42" t="s">
        <v>69</v>
      </c>
      <c r="O30" s="69">
        <v>5.6499999999999996E-3</v>
      </c>
      <c r="P30" s="42" t="b">
        <v>1</v>
      </c>
    </row>
    <row r="31" spans="2:27" x14ac:dyDescent="0.25">
      <c r="B31" s="43" t="s">
        <v>39</v>
      </c>
      <c r="C31" s="44" t="s">
        <v>36</v>
      </c>
      <c r="D31" s="44" t="s">
        <v>40</v>
      </c>
      <c r="E31" s="45" t="s">
        <v>53</v>
      </c>
      <c r="M31" s="18">
        <v>44747</v>
      </c>
      <c r="N31" s="42" t="s">
        <v>69</v>
      </c>
      <c r="O31" s="69">
        <v>7.1799999999999998E-3</v>
      </c>
      <c r="P31" s="42" t="b">
        <v>1</v>
      </c>
    </row>
    <row r="32" spans="2:27" x14ac:dyDescent="0.25">
      <c r="B32" s="42" t="s">
        <v>29</v>
      </c>
      <c r="C32" s="42" t="s">
        <v>37</v>
      </c>
      <c r="D32" s="42">
        <v>0.1</v>
      </c>
      <c r="E32" s="42" t="b">
        <v>1</v>
      </c>
      <c r="M32" s="18">
        <v>44777</v>
      </c>
      <c r="N32" s="42" t="s">
        <v>69</v>
      </c>
      <c r="O32" s="69">
        <v>8.5599999999999999E-3</v>
      </c>
      <c r="P32" s="42" t="b">
        <v>1</v>
      </c>
    </row>
    <row r="33" spans="2:16" x14ac:dyDescent="0.25">
      <c r="B33" s="42" t="s">
        <v>30</v>
      </c>
      <c r="C33" s="42" t="s">
        <v>37</v>
      </c>
      <c r="D33" s="42">
        <v>0.1</v>
      </c>
      <c r="E33" s="42" t="b">
        <v>1</v>
      </c>
      <c r="M33" s="18">
        <v>44810</v>
      </c>
      <c r="N33" s="42" t="s">
        <v>69</v>
      </c>
      <c r="O33" s="69">
        <v>1.0089999999999998E-2</v>
      </c>
      <c r="P33" s="42" t="b">
        <v>1</v>
      </c>
    </row>
    <row r="34" spans="2:16" x14ac:dyDescent="0.25">
      <c r="M34" s="18">
        <v>44838</v>
      </c>
      <c r="N34" s="42" t="s">
        <v>69</v>
      </c>
      <c r="O34" s="69">
        <v>1.1180000000000001E-2</v>
      </c>
      <c r="P34" s="42" t="b">
        <v>1</v>
      </c>
    </row>
    <row r="35" spans="2:16" x14ac:dyDescent="0.25">
      <c r="B35" s="12" t="s">
        <v>46</v>
      </c>
      <c r="C35" s="27"/>
      <c r="D35" s="13"/>
      <c r="E35" s="13"/>
      <c r="M35" s="18">
        <v>44930</v>
      </c>
      <c r="N35" s="42" t="s">
        <v>69</v>
      </c>
      <c r="O35" s="69">
        <v>1.4579999999999999E-2</v>
      </c>
      <c r="P35" s="42" t="b">
        <v>1</v>
      </c>
    </row>
    <row r="36" spans="2:16" x14ac:dyDescent="0.25">
      <c r="B36" s="43" t="s">
        <v>39</v>
      </c>
      <c r="C36" s="44" t="s">
        <v>36</v>
      </c>
      <c r="D36" s="44" t="s">
        <v>40</v>
      </c>
      <c r="E36" s="45" t="s">
        <v>53</v>
      </c>
      <c r="M36" s="18">
        <v>45020</v>
      </c>
      <c r="N36" s="42" t="s">
        <v>69</v>
      </c>
      <c r="O36" s="69">
        <v>1.7310000000000002E-2</v>
      </c>
      <c r="P36" s="42" t="b">
        <v>1</v>
      </c>
    </row>
    <row r="37" spans="2:16" x14ac:dyDescent="0.25">
      <c r="B37" s="42" t="s">
        <v>63</v>
      </c>
      <c r="C37" s="42" t="s">
        <v>37</v>
      </c>
      <c r="D37" s="42">
        <v>0.1</v>
      </c>
      <c r="E37" s="42" t="b">
        <v>1</v>
      </c>
      <c r="M37" s="18">
        <v>45203</v>
      </c>
      <c r="N37" s="42" t="s">
        <v>69</v>
      </c>
      <c r="O37" s="69">
        <v>2.0879999999999999E-2</v>
      </c>
      <c r="P37" s="42" t="b">
        <v>1</v>
      </c>
    </row>
    <row r="38" spans="2:16" x14ac:dyDescent="0.25">
      <c r="B38" s="42" t="s">
        <v>72</v>
      </c>
      <c r="C38" s="42" t="s">
        <v>37</v>
      </c>
      <c r="D38" s="42">
        <v>0.1</v>
      </c>
      <c r="E38" s="42" t="b">
        <v>1</v>
      </c>
      <c r="M38" s="18">
        <v>45386</v>
      </c>
      <c r="N38" s="42" t="s">
        <v>69</v>
      </c>
      <c r="O38" s="69">
        <v>2.3050000000000001E-2</v>
      </c>
      <c r="P38" s="42" t="b">
        <v>1</v>
      </c>
    </row>
    <row r="39" spans="2:16" x14ac:dyDescent="0.25">
      <c r="M39" s="18">
        <v>45751</v>
      </c>
      <c r="N39" s="42" t="s">
        <v>69</v>
      </c>
      <c r="O39" s="69">
        <v>2.3450000000000002E-2</v>
      </c>
      <c r="P39" s="42" t="b">
        <v>1</v>
      </c>
    </row>
    <row r="40" spans="2:16" x14ac:dyDescent="0.25">
      <c r="M40" s="18">
        <v>46118</v>
      </c>
      <c r="N40" s="42" t="s">
        <v>69</v>
      </c>
      <c r="O40" s="69">
        <v>2.2850000000000002E-2</v>
      </c>
      <c r="P40" s="42" t="b">
        <v>1</v>
      </c>
    </row>
    <row r="41" spans="2:16" x14ac:dyDescent="0.25">
      <c r="M41" s="18">
        <v>46482</v>
      </c>
      <c r="N41" s="42" t="s">
        <v>69</v>
      </c>
      <c r="O41" s="69">
        <v>2.2099999999999998E-2</v>
      </c>
      <c r="P41" s="42" t="b">
        <v>1</v>
      </c>
    </row>
    <row r="42" spans="2:16" x14ac:dyDescent="0.25">
      <c r="M42" s="18">
        <v>47212</v>
      </c>
      <c r="N42" s="42" t="s">
        <v>69</v>
      </c>
      <c r="O42" s="69">
        <v>2.138E-2</v>
      </c>
      <c r="P42" s="42" t="b">
        <v>1</v>
      </c>
    </row>
    <row r="43" spans="2:16" x14ac:dyDescent="0.25">
      <c r="M43" s="18">
        <v>48309</v>
      </c>
      <c r="N43" s="42" t="s">
        <v>69</v>
      </c>
      <c r="O43" s="69">
        <v>2.0969999999999999E-2</v>
      </c>
      <c r="P43" s="42" t="b">
        <v>1</v>
      </c>
    </row>
    <row r="44" spans="2:16" x14ac:dyDescent="0.25">
      <c r="M44" s="18">
        <v>49038</v>
      </c>
      <c r="N44" s="42" t="s">
        <v>69</v>
      </c>
      <c r="O44" s="69">
        <v>2.1000000000000001E-2</v>
      </c>
      <c r="P44" s="42" t="b">
        <v>1</v>
      </c>
    </row>
    <row r="45" spans="2:16" x14ac:dyDescent="0.25">
      <c r="M45" s="18">
        <v>50136</v>
      </c>
      <c r="N45" s="42" t="s">
        <v>69</v>
      </c>
      <c r="O45" s="69">
        <v>2.0959999999999999E-2</v>
      </c>
      <c r="P45" s="42" t="b">
        <v>1</v>
      </c>
    </row>
    <row r="46" spans="2:16" x14ac:dyDescent="0.25">
      <c r="M46" s="18">
        <v>51963</v>
      </c>
      <c r="N46" s="42" t="s">
        <v>69</v>
      </c>
      <c r="O46" s="69">
        <v>2.0830000000000001E-2</v>
      </c>
      <c r="P46" s="42" t="b">
        <v>1</v>
      </c>
    </row>
    <row r="47" spans="2:16" x14ac:dyDescent="0.25">
      <c r="M47" s="18">
        <v>53786</v>
      </c>
      <c r="N47" s="42" t="s">
        <v>69</v>
      </c>
      <c r="O47" s="69">
        <v>2.0250000000000001E-2</v>
      </c>
      <c r="P47" s="42" t="b">
        <v>1</v>
      </c>
    </row>
    <row r="48" spans="2:16" x14ac:dyDescent="0.25">
      <c r="M48" s="18">
        <v>55613</v>
      </c>
      <c r="N48" s="42" t="s">
        <v>69</v>
      </c>
      <c r="O48" s="69">
        <v>1.9550000000000001E-2</v>
      </c>
      <c r="P48" s="42" t="b">
        <v>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dimension ref="B2:M39"/>
  <sheetViews>
    <sheetView showGridLines="0" zoomScale="114" workbookViewId="0">
      <selection activeCell="F9" sqref="F9"/>
    </sheetView>
  </sheetViews>
  <sheetFormatPr defaultRowHeight="15" x14ac:dyDescent="0.25"/>
  <cols>
    <col min="1" max="1" width="4.28515625" customWidth="1"/>
    <col min="2" max="2" width="15.5703125" customWidth="1"/>
    <col min="3" max="3" width="21.7109375" bestFit="1" customWidth="1"/>
    <col min="4" max="4" width="16" bestFit="1" customWidth="1"/>
    <col min="5" max="6" width="21.140625" bestFit="1" customWidth="1"/>
    <col min="7" max="7" width="15.140625" bestFit="1" customWidth="1"/>
    <col min="8" max="8" width="22.5703125" bestFit="1" customWidth="1"/>
    <col min="9" max="9" width="21.5703125" bestFit="1" customWidth="1"/>
    <col min="10" max="10" width="13.5703125" bestFit="1" customWidth="1"/>
    <col min="11" max="11" width="18" bestFit="1" customWidth="1"/>
    <col min="13" max="13" width="27.42578125" bestFit="1" customWidth="1"/>
  </cols>
  <sheetData>
    <row r="2" spans="2:13" ht="26.25" x14ac:dyDescent="0.4">
      <c r="B2" s="2" t="s">
        <v>59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25">
      <c r="B4" s="47" t="s">
        <v>50</v>
      </c>
      <c r="C4" s="47"/>
      <c r="D4" s="50" t="e" cm="1">
        <f t="array" aca="1" ref="D4" ca="1">_xll.d.Curve_SingleCurveBootstrap("ForecastingCurve",C9,B24:D29,B31:D34)</f>
        <v>#VALUE!</v>
      </c>
      <c r="E4" s="51"/>
    </row>
    <row r="5" spans="2:13" x14ac:dyDescent="0.25">
      <c r="B5" s="47" t="s">
        <v>51</v>
      </c>
      <c r="C5" s="47"/>
      <c r="D5" s="52" t="e" cm="1">
        <f t="array" aca="1" ref="D5" ca="1">_xll.d.Curve_SingleCurveBootstrap("DiscountingCurve",C9,B24:D29,B31:D34)</f>
        <v>#VALUE!</v>
      </c>
      <c r="E5" s="53"/>
    </row>
    <row r="7" spans="2:13" ht="18.75" x14ac:dyDescent="0.3">
      <c r="B7" s="59" t="s">
        <v>61</v>
      </c>
      <c r="C7" s="60"/>
      <c r="D7" s="68"/>
      <c r="E7" s="68"/>
      <c r="I7" s="3" t="s">
        <v>34</v>
      </c>
      <c r="J7" s="3"/>
      <c r="K7" s="3"/>
      <c r="L7" s="3"/>
      <c r="M7" s="3"/>
    </row>
    <row r="8" spans="2:13" x14ac:dyDescent="0.25">
      <c r="B8" s="61" t="s">
        <v>32</v>
      </c>
      <c r="C8" s="62" t="s">
        <v>33</v>
      </c>
      <c r="D8" s="68"/>
      <c r="E8" s="68"/>
    </row>
    <row r="9" spans="2:13" x14ac:dyDescent="0.25">
      <c r="B9" s="42" t="s">
        <v>31</v>
      </c>
      <c r="C9" s="46">
        <v>44713</v>
      </c>
      <c r="I9" s="23" t="s">
        <v>35</v>
      </c>
      <c r="J9" s="41" t="s">
        <v>42</v>
      </c>
      <c r="K9" s="41" t="s">
        <v>43</v>
      </c>
      <c r="L9" s="41" t="s">
        <v>44</v>
      </c>
      <c r="M9" s="41" t="s">
        <v>45</v>
      </c>
    </row>
    <row r="10" spans="2:13" x14ac:dyDescent="0.25">
      <c r="B10" s="42" t="s">
        <v>50</v>
      </c>
      <c r="C10" s="54" t="s">
        <v>52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#VALUE!</v>
      </c>
      <c r="L10" s="48" t="e">
        <f t="shared" ref="L10:L15" ca="1" si="0">J10-K10</f>
        <v>#VALUE!</v>
      </c>
      <c r="M10" s="49" t="e">
        <f ca="1">L10/J10</f>
        <v>#VALUE!</v>
      </c>
    </row>
    <row r="11" spans="2:13" x14ac:dyDescent="0.25">
      <c r="B11" s="42" t="s">
        <v>51</v>
      </c>
      <c r="C11" s="54" t="s">
        <v>48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#VALUE!</v>
      </c>
      <c r="L11" s="48" t="e">
        <f t="shared" ca="1" si="0"/>
        <v>#VALUE!</v>
      </c>
      <c r="M11" s="49" t="e">
        <f t="shared" ref="M11:M12" ca="1" si="1">L11/J11</f>
        <v>#VALUE!</v>
      </c>
    </row>
    <row r="12" spans="2:13" x14ac:dyDescent="0.25">
      <c r="B12" s="55" t="s">
        <v>54</v>
      </c>
      <c r="C12" s="54" t="s">
        <v>55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#VALUE!</v>
      </c>
      <c r="L12" s="48" t="e">
        <f t="shared" ca="1" si="0"/>
        <v>#VALUE!</v>
      </c>
      <c r="M12" s="49" t="e">
        <f t="shared" ca="1" si="1"/>
        <v>#VALUE!</v>
      </c>
    </row>
    <row r="13" spans="2:13" x14ac:dyDescent="0.25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#VALUE!</v>
      </c>
      <c r="L13" s="48" t="e">
        <f t="shared" ca="1" si="0"/>
        <v>#VALUE!</v>
      </c>
      <c r="M13" s="49" t="e">
        <f ca="1">L13/J13</f>
        <v>#VALUE!</v>
      </c>
    </row>
    <row r="14" spans="2:13" x14ac:dyDescent="0.25">
      <c r="B14" s="59" t="s">
        <v>58</v>
      </c>
      <c r="C14" s="60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#VALUE!</v>
      </c>
      <c r="L14" s="48" t="e">
        <f t="shared" ca="1" si="0"/>
        <v>#VALUE!</v>
      </c>
      <c r="M14" s="49" t="e">
        <f ca="1">L14/J14</f>
        <v>#VALUE!</v>
      </c>
    </row>
    <row r="15" spans="2:13" x14ac:dyDescent="0.25">
      <c r="B15" s="61" t="s">
        <v>32</v>
      </c>
      <c r="C15" s="62" t="s">
        <v>33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#VALUE!</v>
      </c>
      <c r="L15" s="48" t="e">
        <f t="shared" ca="1" si="0"/>
        <v>#VALUE!</v>
      </c>
      <c r="M15" s="49" t="e">
        <f ca="1">L15/J15</f>
        <v>#VALUE!</v>
      </c>
    </row>
    <row r="16" spans="2:13" x14ac:dyDescent="0.25">
      <c r="B16" s="42" t="s">
        <v>56</v>
      </c>
      <c r="C16" s="54" t="s">
        <v>52</v>
      </c>
    </row>
    <row r="17" spans="2:9" x14ac:dyDescent="0.25">
      <c r="B17" s="42" t="s">
        <v>36</v>
      </c>
      <c r="C17" s="54" t="s">
        <v>60</v>
      </c>
    </row>
    <row r="18" spans="2:9" x14ac:dyDescent="0.25">
      <c r="E18" s="42"/>
      <c r="F18" s="54"/>
      <c r="H18" s="46"/>
    </row>
    <row r="19" spans="2:9" x14ac:dyDescent="0.25">
      <c r="B19" s="59" t="s">
        <v>58</v>
      </c>
      <c r="C19" s="60"/>
      <c r="H19" s="46"/>
      <c r="I19" s="46"/>
    </row>
    <row r="20" spans="2:9" x14ac:dyDescent="0.25">
      <c r="B20" s="61" t="s">
        <v>32</v>
      </c>
      <c r="C20" s="62" t="s">
        <v>33</v>
      </c>
      <c r="H20" s="46"/>
      <c r="I20" s="46"/>
    </row>
    <row r="21" spans="2:9" x14ac:dyDescent="0.25">
      <c r="B21" s="42" t="s">
        <v>56</v>
      </c>
      <c r="C21" s="54" t="s">
        <v>48</v>
      </c>
      <c r="I21" s="46"/>
    </row>
    <row r="22" spans="2:9" x14ac:dyDescent="0.25">
      <c r="B22" s="42" t="s">
        <v>36</v>
      </c>
      <c r="C22" s="54" t="s">
        <v>49</v>
      </c>
      <c r="H22" s="42"/>
    </row>
    <row r="23" spans="2:9" x14ac:dyDescent="0.25">
      <c r="H23" s="42"/>
      <c r="I23" s="46"/>
    </row>
    <row r="24" spans="2:9" x14ac:dyDescent="0.25">
      <c r="B24" s="12" t="s">
        <v>23</v>
      </c>
      <c r="C24" s="27"/>
      <c r="D24" s="13"/>
      <c r="E24" s="13"/>
      <c r="F24" s="13"/>
      <c r="G24" s="13"/>
      <c r="I24" s="46"/>
    </row>
    <row r="25" spans="2:9" x14ac:dyDescent="0.25">
      <c r="B25" s="43" t="s">
        <v>39</v>
      </c>
      <c r="C25" s="44" t="s">
        <v>36</v>
      </c>
      <c r="D25" s="44" t="s">
        <v>40</v>
      </c>
      <c r="E25" s="67" t="s">
        <v>64</v>
      </c>
      <c r="F25" s="67" t="s">
        <v>65</v>
      </c>
      <c r="G25" s="45" t="s">
        <v>53</v>
      </c>
    </row>
    <row r="26" spans="2:9" x14ac:dyDescent="0.25">
      <c r="B26" s="42" t="s">
        <v>27</v>
      </c>
      <c r="C26" s="42" t="s">
        <v>37</v>
      </c>
      <c r="D26" s="42">
        <v>0.1</v>
      </c>
      <c r="E26" s="42" t="s">
        <v>52</v>
      </c>
      <c r="F26" s="42" t="s">
        <v>48</v>
      </c>
      <c r="G26" t="b">
        <v>1</v>
      </c>
    </row>
    <row r="27" spans="2:9" x14ac:dyDescent="0.25">
      <c r="B27" s="42" t="s">
        <v>28</v>
      </c>
      <c r="C27" s="42" t="s">
        <v>37</v>
      </c>
      <c r="D27" s="42">
        <v>0.1</v>
      </c>
      <c r="E27" s="42" t="s">
        <v>52</v>
      </c>
      <c r="F27" s="42" t="s">
        <v>48</v>
      </c>
      <c r="G27" t="b">
        <v>1</v>
      </c>
    </row>
    <row r="28" spans="2:9" x14ac:dyDescent="0.25">
      <c r="B28" s="42" t="s">
        <v>26</v>
      </c>
      <c r="C28" s="42" t="s">
        <v>37</v>
      </c>
      <c r="D28" s="42">
        <v>0.1</v>
      </c>
      <c r="E28" s="42" t="s">
        <v>52</v>
      </c>
      <c r="F28" s="42" t="s">
        <v>48</v>
      </c>
      <c r="G28" t="b">
        <v>1</v>
      </c>
    </row>
    <row r="29" spans="2:9" x14ac:dyDescent="0.25">
      <c r="B29" s="42" t="s">
        <v>29</v>
      </c>
      <c r="C29" s="42" t="s">
        <v>37</v>
      </c>
      <c r="D29" s="42">
        <v>0.1</v>
      </c>
      <c r="E29" s="42" t="s">
        <v>52</v>
      </c>
      <c r="F29" s="42" t="s">
        <v>48</v>
      </c>
      <c r="G29" t="b">
        <v>1</v>
      </c>
    </row>
    <row r="31" spans="2:9" x14ac:dyDescent="0.25">
      <c r="B31" s="12" t="s">
        <v>38</v>
      </c>
      <c r="C31" s="27"/>
      <c r="D31" s="13"/>
      <c r="E31" s="13"/>
      <c r="F31" s="13"/>
      <c r="G31" s="13"/>
    </row>
    <row r="32" spans="2:9" x14ac:dyDescent="0.25">
      <c r="B32" s="43" t="s">
        <v>39</v>
      </c>
      <c r="C32" s="44" t="s">
        <v>36</v>
      </c>
      <c r="D32" s="44" t="s">
        <v>40</v>
      </c>
      <c r="E32" s="67" t="s">
        <v>64</v>
      </c>
      <c r="F32" s="67" t="s">
        <v>65</v>
      </c>
      <c r="G32" s="45" t="s">
        <v>53</v>
      </c>
    </row>
    <row r="33" spans="2:7" x14ac:dyDescent="0.25">
      <c r="B33" s="42" t="s">
        <v>29</v>
      </c>
      <c r="C33" s="42" t="s">
        <v>37</v>
      </c>
      <c r="D33" s="42">
        <v>0.1</v>
      </c>
      <c r="E33" s="42" t="s">
        <v>52</v>
      </c>
      <c r="F33" s="42" t="s">
        <v>48</v>
      </c>
      <c r="G33" t="b">
        <v>1</v>
      </c>
    </row>
    <row r="34" spans="2:7" x14ac:dyDescent="0.25">
      <c r="B34" s="42" t="s">
        <v>30</v>
      </c>
      <c r="C34" s="42" t="s">
        <v>37</v>
      </c>
      <c r="D34" s="42">
        <v>0.1</v>
      </c>
      <c r="E34" s="42" t="s">
        <v>52</v>
      </c>
      <c r="F34" s="42" t="s">
        <v>48</v>
      </c>
      <c r="G34" t="b">
        <v>1</v>
      </c>
    </row>
    <row r="36" spans="2:7" x14ac:dyDescent="0.25">
      <c r="B36" s="12" t="s">
        <v>46</v>
      </c>
      <c r="C36" s="27"/>
      <c r="D36" s="13"/>
      <c r="E36" s="13"/>
      <c r="F36" s="13"/>
      <c r="G36" s="13"/>
    </row>
    <row r="37" spans="2:7" x14ac:dyDescent="0.25">
      <c r="B37" s="43" t="s">
        <v>24</v>
      </c>
      <c r="C37" s="44" t="s">
        <v>36</v>
      </c>
      <c r="D37" s="44" t="s">
        <v>25</v>
      </c>
      <c r="E37" s="67" t="s">
        <v>64</v>
      </c>
      <c r="F37" s="67" t="s">
        <v>65</v>
      </c>
      <c r="G37" s="45" t="s">
        <v>53</v>
      </c>
    </row>
    <row r="38" spans="2:7" x14ac:dyDescent="0.25">
      <c r="B38" s="42" t="s">
        <v>62</v>
      </c>
      <c r="C38" s="42" t="s">
        <v>37</v>
      </c>
      <c r="D38" s="42">
        <v>0.1</v>
      </c>
      <c r="E38" s="42" t="s">
        <v>52</v>
      </c>
      <c r="F38" s="42" t="s">
        <v>48</v>
      </c>
      <c r="G38" t="b">
        <v>1</v>
      </c>
    </row>
    <row r="39" spans="2:7" x14ac:dyDescent="0.25">
      <c r="B39" s="42" t="s">
        <v>63</v>
      </c>
      <c r="C39" s="42" t="s">
        <v>37</v>
      </c>
      <c r="D39" s="42">
        <v>0.1</v>
      </c>
      <c r="E39" s="42" t="s">
        <v>52</v>
      </c>
      <c r="F39" s="42" t="s">
        <v>48</v>
      </c>
      <c r="G39" t="b">
        <v>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dimension ref="B2:J67"/>
  <sheetViews>
    <sheetView showGridLines="0" topLeftCell="A2" zoomScaleNormal="115" workbookViewId="0">
      <selection activeCell="F21" sqref="F21"/>
    </sheetView>
  </sheetViews>
  <sheetFormatPr defaultRowHeight="15" x14ac:dyDescent="0.25"/>
  <cols>
    <col min="1" max="1" width="4.140625" customWidth="1"/>
    <col min="2" max="2" width="15" customWidth="1"/>
    <col min="3" max="3" width="15.5703125" customWidth="1"/>
    <col min="7" max="7" width="19.85546875" customWidth="1"/>
    <col min="8" max="8" width="12" bestFit="1" customWidth="1"/>
    <col min="9" max="9" width="13.28515625" customWidth="1"/>
    <col min="10" max="10" width="10" customWidth="1"/>
  </cols>
  <sheetData>
    <row r="2" spans="2:10" ht="26.25" x14ac:dyDescent="0.4">
      <c r="B2" s="2" t="s">
        <v>12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13</v>
      </c>
      <c r="C4" s="3"/>
      <c r="D4" s="3"/>
      <c r="E4" s="3"/>
      <c r="G4" s="3" t="s">
        <v>14</v>
      </c>
      <c r="H4" s="3"/>
      <c r="I4" s="3"/>
      <c r="J4" s="3"/>
    </row>
    <row r="6" spans="2:10" x14ac:dyDescent="0.25">
      <c r="B6" s="12" t="s">
        <v>3</v>
      </c>
      <c r="C6" s="25" t="str" cm="1">
        <f t="array" aca="1" ref="C6" ca="1">_xll.d.Curve_Create("CurveForHullWhite",B9:B41,C9:C41)</f>
        <v>@@CurveForHullWhite::16:52:22</v>
      </c>
      <c r="D6" s="25"/>
      <c r="E6" s="26"/>
      <c r="F6" s="9"/>
      <c r="G6" s="12" t="s">
        <v>18</v>
      </c>
      <c r="H6" s="27" t="s">
        <v>19</v>
      </c>
      <c r="I6" s="27" t="s">
        <v>20</v>
      </c>
      <c r="J6" s="13" t="s">
        <v>15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16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16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16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16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16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16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17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21</v>
      </c>
      <c r="H17" s="39" t="e" cm="1">
        <f t="array" aca="1" ref="H17" ca="1">_xll.d.HullWhite_Calibrate("HW",C6,G6:J12)</f>
        <v>#VALUE!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aca="1" ref="G21" ca="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5</v>
      </c>
      <c r="C55" s="3"/>
    </row>
    <row r="57" spans="2:6" x14ac:dyDescent="0.25">
      <c r="B57" s="7" t="s">
        <v>10</v>
      </c>
      <c r="C57" s="7" t="s">
        <v>11</v>
      </c>
    </row>
    <row r="58" spans="2:6" x14ac:dyDescent="0.25">
      <c r="B58" t="s">
        <v>6</v>
      </c>
      <c r="C58" t="str" cm="1">
        <f t="array" aca="1" ref="C58" ca="1">_xll.d.And(F62:F64)</f>
        <v>OK</v>
      </c>
    </row>
    <row r="60" spans="2:6" ht="15.75" x14ac:dyDescent="0.25">
      <c r="B60" s="4" t="s">
        <v>6</v>
      </c>
      <c r="C60" s="4"/>
    </row>
    <row r="62" spans="2:6" x14ac:dyDescent="0.25">
      <c r="B62" t="s">
        <v>8</v>
      </c>
      <c r="C62" s="1">
        <f>B12</f>
        <v>44741</v>
      </c>
      <c r="D62" s="5" cm="1">
        <f t="array" aca="1" ref="D62" ca="1">_xll.d.Curve_DF(C6,C62)</f>
        <v>0.99992300000000001</v>
      </c>
      <c r="E62" s="5">
        <f>VLOOKUP(C62,B9:C14,2,FALSE)</f>
        <v>0.99992300000000001</v>
      </c>
      <c r="F62" t="str" cm="1">
        <f t="array" aca="1" ref="F62" ca="1">_xll.d.Equal(D62,E62)</f>
        <v>OK</v>
      </c>
    </row>
    <row r="64" spans="2:6" x14ac:dyDescent="0.25">
      <c r="B64" t="s">
        <v>9</v>
      </c>
      <c r="C64" s="1">
        <v>44607</v>
      </c>
      <c r="D64" s="5" t="e" cm="1">
        <f t="array" aca="1" ref="D64" ca="1">_xll.d.Curve_DF(C6,C64)</f>
        <v>#VALUE!</v>
      </c>
      <c r="E64" s="5">
        <f>EXP((LN(C11)-LN(C10))/((B11-B10)/365)*((C64-B10)/365)+LN(C10))</f>
        <v>1.0001980222018509</v>
      </c>
      <c r="F64" t="str" cm="1">
        <f t="array" aca="1" ref="F64" ca="1">_xll.d.Equal(D64,E64)</f>
        <v>ERROR</v>
      </c>
    </row>
    <row r="67" spans="2:5" ht="15.75" x14ac:dyDescent="0.25">
      <c r="B67" s="4" t="s">
        <v>7</v>
      </c>
      <c r="C67" s="4"/>
      <c r="E67" s="6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dimension ref="A1"/>
  <sheetViews>
    <sheetView showGridLines="0" tabSelected="1" workbookViewId="0">
      <selection activeCell="E5" sqref="E5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Curves</vt:lpstr>
      <vt:lpstr>SinlgeCurveBootstrapping</vt:lpstr>
      <vt:lpstr>MultiCurveBootstrapping</vt:lpstr>
      <vt:lpstr>HullWhite</vt:lpstr>
      <vt:lpstr>Table Formatting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2022-07-08T08:22:49Z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