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F0EAB2F7-7E6F-4159-A2C5-902F980BBE53}" xr6:coauthVersionLast="46" xr6:coauthVersionMax="46" xr10:uidLastSave="{00000000-0000-0000-0000-000000000000}"/>
  <bookViews>
    <workbookView xWindow="-120" yWindow="-120" windowWidth="24240" windowHeight="13140" tabRatio="485" xr2:uid="{CFAC4E8B-1C32-41D2-A11E-38180CE9FB57}"/>
  </bookViews>
  <sheets>
    <sheet name="Curv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1" l="1"/>
  <c r="C23" i="1"/>
  <c r="E23" i="1" s="1"/>
  <c r="C6" i="1" a="1"/>
  <c r="C6" i="1" l="1"/>
  <c r="D23" i="1" a="1"/>
  <c r="D25" i="1" a="1"/>
  <c r="D25" i="1" l="1"/>
  <c r="D23" i="1"/>
  <c r="F23" i="1" a="1"/>
  <c r="F25" i="1" a="1"/>
  <c r="F23" i="1" l="1"/>
  <c r="F25" i="1"/>
  <c r="C19" i="1" a="1"/>
  <c r="C19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<sst xmlns="http://schemas.openxmlformats.org/spreadsheetml/2006/main" count="23" uniqueCount="22">
  <si>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</si>
  <si>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</si>
  <si>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</si>
  <si>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</si>
  <si>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</si>
  <si>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</si>
  <si>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</si>
  <si>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</si>
  <si>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</si>
  <si>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</si>
  <si>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</si>
  <si>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</si>
  <si>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@@IRS1</t>
  </si>
  <si>
    <t>@@IRS2</t>
  </si>
  <si>
    <t>@@ZARSwap</t>
  </si>
  <si>
    <t>Deposits</t>
  </si>
  <si>
    <t>Swaps</t>
  </si>
  <si>
    <t>FRAs</t>
  </si>
  <si>
    <t>Start Date</t>
  </si>
  <si>
    <t>End Date</t>
  </si>
  <si>
    <t>Rate</t>
  </si>
  <si>
    <t>Compounding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</si>
</sst>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00000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15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quotePrefix="1"/>
    <xf numFmtId="166" fontId="0" fillId="0" borderId="0" xfId="0" quotePrefix="1" applyNumberFormat="1"/>
    <xf numFmtId="15" fontId="0" fillId="0" borderId="0" xfId="0" applyNumberFormat="1"/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Q28"/>
  <sheetViews>
    <sheetView showGridLines="0" tabSelected="1" zoomScale="122" zoomScaleNormal="145" workbookViewId="0">
      <selection activeCell="K8" sqref="K8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10.8554687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@@ExampleCurve::16:08:03</v>
      </c>
      <c r="F6" s="14">
        <v>43832</v>
      </c>
    </row>
    <row r="7" spans="2:17" x14ac:dyDescent="0.25">
      <c r="F7" s="12" t="s">
        <v>14</v>
      </c>
    </row>
    <row r="8" spans="2:17" x14ac:dyDescent="0.25">
      <c r="B8" s="2" t="s">
        <v>0</v>
      </c>
      <c r="C8" s="2" t="s">
        <v>2</v>
      </c>
      <c r="E8" s="12" t="s">
        <v>12</v>
      </c>
    </row>
    <row r="9" spans="2:17" x14ac:dyDescent="0.25">
      <c r="B9" s="9">
        <v>44562</v>
      </c>
      <c r="C9" s="6">
        <v>1</v>
      </c>
      <c r="E9" s="12" t="s">
        <v>13</v>
      </c>
    </row>
    <row r="10" spans="2:17" x14ac:dyDescent="0.25">
      <c r="B10" s="9">
        <v>44593</v>
      </c>
      <c r="C10" s="6">
        <v>0.95</v>
      </c>
      <c r="E10" s="13"/>
      <c r="F10" s="10"/>
    </row>
    <row r="11" spans="2:17" x14ac:dyDescent="0.25">
      <c r="B11" s="9">
        <v>44621</v>
      </c>
      <c r="C11" s="6">
        <v>0.9</v>
      </c>
      <c r="E11" s="9"/>
      <c r="F11" s="10"/>
      <c r="H11" s="11"/>
    </row>
    <row r="12" spans="2:17" x14ac:dyDescent="0.25">
      <c r="B12" s="9">
        <v>44652</v>
      </c>
      <c r="C12" s="6">
        <v>0.85</v>
      </c>
      <c r="F12" s="1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  <c r="I16" t="s">
        <v>15</v>
      </c>
    </row>
    <row r="17" spans="2:12" x14ac:dyDescent="0.25">
      <c r="I17" t="s">
        <v>18</v>
      </c>
      <c r="J17" t="s">
        <v>19</v>
      </c>
      <c r="K17" t="s">
        <v>20</v>
      </c>
      <c r="L17" t="s">
        <v>21</v>
      </c>
    </row>
    <row r="18" spans="2:12" x14ac:dyDescent="0.25">
      <c r="B18" s="8" t="s">
        <v>10</v>
      </c>
      <c r="C18" s="8" t="s">
        <v>11</v>
      </c>
    </row>
    <row r="19" spans="2:12" x14ac:dyDescent="0.25">
      <c r="B19" t="s">
        <v>6</v>
      </c>
      <c r="C19" t="str" cm="1">
        <f t="array" ref="C19">_xll.d.And(F23:F25)</f>
        <v>OK</v>
      </c>
    </row>
    <row r="20" spans="2:12" x14ac:dyDescent="0.25">
      <c r="I20" t="s">
        <v>17</v>
      </c>
    </row>
    <row r="21" spans="2:12" ht="15.75" x14ac:dyDescent="0.25">
      <c r="B21" s="5" t="s">
        <v>6</v>
      </c>
      <c r="C21" s="5"/>
    </row>
    <row r="23" spans="2:12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4" spans="2:12" x14ac:dyDescent="0.25">
      <c r="I24" t="s">
        <v>16</v>
      </c>
    </row>
    <row r="25" spans="2:12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12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2022-05-13T15:50:58Z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