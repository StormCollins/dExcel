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52F8AF5-563C-4135-B685-BFE10091937B}" xr6:coauthVersionLast="47" xr6:coauthVersionMax="47" xr10:uidLastSave="{00000000-0000-0000-0000-000000000000}"/>
  <bookViews>
    <workbookView xWindow="-23985" yWindow="5580" windowWidth="18000" windowHeight="9360" tabRatio="485" activeTab="1" xr2:uid="{CFAC4E8B-1C32-41D2-A11E-38180CE9FB57}"/>
  </bookViews>
  <sheets>
    <sheet name="Curves" sheetId="1" r:id="rId1"/>
    <sheet name="HullWhi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2" l="1"/>
  <c r="E64" i="2"/>
  <c r="E25" i="1"/>
  <c r="C23" i="1"/>
  <c r="E23" i="1" s="1"/>
  <c r="C6" i="1" a="1"/>
  <c r="C6" i="2" a="1"/>
  <c r="C6" i="2" l="1"/>
  <c r="E62" i="2"/>
  <c r="C6" i="1"/>
  <c r="D23" i="1" a="1"/>
  <c r="D25" i="1" a="1"/>
  <c r="D62" i="2" a="1"/>
  <c r="H17" i="2" a="1"/>
  <c r="D64" i="2" a="1"/>
  <c r="H17" i="2" l="1"/>
  <c r="D64" i="2"/>
  <c r="D62" i="2"/>
  <c r="D25" i="1"/>
  <c r="D23" i="1"/>
  <c r="F23" i="1" a="1"/>
  <c r="F25" i="1" a="1"/>
  <c r="G21" i="2" a="1"/>
  <c r="F64" i="2" a="1"/>
  <c r="F62" i="2" a="1"/>
  <c r="G21" i="2" l="1"/>
  <c r="F62" i="2"/>
  <c r="F64" i="2"/>
  <c r="F23" i="1"/>
  <c r="F25" i="1"/>
  <c r="C19" i="1" a="1"/>
  <c r="C58" i="2" a="1"/>
  <c r="C58" i="2" l="1"/>
  <c r="C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<sst xmlns="http://schemas.openxmlformats.org/spreadsheetml/2006/main" count="39" uniqueCount="22">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</sst>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0000000"/>
    <numFmt numFmtId="166" formatCode="yyyy\-mm\-dd;@"/>
    <numFmt numFmtId="167" formatCode="#,##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4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zoomScale="122" zoomScaleNormal="145" workbookViewId="0">
      <selection activeCell="B44" sqref="B44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@@ExampleCurve::16:08:03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10"/>
      <c r="H11" s="11"/>
    </row>
    <row r="12" spans="2:17" x14ac:dyDescent="0.25">
      <c r="B12" s="9">
        <v>44652</v>
      </c>
      <c r="C12" s="6">
        <v>0.85</v>
      </c>
      <c r="F12" s="1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abSelected="1" zoomScale="115" zoomScaleNormal="115" workbookViewId="0">
      <selection activeCell="H27" sqref="H27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@@CurveForHullWhite::19:44:17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str" cm="1">
        <f t="array" ref="H17">_xll.d.HullWhite_Calibrate("HW",C6,G6:J12)</f>
        <v>@@HW::19:44:17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str" cm="1">
        <f t="array" ref="G21:H23">_xll.d.HullWhite_GetParameters(H17)</f>
        <v>Parameter</v>
      </c>
      <c r="H21" s="41" t="str">
        <v>Value</v>
      </c>
    </row>
    <row r="22" spans="2:9" x14ac:dyDescent="0.25">
      <c r="B22" s="21">
        <v>45041</v>
      </c>
      <c r="C22" s="24">
        <v>0.99856400000000001</v>
      </c>
      <c r="G22" s="21" t="str">
        <v>ɑ</v>
      </c>
      <c r="H22" s="24">
        <v>5.048469944165709E-3</v>
      </c>
    </row>
    <row r="23" spans="2:9" x14ac:dyDescent="0.25">
      <c r="B23" s="21">
        <v>45071</v>
      </c>
      <c r="C23" s="24">
        <v>0.998309</v>
      </c>
      <c r="G23" s="22" t="str">
        <v>σ</v>
      </c>
      <c r="H23" s="25">
        <v>7.2478188693993334E-3</v>
      </c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Curves</vt:lpstr>
      <vt:lpstr>HullWhite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2022-05-25T18:00:06Z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