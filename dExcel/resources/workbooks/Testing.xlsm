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2106C4B8-6F35-45D8-9BE1-D3034A51C498}" xr6:coauthVersionLast="47" xr6:coauthVersionMax="47" xr10:uidLastSave="{00000000-0000-0000-0000-000000000000}"/>
  <bookViews>
    <workbookView xWindow="-120" yWindow="-120" windowWidth="24240" windowHeight="13140" tabRatio="485" activeTab="2" xr2:uid="{CFAC4E8B-1C32-41D2-A11E-38180CE9FB57}"/>
  </bookViews>
  <sheets>
    <sheet name="Curves" sheetId="1" r:id="rId1"/>
    <sheet name="HullWhite" sheetId="2" r:id="rId2"/>
    <sheet name="SinlgeCurveBootstrapping" sheetId="3" r:id="rId3"/>
    <sheet name="MultiCurveBootstrapping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4" l="1"/>
  <c r="G15" i="4" s="1"/>
  <c r="G10" i="3"/>
  <c r="G12" i="3" s="1"/>
  <c r="H12" i="3" s="1"/>
  <c r="C62" i="2"/>
  <c r="E64" i="2"/>
  <c r="E25" i="1"/>
  <c r="C23" i="1"/>
  <c r="E23" i="1" s="1"/>
  <c r="C6" i="1" a="1"/>
  <c r="D5" i="4" a="1"/>
  <c r="D4" i="4" a="1"/>
  <c r="C6" i="2" a="1"/>
  <c r="I14" i="3" a="1"/>
  <c r="I13" i="3" a="1"/>
  <c r="I12" i="3" a="1"/>
  <c r="I11" i="3" a="1"/>
  <c r="I10" i="3" a="1"/>
  <c r="D4" i="3" a="1"/>
  <c r="I14" i="3" l="1"/>
  <c r="I13" i="3"/>
  <c r="I12" i="3"/>
  <c r="I11" i="3"/>
  <c r="I10" i="3"/>
  <c r="D4" i="3"/>
  <c r="G12" i="4"/>
  <c r="H12" i="4" s="1"/>
  <c r="G14" i="4"/>
  <c r="H14" i="4" s="1"/>
  <c r="H15" i="4" s="1"/>
  <c r="D5" i="4"/>
  <c r="D4" i="4"/>
  <c r="G11" i="4"/>
  <c r="H11" i="4" s="1"/>
  <c r="G13" i="4"/>
  <c r="H13" i="4" s="1"/>
  <c r="G13" i="3"/>
  <c r="H13" i="3" s="1"/>
  <c r="G14" i="3"/>
  <c r="H14" i="3" s="1"/>
  <c r="G11" i="3"/>
  <c r="H11" i="3" s="1"/>
  <c r="G15" i="3"/>
  <c r="C6" i="1"/>
  <c r="C6" i="2"/>
  <c r="E62" i="2"/>
  <c r="H17" i="2" a="1"/>
  <c r="I13" i="4" a="1"/>
  <c r="I11" i="4" a="1"/>
  <c r="D23" i="1" a="1"/>
  <c r="D25" i="1" a="1"/>
  <c r="I14" i="4" a="1"/>
  <c r="I15" i="4" a="1"/>
  <c r="D62" i="2" a="1"/>
  <c r="I12" i="4" a="1"/>
  <c r="D64" i="2" a="1"/>
  <c r="I10" i="4" a="1"/>
  <c r="I15" i="3" a="1"/>
  <c r="I15" i="3" l="1"/>
  <c r="J10" i="3"/>
  <c r="K10" i="3" s="1"/>
  <c r="J13" i="3"/>
  <c r="K13" i="3" s="1"/>
  <c r="J11" i="3"/>
  <c r="K11" i="3" s="1"/>
  <c r="J12" i="3"/>
  <c r="K12" i="3" s="1"/>
  <c r="J14" i="3"/>
  <c r="K14" i="3" s="1"/>
  <c r="D25" i="1"/>
  <c r="D23" i="1"/>
  <c r="I11" i="4"/>
  <c r="J11" i="4" s="1"/>
  <c r="K11" i="4" s="1"/>
  <c r="I13" i="4"/>
  <c r="J13" i="4" s="1"/>
  <c r="K13" i="4" s="1"/>
  <c r="I15" i="4"/>
  <c r="J15" i="4" s="1"/>
  <c r="K15" i="4" s="1"/>
  <c r="I14" i="4"/>
  <c r="J14" i="4" s="1"/>
  <c r="K14" i="4" s="1"/>
  <c r="I12" i="4"/>
  <c r="J12" i="4" s="1"/>
  <c r="K12" i="4" s="1"/>
  <c r="I10" i="4"/>
  <c r="J10" i="4" s="1"/>
  <c r="K10" i="4" s="1"/>
  <c r="H15" i="3"/>
  <c r="H17" i="2"/>
  <c r="D64" i="2"/>
  <c r="D62" i="2"/>
  <c r="F64" i="2" a="1"/>
  <c r="F25" i="1" a="1"/>
  <c r="F23" i="1" a="1"/>
  <c r="F62" i="2" a="1"/>
  <c r="G21" i="2" a="1"/>
  <c r="J15" i="3" l="1"/>
  <c r="K15" i="3" s="1"/>
  <c r="G21" i="2"/>
  <c r="F62" i="2"/>
  <c r="F64" i="2"/>
  <c r="F23" i="1"/>
  <c r="F25" i="1"/>
  <c r="C58" i="2" a="1"/>
  <c r="C19" i="1" a="1"/>
  <c r="C19" i="1" l="1"/>
  <c r="C5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<sst xmlns="http://schemas.openxmlformats.org/spreadsheetml/2006/main" count="164" uniqueCount="70">
  <si>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</si>
  <si>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</si>
  <si>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</si>
  <si>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</si>
  <si>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</si>
  <si>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</si>
  <si>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</si>
  <si>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</si>
  <si>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</si>
  <si>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</si>
  <si>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</si>
  <si>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</si>
  <si>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</si>
  <si>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</si>
  <si>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</si>
  <si>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</si>
  <si>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</si>
  <si>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</si>
  <si>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</si>
  <si>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</si>
  <si>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</si>
  <si>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</si>
  <si>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</si>
  <si>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</si>
  <si>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</si>
  <si>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</si>
  <si>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</si>
  <si>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</si>
  <si>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</si>
  <si>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</si>
  <si>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</si>
  <si>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</si>
  <si>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</si>
  <si>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</si>
  <si>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Parameters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</si>
  <si>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</si>
  <si>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</si>
  <si>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</si>
  <si>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</si>
  <si>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</si>
  <si>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</si>
  <si>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</si>
  <si>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</si>
  <si>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</si>
  <si>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</si>
  <si>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</si>
  <si>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</si>
  <si>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</si>
  <si>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</si>
  <si>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</si>
  <si>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</si>
  <si>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</si>
  <si>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</si>
  <si>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</si>
  <si>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</si>
  <si>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Day Count Convention</t>
  </si>
  <si>
    <t>Start Date</t>
  </si>
  <si>
    <t>End Date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</si>
  <si>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</si>
  <si>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</si>
  <si>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</si>
  <si>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</si>
  <si>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</si>
  <si>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</si>
  <si>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</si>
  <si>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Overnight Index Swaps</t>
  </si>
  <si>
    <t>Curve Parameters</t>
  </si>
  <si>
    <t>Instrument Tables</t>
  </si>
  <si>
    <t>1y</t>
  </si>
  <si>
    <t>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</si>
</sst>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0000000000000"/>
    <numFmt numFmtId="166" formatCode="yyyy\-mm\-dd;@"/>
    <numFmt numFmtId="167" formatCode="#,##0.000000"/>
    <numFmt numFmtId="168" formatCode="#,##0.0000"/>
    <numFmt numFmtId="169" formatCode="#,##0.000000000"/>
    <numFmt numFmtId="170" formatCode="0.0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73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1" xfId="1"/>
    <xf numFmtId="0" fontId="3" fillId="0" borderId="2" xfId="2"/>
    <xf numFmtId="0" fontId="4" fillId="0" borderId="3" xfId="3"/>
    <xf numFmtId="164" fontId="0" fillId="0" borderId="0" xfId="0" applyNumberFormat="1"/>
    <xf numFmtId="165" fontId="0" fillId="0" borderId="0" xfId="0" applyNumberFormat="1"/>
    <xf numFmtId="0" fontId="5" fillId="2" borderId="0" xfId="0" applyFont="1" applyFill="1"/>
    <xf numFmtId="166" fontId="0" fillId="0" borderId="0" xfId="0" applyNumberFormat="1"/>
    <xf numFmtId="4" fontId="0" fillId="0" borderId="0" xfId="0" applyNumberFormat="1"/>
    <xf numFmtId="9" fontId="0" fillId="0" borderId="0" xfId="0" applyNumberFormat="1"/>
    <xf numFmtId="0" fontId="0" fillId="0" borderId="0" xfId="0" quotePrefix="1"/>
    <xf numFmtId="166" fontId="0" fillId="0" borderId="0" xfId="0" quotePrefix="1" applyNumberFormat="1"/>
    <xf numFmtId="15" fontId="0" fillId="0" borderId="0" xfId="0" applyNumberFormat="1"/>
    <xf numFmtId="0" fontId="7" fillId="3" borderId="6" xfId="0" applyFont="1" applyFill="1" applyBorder="1" applyAlignment="1">
      <alignment horizontal="centerContinuous" vertical="center"/>
    </xf>
    <xf numFmtId="0" fontId="7" fillId="3" borderId="7" xfId="0" applyFont="1" applyFill="1" applyBorder="1" applyAlignment="1">
      <alignment horizontal="centerContinuous" vertical="center"/>
    </xf>
    <xf numFmtId="4" fontId="6" fillId="0" borderId="11" xfId="0" applyNumberFormat="1" applyFont="1" applyBorder="1" applyAlignment="1">
      <alignment horizontal="right" vertical="center"/>
    </xf>
    <xf numFmtId="4" fontId="6" fillId="0" borderId="13" xfId="0" applyNumberFormat="1" applyFont="1" applyBorder="1" applyAlignment="1">
      <alignment horizontal="right" vertical="center"/>
    </xf>
    <xf numFmtId="4" fontId="6" fillId="0" borderId="15" xfId="0" applyNumberFormat="1" applyFont="1" applyBorder="1" applyAlignment="1">
      <alignment horizontal="right" vertical="center"/>
    </xf>
    <xf numFmtId="166" fontId="6" fillId="0" borderId="11" xfId="0" applyNumberFormat="1" applyFont="1" applyBorder="1" applyAlignment="1">
      <alignment horizontal="right" vertical="center"/>
    </xf>
    <xf numFmtId="166" fontId="6" fillId="0" borderId="13" xfId="0" applyNumberFormat="1" applyFont="1" applyBorder="1" applyAlignment="1">
      <alignment horizontal="right" vertical="center"/>
    </xf>
    <xf numFmtId="166" fontId="6" fillId="0" borderId="15" xfId="0" applyNumberFormat="1" applyFont="1" applyBorder="1" applyAlignment="1">
      <alignment horizontal="right" vertical="center"/>
    </xf>
    <xf numFmtId="167" fontId="6" fillId="0" borderId="12" xfId="0" applyNumberFormat="1" applyFont="1" applyBorder="1" applyAlignment="1">
      <alignment horizontal="right" vertical="center"/>
    </xf>
    <xf numFmtId="167" fontId="6" fillId="0" borderId="14" xfId="0" applyNumberFormat="1" applyFont="1" applyBorder="1" applyAlignment="1">
      <alignment horizontal="right" vertical="center"/>
    </xf>
    <xf numFmtId="167" fontId="6" fillId="0" borderId="16" xfId="0" applyNumberFormat="1" applyFont="1" applyBorder="1" applyAlignment="1">
      <alignment horizontal="right" vertical="center"/>
    </xf>
    <xf numFmtId="0" fontId="7" fillId="3" borderId="9" xfId="0" applyFont="1" applyFill="1" applyBorder="1" applyAlignment="1">
      <alignment horizontal="centerContinuous" vertical="center"/>
    </xf>
    <xf numFmtId="0" fontId="7" fillId="3" borderId="10" xfId="0" applyFont="1" applyFill="1" applyBorder="1" applyAlignment="1">
      <alignment horizontal="centerContinuous" vertical="center"/>
    </xf>
    <xf numFmtId="0" fontId="0" fillId="0" borderId="5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7" fillId="3" borderId="8" xfId="0" applyFont="1" applyFill="1" applyBorder="1" applyAlignment="1">
      <alignment horizontal="centerContinuous" vertical="center"/>
    </xf>
    <xf numFmtId="4" fontId="6" fillId="0" borderId="17" xfId="0" applyNumberFormat="1" applyFont="1" applyBorder="1" applyAlignment="1">
      <alignment horizontal="right" vertical="center"/>
    </xf>
    <xf numFmtId="4" fontId="6" fillId="0" borderId="18" xfId="0" applyNumberFormat="1" applyFont="1" applyBorder="1" applyAlignment="1">
      <alignment horizontal="right" vertical="center"/>
    </xf>
    <xf numFmtId="4" fontId="6" fillId="0" borderId="19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0" fontId="6" fillId="0" borderId="18" xfId="0" applyNumberFormat="1" applyFont="1" applyBorder="1" applyAlignment="1">
      <alignment horizontal="right" vertical="center"/>
    </xf>
    <xf numFmtId="10" fontId="6" fillId="0" borderId="19" xfId="0" applyNumberFormat="1" applyFont="1" applyBorder="1" applyAlignment="1">
      <alignment horizontal="right" vertical="center"/>
    </xf>
    <xf numFmtId="10" fontId="6" fillId="0" borderId="12" xfId="0" applyNumberFormat="1" applyFont="1" applyBorder="1" applyAlignment="1">
      <alignment horizontal="right" vertical="center"/>
    </xf>
    <xf numFmtId="10" fontId="6" fillId="0" borderId="14" xfId="0" applyNumberFormat="1" applyFont="1" applyBorder="1" applyAlignment="1">
      <alignment horizontal="right" vertical="center"/>
    </xf>
    <xf numFmtId="10" fontId="6" fillId="0" borderId="16" xfId="0" applyNumberFormat="1" applyFont="1" applyBorder="1" applyAlignment="1">
      <alignment horizontal="right" vertical="center"/>
    </xf>
    <xf numFmtId="0" fontId="7" fillId="3" borderId="20" xfId="0" applyFont="1" applyFill="1" applyBorder="1" applyAlignment="1">
      <alignment horizontal="centerContinuous" vertical="center"/>
    </xf>
    <xf numFmtId="0" fontId="7" fillId="3" borderId="21" xfId="0" applyFont="1" applyFill="1" applyBorder="1" applyAlignment="1">
      <alignment horizontal="centerContinuous" vertical="center"/>
    </xf>
    <xf numFmtId="0" fontId="0" fillId="0" borderId="5" xfId="0" applyBorder="1"/>
    <xf numFmtId="0" fontId="0" fillId="0" borderId="4" xfId="0" applyBorder="1"/>
    <xf numFmtId="168" fontId="0" fillId="0" borderId="0" xfId="0" applyNumberFormat="1"/>
    <xf numFmtId="0" fontId="7" fillId="3" borderId="0" xfId="0" applyFont="1" applyFill="1" applyBorder="1" applyAlignment="1">
      <alignment horizontal="centerContinuous" vertical="center"/>
    </xf>
    <xf numFmtId="0" fontId="6" fillId="0" borderId="0" xfId="0" applyFont="1"/>
    <xf numFmtId="0" fontId="7" fillId="4" borderId="22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0" fontId="7" fillId="4" borderId="24" xfId="0" applyFont="1" applyFill="1" applyBorder="1" applyAlignment="1">
      <alignment horizontal="center" vertical="center"/>
    </xf>
    <xf numFmtId="166" fontId="6" fillId="0" borderId="0" xfId="0" applyNumberFormat="1" applyFont="1"/>
    <xf numFmtId="0" fontId="8" fillId="2" borderId="0" xfId="0" applyFont="1" applyFill="1" applyAlignment="1">
      <alignment horizontal="centerContinuous"/>
    </xf>
    <xf numFmtId="169" fontId="0" fillId="0" borderId="0" xfId="0" applyNumberFormat="1"/>
    <xf numFmtId="170" fontId="0" fillId="0" borderId="0" xfId="0" applyNumberFormat="1"/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0" fontId="0" fillId="0" borderId="28" xfId="0" applyFont="1" applyBorder="1" applyAlignment="1">
      <alignment horizontal="centerContinuous"/>
    </xf>
    <xf numFmtId="166" fontId="6" fillId="0" borderId="0" xfId="0" applyNumberFormat="1" applyFont="1" applyAlignment="1">
      <alignment horizontal="right"/>
    </xf>
    <xf numFmtId="0" fontId="7" fillId="4" borderId="0" xfId="0" applyFont="1" applyFill="1" applyBorder="1" applyAlignment="1">
      <alignment horizontal="center" vertical="center"/>
    </xf>
    <xf numFmtId="0" fontId="6" fillId="0" borderId="0" xfId="0" applyFont="1" applyFill="1" applyBorder="1"/>
    <xf numFmtId="167" fontId="6" fillId="0" borderId="17" xfId="0" applyNumberFormat="1" applyFont="1" applyBorder="1" applyAlignment="1">
      <alignment horizontal="right" vertical="center"/>
    </xf>
    <xf numFmtId="167" fontId="6" fillId="0" borderId="18" xfId="0" applyNumberFormat="1" applyFont="1" applyBorder="1" applyAlignment="1">
      <alignment horizontal="right" vertical="center"/>
    </xf>
    <xf numFmtId="167" fontId="6" fillId="0" borderId="19" xfId="0" applyNumberFormat="1" applyFont="1" applyBorder="1" applyAlignment="1">
      <alignment horizontal="right" vertical="center"/>
    </xf>
    <xf numFmtId="0" fontId="7" fillId="3" borderId="29" xfId="0" applyFont="1" applyFill="1" applyBorder="1" applyAlignment="1">
      <alignment horizontal="centerContinuous" vertical="center"/>
    </xf>
    <xf numFmtId="0" fontId="7" fillId="3" borderId="30" xfId="0" applyFont="1" applyFill="1" applyBorder="1" applyAlignment="1">
      <alignment horizontal="centerContinuous" vertical="center"/>
    </xf>
    <xf numFmtId="0" fontId="7" fillId="4" borderId="31" xfId="0" applyFont="1" applyFill="1" applyBorder="1" applyAlignment="1">
      <alignment horizontal="center" vertical="center"/>
    </xf>
    <xf numFmtId="0" fontId="7" fillId="4" borderId="32" xfId="0" applyFont="1" applyFill="1" applyBorder="1" applyAlignment="1">
      <alignment horizontal="center" vertical="center"/>
    </xf>
    <xf numFmtId="166" fontId="6" fillId="0" borderId="0" xfId="0" applyNumberFormat="1" applyFont="1" applyFill="1" applyBorder="1" applyAlignment="1">
      <alignment horizontal="right"/>
    </xf>
    <xf numFmtId="4" fontId="6" fillId="0" borderId="0" xfId="0" applyNumberFormat="1" applyFont="1"/>
    <xf numFmtId="170" fontId="6" fillId="0" borderId="12" xfId="0" applyNumberFormat="1" applyFont="1" applyBorder="1" applyAlignment="1">
      <alignment horizontal="right" vertical="center"/>
    </xf>
    <xf numFmtId="170" fontId="6" fillId="0" borderId="14" xfId="0" applyNumberFormat="1" applyFont="1" applyBorder="1" applyAlignment="1">
      <alignment horizontal="right" vertical="center"/>
    </xf>
    <xf numFmtId="170" fontId="6" fillId="0" borderId="16" xfId="0" applyNumberFormat="1" applyFont="1" applyBorder="1" applyAlignment="1">
      <alignment horizontal="right" vertical="center"/>
    </xf>
  </cellXfs>
  <cellStyles count="4"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/>
  <dimension ref="B2:Q28"/>
  <sheetViews>
    <sheetView showGridLines="0" topLeftCell="A3" zoomScale="122" zoomScaleNormal="145" workbookViewId="0">
      <selection activeCell="D26" sqref="D26"/>
    </sheetView>
  </sheetViews>
  <sheetFormatPr defaultRowHeight="15" x14ac:dyDescent="0.25"/>
  <cols>
    <col min="1" max="1" width="4.28515625" customWidth="1"/>
    <col min="2" max="2" width="20.5703125" customWidth="1"/>
    <col min="3" max="3" width="26.28515625" bestFit="1" customWidth="1"/>
    <col min="4" max="4" width="10.5703125" bestFit="1" customWidth="1"/>
    <col min="5" max="5" width="10.85546875" bestFit="1" customWidth="1"/>
    <col min="6" max="6" width="10.7109375" bestFit="1" customWidth="1"/>
    <col min="10" max="10" width="10.140625" bestFit="1" customWidth="1"/>
  </cols>
  <sheetData>
    <row r="2" spans="2:17" ht="26.25" x14ac:dyDescent="0.4">
      <c r="B2" s="3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2:17" ht="18.75" x14ac:dyDescent="0.3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x14ac:dyDescent="0.25">
      <c r="B6" s="2" t="s">
        <v>3</v>
      </c>
      <c r="C6" t="str" cm="1">
        <f t="array" ref="C6">_xll.d.Curve_Create("ExampleCurve",B9:B14,C9:C14)</f>
        <v>@@ExampleCurve::17:28:07</v>
      </c>
      <c r="F6" s="14"/>
    </row>
    <row r="7" spans="2:17" x14ac:dyDescent="0.25">
      <c r="F7" s="12"/>
    </row>
    <row r="8" spans="2:17" x14ac:dyDescent="0.25">
      <c r="B8" s="2" t="s">
        <v>0</v>
      </c>
      <c r="C8" s="2" t="s">
        <v>2</v>
      </c>
      <c r="E8" s="12"/>
    </row>
    <row r="9" spans="2:17" x14ac:dyDescent="0.25">
      <c r="B9" s="9">
        <v>44562</v>
      </c>
      <c r="C9" s="6">
        <v>1</v>
      </c>
      <c r="E9" s="12"/>
    </row>
    <row r="10" spans="2:17" x14ac:dyDescent="0.25">
      <c r="B10" s="9">
        <v>44593</v>
      </c>
      <c r="C10" s="6">
        <v>0.95</v>
      </c>
      <c r="E10" s="13"/>
      <c r="F10" s="10"/>
    </row>
    <row r="11" spans="2:17" x14ac:dyDescent="0.25">
      <c r="B11" s="9">
        <v>44621</v>
      </c>
      <c r="C11" s="6">
        <v>0.9</v>
      </c>
      <c r="E11" s="9"/>
      <c r="F11" s="44"/>
      <c r="H11" s="11"/>
    </row>
    <row r="12" spans="2:17" x14ac:dyDescent="0.25">
      <c r="B12" s="9">
        <v>44652</v>
      </c>
      <c r="C12" s="6">
        <v>0.85</v>
      </c>
      <c r="E12" s="9"/>
      <c r="F12" s="44"/>
    </row>
    <row r="13" spans="2:17" x14ac:dyDescent="0.25">
      <c r="B13" s="9">
        <v>44682</v>
      </c>
      <c r="C13" s="6">
        <v>0.8</v>
      </c>
    </row>
    <row r="14" spans="2:17" x14ac:dyDescent="0.25">
      <c r="B14" s="9">
        <v>44713</v>
      </c>
      <c r="C14" s="6">
        <v>0.75</v>
      </c>
    </row>
    <row r="16" spans="2:17" ht="18.75" x14ac:dyDescent="0.3">
      <c r="B16" s="4" t="s">
        <v>5</v>
      </c>
      <c r="C16" s="4"/>
    </row>
    <row r="18" spans="2:6" x14ac:dyDescent="0.25">
      <c r="B18" s="8" t="s">
        <v>10</v>
      </c>
      <c r="C18" s="8" t="s">
        <v>11</v>
      </c>
    </row>
    <row r="19" spans="2:6" x14ac:dyDescent="0.25">
      <c r="B19" t="s">
        <v>6</v>
      </c>
      <c r="C19" t="str" cm="1">
        <f t="array" ref="C19">_xll.d.And(F23:F25)</f>
        <v>OK</v>
      </c>
    </row>
    <row r="21" spans="2:6" ht="15.75" x14ac:dyDescent="0.25">
      <c r="B21" s="5" t="s">
        <v>6</v>
      </c>
      <c r="C21" s="5"/>
    </row>
    <row r="23" spans="2:6" x14ac:dyDescent="0.25">
      <c r="B23" t="s">
        <v>8</v>
      </c>
      <c r="C23" s="1">
        <f>B12</f>
        <v>44652</v>
      </c>
      <c r="D23" s="6" cm="1">
        <f t="array" ref="D23">_xll.d.Curve_DF(C6,C23)</f>
        <v>0.85</v>
      </c>
      <c r="E23" s="6">
        <f>VLOOKUP(C23,B9:C14,2,FALSE)</f>
        <v>0.85</v>
      </c>
      <c r="F23" t="str" cm="1">
        <f t="array" ref="F23">_xll.d.Equal(D23,E23)</f>
        <v>OK</v>
      </c>
    </row>
    <row r="25" spans="2:6" x14ac:dyDescent="0.25">
      <c r="B25" t="s">
        <v>9</v>
      </c>
      <c r="C25" s="1">
        <v>44607</v>
      </c>
      <c r="D25" s="6" cm="1">
        <f t="array" ref="D25">_xll.d.Curve_DF(C6,C25)</f>
        <v>0.92466210044534647</v>
      </c>
      <c r="E25" s="6">
        <f>EXP((LN(C11)-LN(C10))/((B11-B10)/365)*((C25-B10)/365)+LN(C10))</f>
        <v>0.92466210044534647</v>
      </c>
      <c r="F25" t="str" cm="1">
        <f t="array" ref="F25">_xll.d.Equal(D25,E25)</f>
        <v>OK</v>
      </c>
    </row>
    <row r="28" spans="2:6" ht="15.75" x14ac:dyDescent="0.25">
      <c r="B28" s="5" t="s">
        <v>7</v>
      </c>
      <c r="C28" s="5"/>
      <c r="E28" s="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dimension ref="B2:J67"/>
  <sheetViews>
    <sheetView showGridLines="0" topLeftCell="A2" zoomScaleNormal="115" workbookViewId="0">
      <selection activeCell="O5" sqref="O5"/>
    </sheetView>
  </sheetViews>
  <sheetFormatPr defaultRowHeight="15" x14ac:dyDescent="0.25"/>
  <cols>
    <col min="1" max="1" width="4.140625" customWidth="1"/>
    <col min="2" max="2" width="15" customWidth="1"/>
    <col min="3" max="3" width="15.5703125" customWidth="1"/>
    <col min="7" max="7" width="19.85546875" customWidth="1"/>
    <col min="8" max="8" width="12" bestFit="1" customWidth="1"/>
    <col min="9" max="9" width="13.28515625" customWidth="1"/>
    <col min="10" max="10" width="10" customWidth="1"/>
  </cols>
  <sheetData>
    <row r="2" spans="2:10" ht="26.25" x14ac:dyDescent="0.4">
      <c r="B2" s="3" t="s">
        <v>12</v>
      </c>
      <c r="C2" s="3"/>
      <c r="D2" s="3"/>
      <c r="E2" s="3"/>
      <c r="F2" s="3"/>
      <c r="G2" s="3"/>
      <c r="H2" s="3"/>
      <c r="I2" s="3"/>
      <c r="J2" s="3"/>
    </row>
    <row r="4" spans="2:10" ht="18.75" x14ac:dyDescent="0.3">
      <c r="B4" s="4" t="s">
        <v>13</v>
      </c>
      <c r="C4" s="4"/>
      <c r="D4" s="4"/>
      <c r="E4" s="4"/>
      <c r="G4" s="4" t="s">
        <v>14</v>
      </c>
      <c r="H4" s="4"/>
      <c r="I4" s="4"/>
      <c r="J4" s="4"/>
    </row>
    <row r="6" spans="2:10" x14ac:dyDescent="0.25">
      <c r="B6" s="15" t="s">
        <v>3</v>
      </c>
      <c r="C6" s="28" t="str" cm="1">
        <f t="array" ref="C6">_xll.d.Curve_Create("CurveForHullWhite",B9:B41,C9:C41)</f>
        <v>@@CurveForHullWhite::17:28:07</v>
      </c>
      <c r="D6" s="28"/>
      <c r="E6" s="29"/>
      <c r="F6" s="10"/>
      <c r="G6" s="15" t="s">
        <v>18</v>
      </c>
      <c r="H6" s="30" t="s">
        <v>19</v>
      </c>
      <c r="I6" s="30" t="s">
        <v>20</v>
      </c>
      <c r="J6" s="16" t="s">
        <v>15</v>
      </c>
    </row>
    <row r="7" spans="2:10" x14ac:dyDescent="0.25">
      <c r="F7" s="10"/>
      <c r="G7" s="17">
        <v>7</v>
      </c>
      <c r="H7" s="31">
        <v>1</v>
      </c>
      <c r="I7" s="34">
        <v>0.36199999999999999</v>
      </c>
      <c r="J7" s="37" t="s">
        <v>16</v>
      </c>
    </row>
    <row r="8" spans="2:10" x14ac:dyDescent="0.25">
      <c r="B8" s="26" t="s">
        <v>0</v>
      </c>
      <c r="C8" s="27" t="s">
        <v>2</v>
      </c>
      <c r="E8" s="12"/>
      <c r="F8" s="10"/>
      <c r="G8" s="18">
        <v>5</v>
      </c>
      <c r="H8" s="32">
        <v>3</v>
      </c>
      <c r="I8" s="35">
        <v>0.38</v>
      </c>
      <c r="J8" s="38" t="s">
        <v>16</v>
      </c>
    </row>
    <row r="9" spans="2:10" x14ac:dyDescent="0.25">
      <c r="B9" s="20">
        <v>44706</v>
      </c>
      <c r="C9" s="23">
        <v>1</v>
      </c>
      <c r="E9" s="12"/>
      <c r="G9" s="18">
        <v>4</v>
      </c>
      <c r="H9" s="32">
        <v>4</v>
      </c>
      <c r="I9" s="35">
        <v>0.38900000000000001</v>
      </c>
      <c r="J9" s="38" t="s">
        <v>16</v>
      </c>
    </row>
    <row r="10" spans="2:10" x14ac:dyDescent="0.25">
      <c r="B10" s="21">
        <v>44707</v>
      </c>
      <c r="C10" s="24">
        <v>0.99999800000000005</v>
      </c>
      <c r="E10" s="13"/>
      <c r="F10" s="10"/>
      <c r="G10" s="18">
        <v>3</v>
      </c>
      <c r="H10" s="32">
        <v>5</v>
      </c>
      <c r="I10" s="35">
        <v>0.40200000000000002</v>
      </c>
      <c r="J10" s="38" t="s">
        <v>16</v>
      </c>
    </row>
    <row r="11" spans="2:10" x14ac:dyDescent="0.25">
      <c r="B11" s="21">
        <v>44718</v>
      </c>
      <c r="C11" s="24">
        <v>0.99997599999999998</v>
      </c>
      <c r="E11" s="9"/>
      <c r="F11" s="10"/>
      <c r="G11" s="18">
        <v>2</v>
      </c>
      <c r="H11" s="32">
        <v>6</v>
      </c>
      <c r="I11" s="35">
        <v>0.42099999999999999</v>
      </c>
      <c r="J11" s="38" t="s">
        <v>16</v>
      </c>
    </row>
    <row r="12" spans="2:10" x14ac:dyDescent="0.25">
      <c r="B12" s="21">
        <v>44741</v>
      </c>
      <c r="C12" s="24">
        <v>0.99992300000000001</v>
      </c>
      <c r="F12" s="1"/>
      <c r="G12" s="19">
        <v>1</v>
      </c>
      <c r="H12" s="33">
        <v>7</v>
      </c>
      <c r="I12" s="36">
        <v>0.45700000000000002</v>
      </c>
      <c r="J12" s="39" t="s">
        <v>16</v>
      </c>
    </row>
    <row r="13" spans="2:10" x14ac:dyDescent="0.25">
      <c r="B13" s="21">
        <v>44773</v>
      </c>
      <c r="C13" s="24">
        <v>0.99979600000000002</v>
      </c>
    </row>
    <row r="14" spans="2:10" x14ac:dyDescent="0.25">
      <c r="B14" s="21">
        <v>44802</v>
      </c>
      <c r="C14" s="24">
        <v>0.99965800000000005</v>
      </c>
    </row>
    <row r="15" spans="2:10" ht="18.75" x14ac:dyDescent="0.3">
      <c r="B15" s="21">
        <v>44830</v>
      </c>
      <c r="C15" s="24">
        <v>0.99958499999999995</v>
      </c>
      <c r="G15" s="4" t="s">
        <v>17</v>
      </c>
      <c r="H15" s="4"/>
      <c r="I15" s="4"/>
      <c r="J15" s="4"/>
    </row>
    <row r="16" spans="2:10" x14ac:dyDescent="0.25">
      <c r="B16" s="21">
        <v>44857</v>
      </c>
      <c r="C16" s="24">
        <v>0.999421</v>
      </c>
    </row>
    <row r="17" spans="2:9" x14ac:dyDescent="0.25">
      <c r="B17" s="21">
        <v>44887</v>
      </c>
      <c r="C17" s="24">
        <v>0.99924900000000005</v>
      </c>
      <c r="G17" s="15" t="s">
        <v>21</v>
      </c>
      <c r="H17" s="42" t="e" cm="1">
        <f t="array" ref="H17">_xll.d.HullWhite_Calibrate("HW",C6,G6:J12)</f>
        <v>#VALUE!</v>
      </c>
      <c r="I17" s="43"/>
    </row>
    <row r="18" spans="2:9" x14ac:dyDescent="0.25">
      <c r="B18" s="21">
        <v>44920</v>
      </c>
      <c r="C18" s="24">
        <v>0.99921499999999996</v>
      </c>
    </row>
    <row r="19" spans="2:9" x14ac:dyDescent="0.25">
      <c r="B19" s="21">
        <v>44949</v>
      </c>
      <c r="C19" s="24">
        <v>0.99906200000000001</v>
      </c>
    </row>
    <row r="20" spans="2:9" x14ac:dyDescent="0.25">
      <c r="B20" s="21">
        <v>44979</v>
      </c>
      <c r="C20" s="24">
        <v>0.99885800000000002</v>
      </c>
    </row>
    <row r="21" spans="2:9" x14ac:dyDescent="0.25">
      <c r="B21" s="21">
        <v>45012</v>
      </c>
      <c r="C21" s="24">
        <v>0.99878100000000003</v>
      </c>
      <c r="G21" s="40" t="e" cm="1">
        <f t="array" ref="G21">_xll.d.HullWhite_GetParameters(H17)</f>
        <v>#VALUE!</v>
      </c>
      <c r="H21" s="41"/>
    </row>
    <row r="22" spans="2:9" x14ac:dyDescent="0.25">
      <c r="B22" s="21">
        <v>45041</v>
      </c>
      <c r="C22" s="24">
        <v>0.99856400000000001</v>
      </c>
      <c r="G22" s="21"/>
      <c r="H22" s="24"/>
    </row>
    <row r="23" spans="2:9" x14ac:dyDescent="0.25">
      <c r="B23" s="21">
        <v>45071</v>
      </c>
      <c r="C23" s="24">
        <v>0.998309</v>
      </c>
      <c r="G23" s="22"/>
      <c r="H23" s="25"/>
    </row>
    <row r="24" spans="2:9" x14ac:dyDescent="0.25">
      <c r="B24" s="21">
        <v>45162</v>
      </c>
      <c r="C24" s="24">
        <v>0.99748499999999996</v>
      </c>
    </row>
    <row r="25" spans="2:9" x14ac:dyDescent="0.25">
      <c r="B25" s="21">
        <v>45252</v>
      </c>
      <c r="C25" s="24">
        <v>0.99626000000000003</v>
      </c>
    </row>
    <row r="26" spans="2:9" x14ac:dyDescent="0.25">
      <c r="B26" s="21">
        <v>45344</v>
      </c>
      <c r="C26" s="24">
        <v>0.99468800000000002</v>
      </c>
    </row>
    <row r="27" spans="2:9" x14ac:dyDescent="0.25">
      <c r="B27" s="21">
        <v>45438</v>
      </c>
      <c r="C27" s="24">
        <v>0.99261299999999997</v>
      </c>
    </row>
    <row r="28" spans="2:9" x14ac:dyDescent="0.25">
      <c r="B28" s="21">
        <v>45806</v>
      </c>
      <c r="C28" s="24">
        <v>0.98043999999999998</v>
      </c>
    </row>
    <row r="29" spans="2:9" x14ac:dyDescent="0.25">
      <c r="B29" s="21">
        <v>46173</v>
      </c>
      <c r="C29" s="24">
        <v>0.96520099999999998</v>
      </c>
    </row>
    <row r="30" spans="2:9" x14ac:dyDescent="0.25">
      <c r="B30" s="21">
        <v>46537</v>
      </c>
      <c r="C30" s="24">
        <v>0.94818400000000003</v>
      </c>
    </row>
    <row r="31" spans="2:9" x14ac:dyDescent="0.25">
      <c r="B31" s="21">
        <v>46901</v>
      </c>
      <c r="C31" s="24">
        <v>0.93045800000000001</v>
      </c>
    </row>
    <row r="32" spans="2:9" x14ac:dyDescent="0.25">
      <c r="B32" s="21">
        <v>47267</v>
      </c>
      <c r="C32" s="24">
        <v>0.91225999999999996</v>
      </c>
    </row>
    <row r="33" spans="2:3" x14ac:dyDescent="0.25">
      <c r="B33" s="21">
        <v>47632</v>
      </c>
      <c r="C33" s="24">
        <v>0.89427000000000001</v>
      </c>
    </row>
    <row r="34" spans="2:3" x14ac:dyDescent="0.25">
      <c r="B34" s="21">
        <v>47997</v>
      </c>
      <c r="C34" s="24">
        <v>0.87622500000000003</v>
      </c>
    </row>
    <row r="35" spans="2:3" x14ac:dyDescent="0.25">
      <c r="B35" s="21">
        <v>48364</v>
      </c>
      <c r="C35" s="24">
        <v>0.85857799999999995</v>
      </c>
    </row>
    <row r="36" spans="2:3" x14ac:dyDescent="0.25">
      <c r="B36" s="21">
        <v>49093</v>
      </c>
      <c r="C36" s="24">
        <v>0.82275399999999999</v>
      </c>
    </row>
    <row r="37" spans="2:3" x14ac:dyDescent="0.25">
      <c r="B37" s="21">
        <v>50191</v>
      </c>
      <c r="C37" s="24">
        <v>0.77304499999999998</v>
      </c>
    </row>
    <row r="38" spans="2:3" x14ac:dyDescent="0.25">
      <c r="B38" s="21">
        <v>52015</v>
      </c>
      <c r="C38" s="24">
        <v>0.69641399999999998</v>
      </c>
    </row>
    <row r="39" spans="2:3" x14ac:dyDescent="0.25">
      <c r="B39" s="21">
        <v>53841</v>
      </c>
      <c r="C39" s="24">
        <v>0.63234400000000002</v>
      </c>
    </row>
    <row r="40" spans="2:3" x14ac:dyDescent="0.25">
      <c r="B40" s="21">
        <v>55667</v>
      </c>
      <c r="C40" s="24">
        <v>0.57906999999999997</v>
      </c>
    </row>
    <row r="41" spans="2:3" x14ac:dyDescent="0.25">
      <c r="B41" s="22">
        <v>59320</v>
      </c>
      <c r="C41" s="25">
        <v>0.49973099999999998</v>
      </c>
    </row>
    <row r="42" spans="2:3" x14ac:dyDescent="0.25">
      <c r="B42" s="9"/>
    </row>
    <row r="55" spans="2:6" ht="18.75" x14ac:dyDescent="0.3">
      <c r="B55" s="4" t="s">
        <v>5</v>
      </c>
      <c r="C55" s="4"/>
    </row>
    <row r="57" spans="2:6" x14ac:dyDescent="0.25">
      <c r="B57" s="8" t="s">
        <v>10</v>
      </c>
      <c r="C57" s="8" t="s">
        <v>11</v>
      </c>
    </row>
    <row r="58" spans="2:6" x14ac:dyDescent="0.25">
      <c r="B58" t="s">
        <v>6</v>
      </c>
      <c r="C58" t="str" cm="1">
        <f t="array" ref="C58">_xll.d.And(F62:F64)</f>
        <v>OK</v>
      </c>
    </row>
    <row r="60" spans="2:6" ht="15.75" x14ac:dyDescent="0.25">
      <c r="B60" s="5" t="s">
        <v>6</v>
      </c>
      <c r="C60" s="5"/>
    </row>
    <row r="62" spans="2:6" x14ac:dyDescent="0.25">
      <c r="B62" t="s">
        <v>8</v>
      </c>
      <c r="C62" s="1">
        <f>B12</f>
        <v>44741</v>
      </c>
      <c r="D62" s="6" cm="1">
        <f t="array" ref="D62">_xll.d.Curve_DF(C6,C62)</f>
        <v>0.99992300000000001</v>
      </c>
      <c r="E62" s="6">
        <f>VLOOKUP(C62,B9:C14,2,FALSE)</f>
        <v>0.99992300000000001</v>
      </c>
      <c r="F62" t="str" cm="1">
        <f t="array" ref="F62">_xll.d.Equal(D62,E62)</f>
        <v>OK</v>
      </c>
    </row>
    <row r="64" spans="2:6" x14ac:dyDescent="0.25">
      <c r="B64" t="s">
        <v>9</v>
      </c>
      <c r="C64" s="1">
        <v>44607</v>
      </c>
      <c r="D64" s="6" t="e" cm="1">
        <f t="array" ref="D64">_xll.d.Curve_DF(C6,C64)</f>
        <v>#VALUE!</v>
      </c>
      <c r="E64" s="6">
        <f>EXP((LN(C11)-LN(C10))/((B11-B10)/365)*((C64-B10)/365)+LN(C10))</f>
        <v>1.0001980222018509</v>
      </c>
      <c r="F64" t="str" cm="1">
        <f t="array" ref="F64">_xll.d.Equal(D64,E64)</f>
        <v>ERROR</v>
      </c>
    </row>
    <row r="67" spans="2:5" ht="15.75" x14ac:dyDescent="0.25">
      <c r="B67" s="5" t="s">
        <v>7</v>
      </c>
      <c r="C67" s="5"/>
      <c r="E67" s="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dimension ref="B2:K36"/>
  <sheetViews>
    <sheetView showGridLines="0" tabSelected="1" zoomScale="114" workbookViewId="0">
      <selection activeCell="E11" sqref="E11"/>
    </sheetView>
  </sheetViews>
  <sheetFormatPr defaultRowHeight="15" x14ac:dyDescent="0.25"/>
  <cols>
    <col min="1" max="1" width="4.28515625" customWidth="1"/>
    <col min="2" max="3" width="15.5703125" customWidth="1"/>
    <col min="4" max="4" width="16" bestFit="1" customWidth="1"/>
    <col min="5" max="5" width="10.140625" bestFit="1" customWidth="1"/>
    <col min="7" max="7" width="10.140625" bestFit="1" customWidth="1"/>
    <col min="8" max="8" width="22.5703125" bestFit="1" customWidth="1"/>
    <col min="9" max="9" width="21.5703125" bestFit="1" customWidth="1"/>
    <col min="10" max="10" width="10.140625" bestFit="1" customWidth="1"/>
    <col min="11" max="11" width="18" bestFit="1" customWidth="1"/>
  </cols>
  <sheetData>
    <row r="2" spans="2:11" ht="26.25" x14ac:dyDescent="0.4">
      <c r="B2" s="3" t="s">
        <v>22</v>
      </c>
      <c r="C2" s="3"/>
      <c r="D2" s="3"/>
      <c r="E2" s="3"/>
      <c r="F2" s="3"/>
      <c r="G2" s="3"/>
      <c r="H2" s="3"/>
      <c r="I2" s="3"/>
      <c r="J2" s="3"/>
      <c r="K2" s="3"/>
    </row>
    <row r="4" spans="2:11" x14ac:dyDescent="0.25">
      <c r="B4" s="51" t="s">
        <v>42</v>
      </c>
      <c r="C4" s="51"/>
      <c r="D4" s="28" t="str" cm="1">
        <f t="array" ref="D4">_xll.d.Curve_SingleCurveBootstrap("SingleCurve",C10,B21:E26,B28:E31,B33:E36)</f>
        <v>@@SingleCurve::17:58:29</v>
      </c>
      <c r="E4" s="29"/>
    </row>
    <row r="7" spans="2:11" ht="18.75" x14ac:dyDescent="0.3">
      <c r="G7" s="4" t="s">
        <v>35</v>
      </c>
      <c r="H7" s="4"/>
      <c r="I7" s="4"/>
      <c r="J7" s="4"/>
      <c r="K7" s="4"/>
    </row>
    <row r="8" spans="2:11" x14ac:dyDescent="0.25">
      <c r="B8" s="64" t="s">
        <v>66</v>
      </c>
      <c r="C8" s="65"/>
    </row>
    <row r="9" spans="2:11" x14ac:dyDescent="0.25">
      <c r="B9" s="66" t="s">
        <v>32</v>
      </c>
      <c r="C9" s="67" t="s">
        <v>33</v>
      </c>
      <c r="G9" s="15" t="s">
        <v>36</v>
      </c>
      <c r="H9" s="30" t="s">
        <v>43</v>
      </c>
      <c r="I9" s="30" t="s">
        <v>44</v>
      </c>
      <c r="J9" s="30" t="s">
        <v>45</v>
      </c>
      <c r="K9" s="16" t="s">
        <v>46</v>
      </c>
    </row>
    <row r="10" spans="2:11" x14ac:dyDescent="0.25">
      <c r="B10" s="46" t="s">
        <v>31</v>
      </c>
      <c r="C10" s="50">
        <v>44713</v>
      </c>
      <c r="E10" s="69"/>
      <c r="G10" s="20">
        <f>C10</f>
        <v>44713</v>
      </c>
      <c r="H10" s="61">
        <v>1</v>
      </c>
      <c r="I10" s="61" cm="1">
        <f t="array" ref="I10">_xll.d.Curve_DF($D$4,G10)</f>
        <v>1</v>
      </c>
      <c r="J10" s="61">
        <f t="shared" ref="J10:J15" si="0">H10-I10</f>
        <v>0</v>
      </c>
      <c r="K10" s="70">
        <f>J10/H10</f>
        <v>0</v>
      </c>
    </row>
    <row r="11" spans="2:11" x14ac:dyDescent="0.25">
      <c r="B11" s="46" t="s">
        <v>60</v>
      </c>
      <c r="C11" s="58" t="s">
        <v>48</v>
      </c>
      <c r="E11" s="69"/>
      <c r="F11" s="10"/>
      <c r="G11" s="21">
        <f>EDATE(G10,1)</f>
        <v>44743</v>
      </c>
      <c r="H11" s="62">
        <f>EXP(-D23*YEARFRAC($C$10,G11,3))</f>
        <v>0.99181450701087914</v>
      </c>
      <c r="I11" s="62" cm="1">
        <f t="array" ref="I11">_xll.d.Curve_DF($D$4,G11)</f>
        <v>0.99184782608695654</v>
      </c>
      <c r="J11" s="62">
        <f t="shared" si="0"/>
        <v>-3.3319076077398257E-5</v>
      </c>
      <c r="K11" s="71">
        <f t="shared" ref="K11:K12" si="1">J11/H11</f>
        <v>-3.3594060020169462E-5</v>
      </c>
    </row>
    <row r="12" spans="2:11" x14ac:dyDescent="0.25">
      <c r="E12" s="69"/>
      <c r="F12" s="10"/>
      <c r="G12" s="21">
        <f>EDATE(G10,2)</f>
        <v>44774</v>
      </c>
      <c r="H12" s="62">
        <f>EXP(-D24*YEARFRAC($C$10,G12,3))</f>
        <v>0.98342654747456371</v>
      </c>
      <c r="I12" s="62" cm="1">
        <f t="array" ref="I12">_xll.d.Curve_DF($D$4,G12)</f>
        <v>0.98351848122804275</v>
      </c>
      <c r="J12" s="62">
        <f t="shared" si="0"/>
        <v>-9.1933753479045421E-5</v>
      </c>
      <c r="K12" s="71">
        <f t="shared" si="1"/>
        <v>-9.3483091050501949E-5</v>
      </c>
    </row>
    <row r="13" spans="2:11" x14ac:dyDescent="0.25">
      <c r="F13" s="10"/>
      <c r="G13" s="21">
        <f>EDATE(G10,3)</f>
        <v>44805</v>
      </c>
      <c r="H13" s="62">
        <f>EXP(-D25*YEARFRAC($C$10,G13,3))</f>
        <v>0.97510952647028781</v>
      </c>
      <c r="I13" s="62" cm="1">
        <f t="array" ref="I13">_xll.d.Curve_DF($D$4,G13)</f>
        <v>0.97532567183433427</v>
      </c>
      <c r="J13" s="62">
        <f t="shared" si="0"/>
        <v>-2.1614536404646056E-4</v>
      </c>
      <c r="K13" s="71">
        <f>J13/H13</f>
        <v>-2.2166265242927729E-4</v>
      </c>
    </row>
    <row r="14" spans="2:11" x14ac:dyDescent="0.25">
      <c r="B14" s="65" t="s">
        <v>62</v>
      </c>
      <c r="C14" s="65"/>
      <c r="F14" s="10"/>
      <c r="G14" s="21">
        <f>EDATE(G10,6)</f>
        <v>44896</v>
      </c>
      <c r="H14" s="62">
        <f>EXP(-D26*YEARFRAC($C$10,G14,3))</f>
        <v>0.95109912802471741</v>
      </c>
      <c r="I14" s="62" cm="1">
        <f t="array" ref="I14">_xll.d.Curve_DF($D$4,G14)</f>
        <v>0.95164459033904658</v>
      </c>
      <c r="J14" s="62">
        <f t="shared" si="0"/>
        <v>-5.4546231432917036E-4</v>
      </c>
      <c r="K14" s="71">
        <f>J14/H14</f>
        <v>-5.7350732248278831E-4</v>
      </c>
    </row>
    <row r="15" spans="2:11" x14ac:dyDescent="0.25">
      <c r="B15" s="66" t="s">
        <v>32</v>
      </c>
      <c r="C15" s="67" t="s">
        <v>33</v>
      </c>
      <c r="F15" s="10"/>
      <c r="G15" s="22">
        <f>EDATE(G10,9)</f>
        <v>44986</v>
      </c>
      <c r="H15" s="63">
        <f>H14*EXP(-D30*YEARFRAC(G14,G15,3))</f>
        <v>0.92793413813861503</v>
      </c>
      <c r="I15" s="63" cm="1">
        <f t="array" ref="I15">_xll.d.Curve_DF($D$4,G15)</f>
        <v>0.92874708824294894</v>
      </c>
      <c r="J15" s="63">
        <f t="shared" si="0"/>
        <v>-8.1295010433390935E-4</v>
      </c>
      <c r="K15" s="72">
        <f>J15/H15</f>
        <v>-8.760859967547294E-4</v>
      </c>
    </row>
    <row r="16" spans="2:11" x14ac:dyDescent="0.25">
      <c r="B16" s="46" t="s">
        <v>13</v>
      </c>
      <c r="C16" s="58" t="s">
        <v>48</v>
      </c>
      <c r="F16" s="10"/>
      <c r="G16" s="9"/>
    </row>
    <row r="17" spans="2:6" x14ac:dyDescent="0.25">
      <c r="B17" s="46" t="s">
        <v>37</v>
      </c>
      <c r="C17" s="58" t="s">
        <v>38</v>
      </c>
      <c r="F17" s="10"/>
    </row>
    <row r="18" spans="2:6" x14ac:dyDescent="0.25">
      <c r="B18" s="46" t="s">
        <v>61</v>
      </c>
      <c r="C18" s="58" t="s">
        <v>26</v>
      </c>
      <c r="F18" s="10"/>
    </row>
    <row r="19" spans="2:6" x14ac:dyDescent="0.25">
      <c r="F19" s="10"/>
    </row>
    <row r="20" spans="2:6" x14ac:dyDescent="0.25">
      <c r="F20" s="10"/>
    </row>
    <row r="21" spans="2:6" x14ac:dyDescent="0.25">
      <c r="B21" s="15" t="s">
        <v>23</v>
      </c>
      <c r="C21" s="30"/>
      <c r="D21" s="16"/>
      <c r="E21" s="16"/>
      <c r="F21" s="10"/>
    </row>
    <row r="22" spans="2:6" x14ac:dyDescent="0.25">
      <c r="B22" s="47" t="s">
        <v>40</v>
      </c>
      <c r="C22" s="48" t="s">
        <v>37</v>
      </c>
      <c r="D22" s="48" t="s">
        <v>41</v>
      </c>
      <c r="E22" s="49" t="s">
        <v>54</v>
      </c>
      <c r="F22" s="10"/>
    </row>
    <row r="23" spans="2:6" x14ac:dyDescent="0.25">
      <c r="B23" s="46" t="s">
        <v>27</v>
      </c>
      <c r="C23" s="46" t="s">
        <v>38</v>
      </c>
      <c r="D23" s="46">
        <v>0.1</v>
      </c>
      <c r="E23" t="b">
        <v>1</v>
      </c>
    </row>
    <row r="24" spans="2:6" x14ac:dyDescent="0.25">
      <c r="B24" s="46" t="s">
        <v>28</v>
      </c>
      <c r="C24" s="46" t="s">
        <v>38</v>
      </c>
      <c r="D24" s="46">
        <v>0.1</v>
      </c>
      <c r="E24" t="b">
        <v>1</v>
      </c>
    </row>
    <row r="25" spans="2:6" x14ac:dyDescent="0.25">
      <c r="B25" s="46" t="s">
        <v>26</v>
      </c>
      <c r="C25" s="46" t="s">
        <v>38</v>
      </c>
      <c r="D25" s="46">
        <v>0.1</v>
      </c>
      <c r="E25" t="b">
        <v>1</v>
      </c>
    </row>
    <row r="26" spans="2:6" x14ac:dyDescent="0.25">
      <c r="B26" s="46" t="s">
        <v>29</v>
      </c>
      <c r="C26" s="46" t="s">
        <v>38</v>
      </c>
      <c r="D26" s="46">
        <v>0.1</v>
      </c>
      <c r="E26" t="b">
        <v>0</v>
      </c>
    </row>
    <row r="28" spans="2:6" x14ac:dyDescent="0.25">
      <c r="B28" s="15" t="s">
        <v>39</v>
      </c>
      <c r="C28" s="30"/>
      <c r="D28" s="16"/>
      <c r="E28" s="16"/>
    </row>
    <row r="29" spans="2:6" x14ac:dyDescent="0.25">
      <c r="B29" s="47" t="s">
        <v>40</v>
      </c>
      <c r="C29" s="48" t="s">
        <v>37</v>
      </c>
      <c r="D29" s="48" t="s">
        <v>41</v>
      </c>
      <c r="E29" s="49" t="s">
        <v>54</v>
      </c>
    </row>
    <row r="30" spans="2:6" x14ac:dyDescent="0.25">
      <c r="B30" t="s">
        <v>29</v>
      </c>
      <c r="C30" t="s">
        <v>38</v>
      </c>
      <c r="D30">
        <v>0.1</v>
      </c>
      <c r="E30" t="b">
        <v>1</v>
      </c>
    </row>
    <row r="31" spans="2:6" x14ac:dyDescent="0.25">
      <c r="B31" t="s">
        <v>30</v>
      </c>
      <c r="C31" t="s">
        <v>38</v>
      </c>
      <c r="D31">
        <v>0.1</v>
      </c>
      <c r="E31" t="b">
        <v>1</v>
      </c>
    </row>
    <row r="33" spans="2:5" x14ac:dyDescent="0.25">
      <c r="B33" s="15" t="s">
        <v>47</v>
      </c>
      <c r="C33" s="30"/>
      <c r="D33" s="16"/>
      <c r="E33" s="16"/>
    </row>
    <row r="34" spans="2:5" x14ac:dyDescent="0.25">
      <c r="B34" s="47" t="s">
        <v>40</v>
      </c>
      <c r="C34" s="48" t="s">
        <v>37</v>
      </c>
      <c r="D34" s="48" t="s">
        <v>41</v>
      </c>
      <c r="E34" s="49" t="s">
        <v>54</v>
      </c>
    </row>
    <row r="35" spans="2:5" x14ac:dyDescent="0.25">
      <c r="B35" t="s">
        <v>68</v>
      </c>
      <c r="C35" t="s">
        <v>38</v>
      </c>
      <c r="D35">
        <v>0.1</v>
      </c>
      <c r="E35" t="b">
        <v>1</v>
      </c>
    </row>
    <row r="36" spans="2:5" x14ac:dyDescent="0.25">
      <c r="B36" t="s">
        <v>69</v>
      </c>
      <c r="C36" t="s">
        <v>38</v>
      </c>
      <c r="D36">
        <v>0.1</v>
      </c>
      <c r="E36" t="b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dimension ref="B2:K46"/>
  <sheetViews>
    <sheetView showGridLines="0" zoomScale="119" workbookViewId="0">
      <selection activeCell="B28" sqref="B28"/>
    </sheetView>
  </sheetViews>
  <sheetFormatPr defaultRowHeight="15" x14ac:dyDescent="0.25"/>
  <cols>
    <col min="1" max="1" width="4.28515625" customWidth="1"/>
    <col min="2" max="2" width="15.5703125" customWidth="1"/>
    <col min="3" max="3" width="21.7109375" bestFit="1" customWidth="1"/>
    <col min="4" max="4" width="16" bestFit="1" customWidth="1"/>
    <col min="5" max="6" width="21.140625" bestFit="1" customWidth="1"/>
    <col min="7" max="7" width="15.140625" bestFit="1" customWidth="1"/>
    <col min="8" max="8" width="22.5703125" bestFit="1" customWidth="1"/>
    <col min="9" max="9" width="21.5703125" bestFit="1" customWidth="1"/>
    <col min="10" max="10" width="13.5703125" bestFit="1" customWidth="1"/>
    <col min="11" max="11" width="18" bestFit="1" customWidth="1"/>
    <col min="13" max="13" width="27.42578125" bestFit="1" customWidth="1"/>
  </cols>
  <sheetData>
    <row r="2" spans="2:11" ht="26.25" x14ac:dyDescent="0.4">
      <c r="B2" s="3" t="s">
        <v>63</v>
      </c>
      <c r="C2" s="3"/>
      <c r="D2" s="3"/>
      <c r="E2" s="3"/>
      <c r="F2" s="3"/>
      <c r="G2" s="3"/>
      <c r="H2" s="3"/>
      <c r="I2" s="3"/>
      <c r="J2" s="3"/>
      <c r="K2" s="3"/>
    </row>
    <row r="4" spans="2:11" x14ac:dyDescent="0.25">
      <c r="B4" s="51" t="s">
        <v>51</v>
      </c>
      <c r="C4" s="51"/>
      <c r="D4" s="54" t="str" cm="1">
        <f t="array" ref="D4">_xll.d.Curve_SingleCurveBootstrap("ForecastingCurve",C10,B31:D36,B38:D41)</f>
        <v>@@ForecastingCurve::17:28:07</v>
      </c>
      <c r="E4" s="55"/>
    </row>
    <row r="5" spans="2:11" x14ac:dyDescent="0.25">
      <c r="B5" s="51" t="s">
        <v>52</v>
      </c>
      <c r="C5" s="51"/>
      <c r="D5" s="56" t="str" cm="1">
        <f t="array" ref="D5">_xll.d.Curve_SingleCurveBootstrap("DiscountingCurve",C10,B31:D36,B38:D41)</f>
        <v>@@DiscountingCurve::17:28:07</v>
      </c>
      <c r="E5" s="57"/>
    </row>
    <row r="7" spans="2:11" ht="18.75" x14ac:dyDescent="0.3">
      <c r="B7" s="4" t="s">
        <v>34</v>
      </c>
      <c r="C7" s="4"/>
      <c r="D7" s="4"/>
      <c r="E7" s="4"/>
      <c r="G7" s="4" t="s">
        <v>35</v>
      </c>
      <c r="H7" s="4"/>
      <c r="I7" s="4"/>
      <c r="J7" s="4"/>
      <c r="K7" s="4"/>
    </row>
    <row r="9" spans="2:11" x14ac:dyDescent="0.25">
      <c r="B9" s="40" t="s">
        <v>32</v>
      </c>
      <c r="C9" s="41" t="s">
        <v>33</v>
      </c>
      <c r="G9" s="26" t="s">
        <v>36</v>
      </c>
      <c r="H9" s="45" t="s">
        <v>43</v>
      </c>
      <c r="I9" s="45" t="s">
        <v>44</v>
      </c>
      <c r="J9" s="45" t="s">
        <v>45</v>
      </c>
      <c r="K9" s="45" t="s">
        <v>46</v>
      </c>
    </row>
    <row r="10" spans="2:11" x14ac:dyDescent="0.25">
      <c r="B10" s="46" t="s">
        <v>31</v>
      </c>
      <c r="C10" s="50">
        <v>44713</v>
      </c>
      <c r="G10" s="9">
        <f>C10</f>
        <v>44713</v>
      </c>
      <c r="H10">
        <v>1</v>
      </c>
      <c r="I10" s="52" cm="1">
        <f t="array" ref="I10">_xll.d.Curve_DF($D$4,G10)</f>
        <v>1</v>
      </c>
      <c r="J10" s="52">
        <f t="shared" ref="J10:J15" si="0">H10-I10</f>
        <v>0</v>
      </c>
      <c r="K10" s="53">
        <f>J10/H10</f>
        <v>0</v>
      </c>
    </row>
    <row r="11" spans="2:11" x14ac:dyDescent="0.25">
      <c r="B11" s="46" t="s">
        <v>51</v>
      </c>
      <c r="C11" s="58" t="s">
        <v>53</v>
      </c>
      <c r="F11" s="10"/>
      <c r="G11" s="9">
        <f>EDATE(G10,1)</f>
        <v>44743</v>
      </c>
      <c r="H11">
        <f>EXP(-D33*YEARFRAC($C$10,G11,3))</f>
        <v>0.99181450701087914</v>
      </c>
      <c r="I11" s="52" cm="1">
        <f t="array" ref="I11">_xll.d.Curve_DF($D$4,G11)</f>
        <v>0.99184782608695654</v>
      </c>
      <c r="J11" s="52">
        <f t="shared" si="0"/>
        <v>-3.3319076077398257E-5</v>
      </c>
      <c r="K11" s="53">
        <f t="shared" ref="K11:K12" si="1">J11/H11</f>
        <v>-3.3594060020169462E-5</v>
      </c>
    </row>
    <row r="12" spans="2:11" x14ac:dyDescent="0.25">
      <c r="B12" s="46" t="s">
        <v>52</v>
      </c>
      <c r="C12" s="58" t="s">
        <v>49</v>
      </c>
      <c r="F12" s="10"/>
      <c r="G12" s="9">
        <f>EDATE(G10,2)</f>
        <v>44774</v>
      </c>
      <c r="H12">
        <f>EXP(-D34*YEARFRAC($C$10,G12,3))</f>
        <v>0.98342654747456371</v>
      </c>
      <c r="I12" s="52" cm="1">
        <f t="array" ref="I12">_xll.d.Curve_DF($D$4,G12)</f>
        <v>0.98351848122804275</v>
      </c>
      <c r="J12" s="52">
        <f t="shared" si="0"/>
        <v>-9.1933753479045421E-5</v>
      </c>
      <c r="K12" s="53">
        <f t="shared" si="1"/>
        <v>-9.3483091050501949E-5</v>
      </c>
    </row>
    <row r="13" spans="2:11" x14ac:dyDescent="0.25">
      <c r="B13" s="60" t="s">
        <v>58</v>
      </c>
      <c r="C13" s="58" t="s">
        <v>59</v>
      </c>
      <c r="F13" s="10"/>
      <c r="G13" s="9">
        <f>EDATE(G10,3)</f>
        <v>44805</v>
      </c>
      <c r="H13">
        <f>EXP(-D35*YEARFRAC($C$10,G13,3))</f>
        <v>0.97510952647028781</v>
      </c>
      <c r="I13" s="52" cm="1">
        <f t="array" ref="I13">_xll.d.Curve_DF($D$4,G13)</f>
        <v>0.97532567183433427</v>
      </c>
      <c r="J13" s="52">
        <f t="shared" si="0"/>
        <v>-2.1614536404646056E-4</v>
      </c>
      <c r="K13" s="53">
        <f>J13/H13</f>
        <v>-2.2166265242927729E-4</v>
      </c>
    </row>
    <row r="14" spans="2:11" x14ac:dyDescent="0.25">
      <c r="F14" s="10"/>
      <c r="G14" s="9">
        <f>EDATE(G10,6)</f>
        <v>44896</v>
      </c>
      <c r="H14">
        <f>EXP(-D36*YEARFRAC($C$10,G14,3))</f>
        <v>0.95109912802471741</v>
      </c>
      <c r="I14" s="52" cm="1">
        <f t="array" ref="I14">_xll.d.Curve_DF($D$4,G14)</f>
        <v>0.95208887438961809</v>
      </c>
      <c r="J14" s="52">
        <f t="shared" si="0"/>
        <v>-9.897463649006788E-4</v>
      </c>
      <c r="K14" s="53">
        <f>J14/H14</f>
        <v>-1.0406342890422217E-3</v>
      </c>
    </row>
    <row r="15" spans="2:11" x14ac:dyDescent="0.25">
      <c r="B15" s="64" t="s">
        <v>62</v>
      </c>
      <c r="C15" s="65"/>
      <c r="F15" s="10"/>
      <c r="G15" s="9">
        <f>EDATE(G10,9)</f>
        <v>44986</v>
      </c>
      <c r="H15">
        <f>H14*EXP(-D40*YEARFRAC(G14,G15,3))</f>
        <v>0.92793413813861503</v>
      </c>
      <c r="I15" s="52" cm="1">
        <f t="array" ref="I15">_xll.d.Curve_DF($D$4,G15)</f>
        <v>0.92930285811616731</v>
      </c>
      <c r="J15" s="52">
        <f t="shared" si="0"/>
        <v>-1.3687199775522796E-3</v>
      </c>
      <c r="K15" s="53">
        <f>J15/H15</f>
        <v>-1.4750184536780344E-3</v>
      </c>
    </row>
    <row r="16" spans="2:11" x14ac:dyDescent="0.25">
      <c r="B16" s="66" t="s">
        <v>32</v>
      </c>
      <c r="C16" s="67" t="s">
        <v>33</v>
      </c>
      <c r="G16" s="9"/>
    </row>
    <row r="17" spans="2:9" x14ac:dyDescent="0.25">
      <c r="B17" s="46" t="s">
        <v>60</v>
      </c>
      <c r="C17" s="58" t="s">
        <v>53</v>
      </c>
    </row>
    <row r="18" spans="2:9" x14ac:dyDescent="0.25">
      <c r="B18" s="46" t="s">
        <v>37</v>
      </c>
      <c r="C18" s="58" t="s">
        <v>64</v>
      </c>
    </row>
    <row r="19" spans="2:9" x14ac:dyDescent="0.25">
      <c r="B19" s="46" t="s">
        <v>67</v>
      </c>
      <c r="C19" s="58" t="s">
        <v>23</v>
      </c>
    </row>
    <row r="20" spans="2:9" x14ac:dyDescent="0.25">
      <c r="B20" s="46"/>
      <c r="C20" s="58" t="s">
        <v>39</v>
      </c>
    </row>
    <row r="21" spans="2:9" x14ac:dyDescent="0.25">
      <c r="C21" s="68" t="s">
        <v>47</v>
      </c>
      <c r="H21" s="46"/>
      <c r="I21" s="50"/>
    </row>
    <row r="22" spans="2:9" x14ac:dyDescent="0.25">
      <c r="E22" s="46"/>
      <c r="F22" s="58"/>
      <c r="H22" s="50"/>
      <c r="I22" s="50"/>
    </row>
    <row r="23" spans="2:9" x14ac:dyDescent="0.25">
      <c r="B23" s="64" t="s">
        <v>62</v>
      </c>
      <c r="C23" s="65"/>
      <c r="H23" s="50"/>
      <c r="I23" s="50"/>
    </row>
    <row r="24" spans="2:9" x14ac:dyDescent="0.25">
      <c r="B24" s="66" t="s">
        <v>32</v>
      </c>
      <c r="C24" s="67" t="s">
        <v>33</v>
      </c>
      <c r="H24" s="50"/>
      <c r="I24" s="50"/>
    </row>
    <row r="25" spans="2:9" x14ac:dyDescent="0.25">
      <c r="B25" s="46" t="s">
        <v>60</v>
      </c>
      <c r="C25" s="58" t="s">
        <v>49</v>
      </c>
    </row>
    <row r="26" spans="2:9" x14ac:dyDescent="0.25">
      <c r="B26" s="46" t="s">
        <v>37</v>
      </c>
      <c r="C26" s="58" t="s">
        <v>50</v>
      </c>
      <c r="H26" s="46"/>
      <c r="I26" s="50"/>
    </row>
    <row r="27" spans="2:9" x14ac:dyDescent="0.25">
      <c r="B27" s="46" t="s">
        <v>67</v>
      </c>
      <c r="C27" s="58" t="s">
        <v>65</v>
      </c>
      <c r="H27" s="46"/>
      <c r="I27" s="50"/>
    </row>
    <row r="28" spans="2:9" x14ac:dyDescent="0.25">
      <c r="H28" s="46"/>
      <c r="I28" s="50"/>
    </row>
    <row r="29" spans="2:9" x14ac:dyDescent="0.25">
      <c r="H29" s="46"/>
      <c r="I29" s="50"/>
    </row>
    <row r="30" spans="2:9" x14ac:dyDescent="0.25">
      <c r="H30" s="46"/>
      <c r="I30" s="50"/>
    </row>
    <row r="31" spans="2:9" x14ac:dyDescent="0.25">
      <c r="B31" s="15" t="s">
        <v>23</v>
      </c>
      <c r="C31" s="30"/>
      <c r="D31" s="16"/>
      <c r="E31" s="30"/>
      <c r="F31" s="16"/>
    </row>
    <row r="32" spans="2:9" x14ac:dyDescent="0.25">
      <c r="B32" s="47" t="s">
        <v>40</v>
      </c>
      <c r="C32" s="48" t="s">
        <v>37</v>
      </c>
      <c r="D32" s="48" t="s">
        <v>41</v>
      </c>
      <c r="E32" s="49" t="s">
        <v>55</v>
      </c>
      <c r="F32" s="59" t="s">
        <v>54</v>
      </c>
    </row>
    <row r="33" spans="2:6" x14ac:dyDescent="0.25">
      <c r="B33" s="46" t="s">
        <v>27</v>
      </c>
      <c r="C33" s="46" t="s">
        <v>38</v>
      </c>
      <c r="D33" s="46">
        <v>0.1</v>
      </c>
      <c r="F33" t="b">
        <v>1</v>
      </c>
    </row>
    <row r="34" spans="2:6" x14ac:dyDescent="0.25">
      <c r="B34" s="46" t="s">
        <v>28</v>
      </c>
      <c r="C34" s="46" t="s">
        <v>38</v>
      </c>
      <c r="D34" s="46">
        <v>0.1</v>
      </c>
      <c r="F34" t="b">
        <v>1</v>
      </c>
    </row>
    <row r="35" spans="2:6" x14ac:dyDescent="0.25">
      <c r="B35" s="46" t="s">
        <v>26</v>
      </c>
      <c r="C35" s="46" t="s">
        <v>38</v>
      </c>
      <c r="D35" s="46">
        <v>0.1</v>
      </c>
      <c r="F35" t="b">
        <v>0</v>
      </c>
    </row>
    <row r="36" spans="2:6" x14ac:dyDescent="0.25">
      <c r="B36" s="46" t="s">
        <v>29</v>
      </c>
      <c r="C36" s="46" t="s">
        <v>38</v>
      </c>
      <c r="D36" s="46">
        <v>0.1</v>
      </c>
      <c r="F36" t="b">
        <v>1</v>
      </c>
    </row>
    <row r="38" spans="2:6" x14ac:dyDescent="0.25">
      <c r="B38" s="15" t="s">
        <v>39</v>
      </c>
      <c r="C38" s="30"/>
      <c r="D38" s="16"/>
    </row>
    <row r="39" spans="2:6" x14ac:dyDescent="0.25">
      <c r="B39" s="47" t="s">
        <v>40</v>
      </c>
      <c r="C39" s="48" t="s">
        <v>37</v>
      </c>
      <c r="D39" s="49" t="s">
        <v>41</v>
      </c>
      <c r="E39" s="59" t="s">
        <v>56</v>
      </c>
      <c r="F39" s="59" t="s">
        <v>57</v>
      </c>
    </row>
    <row r="40" spans="2:6" x14ac:dyDescent="0.25">
      <c r="B40" t="s">
        <v>29</v>
      </c>
      <c r="C40" t="s">
        <v>38</v>
      </c>
      <c r="D40">
        <v>0.1</v>
      </c>
    </row>
    <row r="41" spans="2:6" x14ac:dyDescent="0.25">
      <c r="B41" t="s">
        <v>30</v>
      </c>
      <c r="C41" t="s">
        <v>38</v>
      </c>
      <c r="D41">
        <v>0.1</v>
      </c>
    </row>
    <row r="43" spans="2:6" x14ac:dyDescent="0.25">
      <c r="B43" s="15" t="s">
        <v>47</v>
      </c>
      <c r="C43" s="30"/>
      <c r="D43" s="16"/>
    </row>
    <row r="44" spans="2:6" x14ac:dyDescent="0.25">
      <c r="B44" s="47" t="s">
        <v>24</v>
      </c>
      <c r="C44" s="48" t="s">
        <v>37</v>
      </c>
      <c r="D44" s="49" t="s">
        <v>25</v>
      </c>
    </row>
    <row r="45" spans="2:6" x14ac:dyDescent="0.25">
      <c r="B45" t="s">
        <v>29</v>
      </c>
      <c r="C45" t="s">
        <v>38</v>
      </c>
      <c r="D45">
        <v>0.1</v>
      </c>
    </row>
    <row r="46" spans="2:6" x14ac:dyDescent="0.25">
      <c r="B46" t="s">
        <v>30</v>
      </c>
      <c r="C46" t="s">
        <v>38</v>
      </c>
      <c r="D46">
        <v>0.1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Curves</vt:lpstr>
      <vt:lpstr>HullWhite</vt:lpstr>
      <vt:lpstr>SinlgeCurveBootstrapping</vt:lpstr>
      <vt:lpstr>MultiCurveBootstrapping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2022-06-21T15:59:38Z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