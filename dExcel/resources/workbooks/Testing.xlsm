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1BCDAA90-652E-48C6-A35C-F278BFA75697}" xr6:coauthVersionLast="46" xr6:coauthVersionMax="46" xr10:uidLastSave="{00000000-0000-0000-0000-000000000000}"/>
  <bookViews>
    <workbookView xWindow="-120" yWindow="-120" windowWidth="24240" windowHeight="13140" xr2:uid="{CFAC4E8B-1C32-41D2-A11E-38180CE9FB57}"/>
  </bookViews>
  <sheets>
    <sheet name="Curve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5" i="1" l="1"/>
  <c r="C23" i="1"/>
  <c r="E23" i="1" s="1"/>
  <c r="C6" i="1" a="1"/>
  <c r="C6" i="1" l="1"/>
  <c r="D25" i="1" a="1"/>
  <c r="D23" i="1" a="1"/>
  <c r="D25" i="1" l="1"/>
  <c r="D23" i="1"/>
  <c r="F23" i="1" a="1"/>
  <c r="F25" i="1" a="1"/>
  <c r="F23" i="1" l="1"/>
  <c r="F25" i="1"/>
  <c r="C19" i="1" a="1"/>
  <c r="C19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<sst xmlns="http://schemas.openxmlformats.org/spreadsheetml/2006/main" count="13" uniqueCount="12">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</sst>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0000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</cellStyleXfs>
  <cellXfs count="9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1" xfId="1"/>
    <xf numFmtId="0" fontId="3" fillId="0" borderId="2" xfId="2"/>
    <xf numFmtId="0" fontId="4" fillId="0" borderId="3" xfId="3"/>
    <xf numFmtId="164" fontId="0" fillId="0" borderId="0" xfId="0" applyNumberFormat="1"/>
    <xf numFmtId="165" fontId="0" fillId="0" borderId="0" xfId="0" applyNumberFormat="1"/>
    <xf numFmtId="0" fontId="5" fillId="2" borderId="0" xfId="0" applyFont="1" applyFill="1"/>
  </cellXfs>
  <cellStyles count="4">
    <cellStyle name="Heading 1" xfId="1" builtinId="16" customBuiltin="1"/>
    <cellStyle name="Heading 2" xfId="2" builtinId="17" customBuiltin="1"/>
    <cellStyle name="Heading 3" xfId="3" builtinId="18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dimension ref="B2:Q28"/>
  <sheetViews>
    <sheetView showGridLines="0" tabSelected="1" topLeftCell="A4" zoomScale="145" zoomScaleNormal="145" workbookViewId="0">
      <selection activeCell="F11" sqref="F11:G15"/>
    </sheetView>
  </sheetViews>
  <sheetFormatPr defaultRowHeight="15" x14ac:dyDescent="0.25"/>
  <cols>
    <col min="1" max="1" width="4.28515625" customWidth="1"/>
    <col min="2" max="2" width="20.5703125" customWidth="1"/>
    <col min="3" max="3" width="16" customWidth="1"/>
    <col min="4" max="4" width="10.5703125" bestFit="1" customWidth="1"/>
    <col min="5" max="5" width="7.28515625" bestFit="1" customWidth="1"/>
    <col min="6" max="6" width="10.7109375" bestFit="1" customWidth="1"/>
    <col min="10" max="10" width="10.140625" bestFit="1" customWidth="1"/>
  </cols>
  <sheetData>
    <row r="2" spans="2:17" ht="26.25" x14ac:dyDescent="0.4">
      <c r="B2" s="3" t="s">
        <v>1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4" spans="2:17" ht="18.75" x14ac:dyDescent="0.3">
      <c r="B4" s="4" t="s">
        <v>4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</row>
    <row r="6" spans="2:17" x14ac:dyDescent="0.25">
      <c r="B6" s="2" t="s">
        <v>3</v>
      </c>
      <c r="C6" t="str" cm="1">
        <f t="array" ref="C6">_xll.d.Curve_Create("ExampleCurve",B9:B14,C9:C14)</f>
        <v>@@ExampleCurve::08:36:38</v>
      </c>
    </row>
    <row r="8" spans="2:17" x14ac:dyDescent="0.25">
      <c r="B8" s="2" t="s">
        <v>0</v>
      </c>
      <c r="C8" s="2" t="s">
        <v>2</v>
      </c>
    </row>
    <row r="9" spans="2:17" x14ac:dyDescent="0.25">
      <c r="B9" s="1">
        <v>44562</v>
      </c>
      <c r="C9" s="6">
        <v>1</v>
      </c>
    </row>
    <row r="10" spans="2:17" x14ac:dyDescent="0.25">
      <c r="B10" s="1">
        <v>44593</v>
      </c>
      <c r="C10" s="6">
        <v>0.95</v>
      </c>
    </row>
    <row r="11" spans="2:17" x14ac:dyDescent="0.25">
      <c r="B11" s="1">
        <v>44621</v>
      </c>
      <c r="C11" s="6">
        <v>0.9</v>
      </c>
      <c r="F11" s="1"/>
    </row>
    <row r="12" spans="2:17" x14ac:dyDescent="0.25">
      <c r="B12" s="1">
        <v>44652</v>
      </c>
      <c r="C12" s="6">
        <v>0.85</v>
      </c>
      <c r="F12" s="1"/>
    </row>
    <row r="13" spans="2:17" x14ac:dyDescent="0.25">
      <c r="B13" s="1">
        <v>44682</v>
      </c>
      <c r="C13" s="6">
        <v>0.8</v>
      </c>
    </row>
    <row r="14" spans="2:17" x14ac:dyDescent="0.25">
      <c r="B14" s="1">
        <v>44713</v>
      </c>
      <c r="C14" s="6">
        <v>0.75</v>
      </c>
    </row>
    <row r="16" spans="2:17" ht="18.75" x14ac:dyDescent="0.3">
      <c r="B16" s="4" t="s">
        <v>5</v>
      </c>
      <c r="C16" s="4"/>
    </row>
    <row r="18" spans="2:6" x14ac:dyDescent="0.25">
      <c r="B18" s="8" t="s">
        <v>10</v>
      </c>
      <c r="C18" s="8" t="s">
        <v>11</v>
      </c>
    </row>
    <row r="19" spans="2:6" x14ac:dyDescent="0.25">
      <c r="B19" t="s">
        <v>6</v>
      </c>
      <c r="C19" t="str" cm="1">
        <f t="array" ref="C19">_xll.d.And(F23:F25)</f>
        <v>OK</v>
      </c>
    </row>
    <row r="21" spans="2:6" ht="15.75" x14ac:dyDescent="0.25">
      <c r="B21" s="5" t="s">
        <v>6</v>
      </c>
      <c r="C21" s="5"/>
    </row>
    <row r="23" spans="2:6" x14ac:dyDescent="0.25">
      <c r="B23" t="s">
        <v>8</v>
      </c>
      <c r="C23" s="1">
        <f>B12</f>
        <v>44652</v>
      </c>
      <c r="D23" s="6" cm="1">
        <f t="array" ref="D23">_xll.d.Curve_DF(C6,C23)</f>
        <v>0.85</v>
      </c>
      <c r="E23" s="6">
        <f>VLOOKUP(C23,B9:C14,2,FALSE)</f>
        <v>0.85</v>
      </c>
      <c r="F23" t="str" cm="1">
        <f t="array" ref="F23">_xll.d.Equal(D23,E23)</f>
        <v>OK</v>
      </c>
    </row>
    <row r="25" spans="2:6" x14ac:dyDescent="0.25">
      <c r="B25" t="s">
        <v>9</v>
      </c>
      <c r="C25" s="1">
        <v>44607</v>
      </c>
      <c r="D25" s="6" cm="1">
        <f t="array" ref="D25">_xll.d.Curve_DF(C6,C25)</f>
        <v>0.92466210044534647</v>
      </c>
      <c r="E25" s="6">
        <f>EXP((LN(C11)-LN(C10))/((B11-B10)/365)*((C25-B10)/365)+LN(C10))</f>
        <v>0.92466210044534647</v>
      </c>
      <c r="F25" t="str" cm="1">
        <f t="array" ref="F25">_xll.d.Equal(D25,E25)</f>
        <v>OK</v>
      </c>
    </row>
    <row r="28" spans="2:6" ht="15.75" x14ac:dyDescent="0.25">
      <c r="B28" s="5" t="s">
        <v>7</v>
      </c>
      <c r="C28" s="5"/>
      <c r="E28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2022-05-09T06:37:37Z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