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ED4DA33-BCE6-4381-8BEA-BE7C452091D7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Bootstrapping'!$R$22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3" l="1" a="1"/>
  <c r="D72" i="24" a="1"/>
  <c r="D25" i="3" l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D45" i="25" s="1"/>
  <c r="D42" i="25" a="1"/>
  <c r="D42" i="25" s="1"/>
  <c r="D39" i="25" a="1"/>
  <c r="D39" i="25" s="1"/>
  <c r="AF31" i="25" a="1"/>
  <c r="AF31" i="25" s="1"/>
  <c r="AF26" i="25" a="1"/>
  <c r="AH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C16" i="24" a="1"/>
  <c r="C45" i="25" l="1"/>
  <c r="C16" i="24"/>
  <c r="C26" i="25"/>
  <c r="B26" i="25"/>
  <c r="AF26" i="25"/>
  <c r="B45" i="25"/>
  <c r="D33" i="25"/>
  <c r="AH33" i="25"/>
  <c r="D52" i="25"/>
  <c r="C33" i="25"/>
  <c r="AG26" i="25"/>
  <c r="C52" i="25"/>
  <c r="D28" i="25"/>
  <c r="AH28" i="25"/>
  <c r="D47" i="25"/>
  <c r="AG28" i="25"/>
  <c r="C47" i="25"/>
  <c r="B28" i="25"/>
  <c r="C32" i="25"/>
  <c r="AF28" i="25"/>
  <c r="AG32" i="25"/>
  <c r="C51" i="25"/>
  <c r="B32" i="25"/>
  <c r="AF32" i="25"/>
  <c r="B51" i="25"/>
  <c r="C27" i="25"/>
  <c r="D31" i="25"/>
  <c r="AG27" i="25"/>
  <c r="AH31" i="25"/>
  <c r="C46" i="25"/>
  <c r="D50" i="25"/>
  <c r="AG33" i="25"/>
  <c r="B33" i="25"/>
  <c r="AF33" i="25"/>
  <c r="B52" i="25"/>
  <c r="C28" i="25"/>
  <c r="D32" i="25"/>
  <c r="AH32" i="25"/>
  <c r="D51" i="25"/>
  <c r="B47" i="25"/>
  <c r="D27" i="25"/>
  <c r="AH27" i="25"/>
  <c r="D46" i="25"/>
  <c r="B27" i="25"/>
  <c r="C31" i="25"/>
  <c r="AF27" i="25"/>
  <c r="AG31" i="25"/>
  <c r="B46" i="25"/>
  <c r="C50" i="25"/>
  <c r="AE25" i="3" a="1"/>
  <c r="AE25" i="3" l="1"/>
  <c r="AO43" i="3" a="1"/>
  <c r="AO42" i="3" a="1"/>
  <c r="AO45" i="3" a="1"/>
  <c r="AO44" i="3" a="1"/>
  <c r="AO41" i="3" a="1"/>
  <c r="AO41" i="3" l="1"/>
  <c r="AO43" i="3"/>
  <c r="AO45" i="3"/>
  <c r="AO42" i="3"/>
  <c r="AO44" i="3"/>
  <c r="AP45" i="3" a="1"/>
  <c r="AP42" i="3" a="1"/>
  <c r="AP41" i="3" a="1"/>
  <c r="AP44" i="3" a="1"/>
  <c r="AP43" i="3" a="1"/>
  <c r="AP43" i="3" l="1"/>
  <c r="AP41" i="3"/>
  <c r="AP44" i="3"/>
  <c r="AP42" i="3"/>
  <c r="AP45" i="3"/>
  <c r="AJ53" i="3" l="1"/>
  <c r="AJ52" i="3"/>
  <c r="AJ51" i="3"/>
  <c r="AJ50" i="3"/>
  <c r="AJ49" i="3"/>
  <c r="AJ54" i="3"/>
  <c r="T80" i="3"/>
  <c r="T79" i="3"/>
  <c r="T77" i="3"/>
  <c r="T78" i="3"/>
  <c r="T76" i="3"/>
  <c r="T75" i="3"/>
  <c r="C18" i="1" a="1"/>
  <c r="R34" i="3" a="1"/>
  <c r="R31" i="3" a="1"/>
  <c r="R38" i="3" a="1"/>
  <c r="O25" i="3" a="1"/>
  <c r="R30" i="3" a="1"/>
  <c r="R32" i="3" a="1"/>
  <c r="R33" i="3" a="1"/>
  <c r="AF29" i="3" a="1"/>
  <c r="C18" i="1" l="1"/>
  <c r="O25" i="3"/>
  <c r="AF29" i="3"/>
  <c r="AH25" i="3" s="1"/>
  <c r="AH26" i="3" s="1"/>
  <c r="AH27" i="3" s="1"/>
  <c r="AH28" i="3" s="1"/>
  <c r="AH29" i="3" s="1"/>
  <c r="AH30" i="3" s="1"/>
  <c r="R43" i="3"/>
  <c r="R55" i="3"/>
  <c r="R67" i="3"/>
  <c r="R44" i="3"/>
  <c r="R56" i="3"/>
  <c r="R68" i="3"/>
  <c r="R45" i="3"/>
  <c r="R57" i="3"/>
  <c r="R69" i="3"/>
  <c r="R41" i="3"/>
  <c r="R65" i="3"/>
  <c r="R42" i="3"/>
  <c r="R54" i="3"/>
  <c r="R46" i="3"/>
  <c r="R58" i="3"/>
  <c r="R47" i="3"/>
  <c r="R59" i="3"/>
  <c r="R70" i="3"/>
  <c r="R49" i="3"/>
  <c r="R61" i="3"/>
  <c r="R50" i="3"/>
  <c r="R62" i="3"/>
  <c r="R39" i="3"/>
  <c r="R51" i="3"/>
  <c r="R63" i="3"/>
  <c r="R40" i="3"/>
  <c r="R52" i="3"/>
  <c r="R64" i="3"/>
  <c r="R48" i="3"/>
  <c r="R60" i="3"/>
  <c r="R38" i="3"/>
  <c r="R53" i="3"/>
  <c r="R66" i="3"/>
  <c r="R33" i="3"/>
  <c r="R34" i="3"/>
  <c r="R32" i="3"/>
  <c r="R30" i="3"/>
  <c r="R31" i="3"/>
  <c r="S55" i="3" a="1"/>
  <c r="S62" i="3" a="1"/>
  <c r="S67" i="3" a="1"/>
  <c r="S57" i="3" a="1"/>
  <c r="S63" i="3" a="1"/>
  <c r="S68" i="3" a="1"/>
  <c r="S59" i="3" a="1"/>
  <c r="S52" i="3" a="1"/>
  <c r="S56" i="3" a="1"/>
  <c r="S70" i="3" a="1"/>
  <c r="S61" i="3" a="1"/>
  <c r="S66" i="3" a="1"/>
  <c r="S69" i="3" a="1"/>
  <c r="S60" i="3" a="1"/>
  <c r="S48" i="3" a="1"/>
  <c r="AH34" i="3" a="1"/>
  <c r="T39" i="3" a="1"/>
  <c r="S64" i="3" a="1"/>
  <c r="S65" i="3" a="1"/>
  <c r="S51" i="3" a="1"/>
  <c r="S58" i="3" a="1"/>
  <c r="S53" i="3" a="1"/>
  <c r="S54" i="3" a="1"/>
  <c r="AO34" i="3" a="1"/>
  <c r="AO31" i="3" a="1"/>
  <c r="AO33" i="3" a="1"/>
  <c r="AO38" i="3" a="1"/>
  <c r="D47" i="1" a="1"/>
  <c r="AO36" i="3" a="1"/>
  <c r="AO29" i="3" a="1"/>
  <c r="AO37" i="3" a="1"/>
  <c r="AO30" i="3" a="1"/>
  <c r="AO40" i="3" a="1"/>
  <c r="Y34" i="3" a="1"/>
  <c r="AO35" i="3" a="1"/>
  <c r="AO28" i="3" a="1"/>
  <c r="U39" i="3" a="1"/>
  <c r="AO32" i="3" a="1"/>
  <c r="AO27" i="3" a="1"/>
  <c r="AO39" i="3" a="1"/>
  <c r="AJ25" i="3" a="1"/>
  <c r="AO25" i="3" a="1"/>
  <c r="AO26" i="3" a="1"/>
  <c r="D47" i="1" l="1"/>
  <c r="AJ25" i="3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0" i="3"/>
  <c r="U62" i="3"/>
  <c r="U49" i="3"/>
  <c r="U61" i="3"/>
  <c r="U39" i="3"/>
  <c r="U51" i="3"/>
  <c r="U63" i="3"/>
  <c r="U52" i="3"/>
  <c r="U64" i="3"/>
  <c r="U41" i="3"/>
  <c r="U53" i="3"/>
  <c r="U65" i="3"/>
  <c r="U42" i="3"/>
  <c r="U56" i="3"/>
  <c r="U68" i="3"/>
  <c r="U57" i="3"/>
  <c r="U69" i="3"/>
  <c r="U40" i="3"/>
  <c r="U54" i="3"/>
  <c r="U66" i="3"/>
  <c r="U55" i="3"/>
  <c r="U44" i="3"/>
  <c r="U45" i="3"/>
  <c r="U46" i="3"/>
  <c r="U70" i="3"/>
  <c r="U47" i="3"/>
  <c r="U59" i="3"/>
  <c r="U43" i="3"/>
  <c r="U67" i="3"/>
  <c r="U58" i="3"/>
  <c r="U48" i="3"/>
  <c r="U60" i="3"/>
  <c r="T41" i="3"/>
  <c r="T53" i="3"/>
  <c r="T65" i="3"/>
  <c r="T51" i="3"/>
  <c r="T40" i="3"/>
  <c r="T52" i="3"/>
  <c r="T64" i="3"/>
  <c r="T42" i="3"/>
  <c r="T54" i="3"/>
  <c r="T66" i="3"/>
  <c r="T43" i="3"/>
  <c r="T55" i="3"/>
  <c r="T67" i="3"/>
  <c r="T44" i="3"/>
  <c r="T56" i="3"/>
  <c r="T68" i="3"/>
  <c r="T45" i="3"/>
  <c r="T69" i="3"/>
  <c r="T46" i="3"/>
  <c r="T70" i="3"/>
  <c r="T59" i="3"/>
  <c r="T60" i="3"/>
  <c r="T57" i="3"/>
  <c r="T58" i="3"/>
  <c r="T47" i="3"/>
  <c r="T48" i="3"/>
  <c r="T61" i="3"/>
  <c r="T49" i="3"/>
  <c r="T50" i="3"/>
  <c r="T62" i="3"/>
  <c r="T39" i="3"/>
  <c r="T63" i="3"/>
  <c r="S70" i="3"/>
  <c r="S69" i="3"/>
  <c r="S64" i="3"/>
  <c r="S66" i="3"/>
  <c r="S63" i="3"/>
  <c r="S67" i="3"/>
  <c r="S65" i="3"/>
  <c r="S68" i="3"/>
  <c r="S58" i="3"/>
  <c r="S57" i="3"/>
  <c r="S61" i="3"/>
  <c r="S59" i="3"/>
  <c r="S55" i="3"/>
  <c r="S60" i="3"/>
  <c r="S56" i="3"/>
  <c r="S62" i="3"/>
  <c r="S54" i="3"/>
  <c r="S53" i="3"/>
  <c r="S52" i="3"/>
  <c r="S51" i="3"/>
  <c r="S48" i="3"/>
  <c r="AP27" i="3" a="1"/>
  <c r="AP38" i="3" a="1"/>
  <c r="Z34" i="3" a="1"/>
  <c r="AP29" i="3" a="1"/>
  <c r="AP25" i="3" a="1"/>
  <c r="AP40" i="3" a="1"/>
  <c r="AP26" i="3" a="1"/>
  <c r="AP34" i="3" a="1"/>
  <c r="AP37" i="3" a="1"/>
  <c r="AP35" i="3" a="1"/>
  <c r="AP32" i="3" a="1"/>
  <c r="AP30" i="3" a="1"/>
  <c r="AP36" i="3" a="1"/>
  <c r="AP33" i="3" a="1"/>
  <c r="AP39" i="3" a="1"/>
  <c r="AP31" i="3" a="1"/>
  <c r="AP28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R24" i="3" l="1"/>
  <c r="R27" i="3" a="1"/>
  <c r="R28" i="3" a="1"/>
  <c r="R26" i="3" a="1"/>
  <c r="R29" i="3" a="1"/>
  <c r="S25" i="3" a="1"/>
  <c r="S25" i="3" l="1"/>
  <c r="R27" i="3"/>
  <c r="R28" i="3"/>
  <c r="R26" i="3"/>
  <c r="R29" i="3"/>
  <c r="S42" i="3" a="1"/>
  <c r="S50" i="3" a="1"/>
  <c r="S27" i="3" a="1"/>
  <c r="S41" i="3" a="1"/>
  <c r="S47" i="3" a="1"/>
  <c r="S40" i="3" a="1"/>
  <c r="S26" i="3" a="1"/>
  <c r="S43" i="3" a="1"/>
  <c r="S49" i="3" a="1"/>
  <c r="S44" i="3" a="1"/>
  <c r="S39" i="3" a="1"/>
  <c r="S45" i="3" a="1"/>
  <c r="S46" i="3" a="1"/>
  <c r="Y26" i="3" a="1"/>
  <c r="T30" i="3" a="1"/>
  <c r="T26" i="3" a="1"/>
  <c r="T31" i="3" a="1"/>
  <c r="AO24" i="3" a="1"/>
  <c r="T29" i="3" a="1"/>
  <c r="Y32" i="3" a="1"/>
  <c r="Y28" i="3" a="1"/>
  <c r="Y35" i="3" a="1"/>
  <c r="Y40" i="3" a="1"/>
  <c r="T25" i="3" a="1"/>
  <c r="T33" i="3" a="1"/>
  <c r="Y36" i="3" a="1"/>
  <c r="Y31" i="3" a="1"/>
  <c r="Y27" i="3" a="1"/>
  <c r="Y29" i="3" a="1"/>
  <c r="T32" i="3" a="1"/>
  <c r="Y41" i="3" a="1"/>
  <c r="T28" i="3" a="1"/>
  <c r="Y42" i="3" a="1"/>
  <c r="Y30" i="3" a="1"/>
  <c r="Y33" i="3" a="1"/>
  <c r="T34" i="3" a="1"/>
  <c r="T27" i="3" a="1"/>
  <c r="Y39" i="3" a="1"/>
  <c r="Y38" i="3" a="1"/>
  <c r="T24" i="3" a="1"/>
  <c r="Y37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6" i="3"/>
  <c r="T33" i="3"/>
  <c r="T34" i="3"/>
  <c r="T32" i="3"/>
  <c r="T30" i="3"/>
  <c r="T31" i="3"/>
  <c r="T27" i="3"/>
  <c r="T29" i="3"/>
  <c r="T28" i="3"/>
  <c r="S26" i="3"/>
  <c r="S27" i="3"/>
  <c r="T25" i="3"/>
  <c r="T24" i="3"/>
  <c r="S43" i="3"/>
  <c r="S44" i="3"/>
  <c r="S46" i="3"/>
  <c r="S47" i="3"/>
  <c r="S45" i="3"/>
  <c r="S49" i="3"/>
  <c r="S50" i="3"/>
  <c r="S39" i="3"/>
  <c r="S41" i="3"/>
  <c r="S40" i="3"/>
  <c r="S42" i="3"/>
  <c r="S28" i="3" a="1"/>
  <c r="Z28" i="3" a="1"/>
  <c r="Z31" i="3" a="1"/>
  <c r="Z39" i="3" a="1"/>
  <c r="Z30" i="3" a="1"/>
  <c r="U27" i="3" a="1"/>
  <c r="U26" i="3" a="1"/>
  <c r="Z42" i="3" a="1"/>
  <c r="Z36" i="3" a="1"/>
  <c r="Z26" i="3" a="1"/>
  <c r="Z37" i="3" a="1"/>
  <c r="Z40" i="3" a="1"/>
  <c r="U24" i="3" a="1"/>
  <c r="Z27" i="3" a="1"/>
  <c r="Z29" i="3" a="1"/>
  <c r="Z35" i="3" a="1"/>
  <c r="Z38" i="3" a="1"/>
  <c r="AP24" i="3" a="1"/>
  <c r="Z32" i="3" a="1"/>
  <c r="Z41" i="3" a="1"/>
  <c r="Z33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0" i="3"/>
  <c r="S79" i="3"/>
  <c r="S78" i="3"/>
  <c r="S77" i="3"/>
  <c r="S76" i="3"/>
  <c r="S75" i="3"/>
  <c r="S28" i="3"/>
  <c r="U27" i="3"/>
  <c r="U26" i="3"/>
  <c r="U24" i="3"/>
  <c r="S29" i="3" a="1"/>
  <c r="U76" i="3" a="1"/>
  <c r="U75" i="3" a="1"/>
  <c r="U77" i="3" a="1"/>
  <c r="U80" i="3" a="1"/>
  <c r="U28" i="3" a="1"/>
  <c r="U79" i="3" a="1"/>
  <c r="U78" i="3" a="1"/>
  <c r="U80" i="3" l="1"/>
  <c r="U79" i="3"/>
  <c r="U77" i="3"/>
  <c r="U78" i="3"/>
  <c r="U75" i="3"/>
  <c r="U76" i="3"/>
  <c r="S29" i="3"/>
  <c r="U28" i="3"/>
  <c r="S30" i="3" a="1"/>
  <c r="U29" i="3" a="1"/>
  <c r="S30" i="3" l="1"/>
  <c r="U29" i="3"/>
  <c r="AH24" i="3"/>
  <c r="BE31" i="3"/>
  <c r="AI27" i="3" a="1"/>
  <c r="AI26" i="3" a="1"/>
  <c r="AI28" i="3" a="1"/>
  <c r="AI30" i="3" a="1"/>
  <c r="S31" i="3" a="1"/>
  <c r="AI29" i="3" a="1"/>
  <c r="AI25" i="3" a="1"/>
  <c r="AJ24" i="3" a="1"/>
  <c r="BG31" i="3" a="1"/>
  <c r="AJ27" i="3" a="1"/>
  <c r="AJ30" i="3" a="1"/>
  <c r="AJ29" i="3" a="1"/>
  <c r="U30" i="3" a="1"/>
  <c r="AJ28" i="3" a="1"/>
  <c r="AJ26" i="3" a="1"/>
  <c r="AI25" i="3" l="1"/>
  <c r="AI30" i="3"/>
  <c r="AI26" i="3"/>
  <c r="AI27" i="3"/>
  <c r="AI29" i="3"/>
  <c r="AI28" i="3"/>
  <c r="U30" i="3"/>
  <c r="S31" i="3"/>
  <c r="AJ24" i="3"/>
  <c r="AJ27" i="3"/>
  <c r="AJ26" i="3"/>
  <c r="AJ29" i="3"/>
  <c r="AJ28" i="3"/>
  <c r="AJ30" i="3"/>
  <c r="BF31" i="3"/>
  <c r="BG31" i="3"/>
  <c r="S32" i="3" a="1"/>
  <c r="U31" i="3" a="1"/>
  <c r="BH31" i="3" a="1"/>
  <c r="AK27" i="3" a="1"/>
  <c r="AK24" i="3" a="1"/>
  <c r="AK26" i="3" a="1"/>
  <c r="AK29" i="3" a="1"/>
  <c r="AK30" i="3" a="1"/>
  <c r="AK28" i="3" a="1"/>
  <c r="AK25" i="3" a="1"/>
  <c r="AK25" i="3" l="1"/>
  <c r="AK28" i="3"/>
  <c r="AK26" i="3"/>
  <c r="AK27" i="3"/>
  <c r="S32" i="3"/>
  <c r="U31" i="3"/>
  <c r="AK24" i="3"/>
  <c r="BH31" i="3"/>
  <c r="AK29" i="3"/>
  <c r="AK30" i="3"/>
  <c r="S33" i="3" a="1"/>
  <c r="AF31" i="14" a="1"/>
  <c r="R31" i="14" a="1"/>
  <c r="U32" i="3" a="1"/>
  <c r="S33" i="3" l="1"/>
  <c r="U32" i="3"/>
  <c r="R31" i="14"/>
  <c r="AF31" i="14"/>
  <c r="AL31" i="14" a="1"/>
  <c r="X31" i="14" a="1"/>
  <c r="S34" i="3" a="1"/>
  <c r="U33" i="3" a="1"/>
  <c r="S34" i="3" l="1"/>
  <c r="U33" i="3"/>
  <c r="AL31" i="14"/>
  <c r="X31" i="14"/>
  <c r="Y39" i="25" a="1"/>
  <c r="Y23" i="25" a="1"/>
  <c r="Y50" i="25" a="1"/>
  <c r="Y20" i="25" a="1"/>
  <c r="Y42" i="25" a="1"/>
  <c r="Y31" i="25" a="1"/>
  <c r="Y45" i="25" a="1"/>
  <c r="Y26" i="25" a="1"/>
  <c r="J20" i="25" a="1"/>
  <c r="J23" i="25" a="1"/>
  <c r="U34" i="3" a="1"/>
  <c r="J42" i="25" a="1"/>
  <c r="J39" i="25" a="1"/>
  <c r="U34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7" i="25" a="1"/>
  <c r="H45" i="25" a="1"/>
  <c r="J27" i="25" a="1"/>
  <c r="J52" i="25" a="1"/>
  <c r="H26" i="25" a="1"/>
  <c r="H50" i="25" a="1"/>
  <c r="J46" i="25" a="1"/>
  <c r="H27" i="25" a="1"/>
  <c r="J45" i="25" a="1"/>
  <c r="H32" i="25" a="1"/>
  <c r="I46" i="25" a="1"/>
  <c r="J33" i="25" a="1"/>
  <c r="J51" i="25" a="1"/>
  <c r="I27" i="25" a="1"/>
  <c r="H51" i="25" a="1"/>
  <c r="I52" i="25" a="1"/>
  <c r="I26" i="25" a="1"/>
  <c r="I32" i="25" a="1"/>
  <c r="J31" i="25" a="1"/>
  <c r="I50" i="25" a="1"/>
  <c r="I45" i="25" a="1"/>
  <c r="J26" i="25" a="1"/>
  <c r="J50" i="25" a="1"/>
  <c r="H46" i="25" a="1"/>
  <c r="I28" i="25" a="1"/>
  <c r="H52" i="25" a="1"/>
  <c r="H28" i="25" a="1"/>
  <c r="J28" i="25" a="1"/>
  <c r="I47" i="25" a="1"/>
  <c r="H31" i="25" a="1"/>
  <c r="I31" i="25" a="1"/>
  <c r="J47" i="25" a="1"/>
  <c r="I51" i="25" a="1"/>
  <c r="I33" i="25" a="1"/>
  <c r="H33" i="25" a="1"/>
  <c r="J32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AU22" i="3" a="1"/>
  <c r="E124" i="13" a="1"/>
  <c r="G34" i="3" a="1"/>
  <c r="BE22" i="3" a="1"/>
  <c r="H125" i="15" a="1"/>
  <c r="D50" i="15" a="1"/>
  <c r="H116" i="15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6" i="3" a="1"/>
  <c r="H42" i="3" a="1"/>
  <c r="H44" i="3" a="1"/>
  <c r="H35" i="3" a="1"/>
  <c r="H41" i="3" a="1"/>
  <c r="H45" i="3" a="1"/>
  <c r="H40" i="3" a="1"/>
  <c r="H43" i="3" a="1"/>
  <c r="H37" i="3" a="1"/>
  <c r="H36" i="3" a="1"/>
  <c r="H39" i="3" a="1"/>
  <c r="H38" i="3" a="1"/>
  <c r="J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U22" i="17" a="1"/>
  <c r="Q24" i="17" a="1"/>
  <c r="Q23" i="17" a="1"/>
  <c r="T24" i="17" a="1"/>
  <c r="C258" i="13" a="1"/>
  <c r="R26" i="17" a="1"/>
  <c r="X17" i="23" a="1"/>
  <c r="D255" i="13" a="1"/>
  <c r="S24" i="17" a="1"/>
  <c r="F39" i="17" a="1"/>
  <c r="P25" i="17" a="1"/>
  <c r="D261" i="13" a="1"/>
  <c r="E79" i="13" a="1"/>
  <c r="R21" i="17" a="1"/>
  <c r="F38" i="17" a="1"/>
  <c r="AV20" i="17" a="1"/>
  <c r="T23" i="17" a="1"/>
  <c r="N17" i="23" a="1"/>
  <c r="R19" i="23" s="1" a="1"/>
  <c r="P23" i="17" a="1"/>
  <c r="AG17" i="23" a="1"/>
  <c r="Q25" i="17" a="1"/>
  <c r="AJ20" i="17" a="1"/>
  <c r="R23" i="17" a="1"/>
  <c r="D258" i="13" a="1"/>
  <c r="R100" i="15" a="1"/>
  <c r="E31" i="13" a="1"/>
  <c r="U25" i="17" a="1"/>
  <c r="C50" i="13" a="1"/>
  <c r="T22" i="17" a="1"/>
  <c r="P21" i="17" a="1"/>
  <c r="F42" i="17" a="1"/>
  <c r="P26" i="17" a="1"/>
  <c r="Z79" i="13" a="1"/>
  <c r="D259" i="13" a="1"/>
  <c r="T26" i="17" a="1"/>
  <c r="R22" i="17" a="1"/>
  <c r="AI79" i="13" a="1"/>
  <c r="U23" i="17" a="1"/>
  <c r="Q21" i="17" a="1"/>
  <c r="D260" i="13" a="1"/>
  <c r="R21" i="23" a="1"/>
  <c r="P24" i="17" a="1"/>
  <c r="C255" i="13" a="1"/>
  <c r="C38" i="13" a="1"/>
  <c r="P22" i="17" a="1"/>
  <c r="F43" i="17" a="1"/>
  <c r="E55" i="13" a="1"/>
  <c r="O17" i="20" a="1"/>
  <c r="C256" i="13" a="1"/>
  <c r="R24" i="17" a="1"/>
  <c r="E17" i="21" a="1"/>
  <c r="E183" i="13" a="1"/>
  <c r="R25" i="17" a="1"/>
  <c r="M38" i="17" a="1"/>
  <c r="V17" i="20" a="1"/>
  <c r="E100" i="15" a="1"/>
  <c r="Q26" i="17" a="1"/>
  <c r="L79" i="13" a="1"/>
  <c r="S26" i="17" a="1"/>
  <c r="R18" i="23" a="1"/>
  <c r="AG17" i="21" a="1"/>
  <c r="D257" i="13" a="1"/>
  <c r="AG17" i="20" a="1"/>
  <c r="S79" i="13" a="1"/>
  <c r="C257" i="13" a="1"/>
  <c r="R20" i="23" a="1"/>
  <c r="S25" i="17" a="1"/>
  <c r="N17" i="21" a="1"/>
  <c r="S17" i="23" a="1"/>
  <c r="X17" i="21" a="1"/>
  <c r="S23" i="17" a="1"/>
  <c r="T25" i="17" a="1"/>
  <c r="Q22" i="17" a="1"/>
  <c r="S21" i="17" a="1"/>
  <c r="D256" i="13" a="1"/>
  <c r="BA19" i="14" a="1"/>
  <c r="E17" i="20" a="1"/>
  <c r="S21" i="23" a="1"/>
  <c r="C260" i="13" a="1"/>
  <c r="E17" i="23" a="1"/>
  <c r="E67" i="13" a="1"/>
  <c r="C261" i="13" a="1"/>
  <c r="F41" i="17" a="1"/>
  <c r="R19" i="21" a="1"/>
  <c r="E210" i="13" a="1"/>
  <c r="U24" i="17" a="1"/>
  <c r="U21" i="17" a="1"/>
  <c r="U26" i="17" a="1"/>
  <c r="T21" i="17" a="1"/>
  <c r="E43" i="13" a="1"/>
  <c r="S22" i="17" a="1"/>
  <c r="S19" i="23" a="1"/>
  <c r="S20" i="21" a="1"/>
  <c r="C259" i="13" a="1"/>
  <c r="AE100" i="15" a="1"/>
  <c r="S20" i="23" a="1"/>
  <c r="BO19" i="14" a="1"/>
  <c r="F40" i="17" a="1"/>
  <c r="S17" i="21" a="1"/>
  <c r="X50" i="15" a="1"/>
  <c r="BD63" i="5" a="1"/>
  <c r="BG40" i="5" a="1"/>
  <c r="S19" i="21" a="1"/>
  <c r="R18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Z23" i="17" a="1"/>
  <c r="I19" i="20" a="1"/>
  <c r="I17" i="21" a="1"/>
  <c r="AA24" i="17" a="1"/>
  <c r="H43" i="17" a="1"/>
  <c r="AD26" i="17" a="1"/>
  <c r="AQ79" i="13" a="1"/>
  <c r="AA25" i="17" a="1"/>
  <c r="R20" i="21" a="1"/>
  <c r="AA23" i="17" a="1"/>
  <c r="G67" i="13" a="1"/>
  <c r="Z26" i="17" a="1"/>
  <c r="G55" i="13" a="1"/>
  <c r="AA26" i="17" a="1"/>
  <c r="S18" i="23" a="1"/>
  <c r="AD23" i="17" a="1"/>
  <c r="Y25" i="17" a="1"/>
  <c r="Y21" i="17" a="1"/>
  <c r="J100" i="15" a="1"/>
  <c r="AB26" i="17" a="1"/>
  <c r="I17" i="23" a="1"/>
  <c r="AC25" i="17" a="1"/>
  <c r="Z22" i="17" a="1"/>
  <c r="J20" i="20" a="1"/>
  <c r="AB25" i="17" a="1"/>
  <c r="AK17" i="21" a="1"/>
  <c r="R17" i="21" a="1"/>
  <c r="AB23" i="17" a="1"/>
  <c r="H38" i="17" a="1"/>
  <c r="AB17" i="21" a="1"/>
  <c r="AB22" i="17" a="1"/>
  <c r="Y23" i="17" a="1"/>
  <c r="S38" i="17" a="1"/>
  <c r="G31" i="13" a="1"/>
  <c r="AM17" i="20" a="1"/>
  <c r="BI19" i="14" a="1"/>
  <c r="BB20" i="17" a="1"/>
  <c r="AC23" i="17" a="1"/>
  <c r="AA21" i="17" a="1"/>
  <c r="AA22" i="17" a="1"/>
  <c r="H40" i="17" a="1"/>
  <c r="Z24" i="17" a="1"/>
  <c r="R17" i="23" a="1"/>
  <c r="Z25" i="17" a="1"/>
  <c r="AJ100" i="15" a="1"/>
  <c r="Y22" i="17" a="1"/>
  <c r="AB21" i="17" a="1"/>
  <c r="AB17" i="20" a="1"/>
  <c r="J18" i="20" a="1"/>
  <c r="AK17" i="23" a="1"/>
  <c r="AC26" i="17" a="1"/>
  <c r="S18" i="21" a="1"/>
  <c r="J19" i="20" a="1"/>
  <c r="I20" i="20" a="1"/>
  <c r="AD24" i="17" a="1"/>
  <c r="Y26" i="17" a="1"/>
  <c r="AB24" i="17" a="1"/>
  <c r="I17" i="20" a="1"/>
  <c r="AC24" i="17" a="1"/>
  <c r="H42" i="17" a="1"/>
  <c r="H39" i="17" a="1"/>
  <c r="AP20" i="17" a="1"/>
  <c r="N79" i="13" a="1"/>
  <c r="AC21" i="17" a="1"/>
  <c r="Y24" i="17" a="1"/>
  <c r="I18" i="20" a="1"/>
  <c r="AD21" i="17" a="1"/>
  <c r="U100" i="15" a="1"/>
  <c r="AD25" i="17" a="1"/>
  <c r="H41" i="17" a="1"/>
  <c r="BW19" i="14" a="1"/>
  <c r="G43" i="13" a="1"/>
  <c r="AD22" i="17" a="1"/>
  <c r="Z21" i="17" a="1"/>
  <c r="AC22" i="17" a="1"/>
  <c r="AB17" i="23" a="1"/>
  <c r="E85" i="1" a="1"/>
  <c r="D49" i="1" a="1"/>
  <c r="D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55" i="13" a="1"/>
  <c r="C12" i="23" a="1"/>
  <c r="C26" i="13" a="1"/>
  <c r="J17" i="20" a="1"/>
  <c r="E261" i="13" a="1"/>
  <c r="E260" i="13" a="1"/>
  <c r="C35" i="17" a="1"/>
  <c r="E259" i="13" a="1"/>
  <c r="C95" i="15" a="1"/>
  <c r="E257" i="13" a="1"/>
  <c r="E256" i="13" a="1"/>
  <c r="E258" i="13" a="1"/>
  <c r="C62" i="13" a="1"/>
  <c r="C12" i="21" a="1"/>
  <c r="J85" i="1" a="1"/>
  <c r="W85" i="1" a="1"/>
  <c r="T85" i="1" a="1"/>
  <c r="Q85" i="1" a="1"/>
  <c r="F85" i="1" a="1"/>
  <c r="N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250" i="13" a="1"/>
  <c r="C4" i="2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34" i="15" a="1"/>
  <c r="AA210" i="13" a="1"/>
  <c r="G184" i="13" a="1"/>
  <c r="E17" i="19" a="1"/>
  <c r="F19" i="14" a="1"/>
  <c r="N19" i="14" a="1"/>
  <c r="AF20" i="15" a="1"/>
  <c r="BM43" i="14" a="1"/>
  <c r="AR20" i="15" a="1"/>
  <c r="G191" i="13" a="1"/>
  <c r="G185" i="13" a="1"/>
  <c r="E109" i="13" a="1"/>
  <c r="S94" i="13" a="1"/>
  <c r="E35" i="9" a="1"/>
  <c r="L94" i="13" a="1"/>
  <c r="W43" i="14" a="1"/>
  <c r="F20" i="15" a="1"/>
  <c r="B138" i="13" a="1"/>
  <c r="CC19" i="14" a="1"/>
  <c r="L146" i="13" a="1"/>
  <c r="M156" i="13" a="1"/>
  <c r="U124" i="13" a="1"/>
  <c r="O167" i="13" a="1"/>
  <c r="M151" i="13" a="1"/>
  <c r="L169" i="13" a="1"/>
  <c r="T34" i="15" a="1"/>
  <c r="S183" i="13" a="1"/>
  <c r="L143" i="13" a="1"/>
  <c r="L156" i="13" a="1"/>
  <c r="L147" i="13" a="1"/>
  <c r="N161" i="13" a="1"/>
  <c r="AU43" i="14" a="1"/>
  <c r="L159" i="13" a="1"/>
  <c r="B241" i="13" a="1"/>
  <c r="L166" i="13" a="1"/>
  <c r="O165" i="13" a="1"/>
  <c r="L151" i="13" a="1"/>
  <c r="M157" i="13" a="1"/>
  <c r="N172" i="13" a="1"/>
  <c r="M143" i="13" a="1"/>
  <c r="N165" i="13" a="1"/>
  <c r="O153" i="13" a="1"/>
  <c r="L210" i="13" a="1"/>
  <c r="L172" i="13" a="1"/>
  <c r="AD36" i="15" a="1"/>
  <c r="O143" i="13" a="1"/>
  <c r="O244" i="13" a="1"/>
  <c r="J43" i="14" a="1"/>
  <c r="O140" i="13" a="1"/>
  <c r="AB94" i="13" a="1"/>
  <c r="G188" i="13" a="1"/>
  <c r="L152" i="13" a="1"/>
  <c r="M168" i="13" a="1"/>
  <c r="M141" i="13" a="1"/>
  <c r="L170" i="13" a="1"/>
  <c r="O169" i="13" a="1"/>
  <c r="N244" i="13" a="1"/>
  <c r="N142" i="13" a="1"/>
  <c r="AC35" i="15" a="1"/>
  <c r="O138" i="13" a="1"/>
  <c r="N158" i="13" a="1"/>
  <c r="L167" i="13" a="1"/>
  <c r="L155" i="13" a="1"/>
  <c r="N242" i="13" a="1"/>
  <c r="M149" i="13" a="1"/>
  <c r="N139" i="13" a="1"/>
  <c r="O245" i="13" a="1"/>
  <c r="N150" i="13" a="1"/>
  <c r="M167" i="13" a="1"/>
  <c r="O151" i="13" a="1"/>
  <c r="W19" i="14" a="1"/>
  <c r="N157" i="13" a="1"/>
  <c r="B226" i="13" a="1"/>
  <c r="AB109" i="13" a="1"/>
  <c r="M124" i="13" a="1"/>
  <c r="O155" i="13" a="1"/>
  <c r="N145" i="13" a="1"/>
  <c r="O154" i="13" a="1"/>
  <c r="L145" i="13" a="1"/>
  <c r="L157" i="13" a="1"/>
  <c r="AM19" i="14" a="1"/>
  <c r="E94" i="13" a="1"/>
  <c r="M147" i="13" a="1"/>
  <c r="L142" i="13" a="1"/>
  <c r="M245" i="13" a="1"/>
  <c r="G189" i="13" a="1"/>
  <c r="L165" i="13" a="1"/>
  <c r="N140" i="13" a="1"/>
  <c r="AI43" i="14" a="1"/>
  <c r="N138" i="13" a="1"/>
  <c r="L153" i="13" a="1"/>
  <c r="AE19" i="14" a="1"/>
  <c r="C4" i="20" a="1"/>
  <c r="O161" i="13" a="1"/>
  <c r="N163" i="13" a="1"/>
  <c r="N168" i="13" a="1"/>
  <c r="L140" i="13" a="1"/>
  <c r="L243" i="13" a="1"/>
  <c r="AI124" i="13" a="1"/>
  <c r="G187" i="13" a="1"/>
  <c r="O172" i="13" a="1"/>
  <c r="O164" i="13" a="1"/>
  <c r="N171" i="13" a="1"/>
  <c r="O144" i="13" a="1"/>
  <c r="O242" i="13" a="1"/>
  <c r="O166" i="13" a="1"/>
  <c r="O156" i="13" a="1"/>
  <c r="N164" i="13" a="1"/>
  <c r="L164" i="13" a="1"/>
  <c r="M144" i="13" a="1"/>
  <c r="S109" i="13" a="1"/>
  <c r="T20" i="15" a="1"/>
  <c r="S210" i="13" a="1"/>
  <c r="N159" i="13" a="1"/>
  <c r="N149" i="13" a="1"/>
  <c r="L154" i="13" a="1"/>
  <c r="G190" i="13" a="1"/>
  <c r="L183" i="13" a="1"/>
  <c r="L150" i="13" a="1"/>
  <c r="L109" i="13" a="1"/>
  <c r="L244" i="13" a="1"/>
  <c r="M140" i="13" a="1"/>
  <c r="O241" i="13" a="1"/>
  <c r="O162" i="13" a="1"/>
  <c r="O152" i="13" a="1"/>
  <c r="N245" i="13" a="1"/>
  <c r="T217" i="5" a="1"/>
  <c r="T220" i="5" a="1"/>
  <c r="U220" i="5" a="1"/>
  <c r="V221" i="5" a="1"/>
  <c r="M50" i="15" a="1"/>
  <c r="V220" i="5" a="1"/>
  <c r="T102" i="5" a="1"/>
  <c r="U223" i="5" a="1"/>
  <c r="U217" i="5" a="1"/>
  <c r="T87" i="5" a="1"/>
  <c r="X221" i="5" a="1"/>
  <c r="W217" i="5" a="1"/>
  <c r="T101" i="5" a="1"/>
  <c r="W223" i="5" a="1"/>
  <c r="W222" i="5" a="1"/>
  <c r="T98" i="5" a="1"/>
  <c r="U221" i="5" a="1"/>
  <c r="T103" i="5" a="1"/>
  <c r="T88" i="5" a="1"/>
  <c r="T99" i="5" a="1"/>
  <c r="T221" i="5" a="1"/>
  <c r="W218" i="5" a="1"/>
  <c r="T223" i="5" a="1"/>
  <c r="V219" i="5" a="1"/>
  <c r="V218" i="5" a="1"/>
  <c r="T94" i="5" a="1"/>
  <c r="X220" i="5" a="1"/>
  <c r="T93" i="5" a="1"/>
  <c r="V223" i="5" a="1"/>
  <c r="T91" i="5" a="1"/>
  <c r="T100" i="5" a="1"/>
  <c r="T90" i="5" a="1"/>
  <c r="X222" i="5" a="1"/>
  <c r="T96" i="5" a="1"/>
  <c r="T92" i="5" a="1"/>
  <c r="X219" i="5" a="1"/>
  <c r="W219" i="5" a="1"/>
  <c r="T219" i="5" a="1"/>
  <c r="X217" i="5" a="1"/>
  <c r="T97" i="5" a="1"/>
  <c r="V217" i="5" a="1"/>
  <c r="U219" i="5" a="1"/>
  <c r="T218" i="5" a="1"/>
  <c r="T95" i="5" a="1"/>
  <c r="X218" i="5" a="1"/>
  <c r="V222" i="5" a="1"/>
  <c r="T89" i="5" a="1"/>
  <c r="W221" i="5" a="1"/>
  <c r="U222" i="5" a="1"/>
  <c r="W220" i="5" a="1"/>
  <c r="U218" i="5" a="1"/>
  <c r="T222" i="5" a="1"/>
  <c r="X223" i="5" a="1"/>
  <c r="O148" i="13" a="1"/>
  <c r="L160" i="13" a="1"/>
  <c r="M161" i="13" a="1"/>
  <c r="N162" i="13" a="1"/>
  <c r="L168" i="13" a="1"/>
  <c r="N167" i="13" a="1"/>
  <c r="O150" i="13" a="1"/>
  <c r="M172" i="13" a="1"/>
  <c r="O141" i="13" a="1"/>
  <c r="M152" i="13" a="1"/>
  <c r="N155" i="13" a="1"/>
  <c r="O145" i="13" a="1"/>
  <c r="N141" i="13" a="1"/>
  <c r="M154" i="13" a="1"/>
  <c r="O158" i="13" a="1"/>
  <c r="M164" i="13" a="1"/>
  <c r="M139" i="13" a="1"/>
  <c r="L144" i="13" a="1"/>
  <c r="L141" i="13" a="1"/>
  <c r="N147" i="13" a="1"/>
  <c r="N160" i="13" a="1"/>
  <c r="O159" i="13" a="1"/>
  <c r="O171" i="13" a="1"/>
  <c r="O147" i="13" a="1"/>
  <c r="L148" i="13" a="1"/>
  <c r="N154" i="13" a="1"/>
  <c r="M171" i="13" a="1"/>
  <c r="O168" i="13" a="1"/>
  <c r="M166" i="13" a="1"/>
  <c r="O146" i="13" a="1"/>
  <c r="N151" i="13" a="1"/>
  <c r="M163" i="13" a="1"/>
  <c r="L161" i="13" a="1"/>
  <c r="O139" i="13" a="1"/>
  <c r="M138" i="13" a="1"/>
  <c r="L149" i="13" a="1"/>
  <c r="N153" i="13" a="1"/>
  <c r="N152" i="13" a="1"/>
  <c r="N148" i="13" a="1"/>
  <c r="N146" i="13" a="1"/>
  <c r="N156" i="13" a="1"/>
  <c r="L158" i="13" a="1"/>
  <c r="M158" i="13" a="1"/>
  <c r="M153" i="13" a="1"/>
  <c r="L163" i="13" a="1"/>
  <c r="M169" i="13" a="1"/>
  <c r="M165" i="13" a="1"/>
  <c r="M145" i="13" a="1"/>
  <c r="N166" i="13" a="1"/>
  <c r="L171" i="13" a="1"/>
  <c r="M162" i="13" a="1"/>
  <c r="O142" i="13" a="1"/>
  <c r="O157" i="13" a="1"/>
  <c r="L162" i="13" a="1"/>
  <c r="O163" i="13" a="1"/>
  <c r="M155" i="13" a="1"/>
  <c r="N169" i="13" a="1"/>
  <c r="N170" i="13" a="1"/>
  <c r="O170" i="13" a="1"/>
  <c r="M146" i="13" a="1"/>
  <c r="M142" i="13" a="1"/>
  <c r="M159" i="13" a="1"/>
  <c r="N144" i="13" a="1"/>
  <c r="M150" i="13" a="1"/>
  <c r="M148" i="13" a="1"/>
  <c r="L139" i="13" a="1"/>
  <c r="M160" i="13" a="1"/>
  <c r="O149" i="13" a="1"/>
  <c r="O160" i="13" a="1"/>
  <c r="M170" i="13" a="1"/>
  <c r="M241" i="13" a="1"/>
  <c r="M244" i="13" a="1"/>
  <c r="L242" i="13" a="1"/>
  <c r="N243" i="13" a="1"/>
  <c r="L245" i="13" a="1"/>
  <c r="M243" i="13" a="1"/>
  <c r="O243" i="13" a="1"/>
  <c r="M242" i="13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11" i="13" a="1"/>
  <c r="N143" i="13" a="1"/>
  <c r="AS124" i="13" a="1"/>
  <c r="AZ20" i="15" a="1"/>
  <c r="N188" i="13" a="1"/>
  <c r="Q17" i="19" a="1"/>
  <c r="N22" i="15" a="1"/>
  <c r="L35" i="15" a="1"/>
  <c r="I230" i="13" a="1"/>
  <c r="G109" i="13" a="1"/>
  <c r="N94" i="13" a="1"/>
  <c r="N200" i="13" a="1"/>
  <c r="N199" i="13" a="1"/>
  <c r="N195" i="13" a="1"/>
  <c r="N198" i="13" a="1"/>
  <c r="AA183" i="13" a="1"/>
  <c r="AD34" i="15" a="1"/>
  <c r="I227" i="13" a="1"/>
  <c r="AU19" i="14" a="1"/>
  <c r="N185" i="13" a="1"/>
  <c r="G94" i="13" a="1"/>
  <c r="U79" i="13" a="1"/>
  <c r="W94" i="13" a="1"/>
  <c r="L241" i="13" a="1"/>
  <c r="H227" i="13" a="1"/>
  <c r="Y19" i="14" a="1"/>
  <c r="AB35" i="15" a="1"/>
  <c r="AB36" i="15" a="1"/>
  <c r="N109" i="13" a="1"/>
  <c r="M35" i="15" a="1"/>
  <c r="M20" i="15" a="1"/>
  <c r="AC36" i="15" a="1"/>
  <c r="N196" i="13" a="1"/>
  <c r="L20" i="15" a="1"/>
  <c r="Z20" i="15" a="1"/>
  <c r="AK43" i="14" a="1"/>
  <c r="AJ94" i="13" a="1"/>
  <c r="N192" i="13" a="1"/>
  <c r="BC43" i="14" a="1"/>
  <c r="L21" i="15" a="1"/>
  <c r="U210" i="13" a="1"/>
  <c r="N213" i="13" a="1"/>
  <c r="N210" i="13" a="1"/>
  <c r="U213" i="13" a="1"/>
  <c r="G212" i="13" a="1"/>
  <c r="G186" i="13" a="1"/>
  <c r="G214" i="13" a="1"/>
  <c r="M22" i="15" a="1"/>
  <c r="N193" i="13" a="1"/>
  <c r="N183" i="13" a="1"/>
  <c r="BU43" i="14" a="1"/>
  <c r="AJ109" i="13" a="1"/>
  <c r="G124" i="13" a="1"/>
  <c r="G210" i="13" a="1"/>
  <c r="AG19" i="14" a="1"/>
  <c r="H228" i="13" a="1"/>
  <c r="L43" i="14" a="1"/>
  <c r="M34" i="15" a="1"/>
  <c r="H226" i="13" a="1"/>
  <c r="G79" i="13" a="1"/>
  <c r="AD35" i="15" a="1"/>
  <c r="N197" i="13" a="1"/>
  <c r="U212" i="13" a="1"/>
  <c r="U211" i="13" a="1"/>
  <c r="G213" i="13" a="1"/>
  <c r="N212" i="13" a="1"/>
  <c r="N214" i="13" a="1"/>
  <c r="AC34" i="15" a="1"/>
  <c r="N21" i="15" a="1"/>
  <c r="N184" i="13" a="1"/>
  <c r="I229" i="13" a="1"/>
  <c r="Y43" i="14" a="1"/>
  <c r="L138" i="13" a="1"/>
  <c r="N187" i="13" a="1"/>
  <c r="H230" i="13" a="1"/>
  <c r="CI19" i="14" a="1"/>
  <c r="N194" i="13" a="1"/>
  <c r="G211" i="13" a="1"/>
  <c r="AB34" i="15" a="1"/>
  <c r="N190" i="13" a="1"/>
  <c r="L34" i="15" a="1"/>
  <c r="W109" i="13" a="1"/>
  <c r="N20" i="15" a="1"/>
  <c r="N241" i="13" a="1"/>
  <c r="X17" i="19" a="1"/>
  <c r="N191" i="13" a="1"/>
  <c r="H19" i="14" a="1"/>
  <c r="AD79" i="13" a="1"/>
  <c r="L22" i="15" a="1"/>
  <c r="H229" i="13" a="1"/>
  <c r="G183" i="13" a="1"/>
  <c r="I226" i="13" a="1"/>
  <c r="U214" i="13" a="1"/>
  <c r="N189" i="13" a="1"/>
  <c r="O124" i="13" a="1"/>
  <c r="I228" i="13" a="1"/>
  <c r="N186" i="13" a="1"/>
  <c r="AI210" i="13" a="1"/>
  <c r="P19" i="14" a="1"/>
  <c r="AC124" i="13" a="1"/>
  <c r="H17" i="19" a="1"/>
  <c r="AL20" i="15" a="1"/>
  <c r="M21" i="15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5" i="15" a="1"/>
  <c r="Z17" i="19" a="1"/>
  <c r="C17" i="17" a="1"/>
  <c r="C221" i="13" a="1"/>
  <c r="C14" i="14" a="1"/>
  <c r="C74" i="13" a="1"/>
  <c r="C178" i="13" a="1"/>
  <c r="C236" i="13" a="1"/>
  <c r="C104" i="13" a="1"/>
  <c r="C28" i="15" a="1"/>
  <c r="S17" i="19" a="1"/>
  <c r="C205" i="13" a="1"/>
  <c r="C119" i="13" a="1"/>
  <c r="C38" i="14" a="1"/>
  <c r="C89" i="13" a="1"/>
  <c r="C133" i="13" a="1"/>
  <c r="J53" i="15" a="1"/>
  <c r="T53" i="15" a="1"/>
  <c r="S53" i="15" a="1"/>
  <c r="K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J54" i="9" a="1"/>
  <c r="J186" i="9" a="1"/>
  <c r="K69" i="1" a="1"/>
  <c r="J208" i="9" a="1"/>
  <c r="C208" i="9" a="1"/>
  <c r="K70" i="1" a="1"/>
  <c r="J142" i="9" a="1"/>
  <c r="O186" i="9" a="1"/>
  <c r="U67" i="1" a="1"/>
  <c r="O76" i="9" a="1"/>
  <c r="D4" i="4" a="1"/>
  <c r="C6" i="2" a="1"/>
  <c r="C120" i="9" a="1"/>
  <c r="O120" i="9" a="1"/>
  <c r="J98" i="9" a="1"/>
  <c r="R230" i="9" a="1"/>
  <c r="O208" i="9" a="1"/>
  <c r="C186" i="9" a="1"/>
  <c r="K67" i="1" a="1"/>
  <c r="C54" i="9" a="1"/>
  <c r="E120" i="9" a="1"/>
  <c r="C32" i="9" a="1"/>
  <c r="E54" i="9" a="1"/>
  <c r="G46" i="1" a="1"/>
  <c r="K71" i="1" a="1"/>
  <c r="K68" i="1" a="1"/>
  <c r="G67" i="1" a="1"/>
  <c r="I230" i="9" a="1"/>
  <c r="J164" i="9" a="1"/>
  <c r="U71" i="1" a="1"/>
  <c r="E98" i="9" a="1"/>
  <c r="O54" i="9" a="1"/>
  <c r="J32" i="9" a="1"/>
  <c r="L230" i="9" a="1"/>
  <c r="C98" i="9" a="1"/>
  <c r="C230" i="9" a="1"/>
  <c r="G68" i="1" a="1"/>
  <c r="J120" i="9" a="1"/>
  <c r="E142" i="9" a="1"/>
  <c r="G71" i="1" a="1"/>
  <c r="I24" i="3" a="1"/>
  <c r="O98" i="9" a="1"/>
  <c r="O32" i="9" a="1"/>
  <c r="E186" i="9" a="1"/>
  <c r="E208" i="9" a="1"/>
  <c r="E164" i="9" a="1"/>
  <c r="G69" i="1" a="1"/>
  <c r="U68" i="1" a="1"/>
  <c r="F230" i="9" a="1"/>
  <c r="C142" i="9" a="1"/>
  <c r="O230" i="9" a="1"/>
  <c r="C76" i="9" a="1"/>
  <c r="C164" i="9" a="1"/>
  <c r="U230" i="9" a="1"/>
  <c r="O142" i="9" a="1"/>
  <c r="G70" i="1" a="1"/>
  <c r="E76" i="9" a="1"/>
  <c r="U70" i="1" a="1"/>
  <c r="J76" i="9" a="1"/>
  <c r="D5" i="4" a="1"/>
  <c r="O164" i="9" a="1"/>
  <c r="U69" i="1" a="1"/>
  <c r="V129" i="5" a="1"/>
  <c r="X133" i="5" a="1"/>
  <c r="W138" i="5" a="1"/>
  <c r="U135" i="5" a="1"/>
  <c r="W125" i="5" a="1"/>
  <c r="BN65" i="5" a="1"/>
  <c r="BF39" i="5" a="1"/>
  <c r="X129" i="5" a="1"/>
  <c r="BF67" i="5" a="1"/>
  <c r="BE43" i="5" a="1"/>
  <c r="BI39" i="5" a="1"/>
  <c r="T126" i="5" a="1"/>
  <c r="W94" i="5" a="1"/>
  <c r="BI63" i="5" a="1"/>
  <c r="X197" i="5" a="1"/>
  <c r="BT42" i="5" a="1"/>
  <c r="BD40" i="5" a="1"/>
  <c r="L157" i="5" a="1"/>
  <c r="X124" i="5" a="1"/>
  <c r="T197" i="5" a="1"/>
  <c r="BT43" i="5" a="1"/>
  <c r="BD42" i="5" a="1"/>
  <c r="BK66" i="5" a="1"/>
  <c r="BI40" i="5" a="1"/>
  <c r="W124" i="5" a="1"/>
  <c r="T134" i="5" a="1"/>
  <c r="U129" i="5" a="1"/>
  <c r="U138" i="5" a="1"/>
  <c r="T123" i="5" a="1"/>
  <c r="BT67" i="5" a="1"/>
  <c r="V132" i="5" a="1"/>
  <c r="X103" i="5" a="1"/>
  <c r="U89" i="5" a="1"/>
  <c r="K157" i="5" a="1"/>
  <c r="V98" i="5" a="1"/>
  <c r="W99" i="5" a="1"/>
  <c r="T129" i="5" a="1"/>
  <c r="X127" i="5" a="1"/>
  <c r="V127" i="5" a="1"/>
  <c r="BT64" i="5" a="1"/>
  <c r="W129" i="5" a="1"/>
  <c r="W89" i="5" a="1"/>
  <c r="T124" i="5" a="1"/>
  <c r="T135" i="5" a="1"/>
  <c r="W98" i="5" a="1"/>
  <c r="BQ40" i="5" a="1"/>
  <c r="BK39" i="5" a="1"/>
  <c r="BT66" i="5" a="1"/>
  <c r="T127" i="5" a="1"/>
  <c r="X88" i="5" a="1"/>
  <c r="V99" i="5" a="1"/>
  <c r="U101" i="5" a="1"/>
  <c r="BR42" i="5" a="1"/>
  <c r="BF42" i="5" a="1"/>
  <c r="BD41" i="5" a="1"/>
  <c r="V100" i="5" a="1"/>
  <c r="W132" i="5" a="1"/>
  <c r="W137" i="5" a="1"/>
  <c r="X100" i="5" a="1"/>
  <c r="W123" i="5" a="1"/>
  <c r="U130" i="5" a="1"/>
  <c r="X90" i="5" a="1"/>
  <c r="BM65" i="5" a="1"/>
  <c r="BJ39" i="5" a="1"/>
  <c r="BI66" i="5" a="1"/>
  <c r="T138" i="5" a="1"/>
  <c r="BL65" i="5" a="1"/>
  <c r="BN63" i="5" a="1"/>
  <c r="BH41" i="5" a="1"/>
  <c r="BH66" i="5" a="1"/>
  <c r="T133" i="5" a="1"/>
  <c r="V95" i="5" a="1"/>
  <c r="T137" i="5" a="1"/>
  <c r="BT39" i="5" a="1"/>
  <c r="U103" i="5" a="1"/>
  <c r="BQ65" i="5" a="1"/>
  <c r="X135" i="5" a="1"/>
  <c r="BR43" i="5" a="1"/>
  <c r="BN66" i="5" a="1"/>
  <c r="BI41" i="5" a="1"/>
  <c r="L179" i="5" a="1"/>
  <c r="BF63" i="5" a="1"/>
  <c r="BO40" i="5" a="1"/>
  <c r="D46" i="1" a="1"/>
  <c r="X136" i="5" a="1"/>
  <c r="T136" i="5" a="1"/>
  <c r="U124" i="5" a="1"/>
  <c r="V101" i="5" a="1"/>
  <c r="L158" i="5" a="1"/>
  <c r="K158" i="5" a="1"/>
  <c r="K159" i="5" a="1"/>
  <c r="V137" i="5" a="1"/>
  <c r="BM43" i="5" a="1"/>
  <c r="X125" i="5" a="1"/>
  <c r="BD67" i="5" a="1"/>
  <c r="BI65" i="5" a="1"/>
  <c r="X89" i="5" a="1"/>
  <c r="D48" i="1" a="1"/>
  <c r="BJ65" i="5" a="1"/>
  <c r="BL41" i="5" a="1"/>
  <c r="W102" i="5" a="1"/>
  <c r="V136" i="5" a="1"/>
  <c r="BK64" i="5" a="1"/>
  <c r="BD65" i="5" a="1"/>
  <c r="T139" i="5" a="1"/>
  <c r="W101" i="5" a="1"/>
  <c r="U125" i="5" a="1"/>
  <c r="V87" i="5" a="1"/>
  <c r="BI67" i="5" a="1"/>
  <c r="BT63" i="5" a="1"/>
  <c r="BL42" i="5" a="1"/>
  <c r="X128" i="5" a="1"/>
  <c r="BT40" i="5" a="1"/>
  <c r="X92" i="5" a="1"/>
  <c r="BL40" i="5" a="1"/>
  <c r="BF64" i="5" a="1"/>
  <c r="W131" i="5" a="1"/>
  <c r="BO64" i="5" a="1"/>
  <c r="K177" i="5" a="1"/>
  <c r="BR41" i="5" a="1"/>
  <c r="BE67" i="5" a="1"/>
  <c r="BK67" i="5" a="1"/>
  <c r="BR67" i="5" a="1"/>
  <c r="V128" i="5" a="1"/>
  <c r="BK63" i="5" a="1"/>
  <c r="D50" i="1" a="1"/>
  <c r="U128" i="5" a="1"/>
  <c r="BF41" i="5" a="1"/>
  <c r="W88" i="5" a="1"/>
  <c r="BL67" i="5" a="1"/>
  <c r="K160" i="5" a="1"/>
  <c r="U100" i="5" a="1"/>
  <c r="V92" i="5" a="1"/>
  <c r="L161" i="5" a="1"/>
  <c r="W130" i="5" a="1"/>
  <c r="BP65" i="5" a="1"/>
  <c r="V124" i="5" a="1"/>
  <c r="BJ66" i="5" a="1"/>
  <c r="BS39" i="5" a="1"/>
  <c r="T132" i="5" a="1"/>
  <c r="BS43" i="5" a="1"/>
  <c r="BP66" i="5" a="1"/>
  <c r="L160" i="5" a="1"/>
  <c r="BP43" i="5" a="1"/>
  <c r="BQ41" i="5" a="1"/>
  <c r="V138" i="5" a="1"/>
  <c r="BO63" i="5" a="1"/>
  <c r="BR65" i="5" a="1"/>
  <c r="BR63" i="5" a="1"/>
  <c r="X134" i="5" a="1"/>
  <c r="V197" i="5" a="1"/>
  <c r="BL43" i="5" a="1"/>
  <c r="BI64" i="5" a="1"/>
  <c r="X87" i="5" a="1"/>
  <c r="K181" i="5" a="1"/>
  <c r="BN39" i="5" a="1"/>
  <c r="V135" i="5" a="1"/>
  <c r="BQ64" i="5" a="1"/>
  <c r="W126" i="5" a="1"/>
  <c r="BE41" i="5" a="1"/>
  <c r="BO42" i="5" a="1"/>
  <c r="U137" i="5" a="1"/>
  <c r="L177" i="5" a="1"/>
  <c r="W96" i="5" a="1"/>
  <c r="U97" i="5" a="1"/>
  <c r="BP64" i="5" a="1"/>
  <c r="BJ67" i="5" a="1"/>
  <c r="V88" i="5" a="1"/>
  <c r="W93" i="5" a="1"/>
  <c r="BS66" i="5" a="1"/>
  <c r="W198" i="5" a="1"/>
  <c r="BP40" i="5" a="1"/>
  <c r="U102" i="5" a="1"/>
  <c r="BR39" i="5" a="1"/>
  <c r="V198" i="5" a="1"/>
  <c r="U93" i="5" a="1"/>
  <c r="BR64" i="5" a="1"/>
  <c r="W92" i="5" a="1"/>
  <c r="BJ42" i="5" a="1"/>
  <c r="U127" i="5" a="1"/>
  <c r="BM66" i="5" a="1"/>
  <c r="BQ42" i="5" a="1"/>
  <c r="BH65" i="5" a="1"/>
  <c r="V131" i="5" a="1"/>
  <c r="BJ41" i="5" a="1"/>
  <c r="BE65" i="5" a="1"/>
  <c r="BQ63" i="5" a="1"/>
  <c r="BH63" i="5" a="1"/>
  <c r="V97" i="5" a="1"/>
  <c r="BF65" i="5" a="1"/>
  <c r="BO65" i="5" a="1"/>
  <c r="BG64" i="5" a="1"/>
  <c r="W103" i="5" a="1"/>
  <c r="U126" i="5" a="1"/>
  <c r="BG63" i="5" a="1"/>
  <c r="BH67" i="5" a="1"/>
  <c r="BN67" i="5" a="1"/>
  <c r="X132" i="5" a="1"/>
  <c r="BS63" i="5" a="1"/>
  <c r="BG39" i="5" a="1"/>
  <c r="BM40" i="5" a="1"/>
  <c r="U123" i="5" a="1"/>
  <c r="U96" i="5" a="1"/>
  <c r="BK42" i="5" a="1"/>
  <c r="BF66" i="5" a="1"/>
  <c r="W90" i="5" a="1"/>
  <c r="V93" i="5" a="1"/>
  <c r="X130" i="5" a="1"/>
  <c r="BJ43" i="5" a="1"/>
  <c r="BP67" i="5" a="1"/>
  <c r="V125" i="5" a="1"/>
  <c r="BQ66" i="5" a="1"/>
  <c r="BG42" i="5" a="1"/>
  <c r="BH43" i="5" a="1"/>
  <c r="BD43" i="5" a="1"/>
  <c r="BQ67" i="5" a="1"/>
  <c r="BS67" i="5" a="1"/>
  <c r="L178" i="5" a="1"/>
  <c r="V134" i="5" a="1"/>
  <c r="BQ43" i="5" a="1"/>
  <c r="W197" i="5" a="1"/>
  <c r="U95" i="5" a="1"/>
  <c r="BS40" i="5" a="1"/>
  <c r="BJ64" i="5" a="1"/>
  <c r="I22" i="11" a="1"/>
  <c r="W97" i="5" a="1"/>
  <c r="BD64" i="5" a="1"/>
  <c r="K180" i="5" a="1"/>
  <c r="BR40" i="5" a="1"/>
  <c r="BK43" i="5" a="1"/>
  <c r="X198" i="5" a="1"/>
  <c r="BI42" i="5" a="1"/>
  <c r="X131" i="5" a="1"/>
  <c r="U88" i="5" a="1"/>
  <c r="T131" i="5" a="1"/>
  <c r="BT65" i="5" a="1"/>
  <c r="U92" i="5" a="1"/>
  <c r="X98" i="5" a="1"/>
  <c r="BF43" i="5" a="1"/>
  <c r="W100" i="5" a="1"/>
  <c r="BG43" i="5" a="1"/>
  <c r="V91" i="5" a="1"/>
  <c r="U94" i="5" a="1"/>
  <c r="X91" i="5" a="1"/>
  <c r="X126" i="5" a="1"/>
  <c r="U197" i="5" a="1"/>
  <c r="T130" i="5" a="1"/>
  <c r="BH64" i="5" a="1"/>
  <c r="BJ63" i="5" a="1"/>
  <c r="V123" i="5" a="1"/>
  <c r="BK65" i="5" a="1"/>
  <c r="BM39" i="5" a="1"/>
  <c r="T125" i="5" a="1"/>
  <c r="V139" i="5" a="1"/>
  <c r="V102" i="5" a="1"/>
  <c r="U91" i="5" a="1"/>
  <c r="V94" i="5" a="1"/>
  <c r="U131" i="5" a="1"/>
  <c r="BP39" i="5" a="1"/>
  <c r="BS42" i="5" a="1"/>
  <c r="BE39" i="5" a="1"/>
  <c r="W87" i="5" a="1"/>
  <c r="BS65" i="5" a="1"/>
  <c r="BM63" i="5" a="1"/>
  <c r="BG67" i="5" a="1"/>
  <c r="BN64" i="5" a="1"/>
  <c r="W127" i="5" a="1"/>
  <c r="X95" i="5" a="1"/>
  <c r="BH42" i="5" a="1"/>
  <c r="BT41" i="5" a="1"/>
  <c r="W134" i="5" a="1"/>
  <c r="U136" i="5" a="1"/>
  <c r="X99" i="5" a="1"/>
  <c r="K178" i="5" a="1"/>
  <c r="U139" i="5" a="1"/>
  <c r="T198" i="5" a="1"/>
  <c r="U99" i="5" a="1"/>
  <c r="BL39" i="5" a="1"/>
  <c r="V89" i="5" a="1"/>
  <c r="BM42" i="5" a="1"/>
  <c r="BE40" i="5" a="1"/>
  <c r="X96" i="5" a="1"/>
  <c r="V126" i="5" a="1"/>
  <c r="W91" i="5" a="1"/>
  <c r="W128" i="5" a="1"/>
  <c r="U134" i="5" a="1"/>
  <c r="BP42" i="5" a="1"/>
  <c r="BL66" i="5" a="1"/>
  <c r="X123" i="5" a="1"/>
  <c r="U87" i="5" a="1"/>
  <c r="BF40" i="5" a="1"/>
  <c r="X139" i="5" a="1"/>
  <c r="BN41" i="5" a="1"/>
  <c r="BP63" i="5" a="1"/>
  <c r="BG65" i="5" a="1"/>
  <c r="U133" i="5" a="1"/>
  <c r="BO39" i="5" a="1"/>
  <c r="X97" i="5" a="1"/>
  <c r="V130" i="5" a="1"/>
  <c r="K179" i="5" a="1"/>
  <c r="BN42" i="5" a="1"/>
  <c r="L159" i="5" a="1"/>
  <c r="BJ40" i="5" a="1"/>
  <c r="BE63" i="5" a="1"/>
  <c r="BK40" i="5" a="1"/>
  <c r="X137" i="5" a="1"/>
  <c r="V90" i="5" a="1"/>
  <c r="BE66" i="5" a="1"/>
  <c r="V133" i="5" a="1"/>
  <c r="BN40" i="5" a="1"/>
  <c r="BS41" i="5" a="1"/>
  <c r="X138" i="5" a="1"/>
  <c r="BG41" i="5" a="1"/>
  <c r="BL64" i="5" a="1"/>
  <c r="BS64" i="5" a="1"/>
  <c r="BQ39" i="5" a="1"/>
  <c r="BE42" i="5" a="1"/>
  <c r="BE64" i="5" a="1"/>
  <c r="BL63" i="5" a="1"/>
  <c r="BO41" i="5" a="1"/>
  <c r="U90" i="5" a="1"/>
  <c r="V103" i="5" a="1"/>
  <c r="W135" i="5" a="1"/>
  <c r="BM41" i="5" a="1"/>
  <c r="BR66" i="5" a="1"/>
  <c r="BM67" i="5" a="1"/>
  <c r="I27" i="11" a="1"/>
  <c r="BM64" i="5" a="1"/>
  <c r="L180" i="5" a="1"/>
  <c r="BK41" i="5" a="1"/>
  <c r="BN43" i="5" a="1"/>
  <c r="T128" i="5" a="1"/>
  <c r="BO66" i="5" a="1"/>
  <c r="X94" i="5" a="1"/>
  <c r="L181" i="5" a="1"/>
  <c r="V96" i="5" a="1"/>
  <c r="W139" i="5" a="1"/>
  <c r="W136" i="5" a="1"/>
  <c r="U198" i="5" a="1"/>
  <c r="U98" i="5" a="1"/>
  <c r="BG66" i="5" a="1"/>
  <c r="K161" i="5" a="1"/>
  <c r="W95" i="5" a="1"/>
  <c r="BH39" i="5" a="1"/>
  <c r="U132" i="5" a="1"/>
  <c r="BI43" i="5" a="1"/>
  <c r="W133" i="5" a="1"/>
  <c r="X102" i="5" a="1"/>
  <c r="BO67" i="5" a="1"/>
  <c r="BD39" i="5" a="1"/>
  <c r="BH40" i="5" a="1"/>
  <c r="X101" i="5" a="1"/>
  <c r="BO43" i="5" a="1"/>
  <c r="BP41" i="5" a="1"/>
  <c r="X93" i="5" a="1"/>
  <c r="BD66" i="5" a="1"/>
  <c r="I24" i="3" l="1"/>
  <c r="D46" i="1"/>
  <c r="D48" i="1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O68" i="1" a="1"/>
  <c r="M68" i="1" a="1"/>
  <c r="C137" i="9" a="1"/>
  <c r="R67" i="1" a="1"/>
  <c r="P159" i="9" a="1"/>
  <c r="I68" i="1" a="1"/>
  <c r="P137" i="9" a="1"/>
  <c r="I70" i="1" a="1"/>
  <c r="R68" i="1" a="1"/>
  <c r="F225" i="9" a="1"/>
  <c r="F71" i="9" a="1"/>
  <c r="P115" i="9" a="1"/>
  <c r="P181" i="9" a="1"/>
  <c r="K115" i="9" a="1"/>
  <c r="O70" i="1" a="1"/>
  <c r="F159" i="9" a="1"/>
  <c r="R225" i="9" a="1"/>
  <c r="I71" i="1" a="1"/>
  <c r="R71" i="1" a="1"/>
  <c r="I225" i="9" a="1"/>
  <c r="V67" i="1" a="1"/>
  <c r="V68" i="1" a="1"/>
  <c r="K27" i="9" a="1"/>
  <c r="C225" i="9" a="1"/>
  <c r="H17" i="2" a="1"/>
  <c r="F181" i="9" a="1"/>
  <c r="F203" i="9" a="1"/>
  <c r="C71" i="9" a="1"/>
  <c r="F49" i="9" a="1"/>
  <c r="V71" i="1" a="1"/>
  <c r="P93" i="9" a="1"/>
  <c r="M71" i="1" a="1"/>
  <c r="M67" i="1" a="1"/>
  <c r="I67" i="1" a="1"/>
  <c r="C93" i="9" a="1"/>
  <c r="M70" i="1" a="1"/>
  <c r="K49" i="9" a="1"/>
  <c r="R69" i="1" a="1"/>
  <c r="M46" i="1" a="1"/>
  <c r="P49" i="9" a="1"/>
  <c r="O67" i="1" a="1"/>
  <c r="M69" i="1" a="1"/>
  <c r="V69" i="1" a="1"/>
  <c r="O225" i="9" a="1"/>
  <c r="O69" i="1" a="1"/>
  <c r="K71" i="9" a="1"/>
  <c r="F27" i="9" a="1"/>
  <c r="R70" i="1" a="1"/>
  <c r="I69" i="1" a="1"/>
  <c r="C203" i="9" a="1"/>
  <c r="K203" i="9" a="1"/>
  <c r="C159" i="9" a="1"/>
  <c r="K181" i="9" a="1"/>
  <c r="C115" i="9" a="1"/>
  <c r="F115" i="9" a="1"/>
  <c r="F93" i="9" a="1"/>
  <c r="V70" i="1" a="1"/>
  <c r="C27" i="9" a="1"/>
  <c r="O71" i="1" a="1"/>
  <c r="C181" i="9" a="1"/>
  <c r="L225" i="9" a="1"/>
  <c r="K159" i="9" a="1"/>
  <c r="U225" i="9" a="1"/>
  <c r="P203" i="9" a="1"/>
  <c r="F137" i="9" a="1"/>
  <c r="P27" i="9" a="1"/>
  <c r="C49" i="9" a="1"/>
  <c r="K137" i="9" a="1"/>
  <c r="K93" i="9" a="1"/>
  <c r="P71" i="9" a="1"/>
  <c r="C48" i="5" a="1"/>
  <c r="C72" i="5" a="1"/>
  <c r="I24" i="11" a="1"/>
  <c r="D83" i="1" a="1"/>
  <c r="I27" i="3" a="1"/>
  <c r="I29" i="3" a="1"/>
  <c r="I25" i="3" a="1"/>
  <c r="D51" i="1" a="1"/>
  <c r="I25" i="11" a="1"/>
  <c r="D52" i="1" a="1"/>
  <c r="I26" i="3" a="1"/>
  <c r="J22" i="11" a="1"/>
  <c r="D54" i="1" a="1"/>
  <c r="C108" i="5" a="1"/>
  <c r="D55" i="1" a="1"/>
  <c r="C166" i="5" a="1"/>
  <c r="D56" i="1" a="1"/>
  <c r="I28" i="3" a="1"/>
  <c r="C144" i="5" a="1"/>
  <c r="D53" i="1" a="1"/>
  <c r="U25" i="3" a="1"/>
  <c r="D82" i="1" a="1"/>
  <c r="J24" i="3" a="1"/>
  <c r="I26" i="11" a="1"/>
  <c r="D84" i="1" a="1"/>
  <c r="I23" i="11" a="1"/>
  <c r="D81" i="1" a="1"/>
  <c r="C24" i="5" a="1"/>
  <c r="C186" i="5" a="1"/>
  <c r="I25" i="3" l="1"/>
  <c r="I26" i="3"/>
  <c r="I28" i="3"/>
  <c r="I27" i="3"/>
  <c r="I29" i="3"/>
  <c r="U25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K81" i="1" a="1"/>
  <c r="O81" i="1" a="1"/>
  <c r="C197" i="9" a="1"/>
  <c r="C175" i="9" a="1"/>
  <c r="P67" i="1" a="1"/>
  <c r="S68" i="1" a="1"/>
  <c r="R81" i="1" a="1"/>
  <c r="G21" i="2" a="1"/>
  <c r="S71" i="1" a="1"/>
  <c r="C109" i="9" a="1"/>
  <c r="U81" i="1" a="1"/>
  <c r="C43" i="9" a="1"/>
  <c r="S67" i="1" a="1"/>
  <c r="C153" i="9" a="1"/>
  <c r="C65" i="9" a="1"/>
  <c r="C87" i="9" a="1"/>
  <c r="P71" i="1" a="1"/>
  <c r="C219" i="9" a="1"/>
  <c r="X81" i="1" a="1"/>
  <c r="P69" i="1" a="1"/>
  <c r="S70" i="1" a="1"/>
  <c r="C21" i="9" a="1"/>
  <c r="P70" i="1" a="1"/>
  <c r="P68" i="1" a="1"/>
  <c r="S69" i="1" a="1"/>
  <c r="G81" i="1" a="1"/>
  <c r="C131" i="9" a="1"/>
  <c r="J23" i="11" a="1"/>
  <c r="J26" i="11" a="1"/>
  <c r="E51" i="1" a="1"/>
  <c r="E83" i="1" a="1"/>
  <c r="E84" i="1" a="1"/>
  <c r="E52" i="1" a="1"/>
  <c r="E55" i="1" a="1"/>
  <c r="E48" i="1" a="1"/>
  <c r="J25" i="3" a="1"/>
  <c r="E54" i="1" a="1"/>
  <c r="J27" i="3" a="1"/>
  <c r="J25" i="11" a="1"/>
  <c r="E47" i="1" a="1"/>
  <c r="N22" i="3" a="1"/>
  <c r="E53" i="1" a="1"/>
  <c r="E82" i="1" a="1"/>
  <c r="E49" i="1" a="1"/>
  <c r="E56" i="1" a="1"/>
  <c r="C4" i="5" a="1"/>
  <c r="J26" i="3" a="1"/>
  <c r="E81" i="1" a="1"/>
  <c r="E50" i="1" a="1"/>
  <c r="E46" i="1" a="1"/>
  <c r="J24" i="11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T82" i="1" a="1"/>
  <c r="S85" i="1" a="1"/>
  <c r="W82" i="1" a="1"/>
  <c r="J84" i="1" a="1"/>
  <c r="F82" i="1" a="1"/>
  <c r="Q84" i="1" a="1"/>
  <c r="Q82" i="1" a="1"/>
  <c r="F84" i="1" a="1"/>
  <c r="Y85" i="1" a="1"/>
  <c r="J82" i="1" a="1"/>
  <c r="F83" i="1" a="1"/>
  <c r="P85" i="1" a="1"/>
  <c r="I85" i="1" a="1"/>
  <c r="T81" i="1" a="1"/>
  <c r="T84" i="1" a="1"/>
  <c r="N83" i="1" a="1"/>
  <c r="W83" i="1" a="1"/>
  <c r="N81" i="1" a="1"/>
  <c r="J83" i="1" a="1"/>
  <c r="C42" i="1" a="1"/>
  <c r="T83" i="1" a="1"/>
  <c r="Q83" i="1" a="1"/>
  <c r="M85" i="1" a="1"/>
  <c r="W84" i="1" a="1"/>
  <c r="F81" i="1" a="1"/>
  <c r="V85" i="1" a="1"/>
  <c r="J81" i="1" a="1"/>
  <c r="W81" i="1" a="1"/>
  <c r="N82" i="1" a="1"/>
  <c r="J28" i="3" a="1"/>
  <c r="J27" i="11" a="1"/>
  <c r="N84" i="1" a="1"/>
  <c r="Q81" i="1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C38" i="1" a="1"/>
  <c r="Y82" i="1" a="1"/>
  <c r="V83" i="1" a="1"/>
  <c r="P81" i="1" a="1"/>
  <c r="S81" i="1" a="1"/>
  <c r="M82" i="1" a="1"/>
  <c r="I84" i="1" a="1"/>
  <c r="V81" i="1" a="1"/>
  <c r="M83" i="1" a="1"/>
  <c r="S83" i="1" a="1"/>
  <c r="Y81" i="1" a="1"/>
  <c r="S84" i="1" a="1"/>
  <c r="P82" i="1" a="1"/>
  <c r="M81" i="1" a="1"/>
  <c r="Y84" i="1" a="1"/>
  <c r="V82" i="1" a="1"/>
  <c r="J29" i="3" a="1"/>
  <c r="P83" i="1" a="1"/>
  <c r="C14" i="1" a="1"/>
  <c r="I83" i="1" a="1"/>
  <c r="V84" i="1" a="1"/>
  <c r="S82" i="1" a="1"/>
  <c r="I81" i="1" a="1"/>
  <c r="I82" i="1" a="1"/>
  <c r="Y83" i="1" a="1"/>
  <c r="C20" i="11" a="1"/>
  <c r="M84" i="1" a="1"/>
  <c r="P84" i="1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69" i="1" a="1"/>
  <c r="E71" i="1" a="1"/>
  <c r="E67" i="1" a="1"/>
  <c r="E68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1" i="3" a="1"/>
  <c r="J50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51" i="3" a="1"/>
  <c r="AK50" i="3" a="1"/>
  <c r="AK49" i="3" a="1"/>
  <c r="AK52" i="3" a="1"/>
  <c r="AK53" i="3" a="1"/>
  <c r="AK54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<sst xmlns="http://schemas.openxmlformats.org/spreadsheetml/2006/main" count="4401" uniqueCount="648">
  <si>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</si>
  <si>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</si>
  <si>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</si>
  <si>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</si>
  <si>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</si>
  <si>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</si>
  <si>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</si>
  <si>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</si>
  <si>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</si>
  <si>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</si>
  <si>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</si>
  <si>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</si>
  <si>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</si>
  <si>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</si>
  <si>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</si>
  <si>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</si>
  <si>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</si>
  <si>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</si>
  <si>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</si>
  <si>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</si>
  <si>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</si>
  <si>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</si>
  <si>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</si>
  <si>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</si>
  <si>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</si>
  <si>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</si>
  <si>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</si>
  <si>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</si>
  <si>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</si>
  <si>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</si>
  <si>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</si>
  <si>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</si>
  <si>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</si>
  <si>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</si>
  <si>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</si>
  <si>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</si>
  <si>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</si>
  <si>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</si>
  <si>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</si>
  <si>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</si>
  <si>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</si>
  <si>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</si>
  <si>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</si>
  <si>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</si>
  <si>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</si>
  <si>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</si>
  <si>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</si>
  <si>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</si>
  <si>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</si>
  <si>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</si>
  <si>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</si>
  <si>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</si>
  <si>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</si>
  <si>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</si>
  <si>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</si>
  <si>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</si>
  <si>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</si>
  <si>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</si>
  <si>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</si>
  <si>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</si>
  <si>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</si>
  <si>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</si>
  <si>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</si>
  <si>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</si>
  <si>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</si>
  <si>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</si>
  <si>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</si>
  <si>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</si>
  <si>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</si>
  <si>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</si>
  <si>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</si>
  <si>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</si>
  <si>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</si>
  <si>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</si>
  <si>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</si>
  <si>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</si>
  <si>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</si>
  <si>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</si>
  <si>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</si>
  <si>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</si>
  <si>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</si>
  <si>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</si>
  <si>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</si>
  <si>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</si>
  <si>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</si>
  <si>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</si>
  <si>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</si>
  <si>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</si>
  <si>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</si>
  <si>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</si>
  <si>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</si>
  <si>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</si>
  <si>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</si>
  <si>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</si>
  <si>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</si>
  <si>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</si>
  <si>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</si>
  <si>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</si>
  <si>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</si>
  <si>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</si>
  <si>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</si>
  <si>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</si>
  <si>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</si>
  <si>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</si>
  <si>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</si>
  <si>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</si>
  <si>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</si>
  <si>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</si>
  <si>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</si>
  <si>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</si>
  <si>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</si>
  <si>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</si>
  <si>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</si>
  <si>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</si>
  <si>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</si>
  <si>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</si>
  <si>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</si>
  <si>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</si>
  <si>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</si>
  <si>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</si>
  <si>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</si>
  <si>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</si>
  <si>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</si>
  <si>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</si>
  <si>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</si>
  <si>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</si>
  <si>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</si>
  <si>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</si>
  <si>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</si>
  <si>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</si>
  <si>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</si>
  <si>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</si>
  <si>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</si>
  <si>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</si>
  <si>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</si>
  <si>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</si>
  <si>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</si>
  <si>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</si>
  <si>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</si>
  <si>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</si>
  <si>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</si>
  <si>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</si>
  <si>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</si>
  <si>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</si>
  <si>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</si>
  <si>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</si>
  <si>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</si>
  <si>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</si>
  <si>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</si>
  <si>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</si>
  <si>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</si>
  <si>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</si>
  <si>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</si>
  <si>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</si>
  <si>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</si>
  <si>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</si>
  <si>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</si>
  <si>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</si>
  <si>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</si>
  <si>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</si>
  <si>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</si>
  <si>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</si>
  <si>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</si>
  <si>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</si>
  <si>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</si>
  <si>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</si>
  <si>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</si>
  <si>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</si>
  <si>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</si>
  <si>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</si>
  <si>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</si>
  <si>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</si>
  <si>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</si>
  <si>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</si>
  <si>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</si>
  <si>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</si>
  <si>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</si>
  <si>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</si>
  <si>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</si>
  <si>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</si>
  <si>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</si>
  <si>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</si>
  <si>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</si>
  <si>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</si>
  <si>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</si>
  <si>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</si>
  <si>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</si>
  <si>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</si>
  <si>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</si>
  <si>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</si>
  <si>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</si>
  <si>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</si>
  <si>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</si>
  <si>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</si>
  <si>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</si>
  <si>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</si>
  <si>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</si>
  <si>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</si>
  <si>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</si>
  <si>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</si>
  <si>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</si>
  <si>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</si>
  <si>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</si>
  <si>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</si>
  <si>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</si>
  <si>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</si>
  <si>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</si>
  <si>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</si>
  <si>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</si>
  <si>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</si>
  <si>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</si>
  <si>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</si>
  <si>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</si>
  <si>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</si>
  <si>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</si>
  <si>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</si>
  <si>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</si>
  <si>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</si>
  <si>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</si>
  <si>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</si>
  <si>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</si>
  <si>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</si>
  <si>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</si>
  <si>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</si>
  <si>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</si>
  <si>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</si>
  <si>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</si>
  <si>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</si>
  <si>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</si>
  <si>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</si>
  <si>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</si>
  <si>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</si>
  <si>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</si>
  <si>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</si>
  <si>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</si>
  <si>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</si>
  <si>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</si>
  <si>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</si>
  <si>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</si>
  <si>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</si>
  <si>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</si>
  <si>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</si>
  <si>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</si>
  <si>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</si>
  <si>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</si>
  <si>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</si>
  <si>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</si>
  <si>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</si>
  <si>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</si>
  <si>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</si>
  <si>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</si>
  <si>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</si>
  <si>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</si>
  <si>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</si>
  <si>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</si>
  <si>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</si>
  <si>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</si>
  <si>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</si>
  <si>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</si>
  <si>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</si>
  <si>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</si>
  <si>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</si>
  <si>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</si>
  <si>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</si>
  <si>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</si>
  <si>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</si>
  <si>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</si>
  <si>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</si>
  <si>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</si>
  <si>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</si>
  <si>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</si>
  <si>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</si>
  <si>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</si>
  <si>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</si>
  <si>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</si>
  <si>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</si>
  <si>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</si>
  <si>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</si>
  <si>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</si>
  <si>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</si>
  <si>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</si>
  <si>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</si>
  <si>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</si>
  <si>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</si>
  <si>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</si>
  <si>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</si>
  <si>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</si>
  <si>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</si>
  <si>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</si>
  <si>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</si>
  <si>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</si>
  <si>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</si>
  <si>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</si>
  <si>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</si>
  <si>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</si>
  <si>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</si>
  <si>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</si>
  <si>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</si>
  <si>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</si>
  <si>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</si>
  <si>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</si>
  <si>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</si>
  <si>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</si>
  <si>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</si>
  <si>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</si>
  <si>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</si>
  <si>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</si>
  <si>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</si>
  <si>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</si>
  <si>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</si>
  <si>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</si>
  <si>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</si>
  <si>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</si>
  <si>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</si>
  <si>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</si>
  <si>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</si>
  <si>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</si>
  <si>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</si>
  <si>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</si>
  <si>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</si>
  <si>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</si>
  <si>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</si>
  <si>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</si>
  <si>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</si>
  <si>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</si>
  <si>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</si>
  <si>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</si>
  <si>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</si>
  <si>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</si>
  <si>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</si>
  <si>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</si>
  <si>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</si>
  <si>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</si>
  <si>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</si>
  <si>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</si>
  <si>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</si>
  <si>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</si>
  <si>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</si>
  <si>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</si>
  <si>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</si>
  <si>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</si>
  <si>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</si>
  <si>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</si>
  <si>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</si>
  <si>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</si>
  <si>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</si>
  <si>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</si>
  <si>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</si>
  <si>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</si>
  <si>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</si>
  <si>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</si>
  <si>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</si>
  <si>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</si>
  <si>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</si>
  <si>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</si>
  <si>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</si>
  <si>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</si>
  <si>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</si>
  <si>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</si>
  <si>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</si>
  <si>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</si>
  <si>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</si>
  <si>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</si>
  <si>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</si>
  <si>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</si>
  <si>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</si>
  <si>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</si>
  <si>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</si>
  <si>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</si>
  <si>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</si>
  <si>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</si>
  <si>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</si>
  <si>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</si>
  <si>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</si>
  <si>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</si>
  <si>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</si>
  <si>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</si>
  <si>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</si>
  <si>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</si>
  <si>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</si>
  <si>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</si>
  <si>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</si>
  <si>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</si>
  <si>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</si>
  <si>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</si>
  <si>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</si>
  <si>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</si>
  <si>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</si>
  <si>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</si>
  <si>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</si>
  <si>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</si>
  <si>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</si>
  <si>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</si>
  <si>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</si>
  <si>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</si>
  <si>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</si>
  <si>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</si>
  <si>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</si>
  <si>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</si>
  <si>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</si>
  <si>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</si>
  <si>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</si>
  <si>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</si>
  <si>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</si>
  <si>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</si>
  <si>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</si>
  <si>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</si>
  <si>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</si>
  <si>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</si>
  <si>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</si>
  <si>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</si>
  <si>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</si>
  <si>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</si>
  <si>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</si>
  <si>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</si>
  <si>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</si>
  <si>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</si>
  <si>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</si>
  <si>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</si>
  <si>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</si>
  <si>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</si>
  <si>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</si>
  <si>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</si>
  <si>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</si>
  <si>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</si>
  <si>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</si>
  <si>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</si>
  <si>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</si>
  <si>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</si>
  <si>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</si>
  <si>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</si>
  <si>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</si>
  <si>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</si>
  <si>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</si>
  <si>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</si>
  <si>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</si>
  <si>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</si>
  <si>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</si>
  <si>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</si>
  <si>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</si>
  <si>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</si>
  <si>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</si>
  <si>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</si>
  <si>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</si>
  <si>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</si>
  <si>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</si>
  <si>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</si>
  <si>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</si>
  <si>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</si>
  <si>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</si>
  <si>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</si>
  <si>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</si>
  <si>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</si>
  <si>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</si>
  <si>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</si>
  <si>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</si>
  <si>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</si>
  <si>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</si>
  <si>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</si>
  <si>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</si>
  <si>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</si>
  <si>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</si>
  <si>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</si>
  <si>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</si>
  <si>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</si>
  <si>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</si>
  <si>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</si>
  <si>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</si>
  <si>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</si>
  <si>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</si>
  <si>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</si>
  <si>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</si>
  <si>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</si>
  <si>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</si>
  <si>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</si>
  <si>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</si>
  <si>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</si>
  <si>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</si>
  <si>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</si>
  <si>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</si>
  <si>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</si>
  <si>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</si>
  <si>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</si>
  <si>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</si>
  <si>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</si>
  <si>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</si>
  <si>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</si>
  <si>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</si>
  <si>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</si>
  <si>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</si>
  <si>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</si>
  <si>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</si>
  <si>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</si>
  <si>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</si>
  <si>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</si>
  <si>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</si>
  <si>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</si>
  <si>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</si>
  <si>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</si>
  <si>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</si>
  <si>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</si>
  <si>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</si>
  <si>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</si>
  <si>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</si>
  <si>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</si>
  <si>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</si>
  <si>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</si>
  <si>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</si>
  <si>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</si>
  <si>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</si>
  <si>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</si>
  <si>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</si>
  <si>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</si>
  <si>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</si>
  <si>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</si>
  <si>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</si>
  <si>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</si>
  <si>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</si>
  <si>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</si>
  <si>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</si>
  <si>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</si>
  <si>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</si>
  <si>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</si>
  <si>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</si>
  <si>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</si>
  <si>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</si>
  <si>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</si>
  <si>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</si>
  <si>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</si>
  <si>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</si>
  <si>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</si>
  <si>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</si>
  <si>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</si>
  <si>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</si>
  <si>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</si>
  <si>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</si>
  <si>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</si>
  <si>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</si>
  <si>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</si>
  <si>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</si>
  <si>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</si>
  <si>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</si>
  <si>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</si>
  <si>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</si>
  <si>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</si>
  <si>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</si>
  <si>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</si>
  <si>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</si>
  <si>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</si>
  <si>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</si>
  <si>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</si>
  <si>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</si>
  <si>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</si>
  <si>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</si>
  <si>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</si>
  <si>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</si>
  <si>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</si>
  <si>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</si>
  <si>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</si>
  <si>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</si>
  <si>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</si>
  <si>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</si>
  <si>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</si>
  <si>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</si>
  <si>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</si>
  <si>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</si>
  <si>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</si>
  <si>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</si>
  <si>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</si>
  <si>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</si>
  <si>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</si>
  <si>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</si>
  <si>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</si>
  <si>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</si>
  <si>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</si>
  <si>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</si>
  <si>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</si>
  <si>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</si>
  <si>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</si>
  <si>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</si>
  <si>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</si>
  <si>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</si>
  <si>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</si>
  <si>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</si>
  <si>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</si>
  <si>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</si>
  <si>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</si>
  <si>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</si>
  <si>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</si>
  <si>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</si>
  <si>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</si>
  <si>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</si>
  <si>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</si>
  <si>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</si>
  <si>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</si>
  <si>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</si>
  <si>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</si>
  <si>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</si>
  <si>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</si>
  <si>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</si>
  <si>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</si>
  <si>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</si>
  <si>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</si>
  <si>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</si>
  <si>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</si>
  <si>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</si>
  <si>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</si>
  <si>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</si>
  <si>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</si>
  <si>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</si>
  <si>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</si>
  <si>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</si>
  <si>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</si>
  <si>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</si>
  <si>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</si>
  <si>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</si>
  <si>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</si>
  <si>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</si>
  <si>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</si>
  <si>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</si>
  <si>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</si>
  <si>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</si>
  <si>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</si>
  <si>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</si>
  <si>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</si>
  <si>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</si>
  <si>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</si>
  <si>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</si>
  <si>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</si>
  <si>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</si>
  <si>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</si>
  <si>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</si>
  <si>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</si>
  <si>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</si>
  <si>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ZAR-Swap</t>
  </si>
  <si>
    <t>USD-Swap</t>
  </si>
  <si>
    <t>USD-OIS</t>
  </si>
  <si>
    <t>=d.curve_get("MyZarSwapCurve","ZAR-Swap","2023-02-09")</t>
  </si>
  <si>
    <t>@@MyZarSwapCurve::09:26:51</t>
  </si>
  <si>
    <t>=d.curve_getdetails(B63)</t>
  </si>
  <si>
    <t>Single Curve - serialisation</t>
  </si>
  <si>
    <t>Multiple curve - USD swap</t>
  </si>
  <si>
    <t>FX Basis</t>
  </si>
  <si>
    <t>Single Cuve - get details</t>
  </si>
  <si>
    <t>IHSMarkit</t>
  </si>
  <si>
    <t>Python script - automate pulling</t>
  </si>
  <si>
    <t>Backup data</t>
  </si>
  <si>
    <t xml:space="preserve">Get ATM swaption vols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</si>
</sst>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#,##0.000000000"/>
    <numFmt numFmtId="171" formatCode="0.0000%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"/>
    <numFmt numFmtId="177" formatCode="#,##0.00000000"/>
    <numFmt numFmtId="178" formatCode="0.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  <numFmt numFmtId="185" formatCode="0.00000%"/>
  </numFmts>
  <fonts count="9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23" fillId="0" borderId="1" applyNumberFormat="0" applyFill="0" applyAlignment="0" applyProtection="0"/>
    <xf numFmtId="0" fontId="37" fillId="0" borderId="87" applyNumberFormat="0" applyFill="0" applyAlignment="0" applyProtection="0"/>
    <xf numFmtId="0" fontId="38" fillId="0" borderId="8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4" applyNumberFormat="0" applyAlignment="0" applyProtection="0"/>
    <xf numFmtId="0" fontId="73" fillId="15" borderId="177" applyNumberFormat="0" applyAlignment="0" applyProtection="0"/>
    <xf numFmtId="43" fontId="45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4" applyNumberFormat="0" applyAlignment="0" applyProtection="0"/>
    <xf numFmtId="0" fontId="87" fillId="0" borderId="176" applyNumberFormat="0" applyFill="0" applyAlignment="0" applyProtection="0"/>
    <xf numFmtId="0" fontId="88" fillId="12" borderId="0" applyNumberFormat="0" applyBorder="0" applyAlignment="0" applyProtection="0"/>
    <xf numFmtId="0" fontId="89" fillId="14" borderId="175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8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</cellStyleXfs>
  <cellXfs count="816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7" xfId="2"/>
    <xf numFmtId="0" fontId="38" fillId="0" borderId="88" xfId="3"/>
    <xf numFmtId="166" fontId="0" fillId="0" borderId="0" xfId="0" applyNumberFormat="1"/>
    <xf numFmtId="167" fontId="0" fillId="0" borderId="0" xfId="0" applyNumberFormat="1"/>
    <xf numFmtId="0" fontId="2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9" fontId="25" fillId="0" borderId="10" xfId="0" applyNumberFormat="1" applyFont="1" applyBorder="1" applyAlignment="1">
      <alignment horizontal="right" vertical="center"/>
    </xf>
    <xf numFmtId="169" fontId="25" fillId="0" borderId="12" xfId="0" applyNumberFormat="1" applyFont="1" applyBorder="1" applyAlignment="1">
      <alignment horizontal="right" vertical="center"/>
    </xf>
    <xf numFmtId="169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8" fontId="25" fillId="0" borderId="0" xfId="0" applyNumberFormat="1" applyFont="1"/>
    <xf numFmtId="0" fontId="27" fillId="2" borderId="0" xfId="0" applyFont="1" applyFill="1" applyAlignment="1">
      <alignment horizontal="centerContinuous"/>
    </xf>
    <xf numFmtId="170" fontId="0" fillId="0" borderId="0" xfId="0" applyNumberFormat="1"/>
    <xf numFmtId="171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8" fontId="25" fillId="0" borderId="0" xfId="0" applyNumberFormat="1" applyFont="1" applyAlignment="1">
      <alignment horizontal="right"/>
    </xf>
    <xf numFmtId="0" fontId="25" fillId="0" borderId="0" xfId="0" applyFont="1" applyFill="1" applyBorder="1"/>
    <xf numFmtId="169" fontId="25" fillId="0" borderId="15" xfId="0" applyNumberFormat="1" applyFont="1" applyBorder="1" applyAlignment="1">
      <alignment horizontal="right" vertical="center"/>
    </xf>
    <xf numFmtId="169" fontId="25" fillId="0" borderId="16" xfId="0" applyNumberFormat="1" applyFont="1" applyBorder="1" applyAlignment="1">
      <alignment horizontal="right" vertical="center"/>
    </xf>
    <xf numFmtId="0" fontId="26" fillId="3" borderId="27" xfId="0" applyFont="1" applyFill="1" applyBorder="1" applyAlignment="1">
      <alignment horizontal="centerContinuous" vertical="center"/>
    </xf>
    <xf numFmtId="0" fontId="26" fillId="3" borderId="28" xfId="0" applyFont="1" applyFill="1" applyBorder="1" applyAlignment="1">
      <alignment horizontal="centerContinuous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4" fontId="25" fillId="0" borderId="0" xfId="0" applyNumberFormat="1" applyFont="1"/>
    <xf numFmtId="0" fontId="26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32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6" fillId="4" borderId="34" xfId="0" applyFont="1" applyFill="1" applyBorder="1" applyAlignment="1">
      <alignment horizontal="center" vertical="center"/>
    </xf>
    <xf numFmtId="0" fontId="23" fillId="0" borderId="1" xfId="1" applyFont="1"/>
    <xf numFmtId="9" fontId="25" fillId="0" borderId="38" xfId="0" applyNumberFormat="1" applyFont="1" applyBorder="1" applyAlignment="1">
      <alignment horizontal="right"/>
    </xf>
    <xf numFmtId="9" fontId="25" fillId="0" borderId="40" xfId="0" applyNumberFormat="1" applyFont="1" applyBorder="1" applyAlignment="1">
      <alignment horizontal="right"/>
    </xf>
    <xf numFmtId="168" fontId="25" fillId="0" borderId="35" xfId="0" applyNumberFormat="1" applyFont="1" applyBorder="1"/>
    <xf numFmtId="168" fontId="25" fillId="0" borderId="37" xfId="0" applyNumberFormat="1" applyFont="1" applyBorder="1"/>
    <xf numFmtId="168" fontId="25" fillId="0" borderId="41" xfId="0" applyNumberFormat="1" applyFont="1" applyBorder="1"/>
    <xf numFmtId="168" fontId="25" fillId="0" borderId="42" xfId="0" applyNumberFormat="1" applyFont="1" applyBorder="1"/>
    <xf numFmtId="0" fontId="0" fillId="0" borderId="42" xfId="0" applyBorder="1"/>
    <xf numFmtId="9" fontId="25" fillId="0" borderId="42" xfId="0" applyNumberFormat="1" applyFont="1" applyBorder="1" applyAlignment="1">
      <alignment horizontal="right"/>
    </xf>
    <xf numFmtId="9" fontId="25" fillId="0" borderId="43" xfId="0" applyNumberFormat="1" applyFont="1" applyBorder="1" applyAlignment="1">
      <alignment horizontal="right"/>
    </xf>
    <xf numFmtId="0" fontId="31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1" fillId="0" borderId="48" xfId="0" applyFont="1" applyBorder="1"/>
    <xf numFmtId="0" fontId="0" fillId="0" borderId="49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50" xfId="0" applyFont="1" applyFill="1" applyBorder="1" applyAlignment="1">
      <alignment horizontal="center" vertical="center"/>
    </xf>
    <xf numFmtId="0" fontId="26" fillId="4" borderId="51" xfId="0" applyFont="1" applyFill="1" applyBorder="1" applyAlignment="1">
      <alignment horizontal="center" vertical="center"/>
    </xf>
    <xf numFmtId="0" fontId="26" fillId="4" borderId="52" xfId="0" applyFont="1" applyFill="1" applyBorder="1" applyAlignment="1">
      <alignment horizontal="center" vertical="center"/>
    </xf>
    <xf numFmtId="168" fontId="25" fillId="0" borderId="36" xfId="0" applyNumberFormat="1" applyFont="1" applyBorder="1"/>
    <xf numFmtId="168" fontId="25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5" fillId="0" borderId="37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74" fontId="34" fillId="0" borderId="15" xfId="0" applyNumberFormat="1" applyFont="1" applyBorder="1" applyAlignment="1">
      <alignment horizontal="right" vertical="center"/>
    </xf>
    <xf numFmtId="174" fontId="34" fillId="0" borderId="16" xfId="0" applyNumberFormat="1" applyFont="1" applyBorder="1" applyAlignment="1">
      <alignment horizontal="right" vertical="center"/>
    </xf>
    <xf numFmtId="174" fontId="34" fillId="0" borderId="17" xfId="0" applyNumberFormat="1" applyFont="1" applyBorder="1" applyAlignment="1">
      <alignment horizontal="right" vertical="center"/>
    </xf>
    <xf numFmtId="175" fontId="34" fillId="0" borderId="15" xfId="0" applyNumberFormat="1" applyFont="1" applyBorder="1" applyAlignment="1">
      <alignment horizontal="right" vertical="center"/>
    </xf>
    <xf numFmtId="175" fontId="34" fillId="0" borderId="16" xfId="0" applyNumberFormat="1" applyFont="1" applyBorder="1" applyAlignment="1">
      <alignment horizontal="right" vertical="center"/>
    </xf>
    <xf numFmtId="175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168" fontId="22" fillId="0" borderId="15" xfId="0" applyNumberFormat="1" applyFont="1" applyBorder="1" applyAlignment="1">
      <alignment horizontal="right" vertical="center"/>
    </xf>
    <xf numFmtId="168" fontId="22" fillId="0" borderId="16" xfId="0" applyNumberFormat="1" applyFont="1" applyBorder="1" applyAlignment="1">
      <alignment horizontal="right" vertical="center"/>
    </xf>
    <xf numFmtId="168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6" xfId="4" applyBorder="1" applyAlignment="1">
      <alignment horizontal="centerContinuous" vertical="center"/>
    </xf>
    <xf numFmtId="0" fontId="42" fillId="0" borderId="47" xfId="4" applyBorder="1" applyAlignment="1">
      <alignment horizontal="centerContinuous" vertical="center"/>
    </xf>
    <xf numFmtId="0" fontId="42" fillId="0" borderId="49" xfId="4" applyBorder="1" applyAlignment="1">
      <alignment horizontal="centerContinuous" vertical="center"/>
    </xf>
    <xf numFmtId="0" fontId="42" fillId="0" borderId="48" xfId="4" applyFill="1" applyBorder="1" applyAlignment="1">
      <alignment horizontal="centerContinuous"/>
    </xf>
    <xf numFmtId="0" fontId="42" fillId="0" borderId="49" xfId="4" applyFill="1" applyBorder="1" applyAlignment="1">
      <alignment horizontal="centerContinuous"/>
    </xf>
    <xf numFmtId="0" fontId="26" fillId="3" borderId="53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4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74" fontId="33" fillId="5" borderId="16" xfId="0" applyNumberFormat="1" applyFont="1" applyFill="1" applyBorder="1" applyAlignment="1">
      <alignment horizontal="right" vertical="center"/>
    </xf>
    <xf numFmtId="175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8" fontId="33" fillId="5" borderId="9" xfId="0" applyNumberFormat="1" applyFont="1" applyFill="1" applyBorder="1" applyAlignment="1">
      <alignment horizontal="right" vertical="center"/>
    </xf>
    <xf numFmtId="168" fontId="33" fillId="5" borderId="11" xfId="0" applyNumberFormat="1" applyFont="1" applyFill="1" applyBorder="1" applyAlignment="1">
      <alignment horizontal="right" vertical="center"/>
    </xf>
    <xf numFmtId="168" fontId="33" fillId="5" borderId="15" xfId="0" applyNumberFormat="1" applyFont="1" applyFill="1" applyBorder="1" applyAlignment="1">
      <alignment horizontal="right" vertical="center"/>
    </xf>
    <xf numFmtId="168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6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5" fillId="4" borderId="58" xfId="0" applyNumberFormat="1" applyFont="1" applyFill="1" applyBorder="1" applyAlignment="1">
      <alignment horizontal="center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74" fontId="33" fillId="5" borderId="11" xfId="0" applyNumberFormat="1" applyFont="1" applyFill="1" applyBorder="1" applyAlignment="1">
      <alignment horizontal="right" vertical="center"/>
    </xf>
    <xf numFmtId="174" fontId="33" fillId="5" borderId="12" xfId="0" applyNumberFormat="1" applyFont="1" applyFill="1" applyBorder="1" applyAlignment="1">
      <alignment horizontal="right" vertical="center"/>
    </xf>
    <xf numFmtId="175" fontId="33" fillId="5" borderId="11" xfId="0" applyNumberFormat="1" applyFont="1" applyFill="1" applyBorder="1" applyAlignment="1">
      <alignment horizontal="right" vertical="center"/>
    </xf>
    <xf numFmtId="175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8" fontId="33" fillId="5" borderId="10" xfId="0" applyNumberFormat="1" applyFont="1" applyFill="1" applyBorder="1" applyAlignment="1">
      <alignment horizontal="right" vertical="center"/>
    </xf>
    <xf numFmtId="168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9" fontId="25" fillId="6" borderId="16" xfId="0" applyNumberFormat="1" applyFont="1" applyFill="1" applyBorder="1" applyAlignment="1">
      <alignment horizontal="right" vertical="center"/>
    </xf>
    <xf numFmtId="169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60" xfId="0" applyFont="1" applyFill="1" applyBorder="1" applyAlignment="1">
      <alignment horizontal="centerContinuous" vertical="center"/>
    </xf>
    <xf numFmtId="0" fontId="36" fillId="3" borderId="61" xfId="0" applyFont="1" applyFill="1" applyBorder="1" applyAlignment="1">
      <alignment horizontal="center" vertical="center"/>
    </xf>
    <xf numFmtId="0" fontId="26" fillId="3" borderId="62" xfId="0" applyFont="1" applyFill="1" applyBorder="1" applyAlignment="1">
      <alignment horizontal="centerContinuous" vertical="center"/>
    </xf>
    <xf numFmtId="0" fontId="26" fillId="3" borderId="49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8" fontId="18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0" fontId="16" fillId="0" borderId="0" xfId="0" applyFont="1"/>
    <xf numFmtId="168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8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5" xfId="0" applyFont="1" applyFill="1" applyBorder="1" applyAlignment="1">
      <alignment horizontal="centerContinuous" vertical="center"/>
    </xf>
    <xf numFmtId="0" fontId="26" fillId="4" borderId="66" xfId="0" applyFont="1" applyFill="1" applyBorder="1" applyAlignment="1">
      <alignment horizontal="centerContinuous" vertical="center"/>
    </xf>
    <xf numFmtId="0" fontId="26" fillId="4" borderId="67" xfId="0" applyFont="1" applyFill="1" applyBorder="1" applyAlignment="1">
      <alignment horizontal="centerContinuous" vertical="center"/>
    </xf>
    <xf numFmtId="169" fontId="15" fillId="0" borderId="15" xfId="0" applyNumberFormat="1" applyFont="1" applyBorder="1" applyAlignment="1">
      <alignment horizontal="center" vertical="center"/>
    </xf>
    <xf numFmtId="169" fontId="15" fillId="0" borderId="16" xfId="0" applyNumberFormat="1" applyFont="1" applyBorder="1" applyAlignment="1">
      <alignment horizontal="center" vertical="center"/>
    </xf>
    <xf numFmtId="169" fontId="15" fillId="0" borderId="17" xfId="0" applyNumberFormat="1" applyFont="1" applyBorder="1" applyAlignment="1">
      <alignment horizontal="center" vertical="center"/>
    </xf>
    <xf numFmtId="168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8" xfId="0" applyNumberFormat="1" applyFont="1" applyBorder="1" applyAlignment="1">
      <alignment horizontal="center" vertical="center"/>
    </xf>
    <xf numFmtId="10" fontId="15" fillId="0" borderId="69" xfId="0" applyNumberFormat="1" applyFont="1" applyBorder="1" applyAlignment="1">
      <alignment horizontal="right" vertical="center"/>
    </xf>
    <xf numFmtId="4" fontId="15" fillId="0" borderId="70" xfId="0" applyNumberFormat="1" applyFont="1" applyBorder="1" applyAlignment="1">
      <alignment horizontal="center" vertical="center"/>
    </xf>
    <xf numFmtId="4" fontId="15" fillId="0" borderId="71" xfId="0" applyNumberFormat="1" applyFont="1" applyBorder="1" applyAlignment="1">
      <alignment horizontal="center" vertical="center"/>
    </xf>
    <xf numFmtId="4" fontId="15" fillId="0" borderId="72" xfId="0" applyNumberFormat="1" applyFont="1" applyBorder="1" applyAlignment="1">
      <alignment horizontal="center" vertical="center"/>
    </xf>
    <xf numFmtId="4" fontId="15" fillId="0" borderId="73" xfId="0" applyNumberFormat="1" applyFont="1" applyBorder="1" applyAlignment="1">
      <alignment horizontal="center" vertical="center"/>
    </xf>
    <xf numFmtId="10" fontId="15" fillId="0" borderId="74" xfId="0" applyNumberFormat="1" applyFont="1" applyBorder="1" applyAlignment="1">
      <alignment horizontal="right" vertical="center"/>
    </xf>
    <xf numFmtId="4" fontId="15" fillId="0" borderId="75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6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171" fontId="20" fillId="0" borderId="15" xfId="0" applyNumberFormat="1" applyFont="1" applyBorder="1" applyAlignment="1">
      <alignment horizontal="right" vertical="center"/>
    </xf>
    <xf numFmtId="171" fontId="20" fillId="0" borderId="16" xfId="0" applyNumberFormat="1" applyFont="1" applyBorder="1" applyAlignment="1">
      <alignment horizontal="right" vertical="center"/>
    </xf>
    <xf numFmtId="171" fontId="20" fillId="0" borderId="17" xfId="0" applyNumberFormat="1" applyFont="1" applyBorder="1" applyAlignment="1">
      <alignment horizontal="right" vertical="center"/>
    </xf>
    <xf numFmtId="179" fontId="11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9" xfId="0" applyNumberFormat="1" applyFont="1" applyBorder="1" applyAlignment="1">
      <alignment horizontal="center" vertical="center"/>
    </xf>
    <xf numFmtId="4" fontId="34" fillId="0" borderId="79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80" xfId="0" applyNumberFormat="1" applyFont="1" applyBorder="1" applyAlignment="1">
      <alignment horizontal="center" vertical="center"/>
    </xf>
    <xf numFmtId="4" fontId="34" fillId="0" borderId="81" xfId="0" applyNumberFormat="1" applyFont="1" applyBorder="1" applyAlignment="1">
      <alignment horizontal="center" vertical="center"/>
    </xf>
    <xf numFmtId="4" fontId="34" fillId="0" borderId="82" xfId="0" applyNumberFormat="1" applyFont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77" xfId="0" applyFont="1" applyFill="1" applyBorder="1" applyAlignment="1">
      <alignment horizontal="center" vertical="center"/>
    </xf>
    <xf numFmtId="0" fontId="35" fillId="4" borderId="78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4" fontId="35" fillId="4" borderId="78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8" fontId="34" fillId="0" borderId="10" xfId="0" applyNumberFormat="1" applyFont="1" applyBorder="1" applyAlignment="1">
      <alignment horizontal="center" vertical="center"/>
    </xf>
    <xf numFmtId="0" fontId="26" fillId="4" borderId="83" xfId="0" applyFont="1" applyFill="1" applyBorder="1" applyAlignment="1">
      <alignment horizontal="center" vertical="center"/>
    </xf>
    <xf numFmtId="4" fontId="34" fillId="0" borderId="65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7" xfId="2" applyFont="1"/>
    <xf numFmtId="0" fontId="41" fillId="0" borderId="88" xfId="3" applyFont="1"/>
    <xf numFmtId="168" fontId="34" fillId="0" borderId="48" xfId="0" applyNumberFormat="1" applyFont="1" applyBorder="1" applyAlignment="1">
      <alignment horizontal="center"/>
    </xf>
    <xf numFmtId="168" fontId="34" fillId="0" borderId="86" xfId="0" applyNumberFormat="1" applyFont="1" applyBorder="1" applyAlignment="1">
      <alignment horizontal="center"/>
    </xf>
    <xf numFmtId="0" fontId="34" fillId="0" borderId="49" xfId="0" applyFont="1" applyBorder="1" applyAlignment="1">
      <alignment horizontal="center" vertical="center"/>
    </xf>
    <xf numFmtId="168" fontId="9" fillId="0" borderId="84" xfId="0" applyNumberFormat="1" applyFont="1" applyBorder="1" applyAlignment="1">
      <alignment horizontal="center" vertical="center"/>
    </xf>
    <xf numFmtId="168" fontId="9" fillId="0" borderId="85" xfId="0" applyNumberFormat="1" applyFont="1" applyBorder="1" applyAlignment="1">
      <alignment horizontal="center" vertical="center"/>
    </xf>
    <xf numFmtId="168" fontId="34" fillId="0" borderId="12" xfId="0" applyNumberFormat="1" applyFont="1" applyBorder="1" applyAlignment="1">
      <alignment horizontal="center" vertical="center"/>
    </xf>
    <xf numFmtId="168" fontId="34" fillId="0" borderId="9" xfId="0" applyNumberFormat="1" applyFont="1" applyBorder="1" applyAlignment="1">
      <alignment horizontal="center" vertical="center"/>
    </xf>
    <xf numFmtId="168" fontId="34" fillId="0" borderId="15" xfId="0" applyNumberFormat="1" applyFont="1" applyBorder="1" applyAlignment="1">
      <alignment horizontal="center" vertical="center"/>
    </xf>
    <xf numFmtId="168" fontId="34" fillId="0" borderId="11" xfId="0" applyNumberFormat="1" applyFont="1" applyBorder="1" applyAlignment="1">
      <alignment horizontal="center" vertical="center"/>
    </xf>
    <xf numFmtId="168" fontId="34" fillId="0" borderId="16" xfId="0" applyNumberFormat="1" applyFont="1" applyBorder="1" applyAlignment="1">
      <alignment horizontal="center" vertical="center"/>
    </xf>
    <xf numFmtId="168" fontId="34" fillId="0" borderId="13" xfId="0" applyNumberFormat="1" applyFont="1" applyBorder="1" applyAlignment="1">
      <alignment horizontal="center" vertical="center"/>
    </xf>
    <xf numFmtId="168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8" fontId="34" fillId="0" borderId="14" xfId="0" applyNumberFormat="1" applyFont="1" applyBorder="1" applyAlignment="1">
      <alignment horizontal="center" vertical="center"/>
    </xf>
    <xf numFmtId="4" fontId="35" fillId="4" borderId="32" xfId="0" applyNumberFormat="1" applyFont="1" applyFill="1" applyBorder="1" applyAlignment="1">
      <alignment horizontal="center" vertical="center"/>
    </xf>
    <xf numFmtId="168" fontId="35" fillId="4" borderId="33" xfId="0" applyNumberFormat="1" applyFont="1" applyFill="1" applyBorder="1" applyAlignment="1">
      <alignment horizontal="center" vertical="center"/>
    </xf>
    <xf numFmtId="4" fontId="34" fillId="0" borderId="8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"/>
    </xf>
    <xf numFmtId="2" fontId="34" fillId="0" borderId="86" xfId="0" applyNumberFormat="1" applyFont="1" applyBorder="1" applyAlignment="1">
      <alignment horizontal="center"/>
    </xf>
    <xf numFmtId="4" fontId="34" fillId="0" borderId="90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4" fontId="34" fillId="0" borderId="92" xfId="0" applyNumberFormat="1" applyFont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56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93" xfId="0" applyFont="1" applyFill="1" applyBorder="1" applyAlignment="1">
      <alignment horizontal="centerContinuous" vertical="center"/>
    </xf>
    <xf numFmtId="0" fontId="36" fillId="3" borderId="55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4" xfId="0" applyFont="1" applyFill="1" applyBorder="1" applyAlignment="1">
      <alignment horizontal="center" vertical="center"/>
    </xf>
    <xf numFmtId="4" fontId="34" fillId="0" borderId="95" xfId="0" applyNumberFormat="1" applyFont="1" applyBorder="1" applyAlignment="1">
      <alignment horizontal="center" vertical="center"/>
    </xf>
    <xf numFmtId="2" fontId="36" fillId="4" borderId="32" xfId="0" applyNumberFormat="1" applyFont="1" applyFill="1" applyBorder="1" applyAlignment="1">
      <alignment horizontal="center" vertical="center"/>
    </xf>
    <xf numFmtId="2" fontId="36" fillId="4" borderId="33" xfId="0" applyNumberFormat="1" applyFont="1" applyFill="1" applyBorder="1" applyAlignment="1">
      <alignment horizontal="center" vertical="center"/>
    </xf>
    <xf numFmtId="2" fontId="36" fillId="4" borderId="34" xfId="0" applyNumberFormat="1" applyFont="1" applyFill="1" applyBorder="1" applyAlignment="1">
      <alignment horizontal="center" vertical="center"/>
    </xf>
    <xf numFmtId="2" fontId="34" fillId="0" borderId="35" xfId="0" applyNumberFormat="1" applyFont="1" applyBorder="1" applyAlignment="1">
      <alignment horizontal="center"/>
    </xf>
    <xf numFmtId="2" fontId="34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6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6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6" fillId="4" borderId="100" xfId="0" applyNumberFormat="1" applyFont="1" applyFill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4" fontId="34" fillId="0" borderId="104" xfId="0" applyNumberFormat="1" applyFont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4" fillId="0" borderId="10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0" fontId="36" fillId="4" borderId="32" xfId="0" applyFont="1" applyFill="1" applyBorder="1" applyAlignment="1">
      <alignment horizontal="center" vertical="center"/>
    </xf>
    <xf numFmtId="0" fontId="36" fillId="4" borderId="34" xfId="0" applyFont="1" applyFill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4" fillId="0" borderId="114" xfId="0" applyNumberFormat="1" applyFont="1" applyBorder="1" applyAlignment="1">
      <alignment horizontal="center" vertical="center"/>
    </xf>
    <xf numFmtId="4" fontId="34" fillId="0" borderId="115" xfId="0" applyNumberFormat="1" applyFont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5" fillId="4" borderId="118" xfId="0" applyNumberFormat="1" applyFont="1" applyFill="1" applyBorder="1" applyAlignment="1">
      <alignment horizontal="center" vertical="center"/>
    </xf>
    <xf numFmtId="4" fontId="35" fillId="4" borderId="110" xfId="0" applyNumberFormat="1" applyFont="1" applyFill="1" applyBorder="1" applyAlignment="1">
      <alignment horizontal="center" vertical="center"/>
    </xf>
    <xf numFmtId="4" fontId="35" fillId="4" borderId="95" xfId="0" applyNumberFormat="1" applyFont="1" applyFill="1" applyBorder="1" applyAlignment="1">
      <alignment horizontal="center" vertical="center"/>
    </xf>
    <xf numFmtId="4" fontId="35" fillId="4" borderId="119" xfId="0" applyNumberFormat="1" applyFont="1" applyFill="1" applyBorder="1" applyAlignment="1">
      <alignment horizontal="center" vertical="center"/>
    </xf>
    <xf numFmtId="4" fontId="35" fillId="4" borderId="61" xfId="0" applyNumberFormat="1" applyFont="1" applyFill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4" fontId="34" fillId="0" borderId="121" xfId="0" applyNumberFormat="1" applyFont="1" applyBorder="1" applyAlignment="1">
      <alignment horizontal="center" vertical="center"/>
    </xf>
    <xf numFmtId="4" fontId="34" fillId="0" borderId="47" xfId="0" applyNumberFormat="1" applyFont="1" applyBorder="1" applyAlignment="1">
      <alignment horizontal="center" vertical="center"/>
    </xf>
    <xf numFmtId="4" fontId="34" fillId="0" borderId="122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5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5" fillId="4" borderId="126" xfId="0" applyNumberFormat="1" applyFont="1" applyFill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9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4" fontId="34" fillId="0" borderId="130" xfId="0" applyNumberFormat="1" applyFont="1" applyBorder="1" applyAlignment="1">
      <alignment horizontal="center" vertical="center"/>
    </xf>
    <xf numFmtId="4" fontId="34" fillId="0" borderId="132" xfId="0" applyNumberFormat="1" applyFont="1" applyBorder="1" applyAlignment="1">
      <alignment horizontal="center" vertical="center"/>
    </xf>
    <xf numFmtId="0" fontId="35" fillId="3" borderId="53" xfId="0" applyFont="1" applyFill="1" applyBorder="1" applyAlignment="1">
      <alignment horizontal="centerContinuous" vertical="center"/>
    </xf>
    <xf numFmtId="0" fontId="35" fillId="4" borderId="53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61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8" xfId="4" applyFill="1" applyBorder="1" applyAlignment="1">
      <alignment horizontal="centerContinuous" vertical="center"/>
    </xf>
    <xf numFmtId="0" fontId="42" fillId="0" borderId="49" xfId="4" applyFill="1" applyBorder="1" applyAlignment="1">
      <alignment horizontal="centerContinuous" vertical="center"/>
    </xf>
    <xf numFmtId="4" fontId="42" fillId="0" borderId="54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8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8" fontId="46" fillId="0" borderId="16" xfId="6" applyNumberFormat="1" applyFont="1" applyBorder="1" applyAlignment="1">
      <alignment horizontal="right" vertical="center"/>
    </xf>
    <xf numFmtId="168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4" xfId="0" applyFont="1" applyFill="1" applyBorder="1" applyAlignment="1">
      <alignment horizontal="centerContinuous" vertical="center"/>
    </xf>
    <xf numFmtId="0" fontId="36" fillId="3" borderId="49" xfId="0" applyFont="1" applyFill="1" applyBorder="1" applyAlignment="1">
      <alignment horizontal="centerContinuous" vertical="center"/>
    </xf>
    <xf numFmtId="181" fontId="34" fillId="0" borderId="48" xfId="0" applyNumberFormat="1" applyFont="1" applyBorder="1" applyAlignment="1">
      <alignment horizontal="center"/>
    </xf>
    <xf numFmtId="181" fontId="34" fillId="0" borderId="86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80" fontId="34" fillId="0" borderId="12" xfId="0" applyNumberFormat="1" applyFont="1" applyBorder="1" applyAlignment="1">
      <alignment horizontal="center" vertical="center"/>
    </xf>
    <xf numFmtId="180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4" fillId="7" borderId="27" xfId="0" applyFont="1" applyFill="1" applyBorder="1" applyAlignment="1">
      <alignment horizontal="centerContinuous"/>
    </xf>
    <xf numFmtId="0" fontId="24" fillId="7" borderId="60" xfId="0" applyFont="1" applyFill="1" applyBorder="1" applyAlignment="1">
      <alignment horizontal="centerContinuous"/>
    </xf>
    <xf numFmtId="0" fontId="24" fillId="7" borderId="46" xfId="0" applyFont="1" applyFill="1" applyBorder="1" applyAlignment="1">
      <alignment horizontal="centerContinuous"/>
    </xf>
    <xf numFmtId="0" fontId="24" fillId="7" borderId="133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8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1" fontId="34" fillId="0" borderId="80" xfId="0" applyNumberFormat="1" applyFont="1" applyBorder="1" applyAlignment="1">
      <alignment horizontal="center" vertical="center"/>
    </xf>
    <xf numFmtId="171" fontId="34" fillId="0" borderId="81" xfId="0" applyNumberFormat="1" applyFont="1" applyBorder="1" applyAlignment="1">
      <alignment horizontal="center" vertical="center"/>
    </xf>
    <xf numFmtId="171" fontId="34" fillId="0" borderId="82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5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31" xfId="0" applyNumberFormat="1" applyFont="1" applyBorder="1" applyAlignment="1">
      <alignment horizontal="centerContinuous" vertical="center"/>
    </xf>
    <xf numFmtId="181" fontId="34" fillId="0" borderId="10" xfId="0" applyNumberFormat="1" applyFont="1" applyBorder="1" applyAlignment="1">
      <alignment horizontal="center" vertical="center"/>
    </xf>
    <xf numFmtId="169" fontId="34" fillId="0" borderId="10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5" fillId="3" borderId="93" xfId="0" applyFont="1" applyFill="1" applyBorder="1" applyAlignment="1">
      <alignment horizontal="centerContinuous" vertical="center"/>
    </xf>
    <xf numFmtId="0" fontId="35" fillId="3" borderId="134" xfId="0" applyFont="1" applyFill="1" applyBorder="1" applyAlignment="1">
      <alignment horizontal="centerContinuous" vertical="center"/>
    </xf>
    <xf numFmtId="0" fontId="35" fillId="3" borderId="110" xfId="0" applyFont="1" applyFill="1" applyBorder="1" applyAlignment="1">
      <alignment horizontal="centerContinuous" vertical="center"/>
    </xf>
    <xf numFmtId="171" fontId="46" fillId="0" borderId="9" xfId="0" applyNumberFormat="1" applyFont="1" applyFill="1" applyBorder="1" applyAlignment="1">
      <alignment horizontal="center" vertical="center"/>
    </xf>
    <xf numFmtId="171" fontId="46" fillId="0" borderId="15" xfId="0" applyNumberFormat="1" applyFont="1" applyFill="1" applyBorder="1" applyAlignment="1">
      <alignment horizontal="center" vertical="center"/>
    </xf>
    <xf numFmtId="171" fontId="46" fillId="0" borderId="10" xfId="0" applyNumberFormat="1" applyFont="1" applyFill="1" applyBorder="1" applyAlignment="1">
      <alignment horizontal="center" vertical="center"/>
    </xf>
    <xf numFmtId="171" fontId="46" fillId="0" borderId="11" xfId="0" applyNumberFormat="1" applyFont="1" applyFill="1" applyBorder="1" applyAlignment="1">
      <alignment horizontal="center" vertical="center"/>
    </xf>
    <xf numFmtId="171" fontId="46" fillId="0" borderId="16" xfId="0" applyNumberFormat="1" applyFont="1" applyFill="1" applyBorder="1" applyAlignment="1">
      <alignment horizontal="center" vertical="center"/>
    </xf>
    <xf numFmtId="171" fontId="46" fillId="0" borderId="12" xfId="0" applyNumberFormat="1" applyFont="1" applyFill="1" applyBorder="1" applyAlignment="1">
      <alignment horizontal="center" vertical="center"/>
    </xf>
    <xf numFmtId="171" fontId="46" fillId="0" borderId="13" xfId="0" applyNumberFormat="1" applyFont="1" applyFill="1" applyBorder="1" applyAlignment="1">
      <alignment horizontal="center" vertical="center"/>
    </xf>
    <xf numFmtId="171" fontId="46" fillId="0" borderId="17" xfId="0" applyNumberFormat="1" applyFont="1" applyFill="1" applyBorder="1" applyAlignment="1">
      <alignment horizontal="center" vertical="center"/>
    </xf>
    <xf numFmtId="171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4" fillId="0" borderId="32" xfId="0" applyNumberFormat="1" applyFont="1" applyBorder="1" applyAlignment="1">
      <alignment horizontal="center" vertical="center"/>
    </xf>
    <xf numFmtId="4" fontId="34" fillId="0" borderId="135" xfId="0" applyNumberFormat="1" applyFont="1" applyBorder="1" applyAlignment="1">
      <alignment horizontal="center" vertical="center"/>
    </xf>
    <xf numFmtId="171" fontId="34" fillId="0" borderId="34" xfId="0" applyNumberFormat="1" applyFont="1" applyBorder="1" applyAlignment="1">
      <alignment horizontal="center" vertical="center"/>
    </xf>
    <xf numFmtId="2" fontId="34" fillId="0" borderId="136" xfId="0" applyNumberFormat="1" applyFont="1" applyBorder="1" applyAlignment="1">
      <alignment horizontal="center" vertical="center"/>
    </xf>
    <xf numFmtId="171" fontId="34" fillId="0" borderId="59" xfId="0" applyNumberFormat="1" applyFont="1" applyBorder="1" applyAlignment="1">
      <alignment horizontal="center" vertical="center"/>
    </xf>
    <xf numFmtId="171" fontId="34" fillId="0" borderId="79" xfId="0" applyNumberFormat="1" applyFont="1" applyBorder="1" applyAlignment="1">
      <alignment horizontal="center" vertical="center"/>
    </xf>
    <xf numFmtId="171" fontId="34" fillId="0" borderId="16" xfId="0" applyNumberFormat="1" applyFont="1" applyBorder="1" applyAlignment="1">
      <alignment horizontal="center" vertical="center"/>
    </xf>
    <xf numFmtId="171" fontId="34" fillId="0" borderId="12" xfId="0" applyNumberFormat="1" applyFont="1" applyBorder="1" applyAlignment="1">
      <alignment horizontal="center" vertical="center"/>
    </xf>
    <xf numFmtId="171" fontId="34" fillId="0" borderId="17" xfId="0" applyNumberFormat="1" applyFont="1" applyBorder="1" applyAlignment="1">
      <alignment horizontal="center" vertical="center"/>
    </xf>
    <xf numFmtId="171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3" fontId="7" fillId="0" borderId="0" xfId="0" applyNumberFormat="1" applyFont="1" applyFill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32" xfId="0" applyNumberFormat="1" applyFont="1" applyFill="1" applyBorder="1" applyAlignment="1">
      <alignment horizontal="center" vertical="center"/>
    </xf>
    <xf numFmtId="4" fontId="26" fillId="4" borderId="33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8" fontId="7" fillId="0" borderId="9" xfId="0" applyNumberFormat="1" applyFont="1" applyBorder="1" applyAlignment="1">
      <alignment horizontal="right" vertical="center"/>
    </xf>
    <xf numFmtId="168" fontId="7" fillId="0" borderId="15" xfId="0" applyNumberFormat="1" applyFont="1" applyBorder="1" applyAlignment="1">
      <alignment horizontal="right" vertical="center"/>
    </xf>
    <xf numFmtId="168" fontId="7" fillId="0" borderId="16" xfId="0" applyNumberFormat="1" applyFont="1" applyBorder="1" applyAlignment="1">
      <alignment horizontal="right" vertical="center"/>
    </xf>
    <xf numFmtId="168" fontId="7" fillId="0" borderId="17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8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9" fontId="34" fillId="0" borderId="48" xfId="0" applyNumberFormat="1" applyFont="1" applyBorder="1" applyAlignment="1">
      <alignment horizontal="center"/>
    </xf>
    <xf numFmtId="169" fontId="34" fillId="0" borderId="86" xfId="0" applyNumberFormat="1" applyFont="1" applyBorder="1" applyAlignment="1">
      <alignment horizontal="center"/>
    </xf>
    <xf numFmtId="168" fontId="34" fillId="0" borderId="48" xfId="0" applyNumberFormat="1" applyFont="1" applyBorder="1" applyAlignment="1">
      <alignment horizontal="centerContinuous"/>
    </xf>
    <xf numFmtId="168" fontId="34" fillId="0" borderId="86" xfId="0" applyNumberFormat="1" applyFont="1" applyBorder="1" applyAlignment="1">
      <alignment horizontal="centerContinuous"/>
    </xf>
    <xf numFmtId="4" fontId="34" fillId="0" borderId="137" xfId="0" applyNumberFormat="1" applyFont="1" applyBorder="1" applyAlignment="1">
      <alignment horizontal="centerContinuous" vertical="center"/>
    </xf>
    <xf numFmtId="4" fontId="34" fillId="0" borderId="138" xfId="0" applyNumberFormat="1" applyFont="1" applyBorder="1" applyAlignment="1">
      <alignment horizontal="centerContinuous" vertical="center"/>
    </xf>
    <xf numFmtId="4" fontId="34" fillId="0" borderId="139" xfId="0" applyNumberFormat="1" applyFont="1" applyBorder="1" applyAlignment="1">
      <alignment horizontal="centerContinuous" vertical="center"/>
    </xf>
    <xf numFmtId="168" fontId="34" fillId="0" borderId="65" xfId="0" applyNumberFormat="1" applyFont="1" applyBorder="1" applyAlignment="1">
      <alignment horizontal="centerContinuous" vertical="center"/>
    </xf>
    <xf numFmtId="168" fontId="34" fillId="0" borderId="86" xfId="0" applyNumberFormat="1" applyFont="1" applyBorder="1" applyAlignment="1">
      <alignment horizontal="centerContinuous" vertical="center"/>
    </xf>
    <xf numFmtId="168" fontId="34" fillId="0" borderId="67" xfId="0" applyNumberFormat="1" applyFont="1" applyBorder="1" applyAlignment="1">
      <alignment horizontal="centerContinuous" vertical="center"/>
    </xf>
    <xf numFmtId="168" fontId="34" fillId="0" borderId="49" xfId="0" applyNumberFormat="1" applyFont="1" applyBorder="1" applyAlignment="1">
      <alignment horizontal="centerContinuous" vertical="center"/>
    </xf>
    <xf numFmtId="4" fontId="34" fillId="0" borderId="108" xfId="0" applyNumberFormat="1" applyFont="1" applyBorder="1" applyAlignment="1">
      <alignment horizontal="centerContinuous" vertical="center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40" xfId="0" applyNumberFormat="1" applyFont="1" applyBorder="1" applyAlignment="1">
      <alignment horizontal="centerContinuous" vertical="center"/>
    </xf>
    <xf numFmtId="4" fontId="34" fillId="0" borderId="65" xfId="0" applyNumberFormat="1" applyFont="1" applyBorder="1" applyAlignment="1">
      <alignment horizontal="centerContinuous" vertical="center"/>
    </xf>
    <xf numFmtId="4" fontId="34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4" fillId="0" borderId="142" xfId="0" applyNumberFormat="1" applyFont="1" applyBorder="1" applyAlignment="1">
      <alignment horizontal="centerContinuous" vertical="center"/>
    </xf>
    <xf numFmtId="168" fontId="34" fillId="0" borderId="0" xfId="0" applyNumberFormat="1" applyFont="1"/>
    <xf numFmtId="168" fontId="9" fillId="0" borderId="143" xfId="0" applyNumberFormat="1" applyFont="1" applyBorder="1" applyAlignment="1">
      <alignment horizontal="center" vertical="center"/>
    </xf>
    <xf numFmtId="168" fontId="9" fillId="0" borderId="144" xfId="0" applyNumberFormat="1" applyFont="1" applyBorder="1" applyAlignment="1">
      <alignment horizontal="center" vertical="center"/>
    </xf>
    <xf numFmtId="168" fontId="9" fillId="0" borderId="145" xfId="0" applyNumberFormat="1" applyFont="1" applyBorder="1" applyAlignment="1">
      <alignment horizontal="center" vertical="center"/>
    </xf>
    <xf numFmtId="168" fontId="9" fillId="0" borderId="146" xfId="0" applyNumberFormat="1" applyFont="1" applyBorder="1" applyAlignment="1">
      <alignment horizontal="center" vertical="center"/>
    </xf>
    <xf numFmtId="0" fontId="26" fillId="4" borderId="147" xfId="0" applyFont="1" applyFill="1" applyBorder="1" applyAlignment="1">
      <alignment horizontal="center" vertical="center"/>
    </xf>
    <xf numFmtId="0" fontId="26" fillId="4" borderId="148" xfId="0" applyFont="1" applyFill="1" applyBorder="1" applyAlignment="1">
      <alignment horizontal="center" vertical="center"/>
    </xf>
    <xf numFmtId="4" fontId="34" fillId="0" borderId="14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Continuous"/>
    </xf>
    <xf numFmtId="2" fontId="34" fillId="0" borderId="86" xfId="0" applyNumberFormat="1" applyFont="1" applyBorder="1" applyAlignment="1">
      <alignment horizontal="centerContinuous"/>
    </xf>
    <xf numFmtId="0" fontId="35" fillId="4" borderId="54" xfId="0" applyFont="1" applyFill="1" applyBorder="1" applyAlignment="1">
      <alignment horizontal="centerContinuous" vertical="center"/>
    </xf>
    <xf numFmtId="0" fontId="35" fillId="4" borderId="150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4" fillId="0" borderId="151" xfId="0" applyNumberFormat="1" applyFont="1" applyBorder="1" applyAlignment="1">
      <alignment horizontal="centerContinuous" vertical="center"/>
    </xf>
    <xf numFmtId="4" fontId="34" fillId="0" borderId="66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101" xfId="4" applyNumberFormat="1" applyBorder="1" applyAlignment="1">
      <alignment horizontal="center" vertical="center"/>
    </xf>
    <xf numFmtId="176" fontId="34" fillId="0" borderId="14" xfId="0" applyNumberFormat="1" applyFont="1" applyBorder="1" applyAlignment="1">
      <alignment horizontal="center" vertical="center"/>
    </xf>
    <xf numFmtId="177" fontId="34" fillId="0" borderId="10" xfId="0" applyNumberFormat="1" applyFont="1" applyBorder="1" applyAlignment="1">
      <alignment horizontal="center" vertical="center"/>
    </xf>
    <xf numFmtId="177" fontId="34" fillId="0" borderId="12" xfId="0" applyNumberFormat="1" applyFont="1" applyBorder="1" applyAlignment="1">
      <alignment horizontal="center" vertical="center"/>
    </xf>
    <xf numFmtId="177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6" fontId="34" fillId="0" borderId="13" xfId="0" applyNumberFormat="1" applyFont="1" applyBorder="1" applyAlignment="1">
      <alignment horizontal="center" vertical="center"/>
    </xf>
    <xf numFmtId="0" fontId="35" fillId="3" borderId="48" xfId="0" applyFont="1" applyFill="1" applyBorder="1" applyAlignment="1">
      <alignment horizontal="centerContinuous" vertical="center"/>
    </xf>
    <xf numFmtId="0" fontId="35" fillId="3" borderId="152" xfId="0" applyFont="1" applyFill="1" applyBorder="1" applyAlignment="1">
      <alignment horizontal="centerContinuous" vertical="center"/>
    </xf>
    <xf numFmtId="0" fontId="35" fillId="3" borderId="150" xfId="0" applyFont="1" applyFill="1" applyBorder="1" applyAlignment="1">
      <alignment horizontal="centerContinuous" vertical="center"/>
    </xf>
    <xf numFmtId="0" fontId="35" fillId="3" borderId="86" xfId="0" applyFont="1" applyFill="1" applyBorder="1" applyAlignment="1">
      <alignment horizontal="centerContinuous" vertical="center"/>
    </xf>
    <xf numFmtId="176" fontId="34" fillId="0" borderId="13" xfId="0" applyNumberFormat="1" applyFont="1" applyBorder="1" applyAlignment="1">
      <alignment horizontal="centerContinuous" vertical="center"/>
    </xf>
    <xf numFmtId="176" fontId="34" fillId="0" borderId="139" xfId="0" applyNumberFormat="1" applyFont="1" applyBorder="1" applyAlignment="1">
      <alignment horizontal="centerContinuous" vertical="center"/>
    </xf>
    <xf numFmtId="176" fontId="34" fillId="0" borderId="153" xfId="0" applyNumberFormat="1" applyFont="1" applyBorder="1" applyAlignment="1">
      <alignment horizontal="centerContinuous" vertical="center"/>
    </xf>
    <xf numFmtId="176" fontId="34" fillId="0" borderId="154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5" xfId="4" applyNumberFormat="1" applyBorder="1" applyAlignment="1">
      <alignment horizontal="center" vertical="center"/>
    </xf>
    <xf numFmtId="0" fontId="42" fillId="0" borderId="156" xfId="4" applyFill="1" applyBorder="1" applyAlignment="1">
      <alignment horizontal="centerContinuous" vertical="center"/>
    </xf>
    <xf numFmtId="0" fontId="42" fillId="0" borderId="157" xfId="4" applyFill="1" applyBorder="1" applyAlignment="1">
      <alignment horizontal="centerContinuous" vertical="center"/>
    </xf>
    <xf numFmtId="4" fontId="42" fillId="0" borderId="158" xfId="4" applyNumberFormat="1" applyBorder="1" applyAlignment="1">
      <alignment horizontal="centerContinuous" vertical="center"/>
    </xf>
    <xf numFmtId="0" fontId="42" fillId="0" borderId="159" xfId="4" applyBorder="1" applyAlignment="1">
      <alignment horizontal="centerContinuous" vertical="center"/>
    </xf>
    <xf numFmtId="0" fontId="42" fillId="0" borderId="50" xfId="4" applyFill="1" applyBorder="1" applyAlignment="1">
      <alignment horizontal="center"/>
    </xf>
    <xf numFmtId="0" fontId="42" fillId="0" borderId="52" xfId="4" applyFill="1" applyBorder="1" applyAlignment="1">
      <alignment horizontal="center"/>
    </xf>
    <xf numFmtId="3" fontId="0" fillId="0" borderId="0" xfId="0" applyNumberFormat="1"/>
    <xf numFmtId="0" fontId="42" fillId="0" borderId="160" xfId="4" applyBorder="1" applyAlignment="1">
      <alignment horizontal="centerContinuous"/>
    </xf>
    <xf numFmtId="0" fontId="42" fillId="0" borderId="161" xfId="4" applyBorder="1" applyAlignment="1">
      <alignment horizontal="centerContinuous"/>
    </xf>
    <xf numFmtId="0" fontId="42" fillId="0" borderId="162" xfId="4" applyBorder="1" applyAlignment="1">
      <alignment horizontal="centerContinuous"/>
    </xf>
    <xf numFmtId="0" fontId="42" fillId="0" borderId="159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5" fillId="0" borderId="163" xfId="0" applyNumberFormat="1" applyFont="1" applyBorder="1" applyAlignment="1">
      <alignment horizontal="right" vertical="center"/>
    </xf>
    <xf numFmtId="169" fontId="25" fillId="0" borderId="164" xfId="0" applyNumberFormat="1" applyFont="1" applyBorder="1" applyAlignment="1">
      <alignment horizontal="center" vertical="center"/>
    </xf>
    <xf numFmtId="168" fontId="25" fillId="6" borderId="71" xfId="0" applyNumberFormat="1" applyFont="1" applyFill="1" applyBorder="1" applyAlignment="1">
      <alignment horizontal="right" vertical="center"/>
    </xf>
    <xf numFmtId="168" fontId="25" fillId="0" borderId="71" xfId="0" applyNumberFormat="1" applyFont="1" applyBorder="1" applyAlignment="1">
      <alignment horizontal="right" vertical="center"/>
    </xf>
    <xf numFmtId="168" fontId="25" fillId="0" borderId="73" xfId="0" applyNumberFormat="1" applyFont="1" applyBorder="1" applyAlignment="1">
      <alignment horizontal="right" vertical="center"/>
    </xf>
    <xf numFmtId="169" fontId="25" fillId="0" borderId="74" xfId="0" applyNumberFormat="1" applyFont="1" applyBorder="1" applyAlignment="1">
      <alignment horizontal="right" vertical="center"/>
    </xf>
    <xf numFmtId="169" fontId="25" fillId="0" borderId="30" xfId="0" applyNumberFormat="1" applyFont="1" applyBorder="1" applyAlignment="1">
      <alignment horizontal="center" vertical="center"/>
    </xf>
    <xf numFmtId="4" fontId="35" fillId="4" borderId="33" xfId="0" applyNumberFormat="1" applyFont="1" applyFill="1" applyBorder="1" applyAlignment="1">
      <alignment horizontal="center" vertical="center"/>
    </xf>
    <xf numFmtId="4" fontId="35" fillId="4" borderId="34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6" fillId="4" borderId="93" xfId="0" applyNumberFormat="1" applyFont="1" applyFill="1" applyBorder="1" applyAlignment="1">
      <alignment horizontal="centerContinuous" vertical="center"/>
    </xf>
    <xf numFmtId="0" fontId="34" fillId="0" borderId="138" xfId="0" applyFont="1" applyBorder="1" applyAlignment="1">
      <alignment horizontal="center" vertical="center"/>
    </xf>
    <xf numFmtId="0" fontId="34" fillId="0" borderId="165" xfId="0" applyFont="1" applyBorder="1" applyAlignment="1">
      <alignment horizontal="center" vertical="center"/>
    </xf>
    <xf numFmtId="0" fontId="26" fillId="4" borderId="62" xfId="0" applyFont="1" applyFill="1" applyBorder="1" applyAlignment="1">
      <alignment horizontal="centerContinuous" vertical="center"/>
    </xf>
    <xf numFmtId="0" fontId="34" fillId="0" borderId="166" xfId="0" applyFont="1" applyBorder="1" applyAlignment="1">
      <alignment horizontal="centerContinuous"/>
    </xf>
    <xf numFmtId="0" fontId="34" fillId="0" borderId="157" xfId="0" applyFont="1" applyBorder="1" applyAlignment="1">
      <alignment horizontal="centerContinuous"/>
    </xf>
    <xf numFmtId="0" fontId="34" fillId="0" borderId="167" xfId="0" applyFont="1" applyBorder="1" applyAlignment="1">
      <alignment horizontal="centerContinuous"/>
    </xf>
    <xf numFmtId="0" fontId="34" fillId="0" borderId="159" xfId="0" applyFont="1" applyBorder="1" applyAlignment="1">
      <alignment horizontal="centerContinuous"/>
    </xf>
    <xf numFmtId="168" fontId="35" fillId="4" borderId="33" xfId="0" applyNumberFormat="1" applyFont="1" applyFill="1" applyBorder="1" applyAlignment="1">
      <alignment horizontal="centerContinuous" vertical="center"/>
    </xf>
    <xf numFmtId="168" fontId="35" fillId="4" borderId="168" xfId="0" applyNumberFormat="1" applyFont="1" applyFill="1" applyBorder="1" applyAlignment="1">
      <alignment horizontal="centerContinuous" vertical="center"/>
    </xf>
    <xf numFmtId="4" fontId="34" fillId="0" borderId="74" xfId="0" applyNumberFormat="1" applyFont="1" applyBorder="1" applyAlignment="1">
      <alignment horizontal="center" vertical="center"/>
    </xf>
    <xf numFmtId="171" fontId="34" fillId="0" borderId="9" xfId="0" applyNumberFormat="1" applyFont="1" applyBorder="1" applyAlignment="1">
      <alignment horizontal="center" vertical="center"/>
    </xf>
    <xf numFmtId="171" fontId="34" fillId="0" borderId="15" xfId="0" applyNumberFormat="1" applyFont="1" applyBorder="1" applyAlignment="1">
      <alignment horizontal="center" vertical="center"/>
    </xf>
    <xf numFmtId="171" fontId="34" fillId="0" borderId="11" xfId="0" applyNumberFormat="1" applyFont="1" applyBorder="1" applyAlignment="1">
      <alignment horizontal="center" vertical="center"/>
    </xf>
    <xf numFmtId="185" fontId="8" fillId="0" borderId="0" xfId="0" applyNumberFormat="1" applyFont="1"/>
    <xf numFmtId="171" fontId="34" fillId="0" borderId="164" xfId="0" applyNumberFormat="1" applyFont="1" applyBorder="1" applyAlignment="1">
      <alignment horizontal="center" vertical="center"/>
    </xf>
    <xf numFmtId="171" fontId="34" fillId="0" borderId="72" xfId="0" applyNumberFormat="1" applyFont="1" applyBorder="1" applyAlignment="1">
      <alignment horizontal="center" vertical="center"/>
    </xf>
    <xf numFmtId="171" fontId="34" fillId="0" borderId="90" xfId="0" applyNumberFormat="1" applyFont="1" applyBorder="1" applyAlignment="1">
      <alignment horizontal="center" vertical="center"/>
    </xf>
    <xf numFmtId="171" fontId="34" fillId="0" borderId="74" xfId="0" applyNumberFormat="1" applyFont="1" applyBorder="1" applyAlignment="1">
      <alignment horizontal="center" vertical="center"/>
    </xf>
    <xf numFmtId="171" fontId="34" fillId="0" borderId="75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5" xfId="0" applyFont="1" applyBorder="1" applyAlignment="1">
      <alignment horizontal="centerContinuous"/>
    </xf>
    <xf numFmtId="0" fontId="34" fillId="0" borderId="169" xfId="0" applyFont="1" applyBorder="1" applyAlignment="1">
      <alignment horizontal="centerContinuous"/>
    </xf>
    <xf numFmtId="0" fontId="34" fillId="0" borderId="39" xfId="0" applyFont="1" applyBorder="1" applyAlignment="1">
      <alignment horizontal="centerContinuous"/>
    </xf>
    <xf numFmtId="0" fontId="34" fillId="0" borderId="170" xfId="0" applyFont="1" applyBorder="1" applyAlignment="1">
      <alignment horizontal="centerContinuous"/>
    </xf>
    <xf numFmtId="3" fontId="34" fillId="0" borderId="27" xfId="0" applyNumberFormat="1" applyFont="1" applyBorder="1"/>
    <xf numFmtId="3" fontId="34" fillId="0" borderId="60" xfId="0" applyNumberFormat="1" applyFont="1" applyBorder="1"/>
    <xf numFmtId="3" fontId="34" fillId="0" borderId="28" xfId="0" applyNumberFormat="1" applyFont="1" applyBorder="1"/>
    <xf numFmtId="3" fontId="34" fillId="0" borderId="44" xfId="0" applyNumberFormat="1" applyFont="1" applyBorder="1"/>
    <xf numFmtId="3" fontId="34" fillId="0" borderId="0" xfId="0" applyNumberFormat="1" applyFont="1" applyBorder="1"/>
    <xf numFmtId="3" fontId="34" fillId="0" borderId="45" xfId="0" applyNumberFormat="1" applyFont="1" applyBorder="1"/>
    <xf numFmtId="3" fontId="34" fillId="0" borderId="46" xfId="0" applyNumberFormat="1" applyFont="1" applyBorder="1"/>
    <xf numFmtId="3" fontId="34" fillId="0" borderId="133" xfId="0" applyNumberFormat="1" applyFont="1" applyBorder="1"/>
    <xf numFmtId="3" fontId="34" fillId="0" borderId="47" xfId="0" applyNumberFormat="1" applyFont="1" applyBorder="1"/>
    <xf numFmtId="3" fontId="34" fillId="0" borderId="48" xfId="0" applyNumberFormat="1" applyFont="1" applyBorder="1"/>
    <xf numFmtId="3" fontId="34" fillId="0" borderId="86" xfId="0" applyNumberFormat="1" applyFont="1" applyBorder="1"/>
    <xf numFmtId="3" fontId="34" fillId="0" borderId="49" xfId="0" applyNumberFormat="1" applyFont="1" applyBorder="1"/>
    <xf numFmtId="4" fontId="34" fillId="9" borderId="48" xfId="0" applyNumberFormat="1" applyFont="1" applyFill="1" applyBorder="1" applyAlignment="1">
      <alignment horizontal="center" vertical="center"/>
    </xf>
    <xf numFmtId="4" fontId="34" fillId="9" borderId="49" xfId="0" applyNumberFormat="1" applyFont="1" applyFill="1" applyBorder="1" applyAlignment="1">
      <alignment horizontal="center" vertical="center"/>
    </xf>
    <xf numFmtId="0" fontId="34" fillId="0" borderId="48" xfId="0" applyFont="1" applyBorder="1"/>
    <xf numFmtId="0" fontId="34" fillId="0" borderId="86" xfId="0" applyFont="1" applyBorder="1"/>
    <xf numFmtId="0" fontId="34" fillId="0" borderId="49" xfId="0" applyFont="1" applyBorder="1"/>
    <xf numFmtId="0" fontId="34" fillId="0" borderId="60" xfId="0" applyFont="1" applyBorder="1"/>
    <xf numFmtId="0" fontId="34" fillId="0" borderId="28" xfId="0" applyFont="1" applyBorder="1"/>
    <xf numFmtId="0" fontId="34" fillId="0" borderId="0" xfId="0" applyFont="1" applyBorder="1"/>
    <xf numFmtId="0" fontId="34" fillId="0" borderId="45" xfId="0" applyFont="1" applyBorder="1"/>
    <xf numFmtId="0" fontId="34" fillId="0" borderId="133" xfId="0" applyFont="1" applyBorder="1"/>
    <xf numFmtId="0" fontId="34" fillId="0" borderId="47" xfId="0" applyFont="1" applyBorder="1"/>
    <xf numFmtId="0" fontId="34" fillId="0" borderId="27" xfId="0" applyFont="1" applyBorder="1"/>
    <xf numFmtId="0" fontId="34" fillId="0" borderId="44" xfId="0" applyFont="1" applyBorder="1"/>
    <xf numFmtId="0" fontId="34" fillId="0" borderId="46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74" fontId="33" fillId="5" borderId="15" xfId="0" applyNumberFormat="1" applyFont="1" applyFill="1" applyBorder="1" applyAlignment="1">
      <alignment horizontal="right" vertical="center"/>
    </xf>
    <xf numFmtId="174" fontId="33" fillId="5" borderId="17" xfId="0" applyNumberFormat="1" applyFont="1" applyFill="1" applyBorder="1" applyAlignment="1">
      <alignment horizontal="right" vertical="center"/>
    </xf>
    <xf numFmtId="175" fontId="33" fillId="5" borderId="15" xfId="0" applyNumberFormat="1" applyFont="1" applyFill="1" applyBorder="1" applyAlignment="1">
      <alignment horizontal="right" vertical="center"/>
    </xf>
    <xf numFmtId="175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8" fontId="33" fillId="5" borderId="13" xfId="0" applyNumberFormat="1" applyFont="1" applyFill="1" applyBorder="1" applyAlignment="1">
      <alignment horizontal="right" vertical="center"/>
    </xf>
    <xf numFmtId="168" fontId="33" fillId="5" borderId="17" xfId="0" applyNumberFormat="1" applyFont="1" applyFill="1" applyBorder="1" applyAlignment="1">
      <alignment horizontal="right" vertical="center"/>
    </xf>
    <xf numFmtId="4" fontId="35" fillId="4" borderId="76" xfId="0" applyNumberFormat="1" applyFont="1" applyFill="1" applyBorder="1" applyAlignment="1">
      <alignment horizontal="center" vertical="center"/>
    </xf>
    <xf numFmtId="4" fontId="35" fillId="4" borderId="77" xfId="0" applyNumberFormat="1" applyFont="1" applyFill="1" applyBorder="1" applyAlignment="1">
      <alignment horizontal="center" vertical="center"/>
    </xf>
    <xf numFmtId="4" fontId="33" fillId="5" borderId="59" xfId="0" applyNumberFormat="1" applyFont="1" applyFill="1" applyBorder="1" applyAlignment="1">
      <alignment horizontal="center" vertical="center"/>
    </xf>
    <xf numFmtId="4" fontId="33" fillId="5" borderId="79" xfId="0" applyNumberFormat="1" applyFont="1" applyFill="1" applyBorder="1" applyAlignment="1">
      <alignment horizontal="center" vertical="center"/>
    </xf>
    <xf numFmtId="4" fontId="33" fillId="5" borderId="80" xfId="0" applyNumberFormat="1" applyFont="1" applyFill="1" applyBorder="1" applyAlignment="1">
      <alignment horizontal="center" vertical="center"/>
    </xf>
    <xf numFmtId="4" fontId="33" fillId="5" borderId="81" xfId="0" applyNumberFormat="1" applyFont="1" applyFill="1" applyBorder="1" applyAlignment="1">
      <alignment horizontal="center" vertical="center"/>
    </xf>
    <xf numFmtId="4" fontId="33" fillId="5" borderId="82" xfId="0" applyNumberFormat="1" applyFont="1" applyFill="1" applyBorder="1" applyAlignment="1">
      <alignment horizontal="center" vertical="center"/>
    </xf>
    <xf numFmtId="4" fontId="5" fillId="0" borderId="68" xfId="0" applyNumberFormat="1" applyFont="1" applyBorder="1" applyAlignment="1">
      <alignment horizontal="center" vertical="center"/>
    </xf>
    <xf numFmtId="181" fontId="15" fillId="0" borderId="69" xfId="0" applyNumberFormat="1" applyFont="1" applyBorder="1" applyAlignment="1">
      <alignment horizontal="right" vertical="center"/>
    </xf>
    <xf numFmtId="181" fontId="15" fillId="0" borderId="16" xfId="0" applyNumberFormat="1" applyFont="1" applyBorder="1" applyAlignment="1">
      <alignment horizontal="right" vertical="center"/>
    </xf>
    <xf numFmtId="181" fontId="15" fillId="0" borderId="74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81" fontId="14" fillId="0" borderId="15" xfId="0" applyNumberFormat="1" applyFont="1" applyBorder="1" applyAlignment="1">
      <alignment horizontal="right" vertical="center"/>
    </xf>
    <xf numFmtId="181" fontId="14" fillId="0" borderId="16" xfId="0" applyNumberFormat="1" applyFont="1" applyBorder="1" applyAlignment="1">
      <alignment horizontal="right" vertical="center"/>
    </xf>
    <xf numFmtId="181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81" fontId="15" fillId="0" borderId="15" xfId="0" applyNumberFormat="1" applyFont="1" applyBorder="1" applyAlignment="1">
      <alignment horizontal="right" vertical="center"/>
    </xf>
    <xf numFmtId="181" fontId="15" fillId="0" borderId="17" xfId="0" applyNumberFormat="1" applyFont="1" applyBorder="1" applyAlignment="1">
      <alignment horizontal="right" vertical="center"/>
    </xf>
    <xf numFmtId="10" fontId="34" fillId="0" borderId="59" xfId="0" applyNumberFormat="1" applyFont="1" applyBorder="1" applyAlignment="1">
      <alignment horizontal="right" vertical="center"/>
    </xf>
    <xf numFmtId="4" fontId="34" fillId="9" borderId="171" xfId="0" applyNumberFormat="1" applyFont="1" applyFill="1" applyBorder="1" applyAlignment="1">
      <alignment horizontal="center" vertical="center"/>
    </xf>
    <xf numFmtId="168" fontId="34" fillId="0" borderId="68" xfId="0" applyNumberFormat="1" applyFont="1" applyBorder="1" applyAlignment="1">
      <alignment horizontal="right" vertical="center"/>
    </xf>
    <xf numFmtId="4" fontId="34" fillId="9" borderId="172" xfId="0" applyNumberFormat="1" applyFont="1" applyFill="1" applyBorder="1" applyAlignment="1">
      <alignment horizontal="center" vertical="center"/>
    </xf>
    <xf numFmtId="168" fontId="34" fillId="0" borderId="71" xfId="0" applyNumberFormat="1" applyFont="1" applyBorder="1" applyAlignment="1">
      <alignment horizontal="right" vertical="center"/>
    </xf>
    <xf numFmtId="4" fontId="34" fillId="0" borderId="173" xfId="0" applyNumberFormat="1" applyFont="1" applyBorder="1" applyAlignment="1">
      <alignment horizontal="center" vertical="center"/>
    </xf>
    <xf numFmtId="4" fontId="34" fillId="0" borderId="72" xfId="0" applyNumberFormat="1" applyFont="1" applyBorder="1" applyAlignment="1">
      <alignment horizontal="center" vertical="center"/>
    </xf>
    <xf numFmtId="168" fontId="34" fillId="0" borderId="73" xfId="0" applyNumberFormat="1" applyFont="1" applyBorder="1" applyAlignment="1">
      <alignment horizontal="right" vertical="center"/>
    </xf>
    <xf numFmtId="10" fontId="34" fillId="0" borderId="74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6" fontId="15" fillId="0" borderId="16" xfId="0" applyNumberFormat="1" applyFont="1" applyBorder="1" applyAlignment="1">
      <alignment horizontal="center" vertical="center"/>
    </xf>
    <xf numFmtId="176" fontId="15" fillId="0" borderId="17" xfId="0" applyNumberFormat="1" applyFont="1" applyBorder="1" applyAlignment="1">
      <alignment horizontal="center" vertical="center"/>
    </xf>
    <xf numFmtId="176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1" fontId="33" fillId="5" borderId="15" xfId="0" applyNumberFormat="1" applyFont="1" applyFill="1" applyBorder="1" applyAlignment="1">
      <alignment horizontal="center" vertical="center"/>
    </xf>
    <xf numFmtId="171" fontId="33" fillId="5" borderId="17" xfId="0" applyNumberFormat="1" applyFont="1" applyFill="1" applyBorder="1" applyAlignment="1">
      <alignment horizontal="centerContinuous" vertical="center"/>
    </xf>
    <xf numFmtId="176" fontId="11" fillId="0" borderId="15" xfId="0" applyNumberFormat="1" applyFont="1" applyBorder="1" applyAlignment="1">
      <alignment horizontal="center" vertical="center"/>
    </xf>
    <xf numFmtId="176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71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71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4" fillId="0" borderId="9" xfId="9" applyNumberFormat="1" applyFont="1" applyBorder="1" applyAlignment="1" applyProtection="1">
      <alignment horizontal="right" vertical="center"/>
      <protection hidden="1"/>
    </xf>
    <xf numFmtId="168" fontId="4" fillId="0" borderId="11" xfId="9" applyNumberFormat="1" applyFont="1" applyBorder="1" applyAlignment="1" applyProtection="1">
      <alignment horizontal="right" vertical="center"/>
      <protection hidden="1"/>
    </xf>
    <xf numFmtId="168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8" xfId="0" applyFont="1" applyFill="1" applyBorder="1" applyAlignment="1">
      <alignment horizontal="centerContinuous" vertical="center"/>
    </xf>
    <xf numFmtId="0" fontId="35" fillId="3" borderId="94" xfId="0" applyFont="1" applyFill="1" applyBorder="1" applyAlignment="1">
      <alignment horizontal="centerContinuous" vertical="center"/>
    </xf>
    <xf numFmtId="169" fontId="4" fillId="0" borderId="15" xfId="37" applyNumberFormat="1" applyFont="1" applyBorder="1" applyAlignment="1" applyProtection="1">
      <alignment horizontal="center" vertical="center"/>
      <protection hidden="1"/>
    </xf>
    <xf numFmtId="169" fontId="4" fillId="0" borderId="15" xfId="0" applyNumberFormat="1" applyFont="1" applyBorder="1" applyAlignment="1">
      <alignment horizontal="center" vertical="center"/>
    </xf>
    <xf numFmtId="169" fontId="4" fillId="0" borderId="16" xfId="37" applyNumberFormat="1" applyFont="1" applyBorder="1" applyAlignment="1" applyProtection="1">
      <alignment horizontal="center" vertical="center"/>
      <protection hidden="1"/>
    </xf>
    <xf numFmtId="169" fontId="4" fillId="0" borderId="16" xfId="0" applyNumberFormat="1" applyFont="1" applyBorder="1" applyAlignment="1">
      <alignment horizontal="center" vertical="center"/>
    </xf>
    <xf numFmtId="169" fontId="4" fillId="0" borderId="17" xfId="37" applyNumberFormat="1" applyFont="1" applyBorder="1" applyAlignment="1" applyProtection="1">
      <alignment horizontal="center" vertical="center"/>
      <protection hidden="1"/>
    </xf>
    <xf numFmtId="169" fontId="4" fillId="0" borderId="17" xfId="0" applyNumberFormat="1" applyFont="1" applyBorder="1" applyAlignment="1">
      <alignment horizontal="center" vertical="center"/>
    </xf>
    <xf numFmtId="168" fontId="10" fillId="0" borderId="10" xfId="0" applyNumberFormat="1" applyFont="1" applyBorder="1" applyAlignment="1">
      <alignment horizontal="center" vertical="center"/>
    </xf>
    <xf numFmtId="0" fontId="26" fillId="4" borderId="179" xfId="0" applyFont="1" applyFill="1" applyBorder="1" applyAlignment="1">
      <alignment horizontal="center" vertical="center"/>
    </xf>
    <xf numFmtId="0" fontId="26" fillId="4" borderId="180" xfId="0" applyFont="1" applyFill="1" applyBorder="1" applyAlignment="1">
      <alignment horizontal="center" vertical="center"/>
    </xf>
    <xf numFmtId="0" fontId="26" fillId="4" borderId="181" xfId="0" applyFont="1" applyFill="1" applyBorder="1" applyAlignment="1">
      <alignment horizontal="center" vertical="center"/>
    </xf>
    <xf numFmtId="168" fontId="11" fillId="0" borderId="163" xfId="0" applyNumberFormat="1" applyFont="1" applyBorder="1" applyAlignment="1">
      <alignment horizontal="right" vertical="center"/>
    </xf>
    <xf numFmtId="4" fontId="11" fillId="0" borderId="164" xfId="0" applyNumberFormat="1" applyFont="1" applyBorder="1" applyAlignment="1">
      <alignment horizontal="center" vertical="center"/>
    </xf>
    <xf numFmtId="168" fontId="11" fillId="0" borderId="71" xfId="0" applyNumberFormat="1" applyFont="1" applyBorder="1" applyAlignment="1">
      <alignment horizontal="right" vertical="center"/>
    </xf>
    <xf numFmtId="4" fontId="11" fillId="0" borderId="72" xfId="0" applyNumberFormat="1" applyFont="1" applyBorder="1" applyAlignment="1">
      <alignment horizontal="center" vertical="center"/>
    </xf>
    <xf numFmtId="168" fontId="11" fillId="0" borderId="73" xfId="0" applyNumberFormat="1" applyFont="1" applyBorder="1" applyAlignment="1">
      <alignment horizontal="right" vertical="center"/>
    </xf>
    <xf numFmtId="176" fontId="11" fillId="0" borderId="74" xfId="0" applyNumberFormat="1" applyFont="1" applyBorder="1" applyAlignment="1">
      <alignment horizontal="center" vertical="center"/>
    </xf>
    <xf numFmtId="4" fontId="11" fillId="0" borderId="75" xfId="0" applyNumberFormat="1" applyFont="1" applyBorder="1" applyAlignment="1">
      <alignment horizontal="center" vertical="center"/>
    </xf>
    <xf numFmtId="171" fontId="0" fillId="0" borderId="0" xfId="61" applyNumberFormat="1" applyFont="1"/>
    <xf numFmtId="168" fontId="3" fillId="0" borderId="9" xfId="0" applyNumberFormat="1" applyFont="1" applyBorder="1" applyAlignment="1">
      <alignment horizontal="right" vertical="center"/>
    </xf>
    <xf numFmtId="168" fontId="3" fillId="0" borderId="11" xfId="0" applyNumberFormat="1" applyFont="1" applyBorder="1" applyAlignment="1">
      <alignment horizontal="right" vertical="center"/>
    </xf>
    <xf numFmtId="168" fontId="3" fillId="0" borderId="13" xfId="0" applyNumberFormat="1" applyFont="1" applyBorder="1" applyAlignment="1">
      <alignment horizontal="right" vertical="center"/>
    </xf>
    <xf numFmtId="4" fontId="2" fillId="0" borderId="0" xfId="0" applyNumberFormat="1" applyFont="1" applyBorder="1" applyAlignment="1">
      <alignment horizontal="center" vertical="center"/>
    </xf>
    <xf numFmtId="11" fontId="15" fillId="0" borderId="0" xfId="0" applyNumberFormat="1" applyFont="1" applyBorder="1" applyAlignment="1">
      <alignment horizontal="center" vertical="center"/>
    </xf>
    <xf numFmtId="168" fontId="34" fillId="0" borderId="62" xfId="0" applyNumberFormat="1" applyFont="1" applyBorder="1" applyAlignment="1">
      <alignment horizontal="right" vertical="center"/>
    </xf>
    <xf numFmtId="168" fontId="4" fillId="0" borderId="68" xfId="9" applyNumberFormat="1" applyFont="1" applyBorder="1" applyAlignment="1" applyProtection="1">
      <alignment horizontal="right" vertical="center"/>
      <protection hidden="1"/>
    </xf>
    <xf numFmtId="169" fontId="4" fillId="0" borderId="69" xfId="0" applyNumberFormat="1" applyFont="1" applyBorder="1" applyAlignment="1">
      <alignment horizontal="center" vertical="center"/>
    </xf>
    <xf numFmtId="169" fontId="4" fillId="0" borderId="70" xfId="0" applyNumberFormat="1" applyFont="1" applyBorder="1" applyAlignment="1">
      <alignment horizontal="center" vertical="center"/>
    </xf>
    <xf numFmtId="168" fontId="4" fillId="0" borderId="71" xfId="9" applyNumberFormat="1" applyFont="1" applyBorder="1" applyAlignment="1" applyProtection="1">
      <alignment horizontal="right" vertical="center"/>
      <protection hidden="1"/>
    </xf>
    <xf numFmtId="169" fontId="4" fillId="0" borderId="72" xfId="0" applyNumberFormat="1" applyFont="1" applyBorder="1" applyAlignment="1">
      <alignment horizontal="center" vertical="center"/>
    </xf>
    <xf numFmtId="168" fontId="4" fillId="0" borderId="73" xfId="9" applyNumberFormat="1" applyFont="1" applyBorder="1" applyAlignment="1" applyProtection="1">
      <alignment horizontal="right" vertical="center"/>
      <protection hidden="1"/>
    </xf>
    <xf numFmtId="169" fontId="4" fillId="0" borderId="74" xfId="0" applyNumberFormat="1" applyFont="1" applyBorder="1" applyAlignment="1">
      <alignment horizontal="center" vertical="center"/>
    </xf>
    <xf numFmtId="169" fontId="4" fillId="0" borderId="75" xfId="0" applyNumberFormat="1" applyFont="1" applyBorder="1" applyAlignment="1">
      <alignment horizontal="center" vertical="center"/>
    </xf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5" xfId="0" applyFont="1" applyFill="1" applyBorder="1" applyAlignment="1">
      <alignment horizontal="center" vertical="center" textRotation="90"/>
    </xf>
    <xf numFmtId="0" fontId="26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2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9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06" t="str" cm="1">
        <f t="array" aca="1" ref="B10" ca="1">_xll.d.TestUtils_And(C19:C21,C24:C25,C28,C31:C34,C39:C42)</f>
        <v>Error</v>
      </c>
      <c r="C10" s="806"/>
    </row>
    <row r="11" spans="2:9" s="455" customFormat="1" ht="15" customHeight="1" x14ac:dyDescent="0.25">
      <c r="B11" s="807"/>
      <c r="C11" s="807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Ok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 ca="1"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Error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91" priority="41" stopIfTrue="1" operator="equal">
      <formula>"ERROR"</formula>
    </cfRule>
    <cfRule type="cellIs" dxfId="790" priority="42" stopIfTrue="1" operator="equal">
      <formula>"OK"</formula>
    </cfRule>
    <cfRule type="cellIs" dxfId="789" priority="43" stopIfTrue="1" operator="equal">
      <formula>"WARNING"</formula>
    </cfRule>
  </conditionalFormatting>
  <conditionalFormatting sqref="C20">
    <cfRule type="cellIs" dxfId="788" priority="34" stopIfTrue="1" operator="equal">
      <formula>"ERROR"</formula>
    </cfRule>
    <cfRule type="cellIs" dxfId="787" priority="35" stopIfTrue="1" operator="equal">
      <formula>"OK"</formula>
    </cfRule>
    <cfRule type="cellIs" dxfId="786" priority="36" stopIfTrue="1" operator="equal">
      <formula>"WARNING"</formula>
    </cfRule>
  </conditionalFormatting>
  <conditionalFormatting sqref="C21">
    <cfRule type="cellIs" dxfId="785" priority="31" stopIfTrue="1" operator="equal">
      <formula>"ERROR"</formula>
    </cfRule>
    <cfRule type="cellIs" dxfId="784" priority="32" stopIfTrue="1" operator="equal">
      <formula>"OK"</formula>
    </cfRule>
    <cfRule type="cellIs" dxfId="783" priority="33" stopIfTrue="1" operator="equal">
      <formula>"WARNING"</formula>
    </cfRule>
  </conditionalFormatting>
  <conditionalFormatting sqref="D6">
    <cfRule type="cellIs" dxfId="782" priority="47" stopIfTrue="1" operator="equal">
      <formula>"ERROR"</formula>
    </cfRule>
    <cfRule type="cellIs" dxfId="781" priority="48" stopIfTrue="1" operator="equal">
      <formula>"OK"</formula>
    </cfRule>
    <cfRule type="cellIs" dxfId="780" priority="49" stopIfTrue="1" operator="equal">
      <formula>"WARNING"</formula>
    </cfRule>
  </conditionalFormatting>
  <conditionalFormatting sqref="C33">
    <cfRule type="cellIs" dxfId="779" priority="28" stopIfTrue="1" operator="equal">
      <formula>"ERROR"</formula>
    </cfRule>
    <cfRule type="cellIs" dxfId="778" priority="29" stopIfTrue="1" operator="equal">
      <formula>"OK"</formula>
    </cfRule>
    <cfRule type="cellIs" dxfId="777" priority="30" stopIfTrue="1" operator="equal">
      <formula>"WARNING"</formula>
    </cfRule>
  </conditionalFormatting>
  <conditionalFormatting sqref="B10:C11">
    <cfRule type="cellIs" dxfId="776" priority="25" stopIfTrue="1" operator="equal">
      <formula>"ERROR"</formula>
    </cfRule>
    <cfRule type="cellIs" dxfId="775" priority="26" stopIfTrue="1" operator="equal">
      <formula>"OK"</formula>
    </cfRule>
    <cfRule type="cellIs" dxfId="774" priority="27" stopIfTrue="1" operator="equal">
      <formula>"WARNING"</formula>
    </cfRule>
  </conditionalFormatting>
  <conditionalFormatting sqref="C31:C32">
    <cfRule type="cellIs" dxfId="773" priority="50" stopIfTrue="1" operator="equal">
      <formula>"ERROR"</formula>
    </cfRule>
    <cfRule type="cellIs" dxfId="772" priority="51" stopIfTrue="1" operator="equal">
      <formula>"OK"</formula>
    </cfRule>
    <cfRule type="cellIs" dxfId="771" priority="52" stopIfTrue="1" operator="equal">
      <formula>"WARNING"</formula>
    </cfRule>
  </conditionalFormatting>
  <conditionalFormatting sqref="C34">
    <cfRule type="cellIs" dxfId="770" priority="53" stopIfTrue="1" operator="equal">
      <formula>"ERROR"</formula>
    </cfRule>
    <cfRule type="cellIs" dxfId="769" priority="54" stopIfTrue="1" operator="equal">
      <formula>"OK"</formula>
    </cfRule>
    <cfRule type="cellIs" dxfId="768" priority="55" stopIfTrue="1" operator="equal">
      <formula>"WARNING"</formula>
    </cfRule>
  </conditionalFormatting>
  <conditionalFormatting sqref="C35">
    <cfRule type="cellIs" dxfId="767" priority="16" stopIfTrue="1" operator="equal">
      <formula>"ERROR"</formula>
    </cfRule>
    <cfRule type="cellIs" dxfId="766" priority="17" stopIfTrue="1" operator="equal">
      <formula>"OK"</formula>
    </cfRule>
    <cfRule type="cellIs" dxfId="765" priority="18" stopIfTrue="1" operator="equal">
      <formula>"WARNING"</formula>
    </cfRule>
  </conditionalFormatting>
  <conditionalFormatting sqref="C24">
    <cfRule type="cellIs" dxfId="764" priority="13" stopIfTrue="1" operator="equal">
      <formula>"ERROR"</formula>
    </cfRule>
    <cfRule type="cellIs" dxfId="763" priority="14" stopIfTrue="1" operator="equal">
      <formula>"OK"</formula>
    </cfRule>
    <cfRule type="cellIs" dxfId="762" priority="15" stopIfTrue="1" operator="equal">
      <formula>"WARNING"</formula>
    </cfRule>
  </conditionalFormatting>
  <conditionalFormatting sqref="C28">
    <cfRule type="cellIs" dxfId="761" priority="10" stopIfTrue="1" operator="equal">
      <formula>"ERROR"</formula>
    </cfRule>
    <cfRule type="cellIs" dxfId="760" priority="11" stopIfTrue="1" operator="equal">
      <formula>"OK"</formula>
    </cfRule>
    <cfRule type="cellIs" dxfId="759" priority="12" stopIfTrue="1" operator="equal">
      <formula>"WARNING"</formula>
    </cfRule>
  </conditionalFormatting>
  <conditionalFormatting sqref="C39:C40">
    <cfRule type="cellIs" dxfId="758" priority="7" stopIfTrue="1" operator="equal">
      <formula>"ERROR"</formula>
    </cfRule>
    <cfRule type="cellIs" dxfId="757" priority="8" stopIfTrue="1" operator="equal">
      <formula>"OK"</formula>
    </cfRule>
    <cfRule type="cellIs" dxfId="756" priority="9" stopIfTrue="1" operator="equal">
      <formula>"WARNING"</formula>
    </cfRule>
  </conditionalFormatting>
  <conditionalFormatting sqref="C42">
    <cfRule type="cellIs" dxfId="755" priority="4" stopIfTrue="1" operator="equal">
      <formula>"ERROR"</formula>
    </cfRule>
    <cfRule type="cellIs" dxfId="754" priority="5" stopIfTrue="1" operator="equal">
      <formula>"OK"</formula>
    </cfRule>
    <cfRule type="cellIs" dxfId="753" priority="6" stopIfTrue="1" operator="equal">
      <formula>"WARNING"</formula>
    </cfRule>
  </conditionalFormatting>
  <conditionalFormatting sqref="C41">
    <cfRule type="cellIs" dxfId="752" priority="1" stopIfTrue="1" operator="equal">
      <formula>"ERROR"</formula>
    </cfRule>
    <cfRule type="cellIs" dxfId="751" priority="2" stopIfTrue="1" operator="equal">
      <formula>"OK"</formula>
    </cfRule>
    <cfRule type="cellIs" dxfId="750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49" priority="165" stopIfTrue="1" operator="equal">
      <formula>"ERROR"</formula>
    </cfRule>
    <cfRule type="cellIs" dxfId="748" priority="166" stopIfTrue="1" operator="equal">
      <formula>"OK"</formula>
    </cfRule>
    <cfRule type="cellIs" dxfId="747" priority="167" stopIfTrue="1" operator="equal">
      <formula>"WARNING"</formula>
    </cfRule>
  </conditionalFormatting>
  <conditionalFormatting sqref="C4">
    <cfRule type="cellIs" dxfId="746" priority="139" stopIfTrue="1" operator="equal">
      <formula>"ERROR"</formula>
    </cfRule>
    <cfRule type="cellIs" dxfId="745" priority="140" stopIfTrue="1" operator="equal">
      <formula>"OK"</formula>
    </cfRule>
    <cfRule type="cellIs" dxfId="744" priority="141" stopIfTrue="1" operator="equal">
      <formula>"WARNING"</formula>
    </cfRule>
  </conditionalFormatting>
  <conditionalFormatting sqref="C74">
    <cfRule type="cellIs" dxfId="743" priority="133" stopIfTrue="1" operator="equal">
      <formula>"ERROR"</formula>
    </cfRule>
  </conditionalFormatting>
  <conditionalFormatting sqref="C74">
    <cfRule type="cellIs" dxfId="742" priority="134" stopIfTrue="1" operator="equal">
      <formula>"OK"</formula>
    </cfRule>
  </conditionalFormatting>
  <conditionalFormatting sqref="C74">
    <cfRule type="cellIs" dxfId="741" priority="135" stopIfTrue="1" operator="equal">
      <formula>"WARNING"</formula>
    </cfRule>
  </conditionalFormatting>
  <conditionalFormatting sqref="G79">
    <cfRule type="cellIs" dxfId="740" priority="168" stopIfTrue="1" operator="equal">
      <formula>"ERROR"</formula>
    </cfRule>
    <cfRule type="cellIs" dxfId="739" priority="169" stopIfTrue="1" operator="equal">
      <formula>"OK"</formula>
    </cfRule>
    <cfRule type="cellIs" dxfId="738" priority="170" stopIfTrue="1" operator="equal">
      <formula>"WARNING"</formula>
    </cfRule>
  </conditionalFormatting>
  <conditionalFormatting sqref="U79">
    <cfRule type="cellIs" dxfId="737" priority="130" stopIfTrue="1" operator="equal">
      <formula>"ERROR"</formula>
    </cfRule>
    <cfRule type="cellIs" dxfId="736" priority="131" stopIfTrue="1" operator="equal">
      <formula>"OK"</formula>
    </cfRule>
    <cfRule type="cellIs" dxfId="735" priority="132" stopIfTrue="1" operator="equal">
      <formula>"WARNING"</formula>
    </cfRule>
  </conditionalFormatting>
  <conditionalFormatting sqref="AD79">
    <cfRule type="cellIs" dxfId="734" priority="127" stopIfTrue="1" operator="equal">
      <formula>"ERROR"</formula>
    </cfRule>
    <cfRule type="cellIs" dxfId="733" priority="128" stopIfTrue="1" operator="equal">
      <formula>"OK"</formula>
    </cfRule>
    <cfRule type="cellIs" dxfId="732" priority="129" stopIfTrue="1" operator="equal">
      <formula>"WARNING"</formula>
    </cfRule>
  </conditionalFormatting>
  <conditionalFormatting sqref="G183:G191">
    <cfRule type="cellIs" dxfId="731" priority="171" stopIfTrue="1" operator="equal">
      <formula>"ERROR"</formula>
    </cfRule>
    <cfRule type="cellIs" dxfId="730" priority="172" stopIfTrue="1" operator="equal">
      <formula>"OK"</formula>
    </cfRule>
    <cfRule type="cellIs" dxfId="729" priority="173" stopIfTrue="1" operator="equal">
      <formula>"WARNING"</formula>
    </cfRule>
  </conditionalFormatting>
  <conditionalFormatting sqref="C178">
    <cfRule type="cellIs" dxfId="728" priority="124" stopIfTrue="1" operator="equal">
      <formula>"ERROR"</formula>
    </cfRule>
  </conditionalFormatting>
  <conditionalFormatting sqref="C178">
    <cfRule type="cellIs" dxfId="727" priority="125" stopIfTrue="1" operator="equal">
      <formula>"OK"</formula>
    </cfRule>
  </conditionalFormatting>
  <conditionalFormatting sqref="C178">
    <cfRule type="cellIs" dxfId="726" priority="126" stopIfTrue="1" operator="equal">
      <formula>"WARNING"</formula>
    </cfRule>
  </conditionalFormatting>
  <conditionalFormatting sqref="N183:N200">
    <cfRule type="cellIs" dxfId="725" priority="121" stopIfTrue="1" operator="equal">
      <formula>"ERROR"</formula>
    </cfRule>
    <cfRule type="cellIs" dxfId="724" priority="122" stopIfTrue="1" operator="equal">
      <formula>"OK"</formula>
    </cfRule>
    <cfRule type="cellIs" dxfId="723" priority="123" stopIfTrue="1" operator="equal">
      <formula>"WARNING"</formula>
    </cfRule>
  </conditionalFormatting>
  <conditionalFormatting sqref="AQ79">
    <cfRule type="cellIs" dxfId="722" priority="118" stopIfTrue="1" operator="equal">
      <formula>"ERROR"</formula>
    </cfRule>
    <cfRule type="cellIs" dxfId="721" priority="119" stopIfTrue="1" operator="equal">
      <formula>"OK"</formula>
    </cfRule>
    <cfRule type="cellIs" dxfId="720" priority="120" stopIfTrue="1" operator="equal">
      <formula>"WARNING"</formula>
    </cfRule>
  </conditionalFormatting>
  <conditionalFormatting sqref="C89">
    <cfRule type="cellIs" dxfId="719" priority="112" stopIfTrue="1" operator="equal">
      <formula>"ERROR"</formula>
    </cfRule>
  </conditionalFormatting>
  <conditionalFormatting sqref="C89">
    <cfRule type="cellIs" dxfId="718" priority="113" stopIfTrue="1" operator="equal">
      <formula>"OK"</formula>
    </cfRule>
  </conditionalFormatting>
  <conditionalFormatting sqref="C89">
    <cfRule type="cellIs" dxfId="717" priority="114" stopIfTrue="1" operator="equal">
      <formula>"WARNING"</formula>
    </cfRule>
  </conditionalFormatting>
  <conditionalFormatting sqref="G94">
    <cfRule type="cellIs" dxfId="716" priority="115" stopIfTrue="1" operator="equal">
      <formula>"ERROR"</formula>
    </cfRule>
    <cfRule type="cellIs" dxfId="715" priority="116" stopIfTrue="1" operator="equal">
      <formula>"OK"</formula>
    </cfRule>
    <cfRule type="cellIs" dxfId="714" priority="117" stopIfTrue="1" operator="equal">
      <formula>"WARNING"</formula>
    </cfRule>
  </conditionalFormatting>
  <conditionalFormatting sqref="N94">
    <cfRule type="cellIs" dxfId="713" priority="109" stopIfTrue="1" operator="equal">
      <formula>"ERROR"</formula>
    </cfRule>
    <cfRule type="cellIs" dxfId="712" priority="110" stopIfTrue="1" operator="equal">
      <formula>"OK"</formula>
    </cfRule>
    <cfRule type="cellIs" dxfId="711" priority="111" stopIfTrue="1" operator="equal">
      <formula>"WARNING"</formula>
    </cfRule>
  </conditionalFormatting>
  <conditionalFormatting sqref="W94">
    <cfRule type="cellIs" dxfId="710" priority="106" stopIfTrue="1" operator="equal">
      <formula>"ERROR"</formula>
    </cfRule>
    <cfRule type="cellIs" dxfId="709" priority="107" stopIfTrue="1" operator="equal">
      <formula>"OK"</formula>
    </cfRule>
    <cfRule type="cellIs" dxfId="708" priority="108" stopIfTrue="1" operator="equal">
      <formula>"WARNING"</formula>
    </cfRule>
  </conditionalFormatting>
  <conditionalFormatting sqref="AJ94">
    <cfRule type="cellIs" dxfId="707" priority="103" stopIfTrue="1" operator="equal">
      <formula>"ERROR"</formula>
    </cfRule>
    <cfRule type="cellIs" dxfId="706" priority="104" stopIfTrue="1" operator="equal">
      <formula>"OK"</formula>
    </cfRule>
    <cfRule type="cellIs" dxfId="705" priority="105" stopIfTrue="1" operator="equal">
      <formula>"WARNING"</formula>
    </cfRule>
  </conditionalFormatting>
  <conditionalFormatting sqref="C104">
    <cfRule type="cellIs" dxfId="704" priority="97" stopIfTrue="1" operator="equal">
      <formula>"ERROR"</formula>
    </cfRule>
  </conditionalFormatting>
  <conditionalFormatting sqref="C104">
    <cfRule type="cellIs" dxfId="703" priority="98" stopIfTrue="1" operator="equal">
      <formula>"OK"</formula>
    </cfRule>
  </conditionalFormatting>
  <conditionalFormatting sqref="C104">
    <cfRule type="cellIs" dxfId="702" priority="99" stopIfTrue="1" operator="equal">
      <formula>"WARNING"</formula>
    </cfRule>
  </conditionalFormatting>
  <conditionalFormatting sqref="G109">
    <cfRule type="cellIs" dxfId="701" priority="100" stopIfTrue="1" operator="equal">
      <formula>"ERROR"</formula>
    </cfRule>
    <cfRule type="cellIs" dxfId="700" priority="101" stopIfTrue="1" operator="equal">
      <formula>"OK"</formula>
    </cfRule>
    <cfRule type="cellIs" dxfId="699" priority="102" stopIfTrue="1" operator="equal">
      <formula>"WARNING"</formula>
    </cfRule>
  </conditionalFormatting>
  <conditionalFormatting sqref="N109">
    <cfRule type="cellIs" dxfId="698" priority="94" stopIfTrue="1" operator="equal">
      <formula>"ERROR"</formula>
    </cfRule>
    <cfRule type="cellIs" dxfId="697" priority="95" stopIfTrue="1" operator="equal">
      <formula>"OK"</formula>
    </cfRule>
    <cfRule type="cellIs" dxfId="696" priority="96" stopIfTrue="1" operator="equal">
      <formula>"WARNING"</formula>
    </cfRule>
  </conditionalFormatting>
  <conditionalFormatting sqref="W109">
    <cfRule type="cellIs" dxfId="695" priority="91" stopIfTrue="1" operator="equal">
      <formula>"ERROR"</formula>
    </cfRule>
    <cfRule type="cellIs" dxfId="694" priority="92" stopIfTrue="1" operator="equal">
      <formula>"OK"</formula>
    </cfRule>
    <cfRule type="cellIs" dxfId="693" priority="93" stopIfTrue="1" operator="equal">
      <formula>"WARNING"</formula>
    </cfRule>
  </conditionalFormatting>
  <conditionalFormatting sqref="AJ109">
    <cfRule type="cellIs" dxfId="692" priority="88" stopIfTrue="1" operator="equal">
      <formula>"ERROR"</formula>
    </cfRule>
    <cfRule type="cellIs" dxfId="691" priority="89" stopIfTrue="1" operator="equal">
      <formula>"OK"</formula>
    </cfRule>
    <cfRule type="cellIs" dxfId="690" priority="90" stopIfTrue="1" operator="equal">
      <formula>"WARNING"</formula>
    </cfRule>
  </conditionalFormatting>
  <conditionalFormatting sqref="G124">
    <cfRule type="cellIs" dxfId="689" priority="82" stopIfTrue="1" operator="equal">
      <formula>"ERROR"</formula>
    </cfRule>
    <cfRule type="cellIs" dxfId="688" priority="83" stopIfTrue="1" operator="equal">
      <formula>"OK"</formula>
    </cfRule>
    <cfRule type="cellIs" dxfId="687" priority="84" stopIfTrue="1" operator="equal">
      <formula>"WARNING"</formula>
    </cfRule>
  </conditionalFormatting>
  <conditionalFormatting sqref="C119">
    <cfRule type="cellIs" dxfId="686" priority="79" stopIfTrue="1" operator="equal">
      <formula>"ERROR"</formula>
    </cfRule>
  </conditionalFormatting>
  <conditionalFormatting sqref="C119">
    <cfRule type="cellIs" dxfId="685" priority="80" stopIfTrue="1" operator="equal">
      <formula>"OK"</formula>
    </cfRule>
  </conditionalFormatting>
  <conditionalFormatting sqref="C119">
    <cfRule type="cellIs" dxfId="684" priority="81" stopIfTrue="1" operator="equal">
      <formula>"WARNING"</formula>
    </cfRule>
  </conditionalFormatting>
  <conditionalFormatting sqref="O124">
    <cfRule type="cellIs" dxfId="683" priority="76" stopIfTrue="1" operator="equal">
      <formula>"ERROR"</formula>
    </cfRule>
    <cfRule type="cellIs" dxfId="682" priority="77" stopIfTrue="1" operator="equal">
      <formula>"OK"</formula>
    </cfRule>
    <cfRule type="cellIs" dxfId="681" priority="78" stopIfTrue="1" operator="equal">
      <formula>"WARNING"</formula>
    </cfRule>
  </conditionalFormatting>
  <conditionalFormatting sqref="AC124">
    <cfRule type="cellIs" dxfId="680" priority="73" stopIfTrue="1" operator="equal">
      <formula>"ERROR"</formula>
    </cfRule>
    <cfRule type="cellIs" dxfId="679" priority="74" stopIfTrue="1" operator="equal">
      <formula>"OK"</formula>
    </cfRule>
    <cfRule type="cellIs" dxfId="678" priority="75" stopIfTrue="1" operator="equal">
      <formula>"WARNING"</formula>
    </cfRule>
  </conditionalFormatting>
  <conditionalFormatting sqref="AS124">
    <cfRule type="cellIs" dxfId="677" priority="70" stopIfTrue="1" operator="equal">
      <formula>"ERROR"</formula>
    </cfRule>
    <cfRule type="cellIs" dxfId="676" priority="71" stopIfTrue="1" operator="equal">
      <formula>"OK"</formula>
    </cfRule>
    <cfRule type="cellIs" dxfId="675" priority="72" stopIfTrue="1" operator="equal">
      <formula>"WARNING"</formula>
    </cfRule>
  </conditionalFormatting>
  <conditionalFormatting sqref="AA183">
    <cfRule type="cellIs" dxfId="674" priority="67" stopIfTrue="1" operator="equal">
      <formula>"ERROR"</formula>
    </cfRule>
    <cfRule type="cellIs" dxfId="673" priority="68" stopIfTrue="1" operator="equal">
      <formula>"OK"</formula>
    </cfRule>
    <cfRule type="cellIs" dxfId="672" priority="69" stopIfTrue="1" operator="equal">
      <formula>"WARNING"</formula>
    </cfRule>
  </conditionalFormatting>
  <conditionalFormatting sqref="C221">
    <cfRule type="cellIs" dxfId="671" priority="64" stopIfTrue="1" operator="equal">
      <formula>"ERROR"</formula>
    </cfRule>
  </conditionalFormatting>
  <conditionalFormatting sqref="C221">
    <cfRule type="cellIs" dxfId="670" priority="65" stopIfTrue="1" operator="equal">
      <formula>"OK"</formula>
    </cfRule>
  </conditionalFormatting>
  <conditionalFormatting sqref="C221">
    <cfRule type="cellIs" dxfId="669" priority="66" stopIfTrue="1" operator="equal">
      <formula>"WARNING"</formula>
    </cfRule>
  </conditionalFormatting>
  <conditionalFormatting sqref="H226:I230">
    <cfRule type="cellIs" dxfId="668" priority="174" stopIfTrue="1" operator="equal">
      <formula>"ERROR"</formula>
    </cfRule>
  </conditionalFormatting>
  <conditionalFormatting sqref="H226:I230">
    <cfRule type="cellIs" dxfId="667" priority="175" stopIfTrue="1" operator="equal">
      <formula>"OK"</formula>
    </cfRule>
  </conditionalFormatting>
  <conditionalFormatting sqref="H226:I230">
    <cfRule type="cellIs" dxfId="666" priority="176" stopIfTrue="1" operator="equal">
      <formula>"WARNING"</formula>
    </cfRule>
  </conditionalFormatting>
  <conditionalFormatting sqref="D16:D17">
    <cfRule type="cellIs" dxfId="665" priority="177" stopIfTrue="1" operator="equal">
      <formula>"ERROR"</formula>
    </cfRule>
    <cfRule type="cellIs" dxfId="664" priority="178" stopIfTrue="1" operator="equal">
      <formula>"OK"</formula>
    </cfRule>
    <cfRule type="cellIs" dxfId="663" priority="179" stopIfTrue="1" operator="equal">
      <formula>"WARNING"</formula>
    </cfRule>
  </conditionalFormatting>
  <conditionalFormatting sqref="D18:D19">
    <cfRule type="cellIs" dxfId="662" priority="180" stopIfTrue="1" operator="equal">
      <formula>"ERROR"</formula>
    </cfRule>
    <cfRule type="cellIs" dxfId="661" priority="181" stopIfTrue="1" operator="equal">
      <formula>"OK"</formula>
    </cfRule>
    <cfRule type="cellIs" dxfId="660" priority="182" stopIfTrue="1" operator="equal">
      <formula>"WARNING"</formula>
    </cfRule>
  </conditionalFormatting>
  <conditionalFormatting sqref="C236">
    <cfRule type="cellIs" dxfId="659" priority="58" stopIfTrue="1" operator="equal">
      <formula>"ERROR"</formula>
    </cfRule>
  </conditionalFormatting>
  <conditionalFormatting sqref="C236">
    <cfRule type="cellIs" dxfId="658" priority="59" stopIfTrue="1" operator="equal">
      <formula>"OK"</formula>
    </cfRule>
  </conditionalFormatting>
  <conditionalFormatting sqref="C236">
    <cfRule type="cellIs" dxfId="657" priority="60" stopIfTrue="1" operator="equal">
      <formula>"WARNING"</formula>
    </cfRule>
  </conditionalFormatting>
  <conditionalFormatting sqref="L241:O245">
    <cfRule type="cellIs" dxfId="656" priority="61" stopIfTrue="1" operator="equal">
      <formula>"ERROR"</formula>
    </cfRule>
  </conditionalFormatting>
  <conditionalFormatting sqref="L241:O245">
    <cfRule type="cellIs" dxfId="655" priority="62" stopIfTrue="1" operator="equal">
      <formula>"OK"</formula>
    </cfRule>
  </conditionalFormatting>
  <conditionalFormatting sqref="L241:O245">
    <cfRule type="cellIs" dxfId="654" priority="63" stopIfTrue="1" operator="equal">
      <formula>"WARNING"</formula>
    </cfRule>
  </conditionalFormatting>
  <conditionalFormatting sqref="C133">
    <cfRule type="cellIs" dxfId="653" priority="55" stopIfTrue="1" operator="equal">
      <formula>"ERROR"</formula>
    </cfRule>
  </conditionalFormatting>
  <conditionalFormatting sqref="C133">
    <cfRule type="cellIs" dxfId="652" priority="56" stopIfTrue="1" operator="equal">
      <formula>"OK"</formula>
    </cfRule>
  </conditionalFormatting>
  <conditionalFormatting sqref="C133">
    <cfRule type="cellIs" dxfId="651" priority="57" stopIfTrue="1" operator="equal">
      <formula>"WARNING"</formula>
    </cfRule>
  </conditionalFormatting>
  <conditionalFormatting sqref="L138:O172">
    <cfRule type="cellIs" dxfId="650" priority="183" stopIfTrue="1" operator="equal">
      <formula>"ERROR"</formula>
    </cfRule>
  </conditionalFormatting>
  <conditionalFormatting sqref="L138:O172">
    <cfRule type="cellIs" dxfId="649" priority="184" stopIfTrue="1" operator="equal">
      <formula>"OK"</formula>
    </cfRule>
  </conditionalFormatting>
  <conditionalFormatting sqref="L138:O172">
    <cfRule type="cellIs" dxfId="648" priority="185" stopIfTrue="1" operator="equal">
      <formula>"WARNING"</formula>
    </cfRule>
  </conditionalFormatting>
  <conditionalFormatting sqref="C205">
    <cfRule type="cellIs" dxfId="647" priority="52" stopIfTrue="1" operator="equal">
      <formula>"ERROR"</formula>
    </cfRule>
  </conditionalFormatting>
  <conditionalFormatting sqref="C205">
    <cfRule type="cellIs" dxfId="646" priority="53" stopIfTrue="1" operator="equal">
      <formula>"OK"</formula>
    </cfRule>
  </conditionalFormatting>
  <conditionalFormatting sqref="C205">
    <cfRule type="cellIs" dxfId="645" priority="54" stopIfTrue="1" operator="equal">
      <formula>"WARNING"</formula>
    </cfRule>
  </conditionalFormatting>
  <conditionalFormatting sqref="G210:G214">
    <cfRule type="cellIs" dxfId="644" priority="186" stopIfTrue="1" operator="equal">
      <formula>"ERROR"</formula>
    </cfRule>
  </conditionalFormatting>
  <conditionalFormatting sqref="G210:G214">
    <cfRule type="cellIs" dxfId="643" priority="187" stopIfTrue="1" operator="equal">
      <formula>"OK"</formula>
    </cfRule>
  </conditionalFormatting>
  <conditionalFormatting sqref="G210:G214">
    <cfRule type="cellIs" dxfId="642" priority="188" stopIfTrue="1" operator="equal">
      <formula>"WARNING"</formula>
    </cfRule>
  </conditionalFormatting>
  <conditionalFormatting sqref="N210:N214">
    <cfRule type="cellIs" dxfId="641" priority="49" stopIfTrue="1" operator="equal">
      <formula>"ERROR"</formula>
    </cfRule>
  </conditionalFormatting>
  <conditionalFormatting sqref="N210:N214">
    <cfRule type="cellIs" dxfId="640" priority="50" stopIfTrue="1" operator="equal">
      <formula>"OK"</formula>
    </cfRule>
  </conditionalFormatting>
  <conditionalFormatting sqref="N210:N214">
    <cfRule type="cellIs" dxfId="639" priority="51" stopIfTrue="1" operator="equal">
      <formula>"WARNING"</formula>
    </cfRule>
  </conditionalFormatting>
  <conditionalFormatting sqref="U210:U214">
    <cfRule type="cellIs" dxfId="638" priority="46" stopIfTrue="1" operator="equal">
      <formula>"ERROR"</formula>
    </cfRule>
  </conditionalFormatting>
  <conditionalFormatting sqref="U210:U214">
    <cfRule type="cellIs" dxfId="637" priority="47" stopIfTrue="1" operator="equal">
      <formula>"OK"</formula>
    </cfRule>
  </conditionalFormatting>
  <conditionalFormatting sqref="U210:U214">
    <cfRule type="cellIs" dxfId="636" priority="48" stopIfTrue="1" operator="equal">
      <formula>"WARNING"</formula>
    </cfRule>
  </conditionalFormatting>
  <conditionalFormatting sqref="AI210">
    <cfRule type="cellIs" dxfId="635" priority="43" stopIfTrue="1" operator="equal">
      <formula>"ERROR"</formula>
    </cfRule>
  </conditionalFormatting>
  <conditionalFormatting sqref="AI210">
    <cfRule type="cellIs" dxfId="634" priority="44" stopIfTrue="1" operator="equal">
      <formula>"OK"</formula>
    </cfRule>
  </conditionalFormatting>
  <conditionalFormatting sqref="AI210">
    <cfRule type="cellIs" dxfId="633" priority="45" stopIfTrue="1" operator="equal">
      <formula>"WARNING"</formula>
    </cfRule>
  </conditionalFormatting>
  <conditionalFormatting sqref="C250">
    <cfRule type="cellIs" dxfId="632" priority="40" stopIfTrue="1" operator="equal">
      <formula>"ERROR"</formula>
    </cfRule>
  </conditionalFormatting>
  <conditionalFormatting sqref="C250">
    <cfRule type="cellIs" dxfId="631" priority="41" stopIfTrue="1" operator="equal">
      <formula>"OK"</formula>
    </cfRule>
  </conditionalFormatting>
  <conditionalFormatting sqref="C250">
    <cfRule type="cellIs" dxfId="630" priority="42" stopIfTrue="1" operator="equal">
      <formula>"WARNING"</formula>
    </cfRule>
  </conditionalFormatting>
  <conditionalFormatting sqref="E255:E261">
    <cfRule type="cellIs" dxfId="629" priority="189" stopIfTrue="1" operator="equal">
      <formula>"ERROR"</formula>
    </cfRule>
  </conditionalFormatting>
  <conditionalFormatting sqref="E255:E261">
    <cfRule type="cellIs" dxfId="628" priority="190" stopIfTrue="1" operator="equal">
      <formula>"OK"</formula>
    </cfRule>
  </conditionalFormatting>
  <conditionalFormatting sqref="E255:E261">
    <cfRule type="cellIs" dxfId="627" priority="191" stopIfTrue="1" operator="equal">
      <formula>"WARNING"</formula>
    </cfRule>
  </conditionalFormatting>
  <conditionalFormatting sqref="D20">
    <cfRule type="cellIs" dxfId="626" priority="37" stopIfTrue="1" operator="equal">
      <formula>"ERROR"</formula>
    </cfRule>
    <cfRule type="cellIs" dxfId="625" priority="38" stopIfTrue="1" operator="equal">
      <formula>"OK"</formula>
    </cfRule>
    <cfRule type="cellIs" dxfId="624" priority="39" stopIfTrue="1" operator="equal">
      <formula>"WARNING"</formula>
    </cfRule>
  </conditionalFormatting>
  <conditionalFormatting sqref="C62">
    <cfRule type="cellIs" dxfId="623" priority="34" stopIfTrue="1" operator="equal">
      <formula>"ERROR"</formula>
    </cfRule>
  </conditionalFormatting>
  <conditionalFormatting sqref="C62">
    <cfRule type="cellIs" dxfId="622" priority="35" stopIfTrue="1" operator="equal">
      <formula>"OK"</formula>
    </cfRule>
  </conditionalFormatting>
  <conditionalFormatting sqref="C62">
    <cfRule type="cellIs" dxfId="621" priority="36" stopIfTrue="1" operator="equal">
      <formula>"WARNING"</formula>
    </cfRule>
  </conditionalFormatting>
  <conditionalFormatting sqref="G67">
    <cfRule type="cellIs" dxfId="620" priority="31" stopIfTrue="1" operator="equal">
      <formula>"ERROR"</formula>
    </cfRule>
    <cfRule type="cellIs" dxfId="619" priority="32" stopIfTrue="1" operator="equal">
      <formula>"OK"</formula>
    </cfRule>
    <cfRule type="cellIs" dxfId="618" priority="33" stopIfTrue="1" operator="equal">
      <formula>"WARNING"</formula>
    </cfRule>
  </conditionalFormatting>
  <conditionalFormatting sqref="C38">
    <cfRule type="cellIs" dxfId="617" priority="28" stopIfTrue="1" operator="equal">
      <formula>"ERROR"</formula>
    </cfRule>
  </conditionalFormatting>
  <conditionalFormatting sqref="C38">
    <cfRule type="cellIs" dxfId="616" priority="29" stopIfTrue="1" operator="equal">
      <formula>"OK"</formula>
    </cfRule>
  </conditionalFormatting>
  <conditionalFormatting sqref="C38">
    <cfRule type="cellIs" dxfId="615" priority="30" stopIfTrue="1" operator="equal">
      <formula>"WARNING"</formula>
    </cfRule>
  </conditionalFormatting>
  <conditionalFormatting sqref="G43">
    <cfRule type="cellIs" dxfId="614" priority="25" stopIfTrue="1" operator="equal">
      <formula>"ERROR"</formula>
    </cfRule>
    <cfRule type="cellIs" dxfId="613" priority="26" stopIfTrue="1" operator="equal">
      <formula>"OK"</formula>
    </cfRule>
    <cfRule type="cellIs" dxfId="612" priority="27" stopIfTrue="1" operator="equal">
      <formula>"WARNING"</formula>
    </cfRule>
  </conditionalFormatting>
  <conditionalFormatting sqref="D8:D10">
    <cfRule type="cellIs" dxfId="611" priority="22" stopIfTrue="1" operator="equal">
      <formula>"ERROR"</formula>
    </cfRule>
    <cfRule type="cellIs" dxfId="610" priority="23" stopIfTrue="1" operator="equal">
      <formula>"OK"</formula>
    </cfRule>
    <cfRule type="cellIs" dxfId="609" priority="24" stopIfTrue="1" operator="equal">
      <formula>"WARNING"</formula>
    </cfRule>
  </conditionalFormatting>
  <conditionalFormatting sqref="C50">
    <cfRule type="cellIs" dxfId="608" priority="19" stopIfTrue="1" operator="equal">
      <formula>"ERROR"</formula>
    </cfRule>
  </conditionalFormatting>
  <conditionalFormatting sqref="C50">
    <cfRule type="cellIs" dxfId="607" priority="20" stopIfTrue="1" operator="equal">
      <formula>"OK"</formula>
    </cfRule>
  </conditionalFormatting>
  <conditionalFormatting sqref="C50">
    <cfRule type="cellIs" dxfId="606" priority="21" stopIfTrue="1" operator="equal">
      <formula>"WARNING"</formula>
    </cfRule>
  </conditionalFormatting>
  <conditionalFormatting sqref="G55">
    <cfRule type="cellIs" dxfId="605" priority="16" stopIfTrue="1" operator="equal">
      <formula>"ERROR"</formula>
    </cfRule>
    <cfRule type="cellIs" dxfId="604" priority="17" stopIfTrue="1" operator="equal">
      <formula>"OK"</formula>
    </cfRule>
    <cfRule type="cellIs" dxfId="603" priority="18" stopIfTrue="1" operator="equal">
      <formula>"WARNING"</formula>
    </cfRule>
  </conditionalFormatting>
  <conditionalFormatting sqref="N79">
    <cfRule type="cellIs" dxfId="602" priority="13" stopIfTrue="1" operator="equal">
      <formula>"ERROR"</formula>
    </cfRule>
    <cfRule type="cellIs" dxfId="601" priority="14" stopIfTrue="1" operator="equal">
      <formula>"OK"</formula>
    </cfRule>
    <cfRule type="cellIs" dxfId="600" priority="15" stopIfTrue="1" operator="equal">
      <formula>"WARNING"</formula>
    </cfRule>
  </conditionalFormatting>
  <conditionalFormatting sqref="C26">
    <cfRule type="cellIs" dxfId="599" priority="10" stopIfTrue="1" operator="equal">
      <formula>"ERROR"</formula>
    </cfRule>
  </conditionalFormatting>
  <conditionalFormatting sqref="C26">
    <cfRule type="cellIs" dxfId="598" priority="11" stopIfTrue="1" operator="equal">
      <formula>"OK"</formula>
    </cfRule>
  </conditionalFormatting>
  <conditionalFormatting sqref="C26">
    <cfRule type="cellIs" dxfId="597" priority="12" stopIfTrue="1" operator="equal">
      <formula>"WARNING"</formula>
    </cfRule>
  </conditionalFormatting>
  <conditionalFormatting sqref="G31">
    <cfRule type="cellIs" dxfId="596" priority="7" stopIfTrue="1" operator="equal">
      <formula>"ERROR"</formula>
    </cfRule>
    <cfRule type="cellIs" dxfId="595" priority="8" stopIfTrue="1" operator="equal">
      <formula>"OK"</formula>
    </cfRule>
    <cfRule type="cellIs" dxfId="594" priority="9" stopIfTrue="1" operator="equal">
      <formula>"WARNING"</formula>
    </cfRule>
  </conditionalFormatting>
  <conditionalFormatting sqref="D7">
    <cfRule type="cellIs" dxfId="593" priority="1" stopIfTrue="1" operator="equal">
      <formula>"ERROR"</formula>
    </cfRule>
    <cfRule type="cellIs" dxfId="592" priority="2" stopIfTrue="1" operator="equal">
      <formula>"OK"</formula>
    </cfRule>
    <cfRule type="cellIs" dxfId="591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90" priority="145" stopIfTrue="1" operator="equal">
      <formula>"ERROR"</formula>
    </cfRule>
    <cfRule type="cellIs" dxfId="589" priority="146" stopIfTrue="1" operator="equal">
      <formula>"OK"</formula>
    </cfRule>
    <cfRule type="cellIs" dxfId="588" priority="147" stopIfTrue="1" operator="equal">
      <formula>"WARNING"</formula>
    </cfRule>
  </conditionalFormatting>
  <conditionalFormatting sqref="C4">
    <cfRule type="cellIs" dxfId="587" priority="142" stopIfTrue="1" operator="equal">
      <formula>"ERROR"</formula>
    </cfRule>
    <cfRule type="cellIs" dxfId="586" priority="143" stopIfTrue="1" operator="equal">
      <formula>"OK"</formula>
    </cfRule>
    <cfRule type="cellIs" dxfId="585" priority="144" stopIfTrue="1" operator="equal">
      <formula>"WARNING"</formula>
    </cfRule>
  </conditionalFormatting>
  <conditionalFormatting sqref="C14">
    <cfRule type="cellIs" dxfId="584" priority="139" stopIfTrue="1" operator="equal">
      <formula>"ERROR"</formula>
    </cfRule>
  </conditionalFormatting>
  <conditionalFormatting sqref="C14">
    <cfRule type="cellIs" dxfId="583" priority="140" stopIfTrue="1" operator="equal">
      <formula>"OK"</formula>
    </cfRule>
  </conditionalFormatting>
  <conditionalFormatting sqref="C14">
    <cfRule type="cellIs" dxfId="582" priority="141" stopIfTrue="1" operator="equal">
      <formula>"WARNING"</formula>
    </cfRule>
  </conditionalFormatting>
  <conditionalFormatting sqref="H19">
    <cfRule type="cellIs" dxfId="581" priority="148" stopIfTrue="1" operator="equal">
      <formula>"ERROR"</formula>
    </cfRule>
    <cfRule type="cellIs" dxfId="580" priority="149" stopIfTrue="1" operator="equal">
      <formula>"OK"</formula>
    </cfRule>
    <cfRule type="cellIs" dxfId="579" priority="150" stopIfTrue="1" operator="equal">
      <formula>"WARNING"</formula>
    </cfRule>
  </conditionalFormatting>
  <conditionalFormatting sqref="C38">
    <cfRule type="cellIs" dxfId="578" priority="118" stopIfTrue="1" operator="equal">
      <formula>"ERROR"</formula>
    </cfRule>
  </conditionalFormatting>
  <conditionalFormatting sqref="C38">
    <cfRule type="cellIs" dxfId="577" priority="119" stopIfTrue="1" operator="equal">
      <formula>"OK"</formula>
    </cfRule>
  </conditionalFormatting>
  <conditionalFormatting sqref="C38">
    <cfRule type="cellIs" dxfId="576" priority="120" stopIfTrue="1" operator="equal">
      <formula>"WARNING"</formula>
    </cfRule>
  </conditionalFormatting>
  <conditionalFormatting sqref="P19">
    <cfRule type="cellIs" dxfId="575" priority="49" stopIfTrue="1" operator="equal">
      <formula>"ERROR"</formula>
    </cfRule>
    <cfRule type="cellIs" dxfId="574" priority="50" stopIfTrue="1" operator="equal">
      <formula>"OK"</formula>
    </cfRule>
    <cfRule type="cellIs" dxfId="573" priority="51" stopIfTrue="1" operator="equal">
      <formula>"WARNING"</formula>
    </cfRule>
  </conditionalFormatting>
  <conditionalFormatting sqref="Y19">
    <cfRule type="cellIs" dxfId="572" priority="46" stopIfTrue="1" operator="equal">
      <formula>"ERROR"</formula>
    </cfRule>
    <cfRule type="cellIs" dxfId="571" priority="47" stopIfTrue="1" operator="equal">
      <formula>"OK"</formula>
    </cfRule>
    <cfRule type="cellIs" dxfId="570" priority="48" stopIfTrue="1" operator="equal">
      <formula>"WARNING"</formula>
    </cfRule>
  </conditionalFormatting>
  <conditionalFormatting sqref="AG19">
    <cfRule type="cellIs" dxfId="569" priority="43" stopIfTrue="1" operator="equal">
      <formula>"ERROR"</formula>
    </cfRule>
    <cfRule type="cellIs" dxfId="568" priority="44" stopIfTrue="1" operator="equal">
      <formula>"OK"</formula>
    </cfRule>
    <cfRule type="cellIs" dxfId="567" priority="45" stopIfTrue="1" operator="equal">
      <formula>"WARNING"</formula>
    </cfRule>
  </conditionalFormatting>
  <conditionalFormatting sqref="AU19">
    <cfRule type="cellIs" dxfId="566" priority="40" stopIfTrue="1" operator="equal">
      <formula>"ERROR"</formula>
    </cfRule>
    <cfRule type="cellIs" dxfId="565" priority="41" stopIfTrue="1" operator="equal">
      <formula>"OK"</formula>
    </cfRule>
    <cfRule type="cellIs" dxfId="564" priority="42" stopIfTrue="1" operator="equal">
      <formula>"WARNING"</formula>
    </cfRule>
  </conditionalFormatting>
  <conditionalFormatting sqref="BI19">
    <cfRule type="cellIs" dxfId="563" priority="37" stopIfTrue="1" operator="equal">
      <formula>"ERROR"</formula>
    </cfRule>
    <cfRule type="cellIs" dxfId="562" priority="38" stopIfTrue="1" operator="equal">
      <formula>"OK"</formula>
    </cfRule>
    <cfRule type="cellIs" dxfId="561" priority="39" stopIfTrue="1" operator="equal">
      <formula>"WARNING"</formula>
    </cfRule>
  </conditionalFormatting>
  <conditionalFormatting sqref="CI19">
    <cfRule type="cellIs" dxfId="560" priority="34" stopIfTrue="1" operator="equal">
      <formula>"ERROR"</formula>
    </cfRule>
    <cfRule type="cellIs" dxfId="559" priority="35" stopIfTrue="1" operator="equal">
      <formula>"OK"</formula>
    </cfRule>
    <cfRule type="cellIs" dxfId="558" priority="36" stopIfTrue="1" operator="equal">
      <formula>"WARNING"</formula>
    </cfRule>
  </conditionalFormatting>
  <conditionalFormatting sqref="L43">
    <cfRule type="cellIs" dxfId="557" priority="28" stopIfTrue="1" operator="equal">
      <formula>"ERROR"</formula>
    </cfRule>
    <cfRule type="cellIs" dxfId="556" priority="29" stopIfTrue="1" operator="equal">
      <formula>"OK"</formula>
    </cfRule>
    <cfRule type="cellIs" dxfId="555" priority="30" stopIfTrue="1" operator="equal">
      <formula>"WARNING"</formula>
    </cfRule>
  </conditionalFormatting>
  <conditionalFormatting sqref="Y43">
    <cfRule type="cellIs" dxfId="554" priority="25" stopIfTrue="1" operator="equal">
      <formula>"ERROR"</formula>
    </cfRule>
    <cfRule type="cellIs" dxfId="553" priority="26" stopIfTrue="1" operator="equal">
      <formula>"OK"</formula>
    </cfRule>
    <cfRule type="cellIs" dxfId="552" priority="27" stopIfTrue="1" operator="equal">
      <formula>"WARNING"</formula>
    </cfRule>
  </conditionalFormatting>
  <conditionalFormatting sqref="AK43">
    <cfRule type="cellIs" dxfId="551" priority="22" stopIfTrue="1" operator="equal">
      <formula>"ERROR"</formula>
    </cfRule>
    <cfRule type="cellIs" dxfId="550" priority="23" stopIfTrue="1" operator="equal">
      <formula>"OK"</formula>
    </cfRule>
    <cfRule type="cellIs" dxfId="549" priority="24" stopIfTrue="1" operator="equal">
      <formula>"WARNING"</formula>
    </cfRule>
  </conditionalFormatting>
  <conditionalFormatting sqref="BC43">
    <cfRule type="cellIs" dxfId="548" priority="19" stopIfTrue="1" operator="equal">
      <formula>"ERROR"</formula>
    </cfRule>
    <cfRule type="cellIs" dxfId="547" priority="20" stopIfTrue="1" operator="equal">
      <formula>"OK"</formula>
    </cfRule>
    <cfRule type="cellIs" dxfId="546" priority="21" stopIfTrue="1" operator="equal">
      <formula>"WARNING"</formula>
    </cfRule>
  </conditionalFormatting>
  <conditionalFormatting sqref="BU43">
    <cfRule type="cellIs" dxfId="545" priority="16" stopIfTrue="1" operator="equal">
      <formula>"ERROR"</formula>
    </cfRule>
    <cfRule type="cellIs" dxfId="544" priority="17" stopIfTrue="1" operator="equal">
      <formula>"OK"</formula>
    </cfRule>
    <cfRule type="cellIs" dxfId="543" priority="18" stopIfTrue="1" operator="equal">
      <formula>"WARNING"</formula>
    </cfRule>
  </conditionalFormatting>
  <conditionalFormatting sqref="BW19">
    <cfRule type="cellIs" dxfId="542" priority="13" stopIfTrue="1" operator="equal">
      <formula>"ERROR"</formula>
    </cfRule>
    <cfRule type="cellIs" dxfId="541" priority="14" stopIfTrue="1" operator="equal">
      <formula>"OK"</formula>
    </cfRule>
    <cfRule type="cellIs" dxfId="540" priority="15" stopIfTrue="1" operator="equal">
      <formula>"WARNING"</formula>
    </cfRule>
  </conditionalFormatting>
  <conditionalFormatting sqref="C26">
    <cfRule type="cellIs" dxfId="539" priority="7" stopIfTrue="1" operator="equal">
      <formula>"ERROR"</formula>
    </cfRule>
  </conditionalFormatting>
  <conditionalFormatting sqref="C26">
    <cfRule type="cellIs" dxfId="538" priority="8" stopIfTrue="1" operator="equal">
      <formula>"OK"</formula>
    </cfRule>
  </conditionalFormatting>
  <conditionalFormatting sqref="C26">
    <cfRule type="cellIs" dxfId="537" priority="9" stopIfTrue="1" operator="equal">
      <formula>"WARNING"</formula>
    </cfRule>
  </conditionalFormatting>
  <conditionalFormatting sqref="J31">
    <cfRule type="cellIs" dxfId="536" priority="10" stopIfTrue="1" operator="equal">
      <formula>"ERROR"</formula>
    </cfRule>
    <cfRule type="cellIs" dxfId="535" priority="11" stopIfTrue="1" operator="equal">
      <formula>"OK"</formula>
    </cfRule>
    <cfRule type="cellIs" dxfId="534" priority="12" stopIfTrue="1" operator="equal">
      <formula>"WARNING"</formula>
    </cfRule>
  </conditionalFormatting>
  <conditionalFormatting sqref="X31">
    <cfRule type="cellIs" dxfId="533" priority="4" stopIfTrue="1" operator="equal">
      <formula>"ERROR"</formula>
    </cfRule>
    <cfRule type="cellIs" dxfId="532" priority="5" stopIfTrue="1" operator="equal">
      <formula>"OK"</formula>
    </cfRule>
    <cfRule type="cellIs" dxfId="531" priority="6" stopIfTrue="1" operator="equal">
      <formula>"WARNING"</formula>
    </cfRule>
  </conditionalFormatting>
  <conditionalFormatting sqref="AL31">
    <cfRule type="cellIs" dxfId="530" priority="1" stopIfTrue="1" operator="equal">
      <formula>"ERROR"</formula>
    </cfRule>
    <cfRule type="cellIs" dxfId="529" priority="2" stopIfTrue="1" operator="equal">
      <formula>"OK"</formula>
    </cfRule>
    <cfRule type="cellIs" dxfId="528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27" priority="106" stopIfTrue="1" operator="equal">
      <formula>"ERROR"</formula>
    </cfRule>
    <cfRule type="cellIs" dxfId="526" priority="107" stopIfTrue="1" operator="equal">
      <formula>"OK"</formula>
    </cfRule>
    <cfRule type="cellIs" dxfId="525" priority="108" stopIfTrue="1" operator="equal">
      <formula>"WARNING"</formula>
    </cfRule>
  </conditionalFormatting>
  <conditionalFormatting sqref="C4">
    <cfRule type="cellIs" dxfId="524" priority="103" stopIfTrue="1" operator="equal">
      <formula>"ERROR"</formula>
    </cfRule>
    <cfRule type="cellIs" dxfId="523" priority="104" stopIfTrue="1" operator="equal">
      <formula>"OK"</formula>
    </cfRule>
    <cfRule type="cellIs" dxfId="522" priority="105" stopIfTrue="1" operator="equal">
      <formula>"WARNING"</formula>
    </cfRule>
  </conditionalFormatting>
  <conditionalFormatting sqref="C15">
    <cfRule type="cellIs" dxfId="521" priority="100" stopIfTrue="1" operator="equal">
      <formula>"ERROR"</formula>
    </cfRule>
  </conditionalFormatting>
  <conditionalFormatting sqref="C15">
    <cfRule type="cellIs" dxfId="520" priority="101" stopIfTrue="1" operator="equal">
      <formula>"OK"</formula>
    </cfRule>
  </conditionalFormatting>
  <conditionalFormatting sqref="C15">
    <cfRule type="cellIs" dxfId="519" priority="102" stopIfTrue="1" operator="equal">
      <formula>"WARNING"</formula>
    </cfRule>
  </conditionalFormatting>
  <conditionalFormatting sqref="L20:N22">
    <cfRule type="cellIs" dxfId="518" priority="109" stopIfTrue="1" operator="equal">
      <formula>"ERROR"</formula>
    </cfRule>
    <cfRule type="cellIs" dxfId="517" priority="110" stopIfTrue="1" operator="equal">
      <formula>"OK"</formula>
    </cfRule>
    <cfRule type="cellIs" dxfId="516" priority="111" stopIfTrue="1" operator="equal">
      <formula>"WARNING"</formula>
    </cfRule>
  </conditionalFormatting>
  <conditionalFormatting sqref="E9">
    <cfRule type="cellIs" dxfId="515" priority="61" stopIfTrue="1" operator="equal">
      <formula>"ERROR"</formula>
    </cfRule>
    <cfRule type="cellIs" dxfId="514" priority="62" stopIfTrue="1" operator="equal">
      <formula>"OK"</formula>
    </cfRule>
    <cfRule type="cellIs" dxfId="513" priority="63" stopIfTrue="1" operator="equal">
      <formula>"WARNING"</formula>
    </cfRule>
  </conditionalFormatting>
  <conditionalFormatting sqref="Z20">
    <cfRule type="cellIs" dxfId="512" priority="58" stopIfTrue="1" operator="equal">
      <formula>"ERROR"</formula>
    </cfRule>
    <cfRule type="cellIs" dxfId="511" priority="59" stopIfTrue="1" operator="equal">
      <formula>"OK"</formula>
    </cfRule>
    <cfRule type="cellIs" dxfId="510" priority="60" stopIfTrue="1" operator="equal">
      <formula>"WARNING"</formula>
    </cfRule>
  </conditionalFormatting>
  <conditionalFormatting sqref="AL20">
    <cfRule type="cellIs" dxfId="509" priority="55" stopIfTrue="1" operator="equal">
      <formula>"ERROR"</formula>
    </cfRule>
    <cfRule type="cellIs" dxfId="508" priority="56" stopIfTrue="1" operator="equal">
      <formula>"OK"</formula>
    </cfRule>
    <cfRule type="cellIs" dxfId="507" priority="57" stopIfTrue="1" operator="equal">
      <formula>"WARNING"</formula>
    </cfRule>
  </conditionalFormatting>
  <conditionalFormatting sqref="AZ20">
    <cfRule type="cellIs" dxfId="506" priority="52" stopIfTrue="1" operator="equal">
      <formula>"ERROR"</formula>
    </cfRule>
    <cfRule type="cellIs" dxfId="505" priority="53" stopIfTrue="1" operator="equal">
      <formula>"OK"</formula>
    </cfRule>
    <cfRule type="cellIs" dxfId="504" priority="54" stopIfTrue="1" operator="equal">
      <formula>"WARNING"</formula>
    </cfRule>
  </conditionalFormatting>
  <conditionalFormatting sqref="C28">
    <cfRule type="cellIs" dxfId="503" priority="46" stopIfTrue="1" operator="equal">
      <formula>"ERROR"</formula>
    </cfRule>
  </conditionalFormatting>
  <conditionalFormatting sqref="C28">
    <cfRule type="cellIs" dxfId="502" priority="47" stopIfTrue="1" operator="equal">
      <formula>"OK"</formula>
    </cfRule>
  </conditionalFormatting>
  <conditionalFormatting sqref="C28">
    <cfRule type="cellIs" dxfId="501" priority="48" stopIfTrue="1" operator="equal">
      <formula>"WARNING"</formula>
    </cfRule>
  </conditionalFormatting>
  <conditionalFormatting sqref="L34:M35">
    <cfRule type="cellIs" dxfId="500" priority="49" stopIfTrue="1" operator="equal">
      <formula>"ERROR"</formula>
    </cfRule>
    <cfRule type="cellIs" dxfId="499" priority="50" stopIfTrue="1" operator="equal">
      <formula>"OK"</formula>
    </cfRule>
    <cfRule type="cellIs" dxfId="498" priority="51" stopIfTrue="1" operator="equal">
      <formula>"WARNING"</formula>
    </cfRule>
  </conditionalFormatting>
  <conditionalFormatting sqref="AB34:AD36">
    <cfRule type="cellIs" dxfId="497" priority="34" stopIfTrue="1" operator="equal">
      <formula>"ERROR"</formula>
    </cfRule>
    <cfRule type="cellIs" dxfId="496" priority="35" stopIfTrue="1" operator="equal">
      <formula>"OK"</formula>
    </cfRule>
    <cfRule type="cellIs" dxfId="495" priority="36" stopIfTrue="1" operator="equal">
      <formula>"WARNING"</formula>
    </cfRule>
  </conditionalFormatting>
  <conditionalFormatting sqref="C44">
    <cfRule type="cellIs" dxfId="494" priority="31" stopIfTrue="1" operator="equal">
      <formula>"ERROR"</formula>
    </cfRule>
  </conditionalFormatting>
  <conditionalFormatting sqref="C44">
    <cfRule type="cellIs" dxfId="493" priority="32" stopIfTrue="1" operator="equal">
      <formula>"OK"</formula>
    </cfRule>
  </conditionalFormatting>
  <conditionalFormatting sqref="C44">
    <cfRule type="cellIs" dxfId="492" priority="33" stopIfTrue="1" operator="equal">
      <formula>"WARNING"</formula>
    </cfRule>
  </conditionalFormatting>
  <conditionalFormatting sqref="J53:K53">
    <cfRule type="cellIs" dxfId="491" priority="28" stopIfTrue="1" operator="equal">
      <formula>"ERROR"</formula>
    </cfRule>
    <cfRule type="cellIs" dxfId="490" priority="29" stopIfTrue="1" operator="equal">
      <formula>"OK"</formula>
    </cfRule>
    <cfRule type="cellIs" dxfId="489" priority="30" stopIfTrue="1" operator="equal">
      <formula>"WARNING"</formula>
    </cfRule>
  </conditionalFormatting>
  <conditionalFormatting sqref="S53:T53">
    <cfRule type="cellIs" dxfId="488" priority="25" stopIfTrue="1" operator="equal">
      <formula>"ERROR"</formula>
    </cfRule>
    <cfRule type="cellIs" dxfId="487" priority="26" stopIfTrue="1" operator="equal">
      <formula>"OK"</formula>
    </cfRule>
    <cfRule type="cellIs" dxfId="486" priority="27" stopIfTrue="1" operator="equal">
      <formula>"WARNING"</formula>
    </cfRule>
  </conditionalFormatting>
  <conditionalFormatting sqref="AD53:AE53">
    <cfRule type="cellIs" dxfId="485" priority="16" stopIfTrue="1" operator="equal">
      <formula>"ERROR"</formula>
    </cfRule>
    <cfRule type="cellIs" dxfId="484" priority="17" stopIfTrue="1" operator="equal">
      <formula>"OK"</formula>
    </cfRule>
    <cfRule type="cellIs" dxfId="483" priority="18" stopIfTrue="1" operator="equal">
      <formula>"WARNING"</formula>
    </cfRule>
  </conditionalFormatting>
  <conditionalFormatting sqref="C95">
    <cfRule type="cellIs" dxfId="482" priority="13" stopIfTrue="1" operator="equal">
      <formula>"ERROR"</formula>
    </cfRule>
  </conditionalFormatting>
  <conditionalFormatting sqref="C95">
    <cfRule type="cellIs" dxfId="481" priority="14" stopIfTrue="1" operator="equal">
      <formula>"OK"</formula>
    </cfRule>
  </conditionalFormatting>
  <conditionalFormatting sqref="C95">
    <cfRule type="cellIs" dxfId="480" priority="15" stopIfTrue="1" operator="equal">
      <formula>"WARNING"</formula>
    </cfRule>
  </conditionalFormatting>
  <conditionalFormatting sqref="S103 U100">
    <cfRule type="cellIs" dxfId="479" priority="7" stopIfTrue="1" operator="equal">
      <formula>"ERROR"</formula>
    </cfRule>
    <cfRule type="cellIs" dxfId="478" priority="8" stopIfTrue="1" operator="equal">
      <formula>"OK"</formula>
    </cfRule>
    <cfRule type="cellIs" dxfId="477" priority="9" stopIfTrue="1" operator="equal">
      <formula>"WARNING"</formula>
    </cfRule>
  </conditionalFormatting>
  <conditionalFormatting sqref="E10">
    <cfRule type="cellIs" dxfId="476" priority="4" stopIfTrue="1" operator="equal">
      <formula>"ERROR"</formula>
    </cfRule>
    <cfRule type="cellIs" dxfId="475" priority="5" stopIfTrue="1" operator="equal">
      <formula>"OK"</formula>
    </cfRule>
    <cfRule type="cellIs" dxfId="474" priority="6" stopIfTrue="1" operator="equal">
      <formula>"WARNING"</formula>
    </cfRule>
  </conditionalFormatting>
  <conditionalFormatting sqref="AD103 AJ100">
    <cfRule type="cellIs" dxfId="473" priority="1" stopIfTrue="1" operator="equal">
      <formula>"ERROR"</formula>
    </cfRule>
    <cfRule type="cellIs" dxfId="472" priority="2" stopIfTrue="1" operator="equal">
      <formula>"OK"</formula>
    </cfRule>
    <cfRule type="cellIs" dxfId="47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70" priority="52" stopIfTrue="1" operator="equal">
      <formula>"ERROR"</formula>
    </cfRule>
    <cfRule type="cellIs" dxfId="469" priority="53" stopIfTrue="1" operator="equal">
      <formula>"OK"</formula>
    </cfRule>
    <cfRule type="cellIs" dxfId="468" priority="54" stopIfTrue="1" operator="equal">
      <formula>"WARNING"</formula>
    </cfRule>
  </conditionalFormatting>
  <conditionalFormatting sqref="C4">
    <cfRule type="cellIs" dxfId="467" priority="49" stopIfTrue="1" operator="equal">
      <formula>"ERROR"</formula>
    </cfRule>
    <cfRule type="cellIs" dxfId="466" priority="50" stopIfTrue="1" operator="equal">
      <formula>"OK"</formula>
    </cfRule>
    <cfRule type="cellIs" dxfId="465" priority="51" stopIfTrue="1" operator="equal">
      <formula>"WARNING"</formula>
    </cfRule>
  </conditionalFormatting>
  <conditionalFormatting sqref="C12">
    <cfRule type="cellIs" dxfId="464" priority="46" stopIfTrue="1" operator="equal">
      <formula>"ERROR"</formula>
    </cfRule>
  </conditionalFormatting>
  <conditionalFormatting sqref="C12">
    <cfRule type="cellIs" dxfId="463" priority="47" stopIfTrue="1" operator="equal">
      <formula>"OK"</formula>
    </cfRule>
  </conditionalFormatting>
  <conditionalFormatting sqref="C12">
    <cfRule type="cellIs" dxfId="462" priority="48" stopIfTrue="1" operator="equal">
      <formula>"WARNING"</formula>
    </cfRule>
  </conditionalFormatting>
  <conditionalFormatting sqref="I17:J17 T17">
    <cfRule type="cellIs" dxfId="461" priority="58" stopIfTrue="1" operator="equal">
      <formula>"ERROR"</formula>
    </cfRule>
    <cfRule type="cellIs" dxfId="460" priority="59" stopIfTrue="1" operator="equal">
      <formula>"OK"</formula>
    </cfRule>
    <cfRule type="cellIs" dxfId="459" priority="60" stopIfTrue="1" operator="equal">
      <formula>"WARNING"</formula>
    </cfRule>
  </conditionalFormatting>
  <conditionalFormatting sqref="AB17">
    <cfRule type="cellIs" dxfId="458" priority="34" stopIfTrue="1" operator="equal">
      <formula>"ERROR"</formula>
    </cfRule>
    <cfRule type="cellIs" dxfId="457" priority="35" stopIfTrue="1" operator="equal">
      <formula>"OK"</formula>
    </cfRule>
    <cfRule type="cellIs" dxfId="456" priority="36" stopIfTrue="1" operator="equal">
      <formula>"WARNING"</formula>
    </cfRule>
  </conditionalFormatting>
  <conditionalFormatting sqref="AK17">
    <cfRule type="cellIs" dxfId="455" priority="28" stopIfTrue="1" operator="equal">
      <formula>"ERROR"</formula>
    </cfRule>
    <cfRule type="cellIs" dxfId="454" priority="29" stopIfTrue="1" operator="equal">
      <formula>"OK"</formula>
    </cfRule>
    <cfRule type="cellIs" dxfId="453" priority="30" stopIfTrue="1" operator="equal">
      <formula>"WARNING"</formula>
    </cfRule>
  </conditionalFormatting>
  <conditionalFormatting sqref="R17:S20">
    <cfRule type="cellIs" dxfId="452" priority="22" stopIfTrue="1" operator="equal">
      <formula>"ERROR"</formula>
    </cfRule>
    <cfRule type="cellIs" dxfId="451" priority="23" stopIfTrue="1" operator="equal">
      <formula>"OK"</formula>
    </cfRule>
    <cfRule type="cellIs" dxfId="45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49" priority="55" stopIfTrue="1" operator="equal">
      <formula>"ERROR"</formula>
    </cfRule>
    <cfRule type="cellIs" dxfId="448" priority="56" stopIfTrue="1" operator="equal">
      <formula>"OK"</formula>
    </cfRule>
    <cfRule type="cellIs" dxfId="447" priority="57" stopIfTrue="1" operator="equal">
      <formula>"WARNING"</formula>
    </cfRule>
  </conditionalFormatting>
  <conditionalFormatting sqref="C4">
    <cfRule type="cellIs" dxfId="446" priority="52" stopIfTrue="1" operator="equal">
      <formula>"ERROR"</formula>
    </cfRule>
    <cfRule type="cellIs" dxfId="445" priority="53" stopIfTrue="1" operator="equal">
      <formula>"OK"</formula>
    </cfRule>
    <cfRule type="cellIs" dxfId="444" priority="54" stopIfTrue="1" operator="equal">
      <formula>"WARNING"</formula>
    </cfRule>
  </conditionalFormatting>
  <conditionalFormatting sqref="H17">
    <cfRule type="cellIs" dxfId="443" priority="58" stopIfTrue="1" operator="equal">
      <formula>"ERROR"</formula>
    </cfRule>
    <cfRule type="cellIs" dxfId="442" priority="59" stopIfTrue="1" operator="equal">
      <formula>"OK"</formula>
    </cfRule>
    <cfRule type="cellIs" dxfId="441" priority="60" stopIfTrue="1" operator="equal">
      <formula>"WARNING"</formula>
    </cfRule>
  </conditionalFormatting>
  <conditionalFormatting sqref="C12">
    <cfRule type="cellIs" dxfId="440" priority="46" stopIfTrue="1" operator="equal">
      <formula>"ERROR"</formula>
    </cfRule>
  </conditionalFormatting>
  <conditionalFormatting sqref="C12">
    <cfRule type="cellIs" dxfId="439" priority="47" stopIfTrue="1" operator="equal">
      <formula>"OK"</formula>
    </cfRule>
  </conditionalFormatting>
  <conditionalFormatting sqref="C12">
    <cfRule type="cellIs" dxfId="438" priority="48" stopIfTrue="1" operator="equal">
      <formula>"WARNING"</formula>
    </cfRule>
  </conditionalFormatting>
  <conditionalFormatting sqref="S17">
    <cfRule type="cellIs" dxfId="437" priority="10" stopIfTrue="1" operator="equal">
      <formula>"ERROR"</formula>
    </cfRule>
    <cfRule type="cellIs" dxfId="436" priority="11" stopIfTrue="1" operator="equal">
      <formula>"OK"</formula>
    </cfRule>
    <cfRule type="cellIs" dxfId="435" priority="12" stopIfTrue="1" operator="equal">
      <formula>"WARNING"</formula>
    </cfRule>
  </conditionalFormatting>
  <conditionalFormatting sqref="Z17">
    <cfRule type="cellIs" dxfId="434" priority="7" stopIfTrue="1" operator="equal">
      <formula>"ERROR"</formula>
    </cfRule>
    <cfRule type="cellIs" dxfId="433" priority="8" stopIfTrue="1" operator="equal">
      <formula>"OK"</formula>
    </cfRule>
    <cfRule type="cellIs" dxfId="43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</sheetData>
  <conditionalFormatting sqref="E7">
    <cfRule type="cellIs" dxfId="431" priority="16" stopIfTrue="1" operator="equal">
      <formula>"ERROR"</formula>
    </cfRule>
    <cfRule type="cellIs" dxfId="430" priority="17" stopIfTrue="1" operator="equal">
      <formula>"OK"</formula>
    </cfRule>
    <cfRule type="cellIs" dxfId="429" priority="18" stopIfTrue="1" operator="equal">
      <formula>"WARNING"</formula>
    </cfRule>
  </conditionalFormatting>
  <conditionalFormatting sqref="C4">
    <cfRule type="cellIs" dxfId="428" priority="13" stopIfTrue="1" operator="equal">
      <formula>"ERROR"</formula>
    </cfRule>
    <cfRule type="cellIs" dxfId="427" priority="14" stopIfTrue="1" operator="equal">
      <formula>"OK"</formula>
    </cfRule>
    <cfRule type="cellIs" dxfId="426" priority="15" stopIfTrue="1" operator="equal">
      <formula>"WARNING"</formula>
    </cfRule>
  </conditionalFormatting>
  <conditionalFormatting sqref="C12">
    <cfRule type="cellIs" dxfId="425" priority="10" stopIfTrue="1" operator="equal">
      <formula>"ERROR"</formula>
    </cfRule>
  </conditionalFormatting>
  <conditionalFormatting sqref="C12">
    <cfRule type="cellIs" dxfId="424" priority="11" stopIfTrue="1" operator="equal">
      <formula>"OK"</formula>
    </cfRule>
  </conditionalFormatting>
  <conditionalFormatting sqref="C12">
    <cfRule type="cellIs" dxfId="423" priority="12" stopIfTrue="1" operator="equal">
      <formula>"WARNING"</formula>
    </cfRule>
  </conditionalFormatting>
  <conditionalFormatting sqref="I17:J17 T17">
    <cfRule type="cellIs" dxfId="422" priority="19" stopIfTrue="1" operator="equal">
      <formula>"ERROR"</formula>
    </cfRule>
    <cfRule type="cellIs" dxfId="421" priority="20" stopIfTrue="1" operator="equal">
      <formula>"OK"</formula>
    </cfRule>
    <cfRule type="cellIs" dxfId="420" priority="21" stopIfTrue="1" operator="equal">
      <formula>"WARNING"</formula>
    </cfRule>
  </conditionalFormatting>
  <conditionalFormatting sqref="AB17">
    <cfRule type="cellIs" dxfId="419" priority="7" stopIfTrue="1" operator="equal">
      <formula>"ERROR"</formula>
    </cfRule>
    <cfRule type="cellIs" dxfId="418" priority="8" stopIfTrue="1" operator="equal">
      <formula>"OK"</formula>
    </cfRule>
    <cfRule type="cellIs" dxfId="417" priority="9" stopIfTrue="1" operator="equal">
      <formula>"WARNING"</formula>
    </cfRule>
  </conditionalFormatting>
  <conditionalFormatting sqref="AK17">
    <cfRule type="cellIs" dxfId="416" priority="4" stopIfTrue="1" operator="equal">
      <formula>"ERROR"</formula>
    </cfRule>
    <cfRule type="cellIs" dxfId="415" priority="5" stopIfTrue="1" operator="equal">
      <formula>"OK"</formula>
    </cfRule>
    <cfRule type="cellIs" dxfId="414" priority="6" stopIfTrue="1" operator="equal">
      <formula>"WARNING"</formula>
    </cfRule>
  </conditionalFormatting>
  <conditionalFormatting sqref="R17:S21">
    <cfRule type="cellIs" dxfId="413" priority="1" stopIfTrue="1" operator="equal">
      <formula>"ERROR"</formula>
    </cfRule>
    <cfRule type="cellIs" dxfId="412" priority="2" stopIfTrue="1" operator="equal">
      <formula>"OK"</formula>
    </cfRule>
    <cfRule type="cellIs" dxfId="41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10" priority="19" stopIfTrue="1" operator="equal">
      <formula>"ERROR"</formula>
    </cfRule>
    <cfRule type="cellIs" dxfId="409" priority="20" stopIfTrue="1" operator="equal">
      <formula>"OK"</formula>
    </cfRule>
    <cfRule type="cellIs" dxfId="408" priority="21" stopIfTrue="1" operator="equal">
      <formula>"WARNING"</formula>
    </cfRule>
  </conditionalFormatting>
  <conditionalFormatting sqref="C4">
    <cfRule type="cellIs" dxfId="407" priority="16" stopIfTrue="1" operator="equal">
      <formula>"ERROR"</formula>
    </cfRule>
    <cfRule type="cellIs" dxfId="406" priority="17" stopIfTrue="1" operator="equal">
      <formula>"OK"</formula>
    </cfRule>
    <cfRule type="cellIs" dxfId="405" priority="18" stopIfTrue="1" operator="equal">
      <formula>"WARNING"</formula>
    </cfRule>
  </conditionalFormatting>
  <conditionalFormatting sqref="C12">
    <cfRule type="cellIs" dxfId="404" priority="13" stopIfTrue="1" operator="equal">
      <formula>"ERROR"</formula>
    </cfRule>
  </conditionalFormatting>
  <conditionalFormatting sqref="C12">
    <cfRule type="cellIs" dxfId="403" priority="14" stopIfTrue="1" operator="equal">
      <formula>"OK"</formula>
    </cfRule>
  </conditionalFormatting>
  <conditionalFormatting sqref="C12">
    <cfRule type="cellIs" dxfId="402" priority="15" stopIfTrue="1" operator="equal">
      <formula>"WARNING"</formula>
    </cfRule>
  </conditionalFormatting>
  <conditionalFormatting sqref="I17:J20">
    <cfRule type="cellIs" dxfId="401" priority="22" stopIfTrue="1" operator="equal">
      <formula>"ERROR"</formula>
    </cfRule>
    <cfRule type="cellIs" dxfId="400" priority="23" stopIfTrue="1" operator="equal">
      <formula>"OK"</formula>
    </cfRule>
    <cfRule type="cellIs" dxfId="399" priority="24" stopIfTrue="1" operator="equal">
      <formula>"WARNING"</formula>
    </cfRule>
  </conditionalFormatting>
  <conditionalFormatting sqref="AB17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AM17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08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08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08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09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09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09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09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09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09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09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09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09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09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09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09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10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10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10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92" priority="61" stopIfTrue="1" operator="equal">
      <formula>"ERROR"</formula>
    </cfRule>
    <cfRule type="cellIs" dxfId="391" priority="62" stopIfTrue="1" operator="equal">
      <formula>"OK"</formula>
    </cfRule>
    <cfRule type="cellIs" dxfId="390" priority="63" stopIfTrue="1" operator="equal">
      <formula>"WARNING"</formula>
    </cfRule>
  </conditionalFormatting>
  <conditionalFormatting sqref="C4">
    <cfRule type="cellIs" dxfId="389" priority="58" stopIfTrue="1" operator="equal">
      <formula>"ERROR"</formula>
    </cfRule>
    <cfRule type="cellIs" dxfId="388" priority="59" stopIfTrue="1" operator="equal">
      <formula>"OK"</formula>
    </cfRule>
    <cfRule type="cellIs" dxfId="387" priority="60" stopIfTrue="1" operator="equal">
      <formula>"WARNING"</formula>
    </cfRule>
  </conditionalFormatting>
  <conditionalFormatting sqref="C13">
    <cfRule type="cellIs" dxfId="386" priority="55" stopIfTrue="1" operator="equal">
      <formula>"ERROR"</formula>
    </cfRule>
  </conditionalFormatting>
  <conditionalFormatting sqref="C13">
    <cfRule type="cellIs" dxfId="385" priority="56" stopIfTrue="1" operator="equal">
      <formula>"OK"</formula>
    </cfRule>
  </conditionalFormatting>
  <conditionalFormatting sqref="C13">
    <cfRule type="cellIs" dxfId="384" priority="57" stopIfTrue="1" operator="equal">
      <formula>"WARNING"</formula>
    </cfRule>
  </conditionalFormatting>
  <conditionalFormatting sqref="C31">
    <cfRule type="cellIs" dxfId="383" priority="52" stopIfTrue="1" operator="equal">
      <formula>"ERROR"</formula>
    </cfRule>
  </conditionalFormatting>
  <conditionalFormatting sqref="C31">
    <cfRule type="cellIs" dxfId="382" priority="53" stopIfTrue="1" operator="equal">
      <formula>"OK"</formula>
    </cfRule>
  </conditionalFormatting>
  <conditionalFormatting sqref="C31">
    <cfRule type="cellIs" dxfId="381" priority="54" stopIfTrue="1" operator="equal">
      <formula>"WARNING"</formula>
    </cfRule>
  </conditionalFormatting>
  <conditionalFormatting sqref="Y21:AD26">
    <cfRule type="cellIs" dxfId="380" priority="64" stopIfTrue="1" operator="equal">
      <formula>"ERROR"</formula>
    </cfRule>
    <cfRule type="cellIs" dxfId="379" priority="65" stopIfTrue="1" operator="equal">
      <formula>"OK"</formula>
    </cfRule>
    <cfRule type="cellIs" dxfId="378" priority="66" stopIfTrue="1" operator="equal">
      <formula>"WARNING"</formula>
    </cfRule>
  </conditionalFormatting>
  <conditionalFormatting sqref="C17">
    <cfRule type="cellIs" dxfId="377" priority="16" stopIfTrue="1" operator="equal">
      <formula>"ERROR"</formula>
    </cfRule>
  </conditionalFormatting>
  <conditionalFormatting sqref="C17">
    <cfRule type="cellIs" dxfId="376" priority="17" stopIfTrue="1" operator="equal">
      <formula>"OK"</formula>
    </cfRule>
  </conditionalFormatting>
  <conditionalFormatting sqref="C17">
    <cfRule type="cellIs" dxfId="375" priority="18" stopIfTrue="1" operator="equal">
      <formula>"WARNING"</formula>
    </cfRule>
  </conditionalFormatting>
  <conditionalFormatting sqref="AP20">
    <cfRule type="cellIs" dxfId="374" priority="67" stopIfTrue="1" operator="equal">
      <formula>"ERROR"</formula>
    </cfRule>
    <cfRule type="cellIs" dxfId="373" priority="68" stopIfTrue="1" operator="equal">
      <formula>"OK"</formula>
    </cfRule>
    <cfRule type="cellIs" dxfId="372" priority="69" stopIfTrue="1" operator="equal">
      <formula>"WARNING"</formula>
    </cfRule>
  </conditionalFormatting>
  <conditionalFormatting sqref="AG17">
    <cfRule type="cellIs" dxfId="371" priority="13" stopIfTrue="1" operator="equal">
      <formula>"ERROR"</formula>
    </cfRule>
  </conditionalFormatting>
  <conditionalFormatting sqref="AG17">
    <cfRule type="cellIs" dxfId="370" priority="14" stopIfTrue="1" operator="equal">
      <formula>"OK"</formula>
    </cfRule>
  </conditionalFormatting>
  <conditionalFormatting sqref="AG17">
    <cfRule type="cellIs" dxfId="369" priority="15" stopIfTrue="1" operator="equal">
      <formula>"WARNING"</formula>
    </cfRule>
  </conditionalFormatting>
  <conditionalFormatting sqref="BB20">
    <cfRule type="cellIs" dxfId="368" priority="10" stopIfTrue="1" operator="equal">
      <formula>"ERROR"</formula>
    </cfRule>
    <cfRule type="cellIs" dxfId="367" priority="11" stopIfTrue="1" operator="equal">
      <formula>"OK"</formula>
    </cfRule>
    <cfRule type="cellIs" dxfId="366" priority="12" stopIfTrue="1" operator="equal">
      <formula>"WARNING"</formula>
    </cfRule>
  </conditionalFormatting>
  <conditionalFormatting sqref="AS17">
    <cfRule type="cellIs" dxfId="365" priority="7" stopIfTrue="1" operator="equal">
      <formula>"ERROR"</formula>
    </cfRule>
  </conditionalFormatting>
  <conditionalFormatting sqref="AS17">
    <cfRule type="cellIs" dxfId="364" priority="8" stopIfTrue="1" operator="equal">
      <formula>"OK"</formula>
    </cfRule>
  </conditionalFormatting>
  <conditionalFormatting sqref="AS17">
    <cfRule type="cellIs" dxfId="363" priority="9" stopIfTrue="1" operator="equal">
      <formula>"WARNING"</formula>
    </cfRule>
  </conditionalFormatting>
  <conditionalFormatting sqref="H38:H43">
    <cfRule type="cellIs" dxfId="362" priority="70" stopIfTrue="1" operator="equal">
      <formula>"ERROR"</formula>
    </cfRule>
  </conditionalFormatting>
  <conditionalFormatting sqref="H38:H43">
    <cfRule type="cellIs" dxfId="361" priority="71" stopIfTrue="1" operator="equal">
      <formula>"OK"</formula>
    </cfRule>
  </conditionalFormatting>
  <conditionalFormatting sqref="H38:H43">
    <cfRule type="cellIs" dxfId="360" priority="72" stopIfTrue="1" operator="equal">
      <formula>"WARNING"</formula>
    </cfRule>
  </conditionalFormatting>
  <conditionalFormatting sqref="C35">
    <cfRule type="cellIs" dxfId="359" priority="4" stopIfTrue="1" operator="equal">
      <formula>"ERROR"</formula>
    </cfRule>
  </conditionalFormatting>
  <conditionalFormatting sqref="C35">
    <cfRule type="cellIs" dxfId="358" priority="5" stopIfTrue="1" operator="equal">
      <formula>"OK"</formula>
    </cfRule>
  </conditionalFormatting>
  <conditionalFormatting sqref="C35">
    <cfRule type="cellIs" dxfId="357" priority="6" stopIfTrue="1" operator="equal">
      <formula>"WARNING"</formula>
    </cfRule>
  </conditionalFormatting>
  <conditionalFormatting sqref="K35">
    <cfRule type="cellIs" dxfId="356" priority="1" stopIfTrue="1" operator="equal">
      <formula>"ERROR"</formula>
    </cfRule>
  </conditionalFormatting>
  <conditionalFormatting sqref="K35">
    <cfRule type="cellIs" dxfId="355" priority="2" stopIfTrue="1" operator="equal">
      <formula>"OK"</formula>
    </cfRule>
  </conditionalFormatting>
  <conditionalFormatting sqref="K35">
    <cfRule type="cellIs" dxfId="354" priority="3" stopIfTrue="1" operator="equal">
      <formula>"WARNING"</formula>
    </cfRule>
  </conditionalFormatting>
  <conditionalFormatting sqref="S38">
    <cfRule type="cellIs" dxfId="353" priority="73" stopIfTrue="1" operator="equal">
      <formula>"ERROR"</formula>
    </cfRule>
  </conditionalFormatting>
  <conditionalFormatting sqref="S38">
    <cfRule type="cellIs" dxfId="352" priority="74" stopIfTrue="1" operator="equal">
      <formula>"OK"</formula>
    </cfRule>
  </conditionalFormatting>
  <conditionalFormatting sqref="S38">
    <cfRule type="cellIs" dxfId="35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1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Ok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Ok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Ok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Ok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@@ExampleCurve::15:20:10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Ok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Ok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cm="1">
        <f t="array" aca="1" ref="D46" ca="1">_xll.d.Curve_GetDiscountFactors($C$18,B46)</f>
        <v>1</v>
      </c>
      <c r="E46" s="634" t="str" cm="1">
        <f t="array" aca="1" ref="E46" ca="1">_xll.d.TestUtils_Equal(C46,D46)</f>
        <v>Ok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cm="1">
        <f t="array" aca="1" ref="D47" ca="1">_xll.d.Curve_GetDiscountFactors($C$18,B47)</f>
        <v>0.99547142371128639</v>
      </c>
      <c r="E47" s="634" t="str" cm="1">
        <f t="array" aca="1" ref="E47" ca="1">_xll.d.TestUtils_Equal(C47,D47)</f>
        <v>Ok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cm="1">
        <f t="array" aca="1" ref="D48" ca="1">_xll.d.Curve_GetDiscountFactors($C$18,B48)</f>
        <v>0.99</v>
      </c>
      <c r="E48" s="634" t="str" cm="1">
        <f t="array" aca="1" ref="E48" ca="1">_xll.d.TestUtils_Equal(C48,D48)</f>
        <v>Ok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cm="1">
        <f t="array" aca="1" ref="D49" ca="1">_xll.d.Curve_GetDiscountFactors($C$18,B49)</f>
        <v>0.98498730956292024</v>
      </c>
      <c r="E49" s="634" t="str" cm="1">
        <f t="array" aca="1" ref="E49" ca="1">_xll.d.TestUtils_Equal(C49,D49)</f>
        <v>Ok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cm="1">
        <f t="array" aca="1" ref="D50" ca="1">_xll.d.Curve_GetDiscountFactors($C$18,B50)</f>
        <v>0.98</v>
      </c>
      <c r="E50" s="634" t="str" cm="1">
        <f t="array" aca="1" ref="E50" ca="1">_xll.d.TestUtils_Equal(C50,D50)</f>
        <v>Ok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cm="1">
        <f t="array" aca="1" ref="D51" ca="1">_xll.d.Curve_GetDiscountFactors($C$18,B51)</f>
        <v>0.97547116833738268</v>
      </c>
      <c r="E51" s="634" t="str" cm="1">
        <f t="array" aca="1" ref="E51" ca="1">_xll.d.TestUtils_Equal(C51,D51)</f>
        <v>Ok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cm="1">
        <f t="array" aca="1" ref="D52" ca="1">_xll.d.Curve_GetDiscountFactors($C$18,B52)</f>
        <v>0.97</v>
      </c>
      <c r="E52" s="634" t="str" cm="1">
        <f t="array" aca="1" ref="E52" ca="1">_xll.d.TestUtils_Equal(C52,D52)</f>
        <v>Ok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cm="1">
        <f t="array" aca="1" ref="D53" ca="1">_xll.d.Curve_GetDiscountFactors($C$18,B53)</f>
        <v>0.96532043596444328</v>
      </c>
      <c r="E53" s="634" t="str" cm="1">
        <f t="array" aca="1" ref="E53" ca="1">_xll.d.TestUtils_Equal(C53,D53)</f>
        <v>Ok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cm="1">
        <f t="array" aca="1" ref="D54" ca="1">_xll.d.Curve_GetDiscountFactors($C$18,B54)</f>
        <v>0.96</v>
      </c>
      <c r="E54" s="634" t="str" cm="1">
        <f t="array" aca="1" ref="E54" ca="1">_xll.d.TestUtils_Equal(C54,D54)</f>
        <v>Ok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cm="1">
        <f t="array" aca="1" ref="D55" ca="1">_xll.d.Curve_GetDiscountFactors($C$18,B55)</f>
        <v>0.8356958461194135</v>
      </c>
      <c r="E55" s="634" t="str" cm="1">
        <f t="array" aca="1" ref="E55" ca="1">_xll.d.TestUtils_Equal(C55,D55)</f>
        <v>Ok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cm="1">
        <f t="array" aca="1" ref="D56" ca="1">_xll.d.Curve_GetDiscountFactors($C$18,B56)</f>
        <v>0.62</v>
      </c>
      <c r="E56" s="639" t="str" cm="1">
        <f t="array" aca="1" ref="E56" ca="1">_xll.d.TestUtils_Equal(C56,D56)</f>
        <v>Ok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Ok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cm="1">
        <f t="array" aca="1" ref="D81" ca="1">_xll.d.Curve_GetDiscountFactors($C$18,B81)</f>
        <v>0.99</v>
      </c>
      <c r="E81" s="530" cm="1">
        <f t="array" aca="1" ref="E81" ca="1">_xll.d.Curve_GetDiscountFactors($C$18,C81)</f>
        <v>0.96</v>
      </c>
      <c r="F81" s="523" cm="1">
        <f t="array" aca="1" ref="F81" ca="1">_xll.d.IR_DiscountFactorsToForwardRate($F$79,D81,E81,YEARFRAC(B81,C81,3))</f>
        <v>0.1261983754310686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Ok</v>
      </c>
      <c r="J81" s="523" cm="1">
        <f t="array" aca="1" ref="J81" ca="1">_xll.d.IR_DiscountFactorsToForwardRate($J$79,D81,E81,YEARFRAC(B81,C81,3))</f>
        <v>0.13450720431718377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Ok</v>
      </c>
      <c r="N81" s="523" cm="1">
        <f t="array" aca="1" ref="N81" ca="1">_xll.d.IR_DiscountFactorsToForwardRate($N$79,D81,E81,YEARFRAC(B81,C81,3))</f>
        <v>0.13026496409923993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Ok</v>
      </c>
      <c r="Q81" s="523" cm="1">
        <f t="array" aca="1" ref="Q81" ca="1">_xll.d.IR_DiscountFactorsToForwardRate($Q$79,D81,E81,YEARFRAC(B81,C81,3))</f>
        <v>0.12821023117693464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Ok</v>
      </c>
      <c r="T81" s="523" cm="1">
        <f t="array" aca="1" ref="T81" ca="1">_xll.d.IR_DiscountFactorsToForwardRate($T$79,D81,E81,YEARFRAC(B81,C81,3))</f>
        <v>0.12686429234424779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Ok</v>
      </c>
      <c r="W81" s="523" cm="1">
        <f t="array" aca="1" ref="W81" ca="1">_xll.d.IR_DiscountFactorsToForwardRate($W$79,D81,E81,YEARFRAC(B81,C81,3))</f>
        <v>0.12816011235955058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Ok</v>
      </c>
    </row>
    <row r="82" spans="2:25" x14ac:dyDescent="0.25">
      <c r="B82" s="514">
        <f>B68</f>
        <v>44621</v>
      </c>
      <c r="C82" s="528">
        <f>EDATE(B82,3)</f>
        <v>44713</v>
      </c>
      <c r="D82" s="531" cm="1">
        <f t="array" aca="1" ref="D82" ca="1">_xll.d.Curve_GetDiscountFactors($C$18,B82)</f>
        <v>0.98</v>
      </c>
      <c r="E82" s="531" cm="1">
        <f t="array" aca="1" ref="E82" ca="1">_xll.d.Curve_GetDiscountFactors($C$18,C82)</f>
        <v>0.95033887992895882</v>
      </c>
      <c r="F82" s="524" cm="1">
        <f t="array" aca="1" ref="F82" ca="1">_xll.d.IR_DiscountFactorsToForwardRate($F$79,D82,E82,YEARFRAC(B82,C82,3))</f>
        <v>0.12193354632163705</v>
      </c>
      <c r="G82" s="524">
        <v>0.12193354632163736</v>
      </c>
      <c r="H82" s="524"/>
      <c r="I82" s="516" t="str" cm="1">
        <f t="array" aca="1" ref="I82" ca="1">_xll.d.TestUtils_Equal(F82,G82)</f>
        <v>Ok</v>
      </c>
      <c r="J82" s="524" cm="1">
        <f t="array" aca="1" ref="J82" ca="1">_xll.d.IR_DiscountFactorsToForwardRate($J$79,D82,E82,YEARFRAC(B82,C82,3))</f>
        <v>0.12967902795910313</v>
      </c>
      <c r="K82" s="524">
        <v>0.12967902795910358</v>
      </c>
      <c r="L82" s="524"/>
      <c r="M82" s="516" t="str" cm="1">
        <f t="array" aca="1" ref="M82" ca="1">_xll.d.TestUtils_Equal(J82,K82)</f>
        <v>Ok</v>
      </c>
      <c r="N82" s="524" cm="1">
        <f t="array" aca="1" ref="N82" ca="1">_xll.d.IR_DiscountFactorsToForwardRate($N$79,D82,E82,YEARFRAC(B82,C82,3))</f>
        <v>0.12572719600526661</v>
      </c>
      <c r="O82" s="524">
        <v>0.12572719600526661</v>
      </c>
      <c r="P82" s="516" t="str" cm="1">
        <f t="array" aca="1" ref="P82" ca="1">_xll.d.TestUtils_Equal(N82,O82)</f>
        <v>Ok</v>
      </c>
      <c r="Q82" s="524" cm="1">
        <f t="array" aca="1" ref="Q82" ca="1">_xll.d.IR_DiscountFactorsToForwardRate($Q$79,D82,E82,YEARFRAC(B82,C82,3))</f>
        <v>0.12381104902275197</v>
      </c>
      <c r="R82" s="524">
        <v>0.12381104902275286</v>
      </c>
      <c r="S82" s="516" t="str" cm="1">
        <f t="array" aca="1" ref="S82" ca="1">_xll.d.TestUtils_Equal(Q82,R82)</f>
        <v>Ok</v>
      </c>
      <c r="T82" s="524" cm="1">
        <f t="array" aca="1" ref="T82" ca="1">_xll.d.IR_DiscountFactorsToForwardRate($T$79,D82,E82,YEARFRAC(B82,C82,3))</f>
        <v>0.12255514114432575</v>
      </c>
      <c r="U82" s="524">
        <v>0.12255514114432575</v>
      </c>
      <c r="V82" s="516" t="str" cm="1">
        <f t="array" aca="1" ref="V82" ca="1">_xll.d.TestUtils_Equal(T82,U82)</f>
        <v>Ok</v>
      </c>
      <c r="W82" s="524" cm="1">
        <f t="array" aca="1" ref="W82" ca="1">_xll.d.IR_DiscountFactorsToForwardRate($W$79,D82,E82,YEARFRAC(B82,C82,3))</f>
        <v>0.12382663945714034</v>
      </c>
      <c r="X82" s="524">
        <v>0.12382663945714034</v>
      </c>
      <c r="Y82" s="522" t="str" cm="1">
        <f t="array" aca="1" ref="Y82" ca="1">_xll.d.TestUtils_Equal(W82,X82)</f>
        <v>Ok</v>
      </c>
    </row>
    <row r="83" spans="2:25" x14ac:dyDescent="0.25">
      <c r="B83" s="514">
        <f>B69</f>
        <v>44652</v>
      </c>
      <c r="C83" s="528">
        <f>EDATE(B83,3)</f>
        <v>44743</v>
      </c>
      <c r="D83" s="531" cm="1">
        <f t="array" aca="1" ref="D83" ca="1">_xll.d.Curve_GetDiscountFactors($C$18,B83)</f>
        <v>0.97</v>
      </c>
      <c r="E83" s="531" cm="1">
        <f t="array" aca="1" ref="E83" ca="1">_xll.d.Curve_GetDiscountFactors($C$18,C83)</f>
        <v>0.94108199131668513</v>
      </c>
      <c r="F83" s="524" cm="1">
        <f t="array" aca="1" ref="F83" ca="1">_xll.d.IR_DiscountFactorsToForwardRate($F$79,D83,E83,YEARFRAC(B83,C83,3))</f>
        <v>0.12139580563464189</v>
      </c>
      <c r="G83" s="524">
        <v>0.12139580563464152</v>
      </c>
      <c r="H83" s="524"/>
      <c r="I83" s="516" t="str" cm="1">
        <f t="array" aca="1" ref="I83" ca="1">_xll.d.TestUtils_Equal(F83,G83)</f>
        <v>Ok</v>
      </c>
      <c r="J83" s="524" cm="1">
        <f t="array" aca="1" ref="J83" ca="1">_xll.d.IR_DiscountFactorsToForwardRate($J$79,D83,E83,YEARFRAC(B83,C83,3))</f>
        <v>0.12907171688509589</v>
      </c>
      <c r="K83" s="524">
        <v>0.12907171688509544</v>
      </c>
      <c r="L83" s="524"/>
      <c r="M83" s="516" t="str" cm="1">
        <f t="array" aca="1" ref="M83" ca="1">_xll.d.TestUtils_Equal(J83,K83)</f>
        <v>Ok</v>
      </c>
      <c r="N83" s="524" cm="1">
        <f t="array" aca="1" ref="N83" ca="1">_xll.d.IR_DiscountFactorsToForwardRate($N$79,D83,E83,YEARFRAC(B83,C83,3))</f>
        <v>0.12515572783275886</v>
      </c>
      <c r="O83" s="524">
        <v>0.12515572783275841</v>
      </c>
      <c r="P83" s="516" t="str" cm="1">
        <f t="array" aca="1" ref="P83" ca="1">_xll.d.TestUtils_Equal(N83,O83)</f>
        <v>Ok</v>
      </c>
      <c r="Q83" s="524" cm="1">
        <f t="array" aca="1" ref="Q83" ca="1">_xll.d.IR_DiscountFactorsToForwardRate($Q$79,D83,E83,YEARFRAC(B83,C83,3))</f>
        <v>0.1232567010388852</v>
      </c>
      <c r="R83" s="524">
        <v>0.1232567010388852</v>
      </c>
      <c r="S83" s="516" t="str" cm="1">
        <f t="array" aca="1" ref="S83" ca="1">_xll.d.TestUtils_Equal(Q83,R83)</f>
        <v>Ok</v>
      </c>
      <c r="T83" s="524" cm="1">
        <f t="array" aca="1" ref="T83" ca="1">_xll.d.IR_DiscountFactorsToForwardRate($T$79,D83,E83,YEARFRAC(B83,C83,3))</f>
        <v>0.12201192072159373</v>
      </c>
      <c r="U83" s="524">
        <v>0.12201192072159373</v>
      </c>
      <c r="V83" s="516" t="str" cm="1">
        <f t="array" aca="1" ref="V83" ca="1">_xll.d.TestUtils_Equal(T83,U83)</f>
        <v>Ok</v>
      </c>
      <c r="W83" s="524" cm="1">
        <f t="array" aca="1" ref="W83" ca="1">_xll.d.IR_DiscountFactorsToForwardRate($W$79,D83,E83,YEARFRAC(B83,C83,3))</f>
        <v>0.12325155100054225</v>
      </c>
      <c r="X83" s="524">
        <v>0.12325155100054225</v>
      </c>
      <c r="Y83" s="522" t="str" cm="1">
        <f t="array" aca="1" ref="Y83" ca="1">_xll.d.TestUtils_Equal(W83,X83)</f>
        <v>Ok</v>
      </c>
    </row>
    <row r="84" spans="2:25" x14ac:dyDescent="0.25">
      <c r="B84" s="514">
        <f>B70</f>
        <v>44682</v>
      </c>
      <c r="C84" s="528">
        <f>EDATE(B84,3)</f>
        <v>44774</v>
      </c>
      <c r="D84" s="531" cm="1">
        <f t="array" aca="1" ref="D84" ca="1">_xll.d.Curve_GetDiscountFactors($C$18,B84)</f>
        <v>0.96</v>
      </c>
      <c r="E84" s="531" cm="1">
        <f t="array" aca="1" ref="E84" ca="1">_xll.d.Curve_GetDiscountFactors($C$18,C84)</f>
        <v>0.93161125578042991</v>
      </c>
      <c r="F84" s="524" cm="1">
        <f t="array" aca="1" ref="F84" ca="1">_xll.d.IR_DiscountFactorsToForwardRate($F$79,D84,E84,YEARFRAC(B84,C84,3))</f>
        <v>0.11909182040619554</v>
      </c>
      <c r="G84" s="524">
        <v>0.11909182040619548</v>
      </c>
      <c r="H84" s="524"/>
      <c r="I84" s="516" t="str" cm="1">
        <f t="array" aca="1" ref="I84" ca="1">_xll.d.TestUtils_Equal(F84,G84)</f>
        <v>Ok</v>
      </c>
      <c r="J84" s="524" cm="1">
        <f t="array" aca="1" ref="J84" ca="1">_xll.d.IR_DiscountFactorsToForwardRate($J$79,D84,E84,YEARFRAC(B84,C84,3))</f>
        <v>0.12647334678012689</v>
      </c>
      <c r="K84" s="524">
        <v>0.12647334678012689</v>
      </c>
      <c r="L84" s="524"/>
      <c r="M84" s="516" t="str" cm="1">
        <f t="array" aca="1" ref="M84" ca="1">_xll.d.TestUtils_Equal(J84,K84)</f>
        <v>Ok</v>
      </c>
      <c r="N84" s="524" cm="1">
        <f t="array" aca="1" ref="N84" ca="1">_xll.d.IR_DiscountFactorsToForwardRate($N$79,D84,E84,YEARFRAC(B84,C84,3))</f>
        <v>0.1227089737221414</v>
      </c>
      <c r="O84" s="524">
        <v>0.1227089737221414</v>
      </c>
      <c r="P84" s="516" t="str" cm="1">
        <f t="array" aca="1" ref="P84" ca="1">_xll.d.TestUtils_Equal(N84,O84)</f>
        <v>Ok</v>
      </c>
      <c r="Q84" s="524" cm="1">
        <f t="array" aca="1" ref="Q84" ca="1">_xll.d.IR_DiscountFactorsToForwardRate($Q$79,D84,E84,YEARFRAC(B84,C84,3))</f>
        <v>0.12088240426454444</v>
      </c>
      <c r="R84" s="524">
        <v>0.12088240426454444</v>
      </c>
      <c r="S84" s="516" t="str" cm="1">
        <f t="array" aca="1" ref="S84" ca="1">_xll.d.TestUtils_Equal(Q84,R84)</f>
        <v>Ok</v>
      </c>
      <c r="T84" s="524" cm="1">
        <f t="array" aca="1" ref="T84" ca="1">_xll.d.IR_DiscountFactorsToForwardRate($T$79,D84,E84,YEARFRAC(B84,C84,3))</f>
        <v>0.11968473277032032</v>
      </c>
      <c r="U84" s="524">
        <v>0.11968473277032032</v>
      </c>
      <c r="V84" s="516" t="str" cm="1">
        <f t="array" aca="1" ref="V84" ca="1">_xll.d.TestUtils_Equal(T84,U84)</f>
        <v>Ok</v>
      </c>
      <c r="W84" s="524" cm="1">
        <f t="array" aca="1" ref="W84" ca="1">_xll.d.IR_DiscountFactorsToForwardRate($W$79,D84,E84,YEARFRAC(B84,C84,3))</f>
        <v>0.12089726939132452</v>
      </c>
      <c r="X84" s="524">
        <v>0.12089726939132452</v>
      </c>
      <c r="Y84" s="522" t="str" cm="1">
        <f t="array" aca="1" ref="Y84" ca="1">_xll.d.TestUtils_Equal(W84,X84)</f>
        <v>Ok</v>
      </c>
    </row>
    <row r="85" spans="2:25" x14ac:dyDescent="0.25">
      <c r="B85" s="515">
        <v>44713</v>
      </c>
      <c r="C85" s="529">
        <f>EDATE(B85,3)</f>
        <v>44805</v>
      </c>
      <c r="D85" s="532" cm="1">
        <f t="array" aca="1" ref="D85" ca="1">_xll.d.Curve_GetDiscountFactors($C$18,B85)</f>
        <v>0.95033887992895882</v>
      </c>
      <c r="E85" s="532" cm="1">
        <f t="array" aca="1" ref="E85" ca="1">_xll.d.Curve_GetDiscountFactors($C$18,C85)</f>
        <v>0.92223583057040071</v>
      </c>
      <c r="F85" s="525" cm="1">
        <f t="array" aca="1" ref="F85" ca="1">_xll.d.IR_DiscountFactorsToForwardRate($F$79,D85,E85,YEARFRAC(B85,C85,3))</f>
        <v>0.11909182040619504</v>
      </c>
      <c r="G85" s="525">
        <v>0.11909182040619463</v>
      </c>
      <c r="H85" s="525"/>
      <c r="I85" s="518" t="str" cm="1">
        <f t="array" aca="1" ref="I85" ca="1">_xll.d.TestUtils_Equal(F85,G85)</f>
        <v>Ok</v>
      </c>
      <c r="J85" s="525" cm="1">
        <f t="array" aca="1" ref="J85" ca="1">_xll.d.IR_DiscountFactorsToForwardRate($J$79,D85,E85,YEARFRAC(B85,C85,3))</f>
        <v>0.12647334678012645</v>
      </c>
      <c r="K85" s="525">
        <v>0.12647334678012601</v>
      </c>
      <c r="L85" s="525"/>
      <c r="M85" s="518" t="str" cm="1">
        <f t="array" aca="1" ref="M85" ca="1">_xll.d.TestUtils_Equal(J85,K85)</f>
        <v>Ok</v>
      </c>
      <c r="N85" s="525" cm="1">
        <f t="array" aca="1" ref="N85" ca="1">_xll.d.IR_DiscountFactorsToForwardRate($N$79,D85,E85,YEARFRAC(B85,C85,3))</f>
        <v>0.12270897372214096</v>
      </c>
      <c r="O85" s="525">
        <v>0.12270897372214051</v>
      </c>
      <c r="P85" s="518" t="str" cm="1">
        <f t="array" aca="1" ref="P85" ca="1">_xll.d.TestUtils_Equal(N85,O85)</f>
        <v>Ok</v>
      </c>
      <c r="Q85" s="525" cm="1">
        <f t="array" aca="1" ref="Q85" ca="1">_xll.d.IR_DiscountFactorsToForwardRate($Q$79,D85,E85,YEARFRAC(B85,C85,3))</f>
        <v>0.12088240426454444</v>
      </c>
      <c r="R85" s="525">
        <v>0.12088240426454355</v>
      </c>
      <c r="S85" s="518" t="str" cm="1">
        <f t="array" aca="1" ref="S85" ca="1">_xll.d.TestUtils_Equal(Q85,R85)</f>
        <v>Ok</v>
      </c>
      <c r="T85" s="525" cm="1">
        <f t="array" aca="1" ref="T85" ca="1">_xll.d.IR_DiscountFactorsToForwardRate($T$79,D85,E85,YEARFRAC(B85,C85,3))</f>
        <v>0.11968473277032032</v>
      </c>
      <c r="U85" s="525">
        <v>0.11968473277032032</v>
      </c>
      <c r="V85" s="518" t="str" cm="1">
        <f t="array" aca="1" ref="V85" ca="1">_xll.d.TestUtils_Equal(T85,U85)</f>
        <v>Ok</v>
      </c>
      <c r="W85" s="525" cm="1">
        <f t="array" aca="1" ref="W85" ca="1">_xll.d.IR_DiscountFactorsToForwardRate($W$79,D85,E85,YEARFRAC(B85,C85,3))</f>
        <v>0.12089726939132364</v>
      </c>
      <c r="X85" s="525">
        <v>0.12089726939132364</v>
      </c>
      <c r="Y85" s="512" t="str" cm="1">
        <f t="array" aca="1" ref="Y85" ca="1">_xll.d.TestUtils_Equal(W85,X85)</f>
        <v>Ok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50" priority="39" stopIfTrue="1" operator="equal">
      <formula>"OK"</formula>
    </cfRule>
    <cfRule type="cellIs" dxfId="349" priority="40" stopIfTrue="1" operator="equal">
      <formula>"ERROR"</formula>
    </cfRule>
  </conditionalFormatting>
  <conditionalFormatting sqref="C42">
    <cfRule type="cellIs" dxfId="348" priority="37" stopIfTrue="1" operator="equal">
      <formula>"OK"</formula>
    </cfRule>
    <cfRule type="cellIs" dxfId="347" priority="38" stopIfTrue="1" operator="equal">
      <formula>"ERROR"</formula>
    </cfRule>
  </conditionalFormatting>
  <conditionalFormatting sqref="C14">
    <cfRule type="cellIs" dxfId="346" priority="41" stopIfTrue="1" operator="equal">
      <formula>"OK"</formula>
    </cfRule>
    <cfRule type="cellIs" dxfId="345" priority="42" stopIfTrue="1" operator="equal">
      <formula>"ERROR"</formula>
    </cfRule>
  </conditionalFormatting>
  <conditionalFormatting sqref="E67:E71">
    <cfRule type="cellIs" dxfId="344" priority="35" stopIfTrue="1" operator="equal">
      <formula>"OK"</formula>
    </cfRule>
    <cfRule type="cellIs" dxfId="343" priority="36" stopIfTrue="1" operator="equal">
      <formula>"ERROR"</formula>
    </cfRule>
  </conditionalFormatting>
  <conditionalFormatting sqref="S67:S71">
    <cfRule type="cellIs" dxfId="342" priority="33" stopIfTrue="1" operator="equal">
      <formula>"OK"</formula>
    </cfRule>
    <cfRule type="cellIs" dxfId="341" priority="34" stopIfTrue="1" operator="equal">
      <formula>"ERROR"</formula>
    </cfRule>
  </conditionalFormatting>
  <conditionalFormatting sqref="P67:P71">
    <cfRule type="cellIs" dxfId="340" priority="31" stopIfTrue="1" operator="equal">
      <formula>"OK"</formula>
    </cfRule>
    <cfRule type="cellIs" dxfId="339" priority="32" stopIfTrue="1" operator="equal">
      <formula>"ERROR"</formula>
    </cfRule>
  </conditionalFormatting>
  <conditionalFormatting sqref="M46">
    <cfRule type="cellIs" dxfId="338" priority="29" stopIfTrue="1" operator="equal">
      <formula>"OK"</formula>
    </cfRule>
    <cfRule type="cellIs" dxfId="337" priority="30" stopIfTrue="1" operator="equal">
      <formula>"ERROR"</formula>
    </cfRule>
  </conditionalFormatting>
  <conditionalFormatting sqref="C7">
    <cfRule type="cellIs" dxfId="336" priority="43" stopIfTrue="1" operator="equal">
      <formula>"ERROR"</formula>
    </cfRule>
    <cfRule type="cellIs" dxfId="335" priority="44" stopIfTrue="1" operator="equal">
      <formula>"OK"</formula>
    </cfRule>
    <cfRule type="cellIs" dxfId="334" priority="45" stopIfTrue="1" operator="equal">
      <formula>"WARNING"</formula>
    </cfRule>
  </conditionalFormatting>
  <conditionalFormatting sqref="H42">
    <cfRule type="cellIs" dxfId="333" priority="27" stopIfTrue="1" operator="equal">
      <formula>"OK"</formula>
    </cfRule>
    <cfRule type="cellIs" dxfId="332" priority="28" stopIfTrue="1" operator="equal">
      <formula>"ERROR"</formula>
    </cfRule>
  </conditionalFormatting>
  <conditionalFormatting sqref="I67:I71">
    <cfRule type="cellIs" dxfId="331" priority="25" stopIfTrue="1" operator="equal">
      <formula>"OK"</formula>
    </cfRule>
    <cfRule type="cellIs" dxfId="330" priority="26" stopIfTrue="1" operator="equal">
      <formula>"ERROR"</formula>
    </cfRule>
  </conditionalFormatting>
  <conditionalFormatting sqref="C62">
    <cfRule type="cellIs" dxfId="329" priority="23" stopIfTrue="1" operator="equal">
      <formula>"OK"</formula>
    </cfRule>
    <cfRule type="cellIs" dxfId="328" priority="24" stopIfTrue="1" operator="equal">
      <formula>"ERROR"</formula>
    </cfRule>
  </conditionalFormatting>
  <conditionalFormatting sqref="M67:M71">
    <cfRule type="cellIs" dxfId="327" priority="21" stopIfTrue="1" operator="equal">
      <formula>"OK"</formula>
    </cfRule>
    <cfRule type="cellIs" dxfId="326" priority="22" stopIfTrue="1" operator="equal">
      <formula>"ERROR"</formula>
    </cfRule>
  </conditionalFormatting>
  <conditionalFormatting sqref="V67:V71">
    <cfRule type="cellIs" dxfId="325" priority="19" stopIfTrue="1" operator="equal">
      <formula>"OK"</formula>
    </cfRule>
    <cfRule type="cellIs" dxfId="324" priority="20" stopIfTrue="1" operator="equal">
      <formula>"ERROR"</formula>
    </cfRule>
  </conditionalFormatting>
  <conditionalFormatting sqref="C8">
    <cfRule type="cellIs" dxfId="323" priority="46" stopIfTrue="1" operator="equal">
      <formula>"ERROR"</formula>
    </cfRule>
    <cfRule type="cellIs" dxfId="322" priority="47" stopIfTrue="1" operator="equal">
      <formula>"OK"</formula>
    </cfRule>
    <cfRule type="cellIs" dxfId="321" priority="48" stopIfTrue="1" operator="equal">
      <formula>"WARNING"</formula>
    </cfRule>
  </conditionalFormatting>
  <conditionalFormatting sqref="C4">
    <cfRule type="cellIs" dxfId="320" priority="17" stopIfTrue="1" operator="equal">
      <formula>"OK"</formula>
    </cfRule>
    <cfRule type="cellIs" dxfId="319" priority="18" stopIfTrue="1" operator="equal">
      <formula>"ERROR"</formula>
    </cfRule>
  </conditionalFormatting>
  <conditionalFormatting sqref="I81:I85">
    <cfRule type="cellIs" dxfId="318" priority="15" stopIfTrue="1" operator="equal">
      <formula>"OK"</formula>
    </cfRule>
    <cfRule type="cellIs" dxfId="317" priority="16" stopIfTrue="1" operator="equal">
      <formula>"ERROR"</formula>
    </cfRule>
  </conditionalFormatting>
  <conditionalFormatting sqref="V81:V85">
    <cfRule type="cellIs" dxfId="316" priority="13" stopIfTrue="1" operator="equal">
      <formula>"OK"</formula>
    </cfRule>
    <cfRule type="cellIs" dxfId="315" priority="14" stopIfTrue="1" operator="equal">
      <formula>"ERROR"</formula>
    </cfRule>
  </conditionalFormatting>
  <conditionalFormatting sqref="S81:S85">
    <cfRule type="cellIs" dxfId="314" priority="11" stopIfTrue="1" operator="equal">
      <formula>"OK"</formula>
    </cfRule>
    <cfRule type="cellIs" dxfId="313" priority="12" stopIfTrue="1" operator="equal">
      <formula>"ERROR"</formula>
    </cfRule>
  </conditionalFormatting>
  <conditionalFormatting sqref="M81:M85">
    <cfRule type="cellIs" dxfId="312" priority="9" stopIfTrue="1" operator="equal">
      <formula>"OK"</formula>
    </cfRule>
    <cfRule type="cellIs" dxfId="311" priority="10" stopIfTrue="1" operator="equal">
      <formula>"ERROR"</formula>
    </cfRule>
  </conditionalFormatting>
  <conditionalFormatting sqref="C76">
    <cfRule type="cellIs" dxfId="310" priority="7" stopIfTrue="1" operator="equal">
      <formula>"OK"</formula>
    </cfRule>
    <cfRule type="cellIs" dxfId="309" priority="8" stopIfTrue="1" operator="equal">
      <formula>"ERROR"</formula>
    </cfRule>
  </conditionalFormatting>
  <conditionalFormatting sqref="P81:P85">
    <cfRule type="cellIs" dxfId="308" priority="5" stopIfTrue="1" operator="equal">
      <formula>"OK"</formula>
    </cfRule>
    <cfRule type="cellIs" dxfId="307" priority="6" stopIfTrue="1" operator="equal">
      <formula>"ERROR"</formula>
    </cfRule>
  </conditionalFormatting>
  <conditionalFormatting sqref="Y81:Y85">
    <cfRule type="cellIs" dxfId="306" priority="3" stopIfTrue="1" operator="equal">
      <formula>"OK"</formula>
    </cfRule>
    <cfRule type="cellIs" dxfId="305" priority="4" stopIfTrue="1" operator="equal">
      <formula>"ERROR"</formula>
    </cfRule>
  </conditionalFormatting>
  <conditionalFormatting sqref="C9">
    <cfRule type="cellIs" dxfId="304" priority="49" stopIfTrue="1" operator="equal">
      <formula>"ERROR"</formula>
    </cfRule>
    <cfRule type="cellIs" dxfId="303" priority="50" stopIfTrue="1" operator="equal">
      <formula>"OK"</formula>
    </cfRule>
    <cfRule type="cellIs" dxfId="302" priority="51" stopIfTrue="1" operator="equal">
      <formula>"WARNING"</formula>
    </cfRule>
  </conditionalFormatting>
  <conditionalFormatting sqref="C38">
    <cfRule type="cellIs" dxfId="301" priority="1" stopIfTrue="1" operator="equal">
      <formula>"OK"</formula>
    </cfRule>
    <cfRule type="cellIs" dxfId="30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Q95"/>
  <sheetViews>
    <sheetView showGridLines="0" tabSelected="1" topLeftCell="W22" zoomScale="40" zoomScaleNormal="40" workbookViewId="0">
      <selection activeCell="BN62" sqref="BN62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46" x14ac:dyDescent="0.25">
      <c r="B1" s="418" t="s">
        <v>403</v>
      </c>
    </row>
    <row r="2" spans="2:46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4" spans="2:46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46" x14ac:dyDescent="0.25">
      <c r="B6" s="59" t="s">
        <v>155</v>
      </c>
      <c r="C6" s="174" t="str" cm="1">
        <f t="array" aca="1" ref="C6" ca="1">_xll.d.TestUtils_And(D10:D11,D14)</f>
        <v>Ok</v>
      </c>
    </row>
    <row r="8" spans="2:46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46" x14ac:dyDescent="0.25">
      <c r="B9" s="245" t="str">
        <f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46" x14ac:dyDescent="0.25">
      <c r="B10" s="417" t="str">
        <f>B20</f>
        <v>Flat Curve, 3m JIBAR</v>
      </c>
      <c r="C10" s="212"/>
      <c r="D10" s="174" t="str">
        <f ca="1">C22</f>
        <v>Ok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46" x14ac:dyDescent="0.25">
      <c r="B11" s="212" t="s">
        <v>606</v>
      </c>
      <c r="C11" s="212"/>
      <c r="D11" s="174" t="str">
        <f ca="1">N22</f>
        <v>Ok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46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46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46" x14ac:dyDescent="0.25">
      <c r="B14" s="209" t="str">
        <f>AC20</f>
        <v>Real Curve, FEDFUND</v>
      </c>
      <c r="C14" s="244"/>
      <c r="D14" s="174" t="str">
        <f ca="1">AD22</f>
        <v>Ok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46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46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Ok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_xll.d.TestUtils_And(U24:U34,U75:U80,Z26:Z42)</f>
        <v>Ok</v>
      </c>
      <c r="R22" s="241" t="s">
        <v>225</v>
      </c>
      <c r="S22" s="242"/>
      <c r="T22" s="242"/>
      <c r="U22" s="243"/>
      <c r="V22" s="756"/>
      <c r="W22" s="795" t="s">
        <v>508</v>
      </c>
      <c r="X22" s="796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_xll.d.TestUtils_And(AK24:AK30,AK49:AK54,AP24:AP45)</f>
        <v>Ok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ref="AU22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ref="BE22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R23" s="72" t="s">
        <v>34</v>
      </c>
      <c r="S23" s="73" t="s">
        <v>41</v>
      </c>
      <c r="T23" s="73" t="s">
        <v>42</v>
      </c>
      <c r="U23" s="74" t="s">
        <v>83</v>
      </c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>C30</f>
        <v>44713</v>
      </c>
      <c r="H24" s="248">
        <v>1</v>
      </c>
      <c r="I24" s="248" cm="1">
        <f t="array" aca="1" ref="I24" ca="1">_xll.d.Curve_GetDiscountFactors($D$25,G24)</f>
        <v>1</v>
      </c>
      <c r="J24" s="227" t="str" cm="1">
        <f t="array" aca="1" ref="J24" ca="1">_xll.d.TestUtils_Equal(H24,I24,0.00001)</f>
        <v>Ok</v>
      </c>
      <c r="K24" s="213"/>
      <c r="L24" s="214"/>
      <c r="R24" s="238">
        <f>N30</f>
        <v>43861</v>
      </c>
      <c r="S24" s="749">
        <v>1</v>
      </c>
      <c r="T24" s="749" cm="1">
        <f t="array" aca="1" ref="T24" ca="1">_xll.d.Curve_GetDiscountFactors($O$25,R24)</f>
        <v>1</v>
      </c>
      <c r="U24" s="227" t="str" cm="1">
        <f t="array" aca="1" ref="U24" ca="1">_xll.d.TestUtils_Equal(S24,T24,0.00001)</f>
        <v>Ok</v>
      </c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>AD30</f>
        <v>43921</v>
      </c>
      <c r="AI24" s="754">
        <v>1</v>
      </c>
      <c r="AJ24" s="754" cm="1">
        <f t="array" aca="1" ref="AJ24" ca="1">_xll.d.Curve_GetDiscountFactors($AE$25,AH24)</f>
        <v>1</v>
      </c>
      <c r="AK24" s="785" t="str" cm="1">
        <f t="array" aca="1" ref="AK24" ca="1">_xll.d.TestUtils_Equal(AI24,AJ24,0.001)</f>
        <v>Ok</v>
      </c>
      <c r="AM24" s="798">
        <v>43923</v>
      </c>
      <c r="AN24" s="799">
        <v>1</v>
      </c>
      <c r="AO24" s="800" cm="1">
        <f t="array" aca="1" ref="AO24" ca="1">_xll.d.Curve_GetDiscountFactors($AE$25,AM24)</f>
        <v>0.999995833404974</v>
      </c>
      <c r="AP24" s="763" t="str" cm="1">
        <f t="array" aca="1" ref="AP24" ca="1">_xll.d.TestUtils_Equal(AN24,AO24,0.0001)</f>
        <v>Ok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ref="D25">_xll.d.Curve_SingleCurveBootstrap("ZARFlatCurve",B28:C33,,B36:D40,B42:D46,B48:D51)</f>
        <v>@@ZARFlatCurve::15:20:10</v>
      </c>
      <c r="E25" s="219"/>
      <c r="G25" s="239">
        <f>EDATE(G24,1)</f>
        <v>44743</v>
      </c>
      <c r="H25" s="249">
        <f>1/(1+YEARFRAC($G$24,G25,3)*C38)</f>
        <v>0.99184782608695643</v>
      </c>
      <c r="I25" s="249" cm="1">
        <f t="array" aca="1" ref="I25" ca="1">_xll.d.Curve_GetDiscountFactors($D$25,G25)</f>
        <v>0.99184782608695665</v>
      </c>
      <c r="J25" s="231" t="str" cm="1">
        <f t="array" aca="1" ref="J25" ca="1">_xll.d.TestUtils_Equal(H25,I25,0.00001)</f>
        <v>Ok</v>
      </c>
      <c r="K25" s="213"/>
      <c r="L25" s="214"/>
      <c r="M25" s="66" t="s">
        <v>40</v>
      </c>
      <c r="N25" s="66"/>
      <c r="O25" s="218" t="str" cm="1">
        <f t="array" ref="O25">_xll.d.Curve_SingleCurveBootstrap("ZARRealCurve",M28:N33,,M36:O40,M42:O50,M52:O59)</f>
        <v>@@ZARRealCurve::15:20:10</v>
      </c>
      <c r="P25" s="219"/>
      <c r="R25" s="239">
        <v>43862</v>
      </c>
      <c r="S25" s="747" cm="1">
        <f t="array" ref="S25">1/(1+_xll.d.Dates_Act365($R$24,R25)*N38)</f>
        <v>0.99982802957891237</v>
      </c>
      <c r="T25" s="747" cm="1">
        <f t="array" aca="1" ref="T25" ca="1">_xll.d.Curve_GetDiscountFactors($O$25,R25)</f>
        <v>0.99982805914426409</v>
      </c>
      <c r="U25" s="231" t="str" cm="1">
        <f t="array" aca="1" ref="U25" ca="1">_xll.d.TestUtils_Equal(S25,T25,0.00001)</f>
        <v>Ok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ref="AE25">_xll.d.Curve_SingleCurveBootstrap("USDOIS",AC28:AD33,,AC36:AE38,AC40:AE61)</f>
        <v>@@USDOIS::15:20:10</v>
      </c>
      <c r="AF25" s="219"/>
      <c r="AH25" s="786">
        <f>EDATE(AF29,1)</f>
        <v>43953</v>
      </c>
      <c r="AI25" s="755" cm="1">
        <f t="array" ref="AI25">1/(1+AD42*_xll.d.Dates_Act360($AH$24,AH25))</f>
        <v>0.99993778164914182</v>
      </c>
      <c r="AJ25" s="755" cm="1">
        <f t="array" aca="1" ref="AJ25" ca="1">_xll.d.Curve_GetDiscountFactors($AE$25,AH25)</f>
        <v>0.99993750383066682</v>
      </c>
      <c r="AK25" s="787" t="str" cm="1">
        <f t="array" aca="1" ref="AK25" ca="1">_xll.d.TestUtils_Equal(AI25,AJ25,0.001)</f>
        <v>Ok</v>
      </c>
      <c r="AM25" s="801">
        <v>43924</v>
      </c>
      <c r="AN25" s="777">
        <v>0.99999777778271604</v>
      </c>
      <c r="AO25" s="802" cm="1">
        <f t="array" aca="1" ref="AO25" ca="1">_xll.d.Curve_GetDiscountFactors($AE$25,AM25)</f>
        <v>0.99999388903101261</v>
      </c>
      <c r="AP25" s="765" t="str" cm="1">
        <f t="array" aca="1" ref="AP25" ca="1">_xll.d.TestUtils_Equal(AN25,AO25,0.0001)</f>
        <v>Ok</v>
      </c>
      <c r="AQ25" s="213"/>
      <c r="AR25" s="214"/>
    </row>
    <row r="26" spans="2:69" x14ac:dyDescent="0.25">
      <c r="G26" s="239">
        <f>EDATE(G24,2)</f>
        <v>44774</v>
      </c>
      <c r="H26" s="249">
        <f>1/(1+YEARFRAC($G$24,G26,3)*C39)</f>
        <v>0.98356238210724867</v>
      </c>
      <c r="I26" s="249" cm="1">
        <f t="array" aca="1" ref="I26" ca="1">_xll.d.Curve_GetDiscountFactors($D$25,G26)</f>
        <v>0.98356238210724878</v>
      </c>
      <c r="J26" s="231" t="str" cm="1">
        <f t="array" aca="1" ref="J26" ca="1">_xll.d.TestUtils_Equal(H26,I26,0.00001)</f>
        <v>Ok</v>
      </c>
      <c r="K26" s="213"/>
      <c r="L26" s="214"/>
      <c r="R26" s="239" cm="1">
        <f t="array" ref="R26">_xll.d.Dates_AddTenorToDate($N$30,M39,"ZAR","ModFol")</f>
        <v>43889</v>
      </c>
      <c r="S26" s="747" cm="1">
        <f t="array" ref="S26">1/(1+_xll.d.Dates_Act365($R$24,R26)*N39)</f>
        <v>0.99512731140810684</v>
      </c>
      <c r="T26" s="747" cm="1">
        <f t="array" aca="1" ref="T26" ca="1">_xll.d.Curve_GetDiscountFactors($O$25,R26)</f>
        <v>0.99512731140810673</v>
      </c>
      <c r="U26" s="231" t="str" cm="1">
        <f t="array" aca="1" ref="U26" ca="1">_xll.d.TestUtils_Equal(S26,T26,0.00001)</f>
        <v>Ok</v>
      </c>
      <c r="V26" s="756"/>
      <c r="W26" s="767">
        <v>43861</v>
      </c>
      <c r="X26" s="774">
        <v>1</v>
      </c>
      <c r="Y26" s="775" cm="1">
        <f t="array" aca="1" ref="Y26" ca="1">_xll.d.Curve_GetDiscountFactors($O$25,W26)</f>
        <v>1</v>
      </c>
      <c r="Z26" s="763" t="str" cm="1">
        <f t="array" aca="1" ref="Z26" ca="1">_xll.d.TestUtils_Equal(X26,Y26,$X$22)</f>
        <v>Ok</v>
      </c>
      <c r="AA26" s="213"/>
      <c r="AB26" s="214"/>
      <c r="AH26" s="786">
        <f>EDATE(AH25,1)</f>
        <v>43984</v>
      </c>
      <c r="AI26" s="755" cm="1">
        <f t="array" ref="AI26">1/(1+AD43*_xll.d.Dates_Act360($AH$24,AH26))</f>
        <v>0.99987576543614454</v>
      </c>
      <c r="AJ26" s="755" cm="1">
        <f t="array" aca="1" ref="AJ26" ca="1">_xll.d.Curve_GetDiscountFactors($AE$25,AH26)</f>
        <v>0.99987554282230839</v>
      </c>
      <c r="AK26" s="787" t="str" cm="1">
        <f t="array" aca="1" ref="AK26" ca="1">_xll.d.TestUtils_Equal(AI26,AJ26,0.001)</f>
        <v>Ok</v>
      </c>
      <c r="AM26" s="801">
        <v>43955</v>
      </c>
      <c r="AN26" s="777">
        <v>0.99993778164914182</v>
      </c>
      <c r="AO26" s="802" cm="1">
        <f t="array" aca="1" ref="AO26" ca="1">_xll.d.Curve_GetDiscountFactors($AE$25,AM26)</f>
        <v>0.99993361531335445</v>
      </c>
      <c r="AP26" s="765" t="str" cm="1">
        <f t="array" aca="1" ref="AP26" ca="1">_xll.d.TestUtils_Equal(AN26,AO26,0.0001)</f>
        <v>Ok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>EDATE(G24,3)</f>
        <v>44805</v>
      </c>
      <c r="H27" s="249">
        <f>1/(1+YEARFRAC($G$24,G27,3)*C40)</f>
        <v>0.97541421699625863</v>
      </c>
      <c r="I27" s="249" cm="1">
        <f t="array" aca="1" ref="I27" ca="1">_xll.d.Curve_GetDiscountFactors($D$25,G27)</f>
        <v>0.97541421699625874</v>
      </c>
      <c r="J27" s="231" t="str" cm="1">
        <f t="array" aca="1" ref="J27" ca="1">_xll.d.TestUtils_Equal(H27,I27,0.00001)</f>
        <v>Ok</v>
      </c>
      <c r="K27" s="213"/>
      <c r="L27" s="214"/>
      <c r="R27" s="239" cm="1">
        <f t="array" ref="R27">_xll.d.Dates_AddTenorToDate($N$30,M40,"ZAR","ModFol")</f>
        <v>43951</v>
      </c>
      <c r="S27" s="747" cm="1">
        <f t="array" ref="S27">1/(1+_xll.d.Dates_Act365($R$24,R27)*N40)</f>
        <v>0.98408691024210704</v>
      </c>
      <c r="T27" s="747" cm="1">
        <f t="array" aca="1" ref="T27" ca="1">_xll.d.Curve_GetDiscountFactors($O$25,R27)</f>
        <v>0.98408691024210704</v>
      </c>
      <c r="U27" s="231" t="str" cm="1">
        <f t="array" aca="1" ref="U27" ca="1">_xll.d.TestUtils_Equal(S27,T27,0.00001)</f>
        <v>Ok</v>
      </c>
      <c r="V27" s="756"/>
      <c r="W27" s="768">
        <v>43864</v>
      </c>
      <c r="X27" s="776">
        <v>0.99948429439882203</v>
      </c>
      <c r="Y27" s="777" cm="1">
        <f t="array" aca="1" ref="Y27" ca="1">_xll.d.Curve_GetDiscountFactors($O$25,W27)</f>
        <v>0.9994842661186828</v>
      </c>
      <c r="Z27" s="763" t="str" cm="1">
        <f t="array" aca="1" ref="Z27" ca="1">_xll.d.TestUtils_Equal(X27,Y27,$X$22)</f>
        <v>Ok</v>
      </c>
      <c r="AA27" s="213"/>
      <c r="AB27" s="214"/>
      <c r="AH27" s="786">
        <f>EDATE(AH26,1)</f>
        <v>44014</v>
      </c>
      <c r="AI27" s="755" cm="1">
        <f t="array" ref="AI27">1/(1+AD44*_xll.d.Dates_Act360($AH$24,AH27))</f>
        <v>0.99982436418669129</v>
      </c>
      <c r="AJ27" s="755" cm="1">
        <f t="array" aca="1" ref="AJ27" ca="1">_xll.d.Curve_GetDiscountFactors($AE$25,AH27)</f>
        <v>0.99982397477286578</v>
      </c>
      <c r="AK27" s="787" t="str" cm="1">
        <f t="array" aca="1" ref="AK27" ca="1">_xll.d.TestUtils_Equal(AI27,AJ27,0.001)</f>
        <v>Ok</v>
      </c>
      <c r="AM27" s="801">
        <v>43984</v>
      </c>
      <c r="AN27" s="777">
        <v>0.99987970891612998</v>
      </c>
      <c r="AO27" s="802" cm="1">
        <f t="array" aca="1" ref="AO27" ca="1">_xll.d.Curve_GetDiscountFactors($AE$25,AM27)</f>
        <v>0.99987554282230828</v>
      </c>
      <c r="AP27" s="765" t="str" cm="1">
        <f t="array" aca="1" ref="AP27" ca="1">_xll.d.TestUtils_Equal(AN27,AO27,0.0001)</f>
        <v>Ok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>EDATE(G24,6)</f>
        <v>44896</v>
      </c>
      <c r="H28" s="249">
        <f>H27*1/(1+YEARFRAC($G$27,G28,3)*C44)</f>
        <v>0.95168722053898536</v>
      </c>
      <c r="I28" s="249" cm="1">
        <f t="array" aca="1" ref="I28" ca="1">_xll.d.Curve_GetDiscountFactors($D$25,G28)</f>
        <v>0.95168722053898547</v>
      </c>
      <c r="J28" s="231" t="str" cm="1">
        <f t="array" aca="1" ref="J28" ca="1">_xll.d.TestUtils_Equal(H28,I28,0.00001)</f>
        <v>Ok</v>
      </c>
      <c r="K28" s="213"/>
      <c r="L28" s="214"/>
      <c r="M28" s="12" t="s">
        <v>60</v>
      </c>
      <c r="N28" s="13"/>
      <c r="Q28" s="751" t="s">
        <v>28</v>
      </c>
      <c r="R28" s="239" cm="1">
        <f t="array" ref="R28">_xll.d.Dates_AddTenorToDate($N$30,Q28,"ZAR","ModFol")</f>
        <v>44043</v>
      </c>
      <c r="S28" s="747">
        <f t="array" ref="S28">1/(1+_xll.d.Dates_Act365($R$27,R28)*N44)*S27</f>
        <v>0.96832000758706194</v>
      </c>
      <c r="T28" s="747" cm="1">
        <f t="array" aca="1" ref="T28" ca="1">_xll.d.Curve_GetDiscountFactors($O$25,R28)</f>
        <v>0.96832386496355904</v>
      </c>
      <c r="U28" s="231" t="str" cm="1">
        <f t="array" aca="1" ref="U28" ca="1">_xll.d.TestUtils_Equal(S28,T28,0.00001)</f>
        <v>Ok</v>
      </c>
      <c r="V28" s="756"/>
      <c r="W28" s="768">
        <v>43892</v>
      </c>
      <c r="X28" s="776">
        <v>0.99460805260486285</v>
      </c>
      <c r="Y28" s="777" cm="1">
        <f t="array" aca="1" ref="Y28" ca="1">_xll.d.Curve_GetDiscountFactors($O$25,W28)</f>
        <v>0.99459025791532141</v>
      </c>
      <c r="Z28" s="763" t="str" cm="1">
        <f t="array" aca="1" ref="Z28" ca="1">_xll.d.TestUtils_Equal(X28,Y28,$X$22)</f>
        <v>Ok</v>
      </c>
      <c r="AA28" s="213"/>
      <c r="AB28" s="214"/>
      <c r="AC28" s="12" t="s">
        <v>60</v>
      </c>
      <c r="AD28" s="13"/>
      <c r="AF28" s="12" t="s">
        <v>633</v>
      </c>
      <c r="AH28" s="786">
        <f>EDATE(AH27,1)</f>
        <v>44045</v>
      </c>
      <c r="AI28" s="755" cm="1">
        <f t="array" ref="AI28">1/(1+AD45*_xll.d.Dates_Act360($AH$24,AH28))</f>
        <v>0.99976927546831706</v>
      </c>
      <c r="AJ28" s="755" cm="1">
        <f t="array" aca="1" ref="AJ28" ca="1">_xll.d.Curve_GetDiscountFactors($AE$25,AH28)</f>
        <v>0.99976875143010868</v>
      </c>
      <c r="AK28" s="787" t="str" cm="1">
        <f t="array" aca="1" ref="AK28" ca="1">_xll.d.TestUtils_Equal(AI28,AJ28,0.001)</f>
        <v>Ok</v>
      </c>
      <c r="AM28" s="801">
        <v>44014</v>
      </c>
      <c r="AN28" s="777">
        <v>0.99982814065182357</v>
      </c>
      <c r="AO28" s="802" cm="1">
        <f t="array" aca="1" ref="AO28" ca="1">_xll.d.Curve_GetDiscountFactors($AE$25,AM28)</f>
        <v>0.99982397477286578</v>
      </c>
      <c r="AP28" s="765" t="str" cm="1">
        <f t="array" aca="1" ref="AP28" ca="1">_xll.d.TestUtils_Equal(AN28,AO28,0.0001)</f>
        <v>Ok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>EDATE(G24,9)</f>
        <v>44986</v>
      </c>
      <c r="H29" s="250">
        <f>H28*1/(1+C45*YEARFRAC(G28,G29,3))</f>
        <v>0.92878565640836808</v>
      </c>
      <c r="I29" s="250" cm="1">
        <f t="array" aca="1" ref="I29" ca="1">_xll.d.Curve_GetDiscountFactors($D$25,G29)</f>
        <v>0.92878565640836797</v>
      </c>
      <c r="J29" s="229" t="str" cm="1">
        <f t="array" aca="1" ref="J29" ca="1">_xll.d.TestUtils_Equal(H29,I29,0.00001)</f>
        <v>Ok</v>
      </c>
      <c r="K29" s="213"/>
      <c r="L29" s="214"/>
      <c r="M29" s="72" t="s">
        <v>31</v>
      </c>
      <c r="N29" s="74" t="s">
        <v>32</v>
      </c>
      <c r="Q29" s="751" t="s">
        <v>29</v>
      </c>
      <c r="R29" s="239" cm="1">
        <f t="array" ref="R29">_xll.d.Dates_AddTenorToDate($N$30,Q29,"ZAR","ModFol")</f>
        <v>44134</v>
      </c>
      <c r="S29" s="747" cm="1">
        <f t="array" ref="S29">1/(1+_xll.d.Dates_Act365(R28,R29)*N45)*S28</f>
        <v>0.95343955884482767</v>
      </c>
      <c r="T29" s="747" cm="1">
        <f t="array" aca="1" ref="T29" ca="1">_xll.d.Curve_GetDiscountFactors($O$25,R29)</f>
        <v>0.95344335694392424</v>
      </c>
      <c r="U29" s="231" t="str" cm="1">
        <f t="array" aca="1" ref="U29" ca="1">_xll.d.TestUtils_Equal(S29,T29,0.00001)</f>
        <v>Ok</v>
      </c>
      <c r="V29" s="756"/>
      <c r="W29" s="768">
        <v>43951</v>
      </c>
      <c r="X29" s="776">
        <v>0.98408691018216155</v>
      </c>
      <c r="Y29" s="777" cm="1">
        <f t="array" aca="1" ref="Y29" ca="1">_xll.d.Curve_GetDiscountFactors($O$25,W29)</f>
        <v>0.98408691024210693</v>
      </c>
      <c r="Z29" s="763" t="str" cm="1">
        <f t="array" aca="1" ref="Z29" ca="1">_xll.d.TestUtils_Equal(X29,Y29,$X$22)</f>
        <v>Ok</v>
      </c>
      <c r="AA29" s="213"/>
      <c r="AB29" s="214"/>
      <c r="AC29" s="72" t="s">
        <v>31</v>
      </c>
      <c r="AD29" s="74" t="s">
        <v>32</v>
      </c>
      <c r="AF29" s="797" cm="1">
        <f t="array" ref="AF29">_xll.d.Dates_AddTenorToDate(AD30,"2d","USD","MODFOL")</f>
        <v>43923</v>
      </c>
      <c r="AH29" s="786">
        <f>EDATE(AH28,1)</f>
        <v>44076</v>
      </c>
      <c r="AI29" s="755" cm="1">
        <f t="array" ref="AI29">1/(1+AD46*_xll.d.Dates_Act360($AH$24,AH29))</f>
        <v>0.99971591406108762</v>
      </c>
      <c r="AJ29" s="755" cm="1">
        <f t="array" aca="1" ref="AJ29" ca="1">_xll.d.Curve_GetDiscountFactors($AE$25,AH29)</f>
        <v>0.99971541323156243</v>
      </c>
      <c r="AK29" s="787" t="str" cm="1">
        <f t="array" aca="1" ref="AK29" ca="1">_xll.d.TestUtils_Equal(AI29,AJ29,0.001)</f>
        <v>Ok</v>
      </c>
      <c r="AM29" s="801">
        <v>44046</v>
      </c>
      <c r="AN29" s="777">
        <v>0.99977113572418042</v>
      </c>
      <c r="AO29" s="802" cm="1">
        <f t="array" aca="1" ref="AO29" ca="1">_xll.d.Curve_GetDiscountFactors($AE$25,AM29)</f>
        <v>0.99976697008273918</v>
      </c>
      <c r="AP29" s="765" t="str" cm="1">
        <f t="array" aca="1" ref="AP29" ca="1">_xll.d.TestUtils_Equal(AN29,AO29,0.0001)</f>
        <v>Ok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612</v>
      </c>
      <c r="R30" s="239" cm="1">
        <f t="array" ref="R30">_xll.d.Dates_AddTenorToDate($N$30,Q30,"ZAR","ModFol")</f>
        <v>44225</v>
      </c>
      <c r="S30" s="747" cm="1">
        <f t="array" ref="S30">1/(1+_xll.d.Dates_Act365(R29,R30)*N46)*S29</f>
        <v>0.93890302491578215</v>
      </c>
      <c r="T30" s="747" cm="1">
        <f t="array" aca="1" ref="T30" ca="1">_xll.d.Curve_GetDiscountFactors($O$25,R30)</f>
        <v>0.93890676510748894</v>
      </c>
      <c r="U30" s="231" t="str" cm="1">
        <f t="array" aca="1" ref="U30" ca="1">_xll.d.TestUtils_Equal(S30,T30,0.00001)</f>
        <v>Ok</v>
      </c>
      <c r="V30" s="756"/>
      <c r="W30" s="768">
        <v>44042</v>
      </c>
      <c r="X30" s="776">
        <v>0.96848867041690068</v>
      </c>
      <c r="Y30" s="777" cm="1">
        <f t="array" aca="1" ref="Y30" ca="1">_xll.d.Curve_GetDiscountFactors($O$25,W30)</f>
        <v>0.96848867052013532</v>
      </c>
      <c r="Z30" s="763" t="str" cm="1">
        <f t="array" aca="1" ref="Z30" ca="1">_xll.d.TestUtils_Equal(X30,Y30,$X$22)</f>
        <v>Ok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>EDATE(AH29,1)</f>
        <v>44106</v>
      </c>
      <c r="AI30" s="789" cm="1">
        <f t="array" ref="AI30">1/(1+AD47*_xll.d.Dates_Act360($AH$24,AH30))</f>
        <v>0.99966094832835872</v>
      </c>
      <c r="AJ30" s="789" cm="1">
        <f t="array" aca="1" ref="AJ30" ca="1">_xll.d.Curve_GetDiscountFactors($AE$25,AH30)</f>
        <v>0.99966044732489656</v>
      </c>
      <c r="AK30" s="790" t="str" cm="1">
        <f t="array" aca="1" ref="AK30" ca="1">_xll.d.TestUtils_Equal(AI30,AJ30,0.001)</f>
        <v>Ok</v>
      </c>
      <c r="AM30" s="801">
        <v>44076</v>
      </c>
      <c r="AN30" s="777">
        <v>0.9997195786581865</v>
      </c>
      <c r="AO30" s="802" cm="1">
        <f t="array" aca="1" ref="AO30" ca="1">_xll.d.Curve_GetDiscountFactors($AE$25,AM30)</f>
        <v>0.99971541323156243</v>
      </c>
      <c r="AP30" s="765" t="str" cm="1">
        <f t="array" aca="1" ref="AP30" ca="1">_xll.d.TestUtils_Equal(AN30,AO30,0.0001)</f>
        <v>Ok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613</v>
      </c>
      <c r="R31" s="239" cm="1">
        <f t="array" ref="R31">_xll.d.Dates_AddTenorToDate($N$30,Q31,"ZAR","ModFol")</f>
        <v>44316</v>
      </c>
      <c r="S31" s="747" cm="1">
        <f t="array" ref="S31">1/(1+_xll.d.Dates_Act365(R30,R31)*N47)*S30</f>
        <v>0.92465622578544726</v>
      </c>
      <c r="T31" s="747" cm="1">
        <f t="array" aca="1" ref="T31" ca="1">_xll.d.Curve_GetDiscountFactors($O$25,R31)</f>
        <v>0.9246579918986908</v>
      </c>
      <c r="U31" s="231" t="str" cm="1">
        <f t="array" aca="1" ref="U31" ca="1">_xll.d.TestUtils_Equal(S31,T31,0.00001)</f>
        <v>Ok</v>
      </c>
      <c r="V31" s="756"/>
      <c r="W31" s="768">
        <v>44134</v>
      </c>
      <c r="X31" s="776">
        <v>0.95344335683361159</v>
      </c>
      <c r="Y31" s="777" cm="1">
        <f t="array" aca="1" ref="Y31" ca="1">_xll.d.Curve_GetDiscountFactors($O$25,W31)</f>
        <v>0.95344335694392424</v>
      </c>
      <c r="Z31" s="763" t="str" cm="1">
        <f t="array" aca="1" ref="Z31" ca="1">_xll.d.TestUtils_Equal(X31,Y31,$X$22)</f>
        <v>Ok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801">
        <v>44106</v>
      </c>
      <c r="AN31" s="777">
        <v>0.99966461252249861</v>
      </c>
      <c r="AO31" s="802" cm="1">
        <f t="array" aca="1" ref="AO31" ca="1">_xll.d.Curve_GetDiscountFactors($AE$25,AM31)</f>
        <v>0.99966044732489656</v>
      </c>
      <c r="AP31" s="765" t="str" cm="1">
        <f t="array" aca="1" ref="AP31" ca="1">_xll.d.TestUtils_Equal(AN31,AO31,0.0001)</f>
        <v>Ok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>AC48</f>
        <v>9m</v>
      </c>
      <c r="BF31" s="282" t="e">
        <f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615</v>
      </c>
      <c r="R32" s="239" cm="1">
        <f t="array" ref="R32">_xll.d.Dates_AddTenorToDate($N$30,Q32,"ZAR","ModFol")</f>
        <v>44407</v>
      </c>
      <c r="S32" s="747" cm="1">
        <f t="array" ref="S32">1/(1+_xll.d.Dates_Act365(R31,R32)*N48)*S31</f>
        <v>0.9105585344591941</v>
      </c>
      <c r="T32" s="747" cm="1">
        <f t="array" aca="1" ref="T32" ca="1">_xll.d.Curve_GetDiscountFactors($O$25,R32)</f>
        <v>0.9105602736455447</v>
      </c>
      <c r="U32" s="231" t="str" cm="1">
        <f t="array" aca="1" ref="U32" ca="1">_xll.d.TestUtils_Equal(S32,T32,0.00001)</f>
        <v>Ok</v>
      </c>
      <c r="V32" s="756"/>
      <c r="W32" s="768">
        <v>44229</v>
      </c>
      <c r="X32" s="776">
        <v>0.93827416773178896</v>
      </c>
      <c r="Y32" s="777" cm="1">
        <f t="array" aca="1" ref="Y32" ca="1">_xll.d.Curve_GetDiscountFactors($O$25,W32)</f>
        <v>0.93827588915259041</v>
      </c>
      <c r="Z32" s="763" t="str" cm="1">
        <f t="array" aca="1" ref="Z32" ca="1">_xll.d.TestUtils_Equal(X32,Y32,$X$22)</f>
        <v>Ok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801">
        <v>44200</v>
      </c>
      <c r="AN32" s="777">
        <v>0.99949242443046016</v>
      </c>
      <c r="AO32" s="802" cm="1">
        <f t="array" aca="1" ref="AO32" ca="1">_xll.d.Curve_GetDiscountFactors($AE$25,AM32)</f>
        <v>0.999488259950296</v>
      </c>
      <c r="AP32" s="765" t="str" cm="1">
        <f t="array" aca="1" ref="AP32" ca="1">_xll.d.TestUtils_Equal(AN32,AO32,0.0001)</f>
        <v>Ok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616</v>
      </c>
      <c r="R33" s="239" cm="1">
        <f t="array" ref="R33">_xll.d.Dates_AddTenorToDate($N$30,Q33,"ZAR","ModFol")</f>
        <v>44498</v>
      </c>
      <c r="S33" s="747" cm="1">
        <f t="array" ref="S33">1/(1+_xll.d.Dates_Act365(R32,R33)*N49)*S32</f>
        <v>0.89656572268967616</v>
      </c>
      <c r="T33" s="747" cm="1">
        <f t="array" aca="1" ref="T33" ca="1">_xll.d.Curve_GetDiscountFactors($O$25,R33)</f>
        <v>0.89656743514945603</v>
      </c>
      <c r="U33" s="231" t="str" cm="1">
        <f t="array" aca="1" ref="U33" ca="1">_xll.d.TestUtils_Equal(S33,T33,0.00001)</f>
        <v>Ok</v>
      </c>
      <c r="V33" s="756"/>
      <c r="W33" s="768">
        <v>44319</v>
      </c>
      <c r="X33" s="776">
        <v>0.92419291912677659</v>
      </c>
      <c r="Y33" s="777" cm="1">
        <f t="array" aca="1" ref="Y33" ca="1">_xll.d.Curve_GetDiscountFactors($O$25,W33)</f>
        <v>0.92418977115352896</v>
      </c>
      <c r="Z33" s="763" t="str" cm="1">
        <f t="array" aca="1" ref="Z33" ca="1">_xll.d.TestUtils_Equal(X33,Y33,$X$22)</f>
        <v>Ok</v>
      </c>
      <c r="AA33" s="213"/>
      <c r="AB33" s="214"/>
      <c r="AC33" s="137" t="s">
        <v>53</v>
      </c>
      <c r="AD33" s="138" t="s">
        <v>471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801">
        <v>44291</v>
      </c>
      <c r="AN33" s="777">
        <v>0.99929516381112526</v>
      </c>
      <c r="AO33" s="802" cm="1">
        <f t="array" aca="1" ref="AO33" ca="1">_xll.d.Curve_GetDiscountFactors($AE$25,AM33)</f>
        <v>0.99928852256680845</v>
      </c>
      <c r="AP33" s="765" t="str" cm="1">
        <f t="array" aca="1" ref="AP33" ca="1">_xll.d.TestUtils_Equal(AN33,AO33,0.0001)</f>
        <v>Ok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ref="G34:G46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617</v>
      </c>
      <c r="R34" s="240" cm="1">
        <f t="array" ref="R34">_xll.d.Dates_AddTenorToDate($N$30,Q34,"ZAR","ModFol")</f>
        <v>44592</v>
      </c>
      <c r="S34" s="748" cm="1">
        <f t="array" ref="S34">1/(1+_xll.d.Dates_Act365(R33,R34)*N50)*S33</f>
        <v>0.88220678011621201</v>
      </c>
      <c r="T34" s="748" cm="1">
        <f t="array" aca="1" ref="T34" ca="1">_xll.d.Curve_GetDiscountFactors($O$25,R34)</f>
        <v>0.88220846515010332</v>
      </c>
      <c r="U34" s="231" t="str" cm="1">
        <f t="array" aca="1" ref="U34" ca="1">_xll.d.TestUtils_Equal(S34,T34,0.00001)</f>
        <v>Ok</v>
      </c>
      <c r="V34" s="756"/>
      <c r="W34" s="768">
        <v>44407</v>
      </c>
      <c r="X34" s="776">
        <v>0.91056113955799578</v>
      </c>
      <c r="Y34" s="777" cm="1">
        <f t="array" aca="1" ref="Y34" ca="1">_xll.d.Curve_GetDiscountFactors($O$25,W34)</f>
        <v>0.91056027364554482</v>
      </c>
      <c r="Z34" s="763" t="str" cm="1">
        <f t="array" aca="1" ref="Z34" ca="1">_xll.d.TestUtils_Equal(X34,Y34,$X$22)</f>
        <v>Ok</v>
      </c>
      <c r="AA34" s="213"/>
      <c r="AB34" s="214"/>
      <c r="AG34" s="8"/>
      <c r="AH34" s="739">
        <f t="array" ref="AH34:AH42">_xll.d.Dates_GenerateSchedule(AF29,_xll.d.Dates_AddTenorToDate(AF29,"8Y","USD","ModFol"),"1y","USD","ModFol","Forward")</f>
        <v>43923</v>
      </c>
      <c r="AI34" s="738"/>
      <c r="AJ34" s="738"/>
      <c r="AK34" s="740"/>
      <c r="AM34" s="801">
        <v>44473</v>
      </c>
      <c r="AN34" s="777">
        <v>0.99879392902080666</v>
      </c>
      <c r="AO34" s="802" cm="1">
        <f t="array" aca="1" ref="AO34" ca="1">_xll.d.Curve_GetDiscountFactors($AE$25,AM34)</f>
        <v>0.9987899998063251</v>
      </c>
      <c r="AP34" s="765" t="str" cm="1">
        <f t="array" aca="1" ref="AP34" ca="1">_xll.d.TestUtils_Equal(AN34,AO34,0.0001)</f>
        <v>Ok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v>44805</v>
      </c>
      <c r="H35" s="289" cm="1">
        <f t="array" ref="H35">_xll.d.Dates_Act365(G34,G35)</f>
        <v>0.25205479452054796</v>
      </c>
      <c r="I35" s="623">
        <f t="array" ref="I35:I46">_xll.d.Curve_GetForwardRates(D25,G34:G45,G35:G46,"Simple")</f>
        <v>0.10000000000000028</v>
      </c>
      <c r="J35" s="136" cm="1">
        <f t="array" aca="1" ref="J35:J46" ca="1">_xll.d.Curve_GetDiscountFactors(D25,G35:G46)</f>
        <v>0.97541421699625874</v>
      </c>
      <c r="K35" s="213"/>
      <c r="L35" s="214"/>
      <c r="V35" s="756"/>
      <c r="W35" s="768">
        <v>44502</v>
      </c>
      <c r="X35" s="776">
        <v>0.89595940151095488</v>
      </c>
      <c r="Y35" s="777" cm="1">
        <f t="array" aca="1" ref="Y35" ca="1">_xll.d.Curve_GetDiscountFactors($O$25,W35)</f>
        <v>0.8959516809230047</v>
      </c>
      <c r="Z35" s="763" t="str" cm="1">
        <f t="array" aca="1" ref="Z35" ca="1">_xll.d.TestUtils_Equal(X35,Y35,$X$22)</f>
        <v>Ok</v>
      </c>
      <c r="AA35" s="213"/>
      <c r="AB35" s="214"/>
      <c r="AC35" s="455"/>
      <c r="AD35" s="455"/>
      <c r="AE35" s="455"/>
      <c r="AF35" s="455"/>
      <c r="AG35" s="8"/>
      <c r="AH35" s="741">
        <v>44288</v>
      </c>
      <c r="AI35" s="290" cm="1">
        <f t="array" ref="AI35">_xll.d.Dates_Act360(AH34,AH35)</f>
        <v>1.0138888888888888</v>
      </c>
      <c r="AJ35" s="737">
        <f t="array" ref="AJ35:AJ42">_xll.d.Curve_GetForwardRates(AE25,AH34:AH41,AH35:AH42,"Simple")</f>
        <v>6.9000000000008551E-4</v>
      </c>
      <c r="AK35" s="742">
        <f t="array" aca="1" ref="AK35:AK42" ca="1">_xll.d.Curve_GetDiscountFactors(AE25,AH35:AH42)</f>
        <v>0.99929674205917507</v>
      </c>
      <c r="AM35" s="801">
        <v>44655</v>
      </c>
      <c r="AN35" s="777">
        <v>0.99831442697204265</v>
      </c>
      <c r="AO35" s="802" cm="1">
        <f t="array" aca="1" ref="AO35" ca="1">_xll.d.Curve_GetDiscountFactors($AE$25,AM35)</f>
        <v>0.99831018836473895</v>
      </c>
      <c r="AP35" s="765" t="str" cm="1">
        <f t="array" aca="1" ref="AP35" ca="1">_xll.d.TestUtils_Equal(AN35,AO35,0.0001)</f>
        <v>Ok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v>44896</v>
      </c>
      <c r="H36" s="289" cm="1">
        <f t="array" ref="H36">_xll.d.Dates_Act365(G35,G36)</f>
        <v>0.24931506849315069</v>
      </c>
      <c r="I36" s="623">
        <v>0.10000000000000062</v>
      </c>
      <c r="J36" s="136">
        <f ca="1"/>
        <v>0.95168722053898547</v>
      </c>
      <c r="K36" s="213"/>
      <c r="L36" s="214"/>
      <c r="M36" s="12" t="s">
        <v>22</v>
      </c>
      <c r="N36" s="27"/>
      <c r="O36" s="13"/>
      <c r="R36" s="131" t="s">
        <v>574</v>
      </c>
      <c r="S36" s="202"/>
      <c r="T36" s="202"/>
      <c r="U36" s="132"/>
      <c r="V36" s="756"/>
      <c r="W36" s="768">
        <v>44593</v>
      </c>
      <c r="X36" s="776">
        <v>0.88203888724645341</v>
      </c>
      <c r="Y36" s="777" cm="1">
        <f t="array" aca="1" ref="Y36" ca="1">_xll.d.Curve_GetDiscountFactors($O$25,W36)</f>
        <v>0.88205105245930171</v>
      </c>
      <c r="Z36" s="763" t="str" cm="1">
        <f t="array" aca="1" ref="Z36" ca="1">_xll.d.TestUtils_Equal(X36,Y36,$X$22)</f>
        <v>Ok</v>
      </c>
      <c r="AA36" s="213"/>
      <c r="AB36" s="214"/>
      <c r="AC36" s="12" t="s">
        <v>22</v>
      </c>
      <c r="AD36" s="27"/>
      <c r="AE36" s="13"/>
      <c r="AG36" s="8"/>
      <c r="AH36" s="741">
        <v>44655</v>
      </c>
      <c r="AI36" s="289" cm="1">
        <f t="array" ref="AI36">_xll.d.Dates_Act360(AH35,AH36)</f>
        <v>1.0194444444444444</v>
      </c>
      <c r="AJ36" s="623">
        <v>9.6937465456741368E-4</v>
      </c>
      <c r="AK36" s="743">
        <f ca="1"/>
        <v>0.99831018836473895</v>
      </c>
      <c r="AM36" s="801">
        <v>45019</v>
      </c>
      <c r="AN36" s="777">
        <v>0.99647638149095108</v>
      </c>
      <c r="AO36" s="802" cm="1">
        <f t="array" aca="1" ref="AO36" ca="1">_xll.d.Curve_GetDiscountFactors($AE$25,AM36)</f>
        <v>0.99647124209597082</v>
      </c>
      <c r="AP36" s="765" t="str" cm="1">
        <f t="array" aca="1" ref="AP36" ca="1">_xll.d.TestUtils_Equal(AN36,AO36,0.0001)</f>
        <v>Ok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v>44986</v>
      </c>
      <c r="H37" s="289" cm="1">
        <f t="array" ref="H37">_xll.d.Dates_Act365(G36,G37)</f>
        <v>0.24657534246575341</v>
      </c>
      <c r="I37" s="623">
        <v>0.10000000000000005</v>
      </c>
      <c r="J37" s="136">
        <f ca="1"/>
        <v>0.92878565640836819</v>
      </c>
      <c r="K37" s="213"/>
      <c r="L37" s="214"/>
      <c r="M37" s="72" t="s">
        <v>38</v>
      </c>
      <c r="N37" s="73" t="s">
        <v>39</v>
      </c>
      <c r="O37" s="74" t="s">
        <v>52</v>
      </c>
      <c r="R37" s="129" t="s">
        <v>0</v>
      </c>
      <c r="S37" s="301" t="s">
        <v>572</v>
      </c>
      <c r="T37" s="301" t="s">
        <v>573</v>
      </c>
      <c r="U37" s="130" t="s">
        <v>2</v>
      </c>
      <c r="V37" s="756"/>
      <c r="W37" s="768">
        <v>44957</v>
      </c>
      <c r="X37" s="776">
        <v>0.82657950215859954</v>
      </c>
      <c r="Y37" s="777" cm="1">
        <f t="array" aca="1" ref="Y37" ca="1">_xll.d.Curve_GetDiscountFactors($O$25,W37)</f>
        <v>0.82657902369827219</v>
      </c>
      <c r="Z37" s="763" t="str" cm="1">
        <f t="array" aca="1" ref="Z37" ca="1">_xll.d.TestUtils_Equal(X37,Y37,$X$22)</f>
        <v>Ok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v>45019</v>
      </c>
      <c r="AI37" s="289" cm="1">
        <f t="array" ref="AI37">_xll.d.Dates_Act360(AH36,AH37)</f>
        <v>1.0111111111111111</v>
      </c>
      <c r="AJ37" s="623">
        <v>1.8251786817116121E-3</v>
      </c>
      <c r="AK37" s="743">
        <f ca="1"/>
        <v>0.99647124209597082</v>
      </c>
      <c r="AM37" s="801">
        <v>45384</v>
      </c>
      <c r="AN37" s="777">
        <v>0.99353628932238969</v>
      </c>
      <c r="AO37" s="802" cm="1">
        <f t="array" aca="1" ref="AO37" ca="1">_xll.d.Curve_GetDiscountFactors($AE$25,AM37)</f>
        <v>0.9935226136889701</v>
      </c>
      <c r="AP37" s="765" t="str" cm="1">
        <f t="array" aca="1" ref="AP37" ca="1">_xll.d.TestUtils_Equal(AN37,AO37,0.0001)</f>
        <v>Ok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v>45078</v>
      </c>
      <c r="H38" s="289" cm="1">
        <f t="array" ref="H38">_xll.d.Dates_Act365(G37,G38)</f>
        <v>0.25205479452054796</v>
      </c>
      <c r="I38" s="623">
        <v>0.10000000000000028</v>
      </c>
      <c r="J38" s="136">
        <f ca="1"/>
        <v>0.90595073380292457</v>
      </c>
      <c r="K38" s="213"/>
      <c r="L38" s="214"/>
      <c r="M38" s="722" t="s">
        <v>67</v>
      </c>
      <c r="N38" s="723">
        <v>6.2780000000000002E-2</v>
      </c>
      <c r="O38" s="260" t="b">
        <v>1</v>
      </c>
      <c r="R38" s="739">
        <f t="array" ref="R38:R70">_xll.d.Dates_GenerateSchedule(N30,_xll.d.Dates_AddTenorToDate(N30,"8Y","ZAR","ModFol"),"3m","ZAR","ModFol","Forward")</f>
        <v>43861</v>
      </c>
      <c r="S38" s="738"/>
      <c r="T38" s="738"/>
      <c r="U38" s="740"/>
      <c r="V38" s="756"/>
      <c r="W38" s="768">
        <v>45322</v>
      </c>
      <c r="X38" s="776">
        <v>0.77142555086444875</v>
      </c>
      <c r="Y38" s="777" cm="1">
        <f t="array" aca="1" ref="Y38" ca="1">_xll.d.Curve_GetDiscountFactors($O$25,W38)</f>
        <v>0.77142509298979578</v>
      </c>
      <c r="Z38" s="763" t="str" cm="1">
        <f t="array" aca="1" ref="Z38" ca="1">_xll.d.TestUtils_Equal(X38,Y38,$X$22)</f>
        <v>Ok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v>45384</v>
      </c>
      <c r="AI38" s="289" cm="1">
        <f t="array" ref="AI38">_xll.d.Dates_Act360(AH37,AH38)</f>
        <v>1.0138888888888888</v>
      </c>
      <c r="AJ38" s="623">
        <v>2.9271968216642782E-3</v>
      </c>
      <c r="AK38" s="743">
        <f ca="1"/>
        <v>0.9935226136889701</v>
      </c>
      <c r="AM38" s="801">
        <v>45749</v>
      </c>
      <c r="AN38" s="777">
        <v>0.98925951996509143</v>
      </c>
      <c r="AO38" s="802" cm="1">
        <f t="array" aca="1" ref="AO38" ca="1">_xll.d.Curve_GetDiscountFactors($AE$25,AM38)</f>
        <v>0.98924200910255278</v>
      </c>
      <c r="AP38" s="765" t="str" cm="1">
        <f t="array" aca="1" ref="AP38" ca="1">_xll.d.TestUtils_Equal(AN38,AO38,0.0001)</f>
        <v>Ok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v>45170</v>
      </c>
      <c r="H39" s="289" cm="1">
        <f t="array" ref="H39">_xll.d.Dates_Act365(G38,G39)</f>
        <v>0.25205479452054796</v>
      </c>
      <c r="I39" s="623">
        <v>0.1000000342771778</v>
      </c>
      <c r="J39" s="136">
        <f ca="1"/>
        <v>0.8836772182025413</v>
      </c>
      <c r="K39" s="213"/>
      <c r="L39" s="214"/>
      <c r="M39" s="261" t="s">
        <v>26</v>
      </c>
      <c r="N39" s="724">
        <v>6.3829999999999998E-2</v>
      </c>
      <c r="O39" s="262" t="b">
        <v>1</v>
      </c>
      <c r="Q39" s="9"/>
      <c r="R39" s="741">
        <v>43951</v>
      </c>
      <c r="S39" s="290" cm="1">
        <f t="array" ref="S39">_xll.d.Dates_Act365(R38,R39)</f>
        <v>0.24657534246575341</v>
      </c>
      <c r="T39" s="737">
        <f t="array" ref="T39:T70">_xll.d.Curve_GetForwardRates(O25,R38:R69,R39:R70,"Simple")</f>
        <v>6.5579999999998806E-2</v>
      </c>
      <c r="U39" s="742">
        <f t="array" aca="1" ref="U39:U70" ca="1">_xll.d.Curve_GetDiscountFactors(O25,R39:R70)</f>
        <v>0.98408691024210693</v>
      </c>
      <c r="V39" s="756"/>
      <c r="W39" s="768">
        <v>45688</v>
      </c>
      <c r="X39" s="776">
        <v>0.71728031027113948</v>
      </c>
      <c r="Y39" s="777" cm="1">
        <f t="array" aca="1" ref="Y39" ca="1">_xll.d.Curve_GetDiscountFactors($O$25,W39)</f>
        <v>0.71727987233787971</v>
      </c>
      <c r="Z39" s="763" t="str" cm="1">
        <f t="array" aca="1" ref="Z39" ca="1">_xll.d.TestUtils_Equal(X39,Y39,$X$22)</f>
        <v>Ok</v>
      </c>
      <c r="AA39" s="213"/>
      <c r="AB39" s="214"/>
      <c r="AG39" s="8"/>
      <c r="AH39" s="741">
        <v>45749</v>
      </c>
      <c r="AI39" s="289" cm="1">
        <f t="array" ref="AI39">_xll.d.Dates_Act360(AH38,AH39)</f>
        <v>1.0138888888888888</v>
      </c>
      <c r="AJ39" s="623">
        <v>4.2678799814167357E-3</v>
      </c>
      <c r="AK39" s="743">
        <f ca="1"/>
        <v>0.98924200910255267</v>
      </c>
      <c r="AM39" s="801">
        <v>46479</v>
      </c>
      <c r="AN39" s="777">
        <v>0.97794158297967493</v>
      </c>
      <c r="AO39" s="802" cm="1">
        <f t="array" aca="1" ref="AO39" ca="1">_xll.d.Curve_GetDiscountFactors($AE$25,AM39)</f>
        <v>0.97789827726743384</v>
      </c>
      <c r="AP39" s="765" t="str" cm="1">
        <f t="array" aca="1" ref="AP39" ca="1">_xll.d.TestUtils_Equal(AN39,AO39,0.0001)</f>
        <v>Ok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v>45261</v>
      </c>
      <c r="H40" s="289" cm="1">
        <f t="array" ref="H40">_xll.d.Dates_Act365(G39,G40)</f>
        <v>0.24931506849315069</v>
      </c>
      <c r="I40" s="623">
        <v>9.9986450530074988E-2</v>
      </c>
      <c r="J40" s="136">
        <f ca="1"/>
        <v>0.86218457021925377</v>
      </c>
      <c r="K40" s="213"/>
      <c r="L40" s="214"/>
      <c r="M40" s="263" t="s">
        <v>25</v>
      </c>
      <c r="N40" s="725">
        <v>6.5579999999999999E-2</v>
      </c>
      <c r="O40" s="265" t="b">
        <v>1</v>
      </c>
      <c r="Q40" s="9"/>
      <c r="R40" s="741">
        <v>44043</v>
      </c>
      <c r="S40" s="289" cm="1">
        <f t="array" ref="S40">_xll.d.Dates_Act365(R39,R40)</f>
        <v>0.25205479452054796</v>
      </c>
      <c r="T40" s="623">
        <v>6.4583938319545744E-2</v>
      </c>
      <c r="U40" s="743">
        <f ca="1"/>
        <v>0.96832386496355904</v>
      </c>
      <c r="V40" s="756"/>
      <c r="W40" s="768">
        <v>46052</v>
      </c>
      <c r="X40" s="776">
        <v>0.66351867459800129</v>
      </c>
      <c r="Y40" s="777" cm="1">
        <f t="array" aca="1" ref="Y40" ca="1">_xll.d.Curve_GetDiscountFactors($O$25,W40)</f>
        <v>0.66351825452710678</v>
      </c>
      <c r="Z40" s="763" t="str" cm="1">
        <f t="array" aca="1" ref="Z40" ca="1">_xll.d.TestUtils_Equal(X40,Y40,$X$22)</f>
        <v>Ok</v>
      </c>
      <c r="AA40" s="213"/>
      <c r="AB40" s="214"/>
      <c r="AC40" s="12" t="s">
        <v>65</v>
      </c>
      <c r="AD40" s="27"/>
      <c r="AE40" s="13"/>
      <c r="AF40" s="455"/>
      <c r="AG40" s="8"/>
      <c r="AH40" s="741">
        <v>46114</v>
      </c>
      <c r="AI40" s="289" cm="1">
        <f t="array" ref="AI40">_xll.d.Dates_Act360(AH39,AH40)</f>
        <v>1.0138888888888888</v>
      </c>
      <c r="AJ40" s="623">
        <v>5.704109949398458E-3</v>
      </c>
      <c r="AK40" s="743">
        <f ca="1"/>
        <v>0.98355378932825088</v>
      </c>
      <c r="AM40" s="801">
        <v>47575</v>
      </c>
      <c r="AN40" s="777">
        <v>0.95684032944715969</v>
      </c>
      <c r="AO40" s="802" cm="1">
        <f t="array" aca="1" ref="AO40" ca="1">_xll.d.Curve_GetDiscountFactors($AE$25,AM40)</f>
        <v>0.95681834245853103</v>
      </c>
      <c r="AP40" s="766" t="str" cm="1">
        <f t="array" aca="1" ref="AP40" ca="1">_xll.d.TestUtils_Equal(AN40,AO40,0.0001)</f>
        <v>Ok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v>45352</v>
      </c>
      <c r="H41" s="289" cm="1">
        <f t="array" ref="H41">_xll.d.Dates_Act365(G40,G41)</f>
        <v>0.24931506849315069</v>
      </c>
      <c r="I41" s="623">
        <v>9.9986450530074086E-2</v>
      </c>
      <c r="J41" s="136">
        <f ca="1"/>
        <v>0.84121466278853263</v>
      </c>
      <c r="K41" s="213"/>
      <c r="L41" s="214"/>
      <c r="R41" s="741">
        <v>44134</v>
      </c>
      <c r="S41" s="289" cm="1">
        <f t="array" ref="S41">_xll.d.Dates_Act365(R40,R41)</f>
        <v>0.24931506849315069</v>
      </c>
      <c r="T41" s="623">
        <v>6.2600000000000391E-2</v>
      </c>
      <c r="U41" s="743">
        <f ca="1"/>
        <v>0.95344335694392413</v>
      </c>
      <c r="V41" s="756"/>
      <c r="W41" s="768">
        <v>46416</v>
      </c>
      <c r="X41" s="776">
        <v>0.61166546399400523</v>
      </c>
      <c r="Y41" s="777" cm="1">
        <f t="array" aca="1" ref="Y41" ca="1">_xll.d.Curve_GetDiscountFactors($O$25,W41)</f>
        <v>0.61166506256248254</v>
      </c>
      <c r="Z41" s="763" t="str" cm="1">
        <f t="array" aca="1" ref="Z41" ca="1">_xll.d.TestUtils_Equal(X41,Y41,$X$22)</f>
        <v>Ok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v>46479</v>
      </c>
      <c r="AI41" s="289" cm="1">
        <f t="array" ref="AI41">_xll.d.Dates_Act360(AH40,AH41)</f>
        <v>1.0138888888888888</v>
      </c>
      <c r="AJ41" s="623">
        <v>5.704109949398458E-3</v>
      </c>
      <c r="AK41" s="743">
        <f ca="1"/>
        <v>0.97789827726743384</v>
      </c>
      <c r="AM41" s="801">
        <v>48306</v>
      </c>
      <c r="AN41" s="777">
        <v>0.94199581673574373</v>
      </c>
      <c r="AO41" s="802" cm="1">
        <f t="array" aca="1" ref="AO41" ca="1">_xll.d.Curve_GetDiscountFactors($AE$25,AM41)</f>
        <v>0.94196322894163875</v>
      </c>
      <c r="AP41" s="766" t="str" cm="1">
        <f t="array" aca="1" ref="AP41" ca="1">_xll.d.TestUtils_Equal(AN41,AO41,0.0001)</f>
        <v>Ok</v>
      </c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v>45446</v>
      </c>
      <c r="H42" s="289" cm="1">
        <f t="array" ref="H42">_xll.d.Dates_Act365(G41,G42)</f>
        <v>0.25753424657534246</v>
      </c>
      <c r="I42" s="623">
        <v>0.10002720913866793</v>
      </c>
      <c r="J42" s="136">
        <f ca="1"/>
        <v>0.82008882054015275</v>
      </c>
      <c r="K42" s="213"/>
      <c r="L42" s="214"/>
      <c r="M42" s="12" t="s">
        <v>37</v>
      </c>
      <c r="N42" s="27"/>
      <c r="O42" s="13"/>
      <c r="Q42" s="9"/>
      <c r="R42" s="741">
        <v>44225</v>
      </c>
      <c r="S42" s="289" cm="1">
        <f t="array" ref="S42">_xll.d.Dates_Act365(R41,R42)</f>
        <v>0.24931506849315069</v>
      </c>
      <c r="T42" s="623">
        <v>6.2100000000000218E-2</v>
      </c>
      <c r="U42" s="743">
        <f ca="1"/>
        <v>0.93890676510748861</v>
      </c>
      <c r="V42" s="756"/>
      <c r="W42" s="769">
        <v>46783</v>
      </c>
      <c r="X42" s="778">
        <v>0.55992571979354799</v>
      </c>
      <c r="Y42" s="779" cm="1">
        <f t="array" aca="1" ref="Y42" ca="1">_xll.d.Curve_GetDiscountFactors($O$25,W42)</f>
        <v>0.5599253361226082</v>
      </c>
      <c r="Z42" s="763" t="str" cm="1">
        <f t="array" aca="1" ref="Z42" ca="1">_xll.d.TestUtils_Equal(X42,Y42,$X$22)</f>
        <v>Ok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v>46846</v>
      </c>
      <c r="AI42" s="656" cm="1">
        <f t="array" ref="AI42">_xll.d.Dates_Act360(AH41,AH42)</f>
        <v>1.0194444444444444</v>
      </c>
      <c r="AJ42" s="745">
        <v>7.1841692349993245E-3</v>
      </c>
      <c r="AK42" s="338">
        <f ca="1"/>
        <v>0.97078835787150619</v>
      </c>
      <c r="AM42" s="801">
        <v>49401</v>
      </c>
      <c r="AN42" s="777">
        <v>0.92158205934554305</v>
      </c>
      <c r="AO42" s="802" cm="1">
        <f t="array" aca="1" ref="AO42" ca="1">_xll.d.Curve_GetDiscountFactors($AE$25,AM42)</f>
        <v>0.92156171445373036</v>
      </c>
      <c r="AP42" s="766" t="str" cm="1">
        <f t="array" aca="1" ref="AP42" ca="1">_xll.d.TestUtils_Equal(AN42,AO42,0.0001)</f>
        <v>Ok</v>
      </c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v>45537</v>
      </c>
      <c r="H43" s="289" cm="1">
        <f t="array" ref="H43">_xll.d.Dates_Act365(G42,G43)</f>
        <v>0.24931506849315069</v>
      </c>
      <c r="I43" s="623">
        <v>9.9999999999999728E-2</v>
      </c>
      <c r="J43" s="136">
        <f ca="1"/>
        <v>0.80014012161763104</v>
      </c>
      <c r="K43" s="213"/>
      <c r="L43" s="214"/>
      <c r="M43" s="72" t="s">
        <v>208</v>
      </c>
      <c r="N43" s="73" t="s">
        <v>39</v>
      </c>
      <c r="O43" s="74" t="s">
        <v>52</v>
      </c>
      <c r="Q43" s="9"/>
      <c r="R43" s="741">
        <v>44316</v>
      </c>
      <c r="S43" s="289" cm="1">
        <f t="array" ref="S43">_xll.d.Dates_Act365(R42,R43)</f>
        <v>0.24931506849315069</v>
      </c>
      <c r="T43" s="623">
        <v>6.1808445134625675E-2</v>
      </c>
      <c r="U43" s="743">
        <f ca="1"/>
        <v>0.92465799189869069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801">
        <v>51228</v>
      </c>
      <c r="AN43" s="777">
        <v>0.88718364143951234</v>
      </c>
      <c r="AO43" s="802" cm="1">
        <f t="array" aca="1" ref="AO43" ca="1">_xll.d.Curve_GetDiscountFactors($AE$25,AM43)</f>
        <v>0.88716540900503738</v>
      </c>
      <c r="AP43" s="766" t="str" cm="1">
        <f t="array" aca="1" ref="AP43" ca="1">_xll.d.TestUtils_Equal(AN43,AO43,0.0001)</f>
        <v>Ok</v>
      </c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v>45628</v>
      </c>
      <c r="H44" s="289" cm="1">
        <f t="array" ref="H44">_xll.d.Dates_Act365(G43,G44)</f>
        <v>0.24931506849315069</v>
      </c>
      <c r="I44" s="623">
        <v>9.9999999999999728E-2</v>
      </c>
      <c r="J44" s="136">
        <f ca="1"/>
        <v>0.78067667572957855</v>
      </c>
      <c r="K44" s="213"/>
      <c r="L44" s="214"/>
      <c r="M44" s="266" t="s">
        <v>209</v>
      </c>
      <c r="N44" s="731">
        <v>6.4600000000000005E-2</v>
      </c>
      <c r="O44" s="256" t="b">
        <v>1</v>
      </c>
      <c r="R44" s="741">
        <v>44407</v>
      </c>
      <c r="S44" s="289" cm="1">
        <f t="array" ref="S44">_xll.d.Dates_Act365(R43,R44)</f>
        <v>0.24931506849315069</v>
      </c>
      <c r="T44" s="623">
        <v>6.2100000000000218E-2</v>
      </c>
      <c r="U44" s="743">
        <f ca="1"/>
        <v>0.91056027364554459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M44" s="801">
        <v>53055</v>
      </c>
      <c r="AN44" s="777">
        <v>0.85641643828217151</v>
      </c>
      <c r="AO44" s="802" cm="1">
        <f t="array" aca="1" ref="AO44" ca="1">_xll.d.Curve_GetDiscountFactors($AE$25,AM44)</f>
        <v>0.85640111401297891</v>
      </c>
      <c r="AP44" s="766" t="str" cm="1">
        <f t="array" aca="1" ref="AP44" ca="1">_xll.d.TestUtils_Equal(AN44,AO44,0.0001)</f>
        <v>Ok</v>
      </c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v>45719</v>
      </c>
      <c r="H45" s="289" cm="1">
        <f t="array" ref="H45">_xll.d.Dates_Act365(G44,G45)</f>
        <v>0.24931506849315069</v>
      </c>
      <c r="I45" s="623">
        <v>9.9999999999999728E-2</v>
      </c>
      <c r="J45" s="136">
        <f ca="1"/>
        <v>0.76168667907323229</v>
      </c>
      <c r="K45" s="213"/>
      <c r="L45" s="214"/>
      <c r="M45" s="267" t="s">
        <v>210</v>
      </c>
      <c r="N45" s="732">
        <v>6.2600000000000003E-2</v>
      </c>
      <c r="O45" s="253" t="b">
        <v>1</v>
      </c>
      <c r="Q45" s="628"/>
      <c r="R45" s="741">
        <v>44498</v>
      </c>
      <c r="S45" s="289" cm="1">
        <f t="array" ref="S45">_xll.d.Dates_Act365(R44,R45)</f>
        <v>0.24931506849315069</v>
      </c>
      <c r="T45" s="623">
        <v>6.2600000000000391E-2</v>
      </c>
      <c r="U45" s="743">
        <f ca="1"/>
        <v>0.89656743514945592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M45" s="803">
        <v>54882</v>
      </c>
      <c r="AN45" s="804">
        <v>0.82945903335872884</v>
      </c>
      <c r="AO45" s="805" cm="1">
        <f t="array" aca="1" ref="AO45" ca="1">_xll.d.Curve_GetDiscountFactors($AE$25,AM45)</f>
        <v>0.8294441036934771</v>
      </c>
      <c r="AP45" s="766" t="str" cm="1">
        <f t="array" aca="1" ref="AP45" ca="1">_xll.d.TestUtils_Equal(AN45,AO45,0.0001)</f>
        <v>Ok</v>
      </c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v>45810</v>
      </c>
      <c r="H46" s="201" cm="1">
        <f t="array" ref="H46">_xll.d.Dates_Act365(G45,G46)</f>
        <v>0.24931506849315069</v>
      </c>
      <c r="I46" s="624">
        <v>0.10000000000000062</v>
      </c>
      <c r="J46" s="138">
        <f ca="1"/>
        <v>0.74315861497388347</v>
      </c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v>44592</v>
      </c>
      <c r="S46" s="289" cm="1">
        <f t="array" ref="S46">_xll.d.Dates_Act365(R45,R46)</f>
        <v>0.25753424657534246</v>
      </c>
      <c r="T46" s="623">
        <v>6.3199999999999867E-2</v>
      </c>
      <c r="U46" s="743">
        <f ca="1"/>
        <v>0.88220846515010332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R47" s="741">
        <v>44680</v>
      </c>
      <c r="S47" s="289" cm="1">
        <f t="array" ref="S47">_xll.d.Dates_Act365(R46,R47)</f>
        <v>0.24109589041095891</v>
      </c>
      <c r="T47" s="623">
        <v>6.5646944639983829E-2</v>
      </c>
      <c r="U47" s="743">
        <f ca="1"/>
        <v>0.8684631182417003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v>44771</v>
      </c>
      <c r="S48" s="289" cm="1">
        <f t="array" ref="S48">_xll.d.Dates_Act365(R47,R48)</f>
        <v>0.24931506849315069</v>
      </c>
      <c r="T48" s="623">
        <v>6.5664565447258405E-2</v>
      </c>
      <c r="U48" s="743">
        <f ca="1"/>
        <v>0.85447437669251924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v>44865</v>
      </c>
      <c r="S49" s="289" cm="1">
        <f t="array" ref="S49">_xll.d.Dates_Act365(R48,R49)</f>
        <v>0.25753424657534246</v>
      </c>
      <c r="T49" s="623">
        <v>6.5682192552889401E-2</v>
      </c>
      <c r="U49" s="743">
        <f ca="1"/>
        <v>0.84026101379913343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>
        <f ca="1">SUMPRODUCT(AI35,AJ35,AK35)/SUMPRODUCT(AI35,AK35)</f>
        <v>6.900000000000854E-4</v>
      </c>
      <c r="AJ49" s="752">
        <f>AD49</f>
        <v>6.9000000000000008E-4</v>
      </c>
      <c r="AK49" s="205" t="str" cm="1">
        <f t="array" aca="1" ref="AK49" ca="1">_xll.d.TestUtils_Equal(AI49,AJ49,0.00001)</f>
        <v>Ok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>
        <f ca="1">SUMPRODUCT(H35:H42,I35:I42,J35:J42)/SUMPRODUCT(H35:H42,J35:J42)</f>
        <v>9.9999999999999922E-2</v>
      </c>
      <c r="I50" s="204">
        <f>C50</f>
        <v>0.1</v>
      </c>
      <c r="J50" s="205" t="str" cm="1">
        <f t="array" aca="1" ref="J50" ca="1">_xll.d.TestUtils_Equal(H50,I50,0.00001)</f>
        <v>Ok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v>44957</v>
      </c>
      <c r="S50" s="289" cm="1">
        <f t="array" ref="S50">_xll.d.Dates_Act365(R49,R50)</f>
        <v>0.25205479452054796</v>
      </c>
      <c r="T50" s="623">
        <v>6.5670440449192277E-2</v>
      </c>
      <c r="U50" s="743">
        <f ca="1"/>
        <v>0.82657902369827241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>
        <f t="array" aca="1" ref="AI50" ca="1">SUMPRODUCT(AI35:AI36,AJ35:AJ36,AK35:AK36)/SUMPRODUCT(AI35:AI36,AK35:AK36)</f>
        <v>8.2999999999999459E-4</v>
      </c>
      <c r="AJ50" s="760">
        <f>AD51</f>
        <v>8.3000000000000001E-4</v>
      </c>
      <c r="AK50" s="702" t="str" cm="1">
        <f t="array" aca="1" ref="AK50" ca="1">_xll.d.TestUtils_Equal(AI50,AJ50,0.00001)</f>
        <v>Ok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>
        <f ca="1">SUMPRODUCT(H35:H46,I35:I46,J35:J46)/SUMPRODUCT(H35:H46,J35:J46)</f>
        <v>9.999999999999995E-2</v>
      </c>
      <c r="I51" s="644">
        <f>C51</f>
        <v>0.1</v>
      </c>
      <c r="J51" s="208" t="str" cm="1">
        <f t="array" aca="1" ref="J51" ca="1">_xll.d.TestUtils_Equal(H51,I51,0.00001)</f>
        <v>Ok</v>
      </c>
      <c r="K51" s="213"/>
      <c r="L51" s="214"/>
      <c r="M51" s="726"/>
      <c r="N51" s="727"/>
      <c r="O51" s="728"/>
      <c r="R51" s="741">
        <v>45044</v>
      </c>
      <c r="S51" s="289" cm="1">
        <f t="array" ref="S51">_xll.d.Dates_Act365(R50,R51)</f>
        <v>0.23835616438356164</v>
      </c>
      <c r="T51" s="623">
        <v>6.9627409251721714E-2</v>
      </c>
      <c r="U51" s="743">
        <f ca="1"/>
        <v>0.8130849662354146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>
        <f ca="1">SUMPRODUCT(AI35:AI37,AJ35:AJ37,AK35:AK37)/SUMPRODUCT(AI35:AI37,AK35:AK37)</f>
        <v>1.1599999999999759E-3</v>
      </c>
      <c r="AJ51" s="762">
        <f>AD52</f>
        <v>1.16E-3</v>
      </c>
      <c r="AK51" s="702" t="str" cm="1">
        <f t="array" aca="1" ref="AK51" ca="1">_xll.d.TestUtils_Equal(AI51,AJ51,0.00001)</f>
        <v>Ok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v>45138</v>
      </c>
      <c r="S52" s="289" cm="1">
        <f t="array" ref="S52">_xll.d.Dates_Act365(R51,R52)</f>
        <v>0.25753424657534246</v>
      </c>
      <c r="T52" s="623">
        <v>6.9673662080722773E-2</v>
      </c>
      <c r="U52" s="743">
        <f ca="1"/>
        <v>0.79875266436428727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>
        <f ca="1">SUMPRODUCT(AI$35:AI38,AJ$35:AJ38,AK$35:AK38)/SUMPRODUCT(AI$35:AI38,AK$35:AK38)</f>
        <v>1.5999999999999936E-3</v>
      </c>
      <c r="AJ52" s="760">
        <f>AD53</f>
        <v>1.6000000000000001E-3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v>45230</v>
      </c>
      <c r="S53" s="289" cm="1">
        <f t="array" ref="S53">_xll.d.Dates_Act365(R52,R53)</f>
        <v>0.25205479452054796</v>
      </c>
      <c r="T53" s="623">
        <v>6.9660442813451517E-2</v>
      </c>
      <c r="U53" s="743">
        <f ca="1"/>
        <v>0.78496996654844542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>
        <f ca="1">SUMPRODUCT(AI$35:AI39,AJ$35:AJ39,AK$35:AK39)/SUMPRODUCT(AI$35:AI39,AK$35:AK39)</f>
        <v>2.1299999999999843E-3</v>
      </c>
      <c r="AJ53" s="762">
        <f>AD54</f>
        <v>2.1299999999999999E-3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v>45322</v>
      </c>
      <c r="S54" s="289" cm="1">
        <f t="array" ref="S54">_xll.d.Dates_Act365(R53,R54)</f>
        <v>0.25205479452054796</v>
      </c>
      <c r="T54" s="623">
        <v>6.9660442813451517E-2</v>
      </c>
      <c r="U54" s="743">
        <f ca="1"/>
        <v>0.77142509298979578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>
        <f ca="1">SUMPRODUCT(AI$35:AI41,AJ$35:AJ41,AK$35:AK41)/SUMPRODUCT(AI$35:AI41,AK$35:AK41)</f>
        <v>3.1399999999999957E-3</v>
      </c>
      <c r="AJ54" s="753">
        <f>AD55</f>
        <v>3.14E-3</v>
      </c>
      <c r="AK54" s="208" t="str" cm="1">
        <f t="array" aca="1" ref="AK54" ca="1">_xll.d.TestUtils_Equal(AI54,AJ54,0.00001)</f>
        <v>Ok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v>45412</v>
      </c>
      <c r="S55" s="289" cm="1">
        <f t="array" ref="S55">_xll.d.Dates_Act365(R54,R55)</f>
        <v>0.24657534246575341</v>
      </c>
      <c r="T55" s="623">
        <v>7.3227894012978037E-2</v>
      </c>
      <c r="U55" s="743">
        <f ca="1"/>
        <v>0.75774313663669335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v>45504</v>
      </c>
      <c r="S56" s="289" cm="1">
        <f t="array" ref="S56">_xll.d.Dates_Act365(R55,R56)</f>
        <v>0.25205479452054796</v>
      </c>
      <c r="T56" s="623">
        <v>7.3242499618522236E-2</v>
      </c>
      <c r="U56" s="743">
        <f ca="1"/>
        <v>0.74400791486490792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B57" t="s">
        <v>636</v>
      </c>
      <c r="K57" s="213"/>
      <c r="L57" s="214"/>
      <c r="M57" s="757" t="s">
        <v>619</v>
      </c>
      <c r="N57" s="724">
        <v>6.83E-2</v>
      </c>
      <c r="O57" s="231" t="b">
        <v>1</v>
      </c>
      <c r="R57" s="741">
        <v>45596</v>
      </c>
      <c r="S57" s="289" cm="1">
        <f t="array" ref="S57">_xll.d.Dates_Act365(R56,R57)</f>
        <v>0.25205479452054796</v>
      </c>
      <c r="T57" s="623">
        <v>7.3242499618522236E-2</v>
      </c>
      <c r="U57" s="743">
        <f ca="1"/>
        <v>0.73052166442390554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B58" t="s">
        <v>634</v>
      </c>
      <c r="G58" t="s">
        <v>640</v>
      </c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v>45688</v>
      </c>
      <c r="S58" s="289" cm="1">
        <f t="array" ref="S58">_xll.d.Dates_Act365(R57,R58)</f>
        <v>0.25205479452054796</v>
      </c>
      <c r="T58" s="623">
        <v>7.3242499618522236E-2</v>
      </c>
      <c r="U58" s="743">
        <f ca="1"/>
        <v>0.71727987233787971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B59" t="s">
        <v>635</v>
      </c>
      <c r="G59" t="s">
        <v>643</v>
      </c>
      <c r="K59" s="213"/>
      <c r="L59" s="214"/>
      <c r="M59" s="758" t="s">
        <v>621</v>
      </c>
      <c r="N59" s="736">
        <v>7.17E-2</v>
      </c>
      <c r="O59" s="229" t="b">
        <v>1</v>
      </c>
      <c r="R59" s="741">
        <v>45777</v>
      </c>
      <c r="S59" s="289" cm="1">
        <f t="array" ref="S59">_xll.d.Dates_Act365(R58,R59)</f>
        <v>0.24383561643835616</v>
      </c>
      <c r="T59" s="623">
        <v>7.8872625681943809E-2</v>
      </c>
      <c r="U59" s="743">
        <f ca="1"/>
        <v>0.70374547089671657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B60" s="10" t="s">
        <v>637</v>
      </c>
      <c r="G60" t="s">
        <v>641</v>
      </c>
      <c r="K60" s="213"/>
      <c r="L60" s="214"/>
      <c r="R60" s="741">
        <v>45869</v>
      </c>
      <c r="S60" s="289" cm="1">
        <f t="array" ref="S60">_xll.d.Dates_Act365(R59,R60)</f>
        <v>0.25205479452054796</v>
      </c>
      <c r="T60" s="623">
        <v>7.8898034102186321E-2</v>
      </c>
      <c r="U60" s="743">
        <f ca="1"/>
        <v>0.69002323565405888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G61" t="s">
        <v>642</v>
      </c>
      <c r="K61" s="213"/>
      <c r="L61" s="214"/>
      <c r="R61" s="741">
        <v>45961</v>
      </c>
      <c r="S61" s="289" cm="1">
        <f t="array" ref="S61">_xll.d.Dates_Act365(R60,R61)</f>
        <v>0.25205479452054796</v>
      </c>
      <c r="T61" s="623">
        <v>7.8898034102187209E-2</v>
      </c>
      <c r="U61" s="743">
        <f ca="1"/>
        <v>0.67656856837146906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v>46052</v>
      </c>
      <c r="S62" s="289" cm="1">
        <f t="array" ref="S62">_xll.d.Dates_Act365(R61,R62)</f>
        <v>0.24931506849315069</v>
      </c>
      <c r="T62" s="623">
        <v>7.8889563418266861E-2</v>
      </c>
      <c r="U62" s="743">
        <f ca="1"/>
        <v>0.663518254527107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P62" s="756"/>
      <c r="AQ62" s="213"/>
      <c r="AR62" s="214"/>
      <c r="AS62" s="1"/>
    </row>
    <row r="63" spans="2:54" x14ac:dyDescent="0.25">
      <c r="B63" s="10" t="s">
        <v>638</v>
      </c>
      <c r="K63" s="213"/>
      <c r="L63" s="214"/>
      <c r="R63" s="741">
        <v>46142</v>
      </c>
      <c r="S63" s="289" cm="1">
        <f t="array" ref="S63">_xll.d.Dates_Act365(R62,R63)</f>
        <v>0.24657534246575341</v>
      </c>
      <c r="T63" s="623">
        <v>8.242141632233177E-2</v>
      </c>
      <c r="U63" s="743">
        <f ca="1"/>
        <v>0.65030210695898094</v>
      </c>
      <c r="V63" s="756"/>
      <c r="W63" s="756"/>
      <c r="X63" s="756"/>
      <c r="Y63" s="756"/>
      <c r="Z63" s="756"/>
      <c r="AA63" s="213"/>
      <c r="AB63" s="214"/>
      <c r="AC63" s="1"/>
      <c r="AG63" s="455"/>
      <c r="AP63" s="756"/>
      <c r="AQ63" s="213"/>
      <c r="AR63" s="214"/>
      <c r="AS63" s="1"/>
    </row>
    <row r="64" spans="2:54" x14ac:dyDescent="0.25">
      <c r="G64" s="68" t="s">
        <v>644</v>
      </c>
      <c r="K64" s="213"/>
      <c r="L64" s="214"/>
      <c r="R64" s="741">
        <v>46234</v>
      </c>
      <c r="S64" s="289" cm="1">
        <f t="array" ref="S64">_xll.d.Dates_Act365(R63,R64)</f>
        <v>0.25205479452054796</v>
      </c>
      <c r="T64" s="623">
        <v>8.243990601847434E-2</v>
      </c>
      <c r="U64" s="743">
        <f ca="1"/>
        <v>0.6370643096789147</v>
      </c>
      <c r="V64" s="756"/>
      <c r="W64" s="756"/>
      <c r="X64" s="756"/>
      <c r="Y64" s="756"/>
      <c r="Z64" s="756"/>
      <c r="AA64" s="213"/>
      <c r="AB64" s="214"/>
      <c r="AG64" s="455"/>
      <c r="AP64" s="756"/>
      <c r="AQ64" s="213"/>
      <c r="AR64" s="214"/>
      <c r="AS64" s="455"/>
    </row>
    <row r="65" spans="2:45" x14ac:dyDescent="0.25">
      <c r="G65" s="10" t="s">
        <v>645</v>
      </c>
      <c r="K65" s="213"/>
      <c r="L65" s="214"/>
      <c r="R65" s="741">
        <v>46325</v>
      </c>
      <c r="S65" s="289" cm="1">
        <f t="array" ref="S65">_xll.d.Dates_Act365(R64,R65)</f>
        <v>0.24931506849315069</v>
      </c>
      <c r="T65" s="623">
        <v>8.2430660480348375E-2</v>
      </c>
      <c r="U65" s="743">
        <f ca="1"/>
        <v>0.6242355171216053</v>
      </c>
      <c r="V65" s="756"/>
      <c r="W65" s="756"/>
      <c r="X65" s="756"/>
      <c r="Y65" s="756"/>
      <c r="Z65" s="756"/>
      <c r="AA65" s="213"/>
      <c r="AB65" s="214"/>
      <c r="AG65" s="455"/>
      <c r="AP65" s="756"/>
      <c r="AQ65" s="213"/>
      <c r="AR65" s="214"/>
      <c r="AS65" s="455"/>
    </row>
    <row r="66" spans="2:45" x14ac:dyDescent="0.25">
      <c r="B66" s="10" t="s">
        <v>639</v>
      </c>
      <c r="G66" s="10" t="s">
        <v>646</v>
      </c>
      <c r="K66" s="213"/>
      <c r="L66" s="214"/>
      <c r="R66" s="741">
        <v>46416</v>
      </c>
      <c r="S66" s="289" cm="1">
        <f t="array" ref="S66">_xll.d.Dates_Act365(R65,R66)</f>
        <v>0.24931506849315069</v>
      </c>
      <c r="T66" s="623">
        <v>8.2430660480347487E-2</v>
      </c>
      <c r="U66" s="743">
        <f ca="1"/>
        <v>0.61166506256248243</v>
      </c>
      <c r="V66" s="756"/>
      <c r="W66" s="756"/>
      <c r="X66" s="756"/>
      <c r="Y66" s="756"/>
      <c r="Z66" s="756"/>
      <c r="AA66" s="213"/>
      <c r="AB66" s="214"/>
      <c r="AG66" s="455"/>
      <c r="AP66" s="756"/>
      <c r="AQ66" s="213"/>
      <c r="AR66" s="214"/>
      <c r="AS66" s="455"/>
    </row>
    <row r="67" spans="2:45" x14ac:dyDescent="0.25">
      <c r="G67" t="s">
        <v>647</v>
      </c>
      <c r="K67" s="213"/>
      <c r="R67" s="741">
        <v>46507</v>
      </c>
      <c r="S67" s="289" cm="1">
        <f t="array" ref="S67">_xll.d.Dates_Act365(R66,R67)</f>
        <v>0.24931506849315069</v>
      </c>
      <c r="T67" s="623">
        <v>8.8869984701114083E-2</v>
      </c>
      <c r="U67" s="743">
        <f ca="1"/>
        <v>0.59840639566460219</v>
      </c>
      <c r="V67" s="756"/>
      <c r="W67" s="756"/>
      <c r="X67" s="756"/>
      <c r="Y67" s="756"/>
      <c r="Z67" s="756"/>
      <c r="AA67" s="213"/>
      <c r="AG67" s="455"/>
      <c r="AP67" s="756"/>
      <c r="AQ67" s="213"/>
      <c r="AR67" s="455"/>
      <c r="AS67" s="455"/>
    </row>
    <row r="68" spans="2:45" x14ac:dyDescent="0.25">
      <c r="J68" s="455"/>
      <c r="K68" s="213"/>
      <c r="L68" s="455"/>
      <c r="R68" s="741">
        <v>46598</v>
      </c>
      <c r="S68" s="289" cm="1">
        <f t="array" ref="S68">_xll.d.Dates_Act365(R67,R68)</f>
        <v>0.24931506849315069</v>
      </c>
      <c r="T68" s="623">
        <v>8.8869984701114083E-2</v>
      </c>
      <c r="U68" s="743">
        <f ca="1"/>
        <v>0.58543512829085442</v>
      </c>
      <c r="V68" s="756"/>
      <c r="W68" s="756"/>
      <c r="X68" s="756"/>
      <c r="Y68" s="756"/>
      <c r="Z68" s="756"/>
      <c r="AA68" s="213"/>
      <c r="AG68" s="455"/>
      <c r="AP68" s="756"/>
      <c r="AQ68" s="213"/>
      <c r="AR68" s="455"/>
      <c r="AS68" s="455"/>
    </row>
    <row r="69" spans="2:45" x14ac:dyDescent="0.25">
      <c r="J69" s="455"/>
      <c r="K69" s="213"/>
      <c r="L69" s="455"/>
      <c r="R69" s="741">
        <v>46689</v>
      </c>
      <c r="S69" s="289" cm="1">
        <f t="array" ref="S69">_xll.d.Dates_Act365(R68,R69)</f>
        <v>0.24931506849315069</v>
      </c>
      <c r="T69" s="623">
        <v>8.8869984701113194E-2</v>
      </c>
      <c r="U69" s="743">
        <f ca="1"/>
        <v>0.57274503066813243</v>
      </c>
      <c r="V69" s="756"/>
      <c r="W69" s="756"/>
      <c r="X69" s="756"/>
      <c r="Y69" s="756"/>
      <c r="Z69" s="756"/>
      <c r="AA69" s="213"/>
      <c r="AG69" s="455"/>
      <c r="AP69" s="756"/>
      <c r="AQ69" s="213"/>
      <c r="AR69" s="455"/>
      <c r="AS69" s="455"/>
    </row>
    <row r="70" spans="2:45" x14ac:dyDescent="0.25">
      <c r="J70" s="455"/>
      <c r="K70" s="213"/>
      <c r="L70" s="455"/>
      <c r="R70" s="744">
        <v>46783</v>
      </c>
      <c r="S70" s="656" cm="1">
        <f t="array" ref="S70">_xll.d.Dates_Act365(R69,R70)</f>
        <v>0.25753424657534246</v>
      </c>
      <c r="T70" s="745">
        <v>8.8902212401248376E-2</v>
      </c>
      <c r="U70" s="338">
        <f ca="1"/>
        <v>0.55992533612260831</v>
      </c>
      <c r="V70" s="756"/>
      <c r="W70" s="756"/>
      <c r="X70" s="756"/>
      <c r="Y70" s="756"/>
      <c r="Z70" s="756"/>
      <c r="AA70" s="213"/>
      <c r="AG70" s="455"/>
      <c r="AP70" s="756"/>
      <c r="AQ70" s="213"/>
      <c r="AR70" s="455"/>
      <c r="AS70" s="455"/>
    </row>
    <row r="71" spans="2:45" x14ac:dyDescent="0.25">
      <c r="J71" s="455"/>
      <c r="K71" s="213"/>
      <c r="L71" s="455"/>
      <c r="V71" s="756"/>
      <c r="AA71" s="213"/>
      <c r="AG71" s="455"/>
      <c r="AQ71" s="213"/>
      <c r="AR71" s="455"/>
      <c r="AS71" s="455"/>
    </row>
    <row r="72" spans="2:45" x14ac:dyDescent="0.25">
      <c r="J72" s="455"/>
      <c r="K72" s="213"/>
      <c r="L72" s="455"/>
      <c r="V72" s="756"/>
      <c r="AA72" s="213"/>
      <c r="AG72" s="455"/>
      <c r="AQ72" s="213"/>
      <c r="AR72" s="455"/>
      <c r="AS72" s="455"/>
    </row>
    <row r="73" spans="2:45" x14ac:dyDescent="0.25">
      <c r="J73" s="455"/>
      <c r="K73" s="213"/>
      <c r="L73" s="455"/>
      <c r="R73" s="304" t="s">
        <v>575</v>
      </c>
      <c r="S73" s="305"/>
      <c r="T73" s="305"/>
      <c r="U73" s="306"/>
      <c r="V73" s="756"/>
      <c r="AA73" s="213"/>
      <c r="AG73" s="455"/>
      <c r="AQ73" s="213"/>
      <c r="AR73" s="455"/>
      <c r="AS73" s="455"/>
    </row>
    <row r="74" spans="2:45" x14ac:dyDescent="0.25">
      <c r="J74" s="455"/>
      <c r="K74" s="213"/>
      <c r="L74" s="455"/>
      <c r="R74" s="519" t="s">
        <v>23</v>
      </c>
      <c r="S74" s="640" t="s">
        <v>81</v>
      </c>
      <c r="T74" s="640" t="s">
        <v>82</v>
      </c>
      <c r="U74" s="641" t="s">
        <v>83</v>
      </c>
      <c r="V74" s="756"/>
      <c r="AA74" s="213"/>
      <c r="AG74" s="455"/>
      <c r="AQ74" s="213"/>
      <c r="AR74" s="455"/>
      <c r="AS74" s="455"/>
    </row>
    <row r="75" spans="2:45" x14ac:dyDescent="0.25">
      <c r="J75" s="455"/>
      <c r="K75" s="213"/>
      <c r="L75" s="455"/>
      <c r="R75" s="642" t="s">
        <v>68</v>
      </c>
      <c r="S75" s="752">
        <f ca="1">SUMPRODUCT(S39:S50,T39:T50,U39:U50)/SUMPRODUCT(S39:S50,U39:U50)</f>
        <v>6.3899999999999971E-2</v>
      </c>
      <c r="T75" s="752">
        <f t="shared" ref="T75:T80" si="0">N54</f>
        <v>6.3899999999999998E-2</v>
      </c>
      <c r="U75" s="205" t="str" cm="1">
        <f t="array" aca="1" ref="U75" ca="1">_xll.d.TestUtils_Equal(S75,T75,0.00001)</f>
        <v>Ok</v>
      </c>
      <c r="V75" s="756"/>
      <c r="AA75" s="213"/>
      <c r="AG75" s="455"/>
      <c r="AQ75" s="213"/>
      <c r="AR75" s="455"/>
      <c r="AS75" s="455"/>
    </row>
    <row r="76" spans="2:45" x14ac:dyDescent="0.25">
      <c r="J76" s="455"/>
      <c r="K76" s="213"/>
      <c r="L76" s="455"/>
      <c r="R76" s="759" t="s">
        <v>611</v>
      </c>
      <c r="S76" s="760">
        <f ca="1">SUMPRODUCT(S39:S54,T39:T54,U39:U54)/SUMPRODUCT(S39:S54,U39:U54)</f>
        <v>6.5199999999999966E-2</v>
      </c>
      <c r="T76" s="760">
        <f t="shared" si="0"/>
        <v>6.5199999999999994E-2</v>
      </c>
      <c r="U76" s="702" t="str" cm="1">
        <f t="array" aca="1" ref="U76" ca="1">_xll.d.TestUtils_Equal(S76,T76,0.00001)</f>
        <v>Ok</v>
      </c>
      <c r="V76" s="756"/>
      <c r="AA76" s="213"/>
      <c r="AG76" s="455"/>
      <c r="AQ76" s="213"/>
      <c r="AR76" s="455"/>
      <c r="AS76" s="455"/>
    </row>
    <row r="77" spans="2:45" x14ac:dyDescent="0.25">
      <c r="J77" s="455"/>
      <c r="K77" s="213"/>
      <c r="L77" s="455"/>
      <c r="R77" s="761" t="s">
        <v>618</v>
      </c>
      <c r="S77" s="760">
        <f ca="1">SUMPRODUCT(S39:S58,T39:T58,U39:U58)/SUMPRODUCT(S39:S58,U39:U58)</f>
        <v>6.6600000000000006E-2</v>
      </c>
      <c r="T77" s="762">
        <f t="shared" si="0"/>
        <v>6.6600000000000006E-2</v>
      </c>
      <c r="U77" s="702" t="str" cm="1">
        <f t="array" aca="1" ref="U77" ca="1">_xll.d.TestUtils_Equal(S77,T77,0.00001)</f>
        <v>Ok</v>
      </c>
      <c r="V77" s="756"/>
      <c r="AA77" s="213"/>
      <c r="AQ77" s="213"/>
      <c r="AR77" s="455"/>
      <c r="AS77" s="455"/>
    </row>
    <row r="78" spans="2:45" x14ac:dyDescent="0.25">
      <c r="J78" s="455"/>
      <c r="K78" s="213"/>
      <c r="L78" s="455"/>
      <c r="R78" s="759" t="s">
        <v>619</v>
      </c>
      <c r="S78" s="760">
        <f ca="1">SUMPRODUCT(S39:S62,T39:T62,U39:U62)/SUMPRODUCT(S39:S62,U39:U62)</f>
        <v>6.8300000000000027E-2</v>
      </c>
      <c r="T78" s="760">
        <f t="shared" si="0"/>
        <v>6.83E-2</v>
      </c>
      <c r="U78" s="702" t="str" cm="1">
        <f t="array" aca="1" ref="U78" ca="1">_xll.d.TestUtils_Equal(S78,T78,0.00001)</f>
        <v>Ok</v>
      </c>
      <c r="V78" s="756"/>
      <c r="AA78" s="213"/>
      <c r="AQ78" s="213"/>
      <c r="AR78" s="455"/>
      <c r="AS78" s="455"/>
    </row>
    <row r="79" spans="2:45" x14ac:dyDescent="0.25">
      <c r="J79" s="455"/>
      <c r="K79" s="213"/>
      <c r="L79" s="455"/>
      <c r="R79" s="761" t="s">
        <v>620</v>
      </c>
      <c r="S79" s="760">
        <f ca="1">SUMPRODUCT(S39:S66,T39:T66,U39:U66)/SUMPRODUCT(S39:S66,U39:U66)</f>
        <v>6.9900000000000032E-2</v>
      </c>
      <c r="T79" s="762">
        <f t="shared" si="0"/>
        <v>6.9900000000000004E-2</v>
      </c>
      <c r="U79" s="702" t="str" cm="1">
        <f t="array" aca="1" ref="U79" ca="1">_xll.d.TestUtils_Equal(S79,T79,0.00001)</f>
        <v>Ok</v>
      </c>
      <c r="V79" s="756"/>
      <c r="AA79" s="213"/>
      <c r="AQ79" s="213"/>
      <c r="AR79" s="455"/>
      <c r="AS79" s="455"/>
    </row>
    <row r="80" spans="2:45" x14ac:dyDescent="0.25">
      <c r="J80" s="455"/>
      <c r="K80" s="213"/>
      <c r="L80" s="455"/>
      <c r="R80" s="643" t="s">
        <v>621</v>
      </c>
      <c r="S80" s="753">
        <f ca="1">SUMPRODUCT(S39:S70,T39:T70,U39:U70)/SUMPRODUCT(S39:S70,U39:U70)</f>
        <v>7.1700000000000069E-2</v>
      </c>
      <c r="T80" s="753">
        <f t="shared" si="0"/>
        <v>7.17E-2</v>
      </c>
      <c r="U80" s="208" t="str" cm="1">
        <f t="array" aca="1" ref="U80" ca="1">_xll.d.TestUtils_Equal(S80,T80,0.00001)</f>
        <v>Ok</v>
      </c>
      <c r="AA80" s="213"/>
      <c r="AQ80" s="213"/>
      <c r="AR80" s="455"/>
      <c r="AS80" s="455"/>
    </row>
    <row r="81" spans="2:45" x14ac:dyDescent="0.25">
      <c r="J81" s="455"/>
      <c r="K81" s="213"/>
      <c r="L81" s="455"/>
      <c r="AA81" s="213"/>
      <c r="AQ81" s="213"/>
      <c r="AR81" s="455"/>
      <c r="AS81" s="455"/>
    </row>
    <row r="82" spans="2:45" x14ac:dyDescent="0.25">
      <c r="J82" s="455"/>
      <c r="K82" s="213"/>
      <c r="L82" s="455"/>
      <c r="R82" s="308" t="s">
        <v>229</v>
      </c>
      <c r="AA82" s="213"/>
      <c r="AQ82" s="213"/>
      <c r="AR82" s="455"/>
      <c r="AS82" s="455"/>
    </row>
    <row r="83" spans="2:45" x14ac:dyDescent="0.25">
      <c r="J83" s="455"/>
      <c r="K83" s="213"/>
      <c r="L83" s="455"/>
      <c r="R83" s="278" t="s">
        <v>228</v>
      </c>
      <c r="AA83" s="213"/>
      <c r="AQ83" s="213"/>
      <c r="AR83" s="455"/>
      <c r="AS83" s="455"/>
    </row>
    <row r="84" spans="2:45" x14ac:dyDescent="0.25">
      <c r="J84" s="455"/>
      <c r="K84" s="213"/>
      <c r="L84" s="455"/>
      <c r="AA84" s="213"/>
      <c r="AQ84" s="213"/>
      <c r="AR84" s="455"/>
      <c r="AS84" s="455"/>
    </row>
    <row r="85" spans="2:45" x14ac:dyDescent="0.25">
      <c r="J85" s="455"/>
      <c r="K85" s="213"/>
      <c r="L85" s="455"/>
      <c r="AA85" s="213"/>
      <c r="AQ85" s="213"/>
      <c r="AR85" s="455"/>
      <c r="AS85" s="455"/>
    </row>
    <row r="86" spans="2:45" x14ac:dyDescent="0.25">
      <c r="AC86" s="455"/>
    </row>
    <row r="87" spans="2:45" x14ac:dyDescent="0.25">
      <c r="AC87" s="455"/>
    </row>
    <row r="88" spans="2:45" x14ac:dyDescent="0.25">
      <c r="AC88" s="455"/>
    </row>
    <row r="89" spans="2:45" x14ac:dyDescent="0.25">
      <c r="AC89" s="455"/>
    </row>
    <row r="90" spans="2:45" x14ac:dyDescent="0.25">
      <c r="AC90" s="455"/>
    </row>
    <row r="95" spans="2:45" x14ac:dyDescent="0.25">
      <c r="B95" s="455"/>
      <c r="C95" s="455"/>
      <c r="D95" s="455"/>
      <c r="E95" s="455"/>
      <c r="F95" s="455"/>
      <c r="G95" s="455"/>
      <c r="H95" s="455"/>
      <c r="I95" s="455"/>
      <c r="J95" s="455"/>
    </row>
  </sheetData>
  <conditionalFormatting sqref="J24:J29 D10 D14:D15 AK24:AK30 BH31 V21:Z21 U75:U76 U24:V34 W25:X25 V22:V79 W22:Z23 W26:Z70">
    <cfRule type="cellIs" dxfId="299" priority="67" stopIfTrue="1" operator="equal">
      <formula>"ERROR"</formula>
    </cfRule>
    <cfRule type="cellIs" dxfId="298" priority="68" stopIfTrue="1" operator="equal">
      <formula>"OK"</formula>
    </cfRule>
    <cfRule type="cellIs" dxfId="297" priority="69" stopIfTrue="1" operator="equal">
      <formula>"WARNING"</formula>
    </cfRule>
  </conditionalFormatting>
  <conditionalFormatting sqref="C6">
    <cfRule type="cellIs" dxfId="296" priority="64" stopIfTrue="1" operator="equal">
      <formula>"ERROR"</formula>
    </cfRule>
    <cfRule type="cellIs" dxfId="295" priority="65" stopIfTrue="1" operator="equal">
      <formula>"OK"</formula>
    </cfRule>
    <cfRule type="cellIs" dxfId="294" priority="66" stopIfTrue="1" operator="equal">
      <formula>"WARNING"</formula>
    </cfRule>
  </conditionalFormatting>
  <conditionalFormatting sqref="C22">
    <cfRule type="cellIs" dxfId="293" priority="61" stopIfTrue="1" operator="equal">
      <formula>"ERROR"</formula>
    </cfRule>
    <cfRule type="cellIs" dxfId="292" priority="62" stopIfTrue="1" operator="equal">
      <formula>"OK"</formula>
    </cfRule>
    <cfRule type="cellIs" dxfId="291" priority="63" stopIfTrue="1" operator="equal">
      <formula>"WARNING"</formula>
    </cfRule>
  </conditionalFormatting>
  <conditionalFormatting sqref="AD22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J50:J51">
    <cfRule type="cellIs" dxfId="287" priority="73" stopIfTrue="1" operator="equal">
      <formula>"ERROR"</formula>
    </cfRule>
    <cfRule type="cellIs" dxfId="286" priority="74" stopIfTrue="1" operator="equal">
      <formula>"OK"</formula>
    </cfRule>
    <cfRule type="cellIs" dxfId="285" priority="75" stopIfTrue="1" operator="equal">
      <formula>"WARNING"</formula>
    </cfRule>
  </conditionalFormatting>
  <conditionalFormatting sqref="N22">
    <cfRule type="cellIs" dxfId="284" priority="49" stopIfTrue="1" operator="equal">
      <formula>"ERROR"</formula>
    </cfRule>
    <cfRule type="cellIs" dxfId="283" priority="50" stopIfTrue="1" operator="equal">
      <formula>"OK"</formula>
    </cfRule>
    <cfRule type="cellIs" dxfId="282" priority="51" stopIfTrue="1" operator="equal">
      <formula>"WARNING"</formula>
    </cfRule>
  </conditionalFormatting>
  <conditionalFormatting sqref="D11">
    <cfRule type="cellIs" dxfId="281" priority="76" stopIfTrue="1" operator="equal">
      <formula>"ERROR"</formula>
    </cfRule>
    <cfRule type="cellIs" dxfId="280" priority="77" stopIfTrue="1" operator="equal">
      <formula>"OK"</formula>
    </cfRule>
    <cfRule type="cellIs" dxfId="279" priority="78" stopIfTrue="1" operator="equal">
      <formula>"WARNING"</formula>
    </cfRule>
  </conditionalFormatting>
  <conditionalFormatting sqref="U77:U78">
    <cfRule type="cellIs" dxfId="278" priority="46" stopIfTrue="1" operator="equal">
      <formula>"ERROR"</formula>
    </cfRule>
    <cfRule type="cellIs" dxfId="277" priority="47" stopIfTrue="1" operator="equal">
      <formula>"OK"</formula>
    </cfRule>
    <cfRule type="cellIs" dxfId="276" priority="48" stopIfTrue="1" operator="equal">
      <formula>"WARNING"</formula>
    </cfRule>
  </conditionalFormatting>
  <conditionalFormatting sqref="U79:U80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U78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U79:U80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AK49:AK50">
    <cfRule type="cellIs" dxfId="266" priority="34" stopIfTrue="1" operator="equal">
      <formula>"ERROR"</formula>
    </cfRule>
    <cfRule type="cellIs" dxfId="265" priority="35" stopIfTrue="1" operator="equal">
      <formula>"OK"</formula>
    </cfRule>
    <cfRule type="cellIs" dxfId="264" priority="36" stopIfTrue="1" operator="equal">
      <formula>"WARNING"</formula>
    </cfRule>
  </conditionalFormatting>
  <conditionalFormatting sqref="AK51:AK52">
    <cfRule type="cellIs" dxfId="263" priority="31" stopIfTrue="1" operator="equal">
      <formula>"ERROR"</formula>
    </cfRule>
    <cfRule type="cellIs" dxfId="262" priority="32" stopIfTrue="1" operator="equal">
      <formula>"OK"</formula>
    </cfRule>
    <cfRule type="cellIs" dxfId="261" priority="33" stopIfTrue="1" operator="equal">
      <formula>"WARNING"</formula>
    </cfRule>
  </conditionalFormatting>
  <conditionalFormatting sqref="AK53:AK54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AK52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AK53:AK54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AM23:AN23 AM24:AM39 AO24:AP39 AP40:AP45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N24:AN39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M44:AM45 AO44:AO45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N44:AN4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M40:AM43 AO40:AO43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N40:AN43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P62:AP70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3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3" priority="7" stopIfTrue="1" operator="equal">
      <formula>"ERROR"</formula>
    </cfRule>
    <cfRule type="cellIs" dxfId="232" priority="8" stopIfTrue="1" operator="equal">
      <formula>"OK"</formula>
    </cfRule>
    <cfRule type="cellIs" dxfId="231" priority="9" stopIfTrue="1" operator="equal">
      <formula>"WARNING"</formula>
    </cfRule>
  </conditionalFormatting>
  <conditionalFormatting sqref="C6">
    <cfRule type="cellIs" dxfId="230" priority="4" stopIfTrue="1" operator="equal">
      <formula>"ERROR"</formula>
    </cfRule>
    <cfRule type="cellIs" dxfId="229" priority="5" stopIfTrue="1" operator="equal">
      <formula>"OK"</formula>
    </cfRule>
    <cfRule type="cellIs" dxfId="228" priority="6" stopIfTrue="1" operator="equal">
      <formula>"WARNING"</formula>
    </cfRule>
  </conditionalFormatting>
  <conditionalFormatting sqref="C20">
    <cfRule type="cellIs" dxfId="227" priority="1" stopIfTrue="1" operator="equal">
      <formula>"ERROR"</formula>
    </cfRule>
    <cfRule type="cellIs" dxfId="226" priority="2" stopIfTrue="1" operator="equal">
      <formula>"OK"</formula>
    </cfRule>
    <cfRule type="cellIs" dxfId="22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aca="1" ref="C4" ca="1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aca="1" ref="C8" ca="1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aca="1" ref="C9" ca="1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aca="1" ref="D20" ca="1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aca="1" ref="J20" ca="1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aca="1" ref="AH20" ca="1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aca="1" ref="D23" ca="1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aca="1" ref="J23" ca="1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aca="1" ref="AH23" ca="1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aca="1" ref="B26:D28" ca="1">[1]Sheet1!$B$9:$D$11</f>
        <v>1654654654</v>
      </c>
      <c r="C26" s="674">
        <f ca="1"/>
        <v>3554129</v>
      </c>
      <c r="D26" s="675">
        <f ca="1"/>
        <v>321754</v>
      </c>
      <c r="E26" s="673">
        <v>1654654654</v>
      </c>
      <c r="F26" s="674">
        <v>3554129</v>
      </c>
      <c r="G26" s="675">
        <v>321754</v>
      </c>
      <c r="H26" s="310" t="str" cm="1">
        <f t="array" aca="1" ref="H26" ca="1">_xll.d.TestUtils_Equal(B26,E26)</f>
        <v>Ok</v>
      </c>
      <c r="I26" s="310" t="str" cm="1">
        <f t="array" aca="1" ref="I26" ca="1">_xll.d.TestUtils_Equal(C26,F26)</f>
        <v>Ok</v>
      </c>
      <c r="J26" s="310" t="str" cm="1">
        <f t="array" aca="1" ref="J26" ca="1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aca="1" ref="AF26:AH28" ca="1">[2]Sheet1!$B$9:$D$11</f>
        <v>6768</v>
      </c>
      <c r="AG26" s="667">
        <f ca="1"/>
        <v>87784</v>
      </c>
      <c r="AH26" s="667">
        <f ca="1"/>
        <v>8486787</v>
      </c>
    </row>
    <row r="27" spans="2:34" x14ac:dyDescent="0.25">
      <c r="B27" s="676">
        <f ca="1"/>
        <v>454654</v>
      </c>
      <c r="C27" s="677">
        <f ca="1"/>
        <v>23154</v>
      </c>
      <c r="D27" s="678">
        <f ca="1"/>
        <v>258724</v>
      </c>
      <c r="E27" s="676">
        <v>454654</v>
      </c>
      <c r="F27" s="677">
        <v>23154</v>
      </c>
      <c r="G27" s="678">
        <v>258724</v>
      </c>
      <c r="H27" s="310" t="str" cm="1">
        <f t="array" aca="1" ref="H27" ca="1">_xll.d.TestUtils_Equal(B27,E27)</f>
        <v>Ok</v>
      </c>
      <c r="I27" s="310" t="str" cm="1">
        <f t="array" aca="1" ref="I27" ca="1">_xll.d.TestUtils_Equal(C27,F27)</f>
        <v>Ok</v>
      </c>
      <c r="J27" s="310" t="str" cm="1">
        <f t="array" aca="1" ref="J27" ca="1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f ca="1"/>
        <v>351132</v>
      </c>
      <c r="AG27" s="667">
        <f ca="1"/>
        <v>468468</v>
      </c>
      <c r="AH27" s="667">
        <f ca="1"/>
        <v>486864</v>
      </c>
    </row>
    <row r="28" spans="2:34" x14ac:dyDescent="0.25">
      <c r="B28" s="679">
        <f ca="1"/>
        <v>873213</v>
      </c>
      <c r="C28" s="680">
        <f ca="1"/>
        <v>45321</v>
      </c>
      <c r="D28" s="681">
        <f ca="1"/>
        <v>1475435</v>
      </c>
      <c r="E28" s="679">
        <v>873213</v>
      </c>
      <c r="F28" s="680">
        <v>45321</v>
      </c>
      <c r="G28" s="681">
        <v>1475435</v>
      </c>
      <c r="H28" s="310" t="str" cm="1">
        <f t="array" aca="1" ref="H28" ca="1">_xll.d.TestUtils_Equal(B28,E28)</f>
        <v>Ok</v>
      </c>
      <c r="I28" s="310" t="str" cm="1">
        <f t="array" aca="1" ref="I28" ca="1">_xll.d.TestUtils_Equal(C28,F28)</f>
        <v>Ok</v>
      </c>
      <c r="J28" s="310" t="str" cm="1">
        <f t="array" aca="1" ref="J28" ca="1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f ca="1"/>
        <v>49848519</v>
      </c>
      <c r="AG28" s="667">
        <f ca="1"/>
        <v>1974746</v>
      </c>
      <c r="AH28" s="667">
        <f ca="1"/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aca="1" ref="B31:D33" ca="1">[1]!Array</f>
        <v>154</v>
      </c>
      <c r="C31" s="674">
        <f ca="1"/>
        <v>254257</v>
      </c>
      <c r="D31" s="675">
        <f ca="1"/>
        <v>1358354</v>
      </c>
      <c r="E31" s="673">
        <v>154</v>
      </c>
      <c r="F31" s="674">
        <v>254257</v>
      </c>
      <c r="G31" s="675">
        <v>1358354</v>
      </c>
      <c r="H31" s="310" t="str" cm="1">
        <f t="array" aca="1" ref="H31" ca="1">_xll.d.TestUtils_Equal(B31,E31)</f>
        <v>Ok</v>
      </c>
      <c r="I31" s="310" t="str" cm="1">
        <f t="array" aca="1" ref="I31" ca="1">_xll.d.TestUtils_Equal(C31,F31)</f>
        <v>Ok</v>
      </c>
      <c r="J31" s="310" t="str" cm="1">
        <f t="array" aca="1" ref="J31" ca="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aca="1" ref="AF31:AH33" ca="1">[2]!Array</f>
        <v>56384</v>
      </c>
      <c r="AG31" s="667">
        <f ca="1"/>
        <v>89436</v>
      </c>
      <c r="AH31" s="667">
        <f ca="1"/>
        <v>4497</v>
      </c>
    </row>
    <row r="32" spans="2:34" x14ac:dyDescent="0.25">
      <c r="B32" s="676">
        <f ca="1"/>
        <v>835</v>
      </c>
      <c r="C32" s="677">
        <f ca="1"/>
        <v>76843</v>
      </c>
      <c r="D32" s="678">
        <f ca="1"/>
        <v>332156</v>
      </c>
      <c r="E32" s="676">
        <v>835</v>
      </c>
      <c r="F32" s="677">
        <v>76843</v>
      </c>
      <c r="G32" s="678">
        <v>332156</v>
      </c>
      <c r="H32" s="310" t="str" cm="1">
        <f t="array" aca="1" ref="H32" ca="1">_xll.d.TestUtils_Equal(B32,E32)</f>
        <v>Ok</v>
      </c>
      <c r="I32" s="310" t="str" cm="1">
        <f t="array" aca="1" ref="I32" ca="1">_xll.d.TestUtils_Equal(C32,F32)</f>
        <v>Ok</v>
      </c>
      <c r="J32" s="310" t="str" cm="1">
        <f t="array" aca="1" ref="J32" ca="1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f ca="1"/>
        <v>486465</v>
      </c>
      <c r="AG32" s="667">
        <f ca="1"/>
        <v>4863</v>
      </c>
      <c r="AH32" s="667">
        <f ca="1"/>
        <v>44978</v>
      </c>
    </row>
    <row r="33" spans="2:34" x14ac:dyDescent="0.25">
      <c r="B33" s="679">
        <f ca="1"/>
        <v>45358</v>
      </c>
      <c r="C33" s="680">
        <f ca="1"/>
        <v>6546</v>
      </c>
      <c r="D33" s="681">
        <f ca="1"/>
        <v>53853654</v>
      </c>
      <c r="E33" s="679">
        <v>45358</v>
      </c>
      <c r="F33" s="680">
        <v>6546</v>
      </c>
      <c r="G33" s="681">
        <v>53853654</v>
      </c>
      <c r="H33" s="310" t="str" cm="1">
        <f t="array" aca="1" ref="H33" ca="1">_xll.d.TestUtils_Equal(B33,E33)</f>
        <v>Ok</v>
      </c>
      <c r="I33" s="310" t="str" cm="1">
        <f t="array" aca="1" ref="I33" ca="1">_xll.d.TestUtils_Equal(C33,F33)</f>
        <v>Ok</v>
      </c>
      <c r="J33" s="310" t="str" cm="1">
        <f t="array" aca="1" ref="J33" ca="1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f ca="1"/>
        <v>687845</v>
      </c>
      <c r="AG33" s="667">
        <f ca="1"/>
        <v>8977986</v>
      </c>
      <c r="AH33" s="667">
        <f ca="1"/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aca="1" ref="D39" ca="1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aca="1" ref="J39" ca="1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aca="1" ref="D42" ca="1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aca="1" ref="J42" ca="1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aca="1" ref="B45:D47" ca="1">[2]Sheet1!$B$9:$D$11</f>
        <v>6768</v>
      </c>
      <c r="C45" s="674">
        <f ca="1"/>
        <v>87784</v>
      </c>
      <c r="D45" s="675">
        <f ca="1"/>
        <v>8486787</v>
      </c>
      <c r="E45" s="673">
        <v>6768</v>
      </c>
      <c r="F45" s="674">
        <v>87784</v>
      </c>
      <c r="G45" s="675">
        <v>8486787</v>
      </c>
      <c r="H45" s="310" t="str" cm="1">
        <f t="array" aca="1" ref="H45" ca="1">_xll.d.TestUtils_Equal(B45,E45)</f>
        <v>Ok</v>
      </c>
      <c r="I45" s="310" t="str" cm="1">
        <f t="array" aca="1" ref="I45" ca="1">_xll.d.TestUtils_Equal(C45,F45)</f>
        <v>Ok</v>
      </c>
      <c r="J45" s="310" t="str" cm="1">
        <f t="array" aca="1" ref="J45" ca="1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f ca="1"/>
        <v>351132</v>
      </c>
      <c r="C46" s="677">
        <f ca="1"/>
        <v>468468</v>
      </c>
      <c r="D46" s="678">
        <f ca="1"/>
        <v>486864</v>
      </c>
      <c r="E46" s="676">
        <v>351132</v>
      </c>
      <c r="F46" s="677">
        <v>468468</v>
      </c>
      <c r="G46" s="678">
        <v>486864</v>
      </c>
      <c r="H46" s="310" t="str" cm="1">
        <f t="array" aca="1" ref="H46" ca="1">_xll.d.TestUtils_Equal(B46,E46)</f>
        <v>Ok</v>
      </c>
      <c r="I46" s="310" t="str" cm="1">
        <f t="array" aca="1" ref="I46" ca="1">_xll.d.TestUtils_Equal(C46,F46)</f>
        <v>Ok</v>
      </c>
      <c r="J46" s="310" t="str" cm="1">
        <f t="array" aca="1" ref="J46" ca="1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f ca="1"/>
        <v>49848519</v>
      </c>
      <c r="C47" s="680">
        <f ca="1"/>
        <v>1974746</v>
      </c>
      <c r="D47" s="681">
        <f ca="1"/>
        <v>5445</v>
      </c>
      <c r="E47" s="679">
        <v>49848519</v>
      </c>
      <c r="F47" s="680">
        <v>1974746</v>
      </c>
      <c r="G47" s="681">
        <v>5445</v>
      </c>
      <c r="H47" s="310" t="str" cm="1">
        <f t="array" aca="1" ref="H47" ca="1">_xll.d.TestUtils_Equal(B47,E47)</f>
        <v>Ok</v>
      </c>
      <c r="I47" s="310" t="str" cm="1">
        <f t="array" aca="1" ref="I47" ca="1">_xll.d.TestUtils_Equal(C47,F47)</f>
        <v>Ok</v>
      </c>
      <c r="J47" s="310" t="str" cm="1">
        <f t="array" aca="1" ref="J47" ca="1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aca="1" ref="B50:D52" ca="1">[2]!Array</f>
        <v>56384</v>
      </c>
      <c r="C50" s="674">
        <f ca="1"/>
        <v>89436</v>
      </c>
      <c r="D50" s="675">
        <f ca="1"/>
        <v>4497</v>
      </c>
      <c r="E50" s="673">
        <v>56384</v>
      </c>
      <c r="F50" s="674">
        <v>89436</v>
      </c>
      <c r="G50" s="675">
        <v>4497</v>
      </c>
      <c r="H50" s="310" t="str" cm="1">
        <f t="array" aca="1" ref="H50" ca="1">_xll.d.TestUtils_Equal(B50,E50)</f>
        <v>Ok</v>
      </c>
      <c r="I50" s="310" t="str" cm="1">
        <f t="array" aca="1" ref="I50" ca="1">_xll.d.TestUtils_Equal(C50,F50)</f>
        <v>Ok</v>
      </c>
      <c r="J50" s="310" t="str" cm="1">
        <f t="array" aca="1" ref="J50" ca="1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f ca="1"/>
        <v>486465</v>
      </c>
      <c r="C51" s="677">
        <f ca="1"/>
        <v>4863</v>
      </c>
      <c r="D51" s="678">
        <f ca="1"/>
        <v>44978</v>
      </c>
      <c r="E51" s="676">
        <v>486465</v>
      </c>
      <c r="F51" s="677">
        <v>4863</v>
      </c>
      <c r="G51" s="678">
        <v>44978</v>
      </c>
      <c r="H51" s="310" t="str" cm="1">
        <f t="array" aca="1" ref="H51" ca="1">_xll.d.TestUtils_Equal(B51,E51)</f>
        <v>Ok</v>
      </c>
      <c r="I51" s="310" t="str" cm="1">
        <f t="array" aca="1" ref="I51" ca="1">_xll.d.TestUtils_Equal(C51,F51)</f>
        <v>Ok</v>
      </c>
      <c r="J51" s="310" t="str" cm="1">
        <f t="array" aca="1" ref="J51" ca="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f ca="1"/>
        <v>687845</v>
      </c>
      <c r="C52" s="680">
        <f ca="1"/>
        <v>8977986</v>
      </c>
      <c r="D52" s="681">
        <f ca="1"/>
        <v>3687</v>
      </c>
      <c r="E52" s="679">
        <v>687845</v>
      </c>
      <c r="F52" s="680">
        <v>8977986</v>
      </c>
      <c r="G52" s="681">
        <v>3687</v>
      </c>
      <c r="H52" s="310" t="str" cm="1">
        <f t="array" aca="1" ref="H52" ca="1">_xll.d.TestUtils_Equal(B52,E52)</f>
        <v>Ok</v>
      </c>
      <c r="I52" s="310" t="str" cm="1">
        <f t="array" aca="1" ref="I52" ca="1">_xll.d.TestUtils_Equal(C52,F52)</f>
        <v>Ok</v>
      </c>
      <c r="J52" s="310" t="str" cm="1">
        <f t="array" aca="1" ref="J52" ca="1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4" priority="64" stopIfTrue="1" operator="equal">
      <formula>"ERROR"</formula>
    </cfRule>
    <cfRule type="cellIs" dxfId="223" priority="65" stopIfTrue="1" operator="equal">
      <formula>"OK"</formula>
    </cfRule>
    <cfRule type="cellIs" dxfId="222" priority="66" stopIfTrue="1" operator="equal">
      <formula>"WARNING"</formula>
    </cfRule>
  </conditionalFormatting>
  <conditionalFormatting sqref="C8">
    <cfRule type="cellIs" dxfId="221" priority="61" stopIfTrue="1" operator="equal">
      <formula>"ERROR"</formula>
    </cfRule>
    <cfRule type="cellIs" dxfId="220" priority="62" stopIfTrue="1" operator="equal">
      <formula>"OK"</formula>
    </cfRule>
    <cfRule type="cellIs" dxfId="219" priority="63" stopIfTrue="1" operator="equal">
      <formula>"WARNING"</formula>
    </cfRule>
  </conditionalFormatting>
  <conditionalFormatting sqref="J20 J23">
    <cfRule type="cellIs" dxfId="218" priority="70" stopIfTrue="1" operator="equal">
      <formula>"ERROR"</formula>
    </cfRule>
    <cfRule type="cellIs" dxfId="217" priority="71" stopIfTrue="1" operator="equal">
      <formula>"OK"</formula>
    </cfRule>
    <cfRule type="cellIs" dxfId="216" priority="72" stopIfTrue="1" operator="equal">
      <formula>"WARNING"</formula>
    </cfRule>
  </conditionalFormatting>
  <conditionalFormatting sqref="H26:J28 H31:J33">
    <cfRule type="cellIs" dxfId="215" priority="73" stopIfTrue="1" operator="equal">
      <formula>"ERROR"</formula>
    </cfRule>
    <cfRule type="cellIs" dxfId="214" priority="74" stopIfTrue="1" operator="equal">
      <formula>"OK"</formula>
    </cfRule>
    <cfRule type="cellIs" dxfId="213" priority="75" stopIfTrue="1" operator="equal">
      <formula>"WARNING"</formula>
    </cfRule>
  </conditionalFormatting>
  <conditionalFormatting sqref="J39 J42">
    <cfRule type="cellIs" dxfId="212" priority="16" stopIfTrue="1" operator="equal">
      <formula>"ERROR"</formula>
    </cfRule>
    <cfRule type="cellIs" dxfId="211" priority="17" stopIfTrue="1" operator="equal">
      <formula>"OK"</formula>
    </cfRule>
    <cfRule type="cellIs" dxfId="210" priority="18" stopIfTrue="1" operator="equal">
      <formula>"WARNING"</formula>
    </cfRule>
  </conditionalFormatting>
  <conditionalFormatting sqref="H45:J47 H50:J52">
    <cfRule type="cellIs" dxfId="209" priority="19" stopIfTrue="1" operator="equal">
      <formula>"ERROR"</formula>
    </cfRule>
    <cfRule type="cellIs" dxfId="208" priority="20" stopIfTrue="1" operator="equal">
      <formula>"OK"</formula>
    </cfRule>
    <cfRule type="cellIs" dxfId="207" priority="21" stopIfTrue="1" operator="equal">
      <formula>"WARNING"</formula>
    </cfRule>
  </conditionalFormatting>
  <conditionalFormatting sqref="C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Y20 Y23 Y26 Y31">
    <cfRule type="cellIs" dxfId="203" priority="76" stopIfTrue="1" operator="equal">
      <formula>"ERROR"</formula>
    </cfRule>
    <cfRule type="cellIs" dxfId="202" priority="77" stopIfTrue="1" operator="equal">
      <formula>"OK"</formula>
    </cfRule>
    <cfRule type="cellIs" dxfId="201" priority="78" stopIfTrue="1" operator="equal">
      <formula>"WARNING"</formula>
    </cfRule>
  </conditionalFormatting>
  <conditionalFormatting sqref="Y39">
    <cfRule type="cellIs" dxfId="200" priority="10" stopIfTrue="1" operator="equal">
      <formula>"ERROR"</formula>
    </cfRule>
    <cfRule type="cellIs" dxfId="199" priority="11" stopIfTrue="1" operator="equal">
      <formula>"OK"</formula>
    </cfRule>
    <cfRule type="cellIs" dxfId="198" priority="12" stopIfTrue="1" operator="equal">
      <formula>"WARNING"</formula>
    </cfRule>
  </conditionalFormatting>
  <conditionalFormatting sqref="Y42">
    <cfRule type="cellIs" dxfId="197" priority="7" stopIfTrue="1" operator="equal">
      <formula>"ERROR"</formula>
    </cfRule>
    <cfRule type="cellIs" dxfId="196" priority="8" stopIfTrue="1" operator="equal">
      <formula>"OK"</formula>
    </cfRule>
    <cfRule type="cellIs" dxfId="195" priority="9" stopIfTrue="1" operator="equal">
      <formula>"WARNING"</formula>
    </cfRule>
  </conditionalFormatting>
  <conditionalFormatting sqref="Y45">
    <cfRule type="cellIs" dxfId="194" priority="4" stopIfTrue="1" operator="equal">
      <formula>"ERROR"</formula>
    </cfRule>
    <cfRule type="cellIs" dxfId="193" priority="5" stopIfTrue="1" operator="equal">
      <formula>"OK"</formula>
    </cfRule>
    <cfRule type="cellIs" dxfId="192" priority="6" stopIfTrue="1" operator="equal">
      <formula>"WARNING"</formula>
    </cfRule>
  </conditionalFormatting>
  <conditionalFormatting sqref="Y50">
    <cfRule type="cellIs" dxfId="191" priority="1" stopIfTrue="1" operator="equal">
      <formula>"ERROR"</formula>
    </cfRule>
    <cfRule type="cellIs" dxfId="190" priority="2" stopIfTrue="1" operator="equal">
      <formula>"OK"</formula>
    </cfRule>
    <cfRule type="cellIs" dxfId="189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8" priority="43" stopIfTrue="1" operator="equal">
      <formula>"ERROR"</formula>
    </cfRule>
    <cfRule type="cellIs" dxfId="187" priority="44" stopIfTrue="1" operator="equal">
      <formula>"OK"</formula>
    </cfRule>
    <cfRule type="cellIs" dxfId="186" priority="45" stopIfTrue="1" operator="equal">
      <formula>"WARNING"</formula>
    </cfRule>
  </conditionalFormatting>
  <conditionalFormatting sqref="C7:C11">
    <cfRule type="cellIs" dxfId="185" priority="46" stopIfTrue="1" operator="equal">
      <formula>"ERROR"</formula>
    </cfRule>
    <cfRule type="cellIs" dxfId="184" priority="47" stopIfTrue="1" operator="equal">
      <formula>"OK"</formula>
    </cfRule>
    <cfRule type="cellIs" dxfId="183" priority="48" stopIfTrue="1" operator="equal">
      <formula>"WARNING"</formula>
    </cfRule>
  </conditionalFormatting>
  <conditionalFormatting sqref="C16">
    <cfRule type="cellIs" dxfId="182" priority="40" stopIfTrue="1" operator="equal">
      <formula>"ERROR"</formula>
    </cfRule>
    <cfRule type="cellIs" dxfId="181" priority="41" stopIfTrue="1" operator="equal">
      <formula>"OK"</formula>
    </cfRule>
    <cfRule type="cellIs" dxfId="180" priority="42" stopIfTrue="1" operator="equal">
      <formula>"WARNING"</formula>
    </cfRule>
  </conditionalFormatting>
  <conditionalFormatting sqref="D23">
    <cfRule type="cellIs" dxfId="179" priority="49" stopIfTrue="1" operator="equal">
      <formula>"ERROR"</formula>
    </cfRule>
    <cfRule type="cellIs" dxfId="178" priority="50" stopIfTrue="1" operator="equal">
      <formula>"OK"</formula>
    </cfRule>
    <cfRule type="cellIs" dxfId="177" priority="51" stopIfTrue="1" operator="equal">
      <formula>"WARNING"</formula>
    </cfRule>
  </conditionalFormatting>
  <conditionalFormatting sqref="E23">
    <cfRule type="cellIs" dxfId="176" priority="37" stopIfTrue="1" operator="equal">
      <formula>"ERROR"</formula>
    </cfRule>
    <cfRule type="cellIs" dxfId="175" priority="38" stopIfTrue="1" operator="equal">
      <formula>"OK"</formula>
    </cfRule>
    <cfRule type="cellIs" dxfId="174" priority="39" stopIfTrue="1" operator="equal">
      <formula>"WARNING"</formula>
    </cfRule>
  </conditionalFormatting>
  <conditionalFormatting sqref="C28">
    <cfRule type="cellIs" dxfId="173" priority="31" stopIfTrue="1" operator="equal">
      <formula>"ERROR"</formula>
    </cfRule>
    <cfRule type="cellIs" dxfId="172" priority="32" stopIfTrue="1" operator="equal">
      <formula>"OK"</formula>
    </cfRule>
    <cfRule type="cellIs" dxfId="171" priority="33" stopIfTrue="1" operator="equal">
      <formula>"WARNING"</formula>
    </cfRule>
  </conditionalFormatting>
  <conditionalFormatting sqref="D35">
    <cfRule type="cellIs" dxfId="170" priority="34" stopIfTrue="1" operator="equal">
      <formula>"ERROR"</formula>
    </cfRule>
    <cfRule type="cellIs" dxfId="169" priority="35" stopIfTrue="1" operator="equal">
      <formula>"OK"</formula>
    </cfRule>
    <cfRule type="cellIs" dxfId="168" priority="36" stopIfTrue="1" operator="equal">
      <formula>"WARNING"</formula>
    </cfRule>
  </conditionalFormatting>
  <conditionalFormatting sqref="E35">
    <cfRule type="cellIs" dxfId="167" priority="28" stopIfTrue="1" operator="equal">
      <formula>"ERROR"</formula>
    </cfRule>
    <cfRule type="cellIs" dxfId="166" priority="29" stopIfTrue="1" operator="equal">
      <formula>"OK"</formula>
    </cfRule>
    <cfRule type="cellIs" dxfId="165" priority="30" stopIfTrue="1" operator="equal">
      <formula>"WARNING"</formula>
    </cfRule>
  </conditionalFormatting>
  <conditionalFormatting sqref="C40">
    <cfRule type="cellIs" dxfId="164" priority="22" stopIfTrue="1" operator="equal">
      <formula>"ERROR"</formula>
    </cfRule>
    <cfRule type="cellIs" dxfId="163" priority="23" stopIfTrue="1" operator="equal">
      <formula>"OK"</formula>
    </cfRule>
    <cfRule type="cellIs" dxfId="162" priority="24" stopIfTrue="1" operator="equal">
      <formula>"WARNING"</formula>
    </cfRule>
  </conditionalFormatting>
  <conditionalFormatting sqref="D47">
    <cfRule type="cellIs" dxfId="161" priority="25" stopIfTrue="1" operator="equal">
      <formula>"ERROR"</formula>
    </cfRule>
    <cfRule type="cellIs" dxfId="160" priority="26" stopIfTrue="1" operator="equal">
      <formula>"OK"</formula>
    </cfRule>
    <cfRule type="cellIs" dxfId="159" priority="27" stopIfTrue="1" operator="equal">
      <formula>"WARNING"</formula>
    </cfRule>
  </conditionalFormatting>
  <conditionalFormatting sqref="E47">
    <cfRule type="cellIs" dxfId="158" priority="19" stopIfTrue="1" operator="equal">
      <formula>"ERROR"</formula>
    </cfRule>
    <cfRule type="cellIs" dxfId="157" priority="20" stopIfTrue="1" operator="equal">
      <formula>"OK"</formula>
    </cfRule>
    <cfRule type="cellIs" dxfId="156" priority="21" stopIfTrue="1" operator="equal">
      <formula>"WARNING"</formula>
    </cfRule>
  </conditionalFormatting>
  <conditionalFormatting sqref="C52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D59">
    <cfRule type="cellIs" dxfId="152" priority="16" stopIfTrue="1" operator="equal">
      <formula>"ERROR"</formula>
    </cfRule>
    <cfRule type="cellIs" dxfId="151" priority="17" stopIfTrue="1" operator="equal">
      <formula>"OK"</formula>
    </cfRule>
    <cfRule type="cellIs" dxfId="150" priority="18" stopIfTrue="1" operator="equal">
      <formula>"WARNING"</formula>
    </cfRule>
  </conditionalFormatting>
  <conditionalFormatting sqref="E59">
    <cfRule type="cellIs" dxfId="149" priority="10" stopIfTrue="1" operator="equal">
      <formula>"ERROR"</formula>
    </cfRule>
    <cfRule type="cellIs" dxfId="148" priority="11" stopIfTrue="1" operator="equal">
      <formula>"OK"</formula>
    </cfRule>
    <cfRule type="cellIs" dxfId="147" priority="12" stopIfTrue="1" operator="equal">
      <formula>"WARNING"</formula>
    </cfRule>
  </conditionalFormatting>
  <conditionalFormatting sqref="C64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D71:D72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E71:E72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Error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Error</v>
      </c>
    </row>
    <row r="8" spans="2:56" x14ac:dyDescent="0.25">
      <c r="B8" s="196" t="s">
        <v>107</v>
      </c>
      <c r="C8" s="174" t="str">
        <f ca="1">C48</f>
        <v>Error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Error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Error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11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11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12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12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12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12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12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12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12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12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12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12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12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12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12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12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12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12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12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12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12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12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12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12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12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12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12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12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12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12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12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12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13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13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14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15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15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15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15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15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15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15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15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15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15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15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15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15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15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15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15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11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11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13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13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11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11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12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12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12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12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12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12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13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13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174</vt:i4>
      </vt:variant>
    </vt:vector>
  </HeadingPairs>
  <TitlesOfParts>
    <vt:vector size="19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2023-04-04T13:36:50Z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