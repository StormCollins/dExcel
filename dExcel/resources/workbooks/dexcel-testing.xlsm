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07D8C8A7-DEEF-4C81-854A-56B1638B9E86}" xr6:coauthVersionLast="47" xr6:coauthVersionMax="47" xr10:uidLastSave="{00000000-0000-0000-0000-000000000000}"/>
  <bookViews>
    <workbookView xWindow="-32550" yWindow="5625" windowWidth="18000" windowHeight="9360" tabRatio="721" activeTab="9" xr2:uid="{CFAC4E8B-1C32-41D2-A11E-38180CE9FB57}"/>
  </bookViews>
  <sheets>
    <sheet name="Summary" sheetId="8" r:id="rId1"/>
    <sheet name="Utilities" sheetId="12" r:id="rId2"/>
    <sheet name="Dates" sheetId="13" r:id="rId3"/>
    <sheet name="Mathematics" sheetId="14" r:id="rId4"/>
    <sheet name="Stats" sheetId="15" r:id="rId5"/>
    <sheet name="Equities" sheetId="18" r:id="rId6"/>
    <sheet name="Equity Utils" sheetId="19" r:id="rId7"/>
    <sheet name="Interest Rates" sheetId="6" r:id="rId8"/>
    <sheet name="Rate Utils" sheetId="17" r:id="rId9"/>
    <sheet name="Curves" sheetId="1" r:id="rId10"/>
    <sheet name="Sinlge Curve Bootstrapping" sheetId="3" r:id="rId11"/>
    <sheet name="Multi Curve Bootstrapping" sheetId="4" r:id="rId12"/>
    <sheet name="HullWhite" sheetId="2" r:id="rId13"/>
    <sheet name="Fixed Income Instruments" sheetId="10" r:id="rId14"/>
    <sheet name="Interest Rate Swaps" sheetId="11" r:id="rId15"/>
    <sheet name="Other" sheetId="7" r:id="rId16"/>
    <sheet name="Test Utils" sheetId="9" r:id="rId17"/>
    <sheet name="Table Formatting" sheetId="5" r:id="rId18"/>
  </sheets>
  <definedNames>
    <definedName name="Curves.Title" localSheetId="2">Dates!$B$2</definedName>
    <definedName name="Curves.Title" localSheetId="6">'Equity Utils'!$B$2</definedName>
    <definedName name="Curves.Title" localSheetId="3">Mathematics!$B$2</definedName>
    <definedName name="Curves.Title" localSheetId="8">'Rate Utils'!$B$2</definedName>
    <definedName name="Curves.Title" localSheetId="4">Stats!$B$2</definedName>
    <definedName name="Curves.Title">Curves!$B$2</definedName>
    <definedName name="Logic.Title">'Test Utils'!$B$2</definedName>
    <definedName name="Summary.ResetTestsInAllSheets">Summary!$B$17:$C$17</definedName>
    <definedName name="Summary.RunTestsInAllSheets">Summary!$B$16:$C$16</definedName>
    <definedName name="Summary.WorkbookTestingResults">Summary!$B$11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Formatting'!$T$39:$AJ$43</definedName>
    <definedName name="TableFormatting.Test1.Output">'Table Formatting'!$AL$39:$BB$43</definedName>
    <definedName name="TableFormatting.Test1.ResetTest">'Table Formatting'!$B$33:$C$33</definedName>
    <definedName name="TableFormatting.Test1.Title">'Table Formatting'!$B$22</definedName>
    <definedName name="TableFormatting.Test2.Input">'Table Formatting'!$T$63:$AJ$67</definedName>
    <definedName name="TableFormatting.Test2.Output">'Table Formatting'!$AL$63:$BB$67</definedName>
    <definedName name="TableFormatting.Test2.ResetTest">'Table Formatting'!$B$57:$C$57</definedName>
    <definedName name="TableFormatting.Test2.Title">'Table Formatting'!$B$46</definedName>
    <definedName name="TableFormatting.Test3.Expected.PrimaryHeader">'Table Formatting'!$B$87</definedName>
    <definedName name="TableFormatting.Test3.Input">'Table Formatting'!$H$87:$L$103</definedName>
    <definedName name="TableFormatting.Test3.Output">'Table Formatting'!$N$87:$R$103</definedName>
    <definedName name="TableFormatting.Test3.Output.PrimaryHeader">'Table Formatting'!$N$87</definedName>
    <definedName name="TableFormatting.Test3.ResetTest">'Table Formatting'!$B$81:$C$81</definedName>
    <definedName name="TableFormatting.Test3.Title">'Table Formatting'!$B$70</definedName>
    <definedName name="TableFormatting.Test4.Input">'Table Formatting'!$H$123:$L$139</definedName>
    <definedName name="TableFormatting.Test4.Output">'Table Formatting'!$N$123:$R$139</definedName>
    <definedName name="TableFormatting.Test4.ResetTest">'Table Formatting'!$B$117:$C$117</definedName>
    <definedName name="TableFormatting.Test4.Title">'Table Formatting'!$B$106</definedName>
    <definedName name="TableFormatting.Test5.Input">'Table Formatting'!$E$157:$F$161</definedName>
    <definedName name="TableFormatting.Test5.Output">'Table Formatting'!$H$157:$I$161</definedName>
    <definedName name="TableFormatting.Test5.ResetTest">'Table Formatting'!$B$151:$C$151</definedName>
    <definedName name="TableFormatting.Test5.Title">'Table Formatting'!$B$142</definedName>
    <definedName name="TableFormatting.Test6.Input">'Table Formatting'!$E$177:$F$181</definedName>
    <definedName name="TableFormatting.Test6.Output">'Table Formatting'!$H$177:$I$181</definedName>
    <definedName name="TableFormatting.Test6.ResetTest">'Table Formatting'!$B$171:$C$171</definedName>
    <definedName name="TableFormatting.Test6.Title">'Table Formatting'!$B$164</definedName>
    <definedName name="TableFormatting.Test7.Expected.PrimaryHeader">'Table Formatting'!$B$197</definedName>
    <definedName name="TableFormatting.Test7.Input">'Table Formatting'!$H$197:$L$198</definedName>
    <definedName name="TableFormatting.Test7.Output">'Table Formatting'!$N$197:$R$198</definedName>
    <definedName name="TableFormatting.Test7.Output.PrimaryHeader">'Table Formatting'!$N$197:$N$198</definedName>
    <definedName name="TableFormatting.Test7.ResetTest">'Table Formatting'!$B$191:$C$191</definedName>
    <definedName name="TableFormatting.Test7.Title">'Table Formatting'!$B$184</definedName>
    <definedName name="TableFormatting.Test8.Expected.PrimaryHeader">'Table Formatting'!$B$219</definedName>
    <definedName name="TableFormatting.Test8.Input">'Table Formatting'!$H$217:$L$223</definedName>
    <definedName name="TableFormatting.Test8.Output">'Table Formatting'!$N$217:$R$223</definedName>
    <definedName name="TableFormatting.Test8.Output.PrimaryHeader">'Table Formatting'!$N$219</definedName>
    <definedName name="TableFormatting.Test8.ResetTest">'Table Formatting'!$B$211:$C$211</definedName>
    <definedName name="TableFormatting.Test8.Title">'Table Formatting'!$B$201</definedName>
    <definedName name="TableFormatting.Title">'Table Formatting'!$B$2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2" i="1" l="1" a="1"/>
  <c r="D42" i="1"/>
  <c r="D43" i="1"/>
  <c r="D44" i="1"/>
  <c r="D45" i="1"/>
  <c r="D46" i="1"/>
  <c r="C16" i="1" a="1"/>
  <c r="C16" i="1"/>
  <c r="G43" i="17"/>
  <c r="G42" i="17"/>
  <c r="G41" i="17"/>
  <c r="G40" i="17"/>
  <c r="G39" i="17"/>
  <c r="G38" i="17"/>
  <c r="F40" i="17" a="1"/>
  <c r="AV20" i="17" a="1"/>
  <c r="AJ20" i="17" a="1"/>
  <c r="F41" i="17" a="1"/>
  <c r="F39" i="17" a="1"/>
  <c r="Q21" i="17" a="1"/>
  <c r="P21" i="17" a="1"/>
  <c r="F38" i="17" a="1"/>
  <c r="F42" i="17" a="1"/>
  <c r="F43" i="17" a="1"/>
  <c r="M38" i="17" a="1"/>
  <c r="M38" i="17" l="1"/>
  <c r="F38" i="17"/>
  <c r="F39" i="17"/>
  <c r="F40" i="17"/>
  <c r="F41" i="17"/>
  <c r="P21" i="17"/>
  <c r="AJ20" i="17"/>
  <c r="F42" i="17"/>
  <c r="AV20" i="17"/>
  <c r="F43" i="17"/>
  <c r="Q21" i="17"/>
  <c r="AP20" i="17" a="1"/>
  <c r="S38" i="17" a="1"/>
  <c r="H42" i="17" a="1"/>
  <c r="BB20" i="17" a="1"/>
  <c r="H38" i="17" a="1"/>
  <c r="H41" i="17" a="1"/>
  <c r="H43" i="17" a="1"/>
  <c r="Z21" i="17" a="1"/>
  <c r="H39" i="17" a="1"/>
  <c r="R21" i="17" a="1"/>
  <c r="H40" i="17" a="1"/>
  <c r="Y21" i="17" a="1"/>
  <c r="S38" i="17" l="1"/>
  <c r="K35" i="17" s="1"/>
  <c r="Y21" i="17"/>
  <c r="H41" i="17"/>
  <c r="H40" i="17"/>
  <c r="H39" i="17"/>
  <c r="H38" i="17"/>
  <c r="H43" i="17"/>
  <c r="BB20" i="17"/>
  <c r="AS17" i="17" s="1"/>
  <c r="H42" i="17"/>
  <c r="AP20" i="17"/>
  <c r="AG17" i="17" s="1"/>
  <c r="Z21" i="17"/>
  <c r="R21" i="17"/>
  <c r="S21" i="17" a="1"/>
  <c r="AA21" i="17" a="1"/>
  <c r="C35" i="17" a="1"/>
  <c r="C35" i="17" l="1"/>
  <c r="AA21" i="17"/>
  <c r="S21" i="17"/>
  <c r="C31" i="17" a="1"/>
  <c r="AB21" i="17" a="1"/>
  <c r="T21" i="17" a="1"/>
  <c r="C31" i="17" l="1"/>
  <c r="D8" i="17" s="1"/>
  <c r="AB21" i="17"/>
  <c r="T21" i="17"/>
  <c r="U21" i="17" a="1"/>
  <c r="AC21" i="17" a="1"/>
  <c r="AC21" i="17" l="1"/>
  <c r="U21" i="17"/>
  <c r="AD21" i="17" a="1"/>
  <c r="P22" i="17" a="1"/>
  <c r="AD21" i="17" l="1"/>
  <c r="P22" i="17"/>
  <c r="Y22" i="17" a="1"/>
  <c r="Q22" i="17" a="1"/>
  <c r="Y22" i="17" l="1"/>
  <c r="Q22" i="17"/>
  <c r="R22" i="17" a="1"/>
  <c r="Z22" i="17" a="1"/>
  <c r="Z22" i="17" l="1"/>
  <c r="R22" i="17"/>
  <c r="AA22" i="17" a="1"/>
  <c r="S22" i="17" a="1"/>
  <c r="AA22" i="17" l="1"/>
  <c r="S22" i="17"/>
  <c r="AB22" i="17" a="1"/>
  <c r="T22" i="17" a="1"/>
  <c r="AB22" i="17" l="1"/>
  <c r="T22" i="17"/>
  <c r="AC22" i="17" a="1"/>
  <c r="U22" i="17" a="1"/>
  <c r="AC22" i="17" l="1"/>
  <c r="U22" i="17"/>
  <c r="P23" i="17" a="1"/>
  <c r="AD22" i="17" a="1"/>
  <c r="AD22" i="17" l="1"/>
  <c r="P23" i="17"/>
  <c r="Q23" i="17" a="1"/>
  <c r="Y23" i="17" a="1"/>
  <c r="Y23" i="17" l="1"/>
  <c r="Q23" i="17"/>
  <c r="Z23" i="17" a="1"/>
  <c r="R23" i="17" a="1"/>
  <c r="Z23" i="17" l="1"/>
  <c r="R23" i="17"/>
  <c r="AA23" i="17" a="1"/>
  <c r="S23" i="17" a="1"/>
  <c r="AA23" i="17" l="1"/>
  <c r="S23" i="17"/>
  <c r="AB23" i="17" a="1"/>
  <c r="T23" i="17" a="1"/>
  <c r="AB23" i="17" l="1"/>
  <c r="T23" i="17"/>
  <c r="AC23" i="17" a="1"/>
  <c r="U23" i="17" a="1"/>
  <c r="AC23" i="17" l="1"/>
  <c r="U23" i="17"/>
  <c r="AD23" i="17" a="1"/>
  <c r="P24" i="17" a="1"/>
  <c r="AD23" i="17" l="1"/>
  <c r="P24" i="17"/>
  <c r="Y24" i="17" a="1"/>
  <c r="Q24" i="17" a="1"/>
  <c r="Y24" i="17" l="1"/>
  <c r="Q24" i="17"/>
  <c r="Z24" i="17" a="1"/>
  <c r="R24" i="17" a="1"/>
  <c r="Z24" i="17" l="1"/>
  <c r="R24" i="17"/>
  <c r="S24" i="17" a="1"/>
  <c r="AA24" i="17" a="1"/>
  <c r="AA24" i="17" l="1"/>
  <c r="S24" i="17"/>
  <c r="AB24" i="17" a="1"/>
  <c r="T24" i="17" a="1"/>
  <c r="AB24" i="17" l="1"/>
  <c r="T24" i="17"/>
  <c r="AC24" i="17" a="1"/>
  <c r="U24" i="17" a="1"/>
  <c r="AC24" i="17" l="1"/>
  <c r="U24" i="17"/>
  <c r="AD24" i="17" a="1"/>
  <c r="P25" i="17" a="1"/>
  <c r="AD24" i="17" l="1"/>
  <c r="P25" i="17"/>
  <c r="Y25" i="17" a="1"/>
  <c r="Q25" i="17" a="1"/>
  <c r="Y25" i="17" l="1"/>
  <c r="Q25" i="17"/>
  <c r="Z25" i="17" a="1"/>
  <c r="R25" i="17" a="1"/>
  <c r="Z25" i="17" l="1"/>
  <c r="R25" i="17"/>
  <c r="S25" i="17" a="1"/>
  <c r="AA25" i="17" a="1"/>
  <c r="AA25" i="17" l="1"/>
  <c r="S25" i="17"/>
  <c r="T25" i="17" a="1"/>
  <c r="AB25" i="17" a="1"/>
  <c r="AB25" i="17" l="1"/>
  <c r="T25" i="17"/>
  <c r="U25" i="17" a="1"/>
  <c r="AC25" i="17" a="1"/>
  <c r="AC25" i="17" l="1"/>
  <c r="U25" i="17"/>
  <c r="F18" i="19"/>
  <c r="C37" i="19"/>
  <c r="G35" i="19" s="1"/>
  <c r="Y35" i="15"/>
  <c r="Z35" i="15"/>
  <c r="X35" i="15"/>
  <c r="Y34" i="15"/>
  <c r="Z34" i="15"/>
  <c r="X34" i="15"/>
  <c r="Y33" i="15"/>
  <c r="Z33" i="15"/>
  <c r="X33" i="15"/>
  <c r="J34" i="15"/>
  <c r="I34" i="15"/>
  <c r="J33" i="15"/>
  <c r="I33" i="15"/>
  <c r="AF18" i="14"/>
  <c r="T20" i="14"/>
  <c r="T19" i="14"/>
  <c r="O18" i="14"/>
  <c r="G18" i="14"/>
  <c r="R33" i="3"/>
  <c r="R34" i="3"/>
  <c r="R35" i="3"/>
  <c r="R36" i="3"/>
  <c r="R37" i="3"/>
  <c r="R38" i="3"/>
  <c r="R39" i="3"/>
  <c r="Z40" i="13" a="1"/>
  <c r="S155" i="13" a="1"/>
  <c r="N18" i="14" a="1"/>
  <c r="W222" i="5" a="1"/>
  <c r="V221" i="5" a="1"/>
  <c r="T90" i="5" a="1"/>
  <c r="T95" i="5" a="1"/>
  <c r="X220" i="5" a="1"/>
  <c r="T217" i="5" a="1"/>
  <c r="T223" i="5" a="1"/>
  <c r="AD25" i="17" a="1"/>
  <c r="L25" i="13" a="1"/>
  <c r="E155" i="13" a="1"/>
  <c r="BG30" i="14" a="1"/>
  <c r="W220" i="5" a="1"/>
  <c r="V223" i="5" a="1"/>
  <c r="T98" i="5" a="1"/>
  <c r="X223" i="5" a="1"/>
  <c r="S26" i="17" a="1"/>
  <c r="E128" i="13" a="1"/>
  <c r="G130" i="13" s="1" a="1"/>
  <c r="T221" i="5" a="1"/>
  <c r="L40" i="13" a="1"/>
  <c r="S55" i="13" a="1"/>
  <c r="T87" i="5" a="1"/>
  <c r="X222" i="5" a="1"/>
  <c r="AB19" i="15" a="1"/>
  <c r="G129" i="13" a="1"/>
  <c r="X48" i="15" a="1"/>
  <c r="E35" i="9" a="1"/>
  <c r="U218" i="5" a="1"/>
  <c r="R26" i="17" a="1"/>
  <c r="B171" i="13" a="1"/>
  <c r="H173" i="13" s="1" a="1"/>
  <c r="E40" i="13" a="1"/>
  <c r="I171" i="13" a="1"/>
  <c r="T103" i="5" a="1"/>
  <c r="U217" i="5" a="1"/>
  <c r="T92" i="5" a="1"/>
  <c r="T19" i="15" a="1"/>
  <c r="T97" i="5" a="1"/>
  <c r="T26" i="17" a="1"/>
  <c r="X217" i="5" a="1"/>
  <c r="W217" i="5" a="1"/>
  <c r="L128" i="13" a="1"/>
  <c r="Z25" i="13" a="1"/>
  <c r="W221" i="5" a="1"/>
  <c r="T219" i="5" a="1"/>
  <c r="I174" i="13" a="1"/>
  <c r="G134" i="13" a="1"/>
  <c r="BC18" i="14" a="1"/>
  <c r="T99" i="5" a="1"/>
  <c r="W223" i="5" a="1"/>
  <c r="U26" i="17" a="1"/>
  <c r="D48" i="15" a="1"/>
  <c r="F18" i="14" a="1"/>
  <c r="P26" i="17" a="1"/>
  <c r="V18" i="19" a="1"/>
  <c r="E70" i="13" a="1"/>
  <c r="S25" i="13" a="1"/>
  <c r="I173" i="13" a="1"/>
  <c r="W219" i="5" a="1"/>
  <c r="T96" i="5" a="1"/>
  <c r="V219" i="5" a="1"/>
  <c r="AI30" i="14" a="1"/>
  <c r="T91" i="5" a="1"/>
  <c r="Q26" i="17" a="1"/>
  <c r="W30" i="14" a="1"/>
  <c r="S40" i="13" a="1"/>
  <c r="Z70" i="13" a="1"/>
  <c r="G135" i="13" a="1"/>
  <c r="M48" i="15" a="1"/>
  <c r="T93" i="5" a="1"/>
  <c r="AE18" i="14" a="1"/>
  <c r="I175" i="13" a="1"/>
  <c r="T222" i="5" a="1"/>
  <c r="AU18" i="14" a="1"/>
  <c r="F33" i="15" a="1"/>
  <c r="U223" i="5" a="1"/>
  <c r="D6" i="8" a="1"/>
  <c r="B186" i="13" a="1"/>
  <c r="E25" i="13" a="1"/>
  <c r="L55" i="13" a="1"/>
  <c r="T101" i="5" a="1"/>
  <c r="H174" i="13" a="1"/>
  <c r="G132" i="13" a="1"/>
  <c r="X221" i="5" a="1"/>
  <c r="O189" i="13" a="1"/>
  <c r="AJ19" i="15" a="1"/>
  <c r="J30" i="14" a="1"/>
  <c r="T88" i="5" a="1"/>
  <c r="F19" i="15" a="1"/>
  <c r="M34" i="15" a="1"/>
  <c r="AM18" i="14" a="1"/>
  <c r="B84" i="13" a="1"/>
  <c r="H172" i="13" a="1"/>
  <c r="L155" i="13" a="1"/>
  <c r="Z155" i="13" a="1"/>
  <c r="E55" i="13" a="1"/>
  <c r="L93" i="13" a="1"/>
  <c r="T33" i="15" a="1"/>
  <c r="L114" i="13" a="1"/>
  <c r="V222" i="5" a="1"/>
  <c r="G133" i="13" a="1"/>
  <c r="V217" i="5" a="1"/>
  <c r="O89" i="13" a="1"/>
  <c r="U219" i="5" a="1"/>
  <c r="M111" i="13" a="1"/>
  <c r="AB35" i="15" a="1"/>
  <c r="L96" i="13" a="1"/>
  <c r="L91" i="13" a="1"/>
  <c r="N89" i="13" a="1"/>
  <c r="M107" i="13" a="1"/>
  <c r="AD34" i="15" a="1"/>
  <c r="O101" i="13" a="1"/>
  <c r="N87" i="13" a="1"/>
  <c r="O93" i="13" a="1"/>
  <c r="N102" i="13" a="1"/>
  <c r="W218" i="5" a="1"/>
  <c r="G136" i="13" a="1"/>
  <c r="T89" i="5" a="1"/>
  <c r="O18" i="19" a="1"/>
  <c r="S128" i="13" a="1"/>
  <c r="Z55" i="13" a="1"/>
  <c r="L115" i="13" a="1"/>
  <c r="N112" i="13" a="1"/>
  <c r="L104" i="13" a="1"/>
  <c r="M115" i="13" a="1"/>
  <c r="U222" i="5" a="1"/>
  <c r="L102" i="13" a="1"/>
  <c r="V218" i="5" a="1"/>
  <c r="I172" i="13" a="1"/>
  <c r="T218" i="5" a="1"/>
  <c r="O105" i="13" a="1"/>
  <c r="U221" i="5" a="1"/>
  <c r="O102" i="13" a="1"/>
  <c r="M97" i="13" a="1"/>
  <c r="O100" i="13" a="1"/>
  <c r="M100" i="13" a="1"/>
  <c r="X219" i="5" a="1"/>
  <c r="L90" i="13" a="1"/>
  <c r="M108" i="13" a="1"/>
  <c r="L100" i="13" a="1"/>
  <c r="M113" i="13" a="1"/>
  <c r="T102" i="5" a="1"/>
  <c r="E35" i="19" a="1"/>
  <c r="O104" i="13" a="1"/>
  <c r="N88" i="13" a="1"/>
  <c r="T100" i="5" a="1"/>
  <c r="L70" i="13" a="1"/>
  <c r="S70" i="13" a="1"/>
  <c r="O98" i="13" a="1"/>
  <c r="L89" i="13" a="1"/>
  <c r="N115" i="13" a="1"/>
  <c r="O97" i="13" a="1"/>
  <c r="O99" i="13" a="1"/>
  <c r="O112" i="13" a="1"/>
  <c r="T94" i="5" a="1"/>
  <c r="M102" i="13" a="1"/>
  <c r="X218" i="5" a="1"/>
  <c r="O86" i="13" a="1"/>
  <c r="U220" i="5" a="1"/>
  <c r="M104" i="13" a="1"/>
  <c r="M94" i="13" a="1"/>
  <c r="N110" i="13" a="1"/>
  <c r="L113" i="13" a="1"/>
  <c r="V220" i="5" a="1"/>
  <c r="L117" i="13" a="1"/>
  <c r="AU30" i="14" a="1"/>
  <c r="W18" i="14" a="1"/>
  <c r="N93" i="13" a="1"/>
  <c r="T220" i="5" a="1"/>
  <c r="H18" i="19" a="1"/>
  <c r="D24" i="3" a="1"/>
  <c r="O103" i="13" a="1"/>
  <c r="M33" i="15" a="1"/>
  <c r="N189" i="13" a="1"/>
  <c r="M188" i="13" a="1"/>
  <c r="N188" i="13" a="1"/>
  <c r="O188" i="13" a="1"/>
  <c r="M189" i="13" a="1"/>
  <c r="N190" i="13" a="1"/>
  <c r="M187" i="13" a="1"/>
  <c r="O190" i="13" a="1"/>
  <c r="L190" i="13" a="1"/>
  <c r="O187" i="13" a="1"/>
  <c r="M186" i="13" a="1"/>
  <c r="L189" i="13" a="1"/>
  <c r="N186" i="13" a="1"/>
  <c r="O186" i="13" a="1"/>
  <c r="M190" i="13" a="1"/>
  <c r="L188" i="13" a="1"/>
  <c r="L187" i="13" a="1"/>
  <c r="N187" i="13" a="1"/>
  <c r="N98" i="13" a="1"/>
  <c r="L86" i="13" a="1"/>
  <c r="N105" i="13" a="1"/>
  <c r="O117" i="13" a="1"/>
  <c r="M86" i="13" a="1"/>
  <c r="N92" i="13" a="1"/>
  <c r="O91" i="13" a="1"/>
  <c r="N114" i="13" a="1"/>
  <c r="O96" i="13" a="1"/>
  <c r="L101" i="13" a="1"/>
  <c r="N94" i="13" a="1"/>
  <c r="M103" i="13" a="1"/>
  <c r="N104" i="13" a="1"/>
  <c r="L98" i="13" a="1"/>
  <c r="M117" i="13" a="1"/>
  <c r="N117" i="13" a="1"/>
  <c r="O84" i="13" a="1"/>
  <c r="L95" i="13" a="1"/>
  <c r="N86" i="13" a="1"/>
  <c r="M109" i="13" a="1"/>
  <c r="L99" i="13" a="1"/>
  <c r="L94" i="13" a="1"/>
  <c r="O88" i="13" a="1"/>
  <c r="L116" i="13" a="1"/>
  <c r="O106" i="13" a="1"/>
  <c r="N116" i="13" a="1"/>
  <c r="O87" i="13" a="1"/>
  <c r="M84" i="13" a="1"/>
  <c r="L87" i="13" a="1"/>
  <c r="N99" i="13" a="1"/>
  <c r="M93" i="13" a="1"/>
  <c r="N109" i="13" a="1"/>
  <c r="N96" i="13" a="1"/>
  <c r="M89" i="13" a="1"/>
  <c r="M92" i="13" a="1"/>
  <c r="M98" i="13" a="1"/>
  <c r="O110" i="13" a="1"/>
  <c r="N111" i="13" a="1"/>
  <c r="O85" i="13" a="1"/>
  <c r="L88" i="13" a="1"/>
  <c r="N91" i="13" a="1"/>
  <c r="N84" i="13" a="1"/>
  <c r="L112" i="13" a="1"/>
  <c r="M91" i="13" a="1"/>
  <c r="M88" i="13" a="1"/>
  <c r="O114" i="13" a="1"/>
  <c r="N103" i="13" a="1"/>
  <c r="N108" i="13" a="1"/>
  <c r="L107" i="13" a="1"/>
  <c r="M116" i="13" a="1"/>
  <c r="O115" i="13" a="1"/>
  <c r="O107" i="13" a="1"/>
  <c r="M110" i="13" a="1"/>
  <c r="L109" i="13" a="1"/>
  <c r="L103" i="13" a="1"/>
  <c r="L111" i="13" a="1"/>
  <c r="O94" i="13" a="1"/>
  <c r="O111" i="13" a="1"/>
  <c r="N90" i="13" a="1"/>
  <c r="L97" i="13" a="1"/>
  <c r="O116" i="13" a="1"/>
  <c r="M96" i="13" a="1"/>
  <c r="N95" i="13" a="1"/>
  <c r="N85" i="13" a="1"/>
  <c r="L92" i="13" a="1"/>
  <c r="L106" i="13" a="1"/>
  <c r="L105" i="13" a="1"/>
  <c r="M85" i="13" a="1"/>
  <c r="M101" i="13" a="1"/>
  <c r="M95" i="13" a="1"/>
  <c r="O90" i="13" a="1"/>
  <c r="M106" i="13" a="1"/>
  <c r="M90" i="13" a="1"/>
  <c r="M99" i="13" a="1"/>
  <c r="N100" i="13" a="1"/>
  <c r="N107" i="13" a="1"/>
  <c r="M87" i="13" a="1"/>
  <c r="L108" i="13" a="1"/>
  <c r="O95" i="13" a="1"/>
  <c r="O92" i="13" a="1"/>
  <c r="N97" i="13" a="1"/>
  <c r="N113" i="13" a="1"/>
  <c r="N106" i="13" a="1"/>
  <c r="M105" i="13" a="1"/>
  <c r="N101" i="13" a="1"/>
  <c r="M112" i="13" a="1"/>
  <c r="L110" i="13" a="1"/>
  <c r="L85" i="13" a="1"/>
  <c r="O108" i="13" a="1"/>
  <c r="O109" i="13" a="1"/>
  <c r="O113" i="13" a="1"/>
  <c r="M114" i="13" a="1"/>
  <c r="AC33" i="15" a="1"/>
  <c r="AD35" i="15" a="1"/>
  <c r="AD33" i="15" a="1"/>
  <c r="AB34" i="15" a="1"/>
  <c r="AC34" i="15" a="1"/>
  <c r="O18" i="19" l="1"/>
  <c r="V18" i="19"/>
  <c r="D6" i="8"/>
  <c r="AD25" i="17"/>
  <c r="Q26" i="17"/>
  <c r="U26" i="17"/>
  <c r="T26" i="17"/>
  <c r="P26" i="17"/>
  <c r="S26" i="17"/>
  <c r="R26" i="17"/>
  <c r="O37" i="19"/>
  <c r="V37" i="19"/>
  <c r="H18" i="19"/>
  <c r="E35" i="19"/>
  <c r="F19" i="19"/>
  <c r="I18" i="19" s="1"/>
  <c r="W30" i="14"/>
  <c r="E55" i="13"/>
  <c r="L55" i="13"/>
  <c r="Z70" i="13"/>
  <c r="S25" i="13"/>
  <c r="Z25" i="13"/>
  <c r="E40" i="13"/>
  <c r="S55" i="13"/>
  <c r="B84" i="13"/>
  <c r="E155" i="13"/>
  <c r="E156" i="13"/>
  <c r="E157" i="13"/>
  <c r="E158" i="13"/>
  <c r="E159" i="13"/>
  <c r="S157" i="13"/>
  <c r="S155" i="13"/>
  <c r="S158" i="13"/>
  <c r="S159" i="13"/>
  <c r="S156" i="13"/>
  <c r="S70" i="13"/>
  <c r="Z55" i="13"/>
  <c r="Z155" i="13"/>
  <c r="E25" i="13"/>
  <c r="S40" i="13"/>
  <c r="E70" i="13"/>
  <c r="L128" i="13"/>
  <c r="B171" i="13"/>
  <c r="L40" i="13"/>
  <c r="E128" i="13"/>
  <c r="L25" i="13"/>
  <c r="Z40" i="13"/>
  <c r="L70" i="13"/>
  <c r="S128" i="13"/>
  <c r="L155" i="13"/>
  <c r="L158" i="13"/>
  <c r="L156" i="13"/>
  <c r="L157" i="13"/>
  <c r="L159" i="13"/>
  <c r="B186" i="13"/>
  <c r="N48" i="15"/>
  <c r="Q49" i="15"/>
  <c r="O51" i="15"/>
  <c r="M53" i="15"/>
  <c r="P54" i="15"/>
  <c r="N56" i="15"/>
  <c r="Q57" i="15"/>
  <c r="O59" i="15"/>
  <c r="M61" i="15"/>
  <c r="P62" i="15"/>
  <c r="N64" i="15"/>
  <c r="O48" i="15"/>
  <c r="M50" i="15"/>
  <c r="P51" i="15"/>
  <c r="N53" i="15"/>
  <c r="Q54" i="15"/>
  <c r="O56" i="15"/>
  <c r="M58" i="15"/>
  <c r="P59" i="15"/>
  <c r="N61" i="15"/>
  <c r="Q62" i="15"/>
  <c r="O64" i="15"/>
  <c r="M66" i="15"/>
  <c r="P67" i="15"/>
  <c r="N69" i="15"/>
  <c r="Q70" i="15"/>
  <c r="O72" i="15"/>
  <c r="M74" i="15"/>
  <c r="P75" i="15"/>
  <c r="N77" i="15"/>
  <c r="Q78" i="15"/>
  <c r="O80" i="15"/>
  <c r="M82" i="15"/>
  <c r="P83" i="15"/>
  <c r="N85" i="15"/>
  <c r="Q86" i="15"/>
  <c r="P48" i="15"/>
  <c r="N50" i="15"/>
  <c r="Q51" i="15"/>
  <c r="O53" i="15"/>
  <c r="M55" i="15"/>
  <c r="P56" i="15"/>
  <c r="N58" i="15"/>
  <c r="Q59" i="15"/>
  <c r="O61" i="15"/>
  <c r="M63" i="15"/>
  <c r="P64" i="15"/>
  <c r="N66" i="15"/>
  <c r="Q67" i="15"/>
  <c r="O69" i="15"/>
  <c r="M71" i="15"/>
  <c r="P72" i="15"/>
  <c r="N74" i="15"/>
  <c r="Q75" i="15"/>
  <c r="O77" i="15"/>
  <c r="M79" i="15"/>
  <c r="P80" i="15"/>
  <c r="N82" i="15"/>
  <c r="Q83" i="15"/>
  <c r="O85" i="15"/>
  <c r="M87" i="15"/>
  <c r="Q48" i="15"/>
  <c r="O50" i="15"/>
  <c r="M52" i="15"/>
  <c r="P53" i="15"/>
  <c r="N55" i="15"/>
  <c r="Q56" i="15"/>
  <c r="O58" i="15"/>
  <c r="M60" i="15"/>
  <c r="P61" i="15"/>
  <c r="N63" i="15"/>
  <c r="Q64" i="15"/>
  <c r="O66" i="15"/>
  <c r="M68" i="15"/>
  <c r="P69" i="15"/>
  <c r="N71" i="15"/>
  <c r="Q72" i="15"/>
  <c r="O74" i="15"/>
  <c r="M76" i="15"/>
  <c r="P77" i="15"/>
  <c r="N79" i="15"/>
  <c r="Q80" i="15"/>
  <c r="O82" i="15"/>
  <c r="M84" i="15"/>
  <c r="P85" i="15"/>
  <c r="N87" i="15"/>
  <c r="M49" i="15"/>
  <c r="P50" i="15"/>
  <c r="N52" i="15"/>
  <c r="Q53" i="15"/>
  <c r="O55" i="15"/>
  <c r="M57" i="15"/>
  <c r="P58" i="15"/>
  <c r="N60" i="15"/>
  <c r="Q61" i="15"/>
  <c r="O63" i="15"/>
  <c r="N49" i="15"/>
  <c r="Q50" i="15"/>
  <c r="O52" i="15"/>
  <c r="M54" i="15"/>
  <c r="P55" i="15"/>
  <c r="N57" i="15"/>
  <c r="Q58" i="15"/>
  <c r="O60" i="15"/>
  <c r="M62" i="15"/>
  <c r="P63" i="15"/>
  <c r="N65" i="15"/>
  <c r="Q66" i="15"/>
  <c r="O68" i="15"/>
  <c r="M70" i="15"/>
  <c r="P71" i="15"/>
  <c r="N73" i="15"/>
  <c r="Q74" i="15"/>
  <c r="O76" i="15"/>
  <c r="M78" i="15"/>
  <c r="P79" i="15"/>
  <c r="N81" i="15"/>
  <c r="Q82" i="15"/>
  <c r="O84" i="15"/>
  <c r="M86" i="15"/>
  <c r="P87" i="15"/>
  <c r="O49" i="15"/>
  <c r="M51" i="15"/>
  <c r="P52" i="15"/>
  <c r="N54" i="15"/>
  <c r="Q55" i="15"/>
  <c r="O57" i="15"/>
  <c r="M59" i="15"/>
  <c r="P60" i="15"/>
  <c r="N62" i="15"/>
  <c r="Q63" i="15"/>
  <c r="O65" i="15"/>
  <c r="M67" i="15"/>
  <c r="P68" i="15"/>
  <c r="N70" i="15"/>
  <c r="Q71" i="15"/>
  <c r="O73" i="15"/>
  <c r="M75" i="15"/>
  <c r="P76" i="15"/>
  <c r="N78" i="15"/>
  <c r="Q79" i="15"/>
  <c r="M48" i="15"/>
  <c r="Q60" i="15"/>
  <c r="O67" i="15"/>
  <c r="M72" i="15"/>
  <c r="N76" i="15"/>
  <c r="N80" i="15"/>
  <c r="O83" i="15"/>
  <c r="P86" i="15"/>
  <c r="M83" i="15"/>
  <c r="N51" i="15"/>
  <c r="M64" i="15"/>
  <c r="Q68" i="15"/>
  <c r="M73" i="15"/>
  <c r="M77" i="15"/>
  <c r="O81" i="15"/>
  <c r="P84" i="15"/>
  <c r="Q87" i="15"/>
  <c r="M56" i="15"/>
  <c r="P82" i="15"/>
  <c r="P70" i="15"/>
  <c r="Q52" i="15"/>
  <c r="M65" i="15"/>
  <c r="M69" i="15"/>
  <c r="P73" i="15"/>
  <c r="Q77" i="15"/>
  <c r="P81" i="15"/>
  <c r="Q84" i="15"/>
  <c r="Q65" i="15"/>
  <c r="O70" i="15"/>
  <c r="P74" i="15"/>
  <c r="P78" i="15"/>
  <c r="Q85" i="15"/>
  <c r="P57" i="15"/>
  <c r="O79" i="15"/>
  <c r="N86" i="15"/>
  <c r="O54" i="15"/>
  <c r="P65" i="15"/>
  <c r="Q69" i="15"/>
  <c r="Q73" i="15"/>
  <c r="O78" i="15"/>
  <c r="Q81" i="15"/>
  <c r="M85" i="15"/>
  <c r="P66" i="15"/>
  <c r="N59" i="15"/>
  <c r="N67" i="15"/>
  <c r="O71" i="15"/>
  <c r="O75" i="15"/>
  <c r="M80" i="15"/>
  <c r="N83" i="15"/>
  <c r="O86" i="15"/>
  <c r="P49" i="15"/>
  <c r="O62" i="15"/>
  <c r="N68" i="15"/>
  <c r="N72" i="15"/>
  <c r="Q76" i="15"/>
  <c r="M81" i="15"/>
  <c r="N84" i="15"/>
  <c r="O87" i="15"/>
  <c r="N75" i="15"/>
  <c r="Z87" i="15"/>
  <c r="AB85" i="15"/>
  <c r="Y84" i="15"/>
  <c r="AA82" i="15"/>
  <c r="X81" i="15"/>
  <c r="Z79" i="15"/>
  <c r="AB77" i="15"/>
  <c r="Y76" i="15"/>
  <c r="AA74" i="15"/>
  <c r="X73" i="15"/>
  <c r="Z71" i="15"/>
  <c r="AB69" i="15"/>
  <c r="Y68" i="15"/>
  <c r="AA66" i="15"/>
  <c r="X65" i="15"/>
  <c r="Z63" i="15"/>
  <c r="AB61" i="15"/>
  <c r="Y60" i="15"/>
  <c r="AA58" i="15"/>
  <c r="X57" i="15"/>
  <c r="Z55" i="15"/>
  <c r="AB53" i="15"/>
  <c r="Y52" i="15"/>
  <c r="AA50" i="15"/>
  <c r="X49" i="15"/>
  <c r="AA79" i="15"/>
  <c r="AB74" i="15"/>
  <c r="X70" i="15"/>
  <c r="AA63" i="15"/>
  <c r="AA55" i="15"/>
  <c r="Y87" i="15"/>
  <c r="AA85" i="15"/>
  <c r="X84" i="15"/>
  <c r="Z82" i="15"/>
  <c r="AB80" i="15"/>
  <c r="Y79" i="15"/>
  <c r="AA77" i="15"/>
  <c r="X76" i="15"/>
  <c r="Z74" i="15"/>
  <c r="AB72" i="15"/>
  <c r="Y71" i="15"/>
  <c r="AA69" i="15"/>
  <c r="X68" i="15"/>
  <c r="Z66" i="15"/>
  <c r="AB64" i="15"/>
  <c r="Y63" i="15"/>
  <c r="AA61" i="15"/>
  <c r="X60" i="15"/>
  <c r="Z58" i="15"/>
  <c r="AB56" i="15"/>
  <c r="Y55" i="15"/>
  <c r="AA53" i="15"/>
  <c r="X52" i="15"/>
  <c r="Z50" i="15"/>
  <c r="AB48" i="15"/>
  <c r="Y81" i="15"/>
  <c r="X62" i="15"/>
  <c r="AB50" i="15"/>
  <c r="X87" i="15"/>
  <c r="Z85" i="15"/>
  <c r="AB83" i="15"/>
  <c r="Y82" i="15"/>
  <c r="AA80" i="15"/>
  <c r="X79" i="15"/>
  <c r="Z77" i="15"/>
  <c r="AB75" i="15"/>
  <c r="Y74" i="15"/>
  <c r="AA72" i="15"/>
  <c r="X71" i="15"/>
  <c r="Z69" i="15"/>
  <c r="AB67" i="15"/>
  <c r="Y66" i="15"/>
  <c r="AA64" i="15"/>
  <c r="X63" i="15"/>
  <c r="Z61" i="15"/>
  <c r="AB59" i="15"/>
  <c r="Y58" i="15"/>
  <c r="AA56" i="15"/>
  <c r="X55" i="15"/>
  <c r="Z53" i="15"/>
  <c r="AB51" i="15"/>
  <c r="Y50" i="15"/>
  <c r="AA48" i="15"/>
  <c r="X78" i="15"/>
  <c r="Y65" i="15"/>
  <c r="X54" i="15"/>
  <c r="AB86" i="15"/>
  <c r="Y85" i="15"/>
  <c r="AA83" i="15"/>
  <c r="X82" i="15"/>
  <c r="Z80" i="15"/>
  <c r="AB78" i="15"/>
  <c r="Y77" i="15"/>
  <c r="AA75" i="15"/>
  <c r="X74" i="15"/>
  <c r="Z72" i="15"/>
  <c r="AB70" i="15"/>
  <c r="Y69" i="15"/>
  <c r="AA67" i="15"/>
  <c r="X66" i="15"/>
  <c r="Z64" i="15"/>
  <c r="AB62" i="15"/>
  <c r="Y61" i="15"/>
  <c r="AA59" i="15"/>
  <c r="X58" i="15"/>
  <c r="Z56" i="15"/>
  <c r="AB54" i="15"/>
  <c r="Y53" i="15"/>
  <c r="AA51" i="15"/>
  <c r="X50" i="15"/>
  <c r="Z48" i="15"/>
  <c r="Z84" i="15"/>
  <c r="Z76" i="15"/>
  <c r="Z68" i="15"/>
  <c r="AB58" i="15"/>
  <c r="AA86" i="15"/>
  <c r="X85" i="15"/>
  <c r="Z83" i="15"/>
  <c r="AB81" i="15"/>
  <c r="Y80" i="15"/>
  <c r="AA78" i="15"/>
  <c r="X77" i="15"/>
  <c r="Z75" i="15"/>
  <c r="AB73" i="15"/>
  <c r="Y72" i="15"/>
  <c r="AA70" i="15"/>
  <c r="X69" i="15"/>
  <c r="Z67" i="15"/>
  <c r="AB65" i="15"/>
  <c r="Y64" i="15"/>
  <c r="AA62" i="15"/>
  <c r="X61" i="15"/>
  <c r="Z59" i="15"/>
  <c r="AB57" i="15"/>
  <c r="Y56" i="15"/>
  <c r="AA54" i="15"/>
  <c r="X53" i="15"/>
  <c r="Z51" i="15"/>
  <c r="AB49" i="15"/>
  <c r="Y48" i="15"/>
  <c r="AB82" i="15"/>
  <c r="Y49" i="15"/>
  <c r="Z86" i="15"/>
  <c r="AB84" i="15"/>
  <c r="Y83" i="15"/>
  <c r="AA81" i="15"/>
  <c r="X80" i="15"/>
  <c r="Z78" i="15"/>
  <c r="AB76" i="15"/>
  <c r="Y75" i="15"/>
  <c r="AA73" i="15"/>
  <c r="X72" i="15"/>
  <c r="Z70" i="15"/>
  <c r="AB68" i="15"/>
  <c r="Y67" i="15"/>
  <c r="AA65" i="15"/>
  <c r="X64" i="15"/>
  <c r="Z62" i="15"/>
  <c r="AB60" i="15"/>
  <c r="Y59" i="15"/>
  <c r="AA57" i="15"/>
  <c r="X56" i="15"/>
  <c r="Z54" i="15"/>
  <c r="AB52" i="15"/>
  <c r="Y51" i="15"/>
  <c r="AA49" i="15"/>
  <c r="X48" i="15"/>
  <c r="X86" i="15"/>
  <c r="AA71" i="15"/>
  <c r="Z60" i="15"/>
  <c r="Z52" i="15"/>
  <c r="AB87" i="15"/>
  <c r="Y86" i="15"/>
  <c r="AA84" i="15"/>
  <c r="X83" i="15"/>
  <c r="Z81" i="15"/>
  <c r="AB79" i="15"/>
  <c r="Y78" i="15"/>
  <c r="AA76" i="15"/>
  <c r="X75" i="15"/>
  <c r="Z73" i="15"/>
  <c r="AB71" i="15"/>
  <c r="Y70" i="15"/>
  <c r="AA68" i="15"/>
  <c r="X67" i="15"/>
  <c r="Z65" i="15"/>
  <c r="AB63" i="15"/>
  <c r="Y62" i="15"/>
  <c r="AA60" i="15"/>
  <c r="X59" i="15"/>
  <c r="Z57" i="15"/>
  <c r="AB55" i="15"/>
  <c r="Y54" i="15"/>
  <c r="AA52" i="15"/>
  <c r="X51" i="15"/>
  <c r="Z49" i="15"/>
  <c r="AA87" i="15"/>
  <c r="Y73" i="15"/>
  <c r="AB66" i="15"/>
  <c r="Y57" i="15"/>
  <c r="F48" i="15"/>
  <c r="D50" i="15"/>
  <c r="G51" i="15"/>
  <c r="E53" i="15"/>
  <c r="H54" i="15"/>
  <c r="F56" i="15"/>
  <c r="D58" i="15"/>
  <c r="G59" i="15"/>
  <c r="E61" i="15"/>
  <c r="H62" i="15"/>
  <c r="F64" i="15"/>
  <c r="D66" i="15"/>
  <c r="G67" i="15"/>
  <c r="E69" i="15"/>
  <c r="H70" i="15"/>
  <c r="F72" i="15"/>
  <c r="D74" i="15"/>
  <c r="G75" i="15"/>
  <c r="E77" i="15"/>
  <c r="H78" i="15"/>
  <c r="F80" i="15"/>
  <c r="D82" i="15"/>
  <c r="G83" i="15"/>
  <c r="E85" i="15"/>
  <c r="H86" i="15"/>
  <c r="G48" i="15"/>
  <c r="E50" i="15"/>
  <c r="H51" i="15"/>
  <c r="F53" i="15"/>
  <c r="D55" i="15"/>
  <c r="G56" i="15"/>
  <c r="E58" i="15"/>
  <c r="H59" i="15"/>
  <c r="H48" i="15"/>
  <c r="D49" i="15"/>
  <c r="G50" i="15"/>
  <c r="E52" i="15"/>
  <c r="H53" i="15"/>
  <c r="F55" i="15"/>
  <c r="D57" i="15"/>
  <c r="G58" i="15"/>
  <c r="E60" i="15"/>
  <c r="H61" i="15"/>
  <c r="F63" i="15"/>
  <c r="D65" i="15"/>
  <c r="G66" i="15"/>
  <c r="E68" i="15"/>
  <c r="H69" i="15"/>
  <c r="F71" i="15"/>
  <c r="D73" i="15"/>
  <c r="G74" i="15"/>
  <c r="E76" i="15"/>
  <c r="H77" i="15"/>
  <c r="F79" i="15"/>
  <c r="D81" i="15"/>
  <c r="G82" i="15"/>
  <c r="E84" i="15"/>
  <c r="H85" i="15"/>
  <c r="F87" i="15"/>
  <c r="G63" i="15"/>
  <c r="D70" i="15"/>
  <c r="E73" i="15"/>
  <c r="F76" i="15"/>
  <c r="G79" i="15"/>
  <c r="E81" i="15"/>
  <c r="F84" i="15"/>
  <c r="D86" i="15"/>
  <c r="E49" i="15"/>
  <c r="H50" i="15"/>
  <c r="F52" i="15"/>
  <c r="D54" i="15"/>
  <c r="G55" i="15"/>
  <c r="E57" i="15"/>
  <c r="H58" i="15"/>
  <c r="F60" i="15"/>
  <c r="D62" i="15"/>
  <c r="E65" i="15"/>
  <c r="H66" i="15"/>
  <c r="F68" i="15"/>
  <c r="G71" i="15"/>
  <c r="H74" i="15"/>
  <c r="D78" i="15"/>
  <c r="H82" i="15"/>
  <c r="G87" i="15"/>
  <c r="F49" i="15"/>
  <c r="D51" i="15"/>
  <c r="G52" i="15"/>
  <c r="E54" i="15"/>
  <c r="H55" i="15"/>
  <c r="F57" i="15"/>
  <c r="D59" i="15"/>
  <c r="G60" i="15"/>
  <c r="E62" i="15"/>
  <c r="H63" i="15"/>
  <c r="F65" i="15"/>
  <c r="D67" i="15"/>
  <c r="G68" i="15"/>
  <c r="E70" i="15"/>
  <c r="H71" i="15"/>
  <c r="F73" i="15"/>
  <c r="D75" i="15"/>
  <c r="G76" i="15"/>
  <c r="E78" i="15"/>
  <c r="H79" i="15"/>
  <c r="F81" i="15"/>
  <c r="D83" i="15"/>
  <c r="G84" i="15"/>
  <c r="E86" i="15"/>
  <c r="H87" i="15"/>
  <c r="D48" i="15"/>
  <c r="G49" i="15"/>
  <c r="H52" i="15"/>
  <c r="D56" i="15"/>
  <c r="G57" i="15"/>
  <c r="H60" i="15"/>
  <c r="D64" i="15"/>
  <c r="G65" i="15"/>
  <c r="H68" i="15"/>
  <c r="D72" i="15"/>
  <c r="G73" i="15"/>
  <c r="H76" i="15"/>
  <c r="F78" i="15"/>
  <c r="G81" i="15"/>
  <c r="E83" i="15"/>
  <c r="F86" i="15"/>
  <c r="E51" i="15"/>
  <c r="F54" i="15"/>
  <c r="E59" i="15"/>
  <c r="F62" i="15"/>
  <c r="E67" i="15"/>
  <c r="F70" i="15"/>
  <c r="E75" i="15"/>
  <c r="D80" i="15"/>
  <c r="H84" i="15"/>
  <c r="E48" i="15"/>
  <c r="H49" i="15"/>
  <c r="F51" i="15"/>
  <c r="D53" i="15"/>
  <c r="G54" i="15"/>
  <c r="E56" i="15"/>
  <c r="H57" i="15"/>
  <c r="F59" i="15"/>
  <c r="D61" i="15"/>
  <c r="G62" i="15"/>
  <c r="E64" i="15"/>
  <c r="H65" i="15"/>
  <c r="F67" i="15"/>
  <c r="D69" i="15"/>
  <c r="G70" i="15"/>
  <c r="E72" i="15"/>
  <c r="H73" i="15"/>
  <c r="F75" i="15"/>
  <c r="D77" i="15"/>
  <c r="G78" i="15"/>
  <c r="E80" i="15"/>
  <c r="H81" i="15"/>
  <c r="F83" i="15"/>
  <c r="D85" i="15"/>
  <c r="G86" i="15"/>
  <c r="G61" i="15"/>
  <c r="E87" i="15"/>
  <c r="G53" i="15"/>
  <c r="E63" i="15"/>
  <c r="G69" i="15"/>
  <c r="D76" i="15"/>
  <c r="F82" i="15"/>
  <c r="H56" i="15"/>
  <c r="E71" i="15"/>
  <c r="G77" i="15"/>
  <c r="F58" i="15"/>
  <c r="G72" i="15"/>
  <c r="D79" i="15"/>
  <c r="D60" i="15"/>
  <c r="H72" i="15"/>
  <c r="G85" i="15"/>
  <c r="E55" i="15"/>
  <c r="G64" i="15"/>
  <c r="D71" i="15"/>
  <c r="F77" i="15"/>
  <c r="H83" i="15"/>
  <c r="H64" i="15"/>
  <c r="D84" i="15"/>
  <c r="E66" i="15"/>
  <c r="F85" i="15"/>
  <c r="F66" i="15"/>
  <c r="E79" i="15"/>
  <c r="F61" i="15"/>
  <c r="H67" i="15"/>
  <c r="E74" i="15"/>
  <c r="G80" i="15"/>
  <c r="D87" i="15"/>
  <c r="F50" i="15"/>
  <c r="D68" i="15"/>
  <c r="F74" i="15"/>
  <c r="H80" i="15"/>
  <c r="D52" i="15"/>
  <c r="D63" i="15"/>
  <c r="F69" i="15"/>
  <c r="H75" i="15"/>
  <c r="E82" i="15"/>
  <c r="AC34" i="15"/>
  <c r="AD33" i="15"/>
  <c r="AD34" i="15"/>
  <c r="AB35" i="15"/>
  <c r="AD35" i="15"/>
  <c r="AB34" i="15"/>
  <c r="AC33" i="15"/>
  <c r="T33" i="15"/>
  <c r="F33" i="15"/>
  <c r="M34" i="15"/>
  <c r="M33" i="15"/>
  <c r="AB19" i="15"/>
  <c r="AJ19" i="15"/>
  <c r="T19" i="15"/>
  <c r="G21" i="15"/>
  <c r="F21" i="15"/>
  <c r="F19" i="15"/>
  <c r="H21" i="15"/>
  <c r="G19" i="15"/>
  <c r="H19" i="15"/>
  <c r="F20" i="15"/>
  <c r="G20" i="15"/>
  <c r="H20" i="15"/>
  <c r="AU30" i="14"/>
  <c r="BG30" i="14"/>
  <c r="AI30" i="14"/>
  <c r="J30" i="14"/>
  <c r="N18" i="14"/>
  <c r="BC18" i="14"/>
  <c r="AU18" i="14"/>
  <c r="AM18" i="14"/>
  <c r="AE18" i="14"/>
  <c r="W18" i="14"/>
  <c r="F18" i="14"/>
  <c r="E35" i="9"/>
  <c r="L189" i="13"/>
  <c r="L188" i="13"/>
  <c r="L187" i="13"/>
  <c r="O188" i="13"/>
  <c r="O190" i="13"/>
  <c r="M186" i="13"/>
  <c r="O189" i="13"/>
  <c r="M187" i="13"/>
  <c r="M189" i="13"/>
  <c r="N186" i="13"/>
  <c r="M85" i="13"/>
  <c r="M87" i="13"/>
  <c r="M89" i="13"/>
  <c r="M91" i="13"/>
  <c r="M93" i="13"/>
  <c r="M95" i="13"/>
  <c r="M97" i="13"/>
  <c r="M99" i="13"/>
  <c r="M103" i="13"/>
  <c r="M107" i="13"/>
  <c r="M109" i="13"/>
  <c r="M113" i="13"/>
  <c r="M117" i="13"/>
  <c r="L100" i="13"/>
  <c r="N85" i="13"/>
  <c r="N87" i="13"/>
  <c r="N89" i="13"/>
  <c r="N91" i="13"/>
  <c r="N93" i="13"/>
  <c r="N95" i="13"/>
  <c r="N97" i="13"/>
  <c r="N99" i="13"/>
  <c r="N101" i="13"/>
  <c r="N103" i="13"/>
  <c r="N105" i="13"/>
  <c r="N107" i="13"/>
  <c r="N109" i="13"/>
  <c r="N111" i="13"/>
  <c r="N113" i="13"/>
  <c r="N115" i="13"/>
  <c r="N117" i="13"/>
  <c r="L89" i="13"/>
  <c r="L95" i="13"/>
  <c r="L101" i="13"/>
  <c r="L107" i="13"/>
  <c r="L113" i="13"/>
  <c r="N190" i="13"/>
  <c r="L106" i="13"/>
  <c r="L94" i="13"/>
  <c r="M115" i="13"/>
  <c r="M101" i="13"/>
  <c r="H174" i="13"/>
  <c r="M188" i="13"/>
  <c r="L117" i="13"/>
  <c r="L105" i="13"/>
  <c r="L93" i="13"/>
  <c r="O114" i="13"/>
  <c r="O110" i="13"/>
  <c r="O108" i="13"/>
  <c r="O106" i="13"/>
  <c r="O102" i="13"/>
  <c r="O100" i="13"/>
  <c r="O98" i="13"/>
  <c r="O96" i="13"/>
  <c r="O94" i="13"/>
  <c r="O92" i="13"/>
  <c r="O90" i="13"/>
  <c r="O88" i="13"/>
  <c r="O86" i="13"/>
  <c r="O84" i="13"/>
  <c r="I173" i="13"/>
  <c r="N188" i="13"/>
  <c r="L112" i="13"/>
  <c r="L88" i="13"/>
  <c r="M111" i="13"/>
  <c r="M105" i="13"/>
  <c r="I172" i="13"/>
  <c r="M190" i="13"/>
  <c r="L111" i="13"/>
  <c r="L99" i="13"/>
  <c r="L87" i="13"/>
  <c r="O116" i="13"/>
  <c r="O112" i="13"/>
  <c r="O104" i="13"/>
  <c r="L190" i="13"/>
  <c r="L110" i="13"/>
  <c r="L116" i="13"/>
  <c r="L98" i="13"/>
  <c r="L86" i="13"/>
  <c r="N114" i="13"/>
  <c r="N108" i="13"/>
  <c r="N104" i="13"/>
  <c r="N100" i="13"/>
  <c r="N98" i="13"/>
  <c r="N94" i="13"/>
  <c r="N92" i="13"/>
  <c r="N90" i="13"/>
  <c r="N86" i="13"/>
  <c r="N84" i="13"/>
  <c r="I171" i="13"/>
  <c r="O187" i="13"/>
  <c r="L104" i="13"/>
  <c r="L92" i="13"/>
  <c r="N116" i="13"/>
  <c r="N112" i="13"/>
  <c r="N110" i="13"/>
  <c r="N106" i="13"/>
  <c r="N102" i="13"/>
  <c r="N96" i="13"/>
  <c r="N88" i="13"/>
  <c r="H172" i="13"/>
  <c r="O186" i="13"/>
  <c r="N189" i="13"/>
  <c r="N187" i="13"/>
  <c r="L115" i="13"/>
  <c r="L109" i="13"/>
  <c r="L103" i="13"/>
  <c r="L97" i="13"/>
  <c r="L91" i="13"/>
  <c r="L85" i="13"/>
  <c r="M116" i="13"/>
  <c r="M114" i="13"/>
  <c r="M112" i="13"/>
  <c r="M110" i="13"/>
  <c r="M108" i="13"/>
  <c r="M106" i="13"/>
  <c r="M104" i="13"/>
  <c r="M102" i="13"/>
  <c r="M100" i="13"/>
  <c r="M98" i="13"/>
  <c r="M96" i="13"/>
  <c r="M94" i="13"/>
  <c r="M92" i="13"/>
  <c r="M90" i="13"/>
  <c r="M88" i="13"/>
  <c r="M86" i="13"/>
  <c r="M84" i="13"/>
  <c r="I175" i="13"/>
  <c r="L114" i="13"/>
  <c r="L108" i="13"/>
  <c r="L102" i="13"/>
  <c r="L96" i="13"/>
  <c r="L90" i="13"/>
  <c r="O117" i="13"/>
  <c r="O115" i="13"/>
  <c r="O113" i="13"/>
  <c r="O111" i="13"/>
  <c r="O109" i="13"/>
  <c r="O107" i="13"/>
  <c r="O105" i="13"/>
  <c r="O103" i="13"/>
  <c r="O101" i="13"/>
  <c r="O99" i="13"/>
  <c r="O97" i="13"/>
  <c r="O95" i="13"/>
  <c r="O93" i="13"/>
  <c r="O91" i="13"/>
  <c r="O89" i="13"/>
  <c r="O87" i="13"/>
  <c r="O85" i="13"/>
  <c r="I174" i="13"/>
  <c r="H173" i="13"/>
  <c r="G136" i="13"/>
  <c r="G130" i="13"/>
  <c r="G135" i="13"/>
  <c r="G129" i="13"/>
  <c r="G134" i="13"/>
  <c r="G133" i="13"/>
  <c r="G132" i="13"/>
  <c r="T90" i="5"/>
  <c r="T91" i="5"/>
  <c r="T97" i="5"/>
  <c r="T103" i="5"/>
  <c r="T92" i="5"/>
  <c r="T98" i="5"/>
  <c r="T102" i="5"/>
  <c r="T93" i="5"/>
  <c r="T94" i="5"/>
  <c r="T100" i="5"/>
  <c r="T96" i="5"/>
  <c r="T99" i="5"/>
  <c r="T88" i="5"/>
  <c r="T89" i="5"/>
  <c r="T95" i="5"/>
  <c r="T101" i="5"/>
  <c r="T87" i="5"/>
  <c r="T217" i="5"/>
  <c r="T218" i="5"/>
  <c r="W222" i="5"/>
  <c r="V221" i="5"/>
  <c r="U220" i="5"/>
  <c r="T219" i="5"/>
  <c r="T223" i="5"/>
  <c r="U218" i="5"/>
  <c r="V222" i="5"/>
  <c r="U221" i="5"/>
  <c r="T220" i="5"/>
  <c r="X222" i="5"/>
  <c r="U217" i="5"/>
  <c r="V218" i="5"/>
  <c r="U222" i="5"/>
  <c r="T221" i="5"/>
  <c r="X219" i="5"/>
  <c r="X223" i="5"/>
  <c r="V217" i="5"/>
  <c r="W218" i="5"/>
  <c r="T222" i="5"/>
  <c r="X220" i="5"/>
  <c r="W219" i="5"/>
  <c r="W223" i="5"/>
  <c r="W217" i="5"/>
  <c r="X218" i="5"/>
  <c r="X221" i="5"/>
  <c r="W220" i="5"/>
  <c r="V219" i="5"/>
  <c r="V223" i="5"/>
  <c r="X217" i="5"/>
  <c r="W221" i="5"/>
  <c r="V220" i="5"/>
  <c r="U219" i="5"/>
  <c r="U223" i="5"/>
  <c r="D24" i="3"/>
  <c r="R32" i="3"/>
  <c r="R31" i="3"/>
  <c r="R30" i="3"/>
  <c r="R29" i="3"/>
  <c r="R28" i="3"/>
  <c r="R27" i="3"/>
  <c r="R26" i="3"/>
  <c r="R25" i="3"/>
  <c r="R24" i="3"/>
  <c r="S49" i="3"/>
  <c r="S48" i="3"/>
  <c r="S47" i="3"/>
  <c r="R23" i="3"/>
  <c r="Q18" i="19" a="1"/>
  <c r="AB25" i="13" a="1"/>
  <c r="U158" i="13" a="1"/>
  <c r="L30" i="14" a="1"/>
  <c r="N137" i="13" a="1"/>
  <c r="AW30" i="14" a="1"/>
  <c r="AB33" i="15" a="1"/>
  <c r="L186" i="13" a="1"/>
  <c r="AC26" i="17" a="1"/>
  <c r="U155" i="13" a="1"/>
  <c r="N159" i="13" a="1"/>
  <c r="AC35" i="15" a="1"/>
  <c r="U159" i="13" a="1"/>
  <c r="N142" i="13" a="1"/>
  <c r="AL19" i="15" a="1"/>
  <c r="N132" i="13" a="1"/>
  <c r="L21" i="15" a="1"/>
  <c r="L20" i="15" a="1"/>
  <c r="M20" i="15" a="1"/>
  <c r="Y26" i="17" a="1"/>
  <c r="N128" i="13" a="1"/>
  <c r="N40" i="13" a="1"/>
  <c r="AK30" i="14" a="1"/>
  <c r="L34" i="15" a="1"/>
  <c r="P18" i="14" a="1"/>
  <c r="N135" i="13" a="1"/>
  <c r="G70" i="13" a="1"/>
  <c r="AG18" i="14" a="1"/>
  <c r="U156" i="13" a="1"/>
  <c r="H175" i="13" a="1"/>
  <c r="N144" i="13" a="1"/>
  <c r="AB26" i="17" a="1"/>
  <c r="Y30" i="14" a="1"/>
  <c r="N156" i="13" a="1"/>
  <c r="G158" i="13" a="1"/>
  <c r="X18" i="19" a="1"/>
  <c r="N158" i="13" a="1"/>
  <c r="U70" i="13" a="1"/>
  <c r="N155" i="13" a="1"/>
  <c r="L19" i="15" a="1"/>
  <c r="N134" i="13" a="1"/>
  <c r="G155" i="13" a="1"/>
  <c r="BE18" i="14" a="1"/>
  <c r="AA26" i="17" a="1"/>
  <c r="N70" i="13" a="1"/>
  <c r="U157" i="13" a="1"/>
  <c r="G55" i="13" a="1"/>
  <c r="N19" i="15" a="1"/>
  <c r="D7" i="8" a="1"/>
  <c r="N141" i="13" a="1"/>
  <c r="M21" i="15" a="1"/>
  <c r="U40" i="13" a="1"/>
  <c r="N139" i="13" a="1"/>
  <c r="N131" i="13" a="1"/>
  <c r="H171" i="13" a="1"/>
  <c r="AW18" i="14" a="1"/>
  <c r="N136" i="13" a="1"/>
  <c r="V19" i="15" a="1"/>
  <c r="AB55" i="13" a="1"/>
  <c r="N129" i="13" a="1"/>
  <c r="BI30" i="14" a="1"/>
  <c r="AB40" i="13" a="1"/>
  <c r="AE48" i="15" a="1"/>
  <c r="O24" i="3" a="1"/>
  <c r="AB70" i="13" a="1"/>
  <c r="Q35" i="19" a="1"/>
  <c r="N55" i="13" a="1"/>
  <c r="G159" i="13" a="1"/>
  <c r="L33" i="15" a="1"/>
  <c r="N20" i="15" a="1"/>
  <c r="N25" i="13" a="1"/>
  <c r="G156" i="13" a="1"/>
  <c r="N140" i="13" a="1"/>
  <c r="AO18" i="14" a="1"/>
  <c r="X35" i="19" a="1"/>
  <c r="G40" i="13" a="1"/>
  <c r="U55" i="13" a="1"/>
  <c r="G131" i="13" a="1"/>
  <c r="Y18" i="14" a="1"/>
  <c r="N21" i="15" a="1"/>
  <c r="G157" i="13" a="1"/>
  <c r="C203" i="5" a="1"/>
  <c r="H35" i="19" a="1"/>
  <c r="AD26" i="17" a="1"/>
  <c r="N138" i="13" a="1"/>
  <c r="L84" i="13" a="1"/>
  <c r="N143" i="13" a="1"/>
  <c r="AD19" i="15" a="1"/>
  <c r="AB155" i="13" a="1"/>
  <c r="N130" i="13" a="1"/>
  <c r="N145" i="13" a="1"/>
  <c r="J18" i="19" a="1"/>
  <c r="H18" i="14" a="1"/>
  <c r="U25" i="13" a="1"/>
  <c r="M19" i="15" a="1"/>
  <c r="G25" i="13" a="1"/>
  <c r="U128" i="13" a="1"/>
  <c r="G128" i="13" a="1"/>
  <c r="N157" i="13" a="1"/>
  <c r="N133" i="13" a="1"/>
  <c r="Z26" i="17" a="1"/>
  <c r="X18" i="19" l="1"/>
  <c r="L34" i="15"/>
  <c r="AC35" i="15"/>
  <c r="Q18" i="19"/>
  <c r="D7" i="8"/>
  <c r="B3" i="8" s="1"/>
  <c r="AA26" i="17"/>
  <c r="AB26" i="17"/>
  <c r="Y26" i="17"/>
  <c r="AC26" i="17"/>
  <c r="AD26" i="17"/>
  <c r="Z26" i="17"/>
  <c r="X35" i="19"/>
  <c r="Q35" i="19"/>
  <c r="H35" i="19"/>
  <c r="J18" i="19"/>
  <c r="Y30" i="14"/>
  <c r="AE48" i="15"/>
  <c r="K48" i="15"/>
  <c r="J48" i="15"/>
  <c r="T48" i="15"/>
  <c r="S48" i="15"/>
  <c r="AB33" i="15"/>
  <c r="L33" i="15"/>
  <c r="AL19" i="15"/>
  <c r="V19" i="15"/>
  <c r="AD19" i="15"/>
  <c r="M20" i="15"/>
  <c r="N19" i="15"/>
  <c r="M19" i="15"/>
  <c r="L20" i="15"/>
  <c r="N21" i="15"/>
  <c r="L21" i="15"/>
  <c r="M21" i="15"/>
  <c r="L19" i="15"/>
  <c r="N20" i="15"/>
  <c r="BI30" i="14"/>
  <c r="AW30" i="14"/>
  <c r="AK30" i="14"/>
  <c r="L30" i="14"/>
  <c r="BE18" i="14"/>
  <c r="AW18" i="14"/>
  <c r="AO18" i="14"/>
  <c r="AG18" i="14"/>
  <c r="Y18" i="14"/>
  <c r="P18" i="14"/>
  <c r="H18" i="14"/>
  <c r="AB155" i="13"/>
  <c r="H175" i="13"/>
  <c r="N159" i="13"/>
  <c r="U159" i="13"/>
  <c r="N155" i="13"/>
  <c r="N157" i="13"/>
  <c r="U158" i="13"/>
  <c r="N156" i="13"/>
  <c r="U157" i="13"/>
  <c r="U156" i="13"/>
  <c r="G157" i="13"/>
  <c r="U155" i="13"/>
  <c r="G156" i="13"/>
  <c r="G155" i="13"/>
  <c r="G159" i="13"/>
  <c r="L84" i="13"/>
  <c r="G158" i="13"/>
  <c r="L186" i="13"/>
  <c r="N158" i="13"/>
  <c r="U70" i="13"/>
  <c r="U128" i="13"/>
  <c r="N70" i="13"/>
  <c r="H171" i="13"/>
  <c r="AB70" i="13"/>
  <c r="G131" i="13"/>
  <c r="G70" i="13"/>
  <c r="G55" i="13"/>
  <c r="N40" i="13"/>
  <c r="N55" i="13"/>
  <c r="U40" i="13"/>
  <c r="AB55" i="13"/>
  <c r="AB40" i="13"/>
  <c r="U55" i="13"/>
  <c r="G40" i="13"/>
  <c r="N139" i="13"/>
  <c r="N134" i="13"/>
  <c r="N142" i="13"/>
  <c r="G128" i="13"/>
  <c r="N136" i="13"/>
  <c r="N140" i="13"/>
  <c r="N141" i="13"/>
  <c r="N144" i="13"/>
  <c r="N138" i="13"/>
  <c r="N128" i="13"/>
  <c r="N143" i="13"/>
  <c r="N132" i="13"/>
  <c r="N137" i="13"/>
  <c r="N131" i="13"/>
  <c r="N145" i="13"/>
  <c r="N130" i="13"/>
  <c r="N135" i="13"/>
  <c r="N129" i="13"/>
  <c r="AB25" i="13"/>
  <c r="N133" i="13"/>
  <c r="N25" i="13"/>
  <c r="G25" i="13"/>
  <c r="U25" i="13"/>
  <c r="C203" i="5"/>
  <c r="C14" i="5" s="1"/>
  <c r="O24" i="3"/>
  <c r="S28" i="3"/>
  <c r="S24" i="3"/>
  <c r="S29" i="3"/>
  <c r="S30" i="3"/>
  <c r="S35" i="3"/>
  <c r="S27" i="3"/>
  <c r="S36" i="3"/>
  <c r="S31" i="3"/>
  <c r="S32" i="3"/>
  <c r="S38" i="3"/>
  <c r="S39" i="3"/>
  <c r="S26" i="3"/>
  <c r="S37" i="3"/>
  <c r="S25" i="3"/>
  <c r="S33" i="3"/>
  <c r="S34" i="3"/>
  <c r="T39" i="3" a="1"/>
  <c r="C181" i="13" a="1"/>
  <c r="S35" i="19" a="1"/>
  <c r="C35" i="13" a="1"/>
  <c r="C166" i="13" a="1"/>
  <c r="T25" i="3" a="1"/>
  <c r="T28" i="3" a="1"/>
  <c r="C20" i="13" a="1"/>
  <c r="T29" i="3" a="1"/>
  <c r="C17" i="17" a="1"/>
  <c r="C25" i="14" a="1"/>
  <c r="T30" i="3" a="1"/>
  <c r="C50" i="13" a="1"/>
  <c r="C13" i="19" a="1"/>
  <c r="T32" i="3" a="1"/>
  <c r="T24" i="3" a="1"/>
  <c r="T34" i="3" a="1"/>
  <c r="C14" i="15" a="1"/>
  <c r="T31" i="3" a="1"/>
  <c r="T35" i="3" a="1"/>
  <c r="C79" i="13" a="1"/>
  <c r="T26" i="3" a="1"/>
  <c r="C150" i="13" a="1"/>
  <c r="C65" i="13" a="1"/>
  <c r="T36" i="3" a="1"/>
  <c r="C123" i="13" a="1"/>
  <c r="C27" i="15" a="1"/>
  <c r="K50" i="15" a="1"/>
  <c r="T38" i="3" a="1"/>
  <c r="C13" i="14" a="1"/>
  <c r="T27" i="3" a="1"/>
  <c r="T33" i="3" a="1"/>
  <c r="T37" i="3" a="1"/>
  <c r="T23" i="3" a="1"/>
  <c r="Z35" i="19" a="1"/>
  <c r="S50" i="15" a="1"/>
  <c r="J50" i="15" a="1"/>
  <c r="T50" i="15" a="1"/>
  <c r="C13" i="19" l="1"/>
  <c r="C17" i="17"/>
  <c r="S35" i="19"/>
  <c r="Z35" i="19"/>
  <c r="D7" i="19"/>
  <c r="K50" i="15"/>
  <c r="T50" i="15"/>
  <c r="J50" i="15"/>
  <c r="S50" i="15"/>
  <c r="C27" i="15"/>
  <c r="D8" i="15" s="1"/>
  <c r="C14" i="15"/>
  <c r="D7" i="15" s="1"/>
  <c r="C25" i="14"/>
  <c r="D8" i="14" s="1"/>
  <c r="C13" i="14"/>
  <c r="D7" i="14" s="1"/>
  <c r="C150" i="13"/>
  <c r="D13" i="13" s="1"/>
  <c r="C181" i="13"/>
  <c r="D15" i="13" s="1"/>
  <c r="C79" i="13"/>
  <c r="D11" i="13" s="1"/>
  <c r="C166" i="13"/>
  <c r="D14" i="13" s="1"/>
  <c r="C123" i="13"/>
  <c r="D12" i="13" s="1"/>
  <c r="C65" i="13"/>
  <c r="D10" i="13" s="1"/>
  <c r="C50" i="13"/>
  <c r="D9" i="13" s="1"/>
  <c r="C35" i="13"/>
  <c r="D8" i="13" s="1"/>
  <c r="C20" i="13"/>
  <c r="D7" i="13" s="1"/>
  <c r="T29" i="3"/>
  <c r="T30" i="3"/>
  <c r="T31" i="3"/>
  <c r="T37" i="3"/>
  <c r="T32" i="3"/>
  <c r="T38" i="3"/>
  <c r="T33" i="3"/>
  <c r="T39" i="3"/>
  <c r="T34" i="3"/>
  <c r="T35" i="3"/>
  <c r="T36" i="3"/>
  <c r="T25" i="3"/>
  <c r="T24" i="3"/>
  <c r="T27" i="3"/>
  <c r="T28" i="3"/>
  <c r="T26" i="3"/>
  <c r="T23" i="3"/>
  <c r="U37" i="3" a="1"/>
  <c r="C4" i="13" a="1"/>
  <c r="U36" i="3" a="1"/>
  <c r="U32" i="3" a="1"/>
  <c r="U35" i="3" a="1"/>
  <c r="U30" i="3" a="1"/>
  <c r="C4" i="14" a="1"/>
  <c r="U24" i="3" a="1"/>
  <c r="C4" i="15" a="1"/>
  <c r="U25" i="3" a="1"/>
  <c r="C43" i="15" a="1"/>
  <c r="U33" i="3" a="1"/>
  <c r="U31" i="3" a="1"/>
  <c r="U38" i="3" a="1"/>
  <c r="C30" i="19" a="1"/>
  <c r="U39" i="3" a="1"/>
  <c r="C13" i="17" a="1"/>
  <c r="U34" i="3" a="1"/>
  <c r="C13" i="17" l="1"/>
  <c r="D7" i="17" s="1"/>
  <c r="C30" i="19"/>
  <c r="D8" i="19" s="1"/>
  <c r="C43" i="15"/>
  <c r="D9" i="15" s="1"/>
  <c r="C4" i="15"/>
  <c r="C22" i="8" s="1"/>
  <c r="C4" i="14"/>
  <c r="C21" i="8" s="1"/>
  <c r="C4" i="13"/>
  <c r="C20" i="8" s="1"/>
  <c r="U32" i="3"/>
  <c r="U37" i="3"/>
  <c r="U31" i="3"/>
  <c r="U30" i="3"/>
  <c r="U36" i="3"/>
  <c r="U35" i="3"/>
  <c r="U34" i="3"/>
  <c r="U39" i="3"/>
  <c r="U33" i="3"/>
  <c r="U38" i="3"/>
  <c r="U25" i="3"/>
  <c r="U24" i="3"/>
  <c r="C4" i="19" a="1"/>
  <c r="C4" i="17" a="1"/>
  <c r="C4" i="17" l="1"/>
  <c r="C29" i="8" s="1"/>
  <c r="C4" i="19"/>
  <c r="C25" i="8" s="1"/>
  <c r="B13" i="3"/>
  <c r="B9" i="3"/>
  <c r="C29" i="11"/>
  <c r="G22" i="11"/>
  <c r="G27" i="11" s="1"/>
  <c r="D13" i="11"/>
  <c r="B13" i="11"/>
  <c r="B10" i="11"/>
  <c r="B10" i="3"/>
  <c r="T231" i="9"/>
  <c r="Q231" i="9"/>
  <c r="N230" i="9"/>
  <c r="K230" i="9"/>
  <c r="H232" i="9"/>
  <c r="E232" i="9"/>
  <c r="B232" i="9"/>
  <c r="G29" i="1"/>
  <c r="B46" i="1"/>
  <c r="C46" i="1" s="1"/>
  <c r="F30" i="1"/>
  <c r="G30" i="1" s="1"/>
  <c r="B45" i="1"/>
  <c r="C45" i="1" s="1"/>
  <c r="B44" i="1"/>
  <c r="C44" i="1" s="1"/>
  <c r="B43" i="1"/>
  <c r="C43" i="1" s="1"/>
  <c r="B42" i="1"/>
  <c r="G21" i="1"/>
  <c r="G27" i="1"/>
  <c r="G25" i="1"/>
  <c r="G23" i="1"/>
  <c r="F28" i="1"/>
  <c r="G28" i="1" s="1"/>
  <c r="F26" i="1"/>
  <c r="G26" i="1" s="1"/>
  <c r="F24" i="1"/>
  <c r="G24" i="1" s="1"/>
  <c r="F22" i="1"/>
  <c r="F20" i="1"/>
  <c r="I10" i="4"/>
  <c r="I15" i="4" s="1"/>
  <c r="G23" i="3"/>
  <c r="G25" i="3" s="1"/>
  <c r="C62" i="2"/>
  <c r="E64" i="2"/>
  <c r="Q20" i="1" a="1"/>
  <c r="X100" i="5" a="1"/>
  <c r="R230" i="9" a="1"/>
  <c r="W99" i="5" a="1"/>
  <c r="W90" i="5" a="1"/>
  <c r="BN65" i="5" a="1"/>
  <c r="BK67" i="5" a="1"/>
  <c r="BF39" i="5" a="1"/>
  <c r="BN64" i="5" a="1"/>
  <c r="BM41" i="5" a="1"/>
  <c r="BO40" i="5" a="1"/>
  <c r="BH67" i="5" a="1"/>
  <c r="V103" i="5" a="1"/>
  <c r="BH63" i="5" a="1"/>
  <c r="BL40" i="5" a="1"/>
  <c r="X127" i="5" a="1"/>
  <c r="U93" i="5" a="1"/>
  <c r="X98" i="5" a="1"/>
  <c r="T126" i="5" a="1"/>
  <c r="V132" i="5" a="1"/>
  <c r="X95" i="5" a="1"/>
  <c r="U98" i="5" a="1"/>
  <c r="BH42" i="5" a="1"/>
  <c r="BM67" i="5" a="1"/>
  <c r="L160" i="5" a="1"/>
  <c r="BO66" i="5" a="1"/>
  <c r="BO39" i="5" a="1"/>
  <c r="X132" i="5" a="1"/>
  <c r="BO42" i="5" a="1"/>
  <c r="BQ67" i="5" a="1"/>
  <c r="U23" i="3" a="1"/>
  <c r="BG41" i="5" a="1"/>
  <c r="BG66" i="5" a="1"/>
  <c r="BL66" i="5" a="1"/>
  <c r="X133" i="5" a="1"/>
  <c r="V129" i="5" a="1"/>
  <c r="BE40" i="5" a="1"/>
  <c r="O32" i="9" a="1"/>
  <c r="U102" i="5" a="1"/>
  <c r="L157" i="5" a="1"/>
  <c r="BT41" i="5" a="1"/>
  <c r="BI40" i="5" a="1"/>
  <c r="BK66" i="5" a="1"/>
  <c r="X130" i="5" a="1"/>
  <c r="L177" i="5" a="1"/>
  <c r="U125" i="5" a="1"/>
  <c r="X134" i="5" a="1"/>
  <c r="E186" i="9" a="1"/>
  <c r="U135" i="5" a="1"/>
  <c r="BT66" i="5" a="1"/>
  <c r="D4" i="4" a="1"/>
  <c r="BT67" i="5" a="1"/>
  <c r="BN66" i="5" a="1"/>
  <c r="V133" i="5" a="1"/>
  <c r="BG64" i="5" a="1"/>
  <c r="U88" i="5" a="1"/>
  <c r="W125" i="5" a="1"/>
  <c r="BT64" i="5" a="1"/>
  <c r="W198" i="5" a="1"/>
  <c r="BR64" i="5" a="1"/>
  <c r="U139" i="5" a="1"/>
  <c r="V102" i="5" a="1"/>
  <c r="BN40" i="5" a="1"/>
  <c r="U96" i="5" a="1"/>
  <c r="BI41" i="5" a="1"/>
  <c r="E98" i="9" a="1"/>
  <c r="V98" i="5" a="1"/>
  <c r="V94" i="5" a="1"/>
  <c r="O76" i="9" a="1"/>
  <c r="BT39" i="5" a="1"/>
  <c r="T131" i="5" a="1"/>
  <c r="BQ64" i="5" a="1"/>
  <c r="BP39" i="5" a="1"/>
  <c r="X126" i="5" a="1"/>
  <c r="BJ41" i="5" a="1"/>
  <c r="BK41" i="5" a="1"/>
  <c r="BR39" i="5" a="1"/>
  <c r="X197" i="5" a="1"/>
  <c r="W102" i="5" a="1"/>
  <c r="L159" i="5" a="1"/>
  <c r="X89" i="5" a="1"/>
  <c r="T123" i="5" a="1"/>
  <c r="V136" i="5" a="1"/>
  <c r="BL63" i="5" a="1"/>
  <c r="X136" i="5" a="1"/>
  <c r="X198" i="5" a="1"/>
  <c r="BI67" i="5" a="1"/>
  <c r="BE43" i="5" a="1"/>
  <c r="BS66" i="5" a="1"/>
  <c r="W131" i="5" a="1"/>
  <c r="V134" i="5" a="1"/>
  <c r="F230" i="9" a="1"/>
  <c r="V139" i="5" a="1"/>
  <c r="U100" i="5" a="1"/>
  <c r="C208" i="9" a="1"/>
  <c r="T197" i="5" a="1"/>
  <c r="BG42" i="5" a="1"/>
  <c r="O54" i="9" a="1"/>
  <c r="BS40" i="5" a="1"/>
  <c r="I22" i="11" a="1"/>
  <c r="T134" i="5" a="1"/>
  <c r="O142" i="9" a="1"/>
  <c r="W139" i="5" a="1"/>
  <c r="K179" i="5" a="1"/>
  <c r="W88" i="5" a="1"/>
  <c r="E208" i="9" a="1"/>
  <c r="BD42" i="5" a="1"/>
  <c r="BI43" i="5" a="1"/>
  <c r="X135" i="5" a="1"/>
  <c r="BQ41" i="5" a="1"/>
  <c r="BP64" i="5" a="1"/>
  <c r="X139" i="5" a="1"/>
  <c r="BM65" i="5" a="1"/>
  <c r="BL39" i="5" a="1"/>
  <c r="X97" i="5" a="1"/>
  <c r="BE65" i="5" a="1"/>
  <c r="BE42" i="5" a="1"/>
  <c r="BM66" i="5" a="1"/>
  <c r="V91" i="5" a="1"/>
  <c r="X99" i="5" a="1"/>
  <c r="O120" i="9" a="1"/>
  <c r="BJ40" i="5" a="1"/>
  <c r="X91" i="5" a="1"/>
  <c r="BQ66" i="5" a="1"/>
  <c r="BP43" i="5" a="1"/>
  <c r="U103" i="5" a="1"/>
  <c r="BD43" i="5" a="1"/>
  <c r="BJ66" i="5" a="1"/>
  <c r="L161" i="5" a="1"/>
  <c r="X93" i="5" a="1"/>
  <c r="L178" i="5" a="1"/>
  <c r="U132" i="5" a="1"/>
  <c r="X96" i="5" a="1"/>
  <c r="BD40" i="5" a="1"/>
  <c r="V88" i="5" a="1"/>
  <c r="BD39" i="5" a="1"/>
  <c r="U90" i="5" a="1"/>
  <c r="X129" i="5" a="1"/>
  <c r="O230" i="9" a="1"/>
  <c r="BP40" i="5" a="1"/>
  <c r="W129" i="5" a="1"/>
  <c r="BF43" i="5" a="1"/>
  <c r="X137" i="5" a="1"/>
  <c r="BQ43" i="5" a="1"/>
  <c r="BR63" i="5" a="1"/>
  <c r="E164" i="9" a="1"/>
  <c r="W126" i="5" a="1"/>
  <c r="E120" i="9" a="1"/>
  <c r="BT65" i="5" a="1"/>
  <c r="BN63" i="5" a="1"/>
  <c r="BQ40" i="5" a="1"/>
  <c r="BD41" i="5" a="1"/>
  <c r="U130" i="5" a="1"/>
  <c r="K161" i="5" a="1"/>
  <c r="BJ42" i="5" a="1"/>
  <c r="V138" i="5" a="1"/>
  <c r="BD65" i="5" a="1"/>
  <c r="U127" i="5" a="1"/>
  <c r="BP66" i="5" a="1"/>
  <c r="V100" i="5" a="1"/>
  <c r="BH65" i="5" a="1"/>
  <c r="U230" i="9" a="1"/>
  <c r="C230" i="9" a="1"/>
  <c r="V89" i="5" a="1"/>
  <c r="X101" i="5" a="1"/>
  <c r="BS43" i="5" a="1"/>
  <c r="U99" i="5" a="1"/>
  <c r="W100" i="5" a="1"/>
  <c r="BE39" i="5" a="1"/>
  <c r="W134" i="5" a="1"/>
  <c r="J208" i="9" a="1"/>
  <c r="BS65" i="5" a="1"/>
  <c r="J54" i="9" a="1"/>
  <c r="BF65" i="5" a="1"/>
  <c r="C142" i="9" a="1"/>
  <c r="L179" i="5" a="1"/>
  <c r="BP65" i="5" a="1"/>
  <c r="W98" i="5" a="1"/>
  <c r="U197" i="5" a="1"/>
  <c r="C6" i="2" a="1"/>
  <c r="BK63" i="5" a="1"/>
  <c r="V92" i="5" a="1"/>
  <c r="BS39" i="5" a="1"/>
  <c r="BM64" i="5" a="1"/>
  <c r="BE64" i="5" a="1"/>
  <c r="BQ65" i="5" a="1"/>
  <c r="U124" i="5" a="1"/>
  <c r="BP67" i="5" a="1"/>
  <c r="BK40" i="5" a="1"/>
  <c r="BM40" i="5" a="1"/>
  <c r="W87" i="5" a="1"/>
  <c r="BN43" i="5" a="1"/>
  <c r="C98" i="9" a="1"/>
  <c r="U94" i="5" a="1"/>
  <c r="BI65" i="5" a="1"/>
  <c r="BG39" i="5" a="1"/>
  <c r="X90" i="5" a="1"/>
  <c r="U133" i="5" a="1"/>
  <c r="T136" i="5" a="1"/>
  <c r="BJ63" i="5" a="1"/>
  <c r="V126" i="5" a="1"/>
  <c r="W130" i="5" a="1"/>
  <c r="I27" i="11" a="1"/>
  <c r="BG63" i="5" a="1"/>
  <c r="W132" i="5" a="1"/>
  <c r="K157" i="5" a="1"/>
  <c r="T132" i="5" a="1"/>
  <c r="C32" i="9" a="1"/>
  <c r="K177" i="5" a="1"/>
  <c r="U134" i="5" a="1"/>
  <c r="L180" i="5" a="1"/>
  <c r="V125" i="5" a="1"/>
  <c r="X125" i="5" a="1"/>
  <c r="D5" i="4" a="1"/>
  <c r="BF66" i="5" a="1"/>
  <c r="BS63" i="5" a="1"/>
  <c r="Z21" i="3" a="1"/>
  <c r="C120" i="9" a="1"/>
  <c r="BK43" i="5" a="1"/>
  <c r="T138" i="5" a="1"/>
  <c r="J164" i="9" a="1"/>
  <c r="W94" i="5" a="1"/>
  <c r="BG43" i="5" a="1"/>
  <c r="W138" i="5" a="1"/>
  <c r="X88" i="5" a="1"/>
  <c r="BH64" i="5" a="1"/>
  <c r="K180" i="5" a="1"/>
  <c r="BI64" i="5" a="1"/>
  <c r="BQ42" i="5" a="1"/>
  <c r="AU21" i="3" a="1"/>
  <c r="T125" i="5" a="1"/>
  <c r="BJ39" i="5" a="1"/>
  <c r="BL67" i="5" a="1"/>
  <c r="BL41" i="5" a="1"/>
  <c r="V197" i="5" a="1"/>
  <c r="K158" i="5" a="1"/>
  <c r="E76" i="9" a="1"/>
  <c r="E142" i="9" a="1"/>
  <c r="J32" i="9" a="1"/>
  <c r="BR43" i="5" a="1"/>
  <c r="W197" i="5" a="1"/>
  <c r="BS42" i="5" a="1"/>
  <c r="BI66" i="5" a="1"/>
  <c r="BJ67" i="5" a="1"/>
  <c r="J120" i="9" a="1"/>
  <c r="BK64" i="5" a="1"/>
  <c r="BG65" i="5" a="1"/>
  <c r="BF64" i="5" a="1"/>
  <c r="BL43" i="5" a="1"/>
  <c r="BR65" i="5" a="1"/>
  <c r="T128" i="5" a="1"/>
  <c r="BR67" i="5" a="1"/>
  <c r="BQ39" i="5" a="1"/>
  <c r="BO67" i="5" a="1"/>
  <c r="V127" i="5" a="1"/>
  <c r="U136" i="5" a="1"/>
  <c r="X87" i="5" a="1"/>
  <c r="U126" i="5" a="1"/>
  <c r="U129" i="5" a="1"/>
  <c r="BH41" i="5" a="1"/>
  <c r="BS67" i="5" a="1"/>
  <c r="BN42" i="5" a="1"/>
  <c r="BK65" i="5" a="1"/>
  <c r="X138" i="5" a="1"/>
  <c r="BO65" i="5" a="1"/>
  <c r="BG67" i="5" a="1"/>
  <c r="U123" i="5" a="1"/>
  <c r="U89" i="5" a="1"/>
  <c r="X92" i="5" a="1"/>
  <c r="T135" i="5" a="1"/>
  <c r="BE66" i="5" a="1"/>
  <c r="T129" i="5" a="1"/>
  <c r="BE63" i="5" a="1"/>
  <c r="V130" i="5" a="1"/>
  <c r="O98" i="9" a="1"/>
  <c r="BT40" i="5" a="1"/>
  <c r="U131" i="5" a="1"/>
  <c r="BL65" i="5" a="1"/>
  <c r="V96" i="5" a="1"/>
  <c r="BJ64" i="5" a="1"/>
  <c r="W137" i="5" a="1"/>
  <c r="J186" i="9" a="1"/>
  <c r="BM43" i="5" a="1"/>
  <c r="X128" i="5" a="1"/>
  <c r="X123" i="5" a="1"/>
  <c r="O186" i="9" a="1"/>
  <c r="U97" i="5" a="1"/>
  <c r="W133" i="5" a="1"/>
  <c r="BQ63" i="5" a="1"/>
  <c r="U138" i="5" a="1"/>
  <c r="W124" i="5" a="1"/>
  <c r="BI42" i="5" a="1"/>
  <c r="U91" i="5" a="1"/>
  <c r="BT63" i="5" a="1"/>
  <c r="V99" i="5" a="1"/>
  <c r="BR66" i="5" a="1"/>
  <c r="U92" i="5" a="1"/>
  <c r="V97" i="5" a="1"/>
  <c r="K178" i="5" a="1"/>
  <c r="E54" i="9" a="1"/>
  <c r="T133" i="5" a="1"/>
  <c r="BP63" i="5" a="1"/>
  <c r="V95" i="5" a="1"/>
  <c r="BF40" i="5" a="1"/>
  <c r="C186" i="9" a="1"/>
  <c r="U101" i="5" a="1"/>
  <c r="BJ43" i="5" a="1"/>
  <c r="BI63" i="5" a="1"/>
  <c r="W89" i="5" a="1"/>
  <c r="X103" i="5" a="1"/>
  <c r="W128" i="5" a="1"/>
  <c r="L158" i="5" a="1"/>
  <c r="T137" i="5" a="1"/>
  <c r="BP41" i="5" a="1"/>
  <c r="W92" i="5" a="1"/>
  <c r="BN39" i="5" a="1"/>
  <c r="V131" i="5" a="1"/>
  <c r="X102" i="5" a="1"/>
  <c r="K159" i="5" a="1"/>
  <c r="BE67" i="5" a="1"/>
  <c r="BD64" i="5" a="1"/>
  <c r="BL42" i="5" a="1"/>
  <c r="X124" i="5" a="1"/>
  <c r="BS64" i="5" a="1"/>
  <c r="BD67" i="5" a="1"/>
  <c r="BM63" i="5" a="1"/>
  <c r="BE41" i="5" a="1"/>
  <c r="BJ65" i="5" a="1"/>
  <c r="U128" i="5" a="1"/>
  <c r="BH40" i="5" a="1"/>
  <c r="BD63" i="5" a="1"/>
  <c r="V90" i="5" a="1"/>
  <c r="V135" i="5" a="1"/>
  <c r="W127" i="5" a="1"/>
  <c r="BH66" i="5" a="1"/>
  <c r="K160" i="5" a="1"/>
  <c r="BR42" i="5" a="1"/>
  <c r="BD66" i="5" a="1"/>
  <c r="X131" i="5" a="1"/>
  <c r="O208" i="9" a="1"/>
  <c r="BR40" i="5" a="1"/>
  <c r="C54" i="9" a="1"/>
  <c r="C164" i="9" a="1"/>
  <c r="BH43" i="5" a="1"/>
  <c r="W97" i="5" a="1"/>
  <c r="W103" i="5" a="1"/>
  <c r="W96" i="5" a="1"/>
  <c r="J76" i="9" a="1"/>
  <c r="L230" i="9" a="1"/>
  <c r="T139" i="5" a="1"/>
  <c r="W123" i="5" a="1"/>
  <c r="V124" i="5" a="1"/>
  <c r="BO43" i="5" a="1"/>
  <c r="K181" i="5" a="1"/>
  <c r="U87" i="5" a="1"/>
  <c r="BR41" i="5" a="1"/>
  <c r="U95" i="5" a="1"/>
  <c r="BL64" i="5" a="1"/>
  <c r="J98" i="9" a="1"/>
  <c r="W101" i="5" a="1"/>
  <c r="BT43" i="5" a="1"/>
  <c r="BI39" i="5" a="1"/>
  <c r="U137" i="5" a="1"/>
  <c r="BM42" i="5" a="1"/>
  <c r="BO41" i="5" a="1"/>
  <c r="W136" i="5" a="1"/>
  <c r="W95" i="5" a="1"/>
  <c r="V87" i="5" a="1"/>
  <c r="V128" i="5" a="1"/>
  <c r="BN41" i="5" a="1"/>
  <c r="T127" i="5" a="1"/>
  <c r="X94" i="5" a="1"/>
  <c r="U198" i="5" a="1"/>
  <c r="BN67" i="5" a="1"/>
  <c r="J142" i="9" a="1"/>
  <c r="W91" i="5" a="1"/>
  <c r="BF67" i="5" a="1"/>
  <c r="BT42" i="5" a="1"/>
  <c r="W93" i="5" a="1"/>
  <c r="T198" i="5" a="1"/>
  <c r="I230" i="9" a="1"/>
  <c r="L181" i="5" a="1"/>
  <c r="BP42" i="5" a="1"/>
  <c r="AJ21" i="3" a="1"/>
  <c r="BO63" i="5" a="1"/>
  <c r="V137" i="5" a="1"/>
  <c r="W135" i="5" a="1"/>
  <c r="BM39" i="5" a="1"/>
  <c r="BO64" i="5" a="1"/>
  <c r="BK39" i="5" a="1"/>
  <c r="V101" i="5" a="1"/>
  <c r="BF41" i="5" a="1"/>
  <c r="O164" i="9" a="1"/>
  <c r="T130" i="5" a="1"/>
  <c r="BK42" i="5" a="1"/>
  <c r="BH39" i="5" a="1"/>
  <c r="V198" i="5" a="1"/>
  <c r="C76" i="9" a="1"/>
  <c r="BS41" i="5" a="1"/>
  <c r="BF42" i="5" a="1"/>
  <c r="BF63" i="5" a="1"/>
  <c r="T124" i="5" a="1"/>
  <c r="BG40" i="5" a="1"/>
  <c r="V123" i="5" a="1"/>
  <c r="V93" i="5" a="1"/>
  <c r="Q20" i="1" l="1"/>
  <c r="F42" i="1"/>
  <c r="I27" i="11"/>
  <c r="I22" i="11"/>
  <c r="C6" i="2"/>
  <c r="U23" i="3"/>
  <c r="Z21" i="3"/>
  <c r="G25" i="11"/>
  <c r="G23" i="11"/>
  <c r="G24" i="11"/>
  <c r="G26" i="11"/>
  <c r="H25" i="3"/>
  <c r="AU21" i="3"/>
  <c r="AJ21" i="3"/>
  <c r="D4" i="4"/>
  <c r="BJ40" i="5"/>
  <c r="BM63" i="5"/>
  <c r="BK39" i="5"/>
  <c r="BE43" i="5"/>
  <c r="BF64" i="5"/>
  <c r="BR67" i="5"/>
  <c r="V93" i="5"/>
  <c r="V96" i="5"/>
  <c r="K181" i="5"/>
  <c r="BE66" i="5"/>
  <c r="BN66" i="5"/>
  <c r="BH67" i="5"/>
  <c r="BS67" i="5"/>
  <c r="W103" i="5"/>
  <c r="T126" i="5"/>
  <c r="T132" i="5"/>
  <c r="BL39" i="5"/>
  <c r="BD40" i="5"/>
  <c r="BM40" i="5"/>
  <c r="BE41" i="5"/>
  <c r="BN41" i="5"/>
  <c r="BF42" i="5"/>
  <c r="BO42" i="5"/>
  <c r="BG43" i="5"/>
  <c r="BP43" i="5"/>
  <c r="BG63" i="5"/>
  <c r="BP63" i="5"/>
  <c r="BI64" i="5"/>
  <c r="BR64" i="5"/>
  <c r="BL65" i="5"/>
  <c r="BF66" i="5"/>
  <c r="W88" i="5"/>
  <c r="W100" i="5"/>
  <c r="W197" i="5"/>
  <c r="BD39" i="5"/>
  <c r="BE40" i="5"/>
  <c r="BF41" i="5"/>
  <c r="BG42" i="5"/>
  <c r="BH43" i="5"/>
  <c r="BH63" i="5"/>
  <c r="BJ64" i="5"/>
  <c r="BQ66" i="5"/>
  <c r="BI67" i="5"/>
  <c r="BT67" i="5"/>
  <c r="X88" i="5"/>
  <c r="U133" i="5"/>
  <c r="BR39" i="5"/>
  <c r="BM43" i="5"/>
  <c r="BL41" i="5"/>
  <c r="BS65" i="5"/>
  <c r="BT40" i="5"/>
  <c r="BO43" i="5"/>
  <c r="BK65" i="5"/>
  <c r="BE39" i="5"/>
  <c r="BN40" i="5"/>
  <c r="BO41" i="5"/>
  <c r="BI43" i="5"/>
  <c r="BI63" i="5"/>
  <c r="BD65" i="5"/>
  <c r="BR66" i="5"/>
  <c r="W97" i="5"/>
  <c r="V134" i="5"/>
  <c r="BK64" i="5"/>
  <c r="BE65" i="5"/>
  <c r="BL67" i="5"/>
  <c r="W91" i="5"/>
  <c r="W94" i="5"/>
  <c r="U101" i="5"/>
  <c r="W123" i="5"/>
  <c r="U127" i="5"/>
  <c r="W135" i="5"/>
  <c r="BS40" i="5"/>
  <c r="BJ65" i="5"/>
  <c r="BS39" i="5"/>
  <c r="BE63" i="5"/>
  <c r="BF40" i="5"/>
  <c r="BH42" i="5"/>
  <c r="BM65" i="5"/>
  <c r="BF39" i="5"/>
  <c r="BO39" i="5"/>
  <c r="BG40" i="5"/>
  <c r="BP40" i="5"/>
  <c r="BH41" i="5"/>
  <c r="BQ41" i="5"/>
  <c r="BI42" i="5"/>
  <c r="BR42" i="5"/>
  <c r="BJ43" i="5"/>
  <c r="BS43" i="5"/>
  <c r="BJ63" i="5"/>
  <c r="BS63" i="5"/>
  <c r="BP65" i="5"/>
  <c r="BH66" i="5"/>
  <c r="BS66" i="5"/>
  <c r="BM67" i="5"/>
  <c r="X136" i="5"/>
  <c r="BT41" i="5"/>
  <c r="BM42" i="5"/>
  <c r="BD42" i="5"/>
  <c r="BO63" i="5"/>
  <c r="V90" i="5"/>
  <c r="BM39" i="5"/>
  <c r="BG41" i="5"/>
  <c r="BP42" i="5"/>
  <c r="BQ43" i="5"/>
  <c r="BQ63" i="5"/>
  <c r="BG66" i="5"/>
  <c r="BP39" i="5"/>
  <c r="BQ40" i="5"/>
  <c r="BR41" i="5"/>
  <c r="BS42" i="5"/>
  <c r="BT43" i="5"/>
  <c r="BT63" i="5"/>
  <c r="BL64" i="5"/>
  <c r="BF65" i="5"/>
  <c r="BQ65" i="5"/>
  <c r="V87" i="5"/>
  <c r="U89" i="5"/>
  <c r="U92" i="5"/>
  <c r="V128" i="5"/>
  <c r="T138" i="5"/>
  <c r="BG39" i="5"/>
  <c r="BQ39" i="5"/>
  <c r="BH40" i="5"/>
  <c r="BR40" i="5"/>
  <c r="BI41" i="5"/>
  <c r="BS41" i="5"/>
  <c r="BJ42" i="5"/>
  <c r="BT42" i="5"/>
  <c r="BK43" i="5"/>
  <c r="BK63" i="5"/>
  <c r="BD64" i="5"/>
  <c r="BK66" i="5"/>
  <c r="BT66" i="5"/>
  <c r="BN67" i="5"/>
  <c r="W87" i="5"/>
  <c r="U95" i="5"/>
  <c r="X98" i="5"/>
  <c r="U139" i="5"/>
  <c r="BI39" i="5"/>
  <c r="BD43" i="5"/>
  <c r="BJ39" i="5"/>
  <c r="BN63" i="5"/>
  <c r="BN42" i="5"/>
  <c r="BQ64" i="5"/>
  <c r="BO64" i="5"/>
  <c r="BG65" i="5"/>
  <c r="BR65" i="5"/>
  <c r="BL66" i="5"/>
  <c r="X89" i="5"/>
  <c r="V102" i="5"/>
  <c r="X124" i="5"/>
  <c r="W129" i="5"/>
  <c r="L157" i="5"/>
  <c r="BK41" i="5"/>
  <c r="BD63" i="5"/>
  <c r="BE64" i="5"/>
  <c r="BP64" i="5"/>
  <c r="BF67" i="5"/>
  <c r="BO67" i="5"/>
  <c r="X87" i="5"/>
  <c r="X92" i="5"/>
  <c r="L160" i="5"/>
  <c r="BL42" i="5"/>
  <c r="BK40" i="5"/>
  <c r="BM66" i="5"/>
  <c r="BG67" i="5"/>
  <c r="X130" i="5"/>
  <c r="K178" i="5"/>
  <c r="BN43" i="5"/>
  <c r="BL40" i="5"/>
  <c r="BM41" i="5"/>
  <c r="BT39" i="5"/>
  <c r="BO40" i="5"/>
  <c r="BJ41" i="5"/>
  <c r="BE42" i="5"/>
  <c r="BF43" i="5"/>
  <c r="BR43" i="5"/>
  <c r="BL63" i="5"/>
  <c r="BG64" i="5"/>
  <c r="BH65" i="5"/>
  <c r="BT65" i="5"/>
  <c r="BO66" i="5"/>
  <c r="BD67" i="5"/>
  <c r="BP67" i="5"/>
  <c r="U88" i="5"/>
  <c r="V89" i="5"/>
  <c r="X91" i="5"/>
  <c r="U94" i="5"/>
  <c r="V95" i="5"/>
  <c r="W96" i="5"/>
  <c r="X97" i="5"/>
  <c r="U100" i="5"/>
  <c r="V101" i="5"/>
  <c r="W102" i="5"/>
  <c r="X123" i="5"/>
  <c r="T125" i="5"/>
  <c r="U126" i="5"/>
  <c r="V127" i="5"/>
  <c r="W128" i="5"/>
  <c r="X129" i="5"/>
  <c r="T131" i="5"/>
  <c r="U132" i="5"/>
  <c r="V133" i="5"/>
  <c r="W134" i="5"/>
  <c r="X135" i="5"/>
  <c r="T137" i="5"/>
  <c r="U138" i="5"/>
  <c r="V139" i="5"/>
  <c r="K158" i="5"/>
  <c r="K161" i="5"/>
  <c r="L178" i="5"/>
  <c r="L181" i="5"/>
  <c r="X197" i="5"/>
  <c r="BH39" i="5"/>
  <c r="BN39" i="5"/>
  <c r="BI40" i="5"/>
  <c r="BD41" i="5"/>
  <c r="BP41" i="5"/>
  <c r="BK42" i="5"/>
  <c r="BQ42" i="5"/>
  <c r="BL43" i="5"/>
  <c r="BF63" i="5"/>
  <c r="BR63" i="5"/>
  <c r="BM64" i="5"/>
  <c r="BS64" i="5"/>
  <c r="BN65" i="5"/>
  <c r="BI66" i="5"/>
  <c r="BJ67" i="5"/>
  <c r="W90" i="5"/>
  <c r="X103" i="5"/>
  <c r="BN64" i="5"/>
  <c r="BI65" i="5"/>
  <c r="BJ66" i="5"/>
  <c r="BE67" i="5"/>
  <c r="BQ67" i="5"/>
  <c r="V88" i="5"/>
  <c r="X90" i="5"/>
  <c r="U93" i="5"/>
  <c r="W95" i="5"/>
  <c r="U99" i="5"/>
  <c r="W101" i="5"/>
  <c r="U125" i="5"/>
  <c r="V126" i="5"/>
  <c r="X128" i="5"/>
  <c r="T130" i="5"/>
  <c r="U131" i="5"/>
  <c r="V132" i="5"/>
  <c r="W133" i="5"/>
  <c r="X134" i="5"/>
  <c r="U137" i="5"/>
  <c r="V138" i="5"/>
  <c r="W139" i="5"/>
  <c r="L158" i="5"/>
  <c r="L161" i="5"/>
  <c r="K179" i="5"/>
  <c r="T198" i="5"/>
  <c r="BH64" i="5"/>
  <c r="BT64" i="5"/>
  <c r="BO65" i="5"/>
  <c r="BD66" i="5"/>
  <c r="BP66" i="5"/>
  <c r="BK67" i="5"/>
  <c r="U87" i="5"/>
  <c r="W89" i="5"/>
  <c r="V94" i="5"/>
  <c r="X96" i="5"/>
  <c r="V100" i="5"/>
  <c r="X102" i="5"/>
  <c r="T124" i="5"/>
  <c r="W127" i="5"/>
  <c r="T136" i="5"/>
  <c r="X95" i="5"/>
  <c r="U98" i="5"/>
  <c r="V99" i="5"/>
  <c r="X101" i="5"/>
  <c r="T123" i="5"/>
  <c r="U124" i="5"/>
  <c r="V125" i="5"/>
  <c r="W126" i="5"/>
  <c r="X127" i="5"/>
  <c r="T129" i="5"/>
  <c r="U130" i="5"/>
  <c r="V131" i="5"/>
  <c r="W132" i="5"/>
  <c r="X133" i="5"/>
  <c r="T135" i="5"/>
  <c r="U136" i="5"/>
  <c r="V137" i="5"/>
  <c r="W138" i="5"/>
  <c r="X139" i="5"/>
  <c r="K159" i="5"/>
  <c r="L179" i="5"/>
  <c r="T197" i="5"/>
  <c r="U198" i="5"/>
  <c r="U91" i="5"/>
  <c r="V92" i="5"/>
  <c r="W93" i="5"/>
  <c r="X94" i="5"/>
  <c r="U97" i="5"/>
  <c r="V98" i="5"/>
  <c r="W99" i="5"/>
  <c r="X100" i="5"/>
  <c r="U103" i="5"/>
  <c r="U123" i="5"/>
  <c r="V124" i="5"/>
  <c r="W125" i="5"/>
  <c r="X126" i="5"/>
  <c r="T128" i="5"/>
  <c r="U129" i="5"/>
  <c r="V130" i="5"/>
  <c r="W131" i="5"/>
  <c r="X132" i="5"/>
  <c r="T134" i="5"/>
  <c r="U135" i="5"/>
  <c r="V136" i="5"/>
  <c r="W137" i="5"/>
  <c r="X138" i="5"/>
  <c r="L159" i="5"/>
  <c r="K177" i="5"/>
  <c r="K180" i="5"/>
  <c r="U197" i="5"/>
  <c r="V198" i="5"/>
  <c r="U90" i="5"/>
  <c r="V91" i="5"/>
  <c r="W92" i="5"/>
  <c r="X93" i="5"/>
  <c r="U96" i="5"/>
  <c r="V97" i="5"/>
  <c r="W98" i="5"/>
  <c r="X99" i="5"/>
  <c r="U102" i="5"/>
  <c r="V103" i="5"/>
  <c r="V123" i="5"/>
  <c r="W124" i="5"/>
  <c r="X125" i="5"/>
  <c r="T127" i="5"/>
  <c r="U128" i="5"/>
  <c r="V129" i="5"/>
  <c r="W130" i="5"/>
  <c r="X131" i="5"/>
  <c r="T133" i="5"/>
  <c r="U134" i="5"/>
  <c r="V135" i="5"/>
  <c r="W136" i="5"/>
  <c r="X137" i="5"/>
  <c r="T139" i="5"/>
  <c r="K157" i="5"/>
  <c r="K160" i="5"/>
  <c r="L177" i="5"/>
  <c r="L180" i="5"/>
  <c r="V197" i="5"/>
  <c r="W198" i="5"/>
  <c r="X198" i="5"/>
  <c r="R230" i="9"/>
  <c r="U230" i="9"/>
  <c r="O230" i="9"/>
  <c r="L230" i="9"/>
  <c r="I233" i="9"/>
  <c r="I230" i="9"/>
  <c r="I232" i="9"/>
  <c r="I231" i="9"/>
  <c r="C230" i="9"/>
  <c r="F230" i="9"/>
  <c r="F44" i="1"/>
  <c r="I42" i="1"/>
  <c r="C42" i="1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54" i="9"/>
  <c r="E98" i="9"/>
  <c r="E142" i="9"/>
  <c r="E186" i="9"/>
  <c r="I46" i="1"/>
  <c r="F43" i="1"/>
  <c r="I45" i="1"/>
  <c r="I44" i="1"/>
  <c r="I43" i="1"/>
  <c r="F45" i="1"/>
  <c r="F46" i="1"/>
  <c r="G22" i="1"/>
  <c r="I12" i="4"/>
  <c r="J12" i="4" s="1"/>
  <c r="I14" i="4"/>
  <c r="J14" i="4" s="1"/>
  <c r="J15" i="4" s="1"/>
  <c r="D5" i="4"/>
  <c r="I11" i="4"/>
  <c r="J11" i="4" s="1"/>
  <c r="I13" i="4"/>
  <c r="J13" i="4" s="1"/>
  <c r="G26" i="3"/>
  <c r="H26" i="3" s="1"/>
  <c r="G27" i="3"/>
  <c r="G24" i="3"/>
  <c r="H24" i="3" s="1"/>
  <c r="G28" i="3"/>
  <c r="E62" i="2"/>
  <c r="K12" i="4" a="1"/>
  <c r="D64" i="2" a="1"/>
  <c r="K11" i="4" a="1"/>
  <c r="K13" i="4" a="1"/>
  <c r="D62" i="2" a="1"/>
  <c r="K14" i="4" a="1"/>
  <c r="K10" i="4" a="1"/>
  <c r="K15" i="4" a="1"/>
  <c r="S20" i="1" a="1"/>
  <c r="H28" i="1" a="1"/>
  <c r="I26" i="11" a="1"/>
  <c r="F181" i="9" a="1"/>
  <c r="I28" i="3" a="1"/>
  <c r="H22" i="1" a="1"/>
  <c r="J22" i="11" a="1"/>
  <c r="R225" i="9" a="1"/>
  <c r="H29" i="1" a="1"/>
  <c r="K27" i="9" a="1"/>
  <c r="K137" i="9" a="1"/>
  <c r="H21" i="1" a="1"/>
  <c r="C108" i="5" a="1"/>
  <c r="L225" i="9" a="1"/>
  <c r="K71" i="9" a="1"/>
  <c r="C225" i="9" a="1"/>
  <c r="J44" i="1" a="1"/>
  <c r="J45" i="1" a="1"/>
  <c r="K115" i="9" a="1"/>
  <c r="H23" i="1" a="1"/>
  <c r="C166" i="5" a="1"/>
  <c r="P27" i="9" a="1"/>
  <c r="C137" i="9" a="1"/>
  <c r="I23" i="3" a="1"/>
  <c r="F27" i="9" a="1"/>
  <c r="C144" i="5" a="1"/>
  <c r="C186" i="5" a="1"/>
  <c r="P137" i="9" a="1"/>
  <c r="C115" i="9" a="1"/>
  <c r="H25" i="1" a="1"/>
  <c r="C72" i="5" a="1"/>
  <c r="K181" i="9" a="1"/>
  <c r="J46" i="1" a="1"/>
  <c r="G45" i="1" a="1"/>
  <c r="H20" i="1" a="1"/>
  <c r="I25" i="3" a="1"/>
  <c r="H17" i="2" a="1"/>
  <c r="K49" i="9" a="1"/>
  <c r="F115" i="9" a="1"/>
  <c r="I24" i="3" a="1"/>
  <c r="I225" i="9" a="1"/>
  <c r="H24" i="1" a="1"/>
  <c r="C49" i="9" a="1"/>
  <c r="C48" i="5" a="1"/>
  <c r="K203" i="9" a="1"/>
  <c r="I26" i="3" a="1"/>
  <c r="F203" i="9" a="1"/>
  <c r="C181" i="9" a="1"/>
  <c r="G43" i="1" a="1"/>
  <c r="P181" i="9" a="1"/>
  <c r="P49" i="9" a="1"/>
  <c r="J43" i="1" a="1"/>
  <c r="G46" i="1" a="1"/>
  <c r="C93" i="9" a="1"/>
  <c r="F159" i="9" a="1"/>
  <c r="C71" i="9" a="1"/>
  <c r="I23" i="11" a="1"/>
  <c r="C159" i="9" a="1"/>
  <c r="O225" i="9" a="1"/>
  <c r="F71" i="9" a="1"/>
  <c r="G42" i="1" a="1"/>
  <c r="I25" i="11" a="1"/>
  <c r="H30" i="1" a="1"/>
  <c r="C24" i="5" a="1"/>
  <c r="J42" i="1" a="1"/>
  <c r="C27" i="9" a="1"/>
  <c r="P159" i="9" a="1"/>
  <c r="K93" i="9" a="1"/>
  <c r="H27" i="1" a="1"/>
  <c r="P203" i="9" a="1"/>
  <c r="F49" i="9" a="1"/>
  <c r="G44" i="1" a="1"/>
  <c r="I27" i="3" a="1"/>
  <c r="F137" i="9" a="1"/>
  <c r="P115" i="9" a="1"/>
  <c r="K159" i="9" a="1"/>
  <c r="F93" i="9" a="1"/>
  <c r="I24" i="11" a="1"/>
  <c r="H26" i="1" a="1"/>
  <c r="U225" i="9" a="1"/>
  <c r="P71" i="9" a="1"/>
  <c r="F225" i="9" a="1"/>
  <c r="P93" i="9" a="1"/>
  <c r="C203" i="9" a="1"/>
  <c r="S20" i="1" l="1"/>
  <c r="R16" i="1" s="1"/>
  <c r="H27" i="3"/>
  <c r="H28" i="3" s="1"/>
  <c r="I23" i="11"/>
  <c r="I25" i="11"/>
  <c r="J22" i="11"/>
  <c r="I26" i="11"/>
  <c r="I24" i="11"/>
  <c r="H23" i="11"/>
  <c r="H25" i="11"/>
  <c r="H26" i="11" s="1"/>
  <c r="H24" i="11"/>
  <c r="I28" i="3"/>
  <c r="I27" i="3"/>
  <c r="I26" i="3"/>
  <c r="I25" i="3"/>
  <c r="I24" i="3"/>
  <c r="I23" i="3"/>
  <c r="G46" i="1"/>
  <c r="G45" i="1"/>
  <c r="G44" i="1"/>
  <c r="G43" i="1"/>
  <c r="G42" i="1"/>
  <c r="F225" i="9"/>
  <c r="C108" i="5"/>
  <c r="C10" i="5" s="1"/>
  <c r="C24" i="5"/>
  <c r="C7" i="5" s="1"/>
  <c r="C166" i="5"/>
  <c r="C12" i="5" s="1"/>
  <c r="I225" i="9"/>
  <c r="C72" i="5"/>
  <c r="C9" i="5" s="1"/>
  <c r="L225" i="9"/>
  <c r="O225" i="9"/>
  <c r="C186" i="5"/>
  <c r="C13" i="5" s="1"/>
  <c r="C144" i="5"/>
  <c r="C11" i="5" s="1"/>
  <c r="C48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H28" i="1"/>
  <c r="H30" i="1"/>
  <c r="H29" i="1"/>
  <c r="H24" i="1"/>
  <c r="H22" i="1"/>
  <c r="H25" i="1"/>
  <c r="H20" i="1"/>
  <c r="H23" i="1"/>
  <c r="H26" i="1"/>
  <c r="H27" i="1"/>
  <c r="H21" i="1"/>
  <c r="J46" i="1"/>
  <c r="J45" i="1"/>
  <c r="J44" i="1"/>
  <c r="J43" i="1"/>
  <c r="J42" i="1"/>
  <c r="K11" i="4"/>
  <c r="L11" i="4" s="1"/>
  <c r="M11" i="4" s="1"/>
  <c r="K13" i="4"/>
  <c r="L13" i="4" s="1"/>
  <c r="M13" i="4" s="1"/>
  <c r="K15" i="4"/>
  <c r="L15" i="4" s="1"/>
  <c r="M15" i="4" s="1"/>
  <c r="K14" i="4"/>
  <c r="L14" i="4" s="1"/>
  <c r="M14" i="4" s="1"/>
  <c r="K12" i="4"/>
  <c r="L12" i="4" s="1"/>
  <c r="M12" i="4" s="1"/>
  <c r="K10" i="4"/>
  <c r="L10" i="4" s="1"/>
  <c r="M10" i="4" s="1"/>
  <c r="H17" i="2"/>
  <c r="D64" i="2"/>
  <c r="D62" i="2"/>
  <c r="F62" i="2" a="1"/>
  <c r="F64" i="2" a="1"/>
  <c r="C21" i="9" a="1"/>
  <c r="H45" i="1" a="1"/>
  <c r="I30" i="1" a="1"/>
  <c r="K43" i="1" a="1"/>
  <c r="J25" i="11" a="1"/>
  <c r="J28" i="3" a="1"/>
  <c r="J26" i="11" a="1"/>
  <c r="I23" i="1" a="1"/>
  <c r="C87" i="9" a="1"/>
  <c r="C131" i="9" a="1"/>
  <c r="I27" i="1" a="1"/>
  <c r="J26" i="3" a="1"/>
  <c r="J27" i="3" a="1"/>
  <c r="C219" i="9" a="1"/>
  <c r="E44" i="1" a="1"/>
  <c r="C65" i="9" a="1"/>
  <c r="J24" i="3" a="1"/>
  <c r="U27" i="3" a="1"/>
  <c r="I28" i="1" a="1"/>
  <c r="I26" i="1" a="1"/>
  <c r="J23" i="3" a="1"/>
  <c r="H42" i="1" a="1"/>
  <c r="C43" i="9" a="1"/>
  <c r="C153" i="9" a="1"/>
  <c r="K44" i="1" a="1"/>
  <c r="K42" i="1" a="1"/>
  <c r="C109" i="9" a="1"/>
  <c r="K45" i="1" a="1"/>
  <c r="U29" i="3" a="1"/>
  <c r="J25" i="3" a="1"/>
  <c r="I24" i="1" a="1"/>
  <c r="I25" i="1" a="1"/>
  <c r="I20" i="1" a="1"/>
  <c r="I29" i="1" a="1"/>
  <c r="C197" i="9" a="1"/>
  <c r="H46" i="1" a="1"/>
  <c r="E45" i="1" a="1"/>
  <c r="J24" i="11" a="1"/>
  <c r="J23" i="11" a="1"/>
  <c r="U28" i="3" a="1"/>
  <c r="E43" i="1" a="1"/>
  <c r="H44" i="1" a="1"/>
  <c r="K46" i="1" a="1"/>
  <c r="C175" i="9" a="1"/>
  <c r="C4" i="5" a="1"/>
  <c r="I21" i="1" a="1"/>
  <c r="I22" i="1" a="1"/>
  <c r="H43" i="1" a="1"/>
  <c r="E46" i="1" a="1"/>
  <c r="U26" i="3" a="1"/>
  <c r="E42" i="1" a="1"/>
  <c r="G21" i="2" a="1"/>
  <c r="C4" i="5" l="1"/>
  <c r="C36" i="8" s="1"/>
  <c r="J26" i="11"/>
  <c r="J24" i="11"/>
  <c r="J23" i="11"/>
  <c r="J25" i="11"/>
  <c r="H27" i="11"/>
  <c r="U27" i="3"/>
  <c r="J24" i="3"/>
  <c r="U26" i="3"/>
  <c r="U28" i="3"/>
  <c r="J23" i="3"/>
  <c r="J25" i="3"/>
  <c r="J28" i="3"/>
  <c r="J26" i="3"/>
  <c r="U29" i="3"/>
  <c r="J27" i="3"/>
  <c r="I21" i="1"/>
  <c r="I27" i="1"/>
  <c r="E43" i="1"/>
  <c r="I29" i="1"/>
  <c r="I23" i="1"/>
  <c r="E42" i="1"/>
  <c r="E46" i="1"/>
  <c r="K44" i="1"/>
  <c r="I25" i="1"/>
  <c r="E45" i="1"/>
  <c r="I26" i="1"/>
  <c r="E44" i="1"/>
  <c r="K42" i="1"/>
  <c r="K43" i="1"/>
  <c r="I20" i="1"/>
  <c r="K45" i="1"/>
  <c r="I22" i="1"/>
  <c r="H42" i="1"/>
  <c r="K46" i="1"/>
  <c r="I24" i="1"/>
  <c r="H43" i="1"/>
  <c r="H44" i="1"/>
  <c r="I30" i="1"/>
  <c r="H45" i="1"/>
  <c r="I28" i="1"/>
  <c r="H46" i="1"/>
  <c r="C219" i="9"/>
  <c r="C16" i="9" s="1"/>
  <c r="C197" i="9"/>
  <c r="C15" i="9" s="1"/>
  <c r="C65" i="9"/>
  <c r="C9" i="9" s="1"/>
  <c r="C175" i="9"/>
  <c r="C14" i="9" s="1"/>
  <c r="C109" i="9"/>
  <c r="C11" i="9" s="1"/>
  <c r="C21" i="9"/>
  <c r="C7" i="9" s="1"/>
  <c r="C87" i="9"/>
  <c r="C10" i="9" s="1"/>
  <c r="C153" i="9"/>
  <c r="C13" i="9" s="1"/>
  <c r="C131" i="9"/>
  <c r="C12" i="9" s="1"/>
  <c r="C43" i="9"/>
  <c r="C8" i="9" s="1"/>
  <c r="G21" i="2"/>
  <c r="F62" i="2"/>
  <c r="F64" i="2"/>
  <c r="C58" i="2" a="1"/>
  <c r="C21" i="3" a="1"/>
  <c r="N21" i="3" a="1"/>
  <c r="C4" i="9" a="1"/>
  <c r="J27" i="11" a="1"/>
  <c r="G16" i="1" a="1"/>
  <c r="N21" i="3" l="1"/>
  <c r="D13" i="3" s="1"/>
  <c r="J27" i="11"/>
  <c r="C21" i="3"/>
  <c r="G16" i="1"/>
  <c r="C4" i="9"/>
  <c r="C35" i="8" s="1"/>
  <c r="C58" i="2"/>
  <c r="C12" i="1" a="1"/>
  <c r="C20" i="11" a="1"/>
  <c r="C12" i="1" l="1"/>
  <c r="C5" i="1"/>
  <c r="C28" i="8" s="1"/>
  <c r="C20" i="11"/>
  <c r="D10" i="11" s="1"/>
  <c r="D10" i="3"/>
  <c r="C6" i="11" a="1"/>
  <c r="C6" i="3" a="1"/>
  <c r="C6" i="3" l="1"/>
  <c r="C30" i="8" s="1"/>
  <c r="C6" i="11"/>
  <c r="B11" i="8" a="1"/>
  <c r="B11" i="8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<sst xmlns="http://schemas.openxmlformats.org/spreadsheetml/2006/main" count="3720" uniqueCount="506">
  <si>
    <t>Dates</t>
  </si>
  <si>
    <t>Curves</t>
  </si>
  <si>
    <t>Discount Factors</t>
  </si>
  <si>
    <t>Curve Handle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</si>
  <si>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</si>
  <si>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</si>
  <si>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</si>
  <si>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</si>
  <si>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</si>
  <si>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</si>
  <si>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</si>
  <si>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</si>
  <si>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</si>
  <si>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</si>
  <si>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</si>
  <si>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</si>
  <si>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</si>
  <si>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</si>
  <si>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</si>
  <si>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</si>
  <si>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</si>
  <si>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Single Curve Bootstrapping</t>
  </si>
  <si>
    <t>Deposits</t>
  </si>
  <si>
    <t>Tenor</t>
  </si>
  <si>
    <t>Rate</t>
  </si>
  <si>
    <t>3m</t>
  </si>
  <si>
    <t>1m</t>
  </si>
  <si>
    <t>2m</t>
  </si>
  <si>
    <t>6m</t>
  </si>
  <si>
    <t>9m</t>
  </si>
  <si>
    <t>Base Date</t>
  </si>
  <si>
    <t>Parameter</t>
  </si>
  <si>
    <t>Value</t>
  </si>
  <si>
    <t>Testing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</si>
  <si>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</si>
  <si>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</si>
  <si>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</si>
  <si>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</si>
  <si>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</si>
  <si>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</si>
  <si>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</si>
  <si>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</si>
  <si>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</si>
  <si>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Difference</t>
  </si>
  <si>
    <t>Relative Difference</t>
  </si>
  <si>
    <t>Interest Rate Swaps</t>
  </si>
  <si>
    <t>SingleCurve</t>
  </si>
  <si>
    <t>USDOIS</t>
  </si>
  <si>
    <t>OIS</t>
  </si>
  <si>
    <t>Forecasting Curve</t>
  </si>
  <si>
    <t>Discounting Curve</t>
  </si>
  <si>
    <t>USDSwap</t>
  </si>
  <si>
    <t>Include</t>
  </si>
  <si>
    <t>Interpolation</t>
  </si>
  <si>
    <t>LogLinear</t>
  </si>
  <si>
    <t>Curve Name</t>
  </si>
  <si>
    <t>RateIndexTenor</t>
  </si>
  <si>
    <t>Curve Settings</t>
  </si>
  <si>
    <t>Multi Curve Bootstrapping</t>
  </si>
  <si>
    <t>USD-LIBOR</t>
  </si>
  <si>
    <t>Curve Parameters</t>
  </si>
  <si>
    <t>1y</t>
  </si>
  <si>
    <t>2y</t>
  </si>
  <si>
    <t>ForecastCurve</t>
  </si>
  <si>
    <t>DiscountCurve</t>
  </si>
  <si>
    <t>OISs</t>
  </si>
  <si>
    <t>FEDFUND</t>
  </si>
  <si>
    <t>1d</t>
  </si>
  <si>
    <t>EndDates</t>
  </si>
  <si>
    <t>3y</t>
  </si>
  <si>
    <t>ZAR</t>
  </si>
  <si>
    <t>DayCountConvention</t>
  </si>
  <si>
    <t>Actual365</t>
  </si>
  <si>
    <t>Calendars</t>
  </si>
  <si>
    <t>Setup</t>
  </si>
  <si>
    <t>Zero Rate (Manual)</t>
  </si>
  <si>
    <t>Zero Rate (∂Excel)</t>
  </si>
  <si>
    <t>Discount Factor (Manual)</t>
  </si>
  <si>
    <t>Discount Factor (∂Excel)</t>
  </si>
  <si>
    <t>NACC</t>
  </si>
  <si>
    <t>NACM</t>
  </si>
  <si>
    <t>NACQ</t>
  </si>
  <si>
    <t>Zero Rates</t>
  </si>
  <si>
    <t>Actual</t>
  </si>
  <si>
    <t>Expected</t>
  </si>
  <si>
    <t>Check</t>
  </si>
  <si>
    <t>loglinear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</si>
  <si>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</si>
  <si>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</si>
  <si>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</si>
  <si>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r>
      <t xml:space="preserve">These tests work by copying the </t>
    </r>
    <r>
      <rPr>
        <b/>
        <sz val="11"/>
        <color theme="1"/>
        <rFont val="Calibri Light"/>
        <family val="2"/>
        <scheme val="minor"/>
      </rPr>
      <t>Before</t>
    </r>
    <r>
      <rPr>
        <sz val="11"/>
        <color theme="1"/>
        <rFont val="Calibri Light"/>
        <family val="2"/>
        <scheme val="minor"/>
      </rPr>
      <t xml:space="preserve"> section to the </t>
    </r>
    <r>
      <rPr>
        <b/>
        <sz val="11"/>
        <color theme="1"/>
        <rFont val="Calibri Light"/>
        <family val="2"/>
        <scheme val="minor"/>
      </rPr>
      <t>After</t>
    </r>
    <r>
      <rPr>
        <sz val="11"/>
        <color theme="1"/>
        <rFont val="Calibri Light"/>
        <family val="2"/>
        <scheme val="minor"/>
      </rPr>
      <t xml:space="preserve"> section and then applying the relevant formatting option.</t>
    </r>
  </si>
  <si>
    <r>
      <t xml:space="preserve">The </t>
    </r>
    <r>
      <rPr>
        <b/>
        <sz val="11"/>
        <color theme="1"/>
        <rFont val="Calibri Light"/>
        <family val="2"/>
        <scheme val="minor"/>
      </rPr>
      <t>After</t>
    </r>
    <r>
      <rPr>
        <b/>
        <i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 xml:space="preserve">section is then compared to the </t>
    </r>
    <r>
      <rPr>
        <b/>
        <sz val="11"/>
        <color theme="1"/>
        <rFont val="Calibri Light"/>
        <family val="2"/>
        <scheme val="minor"/>
      </rPr>
      <t xml:space="preserve">Expected </t>
    </r>
    <r>
      <rPr>
        <sz val="11"/>
        <color theme="1"/>
        <rFont val="Calibri Light"/>
        <family val="2"/>
        <scheme val="minor"/>
      </rPr>
      <t>section.</t>
    </r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</si>
  <si>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</si>
  <si>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</si>
  <si>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</si>
  <si>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</si>
  <si>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</si>
  <si>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</si>
  <si>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</si>
  <si>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</si>
  <si>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</si>
  <si>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</si>
  <si>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</si>
  <si>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</si>
  <si>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r>
      <t xml:space="preserve">The formatting for date and numeric values is inferred from titles and is </t>
    </r>
    <r>
      <rPr>
        <b/>
        <sz val="11"/>
        <color theme="1"/>
        <rFont val="Calibri Light"/>
        <family val="2"/>
        <scheme val="minor"/>
      </rPr>
      <t>case insensitive</t>
    </r>
    <r>
      <rPr>
        <sz val="11"/>
        <color theme="1"/>
        <rFont val="Calibri Light"/>
        <family val="2"/>
        <scheme val="minor"/>
      </rPr>
      <t>.</t>
    </r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</si>
  <si>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</si>
  <si>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</si>
  <si>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</si>
  <si>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</si>
  <si>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</si>
  <si>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</si>
  <si>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</si>
  <si>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</si>
  <si>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</si>
  <si>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</si>
  <si>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</si>
  <si>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</si>
  <si>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</si>
  <si>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Reset Alll Sheet Tests</t>
  </si>
  <si>
    <t>Run Alll Sheet Tests</t>
  </si>
  <si>
    <t>Macros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</si>
  <si>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</si>
  <si>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</si>
  <si>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</si>
  <si>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</si>
  <si>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</si>
  <si>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</si>
  <si>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</si>
  <si>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Summary</t>
  </si>
  <si>
    <t>Other</t>
  </si>
  <si>
    <t>Test Result</t>
  </si>
  <si>
    <t>Test Checks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</si>
  <si>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</si>
  <si>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</si>
  <si>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</si>
  <si>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</si>
  <si>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</si>
  <si>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</si>
  <si>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</si>
  <si>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</si>
  <si>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</si>
  <si>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</si>
  <si>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</si>
  <si>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</si>
  <si>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</si>
  <si>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</si>
  <si>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</si>
  <si>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</si>
  <si>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</si>
  <si>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</si>
  <si>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</si>
  <si>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</si>
  <si>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</si>
  <si>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</si>
  <si>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</si>
  <si>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</si>
  <si>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</si>
  <si>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</si>
  <si>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</si>
  <si>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</si>
  <si>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</si>
  <si>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</si>
  <si>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</si>
  <si>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Test Results</t>
  </si>
  <si>
    <t>Here we test table applying formatting where the table content is purely text.</t>
  </si>
  <si>
    <t>All Test Results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</si>
  <si>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</si>
  <si>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</si>
  <si>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</si>
  <si>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</si>
  <si>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</si>
  <si>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</si>
  <si>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</si>
  <si>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</si>
  <si>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</si>
  <si>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</si>
  <si>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Test 9</t>
  </si>
  <si>
    <t>Run Tests in All Sheets</t>
  </si>
  <si>
    <t>Reset Tests in All Sheets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</si>
  <si>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</si>
  <si>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</si>
  <si>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</si>
  <si>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</si>
  <si>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</si>
  <si>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</si>
  <si>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</si>
  <si>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</si>
  <si>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</si>
  <si>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</si>
  <si>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</si>
  <si>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</si>
  <si>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</si>
  <si>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</si>
  <si>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</si>
  <si>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</si>
  <si>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</si>
  <si>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</si>
  <si>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</si>
  <si>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</si>
  <si>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</si>
  <si>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</si>
  <si>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</si>
  <si>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</si>
  <si>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</si>
  <si>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</si>
  <si>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</si>
  <si>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</si>
  <si>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</si>
  <si>
    <t>BaseDate</t>
  </si>
  <si>
    <t>Exception Testing</t>
  </si>
  <si>
    <t>Missing RateIndex</t>
  </si>
  <si>
    <t>#Error: Please provide a rate index in the curve parameters.</t>
  </si>
  <si>
    <t>UMBOR</t>
  </si>
  <si>
    <t>#Error: Unsupported rate index: UMBOR</t>
  </si>
  <si>
    <t>#Error: Please provide a base date in the curve parameters.</t>
  </si>
  <si>
    <t>Missing BaseDate</t>
  </si>
  <si>
    <t>Checks</t>
  </si>
  <si>
    <t>ZAR-Swap Testing</t>
  </si>
  <si>
    <t>USD OIS Testing</t>
  </si>
  <si>
    <t># TODO: Incorporate swap par rates in checks.</t>
  </si>
  <si>
    <t>Flat Curve, 3m JIBAR</t>
  </si>
  <si>
    <t>FraTenors</t>
  </si>
  <si>
    <t>3x6</t>
  </si>
  <si>
    <t>6x9</t>
  </si>
  <si>
    <t>9x12</t>
  </si>
  <si>
    <t>Vanilla ZAR Swap</t>
  </si>
  <si>
    <t>Swap Parameters</t>
  </si>
  <si>
    <t>EffectiveDate</t>
  </si>
  <si>
    <t>MaturityDate</t>
  </si>
  <si>
    <t>Type</t>
  </si>
  <si>
    <t>Interest Rate Swap</t>
  </si>
  <si>
    <t>@ZAR-IRS1</t>
  </si>
  <si>
    <t>Payer</t>
  </si>
  <si>
    <t>Notional</t>
  </si>
  <si>
    <t>FloatingLegFrequency</t>
  </si>
  <si>
    <t>Currency</t>
  </si>
  <si>
    <t>← Note: Used for calendar.</t>
  </si>
  <si>
    <t>BusinessDayConvetion</t>
  </si>
  <si>
    <t>Tests</t>
  </si>
  <si>
    <t>ZAR Swap Curve Testing</t>
  </si>
  <si>
    <t>USD OIS Curve Testing</t>
  </si>
  <si>
    <t>Non-Flat Curve, FEDFUND</t>
  </si>
  <si>
    <t>https://wiki.fsa-aks.deloitte.co.za/doku.php?id=valuations:methodology:instruments:interest_rate_swaps</t>
  </si>
  <si>
    <t>See link below for par rate calculation details:</t>
  </si>
  <si>
    <t>Calendar</t>
  </si>
  <si>
    <t>Business Day Convention</t>
  </si>
  <si>
    <t>MODFOL</t>
  </si>
  <si>
    <t>RateIndexName</t>
  </si>
  <si>
    <t>Simple</t>
  </si>
  <si>
    <t>Compounded</t>
  </si>
  <si>
    <t>Vol Surface</t>
  </si>
  <si>
    <t>Moneyness</t>
  </si>
  <si>
    <t>Column Header</t>
  </si>
  <si>
    <t>Here we test apply formatting where there are both column and row headers.</t>
  </si>
  <si>
    <t>-</t>
  </si>
  <si>
    <t>Holidays</t>
  </si>
  <si>
    <t>Inputs</t>
  </si>
  <si>
    <t>Test 1: Custom Holidays</t>
  </si>
  <si>
    <t>Expected Output</t>
  </si>
  <si>
    <t>Test 2: Specific Calendar</t>
  </si>
  <si>
    <t>Test 3: Joint Calendar</t>
  </si>
  <si>
    <t>USD,ZAR</t>
  </si>
  <si>
    <t>Start Date</t>
  </si>
  <si>
    <t>End Date</t>
  </si>
  <si>
    <t>Test 1: Single Calendar</t>
  </si>
  <si>
    <t>Test 2: Joint Calendar</t>
  </si>
  <si>
    <t>Test 4: Invalid Calendar</t>
  </si>
  <si>
    <t>USD,WRE</t>
  </si>
  <si>
    <t>#∂Excel Error: Unknown calendar: WRE</t>
  </si>
  <si>
    <t>Test 3: Invalid Calendar</t>
  </si>
  <si>
    <t>Test 4: Invalid Business Day Convention</t>
  </si>
  <si>
    <t>ASD</t>
  </si>
  <si>
    <t>#∂Excel Error: Unknown business day convention: ASD</t>
  </si>
  <si>
    <t>Interest Rate Curves</t>
  </si>
  <si>
    <t>Utilities</t>
  </si>
  <si>
    <t>Variant 1</t>
  </si>
  <si>
    <t>Variant 2</t>
  </si>
  <si>
    <t>Fol</t>
  </si>
  <si>
    <t>Following</t>
  </si>
  <si>
    <t>ModFol</t>
  </si>
  <si>
    <t>ModifiedFollowing</t>
  </si>
  <si>
    <t>ModPrec</t>
  </si>
  <si>
    <t>ModPreceding</t>
  </si>
  <si>
    <t>Prec</t>
  </si>
  <si>
    <t>Preceding</t>
  </si>
  <si>
    <t>Variant 3</t>
  </si>
  <si>
    <t>Variant 4</t>
  </si>
  <si>
    <t>Act360</t>
  </si>
  <si>
    <t>Actual360</t>
  </si>
  <si>
    <t/>
  </si>
  <si>
    <t>Act365</t>
  </si>
  <si>
    <t>Act365F</t>
  </si>
  <si>
    <t>Actual365F</t>
  </si>
  <si>
    <t>ActAct</t>
  </si>
  <si>
    <t>ActualActual</t>
  </si>
  <si>
    <t>Bus252</t>
  </si>
  <si>
    <t>Business252</t>
  </si>
  <si>
    <t>ARS</t>
  </si>
  <si>
    <t>Argentina</t>
  </si>
  <si>
    <t>AUD</t>
  </si>
  <si>
    <t>Australia</t>
  </si>
  <si>
    <t>BWP</t>
  </si>
  <si>
    <t>Botswana</t>
  </si>
  <si>
    <t>BRL</t>
  </si>
  <si>
    <t>Brazil</t>
  </si>
  <si>
    <t>CAD</t>
  </si>
  <si>
    <t>Canada</t>
  </si>
  <si>
    <t>CHF</t>
  </si>
  <si>
    <t>Switzerland</t>
  </si>
  <si>
    <t>CNH</t>
  </si>
  <si>
    <t>China</t>
  </si>
  <si>
    <t>CZK</t>
  </si>
  <si>
    <t>Czech Republic</t>
  </si>
  <si>
    <t>DKK</t>
  </si>
  <si>
    <t>Denmark</t>
  </si>
  <si>
    <t>EUR</t>
  </si>
  <si>
    <t>Euro</t>
  </si>
  <si>
    <t>GBP</t>
  </si>
  <si>
    <t>Great Britain</t>
  </si>
  <si>
    <t>Germany</t>
  </si>
  <si>
    <t>HUF</t>
  </si>
  <si>
    <t>Hungary</t>
  </si>
  <si>
    <t>INR</t>
  </si>
  <si>
    <t>India</t>
  </si>
  <si>
    <t>ILS</t>
  </si>
  <si>
    <t>Israel</t>
  </si>
  <si>
    <t>Italy</t>
  </si>
  <si>
    <t>JPY</t>
  </si>
  <si>
    <t>Japan</t>
  </si>
  <si>
    <t>KRW</t>
  </si>
  <si>
    <t>South Korea</t>
  </si>
  <si>
    <t>MXN</t>
  </si>
  <si>
    <t>Mexico</t>
  </si>
  <si>
    <t>NOK</t>
  </si>
  <si>
    <t>Norway</t>
  </si>
  <si>
    <t>NZD</t>
  </si>
  <si>
    <t>New Zealand</t>
  </si>
  <si>
    <t>PLN</t>
  </si>
  <si>
    <t>Poland</t>
  </si>
  <si>
    <t>RON</t>
  </si>
  <si>
    <t>Romania</t>
  </si>
  <si>
    <t>RUB</t>
  </si>
  <si>
    <t>Russia</t>
  </si>
  <si>
    <t>SGD</t>
  </si>
  <si>
    <t>Singapore</t>
  </si>
  <si>
    <t>SKK</t>
  </si>
  <si>
    <t>Sweden</t>
  </si>
  <si>
    <t>SLOVAKIA</t>
  </si>
  <si>
    <t>THB</t>
  </si>
  <si>
    <t>Thailand</t>
  </si>
  <si>
    <t>TRY</t>
  </si>
  <si>
    <t>Turkey</t>
  </si>
  <si>
    <t>TWD</t>
  </si>
  <si>
    <t>Taiwan</t>
  </si>
  <si>
    <t>UAH</t>
  </si>
  <si>
    <t>Ukraine</t>
  </si>
  <si>
    <t>USD</t>
  </si>
  <si>
    <t>USA</t>
  </si>
  <si>
    <t>United States</t>
  </si>
  <si>
    <t>United States of America</t>
  </si>
  <si>
    <t>South Africa</t>
  </si>
  <si>
    <t>Frequency</t>
  </si>
  <si>
    <t>Calendar(s)</t>
  </si>
  <si>
    <t>Rule</t>
  </si>
  <si>
    <t>Backward</t>
  </si>
  <si>
    <t>Test 1: Backward Rule</t>
  </si>
  <si>
    <t>Forward</t>
  </si>
  <si>
    <t>Test 2: Forward Rule</t>
  </si>
  <si>
    <t>Test 2: IMM Rule</t>
  </si>
  <si>
    <t>IMM</t>
  </si>
  <si>
    <t>Mathematics</t>
  </si>
  <si>
    <t>d.Math_Interpolate</t>
  </si>
  <si>
    <t>Test 1: Linear Interpolation</t>
  </si>
  <si>
    <t>X Column</t>
  </si>
  <si>
    <t>Y Column</t>
  </si>
  <si>
    <t>Xi Value</t>
  </si>
  <si>
    <t>Test 2: Exponential Interpolation</t>
  </si>
  <si>
    <t>EXP(Y Column)</t>
  </si>
  <si>
    <t>Test 3: Exponential Interpolation on EXP(Y) = EXP(Linear Interpolation on Y)</t>
  </si>
  <si>
    <t>Test 4: Flat Interpolation</t>
  </si>
  <si>
    <t>#∂Excel Error: Row dimensions do not match or there is more than one column in x or y.</t>
  </si>
  <si>
    <t>Test 5: Invalid Row Dimensions</t>
  </si>
  <si>
    <t>Test 5: Invalid Interpolation Method</t>
  </si>
  <si>
    <t>#∂Excel Error: Invalid method of interpolation specified.</t>
  </si>
  <si>
    <t>Y</t>
  </si>
  <si>
    <t>X</t>
  </si>
  <si>
    <t>Y Values</t>
  </si>
  <si>
    <t>X Values</t>
  </si>
  <si>
    <t>Interpolate For</t>
  </si>
  <si>
    <t>d.Math_Interpolate2D</t>
  </si>
  <si>
    <t>Test 1: Two-Dimensional Linear Interpolation (Bilinear Interpolation)</t>
  </si>
  <si>
    <t>Test 2: Two-Dimensional Exponential Interpolation</t>
  </si>
  <si>
    <t>Test 3: Two-Dimensional Flat Interpolation</t>
  </si>
  <si>
    <t>Test 4: Extrapolation</t>
  </si>
  <si>
    <t>#∂Excel Error: Extrapolation not supported.</t>
  </si>
  <si>
    <t>Test 6: Invalid Columns</t>
  </si>
  <si>
    <t>Test 7: Invalid Interpolation Method</t>
  </si>
  <si>
    <t>Stats</t>
  </si>
  <si>
    <t>d.Stats_Cholesky</t>
  </si>
  <si>
    <t>d.Stats_CorrelationMatrix</t>
  </si>
  <si>
    <t>d.Stats_NormalRandomNumbers</t>
  </si>
  <si>
    <t>Test 1: Symmetric and Positive-Definite Matrix</t>
  </si>
  <si>
    <t>N x N Matrix</t>
  </si>
  <si>
    <t>#∂Excel Error: Matrix supplied is not square.</t>
  </si>
  <si>
    <t>Test 2: Non-Square Matrix</t>
  </si>
  <si>
    <t>#∂Excel Error: Matrix supplied is not symmetric.</t>
  </si>
  <si>
    <t>#∂Excel Error: Matrix supplied is not positive-definite.</t>
  </si>
  <si>
    <t>Test 3: Non-Symmetric Matrix</t>
  </si>
  <si>
    <t>Test 4: Non Positive-Definite Matrix</t>
  </si>
  <si>
    <t>Test 1: Two Columns of Data</t>
  </si>
  <si>
    <t>Z</t>
  </si>
  <si>
    <t>Test 2: Three Columns of Data</t>
  </si>
  <si>
    <t>Seed</t>
  </si>
  <si>
    <t>Mean</t>
  </si>
  <si>
    <t>Std. Dev.</t>
  </si>
  <si>
    <t>Test 1: Normal Random Numbers for a Given Seed</t>
  </si>
  <si>
    <t>Test 2: Normal Random Numbers for a Blank Seed</t>
  </si>
  <si>
    <t>Test 3: Invalid Seed</t>
  </si>
  <si>
    <t>Not a Number</t>
  </si>
  <si>
    <t>#∂Excel Error: Invalid seed specified.</t>
  </si>
  <si>
    <t>d.Dates_FolDay</t>
  </si>
  <si>
    <t>d.Dates_ModFolDay</t>
  </si>
  <si>
    <t>d.Dates_PrevDay</t>
  </si>
  <si>
    <t>d.Dates_AddTenorToDate</t>
  </si>
  <si>
    <t>d.Dates_GetListOfCalendars</t>
  </si>
  <si>
    <t>d.Dates_GetListOfHolidays</t>
  </si>
  <si>
    <t>d.Dates_GenerateSchedule</t>
  </si>
  <si>
    <t>d.Dates_GetAvailableBusinessDayConventions</t>
  </si>
  <si>
    <t>d.Dates_GetAvailableDayCountConventions</t>
  </si>
  <si>
    <t>&lt;Go To Summary Sheet&gt;</t>
  </si>
  <si>
    <t>Rate Utils</t>
  </si>
  <si>
    <t>d.IR_ConvertInterestRate</t>
  </si>
  <si>
    <t>d.IR_DiscountFactorsToForwardRate</t>
  </si>
  <si>
    <t>Equities</t>
  </si>
  <si>
    <t>Equity Utils</t>
  </si>
  <si>
    <t>d.Equity_BlackScholes</t>
  </si>
  <si>
    <t>d.Equity_Volatility</t>
  </si>
  <si>
    <t>Lambda</t>
  </si>
  <si>
    <t>Valuation Date</t>
  </si>
  <si>
    <t>Maturity Date</t>
  </si>
  <si>
    <r>
      <rPr>
        <b/>
        <sz val="10"/>
        <color theme="4" tint="-0.249977111117893"/>
        <rFont val="Calibri Light"/>
        <family val="2"/>
        <scheme val="minor"/>
      </rPr>
      <t xml:space="preserve">↑ Note: </t>
    </r>
    <r>
      <rPr>
        <i/>
        <sz val="10"/>
        <color theme="4" tint="-0.249977111117893"/>
        <rFont val="Calibri Light"/>
        <family val="2"/>
        <scheme val="minor"/>
      </rPr>
      <t>This value was computed in the now deprecated AQS tooblox.</t>
    </r>
  </si>
  <si>
    <t>RIC</t>
  </si>
  <si>
    <t>Trade Date</t>
  </si>
  <si>
    <t>Universal Close Price</t>
  </si>
  <si>
    <t>Accumulated Volume Unscaled</t>
  </si>
  <si>
    <t>Log returns</t>
  </si>
  <si>
    <t>SPPJ.J</t>
  </si>
  <si>
    <t>AQS Output</t>
  </si>
  <si>
    <r>
      <rPr>
        <b/>
        <sz val="10"/>
        <color theme="4" tint="-0.249977111117893"/>
        <rFont val="Calibri Light"/>
        <family val="2"/>
        <scheme val="minor"/>
      </rPr>
      <t xml:space="preserve">↓ Note: </t>
    </r>
    <r>
      <rPr>
        <i/>
        <sz val="10"/>
        <color theme="4" tint="-0.249977111117893"/>
        <rFont val="Calibri Light"/>
        <family val="2"/>
        <scheme val="minor"/>
      </rPr>
      <t>This value was calculated manually.</t>
    </r>
  </si>
  <si>
    <t>Business Days</t>
  </si>
  <si>
    <t>Workbook Version</t>
  </si>
  <si>
    <t>0.1.0</t>
  </si>
  <si>
    <t>Weighting Style</t>
  </si>
  <si>
    <t>Equal</t>
  </si>
  <si>
    <t>Tested Against ∂Excel Version</t>
  </si>
  <si>
    <t>Installed ∂Excel Version</t>
  </si>
  <si>
    <t>Compatibility Check</t>
  </si>
  <si>
    <t>Test 1: Equally Weighted Volatilities</t>
  </si>
  <si>
    <t>Test 2: Exponentially Weighted Volatilities</t>
  </si>
  <si>
    <t>To complete…</t>
  </si>
  <si>
    <t>ASDF</t>
  </si>
  <si>
    <t>#∂Excel Error: Invalid weighting style: ASDF</t>
  </si>
  <si>
    <t>Test 3: Invalid Weighting Style</t>
  </si>
  <si>
    <t>Test 4: Different Number of Dates and Prices</t>
  </si>
  <si>
    <t>#∂Excel Error: Date array and stock price array have different sizes.</t>
  </si>
  <si>
    <t>Option Type</t>
  </si>
  <si>
    <t>Stock Price</t>
  </si>
  <si>
    <t>Strike Price</t>
  </si>
  <si>
    <t>Time to maturity</t>
  </si>
  <si>
    <t>Intermediate Manual Calculations</t>
  </si>
  <si>
    <r>
      <t>d</t>
    </r>
    <r>
      <rPr>
        <vertAlign val="subscript"/>
        <sz val="10"/>
        <color theme="1"/>
        <rFont val="Calibri Light"/>
        <family val="2"/>
        <scheme val="minor"/>
      </rPr>
      <t>1</t>
    </r>
  </si>
  <si>
    <r>
      <t>d</t>
    </r>
    <r>
      <rPr>
        <vertAlign val="subscript"/>
        <sz val="10"/>
        <color theme="1"/>
        <rFont val="Calibri Light"/>
        <family val="2"/>
        <scheme val="minor"/>
      </rPr>
      <t>2</t>
    </r>
  </si>
  <si>
    <t>Long/Short</t>
  </si>
  <si>
    <t>Test 1: Standard Option</t>
  </si>
  <si>
    <t>CALL</t>
  </si>
  <si>
    <t>LONG</t>
  </si>
  <si>
    <t>EQUAL</t>
  </si>
  <si>
    <t>Test 2: Invalid Option Type</t>
  </si>
  <si>
    <t>#∂Excel Error: Invalid option type: ASDF</t>
  </si>
  <si>
    <t>Dividend Yield (NACC)</t>
  </si>
  <si>
    <t>Rate (NACC)</t>
  </si>
  <si>
    <t>Test 3: Invalid LONG/SHORT POSITION</t>
  </si>
  <si>
    <t>#∂Excel Error: Invalid 'long'/'short' direction: ASDF</t>
  </si>
  <si>
    <t>Old</t>
  </si>
  <si>
    <t>New</t>
  </si>
  <si>
    <r>
      <rPr>
        <b/>
        <sz val="10"/>
        <color theme="8"/>
        <rFont val="Calibri Light"/>
        <family val="2"/>
        <scheme val="minor"/>
      </rPr>
      <t xml:space="preserve">*Note: </t>
    </r>
    <r>
      <rPr>
        <i/>
        <sz val="10"/>
        <color theme="8"/>
        <rFont val="Calibri Light"/>
        <family val="2"/>
        <scheme val="minor"/>
      </rPr>
      <t>These values were calculated using the deprecated AQS toolbox.</t>
    </r>
  </si>
  <si>
    <t>NACP</t>
  </si>
  <si>
    <t>Test 2: Invalid Old Compounding Convention</t>
  </si>
  <si>
    <t>Old Compounding Convention</t>
  </si>
  <si>
    <t>New Compounding Convention</t>
  </si>
  <si>
    <t>#∂Excel Error: Invalid new compounding convention: NACP</t>
  </si>
  <si>
    <t>#∂Excel Error: Invalid old compounding convention: NACP</t>
  </si>
  <si>
    <t>Test 3: Invalid Old Compounding Convention</t>
  </si>
  <si>
    <t>Near Discount Factor</t>
  </si>
  <si>
    <t>Far Discount Factor</t>
  </si>
  <si>
    <r>
      <rPr>
        <sz val="10"/>
        <color theme="1"/>
        <rFont val="Calibri Light"/>
        <family val="2"/>
      </rPr>
      <t>Δ</t>
    </r>
    <r>
      <rPr>
        <sz val="10"/>
        <color theme="1"/>
        <rFont val="Calibri Light"/>
        <family val="2"/>
        <scheme val="minor"/>
      </rPr>
      <t>t</t>
    </r>
  </si>
  <si>
    <t>Test 2: Invalid Compounding Convention</t>
  </si>
  <si>
    <t>Compounding Convention</t>
  </si>
  <si>
    <t>#∂Excel Error: Invalid compounding convention: NACP</t>
  </si>
  <si>
    <t>Workbook Testing Results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</si>
  <si>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White rows are anchor dates, light grey rows are interpolated dates.</t>
    </r>
  </si>
  <si>
    <t>d.Curve_Create</t>
  </si>
  <si>
    <r>
      <rPr>
        <b/>
        <sz val="11"/>
        <color theme="8"/>
        <rFont val="Calibri Light"/>
        <family val="2"/>
        <scheme val="minor"/>
      </rPr>
      <t xml:space="preserve">← *Note: </t>
    </r>
    <r>
      <rPr>
        <i/>
        <sz val="11"/>
        <color theme="8"/>
        <rFont val="Calibri Light"/>
        <family val="2"/>
        <scheme val="minor"/>
      </rPr>
      <t>Still under development</t>
    </r>
    <r>
      <rPr>
        <sz val="11"/>
        <color theme="8"/>
        <rFont val="Calibri Light"/>
        <family val="2"/>
        <scheme val="minor"/>
      </rPr>
      <t>.</t>
    </r>
  </si>
  <si>
    <t>Test 1: Discount Factors</t>
  </si>
  <si>
    <t>#∂Excel Error: Invalid compounding convention 'NACP'.</t>
  </si>
  <si>
    <t>d.Curve_GetZeroRates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</si>
</sst>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3" formatCode="_-* #,##0.00_-;\-* #,##0.00_-;_-* &quot;-&quot;??_-;_-@_-"/>
    <numFmt numFmtId="164" formatCode="0.0000"/>
    <numFmt numFmtId="165" formatCode="0.0000000000000000"/>
    <numFmt numFmtId="166" formatCode="yyyy\-mm\-dd;@"/>
    <numFmt numFmtId="167" formatCode="#,##0.000000"/>
    <numFmt numFmtId="168" formatCode="#,##0.000000000"/>
    <numFmt numFmtId="169" formatCode="0.0000%"/>
    <numFmt numFmtId="170" formatCode="[$€-2]#,##0.00"/>
    <numFmt numFmtId="171" formatCode="[$£-809]#,##0.00"/>
    <numFmt numFmtId="172" formatCode="[$₽-419]#,##0.00"/>
    <numFmt numFmtId="173" formatCode="[$R-1C09]#,##0.00"/>
    <numFmt numFmtId="174" formatCode="#,##0.0000000"/>
    <numFmt numFmtId="175" formatCode="#,##0.0000000000"/>
    <numFmt numFmtId="176" formatCode="#,##0.00000000"/>
    <numFmt numFmtId="177" formatCode="0.00000000000"/>
    <numFmt numFmtId="178" formatCode="0.000000000000"/>
    <numFmt numFmtId="179" formatCode="#,##0.00000000000"/>
    <numFmt numFmtId="180" formatCode="#,##0.00000"/>
    <numFmt numFmtId="181" formatCode="0.000%"/>
    <numFmt numFmtId="182" formatCode="0.000000%"/>
  </numFmts>
  <fonts count="58" x14ac:knownFonts="1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0"/>
      <color rgb="FF000000"/>
      <name val="Calibri Light"/>
      <family val="2"/>
    </font>
    <font>
      <b/>
      <sz val="14"/>
      <color theme="4" tint="-0.249977111117893"/>
      <name val="Calibri Light"/>
      <family val="2"/>
      <scheme val="minor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b/>
      <sz val="10"/>
      <color theme="0"/>
      <name val="Calibri Light"/>
      <family val="2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  <font>
      <b/>
      <i/>
      <sz val="11"/>
      <color rgb="FFFFC000"/>
      <name val="Calibri Light"/>
      <family val="2"/>
      <scheme val="minor"/>
    </font>
    <font>
      <b/>
      <sz val="10"/>
      <name val="Calibri Light"/>
      <family val="2"/>
      <scheme val="minor"/>
    </font>
    <font>
      <b/>
      <sz val="10"/>
      <color theme="4" tint="-0.24994659260841701"/>
      <name val="Calibri Light"/>
      <family val="2"/>
      <scheme val="minor"/>
    </font>
    <font>
      <u/>
      <sz val="10"/>
      <color theme="8" tint="-0.24994659260841701"/>
      <name val="Calibri"/>
      <family val="2"/>
    </font>
    <font>
      <u/>
      <sz val="10"/>
      <color theme="8" tint="-0.24994659260841701"/>
      <name val="Calibri Light"/>
      <family val="2"/>
    </font>
    <font>
      <sz val="11"/>
      <color theme="1"/>
      <name val="Calibri Light"/>
      <family val="2"/>
      <scheme val="minor"/>
    </font>
    <font>
      <sz val="10"/>
      <name val="Arial"/>
      <family val="2"/>
    </font>
    <font>
      <sz val="10"/>
      <name val="Calibri Light"/>
      <family val="2"/>
      <scheme val="minor"/>
    </font>
    <font>
      <sz val="10"/>
      <color theme="4" tint="-0.249977111117893"/>
      <name val="Calibri Light"/>
      <family val="2"/>
      <scheme val="minor"/>
    </font>
    <font>
      <b/>
      <sz val="10"/>
      <color theme="4" tint="-0.249977111117893"/>
      <name val="Calibri Light"/>
      <family val="2"/>
      <scheme val="minor"/>
    </font>
    <font>
      <i/>
      <sz val="10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b/>
      <i/>
      <sz val="11"/>
      <color theme="8"/>
      <name val="Calibri Light"/>
      <family val="2"/>
      <scheme val="minor"/>
    </font>
    <font>
      <vertAlign val="subscript"/>
      <sz val="10"/>
      <color theme="1"/>
      <name val="Calibri Light"/>
      <family val="2"/>
      <scheme val="minor"/>
    </font>
    <font>
      <b/>
      <sz val="10"/>
      <color theme="1"/>
      <name val="Calibri Light"/>
      <family val="2"/>
      <scheme val="minor"/>
    </font>
    <font>
      <sz val="10"/>
      <color theme="8"/>
      <name val="Calibri Light"/>
      <family val="2"/>
      <scheme val="minor"/>
    </font>
    <font>
      <b/>
      <sz val="10"/>
      <color theme="8"/>
      <name val="Calibri Light"/>
      <family val="2"/>
      <scheme val="minor"/>
    </font>
    <font>
      <i/>
      <sz val="10"/>
      <color theme="8"/>
      <name val="Calibri Light"/>
      <family val="2"/>
      <scheme val="minor"/>
    </font>
    <font>
      <sz val="14"/>
      <color theme="1"/>
      <name val="Calibri Light"/>
      <family val="2"/>
      <scheme val="minor"/>
    </font>
    <font>
      <i/>
      <sz val="11"/>
      <color theme="8"/>
      <name val="Calibri Light"/>
      <family val="2"/>
      <scheme val="minor"/>
    </font>
    <font>
      <sz val="11"/>
      <color theme="8"/>
      <name val="Calibri Light"/>
      <family val="2"/>
      <scheme val="minor"/>
    </font>
    <font>
      <b/>
      <sz val="11"/>
      <color theme="8"/>
      <name val="Calibri Light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142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2499465926084170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hair">
        <color indexed="64"/>
      </bottom>
      <diagonal/>
    </border>
    <border>
      <left style="thin">
        <color rgb="FF000000"/>
      </left>
      <right/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thin">
        <color indexed="64"/>
      </right>
      <top/>
      <bottom style="thin">
        <color indexed="64"/>
      </bottom>
      <diagonal/>
    </border>
    <border>
      <left style="hair">
        <color rgb="FF000000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9">
    <xf numFmtId="0" fontId="0" fillId="0" borderId="0"/>
    <xf numFmtId="0" fontId="17" fillId="0" borderId="1" applyNumberFormat="0" applyFill="0" applyAlignment="0" applyProtection="0"/>
    <xf numFmtId="0" fontId="33" fillId="0" borderId="90" applyNumberFormat="0" applyFill="0" applyAlignment="0" applyProtection="0"/>
    <xf numFmtId="0" fontId="34" fillId="0" borderId="91" applyNumberFormat="0" applyFill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2" fillId="0" borderId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</cellStyleXfs>
  <cellXfs count="588">
    <xf numFmtId="0" fontId="0" fillId="0" borderId="0" xfId="0"/>
    <xf numFmtId="14" fontId="0" fillId="0" borderId="0" xfId="0" applyNumberFormat="1"/>
    <xf numFmtId="0" fontId="17" fillId="0" borderId="1" xfId="1"/>
    <xf numFmtId="0" fontId="33" fillId="0" borderId="90" xfId="2"/>
    <xf numFmtId="0" fontId="34" fillId="0" borderId="91" xfId="3"/>
    <xf numFmtId="164" fontId="0" fillId="0" borderId="0" xfId="0" applyNumberFormat="1"/>
    <xf numFmtId="165" fontId="0" fillId="0" borderId="0" xfId="0" applyNumberFormat="1"/>
    <xf numFmtId="0" fontId="18" fillId="2" borderId="0" xfId="0" applyFont="1" applyFill="1"/>
    <xf numFmtId="166" fontId="0" fillId="0" borderId="0" xfId="0" applyNumberFormat="1"/>
    <xf numFmtId="4" fontId="0" fillId="0" borderId="0" xfId="0" applyNumberFormat="1"/>
    <xf numFmtId="0" fontId="0" fillId="0" borderId="0" xfId="0" quotePrefix="1"/>
    <xf numFmtId="166" fontId="0" fillId="0" borderId="0" xfId="0" quotePrefix="1" applyNumberFormat="1"/>
    <xf numFmtId="0" fontId="20" fillId="3" borderId="4" xfId="0" applyFont="1" applyFill="1" applyBorder="1" applyAlignment="1">
      <alignment horizontal="centerContinuous" vertical="center"/>
    </xf>
    <xf numFmtId="0" fontId="20" fillId="3" borderId="5" xfId="0" applyFont="1" applyFill="1" applyBorder="1" applyAlignment="1">
      <alignment horizontal="centerContinuous" vertical="center"/>
    </xf>
    <xf numFmtId="4" fontId="19" fillId="0" borderId="9" xfId="0" applyNumberFormat="1" applyFont="1" applyBorder="1" applyAlignment="1">
      <alignment horizontal="right" vertical="center"/>
    </xf>
    <xf numFmtId="4" fontId="19" fillId="0" borderId="11" xfId="0" applyNumberFormat="1" applyFont="1" applyBorder="1" applyAlignment="1">
      <alignment horizontal="right" vertical="center"/>
    </xf>
    <xf numFmtId="4" fontId="19" fillId="0" borderId="13" xfId="0" applyNumberFormat="1" applyFont="1" applyBorder="1" applyAlignment="1">
      <alignment horizontal="right" vertical="center"/>
    </xf>
    <xf numFmtId="166" fontId="19" fillId="0" borderId="9" xfId="0" applyNumberFormat="1" applyFont="1" applyBorder="1" applyAlignment="1">
      <alignment horizontal="right" vertical="center"/>
    </xf>
    <xf numFmtId="166" fontId="19" fillId="0" borderId="11" xfId="0" applyNumberFormat="1" applyFont="1" applyBorder="1" applyAlignment="1">
      <alignment horizontal="right" vertical="center"/>
    </xf>
    <xf numFmtId="166" fontId="19" fillId="0" borderId="13" xfId="0" applyNumberFormat="1" applyFont="1" applyBorder="1" applyAlignment="1">
      <alignment horizontal="right" vertical="center"/>
    </xf>
    <xf numFmtId="167" fontId="19" fillId="0" borderId="10" xfId="0" applyNumberFormat="1" applyFont="1" applyBorder="1" applyAlignment="1">
      <alignment horizontal="right" vertical="center"/>
    </xf>
    <xf numFmtId="167" fontId="19" fillId="0" borderId="12" xfId="0" applyNumberFormat="1" applyFont="1" applyBorder="1" applyAlignment="1">
      <alignment horizontal="right" vertical="center"/>
    </xf>
    <xf numFmtId="167" fontId="19" fillId="0" borderId="14" xfId="0" applyNumberFormat="1" applyFont="1" applyBorder="1" applyAlignment="1">
      <alignment horizontal="right" vertical="center"/>
    </xf>
    <xf numFmtId="0" fontId="20" fillId="3" borderId="7" xfId="0" applyFont="1" applyFill="1" applyBorder="1" applyAlignment="1">
      <alignment horizontal="centerContinuous" vertical="center"/>
    </xf>
    <xf numFmtId="0" fontId="20" fillId="3" borderId="8" xfId="0" applyFont="1" applyFill="1" applyBorder="1" applyAlignment="1">
      <alignment horizontal="centerContinuous" vertical="center"/>
    </xf>
    <xf numFmtId="0" fontId="0" fillId="0" borderId="3" xfId="0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20" fillId="3" borderId="6" xfId="0" applyFont="1" applyFill="1" applyBorder="1" applyAlignment="1">
      <alignment horizontal="centerContinuous" vertical="center"/>
    </xf>
    <xf numFmtId="4" fontId="19" fillId="0" borderId="15" xfId="0" applyNumberFormat="1" applyFont="1" applyBorder="1" applyAlignment="1">
      <alignment horizontal="right" vertical="center"/>
    </xf>
    <xf numFmtId="4" fontId="19" fillId="0" borderId="16" xfId="0" applyNumberFormat="1" applyFont="1" applyBorder="1" applyAlignment="1">
      <alignment horizontal="right" vertical="center"/>
    </xf>
    <xf numFmtId="4" fontId="19" fillId="0" borderId="17" xfId="0" applyNumberFormat="1" applyFont="1" applyBorder="1" applyAlignment="1">
      <alignment horizontal="right" vertical="center"/>
    </xf>
    <xf numFmtId="10" fontId="19" fillId="0" borderId="15" xfId="0" applyNumberFormat="1" applyFont="1" applyBorder="1" applyAlignment="1">
      <alignment horizontal="right" vertical="center"/>
    </xf>
    <xf numFmtId="10" fontId="19" fillId="0" borderId="16" xfId="0" applyNumberFormat="1" applyFont="1" applyBorder="1" applyAlignment="1">
      <alignment horizontal="right" vertical="center"/>
    </xf>
    <xf numFmtId="10" fontId="19" fillId="0" borderId="17" xfId="0" applyNumberFormat="1" applyFont="1" applyBorder="1" applyAlignment="1">
      <alignment horizontal="right" vertical="center"/>
    </xf>
    <xf numFmtId="10" fontId="19" fillId="0" borderId="10" xfId="0" applyNumberFormat="1" applyFont="1" applyBorder="1" applyAlignment="1">
      <alignment horizontal="right" vertical="center"/>
    </xf>
    <xf numFmtId="10" fontId="19" fillId="0" borderId="12" xfId="0" applyNumberFormat="1" applyFont="1" applyBorder="1" applyAlignment="1">
      <alignment horizontal="right" vertical="center"/>
    </xf>
    <xf numFmtId="10" fontId="19" fillId="0" borderId="14" xfId="0" applyNumberFormat="1" applyFont="1" applyBorder="1" applyAlignment="1">
      <alignment horizontal="right" vertical="center"/>
    </xf>
    <xf numFmtId="0" fontId="20" fillId="3" borderId="18" xfId="0" applyFont="1" applyFill="1" applyBorder="1" applyAlignment="1">
      <alignment horizontal="centerContinuous" vertical="center"/>
    </xf>
    <xf numFmtId="0" fontId="20" fillId="3" borderId="19" xfId="0" applyFont="1" applyFill="1" applyBorder="1" applyAlignment="1">
      <alignment horizontal="centerContinuous" vertical="center"/>
    </xf>
    <xf numFmtId="0" fontId="0" fillId="0" borderId="3" xfId="0" applyBorder="1"/>
    <xf numFmtId="0" fontId="0" fillId="0" borderId="2" xfId="0" applyBorder="1"/>
    <xf numFmtId="0" fontId="20" fillId="3" borderId="0" xfId="0" applyFont="1" applyFill="1" applyBorder="1" applyAlignment="1">
      <alignment horizontal="centerContinuous" vertical="center"/>
    </xf>
    <xf numFmtId="0" fontId="19" fillId="0" borderId="0" xfId="0" applyFont="1"/>
    <xf numFmtId="0" fontId="20" fillId="4" borderId="20" xfId="0" applyFont="1" applyFill="1" applyBorder="1" applyAlignment="1">
      <alignment horizontal="center" vertical="center"/>
    </xf>
    <xf numFmtId="0" fontId="20" fillId="4" borderId="21" xfId="0" applyFont="1" applyFill="1" applyBorder="1" applyAlignment="1">
      <alignment horizontal="center" vertical="center"/>
    </xf>
    <xf numFmtId="0" fontId="20" fillId="4" borderId="22" xfId="0" applyFont="1" applyFill="1" applyBorder="1" applyAlignment="1">
      <alignment horizontal="center" vertical="center"/>
    </xf>
    <xf numFmtId="166" fontId="19" fillId="0" borderId="0" xfId="0" applyNumberFormat="1" applyFont="1"/>
    <xf numFmtId="0" fontId="21" fillId="2" borderId="0" xfId="0" applyFont="1" applyFill="1" applyAlignment="1">
      <alignment horizontal="centerContinuous"/>
    </xf>
    <xf numFmtId="168" fontId="0" fillId="0" borderId="0" xfId="0" applyNumberFormat="1"/>
    <xf numFmtId="169" fontId="0" fillId="0" borderId="0" xfId="0" applyNumberFormat="1"/>
    <xf numFmtId="0" fontId="0" fillId="0" borderId="23" xfId="0" applyFont="1" applyBorder="1" applyAlignment="1">
      <alignment horizontal="centerContinuous"/>
    </xf>
    <xf numFmtId="0" fontId="0" fillId="0" borderId="24" xfId="0" applyFont="1" applyBorder="1" applyAlignment="1">
      <alignment horizontal="centerContinuous"/>
    </xf>
    <xf numFmtId="0" fontId="0" fillId="0" borderId="25" xfId="0" applyFont="1" applyBorder="1" applyAlignment="1">
      <alignment horizontal="centerContinuous"/>
    </xf>
    <xf numFmtId="0" fontId="0" fillId="0" borderId="26" xfId="0" applyFont="1" applyBorder="1" applyAlignment="1">
      <alignment horizontal="centerContinuous"/>
    </xf>
    <xf numFmtId="166" fontId="19" fillId="0" borderId="0" xfId="0" applyNumberFormat="1" applyFont="1" applyAlignment="1">
      <alignment horizontal="right"/>
    </xf>
    <xf numFmtId="0" fontId="19" fillId="0" borderId="0" xfId="0" applyFont="1" applyFill="1" applyBorder="1"/>
    <xf numFmtId="167" fontId="19" fillId="0" borderId="15" xfId="0" applyNumberFormat="1" applyFont="1" applyBorder="1" applyAlignment="1">
      <alignment horizontal="right" vertical="center"/>
    </xf>
    <xf numFmtId="167" fontId="19" fillId="0" borderId="16" xfId="0" applyNumberFormat="1" applyFont="1" applyBorder="1" applyAlignment="1">
      <alignment horizontal="right" vertical="center"/>
    </xf>
    <xf numFmtId="0" fontId="20" fillId="3" borderId="27" xfId="0" applyFont="1" applyFill="1" applyBorder="1" applyAlignment="1">
      <alignment horizontal="centerContinuous" vertical="center"/>
    </xf>
    <xf numFmtId="0" fontId="20" fillId="3" borderId="28" xfId="0" applyFont="1" applyFill="1" applyBorder="1" applyAlignment="1">
      <alignment horizontal="centerContinuous" vertical="center"/>
    </xf>
    <xf numFmtId="0" fontId="20" fillId="4" borderId="29" xfId="0" applyFont="1" applyFill="1" applyBorder="1" applyAlignment="1">
      <alignment horizontal="center" vertical="center"/>
    </xf>
    <xf numFmtId="0" fontId="20" fillId="4" borderId="30" xfId="0" applyFont="1" applyFill="1" applyBorder="1" applyAlignment="1">
      <alignment horizontal="center" vertical="center"/>
    </xf>
    <xf numFmtId="4" fontId="19" fillId="0" borderId="0" xfId="0" applyNumberFormat="1" applyFont="1"/>
    <xf numFmtId="0" fontId="20" fillId="4" borderId="31" xfId="0" applyFont="1" applyFill="1" applyBorder="1" applyAlignment="1">
      <alignment horizontal="center" vertical="center"/>
    </xf>
    <xf numFmtId="0" fontId="0" fillId="0" borderId="0" xfId="0" applyBorder="1"/>
    <xf numFmtId="0" fontId="22" fillId="0" borderId="3" xfId="0" applyFont="1" applyBorder="1" applyAlignment="1">
      <alignment horizontal="centerContinuous"/>
    </xf>
    <xf numFmtId="0" fontId="21" fillId="2" borderId="0" xfId="0" applyFont="1" applyFill="1" applyAlignment="1">
      <alignment horizontal="centerContinuous" vertical="center"/>
    </xf>
    <xf numFmtId="0" fontId="24" fillId="0" borderId="0" xfId="0" applyFont="1"/>
    <xf numFmtId="0" fontId="25" fillId="0" borderId="0" xfId="0" applyFont="1"/>
    <xf numFmtId="4" fontId="19" fillId="0" borderId="10" xfId="0" applyNumberFormat="1" applyFont="1" applyBorder="1" applyAlignment="1">
      <alignment horizontal="right" vertical="center"/>
    </xf>
    <xf numFmtId="4" fontId="19" fillId="0" borderId="12" xfId="0" applyNumberFormat="1" applyFont="1" applyBorder="1" applyAlignment="1">
      <alignment horizontal="right" vertical="center"/>
    </xf>
    <xf numFmtId="4" fontId="19" fillId="0" borderId="14" xfId="0" applyNumberFormat="1" applyFont="1" applyBorder="1" applyAlignment="1">
      <alignment horizontal="right" vertical="center"/>
    </xf>
    <xf numFmtId="0" fontId="20" fillId="4" borderId="32" xfId="0" applyFont="1" applyFill="1" applyBorder="1" applyAlignment="1">
      <alignment horizontal="center" vertical="center"/>
    </xf>
    <xf numFmtId="0" fontId="20" fillId="4" borderId="33" xfId="0" applyFont="1" applyFill="1" applyBorder="1" applyAlignment="1">
      <alignment horizontal="center" vertical="center"/>
    </xf>
    <xf numFmtId="0" fontId="20" fillId="4" borderId="34" xfId="0" applyFont="1" applyFill="1" applyBorder="1" applyAlignment="1">
      <alignment horizontal="center" vertical="center"/>
    </xf>
    <xf numFmtId="0" fontId="0" fillId="0" borderId="25" xfId="0" applyBorder="1"/>
    <xf numFmtId="0" fontId="17" fillId="0" borderId="1" xfId="1" applyFont="1"/>
    <xf numFmtId="0" fontId="27" fillId="0" borderId="25" xfId="0" applyFont="1" applyBorder="1"/>
    <xf numFmtId="9" fontId="19" fillId="0" borderId="38" xfId="0" applyNumberFormat="1" applyFont="1" applyBorder="1" applyAlignment="1">
      <alignment horizontal="right"/>
    </xf>
    <xf numFmtId="9" fontId="19" fillId="0" borderId="40" xfId="0" applyNumberFormat="1" applyFont="1" applyBorder="1" applyAlignment="1">
      <alignment horizontal="right"/>
    </xf>
    <xf numFmtId="166" fontId="19" fillId="0" borderId="35" xfId="0" applyNumberFormat="1" applyFont="1" applyBorder="1"/>
    <xf numFmtId="166" fontId="19" fillId="0" borderId="37" xfId="0" applyNumberFormat="1" applyFont="1" applyBorder="1"/>
    <xf numFmtId="166" fontId="19" fillId="0" borderId="41" xfId="0" applyNumberFormat="1" applyFont="1" applyBorder="1"/>
    <xf numFmtId="166" fontId="19" fillId="0" borderId="42" xfId="0" applyNumberFormat="1" applyFont="1" applyBorder="1"/>
    <xf numFmtId="0" fontId="0" fillId="0" borderId="42" xfId="0" applyBorder="1"/>
    <xf numFmtId="9" fontId="19" fillId="0" borderId="42" xfId="0" applyNumberFormat="1" applyFont="1" applyBorder="1" applyAlignment="1">
      <alignment horizontal="right"/>
    </xf>
    <xf numFmtId="9" fontId="19" fillId="0" borderId="43" xfId="0" applyNumberFormat="1" applyFont="1" applyBorder="1" applyAlignment="1">
      <alignment horizontal="right"/>
    </xf>
    <xf numFmtId="0" fontId="28" fillId="5" borderId="0" xfId="0" applyFont="1" applyFill="1" applyBorder="1" applyAlignment="1">
      <alignment horizontal="left" vertical="center"/>
    </xf>
    <xf numFmtId="0" fontId="25" fillId="0" borderId="27" xfId="0" applyFont="1" applyBorder="1"/>
    <xf numFmtId="0" fontId="0" fillId="0" borderId="28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25" fillId="0" borderId="48" xfId="0" applyFont="1" applyBorder="1"/>
    <xf numFmtId="0" fontId="0" fillId="0" borderId="49" xfId="0" applyBorder="1"/>
    <xf numFmtId="4" fontId="28" fillId="5" borderId="0" xfId="0" applyNumberFormat="1" applyFont="1" applyFill="1" applyBorder="1" applyAlignment="1">
      <alignment horizontal="left" vertical="center"/>
    </xf>
    <xf numFmtId="0" fontId="20" fillId="4" borderId="50" xfId="0" applyFont="1" applyFill="1" applyBorder="1" applyAlignment="1">
      <alignment horizontal="center" vertical="center"/>
    </xf>
    <xf numFmtId="0" fontId="20" fillId="4" borderId="51" xfId="0" applyFont="1" applyFill="1" applyBorder="1" applyAlignment="1">
      <alignment horizontal="center" vertical="center"/>
    </xf>
    <xf numFmtId="0" fontId="20" fillId="4" borderId="52" xfId="0" applyFont="1" applyFill="1" applyBorder="1" applyAlignment="1">
      <alignment horizontal="center" vertical="center"/>
    </xf>
    <xf numFmtId="166" fontId="19" fillId="0" borderId="36" xfId="0" applyNumberFormat="1" applyFont="1" applyBorder="1"/>
    <xf numFmtId="166" fontId="19" fillId="0" borderId="38" xfId="0" applyNumberFormat="1" applyFont="1" applyBorder="1"/>
    <xf numFmtId="0" fontId="0" fillId="0" borderId="37" xfId="0" applyBorder="1"/>
    <xf numFmtId="0" fontId="0" fillId="0" borderId="38" xfId="0" applyBorder="1"/>
    <xf numFmtId="9" fontId="19" fillId="0" borderId="37" xfId="0" applyNumberFormat="1" applyFont="1" applyBorder="1" applyAlignment="1">
      <alignment horizontal="right"/>
    </xf>
    <xf numFmtId="9" fontId="19" fillId="0" borderId="39" xfId="0" applyNumberFormat="1" applyFont="1" applyBorder="1" applyAlignment="1">
      <alignment horizontal="right"/>
    </xf>
    <xf numFmtId="170" fontId="29" fillId="0" borderId="15" xfId="0" applyNumberFormat="1" applyFont="1" applyBorder="1" applyAlignment="1">
      <alignment horizontal="right" vertical="center"/>
    </xf>
    <xf numFmtId="170" fontId="29" fillId="0" borderId="16" xfId="0" applyNumberFormat="1" applyFont="1" applyBorder="1" applyAlignment="1">
      <alignment horizontal="right" vertical="center"/>
    </xf>
    <xf numFmtId="170" fontId="29" fillId="0" borderId="17" xfId="0" applyNumberFormat="1" applyFont="1" applyBorder="1" applyAlignment="1">
      <alignment horizontal="right" vertical="center"/>
    </xf>
    <xf numFmtId="171" fontId="29" fillId="0" borderId="15" xfId="0" applyNumberFormat="1" applyFont="1" applyBorder="1" applyAlignment="1">
      <alignment horizontal="right" vertical="center"/>
    </xf>
    <xf numFmtId="171" fontId="29" fillId="0" borderId="16" xfId="0" applyNumberFormat="1" applyFont="1" applyBorder="1" applyAlignment="1">
      <alignment horizontal="right" vertical="center"/>
    </xf>
    <xf numFmtId="171" fontId="29" fillId="0" borderId="17" xfId="0" applyNumberFormat="1" applyFont="1" applyBorder="1" applyAlignment="1">
      <alignment horizontal="right" vertical="center"/>
    </xf>
    <xf numFmtId="172" fontId="29" fillId="0" borderId="15" xfId="0" applyNumberFormat="1" applyFont="1" applyBorder="1" applyAlignment="1">
      <alignment horizontal="right" vertical="center"/>
    </xf>
    <xf numFmtId="172" fontId="29" fillId="0" borderId="16" xfId="0" applyNumberFormat="1" applyFont="1" applyBorder="1" applyAlignment="1">
      <alignment horizontal="right" vertical="center"/>
    </xf>
    <xf numFmtId="172" fontId="29" fillId="0" borderId="17" xfId="0" applyNumberFormat="1" applyFont="1" applyBorder="1" applyAlignment="1">
      <alignment horizontal="right" vertical="center"/>
    </xf>
    <xf numFmtId="173" fontId="29" fillId="0" borderId="15" xfId="0" applyNumberFormat="1" applyFont="1" applyBorder="1" applyAlignment="1">
      <alignment horizontal="right" vertical="center"/>
    </xf>
    <xf numFmtId="173" fontId="29" fillId="0" borderId="16" xfId="0" applyNumberFormat="1" applyFont="1" applyBorder="1" applyAlignment="1">
      <alignment horizontal="right" vertical="center"/>
    </xf>
    <xf numFmtId="173" fontId="29" fillId="0" borderId="17" xfId="0" applyNumberFormat="1" applyFont="1" applyBorder="1" applyAlignment="1">
      <alignment horizontal="right" vertical="center"/>
    </xf>
    <xf numFmtId="10" fontId="16" fillId="0" borderId="15" xfId="0" applyNumberFormat="1" applyFont="1" applyBorder="1" applyAlignment="1">
      <alignment horizontal="right" vertical="center"/>
    </xf>
    <xf numFmtId="10" fontId="16" fillId="0" borderId="16" xfId="0" applyNumberFormat="1" applyFont="1" applyBorder="1" applyAlignment="1">
      <alignment horizontal="right" vertical="center"/>
    </xf>
    <xf numFmtId="10" fontId="16" fillId="0" borderId="17" xfId="0" applyNumberFormat="1" applyFont="1" applyBorder="1" applyAlignment="1">
      <alignment horizontal="right" vertical="center"/>
    </xf>
    <xf numFmtId="10" fontId="16" fillId="0" borderId="10" xfId="0" applyNumberFormat="1" applyFont="1" applyBorder="1" applyAlignment="1">
      <alignment horizontal="right" vertical="center"/>
    </xf>
    <xf numFmtId="10" fontId="16" fillId="0" borderId="12" xfId="0" applyNumberFormat="1" applyFont="1" applyBorder="1" applyAlignment="1">
      <alignment horizontal="right" vertical="center"/>
    </xf>
    <xf numFmtId="10" fontId="16" fillId="0" borderId="14" xfId="0" applyNumberFormat="1" applyFont="1" applyBorder="1" applyAlignment="1">
      <alignment horizontal="right" vertical="center"/>
    </xf>
    <xf numFmtId="166" fontId="16" fillId="0" borderId="9" xfId="0" applyNumberFormat="1" applyFont="1" applyBorder="1" applyAlignment="1">
      <alignment horizontal="right" vertical="center"/>
    </xf>
    <xf numFmtId="166" fontId="16" fillId="0" borderId="11" xfId="0" applyNumberFormat="1" applyFont="1" applyBorder="1" applyAlignment="1">
      <alignment horizontal="right" vertical="center"/>
    </xf>
    <xf numFmtId="166" fontId="16" fillId="0" borderId="13" xfId="0" applyNumberFormat="1" applyFont="1" applyBorder="1" applyAlignment="1">
      <alignment horizontal="right" vertical="center"/>
    </xf>
    <xf numFmtId="166" fontId="16" fillId="0" borderId="15" xfId="0" applyNumberFormat="1" applyFont="1" applyBorder="1" applyAlignment="1">
      <alignment horizontal="right" vertical="center"/>
    </xf>
    <xf numFmtId="166" fontId="16" fillId="0" borderId="16" xfId="0" applyNumberFormat="1" applyFont="1" applyBorder="1" applyAlignment="1">
      <alignment horizontal="right" vertical="center"/>
    </xf>
    <xf numFmtId="166" fontId="16" fillId="0" borderId="17" xfId="0" applyNumberFormat="1" applyFont="1" applyBorder="1" applyAlignment="1">
      <alignment horizontal="right" vertical="center"/>
    </xf>
    <xf numFmtId="4" fontId="28" fillId="5" borderId="0" xfId="0" applyNumberFormat="1" applyFont="1" applyFill="1" applyBorder="1" applyAlignment="1">
      <alignment vertical="center"/>
    </xf>
    <xf numFmtId="3" fontId="28" fillId="5" borderId="0" xfId="0" applyNumberFormat="1" applyFont="1" applyFill="1" applyBorder="1" applyAlignment="1">
      <alignment vertical="center"/>
    </xf>
    <xf numFmtId="0" fontId="30" fillId="4" borderId="32" xfId="0" applyFont="1" applyFill="1" applyBorder="1" applyAlignment="1">
      <alignment horizontal="center" vertical="center"/>
    </xf>
    <xf numFmtId="0" fontId="30" fillId="4" borderId="34" xfId="0" applyFont="1" applyFill="1" applyBorder="1" applyAlignment="1">
      <alignment horizontal="center" vertical="center"/>
    </xf>
    <xf numFmtId="0" fontId="30" fillId="3" borderId="4" xfId="0" applyFont="1" applyFill="1" applyBorder="1" applyAlignment="1">
      <alignment horizontal="centerContinuous" vertical="center"/>
    </xf>
    <xf numFmtId="0" fontId="30" fillId="3" borderId="5" xfId="0" applyFont="1" applyFill="1" applyBorder="1" applyAlignment="1">
      <alignment horizontal="centerContinuous" vertical="center"/>
    </xf>
    <xf numFmtId="4" fontId="29" fillId="0" borderId="9" xfId="0" applyNumberFormat="1" applyFont="1" applyBorder="1" applyAlignment="1">
      <alignment horizontal="center" vertical="center"/>
    </xf>
    <xf numFmtId="4" fontId="29" fillId="0" borderId="10" xfId="0" applyNumberFormat="1" applyFont="1" applyBorder="1" applyAlignment="1">
      <alignment horizontal="center" vertical="center"/>
    </xf>
    <xf numFmtId="4" fontId="29" fillId="0" borderId="11" xfId="0" applyNumberFormat="1" applyFont="1" applyBorder="1" applyAlignment="1">
      <alignment horizontal="center" vertical="center"/>
    </xf>
    <xf numFmtId="4" fontId="29" fillId="0" borderId="12" xfId="0" applyNumberFormat="1" applyFont="1" applyBorder="1" applyAlignment="1">
      <alignment horizontal="center" vertical="center"/>
    </xf>
    <xf numFmtId="4" fontId="29" fillId="0" borderId="13" xfId="0" applyNumberFormat="1" applyFont="1" applyBorder="1" applyAlignment="1">
      <alignment horizontal="center" vertical="center"/>
    </xf>
    <xf numFmtId="4" fontId="29" fillId="0" borderId="14" xfId="0" applyNumberFormat="1" applyFont="1" applyBorder="1" applyAlignment="1">
      <alignment horizontal="center" vertical="center"/>
    </xf>
    <xf numFmtId="0" fontId="39" fillId="0" borderId="46" xfId="4" applyBorder="1" applyAlignment="1">
      <alignment horizontal="centerContinuous" vertical="center"/>
    </xf>
    <xf numFmtId="0" fontId="39" fillId="0" borderId="47" xfId="4" applyBorder="1" applyAlignment="1">
      <alignment horizontal="centerContinuous" vertical="center"/>
    </xf>
    <xf numFmtId="0" fontId="39" fillId="0" borderId="49" xfId="4" applyBorder="1" applyAlignment="1">
      <alignment horizontal="centerContinuous" vertical="center"/>
    </xf>
    <xf numFmtId="0" fontId="39" fillId="0" borderId="48" xfId="4" applyFill="1" applyBorder="1" applyAlignment="1">
      <alignment horizontal="centerContinuous"/>
    </xf>
    <xf numFmtId="0" fontId="39" fillId="0" borderId="49" xfId="4" applyFill="1" applyBorder="1" applyAlignment="1">
      <alignment horizontal="centerContinuous"/>
    </xf>
    <xf numFmtId="0" fontId="20" fillId="3" borderId="53" xfId="0" applyFont="1" applyFill="1" applyBorder="1" applyAlignment="1">
      <alignment horizontal="centerContinuous" vertical="center"/>
    </xf>
    <xf numFmtId="4" fontId="26" fillId="5" borderId="0" xfId="0" applyNumberFormat="1" applyFont="1" applyFill="1" applyBorder="1" applyAlignment="1">
      <alignment horizontal="left" vertical="center"/>
    </xf>
    <xf numFmtId="4" fontId="28" fillId="5" borderId="0" xfId="0" applyNumberFormat="1" applyFont="1" applyFill="1" applyBorder="1" applyAlignment="1">
      <alignment horizontal="left" vertical="center"/>
    </xf>
    <xf numFmtId="4" fontId="20" fillId="3" borderId="5" xfId="0" applyNumberFormat="1" applyFont="1" applyFill="1" applyBorder="1" applyAlignment="1">
      <alignment horizontal="centerContinuous" vertical="center"/>
    </xf>
    <xf numFmtId="4" fontId="20" fillId="4" borderId="34" xfId="0" applyNumberFormat="1" applyFont="1" applyFill="1" applyBorder="1" applyAlignment="1">
      <alignment horizontal="center" vertical="center"/>
    </xf>
    <xf numFmtId="4" fontId="15" fillId="0" borderId="9" xfId="0" applyNumberFormat="1" applyFont="1" applyBorder="1" applyAlignment="1">
      <alignment horizontal="center" vertical="center"/>
    </xf>
    <xf numFmtId="4" fontId="15" fillId="0" borderId="10" xfId="0" applyNumberFormat="1" applyFont="1" applyBorder="1" applyAlignment="1">
      <alignment horizontal="center" vertical="center"/>
    </xf>
    <xf numFmtId="4" fontId="15" fillId="0" borderId="11" xfId="0" applyNumberFormat="1" applyFont="1" applyBorder="1" applyAlignment="1">
      <alignment horizontal="center" vertical="center"/>
    </xf>
    <xf numFmtId="4" fontId="15" fillId="0" borderId="12" xfId="0" applyNumberFormat="1" applyFont="1" applyBorder="1" applyAlignment="1">
      <alignment horizontal="center" vertical="center"/>
    </xf>
    <xf numFmtId="4" fontId="15" fillId="0" borderId="13" xfId="0" applyNumberFormat="1" applyFont="1" applyBorder="1" applyAlignment="1">
      <alignment horizontal="center" vertical="center"/>
    </xf>
    <xf numFmtId="4" fontId="15" fillId="0" borderId="14" xfId="0" applyNumberFormat="1" applyFont="1" applyBorder="1" applyAlignment="1">
      <alignment horizontal="center" vertical="center"/>
    </xf>
    <xf numFmtId="15" fontId="0" fillId="0" borderId="0" xfId="0" applyNumberFormat="1"/>
    <xf numFmtId="0" fontId="25" fillId="0" borderId="46" xfId="0" applyFont="1" applyBorder="1"/>
    <xf numFmtId="0" fontId="0" fillId="0" borderId="49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45" xfId="0" applyBorder="1" applyAlignment="1">
      <alignment horizontal="left"/>
    </xf>
    <xf numFmtId="0" fontId="0" fillId="0" borderId="47" xfId="0" applyBorder="1" applyAlignment="1">
      <alignment horizontal="left"/>
    </xf>
    <xf numFmtId="0" fontId="0" fillId="0" borderId="49" xfId="0" applyBorder="1" applyAlignment="1">
      <alignment horizontal="right"/>
    </xf>
    <xf numFmtId="0" fontId="0" fillId="0" borderId="47" xfId="0" applyBorder="1" applyAlignment="1">
      <alignment horizontal="right"/>
    </xf>
    <xf numFmtId="170" fontId="28" fillId="5" borderId="16" xfId="0" applyNumberFormat="1" applyFont="1" applyFill="1" applyBorder="1" applyAlignment="1">
      <alignment horizontal="right" vertical="center"/>
    </xf>
    <xf numFmtId="171" fontId="28" fillId="5" borderId="16" xfId="0" applyNumberFormat="1" applyFont="1" applyFill="1" applyBorder="1" applyAlignment="1">
      <alignment horizontal="right" vertical="center"/>
    </xf>
    <xf numFmtId="172" fontId="28" fillId="5" borderId="16" xfId="0" applyNumberFormat="1" applyFont="1" applyFill="1" applyBorder="1" applyAlignment="1">
      <alignment horizontal="right" vertical="center"/>
    </xf>
    <xf numFmtId="173" fontId="28" fillId="5" borderId="16" xfId="0" applyNumberFormat="1" applyFont="1" applyFill="1" applyBorder="1" applyAlignment="1">
      <alignment horizontal="right" vertical="center"/>
    </xf>
    <xf numFmtId="10" fontId="28" fillId="5" borderId="16" xfId="0" applyNumberFormat="1" applyFont="1" applyFill="1" applyBorder="1" applyAlignment="1">
      <alignment horizontal="right" vertical="center"/>
    </xf>
    <xf numFmtId="10" fontId="28" fillId="5" borderId="17" xfId="0" applyNumberFormat="1" applyFont="1" applyFill="1" applyBorder="1" applyAlignment="1">
      <alignment horizontal="right" vertical="center"/>
    </xf>
    <xf numFmtId="10" fontId="28" fillId="5" borderId="12" xfId="0" applyNumberFormat="1" applyFont="1" applyFill="1" applyBorder="1" applyAlignment="1">
      <alignment horizontal="right" vertical="center"/>
    </xf>
    <xf numFmtId="10" fontId="28" fillId="5" borderId="14" xfId="0" applyNumberFormat="1" applyFont="1" applyFill="1" applyBorder="1" applyAlignment="1">
      <alignment horizontal="right" vertical="center"/>
    </xf>
    <xf numFmtId="166" fontId="28" fillId="5" borderId="9" xfId="0" applyNumberFormat="1" applyFont="1" applyFill="1" applyBorder="1" applyAlignment="1">
      <alignment horizontal="right" vertical="center"/>
    </xf>
    <xf numFmtId="166" fontId="28" fillId="5" borderId="11" xfId="0" applyNumberFormat="1" applyFont="1" applyFill="1" applyBorder="1" applyAlignment="1">
      <alignment horizontal="right" vertical="center"/>
    </xf>
    <xf numFmtId="166" fontId="28" fillId="5" borderId="15" xfId="0" applyNumberFormat="1" applyFont="1" applyFill="1" applyBorder="1" applyAlignment="1">
      <alignment horizontal="right" vertical="center"/>
    </xf>
    <xf numFmtId="166" fontId="28" fillId="5" borderId="16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30" fillId="4" borderId="56" xfId="0" applyNumberFormat="1" applyFont="1" applyFill="1" applyBorder="1" applyAlignment="1">
      <alignment horizontal="center" vertical="center"/>
    </xf>
    <xf numFmtId="4" fontId="30" fillId="4" borderId="57" xfId="0" applyNumberFormat="1" applyFont="1" applyFill="1" applyBorder="1" applyAlignment="1">
      <alignment horizontal="center" vertical="center"/>
    </xf>
    <xf numFmtId="4" fontId="30" fillId="4" borderId="58" xfId="0" applyNumberFormat="1" applyFont="1" applyFill="1" applyBorder="1" applyAlignment="1">
      <alignment horizontal="center" vertical="center"/>
    </xf>
    <xf numFmtId="170" fontId="28" fillId="5" borderId="11" xfId="0" applyNumberFormat="1" applyFont="1" applyFill="1" applyBorder="1" applyAlignment="1">
      <alignment horizontal="right" vertical="center"/>
    </xf>
    <xf numFmtId="170" fontId="28" fillId="5" borderId="12" xfId="0" applyNumberFormat="1" applyFont="1" applyFill="1" applyBorder="1" applyAlignment="1">
      <alignment horizontal="right" vertical="center"/>
    </xf>
    <xf numFmtId="171" fontId="28" fillId="5" borderId="11" xfId="0" applyNumberFormat="1" applyFont="1" applyFill="1" applyBorder="1" applyAlignment="1">
      <alignment horizontal="right" vertical="center"/>
    </xf>
    <xf numFmtId="171" fontId="28" fillId="5" borderId="12" xfId="0" applyNumberFormat="1" applyFont="1" applyFill="1" applyBorder="1" applyAlignment="1">
      <alignment horizontal="right" vertical="center"/>
    </xf>
    <xf numFmtId="172" fontId="28" fillId="5" borderId="11" xfId="0" applyNumberFormat="1" applyFont="1" applyFill="1" applyBorder="1" applyAlignment="1">
      <alignment horizontal="right" vertical="center"/>
    </xf>
    <xf numFmtId="172" fontId="28" fillId="5" borderId="12" xfId="0" applyNumberFormat="1" applyFont="1" applyFill="1" applyBorder="1" applyAlignment="1">
      <alignment horizontal="right" vertical="center"/>
    </xf>
    <xf numFmtId="173" fontId="28" fillId="5" borderId="11" xfId="0" applyNumberFormat="1" applyFont="1" applyFill="1" applyBorder="1" applyAlignment="1">
      <alignment horizontal="right" vertical="center"/>
    </xf>
    <xf numFmtId="173" fontId="28" fillId="5" borderId="12" xfId="0" applyNumberFormat="1" applyFont="1" applyFill="1" applyBorder="1" applyAlignment="1">
      <alignment horizontal="right" vertical="center"/>
    </xf>
    <xf numFmtId="10" fontId="28" fillId="5" borderId="11" xfId="0" applyNumberFormat="1" applyFont="1" applyFill="1" applyBorder="1" applyAlignment="1">
      <alignment horizontal="right" vertical="center"/>
    </xf>
    <xf numFmtId="10" fontId="28" fillId="5" borderId="13" xfId="0" applyNumberFormat="1" applyFont="1" applyFill="1" applyBorder="1" applyAlignment="1">
      <alignment horizontal="right" vertical="center"/>
    </xf>
    <xf numFmtId="166" fontId="28" fillId="5" borderId="10" xfId="0" applyNumberFormat="1" applyFont="1" applyFill="1" applyBorder="1" applyAlignment="1">
      <alignment horizontal="right" vertical="center"/>
    </xf>
    <xf numFmtId="166" fontId="28" fillId="5" borderId="12" xfId="0" applyNumberFormat="1" applyFont="1" applyFill="1" applyBorder="1" applyAlignment="1">
      <alignment horizontal="right" vertical="center"/>
    </xf>
    <xf numFmtId="0" fontId="25" fillId="0" borderId="0" xfId="0" applyFont="1" applyAlignment="1">
      <alignment horizontal="center"/>
    </xf>
    <xf numFmtId="0" fontId="25" fillId="0" borderId="0" xfId="0" applyFont="1" applyAlignment="1">
      <alignment horizontal="center" vertical="center"/>
    </xf>
    <xf numFmtId="166" fontId="19" fillId="6" borderId="11" xfId="0" applyNumberFormat="1" applyFont="1" applyFill="1" applyBorder="1" applyAlignment="1">
      <alignment horizontal="right" vertical="center"/>
    </xf>
    <xf numFmtId="167" fontId="19" fillId="6" borderId="16" xfId="0" applyNumberFormat="1" applyFont="1" applyFill="1" applyBorder="1" applyAlignment="1">
      <alignment horizontal="right" vertical="center"/>
    </xf>
    <xf numFmtId="167" fontId="19" fillId="0" borderId="15" xfId="0" applyNumberFormat="1" applyFont="1" applyBorder="1" applyAlignment="1">
      <alignment horizontal="center" vertical="center"/>
    </xf>
    <xf numFmtId="0" fontId="20" fillId="4" borderId="33" xfId="0" applyFont="1" applyFill="1" applyBorder="1" applyAlignment="1">
      <alignment horizontal="centerContinuous" vertical="center"/>
    </xf>
    <xf numFmtId="0" fontId="20" fillId="4" borderId="34" xfId="0" applyFont="1" applyFill="1" applyBorder="1" applyAlignment="1">
      <alignment horizontal="centerContinuous" vertical="center"/>
    </xf>
    <xf numFmtId="167" fontId="19" fillId="0" borderId="59" xfId="0" applyNumberFormat="1" applyFont="1" applyBorder="1" applyAlignment="1">
      <alignment horizontal="center" vertical="center"/>
    </xf>
    <xf numFmtId="0" fontId="20" fillId="4" borderId="32" xfId="0" applyFont="1" applyFill="1" applyBorder="1" applyAlignment="1">
      <alignment horizontal="centerContinuous" vertical="center"/>
    </xf>
    <xf numFmtId="0" fontId="20" fillId="4" borderId="4" xfId="0" applyFont="1" applyFill="1" applyBorder="1" applyAlignment="1">
      <alignment horizontal="center" vertical="center"/>
    </xf>
    <xf numFmtId="4" fontId="31" fillId="7" borderId="48" xfId="0" applyNumberFormat="1" applyFont="1" applyFill="1" applyBorder="1" applyAlignment="1">
      <alignment horizontal="center" vertical="center"/>
    </xf>
    <xf numFmtId="4" fontId="31" fillId="7" borderId="60" xfId="0" applyNumberFormat="1" applyFont="1" applyFill="1" applyBorder="1" applyAlignment="1">
      <alignment horizontal="center" vertical="center"/>
    </xf>
    <xf numFmtId="4" fontId="31" fillId="7" borderId="61" xfId="0" applyNumberFormat="1" applyFont="1" applyFill="1" applyBorder="1" applyAlignment="1">
      <alignment horizontal="center" vertical="center"/>
    </xf>
    <xf numFmtId="4" fontId="31" fillId="7" borderId="62" xfId="0" applyNumberFormat="1" applyFont="1" applyFill="1" applyBorder="1" applyAlignment="1">
      <alignment horizontal="center" vertical="center"/>
    </xf>
    <xf numFmtId="169" fontId="19" fillId="0" borderId="59" xfId="0" applyNumberFormat="1" applyFont="1" applyBorder="1" applyAlignment="1">
      <alignment horizontal="right" vertical="center"/>
    </xf>
    <xf numFmtId="169" fontId="19" fillId="0" borderId="16" xfId="0" applyNumberFormat="1" applyFont="1" applyBorder="1" applyAlignment="1">
      <alignment horizontal="right" vertical="center"/>
    </xf>
    <xf numFmtId="169" fontId="19" fillId="0" borderId="17" xfId="0" applyNumberFormat="1" applyFon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4" fontId="20" fillId="4" borderId="20" xfId="0" applyNumberFormat="1" applyFont="1" applyFill="1" applyBorder="1" applyAlignment="1">
      <alignment horizontal="center" vertical="center"/>
    </xf>
    <xf numFmtId="4" fontId="20" fillId="4" borderId="21" xfId="0" applyNumberFormat="1" applyFont="1" applyFill="1" applyBorder="1" applyAlignment="1">
      <alignment horizontal="center" vertical="center"/>
    </xf>
    <xf numFmtId="4" fontId="20" fillId="4" borderId="22" xfId="0" applyNumberFormat="1" applyFont="1" applyFill="1" applyBorder="1" applyAlignment="1">
      <alignment horizontal="center" vertical="center"/>
    </xf>
    <xf numFmtId="0" fontId="39" fillId="8" borderId="0" xfId="4" applyFill="1" applyBorder="1" applyAlignment="1">
      <alignment horizontal="centerContinuous" vertical="center"/>
    </xf>
    <xf numFmtId="0" fontId="20" fillId="3" borderId="63" xfId="0" applyFont="1" applyFill="1" applyBorder="1" applyAlignment="1">
      <alignment horizontal="centerContinuous" vertical="center"/>
    </xf>
    <xf numFmtId="0" fontId="32" fillId="3" borderId="64" xfId="0" applyFont="1" applyFill="1" applyBorder="1" applyAlignment="1">
      <alignment horizontal="center" vertical="center"/>
    </xf>
    <xf numFmtId="0" fontId="20" fillId="3" borderId="65" xfId="0" applyFont="1" applyFill="1" applyBorder="1" applyAlignment="1">
      <alignment horizontal="centerContinuous" vertical="center"/>
    </xf>
    <xf numFmtId="0" fontId="20" fillId="3" borderId="49" xfId="0" applyFont="1" applyFill="1" applyBorder="1" applyAlignment="1">
      <alignment horizontal="centerContinuous" vertical="center"/>
    </xf>
    <xf numFmtId="4" fontId="29" fillId="0" borderId="17" xfId="0" applyNumberFormat="1" applyFont="1" applyBorder="1" applyAlignment="1">
      <alignment horizontal="center" vertical="center"/>
    </xf>
    <xf numFmtId="0" fontId="30" fillId="3" borderId="6" xfId="0" applyFont="1" applyFill="1" applyBorder="1" applyAlignment="1">
      <alignment horizontal="centerContinuous" vertical="center"/>
    </xf>
    <xf numFmtId="4" fontId="28" fillId="5" borderId="9" xfId="0" applyNumberFormat="1" applyFont="1" applyFill="1" applyBorder="1" applyAlignment="1">
      <alignment horizontal="center" vertical="center"/>
    </xf>
    <xf numFmtId="4" fontId="28" fillId="5" borderId="15" xfId="0" applyNumberFormat="1" applyFont="1" applyFill="1" applyBorder="1" applyAlignment="1">
      <alignment horizontal="center" vertical="center"/>
    </xf>
    <xf numFmtId="4" fontId="28" fillId="5" borderId="10" xfId="0" applyNumberFormat="1" applyFont="1" applyFill="1" applyBorder="1" applyAlignment="1">
      <alignment horizontal="center" vertical="center"/>
    </xf>
    <xf numFmtId="4" fontId="28" fillId="5" borderId="13" xfId="0" applyNumberFormat="1" applyFont="1" applyFill="1" applyBorder="1" applyAlignment="1">
      <alignment horizontal="center" vertical="center"/>
    </xf>
    <xf numFmtId="4" fontId="28" fillId="5" borderId="17" xfId="0" applyNumberFormat="1" applyFont="1" applyFill="1" applyBorder="1" applyAlignment="1">
      <alignment horizontal="center" vertical="center"/>
    </xf>
    <xf numFmtId="4" fontId="28" fillId="5" borderId="14" xfId="0" applyNumberFormat="1" applyFont="1" applyFill="1" applyBorder="1" applyAlignment="1">
      <alignment horizontal="center" vertical="center"/>
    </xf>
    <xf numFmtId="0" fontId="35" fillId="0" borderId="0" xfId="0" applyFont="1" applyFill="1" applyBorder="1" applyAlignment="1">
      <alignment horizontal="centerContinuous" vertical="center"/>
    </xf>
    <xf numFmtId="0" fontId="32" fillId="3" borderId="18" xfId="0" applyFont="1" applyFill="1" applyBorder="1" applyAlignment="1">
      <alignment horizontal="centerContinuous" vertical="center"/>
    </xf>
    <xf numFmtId="0" fontId="32" fillId="3" borderId="19" xfId="0" applyFont="1" applyFill="1" applyBorder="1" applyAlignment="1">
      <alignment horizontal="centerContinuous" vertical="center"/>
    </xf>
    <xf numFmtId="0" fontId="39" fillId="0" borderId="0" xfId="4" applyAlignment="1">
      <alignment horizontal="centerContinuous"/>
    </xf>
    <xf numFmtId="0" fontId="0" fillId="0" borderId="66" xfId="0" applyBorder="1"/>
    <xf numFmtId="0" fontId="0" fillId="0" borderId="67" xfId="0" applyBorder="1"/>
    <xf numFmtId="166" fontId="14" fillId="0" borderId="9" xfId="0" applyNumberFormat="1" applyFont="1" applyBorder="1" applyAlignment="1">
      <alignment horizontal="right" vertical="center"/>
    </xf>
    <xf numFmtId="166" fontId="14" fillId="0" borderId="11" xfId="0" applyNumberFormat="1" applyFont="1" applyBorder="1" applyAlignment="1">
      <alignment horizontal="right" vertical="center"/>
    </xf>
    <xf numFmtId="4" fontId="14" fillId="0" borderId="10" xfId="0" applyNumberFormat="1" applyFont="1" applyBorder="1" applyAlignment="1">
      <alignment horizontal="center" vertical="center"/>
    </xf>
    <xf numFmtId="4" fontId="14" fillId="0" borderId="12" xfId="0" applyNumberFormat="1" applyFont="1" applyBorder="1" applyAlignment="1">
      <alignment horizontal="center" vertical="center"/>
    </xf>
    <xf numFmtId="4" fontId="14" fillId="0" borderId="14" xfId="0" applyNumberFormat="1" applyFont="1" applyBorder="1" applyAlignment="1">
      <alignment horizontal="center" vertical="center"/>
    </xf>
    <xf numFmtId="166" fontId="14" fillId="0" borderId="13" xfId="0" applyNumberFormat="1" applyFont="1" applyBorder="1" applyAlignment="1">
      <alignment horizontal="right" vertical="center"/>
    </xf>
    <xf numFmtId="0" fontId="22" fillId="0" borderId="3" xfId="0" applyFont="1" applyBorder="1" applyAlignment="1">
      <alignment horizontal="centerContinuous" vertical="center"/>
    </xf>
    <xf numFmtId="0" fontId="0" fillId="0" borderId="2" xfId="0" applyBorder="1" applyAlignment="1">
      <alignment horizontal="centerContinuous" vertical="center"/>
    </xf>
    <xf numFmtId="0" fontId="13" fillId="0" borderId="0" xfId="0" applyFont="1"/>
    <xf numFmtId="0" fontId="12" fillId="0" borderId="0" xfId="0" applyFont="1"/>
    <xf numFmtId="166" fontId="12" fillId="0" borderId="0" xfId="0" applyNumberFormat="1" applyFont="1" applyAlignment="1">
      <alignment horizontal="right"/>
    </xf>
    <xf numFmtId="166" fontId="11" fillId="0" borderId="0" xfId="0" applyNumberFormat="1" applyFont="1" applyAlignment="1">
      <alignment horizontal="right"/>
    </xf>
    <xf numFmtId="0" fontId="10" fillId="0" borderId="0" xfId="0" applyFont="1"/>
    <xf numFmtId="166" fontId="10" fillId="0" borderId="0" xfId="0" applyNumberFormat="1" applyFont="1" applyAlignment="1">
      <alignment horizontal="right"/>
    </xf>
    <xf numFmtId="4" fontId="9" fillId="0" borderId="9" xfId="0" applyNumberFormat="1" applyFont="1" applyBorder="1" applyAlignment="1">
      <alignment horizontal="center" vertical="center"/>
    </xf>
    <xf numFmtId="4" fontId="9" fillId="0" borderId="10" xfId="0" applyNumberFormat="1" applyFont="1" applyBorder="1" applyAlignment="1">
      <alignment horizontal="center" vertical="center"/>
    </xf>
    <xf numFmtId="4" fontId="9" fillId="0" borderId="13" xfId="0" applyNumberFormat="1" applyFont="1" applyBorder="1" applyAlignment="1">
      <alignment horizontal="center" vertical="center"/>
    </xf>
    <xf numFmtId="4" fontId="9" fillId="0" borderId="14" xfId="0" applyNumberFormat="1" applyFont="1" applyBorder="1" applyAlignment="1">
      <alignment horizontal="center" vertical="center"/>
    </xf>
    <xf numFmtId="166" fontId="9" fillId="0" borderId="10" xfId="0" applyNumberFormat="1" applyFont="1" applyBorder="1" applyAlignment="1">
      <alignment horizontal="center" vertical="center"/>
    </xf>
    <xf numFmtId="4" fontId="9" fillId="0" borderId="12" xfId="0" applyNumberFormat="1" applyFont="1" applyBorder="1" applyAlignment="1">
      <alignment horizontal="center" vertical="center"/>
    </xf>
    <xf numFmtId="10" fontId="9" fillId="0" borderId="15" xfId="0" applyNumberFormat="1" applyFont="1" applyBorder="1" applyAlignment="1">
      <alignment horizontal="right" vertical="center"/>
    </xf>
    <xf numFmtId="10" fontId="9" fillId="0" borderId="16" xfId="0" applyNumberFormat="1" applyFont="1" applyBorder="1" applyAlignment="1">
      <alignment horizontal="right" vertical="center"/>
    </xf>
    <xf numFmtId="10" fontId="9" fillId="0" borderId="17" xfId="0" applyNumberFormat="1" applyFont="1" applyBorder="1" applyAlignment="1">
      <alignment horizontal="right" vertical="center"/>
    </xf>
    <xf numFmtId="4" fontId="9" fillId="0" borderId="20" xfId="0" applyNumberFormat="1" applyFont="1" applyBorder="1" applyAlignment="1">
      <alignment horizontal="center" vertical="center"/>
    </xf>
    <xf numFmtId="4" fontId="9" fillId="0" borderId="22" xfId="0" applyNumberFormat="1" applyFont="1" applyBorder="1" applyAlignment="1">
      <alignment horizontal="center" vertical="center"/>
    </xf>
    <xf numFmtId="10" fontId="9" fillId="0" borderId="21" xfId="0" applyNumberFormat="1" applyFont="1" applyBorder="1" applyAlignment="1">
      <alignment horizontal="right" vertical="center"/>
    </xf>
    <xf numFmtId="166" fontId="9" fillId="0" borderId="9" xfId="0" applyNumberFormat="1" applyFont="1" applyBorder="1" applyAlignment="1">
      <alignment horizontal="right" vertical="center"/>
    </xf>
    <xf numFmtId="166" fontId="9" fillId="0" borderId="11" xfId="0" applyNumberFormat="1" applyFont="1" applyBorder="1" applyAlignment="1">
      <alignment horizontal="right" vertical="center"/>
    </xf>
    <xf numFmtId="166" fontId="9" fillId="0" borderId="13" xfId="0" applyNumberFormat="1" applyFont="1" applyBorder="1" applyAlignment="1">
      <alignment horizontal="right" vertical="center"/>
    </xf>
    <xf numFmtId="0" fontId="30" fillId="3" borderId="4" xfId="2" applyFont="1" applyFill="1" applyBorder="1" applyAlignment="1">
      <alignment horizontal="centerContinuous" vertical="center"/>
    </xf>
    <xf numFmtId="0" fontId="30" fillId="3" borderId="6" xfId="2" applyFont="1" applyFill="1" applyBorder="1" applyAlignment="1">
      <alignment horizontal="centerContinuous" vertical="center"/>
    </xf>
    <xf numFmtId="0" fontId="30" fillId="3" borderId="5" xfId="2" applyFont="1" applyFill="1" applyBorder="1" applyAlignment="1">
      <alignment horizontal="centerContinuous" vertical="center"/>
    </xf>
    <xf numFmtId="0" fontId="0" fillId="0" borderId="0" xfId="0" applyAlignment="1">
      <alignment horizontal="centerContinuous"/>
    </xf>
    <xf numFmtId="0" fontId="20" fillId="4" borderId="68" xfId="0" applyFont="1" applyFill="1" applyBorder="1" applyAlignment="1">
      <alignment horizontal="centerContinuous" vertical="center"/>
    </xf>
    <xf numFmtId="0" fontId="20" fillId="4" borderId="69" xfId="0" applyFont="1" applyFill="1" applyBorder="1" applyAlignment="1">
      <alignment horizontal="centerContinuous" vertical="center"/>
    </xf>
    <xf numFmtId="0" fontId="20" fillId="4" borderId="70" xfId="0" applyFont="1" applyFill="1" applyBorder="1" applyAlignment="1">
      <alignment horizontal="centerContinuous" vertical="center"/>
    </xf>
    <xf numFmtId="167" fontId="9" fillId="0" borderId="15" xfId="0" applyNumberFormat="1" applyFont="1" applyBorder="1" applyAlignment="1">
      <alignment horizontal="center" vertical="center"/>
    </xf>
    <xf numFmtId="167" fontId="9" fillId="0" borderId="16" xfId="0" applyNumberFormat="1" applyFont="1" applyBorder="1" applyAlignment="1">
      <alignment horizontal="center" vertical="center"/>
    </xf>
    <xf numFmtId="167" fontId="9" fillId="0" borderId="17" xfId="0" applyNumberFormat="1" applyFont="1" applyBorder="1" applyAlignment="1">
      <alignment horizontal="center" vertical="center"/>
    </xf>
    <xf numFmtId="166" fontId="9" fillId="0" borderId="12" xfId="0" applyNumberFormat="1" applyFont="1" applyBorder="1" applyAlignment="1">
      <alignment horizontal="center" vertical="center"/>
    </xf>
    <xf numFmtId="175" fontId="0" fillId="0" borderId="0" xfId="0" applyNumberFormat="1"/>
    <xf numFmtId="10" fontId="8" fillId="0" borderId="16" xfId="0" applyNumberFormat="1" applyFont="1" applyBorder="1" applyAlignment="1">
      <alignment horizontal="right" vertical="center"/>
    </xf>
    <xf numFmtId="4" fontId="8" fillId="0" borderId="12" xfId="0" applyNumberFormat="1" applyFont="1" applyBorder="1" applyAlignment="1">
      <alignment horizontal="center" vertical="center"/>
    </xf>
    <xf numFmtId="10" fontId="8" fillId="0" borderId="17" xfId="0" applyNumberFormat="1" applyFont="1" applyBorder="1" applyAlignment="1">
      <alignment horizontal="right" vertical="center"/>
    </xf>
    <xf numFmtId="4" fontId="8" fillId="0" borderId="14" xfId="0" applyNumberFormat="1" applyFont="1" applyBorder="1" applyAlignment="1">
      <alignment horizontal="center" vertical="center"/>
    </xf>
    <xf numFmtId="4" fontId="8" fillId="0" borderId="10" xfId="0" applyNumberFormat="1" applyFont="1" applyBorder="1" applyAlignment="1">
      <alignment horizontal="center" vertical="center"/>
    </xf>
    <xf numFmtId="10" fontId="8" fillId="0" borderId="15" xfId="0" applyNumberFormat="1" applyFont="1" applyBorder="1" applyAlignment="1">
      <alignment horizontal="right" vertical="center"/>
    </xf>
    <xf numFmtId="4" fontId="9" fillId="0" borderId="71" xfId="0" applyNumberFormat="1" applyFont="1" applyBorder="1" applyAlignment="1">
      <alignment horizontal="center" vertical="center"/>
    </xf>
    <xf numFmtId="10" fontId="9" fillId="0" borderId="72" xfId="0" applyNumberFormat="1" applyFont="1" applyBorder="1" applyAlignment="1">
      <alignment horizontal="right" vertical="center"/>
    </xf>
    <xf numFmtId="4" fontId="9" fillId="0" borderId="73" xfId="0" applyNumberFormat="1" applyFont="1" applyBorder="1" applyAlignment="1">
      <alignment horizontal="center" vertical="center"/>
    </xf>
    <xf numFmtId="4" fontId="9" fillId="0" borderId="74" xfId="0" applyNumberFormat="1" applyFont="1" applyBorder="1" applyAlignment="1">
      <alignment horizontal="center" vertical="center"/>
    </xf>
    <xf numFmtId="4" fontId="9" fillId="0" borderId="75" xfId="0" applyNumberFormat="1" applyFont="1" applyBorder="1" applyAlignment="1">
      <alignment horizontal="center" vertical="center"/>
    </xf>
    <xf numFmtId="4" fontId="9" fillId="0" borderId="76" xfId="0" applyNumberFormat="1" applyFont="1" applyBorder="1" applyAlignment="1">
      <alignment horizontal="center" vertical="center"/>
    </xf>
    <xf numFmtId="10" fontId="9" fillId="0" borderId="77" xfId="0" applyNumberFormat="1" applyFont="1" applyBorder="1" applyAlignment="1">
      <alignment horizontal="right" vertical="center"/>
    </xf>
    <xf numFmtId="4" fontId="9" fillId="0" borderId="78" xfId="0" applyNumberFormat="1" applyFont="1" applyBorder="1" applyAlignment="1">
      <alignment horizontal="center" vertical="center"/>
    </xf>
    <xf numFmtId="0" fontId="36" fillId="0" borderId="0" xfId="0" applyFont="1"/>
    <xf numFmtId="4" fontId="7" fillId="0" borderId="9" xfId="0" applyNumberFormat="1" applyFont="1" applyBorder="1" applyAlignment="1">
      <alignment horizontal="center" vertical="center"/>
    </xf>
    <xf numFmtId="4" fontId="7" fillId="0" borderId="11" xfId="0" applyNumberFormat="1" applyFont="1" applyBorder="1" applyAlignment="1">
      <alignment horizontal="center" vertical="center"/>
    </xf>
    <xf numFmtId="4" fontId="7" fillId="0" borderId="13" xfId="0" applyNumberFormat="1" applyFont="1" applyBorder="1" applyAlignment="1">
      <alignment horizontal="center" vertical="center"/>
    </xf>
    <xf numFmtId="4" fontId="6" fillId="0" borderId="9" xfId="0" applyNumberFormat="1" applyFont="1" applyBorder="1" applyAlignment="1">
      <alignment horizontal="center" vertical="center"/>
    </xf>
    <xf numFmtId="4" fontId="6" fillId="0" borderId="11" xfId="0" applyNumberFormat="1" applyFont="1" applyBorder="1" applyAlignment="1">
      <alignment horizontal="center" vertical="center"/>
    </xf>
    <xf numFmtId="4" fontId="6" fillId="0" borderId="13" xfId="0" applyNumberFormat="1" applyFont="1" applyBorder="1" applyAlignment="1">
      <alignment horizontal="center" vertical="center"/>
    </xf>
    <xf numFmtId="0" fontId="22" fillId="0" borderId="3" xfId="0" quotePrefix="1" applyFont="1" applyBorder="1" applyAlignment="1">
      <alignment horizontal="centerContinuous" vertical="center"/>
    </xf>
    <xf numFmtId="4" fontId="6" fillId="0" borderId="14" xfId="0" applyNumberFormat="1" applyFont="1" applyBorder="1" applyAlignment="1">
      <alignment horizontal="center" vertical="center"/>
    </xf>
    <xf numFmtId="4" fontId="6" fillId="0" borderId="7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166" fontId="5" fillId="0" borderId="9" xfId="0" applyNumberFormat="1" applyFont="1" applyBorder="1" applyAlignment="1">
      <alignment horizontal="right" vertical="center"/>
    </xf>
    <xf numFmtId="166" fontId="5" fillId="0" borderId="11" xfId="0" applyNumberFormat="1" applyFont="1" applyBorder="1" applyAlignment="1">
      <alignment horizontal="right" vertical="center"/>
    </xf>
    <xf numFmtId="4" fontId="5" fillId="0" borderId="10" xfId="0" applyNumberFormat="1" applyFont="1" applyBorder="1" applyAlignment="1">
      <alignment horizontal="center" vertical="center"/>
    </xf>
    <xf numFmtId="4" fontId="5" fillId="0" borderId="12" xfId="0" applyNumberFormat="1" applyFont="1" applyBorder="1" applyAlignment="1">
      <alignment horizontal="center" vertical="center"/>
    </xf>
    <xf numFmtId="4" fontId="5" fillId="0" borderId="14" xfId="0" applyNumberFormat="1" applyFont="1" applyBorder="1" applyAlignment="1">
      <alignment horizontal="center" vertical="center"/>
    </xf>
    <xf numFmtId="174" fontId="39" fillId="0" borderId="0" xfId="4" applyNumberFormat="1"/>
    <xf numFmtId="4" fontId="4" fillId="0" borderId="11" xfId="0" applyNumberFormat="1" applyFont="1" applyBorder="1" applyAlignment="1">
      <alignment horizontal="center" vertical="center"/>
    </xf>
    <xf numFmtId="4" fontId="4" fillId="0" borderId="13" xfId="0" applyNumberFormat="1" applyFont="1" applyBorder="1" applyAlignment="1">
      <alignment horizontal="center" vertical="center"/>
    </xf>
    <xf numFmtId="4" fontId="4" fillId="0" borderId="9" xfId="0" applyNumberFormat="1" applyFont="1" applyBorder="1" applyAlignment="1">
      <alignment horizontal="center" vertical="center"/>
    </xf>
    <xf numFmtId="4" fontId="4" fillId="0" borderId="12" xfId="0" applyNumberFormat="1" applyFont="1" applyBorder="1" applyAlignment="1">
      <alignment horizontal="center" vertical="center"/>
    </xf>
    <xf numFmtId="15" fontId="4" fillId="0" borderId="10" xfId="0" applyNumberFormat="1" applyFont="1" applyBorder="1" applyAlignment="1">
      <alignment horizontal="center" vertical="center"/>
    </xf>
    <xf numFmtId="176" fontId="5" fillId="0" borderId="15" xfId="0" applyNumberFormat="1" applyFont="1" applyBorder="1" applyAlignment="1">
      <alignment horizontal="center" vertical="center"/>
    </xf>
    <xf numFmtId="176" fontId="5" fillId="0" borderId="16" xfId="0" applyNumberFormat="1" applyFont="1" applyBorder="1" applyAlignment="1">
      <alignment horizontal="center" vertical="center"/>
    </xf>
    <xf numFmtId="177" fontId="0" fillId="0" borderId="0" xfId="0" applyNumberFormat="1"/>
    <xf numFmtId="169" fontId="14" fillId="0" borderId="15" xfId="0" applyNumberFormat="1" applyFont="1" applyBorder="1" applyAlignment="1">
      <alignment horizontal="right" vertical="center"/>
    </xf>
    <xf numFmtId="169" fontId="14" fillId="0" borderId="16" xfId="0" applyNumberFormat="1" applyFont="1" applyBorder="1" applyAlignment="1">
      <alignment horizontal="right" vertical="center"/>
    </xf>
    <xf numFmtId="169" fontId="14" fillId="0" borderId="17" xfId="0" applyNumberFormat="1" applyFont="1" applyBorder="1" applyAlignment="1">
      <alignment horizontal="right" vertical="center"/>
    </xf>
    <xf numFmtId="178" fontId="0" fillId="0" borderId="0" xfId="0" applyNumberFormat="1"/>
    <xf numFmtId="179" fontId="5" fillId="0" borderId="15" xfId="0" applyNumberFormat="1" applyFont="1" applyBorder="1" applyAlignment="1">
      <alignment horizontal="center" vertical="center"/>
    </xf>
    <xf numFmtId="179" fontId="5" fillId="0" borderId="16" xfId="0" applyNumberFormat="1" applyFont="1" applyBorder="1" applyAlignment="1">
      <alignment horizontal="center" vertical="center"/>
    </xf>
    <xf numFmtId="179" fontId="0" fillId="0" borderId="0" xfId="0" applyNumberFormat="1"/>
    <xf numFmtId="0" fontId="20" fillId="4" borderId="0" xfId="0" applyFont="1" applyFill="1" applyBorder="1" applyAlignment="1">
      <alignment horizontal="center" vertical="center"/>
    </xf>
    <xf numFmtId="4" fontId="29" fillId="0" borderId="16" xfId="0" applyNumberFormat="1" applyFont="1" applyBorder="1" applyAlignment="1">
      <alignment horizontal="center" vertical="center"/>
    </xf>
    <xf numFmtId="4" fontId="29" fillId="0" borderId="59" xfId="0" applyNumberFormat="1" applyFont="1" applyBorder="1" applyAlignment="1">
      <alignment horizontal="center" vertical="center"/>
    </xf>
    <xf numFmtId="4" fontId="29" fillId="0" borderId="82" xfId="0" applyNumberFormat="1" applyFont="1" applyBorder="1" applyAlignment="1">
      <alignment horizontal="center" vertical="center"/>
    </xf>
    <xf numFmtId="0" fontId="30" fillId="4" borderId="20" xfId="0" applyFont="1" applyFill="1" applyBorder="1" applyAlignment="1">
      <alignment horizontal="center" vertical="center"/>
    </xf>
    <xf numFmtId="0" fontId="30" fillId="4" borderId="21" xfId="0" applyFont="1" applyFill="1" applyBorder="1" applyAlignment="1">
      <alignment horizontal="center" vertical="center"/>
    </xf>
    <xf numFmtId="0" fontId="30" fillId="4" borderId="22" xfId="0" applyFont="1" applyFill="1" applyBorder="1" applyAlignment="1">
      <alignment horizontal="center" vertical="center"/>
    </xf>
    <xf numFmtId="4" fontId="29" fillId="0" borderId="83" xfId="0" applyNumberFormat="1" applyFont="1" applyBorder="1" applyAlignment="1">
      <alignment horizontal="center" vertical="center"/>
    </xf>
    <xf numFmtId="4" fontId="29" fillId="0" borderId="84" xfId="0" applyNumberFormat="1" applyFont="1" applyBorder="1" applyAlignment="1">
      <alignment horizontal="center" vertical="center"/>
    </xf>
    <xf numFmtId="4" fontId="29" fillId="0" borderId="85" xfId="0" applyNumberFormat="1" applyFont="1" applyBorder="1" applyAlignment="1">
      <alignment horizontal="center" vertical="center"/>
    </xf>
    <xf numFmtId="0" fontId="30" fillId="4" borderId="79" xfId="0" applyFont="1" applyFill="1" applyBorder="1" applyAlignment="1">
      <alignment horizontal="center" vertical="center"/>
    </xf>
    <xf numFmtId="0" fontId="30" fillId="4" borderId="80" xfId="0" applyFont="1" applyFill="1" applyBorder="1" applyAlignment="1">
      <alignment horizontal="center" vertical="center"/>
    </xf>
    <xf numFmtId="0" fontId="30" fillId="4" borderId="81" xfId="0" applyFont="1" applyFill="1" applyBorder="1" applyAlignment="1">
      <alignment horizontal="center" vertical="center"/>
    </xf>
    <xf numFmtId="0" fontId="30" fillId="4" borderId="33" xfId="0" applyFont="1" applyFill="1" applyBorder="1" applyAlignment="1">
      <alignment horizontal="center" vertical="center"/>
    </xf>
    <xf numFmtId="170" fontId="28" fillId="5" borderId="15" xfId="0" applyNumberFormat="1" applyFont="1" applyFill="1" applyBorder="1" applyAlignment="1">
      <alignment horizontal="right" vertical="center"/>
    </xf>
    <xf numFmtId="170" fontId="28" fillId="5" borderId="17" xfId="0" applyNumberFormat="1" applyFont="1" applyFill="1" applyBorder="1" applyAlignment="1">
      <alignment horizontal="right" vertical="center"/>
    </xf>
    <xf numFmtId="171" fontId="28" fillId="5" borderId="15" xfId="0" applyNumberFormat="1" applyFont="1" applyFill="1" applyBorder="1" applyAlignment="1">
      <alignment horizontal="right" vertical="center"/>
    </xf>
    <xf numFmtId="171" fontId="28" fillId="5" borderId="17" xfId="0" applyNumberFormat="1" applyFont="1" applyFill="1" applyBorder="1" applyAlignment="1">
      <alignment horizontal="right" vertical="center"/>
    </xf>
    <xf numFmtId="172" fontId="28" fillId="5" borderId="15" xfId="0" applyNumberFormat="1" applyFont="1" applyFill="1" applyBorder="1" applyAlignment="1">
      <alignment horizontal="right" vertical="center"/>
    </xf>
    <xf numFmtId="172" fontId="28" fillId="5" borderId="17" xfId="0" applyNumberFormat="1" applyFont="1" applyFill="1" applyBorder="1" applyAlignment="1">
      <alignment horizontal="right" vertical="center"/>
    </xf>
    <xf numFmtId="173" fontId="28" fillId="5" borderId="15" xfId="0" applyNumberFormat="1" applyFont="1" applyFill="1" applyBorder="1" applyAlignment="1">
      <alignment horizontal="right" vertical="center"/>
    </xf>
    <xf numFmtId="173" fontId="28" fillId="5" borderId="17" xfId="0" applyNumberFormat="1" applyFont="1" applyFill="1" applyBorder="1" applyAlignment="1">
      <alignment horizontal="right" vertical="center"/>
    </xf>
    <xf numFmtId="10" fontId="28" fillId="5" borderId="15" xfId="0" applyNumberFormat="1" applyFont="1" applyFill="1" applyBorder="1" applyAlignment="1">
      <alignment horizontal="right" vertical="center"/>
    </xf>
    <xf numFmtId="10" fontId="28" fillId="5" borderId="10" xfId="0" applyNumberFormat="1" applyFont="1" applyFill="1" applyBorder="1" applyAlignment="1">
      <alignment horizontal="right" vertical="center"/>
    </xf>
    <xf numFmtId="166" fontId="28" fillId="5" borderId="13" xfId="0" applyNumberFormat="1" applyFont="1" applyFill="1" applyBorder="1" applyAlignment="1">
      <alignment horizontal="right" vertical="center"/>
    </xf>
    <xf numFmtId="166" fontId="28" fillId="5" borderId="17" xfId="0" applyNumberFormat="1" applyFont="1" applyFill="1" applyBorder="1" applyAlignment="1">
      <alignment horizontal="right" vertical="center"/>
    </xf>
    <xf numFmtId="4" fontId="28" fillId="5" borderId="16" xfId="0" applyNumberFormat="1" applyFont="1" applyFill="1" applyBorder="1" applyAlignment="1">
      <alignment horizontal="center" vertical="center"/>
    </xf>
    <xf numFmtId="4" fontId="28" fillId="5" borderId="12" xfId="0" applyNumberFormat="1" applyFont="1" applyFill="1" applyBorder="1" applyAlignment="1">
      <alignment horizontal="center" vertical="center"/>
    </xf>
    <xf numFmtId="4" fontId="30" fillId="4" borderId="79" xfId="0" applyNumberFormat="1" applyFont="1" applyFill="1" applyBorder="1" applyAlignment="1">
      <alignment horizontal="center" vertical="center"/>
    </xf>
    <xf numFmtId="4" fontId="30" fillId="4" borderId="80" xfId="0" applyNumberFormat="1" applyFont="1" applyFill="1" applyBorder="1" applyAlignment="1">
      <alignment horizontal="center" vertical="center"/>
    </xf>
    <xf numFmtId="4" fontId="30" fillId="4" borderId="81" xfId="0" applyNumberFormat="1" applyFont="1" applyFill="1" applyBorder="1" applyAlignment="1">
      <alignment horizontal="center" vertical="center"/>
    </xf>
    <xf numFmtId="4" fontId="28" fillId="5" borderId="59" xfId="0" applyNumberFormat="1" applyFont="1" applyFill="1" applyBorder="1" applyAlignment="1">
      <alignment horizontal="center" vertical="center"/>
    </xf>
    <xf numFmtId="4" fontId="28" fillId="5" borderId="82" xfId="0" applyNumberFormat="1" applyFont="1" applyFill="1" applyBorder="1" applyAlignment="1">
      <alignment horizontal="center" vertical="center"/>
    </xf>
    <xf numFmtId="4" fontId="28" fillId="5" borderId="84" xfId="0" applyNumberFormat="1" applyFont="1" applyFill="1" applyBorder="1" applyAlignment="1">
      <alignment horizontal="center" vertical="center"/>
    </xf>
    <xf numFmtId="4" fontId="28" fillId="5" borderId="85" xfId="0" applyNumberFormat="1" applyFont="1" applyFill="1" applyBorder="1" applyAlignment="1">
      <alignment horizontal="center" vertical="center"/>
    </xf>
    <xf numFmtId="4" fontId="28" fillId="5" borderId="0" xfId="0" quotePrefix="1" applyNumberFormat="1" applyFont="1" applyFill="1" applyBorder="1" applyAlignment="1">
      <alignment horizontal="left" vertical="center"/>
    </xf>
    <xf numFmtId="4" fontId="30" fillId="3" borderId="4" xfId="0" applyNumberFormat="1" applyFont="1" applyFill="1" applyBorder="1" applyAlignment="1">
      <alignment horizontal="centerContinuous" vertical="center"/>
    </xf>
    <xf numFmtId="4" fontId="30" fillId="3" borderId="6" xfId="0" applyNumberFormat="1" applyFont="1" applyFill="1" applyBorder="1" applyAlignment="1">
      <alignment horizontal="centerContinuous" vertical="center"/>
    </xf>
    <xf numFmtId="4" fontId="30" fillId="3" borderId="5" xfId="0" applyNumberFormat="1" applyFont="1" applyFill="1" applyBorder="1" applyAlignment="1">
      <alignment horizontal="centerContinuous" vertical="center"/>
    </xf>
    <xf numFmtId="4" fontId="30" fillId="4" borderId="20" xfId="0" applyNumberFormat="1" applyFont="1" applyFill="1" applyBorder="1" applyAlignment="1">
      <alignment horizontal="center" vertical="center"/>
    </xf>
    <xf numFmtId="4" fontId="30" fillId="4" borderId="21" xfId="0" applyNumberFormat="1" applyFont="1" applyFill="1" applyBorder="1" applyAlignment="1">
      <alignment horizontal="center" vertical="center"/>
    </xf>
    <xf numFmtId="4" fontId="30" fillId="4" borderId="22" xfId="0" applyNumberFormat="1" applyFont="1" applyFill="1" applyBorder="1" applyAlignment="1">
      <alignment horizontal="center" vertical="center"/>
    </xf>
    <xf numFmtId="4" fontId="28" fillId="5" borderId="83" xfId="0" applyNumberFormat="1" applyFont="1" applyFill="1" applyBorder="1" applyAlignment="1">
      <alignment horizontal="center" vertical="center"/>
    </xf>
    <xf numFmtId="0" fontId="29" fillId="0" borderId="0" xfId="0" applyFont="1"/>
    <xf numFmtId="166" fontId="29" fillId="0" borderId="0" xfId="0" applyNumberFormat="1" applyFont="1" applyAlignment="1">
      <alignment horizontal="center"/>
    </xf>
    <xf numFmtId="0" fontId="29" fillId="0" borderId="0" xfId="0" applyFont="1" applyAlignment="1">
      <alignment horizontal="center" vertical="center"/>
    </xf>
    <xf numFmtId="166" fontId="29" fillId="0" borderId="10" xfId="0" applyNumberFormat="1" applyFont="1" applyBorder="1" applyAlignment="1">
      <alignment horizontal="center" vertical="center"/>
    </xf>
    <xf numFmtId="0" fontId="20" fillId="4" borderId="86" xfId="0" applyFont="1" applyFill="1" applyBorder="1" applyAlignment="1">
      <alignment horizontal="center" vertical="center"/>
    </xf>
    <xf numFmtId="4" fontId="29" fillId="0" borderId="68" xfId="0" applyNumberFormat="1" applyFont="1" applyBorder="1" applyAlignment="1">
      <alignment horizontal="center" vertical="center"/>
    </xf>
    <xf numFmtId="166" fontId="29" fillId="0" borderId="70" xfId="0" applyNumberFormat="1" applyFont="1" applyBorder="1" applyAlignment="1">
      <alignment horizontal="center" vertical="center"/>
    </xf>
    <xf numFmtId="0" fontId="37" fillId="0" borderId="1" xfId="1" applyFont="1"/>
    <xf numFmtId="0" fontId="38" fillId="0" borderId="90" xfId="2" applyFont="1"/>
    <xf numFmtId="0" fontId="38" fillId="0" borderId="91" xfId="3" applyFont="1"/>
    <xf numFmtId="166" fontId="29" fillId="0" borderId="48" xfId="0" applyNumberFormat="1" applyFont="1" applyBorder="1" applyAlignment="1">
      <alignment horizontal="center"/>
    </xf>
    <xf numFmtId="166" fontId="29" fillId="0" borderId="89" xfId="0" applyNumberFormat="1" applyFont="1" applyBorder="1" applyAlignment="1">
      <alignment horizontal="center"/>
    </xf>
    <xf numFmtId="0" fontId="29" fillId="0" borderId="49" xfId="0" applyFont="1" applyBorder="1" applyAlignment="1">
      <alignment horizontal="center" vertical="center"/>
    </xf>
    <xf numFmtId="166" fontId="3" fillId="0" borderId="87" xfId="0" applyNumberFormat="1" applyFont="1" applyBorder="1" applyAlignment="1">
      <alignment horizontal="center" vertical="center"/>
    </xf>
    <xf numFmtId="166" fontId="3" fillId="0" borderId="88" xfId="0" applyNumberFormat="1" applyFont="1" applyBorder="1" applyAlignment="1">
      <alignment horizontal="center" vertical="center"/>
    </xf>
    <xf numFmtId="166" fontId="29" fillId="0" borderId="12" xfId="0" applyNumberFormat="1" applyFont="1" applyBorder="1" applyAlignment="1">
      <alignment horizontal="center" vertical="center"/>
    </xf>
    <xf numFmtId="166" fontId="29" fillId="0" borderId="9" xfId="0" applyNumberFormat="1" applyFont="1" applyBorder="1" applyAlignment="1">
      <alignment horizontal="center" vertical="center"/>
    </xf>
    <xf numFmtId="166" fontId="29" fillId="0" borderId="15" xfId="0" applyNumberFormat="1" applyFont="1" applyBorder="1" applyAlignment="1">
      <alignment horizontal="center" vertical="center"/>
    </xf>
    <xf numFmtId="166" fontId="29" fillId="0" borderId="11" xfId="0" applyNumberFormat="1" applyFont="1" applyBorder="1" applyAlignment="1">
      <alignment horizontal="center" vertical="center"/>
    </xf>
    <xf numFmtId="166" fontId="29" fillId="0" borderId="16" xfId="0" applyNumberFormat="1" applyFont="1" applyBorder="1" applyAlignment="1">
      <alignment horizontal="center" vertical="center"/>
    </xf>
    <xf numFmtId="166" fontId="29" fillId="0" borderId="13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 vertical="center"/>
    </xf>
    <xf numFmtId="4" fontId="29" fillId="0" borderId="15" xfId="0" applyNumberFormat="1" applyFont="1" applyBorder="1" applyAlignment="1">
      <alignment horizontal="center" vertical="center"/>
    </xf>
    <xf numFmtId="166" fontId="29" fillId="0" borderId="14" xfId="0" applyNumberFormat="1" applyFont="1" applyBorder="1" applyAlignment="1">
      <alignment horizontal="center" vertical="center"/>
    </xf>
    <xf numFmtId="166" fontId="29" fillId="0" borderId="68" xfId="0" applyNumberFormat="1" applyFont="1" applyBorder="1" applyAlignment="1">
      <alignment horizontal="center" vertical="center"/>
    </xf>
    <xf numFmtId="4" fontId="30" fillId="4" borderId="32" xfId="0" applyNumberFormat="1" applyFont="1" applyFill="1" applyBorder="1" applyAlignment="1">
      <alignment horizontal="center" vertical="center"/>
    </xf>
    <xf numFmtId="166" fontId="30" fillId="4" borderId="33" xfId="0" applyNumberFormat="1" applyFont="1" applyFill="1" applyBorder="1" applyAlignment="1">
      <alignment horizontal="center" vertical="center"/>
    </xf>
    <xf numFmtId="4" fontId="29" fillId="0" borderId="92" xfId="0" applyNumberFormat="1" applyFont="1" applyBorder="1" applyAlignment="1">
      <alignment horizontal="center" vertical="center"/>
    </xf>
    <xf numFmtId="2" fontId="29" fillId="0" borderId="48" xfId="0" applyNumberFormat="1" applyFont="1" applyBorder="1" applyAlignment="1">
      <alignment horizontal="center"/>
    </xf>
    <xf numFmtId="2" fontId="29" fillId="0" borderId="89" xfId="0" applyNumberFormat="1" applyFont="1" applyBorder="1" applyAlignment="1">
      <alignment horizontal="center"/>
    </xf>
    <xf numFmtId="4" fontId="29" fillId="0" borderId="93" xfId="0" applyNumberFormat="1" applyFont="1" applyBorder="1" applyAlignment="1">
      <alignment horizontal="center" vertical="center"/>
    </xf>
    <xf numFmtId="4" fontId="29" fillId="0" borderId="78" xfId="0" applyNumberFormat="1" applyFont="1" applyBorder="1" applyAlignment="1">
      <alignment horizontal="center" vertical="center"/>
    </xf>
    <xf numFmtId="4" fontId="29" fillId="0" borderId="95" xfId="0" applyNumberFormat="1" applyFont="1" applyBorder="1" applyAlignment="1">
      <alignment horizontal="center" vertical="center"/>
    </xf>
    <xf numFmtId="4" fontId="29" fillId="0" borderId="94" xfId="0" applyNumberFormat="1" applyFont="1" applyBorder="1" applyAlignment="1">
      <alignment horizontal="center" vertical="center"/>
    </xf>
    <xf numFmtId="2" fontId="32" fillId="4" borderId="56" xfId="0" applyNumberFormat="1" applyFont="1" applyFill="1" applyBorder="1" applyAlignment="1">
      <alignment horizontal="center" vertical="center"/>
    </xf>
    <xf numFmtId="0" fontId="30" fillId="3" borderId="18" xfId="0" applyFont="1" applyFill="1" applyBorder="1" applyAlignment="1">
      <alignment horizontal="centerContinuous" vertical="center"/>
    </xf>
    <xf numFmtId="0" fontId="32" fillId="3" borderId="96" xfId="0" applyFont="1" applyFill="1" applyBorder="1" applyAlignment="1">
      <alignment horizontal="centerContinuous" vertical="center"/>
    </xf>
    <xf numFmtId="0" fontId="32" fillId="3" borderId="55" xfId="0" applyFont="1" applyFill="1" applyBorder="1" applyAlignment="1">
      <alignment horizontal="centerContinuous" vertical="center"/>
    </xf>
    <xf numFmtId="0" fontId="32" fillId="3" borderId="7" xfId="0" applyFont="1" applyFill="1" applyBorder="1" applyAlignment="1">
      <alignment horizontal="centerContinuous" vertical="center"/>
    </xf>
    <xf numFmtId="0" fontId="32" fillId="3" borderId="4" xfId="0" applyFont="1" applyFill="1" applyBorder="1" applyAlignment="1">
      <alignment horizontal="centerContinuous" vertical="center"/>
    </xf>
    <xf numFmtId="0" fontId="32" fillId="3" borderId="5" xfId="0" applyFont="1" applyFill="1" applyBorder="1" applyAlignment="1">
      <alignment horizontal="centerContinuous" vertical="center"/>
    </xf>
    <xf numFmtId="4" fontId="29" fillId="0" borderId="22" xfId="0" applyNumberFormat="1" applyFont="1" applyBorder="1" applyAlignment="1">
      <alignment horizontal="center" vertical="center"/>
    </xf>
    <xf numFmtId="0" fontId="32" fillId="3" borderId="6" xfId="0" applyFont="1" applyFill="1" applyBorder="1" applyAlignment="1">
      <alignment horizontal="centerContinuous" vertical="center"/>
    </xf>
    <xf numFmtId="0" fontId="30" fillId="3" borderId="8" xfId="0" applyFont="1" applyFill="1" applyBorder="1" applyAlignment="1">
      <alignment horizontal="centerContinuous" vertical="center"/>
    </xf>
    <xf numFmtId="0" fontId="30" fillId="3" borderId="0" xfId="0" applyFont="1" applyFill="1" applyBorder="1" applyAlignment="1">
      <alignment horizontal="centerContinuous" vertical="center"/>
    </xf>
    <xf numFmtId="0" fontId="30" fillId="4" borderId="97" xfId="0" applyFont="1" applyFill="1" applyBorder="1" applyAlignment="1">
      <alignment horizontal="center" vertical="center"/>
    </xf>
    <xf numFmtId="4" fontId="29" fillId="0" borderId="98" xfId="0" applyNumberFormat="1" applyFont="1" applyBorder="1" applyAlignment="1">
      <alignment horizontal="center" vertical="center"/>
    </xf>
    <xf numFmtId="2" fontId="32" fillId="4" borderId="32" xfId="0" applyNumberFormat="1" applyFont="1" applyFill="1" applyBorder="1" applyAlignment="1">
      <alignment horizontal="center" vertical="center"/>
    </xf>
    <xf numFmtId="2" fontId="32" fillId="4" borderId="33" xfId="0" applyNumberFormat="1" applyFont="1" applyFill="1" applyBorder="1" applyAlignment="1">
      <alignment horizontal="center" vertical="center"/>
    </xf>
    <xf numFmtId="2" fontId="32" fillId="4" borderId="34" xfId="0" applyNumberFormat="1" applyFont="1" applyFill="1" applyBorder="1" applyAlignment="1">
      <alignment horizontal="center" vertical="center"/>
    </xf>
    <xf numFmtId="2" fontId="29" fillId="0" borderId="35" xfId="0" applyNumberFormat="1" applyFont="1" applyBorder="1" applyAlignment="1">
      <alignment horizontal="center"/>
    </xf>
    <xf numFmtId="2" fontId="29" fillId="0" borderId="41" xfId="0" applyNumberFormat="1" applyFont="1" applyBorder="1" applyAlignment="1">
      <alignment horizontal="center"/>
    </xf>
    <xf numFmtId="2" fontId="0" fillId="0" borderId="41" xfId="0" applyNumberFormat="1" applyBorder="1" applyAlignment="1">
      <alignment horizontal="center"/>
    </xf>
    <xf numFmtId="2" fontId="0" fillId="0" borderId="36" xfId="0" applyNumberFormat="1" applyBorder="1" applyAlignment="1">
      <alignment horizontal="center"/>
    </xf>
    <xf numFmtId="2" fontId="32" fillId="4" borderId="55" xfId="0" applyNumberFormat="1" applyFont="1" applyFill="1" applyBorder="1" applyAlignment="1">
      <alignment horizontal="center" vertical="center"/>
    </xf>
    <xf numFmtId="2" fontId="0" fillId="0" borderId="99" xfId="0" applyNumberFormat="1" applyBorder="1" applyAlignment="1">
      <alignment horizontal="center"/>
    </xf>
    <xf numFmtId="2" fontId="0" fillId="0" borderId="100" xfId="0" applyNumberFormat="1" applyBorder="1" applyAlignment="1">
      <alignment horizontal="center"/>
    </xf>
    <xf numFmtId="2" fontId="0" fillId="0" borderId="101" xfId="0" applyNumberFormat="1" applyBorder="1" applyAlignment="1">
      <alignment horizontal="center"/>
    </xf>
    <xf numFmtId="2" fontId="32" fillId="4" borderId="102" xfId="0" applyNumberFormat="1" applyFont="1" applyFill="1" applyBorder="1" applyAlignment="1">
      <alignment horizontal="center" vertical="center"/>
    </xf>
    <xf numFmtId="2" fontId="0" fillId="0" borderId="37" xfId="0" applyNumberFormat="1" applyBorder="1" applyAlignment="1">
      <alignment horizontal="center"/>
    </xf>
    <xf numFmtId="2" fontId="0" fillId="0" borderId="42" xfId="0" applyNumberFormat="1" applyBorder="1" applyAlignment="1">
      <alignment horizontal="center"/>
    </xf>
    <xf numFmtId="2" fontId="0" fillId="0" borderId="38" xfId="0" applyNumberFormat="1" applyBorder="1" applyAlignment="1">
      <alignment horizontal="center"/>
    </xf>
    <xf numFmtId="2" fontId="32" fillId="4" borderId="103" xfId="0" applyNumberFormat="1" applyFont="1" applyFill="1" applyBorder="1" applyAlignment="1">
      <alignment horizontal="center" vertical="center"/>
    </xf>
    <xf numFmtId="4" fontId="29" fillId="0" borderId="104" xfId="0" applyNumberFormat="1" applyFont="1" applyBorder="1" applyAlignment="1">
      <alignment horizontal="center" vertical="center"/>
    </xf>
    <xf numFmtId="4" fontId="30" fillId="4" borderId="20" xfId="0" applyNumberFormat="1" applyFont="1" applyFill="1" applyBorder="1" applyAlignment="1">
      <alignment horizontal="centerContinuous" vertical="center"/>
    </xf>
    <xf numFmtId="4" fontId="30" fillId="4" borderId="21" xfId="0" applyNumberFormat="1" applyFont="1" applyFill="1" applyBorder="1" applyAlignment="1">
      <alignment horizontal="centerContinuous" vertical="center"/>
    </xf>
    <xf numFmtId="4" fontId="30" fillId="4" borderId="22" xfId="0" applyNumberFormat="1" applyFont="1" applyFill="1" applyBorder="1" applyAlignment="1">
      <alignment horizontal="centerContinuous" vertical="center"/>
    </xf>
    <xf numFmtId="4" fontId="29" fillId="0" borderId="105" xfId="0" applyNumberFormat="1" applyFont="1" applyBorder="1" applyAlignment="1">
      <alignment horizontal="center" vertical="center"/>
    </xf>
    <xf numFmtId="4" fontId="29" fillId="0" borderId="106" xfId="0" applyNumberFormat="1" applyFont="1" applyBorder="1" applyAlignment="1">
      <alignment horizontal="center" vertical="center"/>
    </xf>
    <xf numFmtId="4" fontId="29" fillId="0" borderId="107" xfId="0" applyNumberFormat="1" applyFont="1" applyBorder="1" applyAlignment="1">
      <alignment horizontal="center" vertical="center"/>
    </xf>
    <xf numFmtId="4" fontId="29" fillId="0" borderId="108" xfId="0" applyNumberFormat="1" applyFont="1" applyBorder="1" applyAlignment="1">
      <alignment horizontal="center" vertical="center"/>
    </xf>
    <xf numFmtId="4" fontId="29" fillId="0" borderId="109" xfId="0" applyNumberFormat="1" applyFont="1" applyBorder="1" applyAlignment="1">
      <alignment horizontal="center" vertical="center"/>
    </xf>
    <xf numFmtId="4" fontId="29" fillId="0" borderId="110" xfId="0" applyNumberFormat="1" applyFont="1" applyBorder="1" applyAlignment="1">
      <alignment horizontal="center" vertical="center"/>
    </xf>
    <xf numFmtId="4" fontId="29" fillId="0" borderId="111" xfId="0" applyNumberFormat="1" applyFont="1" applyBorder="1" applyAlignment="1">
      <alignment horizontal="center" vertical="center"/>
    </xf>
    <xf numFmtId="0" fontId="32" fillId="4" borderId="32" xfId="0" applyFont="1" applyFill="1" applyBorder="1" applyAlignment="1">
      <alignment horizontal="center" vertical="center"/>
    </xf>
    <xf numFmtId="0" fontId="32" fillId="4" borderId="34" xfId="0" applyFont="1" applyFill="1" applyBorder="1" applyAlignment="1">
      <alignment horizontal="center" vertical="center"/>
    </xf>
    <xf numFmtId="4" fontId="29" fillId="0" borderId="71" xfId="0" applyNumberFormat="1" applyFont="1" applyBorder="1" applyAlignment="1">
      <alignment horizontal="center" vertical="center"/>
    </xf>
    <xf numFmtId="4" fontId="29" fillId="0" borderId="73" xfId="0" applyNumberFormat="1" applyFont="1" applyBorder="1" applyAlignment="1">
      <alignment horizontal="center" vertical="center"/>
    </xf>
    <xf numFmtId="4" fontId="29" fillId="0" borderId="114" xfId="0" applyNumberFormat="1" applyFont="1" applyBorder="1" applyAlignment="1">
      <alignment horizontal="center" vertical="center"/>
    </xf>
    <xf numFmtId="4" fontId="29" fillId="0" borderId="115" xfId="0" applyNumberFormat="1" applyFont="1" applyBorder="1" applyAlignment="1">
      <alignment horizontal="center" vertical="center"/>
    </xf>
    <xf numFmtId="4" fontId="29" fillId="0" borderId="116" xfId="0" applyNumberFormat="1" applyFont="1" applyBorder="1" applyAlignment="1">
      <alignment horizontal="center" vertical="center"/>
    </xf>
    <xf numFmtId="4" fontId="29" fillId="0" borderId="117" xfId="0" applyNumberFormat="1" applyFont="1" applyBorder="1" applyAlignment="1">
      <alignment horizontal="center" vertical="center"/>
    </xf>
    <xf numFmtId="4" fontId="29" fillId="0" borderId="118" xfId="0" applyNumberFormat="1" applyFont="1" applyBorder="1" applyAlignment="1">
      <alignment horizontal="center" vertical="center"/>
    </xf>
    <xf numFmtId="4" fontId="29" fillId="0" borderId="119" xfId="0" applyNumberFormat="1" applyFont="1" applyBorder="1" applyAlignment="1">
      <alignment horizontal="center" vertical="center"/>
    </xf>
    <xf numFmtId="4" fontId="29" fillId="0" borderId="120" xfId="0" applyNumberFormat="1" applyFont="1" applyBorder="1" applyAlignment="1">
      <alignment horizontal="center" vertical="center"/>
    </xf>
    <xf numFmtId="4" fontId="30" fillId="4" borderId="121" xfId="0" applyNumberFormat="1" applyFont="1" applyFill="1" applyBorder="1" applyAlignment="1">
      <alignment horizontal="center" vertical="center"/>
    </xf>
    <xf numFmtId="4" fontId="30" fillId="4" borderId="113" xfId="0" applyNumberFormat="1" applyFont="1" applyFill="1" applyBorder="1" applyAlignment="1">
      <alignment horizontal="center" vertical="center"/>
    </xf>
    <xf numFmtId="4" fontId="30" fillId="4" borderId="98" xfId="0" applyNumberFormat="1" applyFont="1" applyFill="1" applyBorder="1" applyAlignment="1">
      <alignment horizontal="center" vertical="center"/>
    </xf>
    <xf numFmtId="4" fontId="30" fillId="4" borderId="122" xfId="0" applyNumberFormat="1" applyFont="1" applyFill="1" applyBorder="1" applyAlignment="1">
      <alignment horizontal="center" vertical="center"/>
    </xf>
    <xf numFmtId="4" fontId="30" fillId="4" borderId="64" xfId="0" applyNumberFormat="1" applyFont="1" applyFill="1" applyBorder="1" applyAlignment="1">
      <alignment horizontal="center" vertical="center"/>
    </xf>
    <xf numFmtId="4" fontId="29" fillId="0" borderId="123" xfId="0" applyNumberFormat="1" applyFont="1" applyBorder="1" applyAlignment="1">
      <alignment horizontal="center" vertical="center"/>
    </xf>
    <xf numFmtId="4" fontId="29" fillId="0" borderId="124" xfId="0" applyNumberFormat="1" applyFont="1" applyBorder="1" applyAlignment="1">
      <alignment horizontal="center" vertical="center"/>
    </xf>
    <xf numFmtId="4" fontId="29" fillId="0" borderId="47" xfId="0" applyNumberFormat="1" applyFont="1" applyBorder="1" applyAlignment="1">
      <alignment horizontal="center" vertical="center"/>
    </xf>
    <xf numFmtId="4" fontId="29" fillId="0" borderId="125" xfId="0" applyNumberFormat="1" applyFont="1" applyBorder="1" applyAlignment="1">
      <alignment horizontal="center" vertical="center"/>
    </xf>
    <xf numFmtId="4" fontId="29" fillId="0" borderId="126" xfId="0" applyNumberFormat="1" applyFont="1" applyBorder="1" applyAlignment="1">
      <alignment horizontal="center" vertical="center"/>
    </xf>
    <xf numFmtId="4" fontId="29" fillId="0" borderId="127" xfId="0" applyNumberFormat="1" applyFont="1" applyBorder="1" applyAlignment="1">
      <alignment horizontal="center" vertical="center"/>
    </xf>
    <xf numFmtId="0" fontId="32" fillId="4" borderId="5" xfId="0" applyFont="1" applyFill="1" applyBorder="1" applyAlignment="1">
      <alignment horizontal="center" vertical="center"/>
    </xf>
    <xf numFmtId="0" fontId="32" fillId="4" borderId="128" xfId="0" applyFont="1" applyFill="1" applyBorder="1" applyAlignment="1">
      <alignment horizontal="center" vertical="center"/>
    </xf>
    <xf numFmtId="4" fontId="30" fillId="4" borderId="19" xfId="0" applyNumberFormat="1" applyFont="1" applyFill="1" applyBorder="1" applyAlignment="1">
      <alignment horizontal="center" vertical="center"/>
    </xf>
    <xf numFmtId="4" fontId="29" fillId="0" borderId="112" xfId="0" applyNumberFormat="1" applyFont="1" applyBorder="1" applyAlignment="1">
      <alignment horizontal="center" vertical="center"/>
    </xf>
    <xf numFmtId="4" fontId="30" fillId="4" borderId="129" xfId="0" applyNumberFormat="1" applyFont="1" applyFill="1" applyBorder="1" applyAlignment="1">
      <alignment horizontal="center" vertical="center"/>
    </xf>
    <xf numFmtId="4" fontId="29" fillId="0" borderId="131" xfId="0" applyNumberFormat="1" applyFont="1" applyBorder="1" applyAlignment="1">
      <alignment horizontal="center" vertical="center"/>
    </xf>
    <xf numFmtId="4" fontId="29" fillId="0" borderId="130" xfId="0" applyNumberFormat="1" applyFont="1" applyBorder="1" applyAlignment="1">
      <alignment horizontal="center" vertical="center"/>
    </xf>
    <xf numFmtId="4" fontId="29" fillId="0" borderId="132" xfId="0" applyNumberFormat="1" applyFont="1" applyBorder="1" applyAlignment="1">
      <alignment horizontal="center" vertical="center"/>
    </xf>
    <xf numFmtId="4" fontId="29" fillId="0" borderId="134" xfId="0" applyNumberFormat="1" applyFont="1" applyBorder="1" applyAlignment="1">
      <alignment horizontal="center" vertical="center"/>
    </xf>
    <xf numFmtId="4" fontId="29" fillId="0" borderId="133" xfId="0" applyNumberFormat="1" applyFont="1" applyBorder="1" applyAlignment="1">
      <alignment horizontal="center" vertical="center"/>
    </xf>
    <xf numFmtId="4" fontId="29" fillId="0" borderId="135" xfId="0" applyNumberFormat="1" applyFont="1" applyBorder="1" applyAlignment="1">
      <alignment horizontal="center" vertical="center"/>
    </xf>
    <xf numFmtId="0" fontId="30" fillId="3" borderId="53" xfId="0" applyFont="1" applyFill="1" applyBorder="1" applyAlignment="1">
      <alignment horizontal="centerContinuous" vertical="center"/>
    </xf>
    <xf numFmtId="0" fontId="30" fillId="4" borderId="53" xfId="0" applyFont="1" applyFill="1" applyBorder="1" applyAlignment="1">
      <alignment horizontal="center" vertical="center"/>
    </xf>
    <xf numFmtId="4" fontId="29" fillId="0" borderId="64" xfId="0" applyNumberFormat="1" applyFont="1" applyBorder="1" applyAlignment="1">
      <alignment horizontal="center" vertical="center"/>
    </xf>
    <xf numFmtId="4" fontId="29" fillId="0" borderId="20" xfId="0" applyNumberFormat="1" applyFont="1" applyBorder="1" applyAlignment="1">
      <alignment horizontal="center" vertical="center"/>
    </xf>
    <xf numFmtId="3" fontId="29" fillId="0" borderId="64" xfId="0" applyNumberFormat="1" applyFont="1" applyBorder="1" applyAlignment="1">
      <alignment horizontal="center" vertical="center"/>
    </xf>
    <xf numFmtId="0" fontId="39" fillId="0" borderId="0" xfId="4" applyFill="1" applyBorder="1" applyAlignment="1">
      <alignment horizontal="centerContinuous" vertical="center"/>
    </xf>
    <xf numFmtId="0" fontId="39" fillId="0" borderId="0" xfId="4"/>
    <xf numFmtId="0" fontId="39" fillId="0" borderId="48" xfId="4" applyFill="1" applyBorder="1" applyAlignment="1">
      <alignment horizontal="centerContinuous" vertical="center"/>
    </xf>
    <xf numFmtId="0" fontId="39" fillId="0" borderId="49" xfId="4" applyFill="1" applyBorder="1" applyAlignment="1">
      <alignment horizontal="centerContinuous" vertical="center"/>
    </xf>
    <xf numFmtId="4" fontId="39" fillId="0" borderId="54" xfId="4" applyNumberFormat="1" applyBorder="1" applyAlignment="1">
      <alignment horizontal="centerContinuous" vertical="center"/>
    </xf>
    <xf numFmtId="4" fontId="40" fillId="0" borderId="9" xfId="4" applyNumberFormat="1" applyFont="1" applyBorder="1" applyAlignment="1">
      <alignment horizontal="center" vertical="center"/>
    </xf>
    <xf numFmtId="4" fontId="40" fillId="0" borderId="11" xfId="4" applyNumberFormat="1" applyFont="1" applyBorder="1" applyAlignment="1">
      <alignment horizontal="center" vertical="center"/>
    </xf>
    <xf numFmtId="4" fontId="40" fillId="0" borderId="13" xfId="4" applyNumberFormat="1" applyFont="1" applyBorder="1" applyAlignment="1">
      <alignment horizontal="center" vertical="center"/>
    </xf>
    <xf numFmtId="0" fontId="39" fillId="0" borderId="0" xfId="4" applyFill="1" applyAlignment="1">
      <alignment horizontal="centerContinuous"/>
    </xf>
    <xf numFmtId="166" fontId="44" fillId="0" borderId="0" xfId="0" applyNumberFormat="1" applyFont="1" applyAlignment="1">
      <alignment horizontal="left"/>
    </xf>
    <xf numFmtId="0" fontId="0" fillId="0" borderId="0" xfId="0"/>
    <xf numFmtId="0" fontId="30" fillId="3" borderId="4" xfId="6" applyFont="1" applyFill="1" applyBorder="1" applyAlignment="1">
      <alignment horizontal="centerContinuous" vertical="center"/>
    </xf>
    <xf numFmtId="0" fontId="30" fillId="3" borderId="6" xfId="6" applyFont="1" applyFill="1" applyBorder="1" applyAlignment="1">
      <alignment horizontal="centerContinuous" vertical="center"/>
    </xf>
    <xf numFmtId="4" fontId="43" fillId="0" borderId="11" xfId="6" applyNumberFormat="1" applyFont="1" applyBorder="1" applyAlignment="1">
      <alignment horizontal="center" vertical="center"/>
    </xf>
    <xf numFmtId="4" fontId="43" fillId="0" borderId="16" xfId="6" applyNumberFormat="1" applyFont="1" applyBorder="1" applyAlignment="1">
      <alignment horizontal="center" vertical="center"/>
    </xf>
    <xf numFmtId="4" fontId="43" fillId="0" borderId="13" xfId="6" applyNumberFormat="1" applyFont="1" applyBorder="1" applyAlignment="1">
      <alignment horizontal="center" vertical="center"/>
    </xf>
    <xf numFmtId="4" fontId="43" fillId="0" borderId="17" xfId="6" applyNumberFormat="1" applyFont="1" applyBorder="1" applyAlignment="1">
      <alignment horizontal="center" vertical="center"/>
    </xf>
    <xf numFmtId="166" fontId="43" fillId="0" borderId="16" xfId="6" applyNumberFormat="1" applyFont="1" applyBorder="1" applyAlignment="1">
      <alignment horizontal="right" vertical="center"/>
    </xf>
    <xf numFmtId="166" fontId="43" fillId="0" borderId="17" xfId="6" applyNumberFormat="1" applyFont="1" applyBorder="1" applyAlignment="1">
      <alignment horizontal="right" vertical="center"/>
    </xf>
    <xf numFmtId="3" fontId="43" fillId="0" borderId="16" xfId="6" applyNumberFormat="1" applyFont="1" applyBorder="1" applyAlignment="1">
      <alignment horizontal="right" vertical="center"/>
    </xf>
    <xf numFmtId="3" fontId="43" fillId="0" borderId="17" xfId="6" applyNumberFormat="1" applyFont="1" applyBorder="1" applyAlignment="1">
      <alignment horizontal="right" vertical="center"/>
    </xf>
    <xf numFmtId="0" fontId="30" fillId="3" borderId="54" xfId="0" applyFont="1" applyFill="1" applyBorder="1" applyAlignment="1">
      <alignment horizontal="centerContinuous" vertical="center"/>
    </xf>
    <xf numFmtId="0" fontId="32" fillId="3" borderId="49" xfId="0" applyFont="1" applyFill="1" applyBorder="1" applyAlignment="1">
      <alignment horizontal="centerContinuous" vertical="center"/>
    </xf>
    <xf numFmtId="181" fontId="29" fillId="0" borderId="48" xfId="0" applyNumberFormat="1" applyFont="1" applyBorder="1" applyAlignment="1">
      <alignment horizontal="center"/>
    </xf>
    <xf numFmtId="181" fontId="29" fillId="0" borderId="89" xfId="0" applyNumberFormat="1" applyFont="1" applyBorder="1" applyAlignment="1">
      <alignment horizontal="center"/>
    </xf>
    <xf numFmtId="4" fontId="29" fillId="0" borderId="13" xfId="0" applyNumberFormat="1" applyFont="1" applyFill="1" applyBorder="1" applyAlignment="1">
      <alignment horizontal="center" vertical="center"/>
    </xf>
    <xf numFmtId="0" fontId="29" fillId="0" borderId="14" xfId="0" applyNumberFormat="1" applyFont="1" applyBorder="1" applyAlignment="1">
      <alignment horizontal="center" vertical="center"/>
    </xf>
    <xf numFmtId="180" fontId="29" fillId="0" borderId="12" xfId="0" applyNumberFormat="1" applyFont="1" applyBorder="1" applyAlignment="1">
      <alignment horizontal="center" vertical="center"/>
    </xf>
    <xf numFmtId="180" fontId="29" fillId="0" borderId="14" xfId="0" applyNumberFormat="1" applyFont="1" applyBorder="1" applyAlignment="1">
      <alignment horizontal="center" vertical="center"/>
    </xf>
    <xf numFmtId="0" fontId="29" fillId="0" borderId="12" xfId="0" applyNumberFormat="1" applyFont="1" applyBorder="1" applyAlignment="1">
      <alignment horizontal="center" vertical="center"/>
    </xf>
    <xf numFmtId="0" fontId="0" fillId="0" borderId="28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47" xfId="0" applyBorder="1" applyAlignment="1">
      <alignment horizontal="center"/>
    </xf>
    <xf numFmtId="0" fontId="18" fillId="7" borderId="27" xfId="0" applyFont="1" applyFill="1" applyBorder="1" applyAlignment="1">
      <alignment horizontal="centerContinuous"/>
    </xf>
    <xf numFmtId="0" fontId="18" fillId="7" borderId="63" xfId="0" applyFont="1" applyFill="1" applyBorder="1" applyAlignment="1">
      <alignment horizontal="centerContinuous"/>
    </xf>
    <xf numFmtId="0" fontId="18" fillId="7" borderId="44" xfId="0" applyFont="1" applyFill="1" applyBorder="1" applyAlignment="1">
      <alignment horizontal="centerContinuous"/>
    </xf>
    <xf numFmtId="0" fontId="18" fillId="7" borderId="0" xfId="0" applyFont="1" applyFill="1" applyBorder="1" applyAlignment="1">
      <alignment horizontal="centerContinuous"/>
    </xf>
    <xf numFmtId="0" fontId="18" fillId="7" borderId="46" xfId="0" applyFont="1" applyFill="1" applyBorder="1" applyAlignment="1">
      <alignment horizontal="centerContinuous"/>
    </xf>
    <xf numFmtId="0" fontId="18" fillId="7" borderId="136" xfId="0" applyFont="1" applyFill="1" applyBorder="1" applyAlignment="1">
      <alignment horizontal="centerContinuous"/>
    </xf>
    <xf numFmtId="0" fontId="47" fillId="0" borderId="0" xfId="0" applyFont="1"/>
    <xf numFmtId="0" fontId="48" fillId="0" borderId="0" xfId="0" applyFont="1"/>
    <xf numFmtId="0" fontId="0" fillId="0" borderId="0" xfId="0"/>
    <xf numFmtId="9" fontId="0" fillId="0" borderId="0" xfId="0" applyNumberFormat="1"/>
    <xf numFmtId="4" fontId="35" fillId="8" borderId="9" xfId="6" applyNumberFormat="1" applyFont="1" applyFill="1" applyBorder="1" applyAlignment="1">
      <alignment horizontal="center" vertical="center"/>
    </xf>
    <xf numFmtId="4" fontId="35" fillId="8" borderId="11" xfId="6" applyNumberFormat="1" applyFont="1" applyFill="1" applyBorder="1" applyAlignment="1">
      <alignment horizontal="center" vertical="center"/>
    </xf>
    <xf numFmtId="4" fontId="35" fillId="8" borderId="13" xfId="6" applyNumberFormat="1" applyFont="1" applyFill="1" applyBorder="1" applyAlignment="1">
      <alignment horizontal="center" vertical="center"/>
    </xf>
    <xf numFmtId="4" fontId="29" fillId="0" borderId="21" xfId="0" applyNumberFormat="1" applyFont="1" applyBorder="1" applyAlignment="1">
      <alignment horizontal="center" vertical="center"/>
    </xf>
    <xf numFmtId="0" fontId="2" fillId="0" borderId="0" xfId="0" applyFont="1"/>
    <xf numFmtId="10" fontId="29" fillId="0" borderId="0" xfId="0" applyNumberFormat="1" applyFont="1" applyAlignment="1">
      <alignment horizontal="center"/>
    </xf>
    <xf numFmtId="0" fontId="29" fillId="0" borderId="0" xfId="0" applyFont="1" applyAlignment="1">
      <alignment horizontal="center"/>
    </xf>
    <xf numFmtId="0" fontId="50" fillId="0" borderId="0" xfId="0" applyFont="1"/>
    <xf numFmtId="166" fontId="30" fillId="4" borderId="21" xfId="0" applyNumberFormat="1" applyFont="1" applyFill="1" applyBorder="1" applyAlignment="1">
      <alignment horizontal="center" vertical="center"/>
    </xf>
    <xf numFmtId="0" fontId="51" fillId="0" borderId="0" xfId="0" applyFont="1"/>
    <xf numFmtId="169" fontId="29" fillId="0" borderId="83" xfId="0" applyNumberFormat="1" applyFont="1" applyBorder="1" applyAlignment="1">
      <alignment horizontal="center" vertical="center"/>
    </xf>
    <xf numFmtId="169" fontId="29" fillId="0" borderId="71" xfId="0" applyNumberFormat="1" applyFont="1" applyBorder="1" applyAlignment="1">
      <alignment horizontal="center" vertical="center"/>
    </xf>
    <xf numFmtId="169" fontId="29" fillId="0" borderId="137" xfId="0" applyNumberFormat="1" applyFont="1" applyBorder="1" applyAlignment="1">
      <alignment horizontal="center" vertical="center"/>
    </xf>
    <xf numFmtId="169" fontId="29" fillId="0" borderId="123" xfId="0" applyNumberFormat="1" applyFont="1" applyBorder="1" applyAlignment="1">
      <alignment horizontal="center" vertical="center"/>
    </xf>
    <xf numFmtId="169" fontId="29" fillId="0" borderId="138" xfId="0" applyNumberFormat="1" applyFont="1" applyBorder="1" applyAlignment="1">
      <alignment horizontal="center" vertical="center"/>
    </xf>
    <xf numFmtId="169" fontId="29" fillId="0" borderId="139" xfId="0" applyNumberFormat="1" applyFont="1" applyBorder="1" applyAlignment="1">
      <alignment horizontal="center" vertical="center"/>
    </xf>
    <xf numFmtId="169" fontId="29" fillId="0" borderId="116" xfId="0" applyNumberFormat="1" applyFont="1" applyBorder="1" applyAlignment="1">
      <alignment horizontal="center" vertical="center"/>
    </xf>
    <xf numFmtId="169" fontId="29" fillId="0" borderId="140" xfId="0" applyNumberFormat="1" applyFont="1" applyBorder="1" applyAlignment="1">
      <alignment horizontal="center" vertical="center"/>
    </xf>
    <xf numFmtId="169" fontId="29" fillId="0" borderId="47" xfId="0" applyNumberFormat="1" applyFont="1" applyBorder="1" applyAlignment="1">
      <alignment horizontal="center" vertical="center"/>
    </xf>
    <xf numFmtId="169" fontId="29" fillId="0" borderId="59" xfId="0" applyNumberFormat="1" applyFont="1" applyBorder="1" applyAlignment="1">
      <alignment horizontal="right" vertical="center"/>
    </xf>
    <xf numFmtId="169" fontId="29" fillId="0" borderId="82" xfId="0" applyNumberFormat="1" applyFont="1" applyBorder="1" applyAlignment="1">
      <alignment horizontal="right" vertical="center"/>
    </xf>
    <xf numFmtId="169" fontId="29" fillId="0" borderId="84" xfId="0" applyNumberFormat="1" applyFont="1" applyBorder="1" applyAlignment="1">
      <alignment horizontal="center" vertical="center"/>
    </xf>
    <xf numFmtId="169" fontId="29" fillId="0" borderId="16" xfId="0" applyNumberFormat="1" applyFont="1" applyBorder="1" applyAlignment="1">
      <alignment horizontal="right" vertical="center"/>
    </xf>
    <xf numFmtId="169" fontId="29" fillId="0" borderId="12" xfId="0" applyNumberFormat="1" applyFont="1" applyBorder="1" applyAlignment="1">
      <alignment horizontal="right" vertical="center"/>
    </xf>
    <xf numFmtId="169" fontId="29" fillId="0" borderId="85" xfId="0" applyNumberFormat="1" applyFont="1" applyBorder="1" applyAlignment="1">
      <alignment horizontal="center" vertical="center"/>
    </xf>
    <xf numFmtId="169" fontId="29" fillId="0" borderId="17" xfId="0" applyNumberFormat="1" applyFont="1" applyBorder="1" applyAlignment="1">
      <alignment horizontal="right" vertical="center"/>
    </xf>
    <xf numFmtId="169" fontId="29" fillId="0" borderId="14" xfId="0" applyNumberFormat="1" applyFont="1" applyBorder="1" applyAlignment="1">
      <alignment horizontal="right" vertical="center"/>
    </xf>
    <xf numFmtId="169" fontId="29" fillId="0" borderId="22" xfId="0" applyNumberFormat="1" applyFont="1" applyBorder="1" applyAlignment="1">
      <alignment horizontal="center" vertical="center"/>
    </xf>
    <xf numFmtId="0" fontId="30" fillId="3" borderId="19" xfId="0" applyFont="1" applyFill="1" applyBorder="1" applyAlignment="1">
      <alignment horizontal="centerContinuous" vertical="center"/>
    </xf>
    <xf numFmtId="4" fontId="29" fillId="0" borderId="0" xfId="0" applyNumberFormat="1" applyFont="1" applyAlignment="1">
      <alignment horizontal="center" vertical="center"/>
    </xf>
    <xf numFmtId="4" fontId="29" fillId="0" borderId="9" xfId="0" applyNumberFormat="1" applyFont="1" applyBorder="1" applyAlignment="1">
      <alignment horizontal="centerContinuous" vertical="center"/>
    </xf>
    <xf numFmtId="4" fontId="29" fillId="0" borderId="11" xfId="0" applyNumberFormat="1" applyFont="1" applyBorder="1" applyAlignment="1">
      <alignment horizontal="centerContinuous" vertical="center"/>
    </xf>
    <xf numFmtId="4" fontId="29" fillId="0" borderId="13" xfId="0" applyNumberFormat="1" applyFont="1" applyBorder="1" applyAlignment="1">
      <alignment horizontal="centerContinuous" vertical="center"/>
    </xf>
    <xf numFmtId="4" fontId="29" fillId="0" borderId="20" xfId="0" applyNumberFormat="1" applyFont="1" applyBorder="1" applyAlignment="1">
      <alignment horizontal="centerContinuous" vertical="center"/>
    </xf>
    <xf numFmtId="4" fontId="29" fillId="0" borderId="98" xfId="0" applyNumberFormat="1" applyFont="1" applyBorder="1" applyAlignment="1">
      <alignment horizontal="centerContinuous" vertical="center"/>
    </xf>
    <xf numFmtId="4" fontId="29" fillId="0" borderId="21" xfId="0" applyNumberFormat="1" applyFont="1" applyBorder="1" applyAlignment="1">
      <alignment horizontal="centerContinuous" vertical="center"/>
    </xf>
    <xf numFmtId="4" fontId="29" fillId="0" borderId="31" xfId="0" applyNumberFormat="1" applyFont="1" applyBorder="1" applyAlignment="1">
      <alignment horizontal="centerContinuous" vertical="center"/>
    </xf>
    <xf numFmtId="181" fontId="29" fillId="0" borderId="10" xfId="0" applyNumberFormat="1" applyFont="1" applyBorder="1" applyAlignment="1">
      <alignment horizontal="center" vertical="center"/>
    </xf>
    <xf numFmtId="167" fontId="29" fillId="0" borderId="10" xfId="0" applyNumberFormat="1" applyFont="1" applyBorder="1" applyAlignment="1">
      <alignment horizontal="center" vertical="center"/>
    </xf>
    <xf numFmtId="167" fontId="29" fillId="0" borderId="12" xfId="0" applyNumberFormat="1" applyFont="1" applyBorder="1" applyAlignment="1">
      <alignment horizontal="center" vertical="center"/>
    </xf>
    <xf numFmtId="182" fontId="0" fillId="0" borderId="0" xfId="0" applyNumberFormat="1"/>
    <xf numFmtId="0" fontId="30" fillId="3" borderId="96" xfId="0" applyFont="1" applyFill="1" applyBorder="1" applyAlignment="1">
      <alignment horizontal="centerContinuous" vertical="center"/>
    </xf>
    <xf numFmtId="0" fontId="30" fillId="3" borderId="141" xfId="0" applyFont="1" applyFill="1" applyBorder="1" applyAlignment="1">
      <alignment horizontal="centerContinuous" vertical="center"/>
    </xf>
    <xf numFmtId="0" fontId="30" fillId="3" borderId="113" xfId="0" applyFont="1" applyFill="1" applyBorder="1" applyAlignment="1">
      <alignment horizontal="centerContinuous" vertical="center"/>
    </xf>
    <xf numFmtId="169" fontId="43" fillId="0" borderId="9" xfId="0" applyNumberFormat="1" applyFont="1" applyFill="1" applyBorder="1" applyAlignment="1">
      <alignment horizontal="center" vertical="center"/>
    </xf>
    <xf numFmtId="169" fontId="43" fillId="0" borderId="15" xfId="0" applyNumberFormat="1" applyFont="1" applyFill="1" applyBorder="1" applyAlignment="1">
      <alignment horizontal="center" vertical="center"/>
    </xf>
    <xf numFmtId="169" fontId="43" fillId="0" borderId="10" xfId="0" applyNumberFormat="1" applyFont="1" applyFill="1" applyBorder="1" applyAlignment="1">
      <alignment horizontal="center" vertical="center"/>
    </xf>
    <xf numFmtId="169" fontId="43" fillId="0" borderId="11" xfId="0" applyNumberFormat="1" applyFont="1" applyFill="1" applyBorder="1" applyAlignment="1">
      <alignment horizontal="center" vertical="center"/>
    </xf>
    <xf numFmtId="169" fontId="43" fillId="0" borderId="16" xfId="0" applyNumberFormat="1" applyFont="1" applyFill="1" applyBorder="1" applyAlignment="1">
      <alignment horizontal="center" vertical="center"/>
    </xf>
    <xf numFmtId="169" fontId="43" fillId="0" borderId="12" xfId="0" applyNumberFormat="1" applyFont="1" applyFill="1" applyBorder="1" applyAlignment="1">
      <alignment horizontal="center" vertical="center"/>
    </xf>
    <xf numFmtId="169" fontId="43" fillId="0" borderId="13" xfId="0" applyNumberFormat="1" applyFont="1" applyFill="1" applyBorder="1" applyAlignment="1">
      <alignment horizontal="center" vertical="center"/>
    </xf>
    <xf numFmtId="169" fontId="43" fillId="0" borderId="17" xfId="0" applyNumberFormat="1" applyFont="1" applyFill="1" applyBorder="1" applyAlignment="1">
      <alignment horizontal="center" vertical="center"/>
    </xf>
    <xf numFmtId="169" fontId="43" fillId="0" borderId="14" xfId="0" applyNumberFormat="1" applyFont="1" applyFill="1" applyBorder="1" applyAlignment="1">
      <alignment horizontal="center" vertical="center"/>
    </xf>
    <xf numFmtId="0" fontId="55" fillId="0" borderId="0" xfId="0" applyFont="1"/>
    <xf numFmtId="0" fontId="39" fillId="0" borderId="0" xfId="4" applyAlignment="1">
      <alignment horizontal="center"/>
    </xf>
    <xf numFmtId="0" fontId="56" fillId="0" borderId="0" xfId="0" applyFont="1"/>
    <xf numFmtId="4" fontId="39" fillId="0" borderId="11" xfId="4" applyNumberFormat="1" applyBorder="1" applyAlignment="1">
      <alignment horizontal="center" vertical="center"/>
    </xf>
    <xf numFmtId="4" fontId="54" fillId="0" borderId="6" xfId="0" applyNumberFormat="1" applyFont="1" applyBorder="1" applyAlignment="1">
      <alignment horizontal="center" vertical="center"/>
    </xf>
    <xf numFmtId="4" fontId="54" fillId="0" borderId="0" xfId="0" applyNumberFormat="1" applyFont="1" applyBorder="1" applyAlignment="1">
      <alignment horizontal="center" vertical="center"/>
    </xf>
    <xf numFmtId="0" fontId="30" fillId="3" borderId="4" xfId="0" applyFont="1" applyFill="1" applyBorder="1" applyAlignment="1">
      <alignment horizontal="center" vertical="center" textRotation="90"/>
    </xf>
    <xf numFmtId="0" fontId="0" fillId="0" borderId="7" xfId="0" applyBorder="1" applyAlignment="1">
      <alignment horizontal="center" vertical="center" textRotation="90"/>
    </xf>
    <xf numFmtId="0" fontId="0" fillId="0" borderId="55" xfId="0" applyBorder="1" applyAlignment="1">
      <alignment horizontal="center" vertical="center" textRotation="90"/>
    </xf>
    <xf numFmtId="4" fontId="30" fillId="3" borderId="4" xfId="0" applyNumberFormat="1" applyFont="1" applyFill="1" applyBorder="1" applyAlignment="1">
      <alignment horizontal="center" vertical="center" textRotation="90"/>
    </xf>
    <xf numFmtId="0" fontId="20" fillId="3" borderId="28" xfId="0" applyFont="1" applyFill="1" applyBorder="1" applyAlignment="1">
      <alignment horizontal="center" vertical="distributed" textRotation="90"/>
    </xf>
    <xf numFmtId="0" fontId="0" fillId="0" borderId="45" xfId="0" applyBorder="1" applyAlignment="1">
      <alignment horizontal="center" vertical="distributed"/>
    </xf>
    <xf numFmtId="4" fontId="39" fillId="0" borderId="13" xfId="4" applyNumberFormat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</cellXfs>
  <cellStyles count="9">
    <cellStyle name="Comma 2" xfId="7" xr:uid="{1701DB23-603C-430F-A550-47C61C522BD2}"/>
    <cellStyle name="Comma 3" xfId="8" xr:uid="{4C935724-71E8-465E-BEB4-0C030085B817}"/>
    <cellStyle name="Followed Hyperlink" xfId="5" builtinId="9" customBuiltin="1"/>
    <cellStyle name="Heading 1" xfId="1" builtinId="16" customBuiltin="1"/>
    <cellStyle name="Heading 2" xfId="2" builtinId="17" customBuiltin="1"/>
    <cellStyle name="Heading 3" xfId="3" builtinId="18" customBuiltin="1"/>
    <cellStyle name="Hyperlink" xfId="4" builtinId="8" customBuiltin="1"/>
    <cellStyle name="Normal" xfId="0" builtinId="0"/>
    <cellStyle name="Normal 2" xfId="6" xr:uid="{16CBF8C0-AFF6-43F2-B361-1F2D41614BD8}"/>
  </cellStyles>
  <dxfs count="494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</dxfs>
  <tableStyles count="0" defaultTableStyle="TableStyleMedium2" defaultPivotStyle="PivotStyleLight16"/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wiki.fsa-aks.deloitte.co.za/doku.php?id=valuations:methodology:instruments:interest_rate_swaps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heet8">
    <tabColor theme="9" tint="-0.499984740745262"/>
  </sheetPr>
  <dimension ref="B2:E41"/>
  <sheetViews>
    <sheetView showGridLines="0" workbookViewId="0">
      <selection activeCell="B28" sqref="B28"/>
    </sheetView>
  </sheetViews>
  <sheetFormatPr defaultRowHeight="15" x14ac:dyDescent="0.25"/>
  <cols>
    <col min="1" max="1" width="3.75" customWidth="1"/>
    <col min="2" max="2" width="21.5" bestFit="1" customWidth="1"/>
  </cols>
  <sheetData>
    <row r="2" spans="2:4" ht="26.25" x14ac:dyDescent="0.4">
      <c r="B2" s="2" t="s">
        <v>128</v>
      </c>
      <c r="C2" s="2"/>
      <c r="D2" s="2"/>
    </row>
    <row r="3" spans="2:4" x14ac:dyDescent="0.25">
      <c r="B3" s="517" t="str">
        <f>IF(D7="Error","!!!Note: This workbook was tested against a different version of ∂Excel to what you have installed. This may resulted in unexpected behaviour.!!!","")</f>
        <v/>
      </c>
    </row>
    <row r="4" spans="2:4" s="488" customFormat="1" x14ac:dyDescent="0.25">
      <c r="B4" s="511" t="s">
        <v>450</v>
      </c>
      <c r="C4" s="512"/>
      <c r="D4" s="508" t="s">
        <v>451</v>
      </c>
    </row>
    <row r="5" spans="2:4" s="488" customFormat="1" x14ac:dyDescent="0.25">
      <c r="B5" s="513" t="s">
        <v>454</v>
      </c>
      <c r="C5" s="514"/>
      <c r="D5" s="509" t="s">
        <v>451</v>
      </c>
    </row>
    <row r="6" spans="2:4" s="488" customFormat="1" x14ac:dyDescent="0.25">
      <c r="B6" s="515" t="s">
        <v>455</v>
      </c>
      <c r="C6" s="516"/>
      <c r="D6" s="510" t="str" cm="1">
        <f t="array" ref="D6">_xll.d.Debug_GetAssemblyVersion()</f>
        <v>0.0.0</v>
      </c>
    </row>
    <row r="7" spans="2:4" s="488" customFormat="1" x14ac:dyDescent="0.25">
      <c r="B7" s="231" t="s">
        <v>456</v>
      </c>
      <c r="C7" s="232"/>
      <c r="D7" s="178" t="str" cm="1">
        <f t="array" ref="D7">_xll.d.TestUtils_Equal(D5,D6,,TRUE)</f>
        <v>Warning</v>
      </c>
    </row>
    <row r="8" spans="2:4" s="488" customFormat="1" x14ac:dyDescent="0.25"/>
    <row r="9" spans="2:4" s="488" customFormat="1" x14ac:dyDescent="0.25"/>
    <row r="10" spans="2:4" s="519" customFormat="1" x14ac:dyDescent="0.25">
      <c r="B10" s="231" t="s">
        <v>499</v>
      </c>
      <c r="C10" s="231"/>
    </row>
    <row r="11" spans="2:4" s="519" customFormat="1" ht="18.75" customHeight="1" x14ac:dyDescent="0.25">
      <c r="B11" s="578" t="str" cm="1">
        <f t="array" aca="1" ref="B11" ca="1">_xll.d.TestUtils_And(C20:C22,C25,C28:C30,C35:C36)</f>
        <v>Error</v>
      </c>
      <c r="C11" s="578"/>
    </row>
    <row r="12" spans="2:4" s="519" customFormat="1" ht="15" customHeight="1" x14ac:dyDescent="0.25">
      <c r="B12" s="579"/>
      <c r="C12" s="579"/>
    </row>
    <row r="13" spans="2:4" s="519" customFormat="1" x14ac:dyDescent="0.25"/>
    <row r="14" spans="2:4" s="519" customFormat="1" x14ac:dyDescent="0.25"/>
    <row r="15" spans="2:4" x14ac:dyDescent="0.25">
      <c r="B15" s="231" t="s">
        <v>120</v>
      </c>
      <c r="C15" s="232"/>
    </row>
    <row r="16" spans="2:4" x14ac:dyDescent="0.25">
      <c r="B16" s="233" t="s">
        <v>177</v>
      </c>
      <c r="C16" s="233"/>
    </row>
    <row r="17" spans="2:4" x14ac:dyDescent="0.25">
      <c r="B17" s="233" t="s">
        <v>178</v>
      </c>
      <c r="C17" s="233"/>
    </row>
    <row r="19" spans="2:4" x14ac:dyDescent="0.25">
      <c r="B19" s="134" t="s">
        <v>274</v>
      </c>
      <c r="C19" s="135"/>
    </row>
    <row r="20" spans="2:4" x14ac:dyDescent="0.25">
      <c r="B20" s="483" t="s">
        <v>0</v>
      </c>
      <c r="C20" s="137" t="str">
        <f>Dates!C4</f>
        <v>Ok</v>
      </c>
    </row>
    <row r="21" spans="2:4" x14ac:dyDescent="0.25">
      <c r="B21" s="484" t="s">
        <v>370</v>
      </c>
      <c r="C21" s="139" t="str">
        <f>Mathematics!C4</f>
        <v>Ok</v>
      </c>
    </row>
    <row r="22" spans="2:4" x14ac:dyDescent="0.25">
      <c r="B22" s="485" t="s">
        <v>397</v>
      </c>
      <c r="C22" s="141" t="str">
        <f>Stats!C4</f>
        <v>Ok</v>
      </c>
    </row>
    <row r="24" spans="2:4" x14ac:dyDescent="0.25">
      <c r="B24" s="499" t="s">
        <v>433</v>
      </c>
      <c r="C24" s="500"/>
    </row>
    <row r="25" spans="2:4" x14ac:dyDescent="0.25">
      <c r="B25" s="485" t="s">
        <v>434</v>
      </c>
      <c r="C25" s="178" t="str">
        <f>'Equity Utils'!C4</f>
        <v>Error</v>
      </c>
    </row>
    <row r="26" spans="2:4" x14ac:dyDescent="0.25">
      <c r="D26" s="519"/>
    </row>
    <row r="27" spans="2:4" x14ac:dyDescent="0.25">
      <c r="B27" s="134" t="s">
        <v>273</v>
      </c>
      <c r="C27" s="223"/>
      <c r="D27" s="519"/>
    </row>
    <row r="28" spans="2:4" x14ac:dyDescent="0.25">
      <c r="B28" s="483" t="s">
        <v>1</v>
      </c>
      <c r="C28" s="388" t="str">
        <f ca="1">Curves!C5</f>
        <v>Error</v>
      </c>
      <c r="D28" s="519"/>
    </row>
    <row r="29" spans="2:4" x14ac:dyDescent="0.25">
      <c r="B29" s="484" t="s">
        <v>430</v>
      </c>
      <c r="C29" s="324" t="str">
        <f>'Rate Utils'!C4</f>
        <v>Ok</v>
      </c>
      <c r="D29" s="519"/>
    </row>
    <row r="30" spans="2:4" x14ac:dyDescent="0.25">
      <c r="B30" s="577" t="s">
        <v>21</v>
      </c>
      <c r="C30" s="324" t="str">
        <f>'Sinlge Curve Bootstrapping'!C6</f>
        <v>Ok</v>
      </c>
      <c r="D30" s="519"/>
    </row>
    <row r="31" spans="2:4" x14ac:dyDescent="0.25">
      <c r="B31" s="577" t="s">
        <v>58</v>
      </c>
      <c r="C31" s="324" t="s">
        <v>254</v>
      </c>
      <c r="D31" s="576" t="s">
        <v>502</v>
      </c>
    </row>
    <row r="32" spans="2:4" x14ac:dyDescent="0.25">
      <c r="B32" s="586" t="s">
        <v>11</v>
      </c>
      <c r="C32" s="222" t="s">
        <v>254</v>
      </c>
      <c r="D32" s="576" t="s">
        <v>502</v>
      </c>
    </row>
    <row r="33" spans="2:5" x14ac:dyDescent="0.25">
      <c r="D33" s="519"/>
    </row>
    <row r="34" spans="2:5" x14ac:dyDescent="0.25">
      <c r="B34" s="134" t="s">
        <v>129</v>
      </c>
      <c r="C34" s="135"/>
      <c r="D34" s="519"/>
    </row>
    <row r="35" spans="2:5" x14ac:dyDescent="0.25">
      <c r="B35" s="483" t="s">
        <v>179</v>
      </c>
      <c r="C35" s="137" t="str">
        <f>'Test Utils'!C4</f>
        <v>Ok</v>
      </c>
    </row>
    <row r="36" spans="2:5" x14ac:dyDescent="0.25">
      <c r="B36" s="485" t="s">
        <v>87</v>
      </c>
      <c r="C36" s="141" t="str">
        <f ca="1">'Table Formatting'!C4</f>
        <v>Error</v>
      </c>
    </row>
    <row r="41" spans="2:5" x14ac:dyDescent="0.25">
      <c r="E41" s="178"/>
    </row>
  </sheetData>
  <mergeCells count="1">
    <mergeCell ref="B11:C12"/>
  </mergeCells>
  <conditionalFormatting sqref="C35">
    <cfRule type="cellIs" dxfId="493" priority="22" stopIfTrue="1" operator="equal">
      <formula>"OK"</formula>
    </cfRule>
    <cfRule type="cellIs" dxfId="492" priority="23" stopIfTrue="1" operator="equal">
      <formula>"ERROR"</formula>
    </cfRule>
  </conditionalFormatting>
  <conditionalFormatting sqref="C36">
    <cfRule type="cellIs" dxfId="491" priority="24" stopIfTrue="1" operator="equal">
      <formula>"OK"</formula>
    </cfRule>
    <cfRule type="cellIs" dxfId="490" priority="25" stopIfTrue="1" operator="equal">
      <formula>"ERROR"</formula>
    </cfRule>
  </conditionalFormatting>
  <conditionalFormatting sqref="C20">
    <cfRule type="cellIs" dxfId="489" priority="26" stopIfTrue="1" operator="equal">
      <formula>"ERROR"</formula>
    </cfRule>
    <cfRule type="cellIs" dxfId="488" priority="27" stopIfTrue="1" operator="equal">
      <formula>"OK"</formula>
    </cfRule>
    <cfRule type="cellIs" dxfId="487" priority="28" stopIfTrue="1" operator="equal">
      <formula>"WARNING"</formula>
    </cfRule>
  </conditionalFormatting>
  <conditionalFormatting sqref="C21">
    <cfRule type="cellIs" dxfId="486" priority="19" stopIfTrue="1" operator="equal">
      <formula>"ERROR"</formula>
    </cfRule>
    <cfRule type="cellIs" dxfId="485" priority="20" stopIfTrue="1" operator="equal">
      <formula>"OK"</formula>
    </cfRule>
    <cfRule type="cellIs" dxfId="484" priority="21" stopIfTrue="1" operator="equal">
      <formula>"WARNING"</formula>
    </cfRule>
  </conditionalFormatting>
  <conditionalFormatting sqref="C22">
    <cfRule type="cellIs" dxfId="483" priority="16" stopIfTrue="1" operator="equal">
      <formula>"ERROR"</formula>
    </cfRule>
    <cfRule type="cellIs" dxfId="482" priority="17" stopIfTrue="1" operator="equal">
      <formula>"OK"</formula>
    </cfRule>
    <cfRule type="cellIs" dxfId="481" priority="18" stopIfTrue="1" operator="equal">
      <formula>"WARNING"</formula>
    </cfRule>
  </conditionalFormatting>
  <conditionalFormatting sqref="C25">
    <cfRule type="cellIs" dxfId="480" priority="29" stopIfTrue="1" operator="equal">
      <formula>"ERROR"</formula>
    </cfRule>
    <cfRule type="cellIs" dxfId="479" priority="30" stopIfTrue="1" operator="equal">
      <formula>"OK"</formula>
    </cfRule>
    <cfRule type="cellIs" dxfId="478" priority="31" stopIfTrue="1" operator="equal">
      <formula>"WARNING"</formula>
    </cfRule>
  </conditionalFormatting>
  <conditionalFormatting sqref="D7">
    <cfRule type="cellIs" dxfId="477" priority="32" stopIfTrue="1" operator="equal">
      <formula>"ERROR"</formula>
    </cfRule>
    <cfRule type="cellIs" dxfId="476" priority="33" stopIfTrue="1" operator="equal">
      <formula>"OK"</formula>
    </cfRule>
    <cfRule type="cellIs" dxfId="475" priority="34" stopIfTrue="1" operator="equal">
      <formula>"WARNING"</formula>
    </cfRule>
  </conditionalFormatting>
  <conditionalFormatting sqref="C29">
    <cfRule type="cellIs" dxfId="474" priority="13" stopIfTrue="1" operator="equal">
      <formula>"ERROR"</formula>
    </cfRule>
    <cfRule type="cellIs" dxfId="473" priority="14" stopIfTrue="1" operator="equal">
      <formula>"OK"</formula>
    </cfRule>
    <cfRule type="cellIs" dxfId="472" priority="15" stopIfTrue="1" operator="equal">
      <formula>"WARNING"</formula>
    </cfRule>
  </conditionalFormatting>
  <conditionalFormatting sqref="B11:C12">
    <cfRule type="cellIs" dxfId="471" priority="10" stopIfTrue="1" operator="equal">
      <formula>"ERROR"</formula>
    </cfRule>
    <cfRule type="cellIs" dxfId="470" priority="11" stopIfTrue="1" operator="equal">
      <formula>"OK"</formula>
    </cfRule>
    <cfRule type="cellIs" dxfId="469" priority="12" stopIfTrue="1" operator="equal">
      <formula>"WARNING"</formula>
    </cfRule>
  </conditionalFormatting>
  <conditionalFormatting sqref="C28">
    <cfRule type="cellIs" dxfId="468" priority="35" stopIfTrue="1" operator="equal">
      <formula>"ERROR"</formula>
    </cfRule>
    <cfRule type="cellIs" dxfId="467" priority="36" stopIfTrue="1" operator="equal">
      <formula>"OK"</formula>
    </cfRule>
    <cfRule type="cellIs" dxfId="466" priority="37" stopIfTrue="1" operator="equal">
      <formula>"WARNING"</formula>
    </cfRule>
  </conditionalFormatting>
  <conditionalFormatting sqref="C30">
    <cfRule type="cellIs" dxfId="465" priority="38" stopIfTrue="1" operator="equal">
      <formula>"ERROR"</formula>
    </cfRule>
    <cfRule type="cellIs" dxfId="464" priority="39" stopIfTrue="1" operator="equal">
      <formula>"OK"</formula>
    </cfRule>
    <cfRule type="cellIs" dxfId="463" priority="40" stopIfTrue="1" operator="equal">
      <formula>"WARNING"</formula>
    </cfRule>
  </conditionalFormatting>
  <conditionalFormatting sqref="C31">
    <cfRule type="cellIs" dxfId="462" priority="1" stopIfTrue="1" operator="equal">
      <formula>"ERROR"</formula>
    </cfRule>
    <cfRule type="cellIs" dxfId="461" priority="2" stopIfTrue="1" operator="equal">
      <formula>"OK"</formula>
    </cfRule>
    <cfRule type="cellIs" dxfId="460" priority="3" stopIfTrue="1" operator="equal">
      <formula>"WARNING"</formula>
    </cfRule>
  </conditionalFormatting>
  <hyperlinks>
    <hyperlink ref="B28" location="Curves.Title" display="Curves" xr:uid="{55B00831-142E-4799-B620-B8B79F221D3E}"/>
    <hyperlink ref="B36" location="TableFormatting.Title" display="Table Formatting" xr:uid="{36F5A4C0-4058-4EAB-B9F0-3120B1D828EB}"/>
    <hyperlink ref="B35" location="Logic.Title" display="Logic" xr:uid="{4452807D-B6BF-4ED4-B910-965E05209AC7}"/>
    <hyperlink ref="B16:C16" location="Summary.RunTestsInAllSheets" display="Run Tests in All Sheets" xr:uid="{7E1216C1-1362-48AD-AE0A-14787F111170}"/>
    <hyperlink ref="B17:C17" location="Summary.ResetTestsInAllSheets" display="Reset Tests in All Sheets" xr:uid="{B022C234-599C-4C0D-97E0-30EE93D3111C}"/>
    <hyperlink ref="B20" location="Dates!A1" display="Dates" xr:uid="{1C6E0862-C178-4103-8DF3-D79D9F618623}"/>
    <hyperlink ref="B21" location="Mathematics!A1" display="Mathematics!A1" xr:uid="{82EDFA2E-E168-47CE-85FC-32CEA1424EFE}"/>
    <hyperlink ref="B22" location="Stats!A1" display="Stats!A1" xr:uid="{E66F4C27-E756-48AF-8864-A9B0F349D836}"/>
    <hyperlink ref="B29" location="'Rate Utils'!A1" display="'Rate Utils'!A1" xr:uid="{6865330E-4314-49F8-9ECC-C7A098D85B5E}"/>
    <hyperlink ref="B25" location="'Equity Utils'!A1" display="'Equity Utils'!A1" xr:uid="{233267BC-3445-4D37-B566-C8265B4B7E59}"/>
    <hyperlink ref="B30" location="'SinlgeCurveBootstrapping'!A1" display="'SinlgeCurveBootstrapping'!A1" xr:uid="{F91BBC8F-0528-489F-A403-1736F6EFE17D}"/>
    <hyperlink ref="B31" location="'Multi Curve Bootstrapping'!A1" display="'Multi Curve Bootstrapping'!A1" xr:uid="{DA0A3CD7-37D7-40E8-A325-6C0293965A45}"/>
    <hyperlink ref="B32" location="'HullWhite'!A1" display="'HullWhite'!A1" xr:uid="{6AB32900-68A8-42A4-90E7-C1FDC2A0E7BF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1366-CCF0-45B8-9693-48AA439E89FC}">
  <sheetPr codeName="Sheet12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67" t="s">
        <v>121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5842-FF7B-451B-8250-CC97FBF9B92D}">
  <sheetPr codeName="Sheet13">
    <tabColor theme="4" tint="-0.499984740745262"/>
  </sheetPr>
  <dimension ref="B1:AB190"/>
  <sheetViews>
    <sheetView showGridLines="0" zoomScaleNormal="100" workbookViewId="0">
      <selection activeCell="C26" sqref="C26"/>
    </sheetView>
  </sheetViews>
  <sheetFormatPr defaultColWidth="9" defaultRowHeight="12.75" x14ac:dyDescent="0.2"/>
  <cols>
    <col min="1" max="1" width="3.75" style="366" customWidth="1"/>
    <col min="2" max="2" width="15.875" style="366" customWidth="1"/>
    <col min="3" max="3" width="17" style="366" customWidth="1"/>
    <col min="4" max="4" width="11.375" style="366" customWidth="1"/>
    <col min="5" max="5" width="10.75" style="366" customWidth="1"/>
    <col min="6" max="6" width="13.875" style="366" bestFit="1" customWidth="1"/>
    <col min="7" max="7" width="12.375" style="366" customWidth="1"/>
    <col min="8" max="8" width="11.625" style="366" customWidth="1"/>
    <col min="9" max="9" width="17.625" style="366" customWidth="1"/>
    <col min="10" max="10" width="8.875" style="366" bestFit="1" customWidth="1"/>
    <col min="11" max="11" width="9.625" style="366" customWidth="1"/>
    <col min="12" max="12" width="12.625" style="366" customWidth="1"/>
    <col min="13" max="13" width="13.875" style="366" bestFit="1" customWidth="1"/>
    <col min="14" max="14" width="9.375" style="366" customWidth="1"/>
    <col min="15" max="15" width="10" style="366" customWidth="1"/>
    <col min="16" max="16" width="16" style="366" customWidth="1"/>
    <col min="17" max="17" width="8.875" style="366" bestFit="1" customWidth="1"/>
    <col min="18" max="18" width="10.625" style="366" customWidth="1"/>
    <col min="19" max="19" width="36" style="366" bestFit="1" customWidth="1"/>
    <col min="20" max="20" width="30.25" style="366" customWidth="1"/>
    <col min="21" max="22" width="9" style="366"/>
    <col min="23" max="23" width="20.5" style="366" customWidth="1"/>
    <col min="24" max="25" width="9" style="366"/>
    <col min="26" max="27" width="37.125" style="366" bestFit="1" customWidth="1"/>
    <col min="28" max="16384" width="9" style="366"/>
  </cols>
  <sheetData>
    <row r="1" spans="2:28" x14ac:dyDescent="0.2">
      <c r="B1" s="479" t="s">
        <v>429</v>
      </c>
    </row>
    <row r="2" spans="2:28" ht="26.25" x14ac:dyDescent="0.4">
      <c r="B2" s="2" t="s">
        <v>0</v>
      </c>
      <c r="C2" s="373"/>
      <c r="D2" s="373"/>
      <c r="E2" s="373"/>
      <c r="F2" s="373"/>
      <c r="G2" s="373"/>
      <c r="H2" s="373"/>
      <c r="I2" s="373"/>
      <c r="J2" s="373"/>
      <c r="K2" s="373"/>
      <c r="L2" s="373"/>
      <c r="M2" s="373"/>
      <c r="N2" s="373"/>
      <c r="O2" s="373"/>
      <c r="P2" s="373"/>
      <c r="Q2" s="373"/>
      <c r="R2" s="373"/>
      <c r="S2" s="373"/>
      <c r="T2" s="373"/>
      <c r="U2" s="373"/>
      <c r="V2" s="373"/>
      <c r="W2" s="373"/>
      <c r="X2" s="373"/>
      <c r="Y2" s="373"/>
      <c r="Z2" s="373"/>
      <c r="AA2" s="373"/>
      <c r="AB2" s="373"/>
    </row>
    <row r="4" spans="2:28" x14ac:dyDescent="0.2">
      <c r="B4" s="59" t="s">
        <v>163</v>
      </c>
      <c r="C4" s="368" t="str" cm="1">
        <f t="array" ref="C4">_xll.d.TestUtils_And(D7:D15)</f>
        <v>Ok</v>
      </c>
    </row>
    <row r="6" spans="2:28" x14ac:dyDescent="0.2">
      <c r="B6" s="220" t="s">
        <v>238</v>
      </c>
      <c r="C6" s="220"/>
      <c r="D6" s="221" t="s">
        <v>10</v>
      </c>
    </row>
    <row r="7" spans="2:28" x14ac:dyDescent="0.2">
      <c r="B7" s="478" t="s">
        <v>420</v>
      </c>
      <c r="C7" s="233"/>
      <c r="D7" s="368" t="str">
        <f>C20</f>
        <v>Ok</v>
      </c>
    </row>
    <row r="8" spans="2:28" x14ac:dyDescent="0.2">
      <c r="B8" s="478" t="s">
        <v>421</v>
      </c>
      <c r="C8" s="233"/>
      <c r="D8" s="368" t="str">
        <f>C35</f>
        <v>Ok</v>
      </c>
    </row>
    <row r="9" spans="2:28" x14ac:dyDescent="0.2">
      <c r="B9" s="478" t="s">
        <v>422</v>
      </c>
      <c r="C9" s="233"/>
      <c r="D9" s="368" t="str">
        <f>C50</f>
        <v>Ok</v>
      </c>
    </row>
    <row r="10" spans="2:28" x14ac:dyDescent="0.2">
      <c r="B10" s="478" t="s">
        <v>423</v>
      </c>
      <c r="C10" s="233"/>
      <c r="D10" s="368" t="str">
        <f>C65</f>
        <v>Ok</v>
      </c>
    </row>
    <row r="11" spans="2:28" x14ac:dyDescent="0.2">
      <c r="B11" s="478" t="s">
        <v>424</v>
      </c>
      <c r="C11" s="233"/>
      <c r="D11" s="368" t="str">
        <f>C79</f>
        <v>Ok</v>
      </c>
    </row>
    <row r="12" spans="2:28" x14ac:dyDescent="0.2">
      <c r="B12" s="478" t="s">
        <v>425</v>
      </c>
      <c r="C12" s="233"/>
      <c r="D12" s="368" t="str">
        <f>C123</f>
        <v>Ok</v>
      </c>
    </row>
    <row r="13" spans="2:28" x14ac:dyDescent="0.2">
      <c r="B13" s="478" t="s">
        <v>426</v>
      </c>
      <c r="C13" s="233"/>
      <c r="D13" s="368" t="str">
        <f>C150</f>
        <v>Ok</v>
      </c>
    </row>
    <row r="14" spans="2:28" x14ac:dyDescent="0.2">
      <c r="B14" s="478" t="s">
        <v>427</v>
      </c>
      <c r="C14" s="233"/>
      <c r="D14" s="368" t="str">
        <f>C166</f>
        <v>Ok</v>
      </c>
    </row>
    <row r="15" spans="2:28" x14ac:dyDescent="0.2">
      <c r="B15" s="478" t="s">
        <v>428</v>
      </c>
      <c r="C15" s="233"/>
      <c r="D15" s="368" t="str">
        <f>C181</f>
        <v>Ok</v>
      </c>
    </row>
    <row r="18" spans="2:28" ht="18.75" x14ac:dyDescent="0.3">
      <c r="B18" s="3" t="s">
        <v>420</v>
      </c>
      <c r="C18" s="374"/>
      <c r="D18" s="374"/>
      <c r="E18" s="374"/>
      <c r="F18" s="374"/>
      <c r="G18" s="374"/>
      <c r="H18" s="374"/>
      <c r="I18" s="374"/>
      <c r="J18" s="374"/>
      <c r="K18" s="374"/>
      <c r="L18" s="374"/>
      <c r="M18" s="374"/>
      <c r="N18" s="374"/>
      <c r="O18" s="374"/>
      <c r="P18" s="374"/>
      <c r="Q18" s="374"/>
      <c r="R18" s="374"/>
      <c r="S18" s="374"/>
      <c r="T18" s="374"/>
      <c r="U18" s="374"/>
      <c r="V18" s="374"/>
      <c r="W18" s="374"/>
      <c r="X18" s="374"/>
      <c r="Y18" s="374"/>
      <c r="Z18" s="374"/>
      <c r="AA18" s="374"/>
      <c r="AB18" s="374"/>
    </row>
    <row r="20" spans="2:28" x14ac:dyDescent="0.2">
      <c r="B20" s="59" t="s">
        <v>163</v>
      </c>
      <c r="C20" s="368" t="str" cm="1">
        <f t="array" ref="C20">_xll.d.TestUtils_And(G25,N25,U25,AB25)</f>
        <v>Ok</v>
      </c>
    </row>
    <row r="21" spans="2:28" x14ac:dyDescent="0.2">
      <c r="G21" s="367"/>
    </row>
    <row r="22" spans="2:28" ht="15.75" x14ac:dyDescent="0.25">
      <c r="B22" s="4" t="s">
        <v>257</v>
      </c>
      <c r="C22" s="375"/>
      <c r="D22" s="375"/>
      <c r="E22" s="375"/>
      <c r="F22" s="375"/>
      <c r="G22" s="375"/>
      <c r="I22" s="4" t="s">
        <v>259</v>
      </c>
      <c r="J22" s="4"/>
      <c r="K22" s="375"/>
      <c r="L22" s="375"/>
      <c r="M22" s="375"/>
      <c r="N22" s="375"/>
      <c r="P22" s="4" t="s">
        <v>260</v>
      </c>
      <c r="Q22" s="375"/>
      <c r="R22" s="375"/>
      <c r="S22" s="375"/>
      <c r="T22" s="375"/>
      <c r="U22" s="375"/>
      <c r="W22" s="4" t="s">
        <v>266</v>
      </c>
      <c r="X22" s="375"/>
      <c r="Y22" s="375"/>
      <c r="Z22" s="375"/>
      <c r="AA22" s="375"/>
      <c r="AB22" s="375"/>
    </row>
    <row r="23" spans="2:28" x14ac:dyDescent="0.2">
      <c r="G23" s="367"/>
    </row>
    <row r="24" spans="2:28" x14ac:dyDescent="0.2">
      <c r="B24" s="134" t="s">
        <v>256</v>
      </c>
      <c r="C24" s="135"/>
      <c r="E24" s="134" t="s">
        <v>137</v>
      </c>
      <c r="F24" s="134" t="s">
        <v>258</v>
      </c>
      <c r="G24" s="134" t="s">
        <v>85</v>
      </c>
      <c r="I24" s="134" t="s">
        <v>256</v>
      </c>
      <c r="J24" s="135"/>
      <c r="L24" s="134" t="s">
        <v>137</v>
      </c>
      <c r="M24" s="134" t="s">
        <v>258</v>
      </c>
      <c r="N24" s="134" t="s">
        <v>85</v>
      </c>
      <c r="P24" s="134" t="s">
        <v>256</v>
      </c>
      <c r="Q24" s="135"/>
      <c r="S24" s="134" t="s">
        <v>137</v>
      </c>
      <c r="T24" s="134" t="s">
        <v>258</v>
      </c>
      <c r="U24" s="134" t="s">
        <v>85</v>
      </c>
      <c r="W24" s="134" t="s">
        <v>256</v>
      </c>
      <c r="X24" s="135"/>
      <c r="Z24" s="134" t="s">
        <v>137</v>
      </c>
      <c r="AA24" s="134" t="s">
        <v>258</v>
      </c>
      <c r="AB24" s="134" t="s">
        <v>85</v>
      </c>
    </row>
    <row r="25" spans="2:28" x14ac:dyDescent="0.2">
      <c r="B25" s="371" t="s">
        <v>34</v>
      </c>
      <c r="C25" s="372">
        <v>44742</v>
      </c>
      <c r="E25" s="376" cm="1">
        <f t="array" ref="E25">_xll.d.Dates_FolDay(C25,B27:B29)</f>
        <v>44743</v>
      </c>
      <c r="F25" s="377">
        <v>44743</v>
      </c>
      <c r="G25" s="378" t="str" cm="1">
        <f t="array" ref="G25">_xll.d.TestUtils_Equal(E25,F25)</f>
        <v>Ok</v>
      </c>
      <c r="I25" s="136" t="s">
        <v>34</v>
      </c>
      <c r="J25" s="369">
        <v>44728</v>
      </c>
      <c r="L25" s="376" cm="1">
        <f t="array" ref="L25">_xll.d.Dates_FolDay(J25,J26)</f>
        <v>44729</v>
      </c>
      <c r="M25" s="377">
        <v>44729</v>
      </c>
      <c r="N25" s="378" t="str" cm="1">
        <f t="array" ref="N25">_xll.d.TestUtils_Equal(L25,M25)</f>
        <v>Ok</v>
      </c>
      <c r="P25" s="136" t="s">
        <v>34</v>
      </c>
      <c r="Q25" s="369">
        <v>44746</v>
      </c>
      <c r="S25" s="376" cm="1">
        <f t="array" ref="S25">_xll.d.Dates_FolDay(Q25,Q26)</f>
        <v>44747</v>
      </c>
      <c r="T25" s="377">
        <v>44747</v>
      </c>
      <c r="U25" s="378" t="str" cm="1">
        <f t="array" ref="U25">_xll.d.TestUtils_Equal(S25,T25)</f>
        <v>Ok</v>
      </c>
      <c r="W25" s="136" t="s">
        <v>34</v>
      </c>
      <c r="X25" s="369">
        <v>44746</v>
      </c>
      <c r="Z25" s="376" t="str" cm="1">
        <f t="array" ref="Z25">_xll.d.Dates_FolDay(X25,X26)</f>
        <v>#∂Excel Error: Unknown calendar: WRE</v>
      </c>
      <c r="AA25" s="377" t="s">
        <v>268</v>
      </c>
      <c r="AB25" s="378" t="str" cm="1">
        <f t="array" ref="AB25">_xll.d.TestUtils_Equal(Z25,AA25)</f>
        <v>Ok</v>
      </c>
    </row>
    <row r="26" spans="2:28" x14ac:dyDescent="0.2">
      <c r="G26" s="367"/>
      <c r="I26" s="140" t="s">
        <v>244</v>
      </c>
      <c r="J26" s="141" t="s">
        <v>70</v>
      </c>
      <c r="P26" s="140" t="s">
        <v>244</v>
      </c>
      <c r="Q26" s="141" t="s">
        <v>261</v>
      </c>
      <c r="W26" s="140" t="s">
        <v>244</v>
      </c>
      <c r="X26" s="141" t="s">
        <v>267</v>
      </c>
    </row>
    <row r="27" spans="2:28" x14ac:dyDescent="0.2">
      <c r="B27" s="370" t="s">
        <v>255</v>
      </c>
      <c r="G27" s="367"/>
    </row>
    <row r="28" spans="2:28" x14ac:dyDescent="0.2">
      <c r="B28" s="379">
        <v>44742</v>
      </c>
    </row>
    <row r="29" spans="2:28" x14ac:dyDescent="0.2">
      <c r="B29" s="380">
        <v>44920</v>
      </c>
      <c r="G29" s="367"/>
    </row>
    <row r="30" spans="2:28" x14ac:dyDescent="0.2">
      <c r="G30" s="367"/>
    </row>
    <row r="31" spans="2:28" x14ac:dyDescent="0.2">
      <c r="G31" s="367"/>
    </row>
    <row r="32" spans="2:28" x14ac:dyDescent="0.2">
      <c r="G32" s="367"/>
    </row>
    <row r="33" spans="2:28" ht="18.75" x14ac:dyDescent="0.3">
      <c r="B33" s="3" t="s">
        <v>421</v>
      </c>
      <c r="C33" s="374"/>
      <c r="D33" s="374"/>
      <c r="E33" s="374"/>
      <c r="F33" s="374"/>
      <c r="G33" s="374"/>
      <c r="H33" s="374"/>
      <c r="I33" s="374"/>
      <c r="J33" s="374"/>
      <c r="K33" s="374"/>
      <c r="L33" s="374"/>
      <c r="M33" s="374"/>
      <c r="N33" s="374"/>
      <c r="O33" s="374"/>
      <c r="P33" s="374"/>
      <c r="Q33" s="374"/>
      <c r="R33" s="374"/>
      <c r="S33" s="374"/>
      <c r="T33" s="374"/>
      <c r="U33" s="374"/>
      <c r="V33" s="374"/>
      <c r="W33" s="374"/>
      <c r="X33" s="374"/>
      <c r="Y33" s="374"/>
      <c r="Z33" s="374"/>
      <c r="AA33" s="374"/>
      <c r="AB33" s="374"/>
    </row>
    <row r="35" spans="2:28" x14ac:dyDescent="0.2">
      <c r="B35" s="59" t="s">
        <v>163</v>
      </c>
      <c r="C35" s="368" t="str" cm="1">
        <f t="array" ref="C35">_xll.d.TestUtils_And(G40,N40,U40,AB40)</f>
        <v>Ok</v>
      </c>
    </row>
    <row r="37" spans="2:28" ht="15.75" x14ac:dyDescent="0.25">
      <c r="B37" s="4" t="s">
        <v>257</v>
      </c>
      <c r="C37" s="375"/>
      <c r="D37" s="375"/>
      <c r="E37" s="375"/>
      <c r="F37" s="375"/>
      <c r="G37" s="375"/>
      <c r="I37" s="4" t="s">
        <v>259</v>
      </c>
      <c r="J37" s="4"/>
      <c r="K37" s="375"/>
      <c r="L37" s="375"/>
      <c r="M37" s="375"/>
      <c r="N37" s="375"/>
      <c r="P37" s="4" t="s">
        <v>260</v>
      </c>
      <c r="Q37" s="375"/>
      <c r="R37" s="375"/>
      <c r="S37" s="375"/>
      <c r="T37" s="375"/>
      <c r="U37" s="375"/>
      <c r="W37" s="4" t="s">
        <v>266</v>
      </c>
      <c r="X37" s="375"/>
      <c r="Y37" s="375"/>
      <c r="Z37" s="375"/>
      <c r="AA37" s="375"/>
      <c r="AB37" s="375"/>
    </row>
    <row r="38" spans="2:28" x14ac:dyDescent="0.2">
      <c r="G38" s="367"/>
    </row>
    <row r="39" spans="2:28" x14ac:dyDescent="0.2">
      <c r="B39" s="134" t="s">
        <v>256</v>
      </c>
      <c r="C39" s="135"/>
      <c r="E39" s="134" t="s">
        <v>137</v>
      </c>
      <c r="F39" s="134" t="s">
        <v>258</v>
      </c>
      <c r="G39" s="134" t="s">
        <v>85</v>
      </c>
      <c r="I39" s="134" t="s">
        <v>256</v>
      </c>
      <c r="J39" s="135"/>
      <c r="L39" s="134" t="s">
        <v>137</v>
      </c>
      <c r="M39" s="134" t="s">
        <v>258</v>
      </c>
      <c r="N39" s="134" t="s">
        <v>85</v>
      </c>
      <c r="P39" s="134" t="s">
        <v>256</v>
      </c>
      <c r="Q39" s="135"/>
      <c r="S39" s="134" t="s">
        <v>137</v>
      </c>
      <c r="T39" s="134" t="s">
        <v>258</v>
      </c>
      <c r="U39" s="134" t="s">
        <v>85</v>
      </c>
      <c r="W39" s="134" t="s">
        <v>256</v>
      </c>
      <c r="X39" s="135"/>
      <c r="Z39" s="134" t="s">
        <v>137</v>
      </c>
      <c r="AA39" s="134" t="s">
        <v>258</v>
      </c>
      <c r="AB39" s="134" t="s">
        <v>85</v>
      </c>
    </row>
    <row r="40" spans="2:28" x14ac:dyDescent="0.2">
      <c r="B40" s="371" t="s">
        <v>34</v>
      </c>
      <c r="C40" s="372">
        <v>44742</v>
      </c>
      <c r="E40" s="376" cm="1">
        <f t="array" ref="E40">_xll.d.Dates_ModFolDay(C40,B42:B44)</f>
        <v>44741</v>
      </c>
      <c r="F40" s="377">
        <v>44741</v>
      </c>
      <c r="G40" s="378" t="str" cm="1">
        <f t="array" ref="G40">_xll.d.TestUtils_Equal(E40,F40)</f>
        <v>Ok</v>
      </c>
      <c r="I40" s="136" t="s">
        <v>34</v>
      </c>
      <c r="J40" s="369">
        <v>44728</v>
      </c>
      <c r="L40" s="376" cm="1">
        <f t="array" ref="L40">_xll.d.Dates_ModFolDay(J40,J41)</f>
        <v>44729</v>
      </c>
      <c r="M40" s="377">
        <v>44729</v>
      </c>
      <c r="N40" s="378" t="str" cm="1">
        <f t="array" ref="N40">_xll.d.TestUtils_Equal(L40,M40)</f>
        <v>Ok</v>
      </c>
      <c r="P40" s="136" t="s">
        <v>34</v>
      </c>
      <c r="Q40" s="369">
        <v>44746</v>
      </c>
      <c r="S40" s="376" cm="1">
        <f t="array" ref="S40">_xll.d.Dates_ModFolDay(Q40,Q41)</f>
        <v>44747</v>
      </c>
      <c r="T40" s="377">
        <v>44747</v>
      </c>
      <c r="U40" s="378" t="str" cm="1">
        <f t="array" ref="U40">_xll.d.TestUtils_Equal(S40,T40)</f>
        <v>Ok</v>
      </c>
      <c r="W40" s="136" t="s">
        <v>34</v>
      </c>
      <c r="X40" s="369">
        <v>44746</v>
      </c>
      <c r="Z40" s="376" t="str" cm="1">
        <f t="array" ref="Z40">_xll.d.Dates_ModFolDay(X40,X41)</f>
        <v>#∂Excel Error: Unknown calendar: WRE</v>
      </c>
      <c r="AA40" s="377" t="s">
        <v>268</v>
      </c>
      <c r="AB40" s="378" t="str" cm="1">
        <f t="array" ref="AB40">_xll.d.TestUtils_Equal(Z40,AA40)</f>
        <v>Ok</v>
      </c>
    </row>
    <row r="41" spans="2:28" x14ac:dyDescent="0.2">
      <c r="G41" s="367"/>
      <c r="I41" s="140" t="s">
        <v>244</v>
      </c>
      <c r="J41" s="141" t="s">
        <v>70</v>
      </c>
      <c r="P41" s="140" t="s">
        <v>244</v>
      </c>
      <c r="Q41" s="141" t="s">
        <v>261</v>
      </c>
      <c r="W41" s="140" t="s">
        <v>244</v>
      </c>
      <c r="X41" s="141" t="s">
        <v>267</v>
      </c>
    </row>
    <row r="42" spans="2:28" x14ac:dyDescent="0.2">
      <c r="B42" s="370" t="s">
        <v>255</v>
      </c>
      <c r="G42" s="367"/>
    </row>
    <row r="43" spans="2:28" x14ac:dyDescent="0.2">
      <c r="B43" s="379">
        <v>44742</v>
      </c>
    </row>
    <row r="44" spans="2:28" x14ac:dyDescent="0.2">
      <c r="B44" s="380">
        <v>44920</v>
      </c>
      <c r="G44" s="367"/>
    </row>
    <row r="45" spans="2:28" x14ac:dyDescent="0.2">
      <c r="G45" s="367"/>
    </row>
    <row r="46" spans="2:28" x14ac:dyDescent="0.2">
      <c r="G46" s="367"/>
    </row>
    <row r="47" spans="2:28" x14ac:dyDescent="0.2">
      <c r="G47" s="367"/>
    </row>
    <row r="48" spans="2:28" ht="18.75" x14ac:dyDescent="0.3">
      <c r="B48" s="3" t="s">
        <v>422</v>
      </c>
      <c r="C48" s="374"/>
      <c r="D48" s="374"/>
      <c r="E48" s="374"/>
      <c r="F48" s="374"/>
      <c r="G48" s="374"/>
      <c r="H48" s="374"/>
      <c r="I48" s="374"/>
      <c r="J48" s="374"/>
      <c r="K48" s="374"/>
      <c r="L48" s="374"/>
      <c r="M48" s="374"/>
      <c r="N48" s="374"/>
      <c r="O48" s="374"/>
      <c r="P48" s="374"/>
      <c r="Q48" s="374"/>
      <c r="R48" s="374"/>
      <c r="S48" s="374"/>
      <c r="T48" s="374"/>
      <c r="U48" s="374"/>
      <c r="V48" s="374"/>
      <c r="W48" s="374"/>
      <c r="X48" s="374"/>
      <c r="Y48" s="374"/>
      <c r="Z48" s="374"/>
      <c r="AA48" s="374"/>
      <c r="AB48" s="374"/>
    </row>
    <row r="50" spans="2:28" x14ac:dyDescent="0.2">
      <c r="B50" s="59" t="s">
        <v>163</v>
      </c>
      <c r="C50" s="368" t="str" cm="1">
        <f t="array" ref="C50">_xll.d.TestUtils_And(G55,N55,U55,AB55)</f>
        <v>Ok</v>
      </c>
    </row>
    <row r="51" spans="2:28" x14ac:dyDescent="0.2">
      <c r="G51" s="367"/>
    </row>
    <row r="52" spans="2:28" ht="15.75" x14ac:dyDescent="0.25">
      <c r="B52" s="4" t="s">
        <v>257</v>
      </c>
      <c r="C52" s="375"/>
      <c r="D52" s="375"/>
      <c r="E52" s="375"/>
      <c r="F52" s="375"/>
      <c r="G52" s="375"/>
      <c r="I52" s="4" t="s">
        <v>259</v>
      </c>
      <c r="J52" s="4"/>
      <c r="K52" s="375"/>
      <c r="L52" s="375"/>
      <c r="M52" s="375"/>
      <c r="N52" s="375"/>
      <c r="P52" s="4" t="s">
        <v>260</v>
      </c>
      <c r="Q52" s="375"/>
      <c r="R52" s="375"/>
      <c r="S52" s="375"/>
      <c r="T52" s="375"/>
      <c r="U52" s="375"/>
      <c r="W52" s="4" t="s">
        <v>266</v>
      </c>
      <c r="X52" s="375"/>
      <c r="Y52" s="375"/>
      <c r="Z52" s="375"/>
      <c r="AA52" s="375"/>
      <c r="AB52" s="375"/>
    </row>
    <row r="53" spans="2:28" x14ac:dyDescent="0.2">
      <c r="G53" s="367"/>
    </row>
    <row r="54" spans="2:28" x14ac:dyDescent="0.2">
      <c r="B54" s="134" t="s">
        <v>256</v>
      </c>
      <c r="C54" s="135"/>
      <c r="E54" s="134" t="s">
        <v>137</v>
      </c>
      <c r="F54" s="134" t="s">
        <v>258</v>
      </c>
      <c r="G54" s="134" t="s">
        <v>85</v>
      </c>
      <c r="I54" s="134" t="s">
        <v>256</v>
      </c>
      <c r="J54" s="135"/>
      <c r="L54" s="134" t="s">
        <v>137</v>
      </c>
      <c r="M54" s="134" t="s">
        <v>258</v>
      </c>
      <c r="N54" s="134" t="s">
        <v>85</v>
      </c>
      <c r="P54" s="134" t="s">
        <v>256</v>
      </c>
      <c r="Q54" s="135"/>
      <c r="S54" s="134" t="s">
        <v>137</v>
      </c>
      <c r="T54" s="134" t="s">
        <v>258</v>
      </c>
      <c r="U54" s="134" t="s">
        <v>85</v>
      </c>
      <c r="W54" s="134" t="s">
        <v>256</v>
      </c>
      <c r="X54" s="135"/>
      <c r="Z54" s="134" t="s">
        <v>137</v>
      </c>
      <c r="AA54" s="134" t="s">
        <v>258</v>
      </c>
      <c r="AB54" s="134" t="s">
        <v>85</v>
      </c>
    </row>
    <row r="55" spans="2:28" x14ac:dyDescent="0.2">
      <c r="B55" s="371" t="s">
        <v>34</v>
      </c>
      <c r="C55" s="372">
        <v>44742</v>
      </c>
      <c r="E55" s="376" cm="1">
        <f t="array" ref="E55">_xll.d.Dates_PrevDay(C55,B57:B59)</f>
        <v>44741</v>
      </c>
      <c r="F55" s="377">
        <v>44741</v>
      </c>
      <c r="G55" s="378" t="str" cm="1">
        <f t="array" ref="G55">_xll.d.TestUtils_Equal(E55,F55)</f>
        <v>Ok</v>
      </c>
      <c r="I55" s="136" t="s">
        <v>34</v>
      </c>
      <c r="J55" s="369">
        <v>44728</v>
      </c>
      <c r="L55" s="376" cm="1">
        <f t="array" ref="L55">_xll.d.Dates_PrevDay(J55,J56)</f>
        <v>44727</v>
      </c>
      <c r="M55" s="377">
        <v>44727</v>
      </c>
      <c r="N55" s="378" t="str" cm="1">
        <f t="array" ref="N55">_xll.d.TestUtils_Equal(L55,M55)</f>
        <v>Ok</v>
      </c>
      <c r="P55" s="136" t="s">
        <v>34</v>
      </c>
      <c r="Q55" s="369">
        <v>44746</v>
      </c>
      <c r="S55" s="376" cm="1">
        <f t="array" ref="S55">_xll.d.Dates_PrevDay(Q55,Q56)</f>
        <v>44743</v>
      </c>
      <c r="T55" s="377">
        <v>44743</v>
      </c>
      <c r="U55" s="378" t="str" cm="1">
        <f t="array" ref="U55">_xll.d.TestUtils_Equal(S55,T55)</f>
        <v>Ok</v>
      </c>
      <c r="W55" s="136" t="s">
        <v>34</v>
      </c>
      <c r="X55" s="369">
        <v>44746</v>
      </c>
      <c r="Z55" s="376" t="str" cm="1">
        <f t="array" ref="Z55">_xll.d.Dates_PrevDay(X55,X56)</f>
        <v>#∂Excel Error: Unknown calendar: WRE</v>
      </c>
      <c r="AA55" s="377" t="s">
        <v>268</v>
      </c>
      <c r="AB55" s="378" t="str" cm="1">
        <f t="array" ref="AB55">_xll.d.TestUtils_Equal(Z55,AA55)</f>
        <v>Ok</v>
      </c>
    </row>
    <row r="56" spans="2:28" x14ac:dyDescent="0.2">
      <c r="G56" s="367"/>
      <c r="I56" s="140" t="s">
        <v>244</v>
      </c>
      <c r="J56" s="141" t="s">
        <v>70</v>
      </c>
      <c r="P56" s="140" t="s">
        <v>244</v>
      </c>
      <c r="Q56" s="141" t="s">
        <v>261</v>
      </c>
      <c r="W56" s="140" t="s">
        <v>244</v>
      </c>
      <c r="X56" s="141" t="s">
        <v>267</v>
      </c>
    </row>
    <row r="57" spans="2:28" x14ac:dyDescent="0.2">
      <c r="B57" s="370" t="s">
        <v>255</v>
      </c>
      <c r="G57" s="367"/>
    </row>
    <row r="58" spans="2:28" x14ac:dyDescent="0.2">
      <c r="B58" s="379">
        <v>44742</v>
      </c>
    </row>
    <row r="59" spans="2:28" x14ac:dyDescent="0.2">
      <c r="B59" s="380">
        <v>44920</v>
      </c>
      <c r="G59" s="367"/>
    </row>
    <row r="60" spans="2:28" x14ac:dyDescent="0.2">
      <c r="G60" s="367"/>
    </row>
    <row r="61" spans="2:28" x14ac:dyDescent="0.2">
      <c r="G61" s="367"/>
    </row>
    <row r="62" spans="2:28" x14ac:dyDescent="0.2">
      <c r="G62" s="367"/>
    </row>
    <row r="63" spans="2:28" ht="18.75" x14ac:dyDescent="0.3">
      <c r="B63" s="3" t="s">
        <v>423</v>
      </c>
      <c r="C63" s="374"/>
      <c r="D63" s="374"/>
      <c r="E63" s="374"/>
      <c r="F63" s="374"/>
      <c r="G63" s="374"/>
      <c r="H63" s="374"/>
      <c r="I63" s="374"/>
      <c r="J63" s="374"/>
      <c r="K63" s="374"/>
      <c r="L63" s="374"/>
      <c r="M63" s="374"/>
      <c r="N63" s="374"/>
      <c r="O63" s="374"/>
      <c r="P63" s="374"/>
      <c r="Q63" s="374"/>
      <c r="R63" s="374"/>
      <c r="S63" s="374"/>
      <c r="T63" s="374"/>
      <c r="U63" s="374"/>
      <c r="V63" s="374"/>
      <c r="W63" s="374"/>
      <c r="X63" s="374"/>
      <c r="Y63" s="374"/>
      <c r="Z63" s="374"/>
      <c r="AA63" s="374"/>
      <c r="AB63" s="374"/>
    </row>
    <row r="65" spans="2:28" x14ac:dyDescent="0.2">
      <c r="B65" s="59" t="s">
        <v>163</v>
      </c>
      <c r="C65" s="368" t="str" cm="1">
        <f t="array" ref="C65">_xll.d.TestUtils_And(G70,N70,U70,AB70)</f>
        <v>Ok</v>
      </c>
    </row>
    <row r="67" spans="2:28" ht="15.75" x14ac:dyDescent="0.25">
      <c r="B67" s="4" t="s">
        <v>264</v>
      </c>
      <c r="C67" s="375"/>
      <c r="D67" s="375"/>
      <c r="E67" s="375"/>
      <c r="F67" s="375"/>
      <c r="G67" s="375"/>
      <c r="I67" s="4" t="s">
        <v>265</v>
      </c>
      <c r="J67" s="375"/>
      <c r="K67" s="375"/>
      <c r="L67" s="375"/>
      <c r="M67" s="375"/>
      <c r="N67" s="375"/>
      <c r="P67" s="4" t="s">
        <v>269</v>
      </c>
      <c r="Q67" s="375"/>
      <c r="R67" s="375"/>
      <c r="S67" s="375"/>
      <c r="T67" s="375"/>
      <c r="U67" s="375"/>
      <c r="W67" s="4" t="s">
        <v>270</v>
      </c>
      <c r="X67" s="375"/>
      <c r="Y67" s="375"/>
      <c r="Z67" s="375"/>
      <c r="AA67" s="375"/>
      <c r="AB67" s="375"/>
    </row>
    <row r="69" spans="2:28" x14ac:dyDescent="0.2">
      <c r="B69" s="134" t="s">
        <v>256</v>
      </c>
      <c r="C69" s="135"/>
      <c r="E69" s="12" t="s">
        <v>137</v>
      </c>
      <c r="F69" s="27" t="s">
        <v>258</v>
      </c>
      <c r="G69" s="135" t="s">
        <v>85</v>
      </c>
      <c r="I69" s="134" t="s">
        <v>256</v>
      </c>
      <c r="J69" s="135"/>
      <c r="L69" s="12" t="s">
        <v>137</v>
      </c>
      <c r="M69" s="27" t="s">
        <v>258</v>
      </c>
      <c r="N69" s="135" t="s">
        <v>85</v>
      </c>
      <c r="P69" s="134" t="s">
        <v>256</v>
      </c>
      <c r="Q69" s="135"/>
      <c r="S69" s="12" t="s">
        <v>137</v>
      </c>
      <c r="T69" s="27" t="s">
        <v>258</v>
      </c>
      <c r="U69" s="135" t="s">
        <v>85</v>
      </c>
      <c r="W69" s="134" t="s">
        <v>256</v>
      </c>
      <c r="X69" s="135"/>
      <c r="Z69" s="12" t="s">
        <v>137</v>
      </c>
      <c r="AA69" s="27" t="s">
        <v>258</v>
      </c>
      <c r="AB69" s="135" t="s">
        <v>85</v>
      </c>
    </row>
    <row r="70" spans="2:28" x14ac:dyDescent="0.2">
      <c r="B70" s="136" t="s">
        <v>34</v>
      </c>
      <c r="C70" s="369">
        <v>44562</v>
      </c>
      <c r="E70" s="376" cm="1">
        <f t="array" ref="E70">_xll.d.Dates_AddTenorToDate(C70,C71,C72,C73)</f>
        <v>44652</v>
      </c>
      <c r="F70" s="377">
        <v>44652</v>
      </c>
      <c r="G70" s="378" t="str" cm="1">
        <f t="array" ref="G70">_xll.d.TestUtils_Equal(E70,F70)</f>
        <v>Ok</v>
      </c>
      <c r="I70" s="136" t="s">
        <v>34</v>
      </c>
      <c r="J70" s="369">
        <v>44562</v>
      </c>
      <c r="L70" s="376" cm="1">
        <f t="array" ref="L70">_xll.d.Dates_AddTenorToDate(J70,J71,J72,J73)</f>
        <v>44652</v>
      </c>
      <c r="M70" s="377">
        <v>44652</v>
      </c>
      <c r="N70" s="378" t="str" cm="1">
        <f t="array" ref="N70">_xll.d.TestUtils_Equal(L70,M70)</f>
        <v>Ok</v>
      </c>
      <c r="P70" s="136" t="s">
        <v>34</v>
      </c>
      <c r="Q70" s="369">
        <v>44562</v>
      </c>
      <c r="S70" s="376" t="str" cm="1">
        <f t="array" ref="S70">_xll.d.Dates_AddTenorToDate(Q70,Q71,Q72,Q73)</f>
        <v>#∂Excel Error: Unknown calendar: WRE</v>
      </c>
      <c r="T70" s="377" t="s">
        <v>268</v>
      </c>
      <c r="U70" s="378" t="str" cm="1">
        <f t="array" ref="U70">_xll.d.TestUtils_Equal(S70,T70)</f>
        <v>Ok</v>
      </c>
      <c r="W70" s="136" t="s">
        <v>34</v>
      </c>
      <c r="X70" s="369">
        <v>44562</v>
      </c>
      <c r="Z70" s="376" t="str" cm="1">
        <f t="array" ref="Z70">_xll.d.Dates_AddTenorToDate(X70,X71,X72,X73)</f>
        <v>#∂Excel Error: Unknown business day convention: ASD</v>
      </c>
      <c r="AA70" s="377" t="s">
        <v>272</v>
      </c>
      <c r="AB70" s="378" t="str" cm="1">
        <f t="array" ref="AB70">_xll.d.TestUtils_Equal(Z70,AA70)</f>
        <v>Ok</v>
      </c>
    </row>
    <row r="71" spans="2:28" x14ac:dyDescent="0.2">
      <c r="B71" s="138" t="s">
        <v>23</v>
      </c>
      <c r="C71" s="381" t="s">
        <v>25</v>
      </c>
      <c r="I71" s="138" t="s">
        <v>23</v>
      </c>
      <c r="J71" s="381" t="s">
        <v>25</v>
      </c>
      <c r="P71" s="138" t="s">
        <v>23</v>
      </c>
      <c r="Q71" s="381" t="s">
        <v>25</v>
      </c>
      <c r="W71" s="138" t="s">
        <v>23</v>
      </c>
      <c r="X71" s="381" t="s">
        <v>25</v>
      </c>
    </row>
    <row r="72" spans="2:28" x14ac:dyDescent="0.2">
      <c r="B72" s="138" t="s">
        <v>244</v>
      </c>
      <c r="C72" s="381" t="s">
        <v>70</v>
      </c>
      <c r="I72" s="138" t="s">
        <v>244</v>
      </c>
      <c r="J72" s="381" t="s">
        <v>261</v>
      </c>
      <c r="P72" s="138" t="s">
        <v>244</v>
      </c>
      <c r="Q72" s="381" t="s">
        <v>267</v>
      </c>
      <c r="W72" s="138" t="s">
        <v>244</v>
      </c>
      <c r="X72" s="381" t="s">
        <v>261</v>
      </c>
    </row>
    <row r="73" spans="2:28" x14ac:dyDescent="0.2">
      <c r="B73" s="140" t="s">
        <v>245</v>
      </c>
      <c r="C73" s="141" t="s">
        <v>246</v>
      </c>
      <c r="I73" s="140" t="s">
        <v>245</v>
      </c>
      <c r="J73" s="141" t="s">
        <v>246</v>
      </c>
      <c r="P73" s="140" t="s">
        <v>245</v>
      </c>
      <c r="Q73" s="141" t="s">
        <v>246</v>
      </c>
      <c r="W73" s="140" t="s">
        <v>245</v>
      </c>
      <c r="X73" s="141" t="s">
        <v>271</v>
      </c>
    </row>
    <row r="74" spans="2:28" x14ac:dyDescent="0.2">
      <c r="B74" s="230"/>
    </row>
    <row r="75" spans="2:28" x14ac:dyDescent="0.2">
      <c r="B75" s="230"/>
    </row>
    <row r="77" spans="2:28" ht="18.75" x14ac:dyDescent="0.3">
      <c r="B77" s="3" t="s">
        <v>424</v>
      </c>
      <c r="C77" s="374"/>
      <c r="D77" s="374"/>
      <c r="E77" s="374"/>
      <c r="F77" s="374"/>
      <c r="G77" s="374"/>
      <c r="H77" s="374"/>
      <c r="I77" s="374"/>
      <c r="J77" s="374"/>
      <c r="K77" s="374"/>
      <c r="L77" s="374"/>
      <c r="M77" s="374"/>
      <c r="N77" s="374"/>
      <c r="O77" s="374"/>
      <c r="P77" s="374"/>
      <c r="Q77" s="374"/>
      <c r="R77" s="374"/>
      <c r="S77" s="374"/>
      <c r="T77" s="374"/>
      <c r="U77" s="374"/>
      <c r="V77" s="374"/>
      <c r="W77" s="374"/>
      <c r="X77" s="374"/>
      <c r="Y77" s="374"/>
      <c r="Z77" s="374"/>
      <c r="AA77" s="374"/>
      <c r="AB77" s="374"/>
    </row>
    <row r="79" spans="2:28" x14ac:dyDescent="0.2">
      <c r="B79" s="59" t="s">
        <v>163</v>
      </c>
      <c r="C79" s="368" t="str" cm="1">
        <f t="array" ref="C79">_xll.d.TestUtils_And(L84:O117)</f>
        <v>Ok</v>
      </c>
    </row>
    <row r="81" spans="2:15" ht="15.75" x14ac:dyDescent="0.25">
      <c r="B81" s="4" t="s">
        <v>111</v>
      </c>
      <c r="C81" s="375"/>
      <c r="D81" s="375"/>
      <c r="E81" s="375"/>
      <c r="F81" s="375"/>
      <c r="G81" s="375"/>
      <c r="H81" s="375"/>
      <c r="I81" s="375"/>
    </row>
    <row r="83" spans="2:15" x14ac:dyDescent="0.2">
      <c r="B83" s="134" t="s">
        <v>137</v>
      </c>
      <c r="C83" s="223"/>
      <c r="D83" s="223"/>
      <c r="E83" s="135"/>
      <c r="G83" s="134" t="s">
        <v>258</v>
      </c>
      <c r="H83" s="223"/>
      <c r="I83" s="223"/>
      <c r="J83" s="135"/>
      <c r="L83" s="134" t="s">
        <v>216</v>
      </c>
      <c r="M83" s="223"/>
      <c r="N83" s="223"/>
      <c r="O83" s="135"/>
    </row>
    <row r="84" spans="2:15" x14ac:dyDescent="0.2">
      <c r="B84" s="132" t="str" cm="1">
        <f t="array" ref="B84:E117">_xll.d.Dates_GetListOfCalendars()</f>
        <v>Variant 1</v>
      </c>
      <c r="C84" s="336" t="str">
        <v>Variant 2</v>
      </c>
      <c r="D84" s="336" t="str">
        <v>Variant 3</v>
      </c>
      <c r="E84" s="133" t="str">
        <v>Variant 4</v>
      </c>
      <c r="G84" s="132" t="s">
        <v>275</v>
      </c>
      <c r="H84" s="336" t="s">
        <v>276</v>
      </c>
      <c r="I84" s="336" t="s">
        <v>285</v>
      </c>
      <c r="J84" s="133" t="s">
        <v>286</v>
      </c>
      <c r="L84" s="368" t="str" cm="1">
        <f t="array" ref="L84">_xll.d.TestUtils_Equal(B84,G84)</f>
        <v>Ok</v>
      </c>
      <c r="M84" s="368" t="str" cm="1">
        <f t="array" ref="M84">_xll.d.TestUtils_Equal(C84,H84)</f>
        <v>Ok</v>
      </c>
      <c r="N84" s="368" t="str" cm="1">
        <f t="array" ref="N84">_xll.d.TestUtils_Equal(D84,I84)</f>
        <v>Ok</v>
      </c>
      <c r="O84" s="368" t="str" cm="1">
        <f t="array" ref="O84">_xll.d.TestUtils_Equal(E84,J84)</f>
        <v>Ok</v>
      </c>
    </row>
    <row r="85" spans="2:15" x14ac:dyDescent="0.2">
      <c r="B85" s="136" t="str">
        <v>ARS</v>
      </c>
      <c r="C85" s="388" t="str">
        <v>Argentina</v>
      </c>
      <c r="D85" s="388" t="str">
        <v/>
      </c>
      <c r="E85" s="137" t="str">
        <v/>
      </c>
      <c r="G85" s="136" t="s">
        <v>297</v>
      </c>
      <c r="H85" s="388" t="s">
        <v>298</v>
      </c>
      <c r="I85" s="388" t="s">
        <v>289</v>
      </c>
      <c r="J85" s="137" t="s">
        <v>289</v>
      </c>
      <c r="L85" s="368" t="str" cm="1">
        <f t="array" ref="L85">_xll.d.TestUtils_Equal(B85,G85)</f>
        <v>Ok</v>
      </c>
      <c r="M85" s="368" t="str" cm="1">
        <f t="array" ref="M85">_xll.d.TestUtils_Equal(C85,H85)</f>
        <v>Ok</v>
      </c>
      <c r="N85" s="368" t="str" cm="1">
        <f t="array" ref="N85">_xll.d.TestUtils_Equal(D85,I85)</f>
        <v>Ok</v>
      </c>
      <c r="O85" s="368" t="str" cm="1">
        <f t="array" ref="O85">_xll.d.TestUtils_Equal(E85,J85)</f>
        <v>Ok</v>
      </c>
    </row>
    <row r="86" spans="2:15" x14ac:dyDescent="0.2">
      <c r="B86" s="138" t="str">
        <v>AUD</v>
      </c>
      <c r="C86" s="324" t="str">
        <v>Australia</v>
      </c>
      <c r="D86" s="324" t="str">
        <v/>
      </c>
      <c r="E86" s="139" t="str">
        <v/>
      </c>
      <c r="G86" s="138" t="s">
        <v>299</v>
      </c>
      <c r="H86" s="324" t="s">
        <v>300</v>
      </c>
      <c r="I86" s="324" t="s">
        <v>289</v>
      </c>
      <c r="J86" s="139" t="s">
        <v>289</v>
      </c>
      <c r="L86" s="368" t="str" cm="1">
        <f t="array" ref="L86">_xll.d.TestUtils_Equal(B86,G86)</f>
        <v>Ok</v>
      </c>
      <c r="M86" s="368" t="str" cm="1">
        <f t="array" ref="M86">_xll.d.TestUtils_Equal(C86,H86)</f>
        <v>Ok</v>
      </c>
      <c r="N86" s="368" t="str" cm="1">
        <f t="array" ref="N86">_xll.d.TestUtils_Equal(D86,I86)</f>
        <v>Ok</v>
      </c>
      <c r="O86" s="368" t="str" cm="1">
        <f t="array" ref="O86">_xll.d.TestUtils_Equal(E86,J86)</f>
        <v>Ok</v>
      </c>
    </row>
    <row r="87" spans="2:15" x14ac:dyDescent="0.2">
      <c r="B87" s="138" t="str">
        <v>BWP</v>
      </c>
      <c r="C87" s="324" t="str">
        <v>Botswana</v>
      </c>
      <c r="D87" s="324" t="str">
        <v/>
      </c>
      <c r="E87" s="139" t="str">
        <v/>
      </c>
      <c r="G87" s="138" t="s">
        <v>301</v>
      </c>
      <c r="H87" s="324" t="s">
        <v>302</v>
      </c>
      <c r="I87" s="324" t="s">
        <v>289</v>
      </c>
      <c r="J87" s="139" t="s">
        <v>289</v>
      </c>
      <c r="L87" s="368" t="str" cm="1">
        <f t="array" ref="L87">_xll.d.TestUtils_Equal(B87,G87)</f>
        <v>Ok</v>
      </c>
      <c r="M87" s="368" t="str" cm="1">
        <f t="array" ref="M87">_xll.d.TestUtils_Equal(C87,H87)</f>
        <v>Ok</v>
      </c>
      <c r="N87" s="368" t="str" cm="1">
        <f t="array" ref="N87">_xll.d.TestUtils_Equal(D87,I87)</f>
        <v>Ok</v>
      </c>
      <c r="O87" s="368" t="str" cm="1">
        <f t="array" ref="O87">_xll.d.TestUtils_Equal(E87,J87)</f>
        <v>Ok</v>
      </c>
    </row>
    <row r="88" spans="2:15" x14ac:dyDescent="0.2">
      <c r="B88" s="138" t="str">
        <v>BRL</v>
      </c>
      <c r="C88" s="324" t="str">
        <v>Brazil</v>
      </c>
      <c r="D88" s="324" t="str">
        <v/>
      </c>
      <c r="E88" s="139" t="str">
        <v/>
      </c>
      <c r="G88" s="138" t="s">
        <v>303</v>
      </c>
      <c r="H88" s="324" t="s">
        <v>304</v>
      </c>
      <c r="I88" s="324" t="s">
        <v>289</v>
      </c>
      <c r="J88" s="139" t="s">
        <v>289</v>
      </c>
      <c r="L88" s="368" t="str" cm="1">
        <f t="array" ref="L88">_xll.d.TestUtils_Equal(B88,G88)</f>
        <v>Ok</v>
      </c>
      <c r="M88" s="368" t="str" cm="1">
        <f t="array" ref="M88">_xll.d.TestUtils_Equal(C88,H88)</f>
        <v>Ok</v>
      </c>
      <c r="N88" s="368" t="str" cm="1">
        <f t="array" ref="N88">_xll.d.TestUtils_Equal(D88,I88)</f>
        <v>Ok</v>
      </c>
      <c r="O88" s="368" t="str" cm="1">
        <f t="array" ref="O88">_xll.d.TestUtils_Equal(E88,J88)</f>
        <v>Ok</v>
      </c>
    </row>
    <row r="89" spans="2:15" x14ac:dyDescent="0.2">
      <c r="B89" s="138" t="str">
        <v>CAD</v>
      </c>
      <c r="C89" s="324" t="str">
        <v>Canada</v>
      </c>
      <c r="D89" s="324" t="str">
        <v/>
      </c>
      <c r="E89" s="139" t="str">
        <v/>
      </c>
      <c r="G89" s="138" t="s">
        <v>305</v>
      </c>
      <c r="H89" s="324" t="s">
        <v>306</v>
      </c>
      <c r="I89" s="324" t="s">
        <v>289</v>
      </c>
      <c r="J89" s="139" t="s">
        <v>289</v>
      </c>
      <c r="L89" s="368" t="str" cm="1">
        <f t="array" ref="L89">_xll.d.TestUtils_Equal(B89,G89)</f>
        <v>Ok</v>
      </c>
      <c r="M89" s="368" t="str" cm="1">
        <f t="array" ref="M89">_xll.d.TestUtils_Equal(C89,H89)</f>
        <v>Ok</v>
      </c>
      <c r="N89" s="368" t="str" cm="1">
        <f t="array" ref="N89">_xll.d.TestUtils_Equal(D89,I89)</f>
        <v>Ok</v>
      </c>
      <c r="O89" s="368" t="str" cm="1">
        <f t="array" ref="O89">_xll.d.TestUtils_Equal(E89,J89)</f>
        <v>Ok</v>
      </c>
    </row>
    <row r="90" spans="2:15" x14ac:dyDescent="0.2">
      <c r="B90" s="138" t="str">
        <v>CHF</v>
      </c>
      <c r="C90" s="324" t="str">
        <v>Switzerland</v>
      </c>
      <c r="D90" s="324" t="str">
        <v/>
      </c>
      <c r="E90" s="139" t="str">
        <v/>
      </c>
      <c r="G90" s="138" t="s">
        <v>307</v>
      </c>
      <c r="H90" s="324" t="s">
        <v>308</v>
      </c>
      <c r="I90" s="324" t="s">
        <v>289</v>
      </c>
      <c r="J90" s="139" t="s">
        <v>289</v>
      </c>
      <c r="L90" s="368" t="str" cm="1">
        <f t="array" ref="L90">_xll.d.TestUtils_Equal(B90,G90)</f>
        <v>Ok</v>
      </c>
      <c r="M90" s="368" t="str" cm="1">
        <f t="array" ref="M90">_xll.d.TestUtils_Equal(C90,H90)</f>
        <v>Ok</v>
      </c>
      <c r="N90" s="368" t="str" cm="1">
        <f t="array" ref="N90">_xll.d.TestUtils_Equal(D90,I90)</f>
        <v>Ok</v>
      </c>
      <c r="O90" s="368" t="str" cm="1">
        <f t="array" ref="O90">_xll.d.TestUtils_Equal(E90,J90)</f>
        <v>Ok</v>
      </c>
    </row>
    <row r="91" spans="2:15" x14ac:dyDescent="0.2">
      <c r="B91" s="138" t="str">
        <v>CNH</v>
      </c>
      <c r="C91" s="324" t="str">
        <v>China</v>
      </c>
      <c r="D91" s="324" t="str">
        <v/>
      </c>
      <c r="E91" s="139" t="str">
        <v/>
      </c>
      <c r="G91" s="138" t="s">
        <v>309</v>
      </c>
      <c r="H91" s="324" t="s">
        <v>310</v>
      </c>
      <c r="I91" s="324" t="s">
        <v>289</v>
      </c>
      <c r="J91" s="139" t="s">
        <v>289</v>
      </c>
      <c r="L91" s="368" t="str" cm="1">
        <f t="array" ref="L91">_xll.d.TestUtils_Equal(B91,G91)</f>
        <v>Ok</v>
      </c>
      <c r="M91" s="368" t="str" cm="1">
        <f t="array" ref="M91">_xll.d.TestUtils_Equal(C91,H91)</f>
        <v>Ok</v>
      </c>
      <c r="N91" s="368" t="str" cm="1">
        <f t="array" ref="N91">_xll.d.TestUtils_Equal(D91,I91)</f>
        <v>Ok</v>
      </c>
      <c r="O91" s="368" t="str" cm="1">
        <f t="array" ref="O91">_xll.d.TestUtils_Equal(E91,J91)</f>
        <v>Ok</v>
      </c>
    </row>
    <row r="92" spans="2:15" x14ac:dyDescent="0.2">
      <c r="B92" s="138" t="str">
        <v>CZK</v>
      </c>
      <c r="C92" s="324" t="str">
        <v>Czech Republic</v>
      </c>
      <c r="D92" s="324" t="str">
        <v/>
      </c>
      <c r="E92" s="139" t="str">
        <v/>
      </c>
      <c r="G92" s="138" t="s">
        <v>311</v>
      </c>
      <c r="H92" s="324" t="s">
        <v>312</v>
      </c>
      <c r="I92" s="324" t="s">
        <v>289</v>
      </c>
      <c r="J92" s="139" t="s">
        <v>289</v>
      </c>
      <c r="L92" s="368" t="str" cm="1">
        <f t="array" ref="L92">_xll.d.TestUtils_Equal(B92,G92)</f>
        <v>Ok</v>
      </c>
      <c r="M92" s="368" t="str" cm="1">
        <f t="array" ref="M92">_xll.d.TestUtils_Equal(C92,H92)</f>
        <v>Ok</v>
      </c>
      <c r="N92" s="368" t="str" cm="1">
        <f t="array" ref="N92">_xll.d.TestUtils_Equal(D92,I92)</f>
        <v>Ok</v>
      </c>
      <c r="O92" s="368" t="str" cm="1">
        <f t="array" ref="O92">_xll.d.TestUtils_Equal(E92,J92)</f>
        <v>Ok</v>
      </c>
    </row>
    <row r="93" spans="2:15" x14ac:dyDescent="0.2">
      <c r="B93" s="138" t="str">
        <v>DKK</v>
      </c>
      <c r="C93" s="324" t="str">
        <v>Denmark</v>
      </c>
      <c r="D93" s="324" t="str">
        <v/>
      </c>
      <c r="E93" s="139" t="str">
        <v/>
      </c>
      <c r="G93" s="138" t="s">
        <v>313</v>
      </c>
      <c r="H93" s="324" t="s">
        <v>314</v>
      </c>
      <c r="I93" s="324" t="s">
        <v>289</v>
      </c>
      <c r="J93" s="139" t="s">
        <v>289</v>
      </c>
      <c r="L93" s="368" t="str" cm="1">
        <f t="array" ref="L93">_xll.d.TestUtils_Equal(B93,G93)</f>
        <v>Ok</v>
      </c>
      <c r="M93" s="368" t="str" cm="1">
        <f t="array" ref="M93">_xll.d.TestUtils_Equal(C93,H93)</f>
        <v>Ok</v>
      </c>
      <c r="N93" s="368" t="str" cm="1">
        <f t="array" ref="N93">_xll.d.TestUtils_Equal(D93,I93)</f>
        <v>Ok</v>
      </c>
      <c r="O93" s="368" t="str" cm="1">
        <f t="array" ref="O93">_xll.d.TestUtils_Equal(E93,J93)</f>
        <v>Ok</v>
      </c>
    </row>
    <row r="94" spans="2:15" x14ac:dyDescent="0.2">
      <c r="B94" s="138" t="str">
        <v>EUR</v>
      </c>
      <c r="C94" s="324" t="str">
        <v>Euro</v>
      </c>
      <c r="D94" s="324" t="str">
        <v/>
      </c>
      <c r="E94" s="139" t="str">
        <v/>
      </c>
      <c r="G94" s="138" t="s">
        <v>315</v>
      </c>
      <c r="H94" s="324" t="s">
        <v>316</v>
      </c>
      <c r="I94" s="324" t="s">
        <v>289</v>
      </c>
      <c r="J94" s="139" t="s">
        <v>289</v>
      </c>
      <c r="L94" s="368" t="str" cm="1">
        <f t="array" ref="L94">_xll.d.TestUtils_Equal(B94,G94)</f>
        <v>Ok</v>
      </c>
      <c r="M94" s="368" t="str" cm="1">
        <f t="array" ref="M94">_xll.d.TestUtils_Equal(C94,H94)</f>
        <v>Ok</v>
      </c>
      <c r="N94" s="368" t="str" cm="1">
        <f t="array" ref="N94">_xll.d.TestUtils_Equal(D94,I94)</f>
        <v>Ok</v>
      </c>
      <c r="O94" s="368" t="str" cm="1">
        <f t="array" ref="O94">_xll.d.TestUtils_Equal(E94,J94)</f>
        <v>Ok</v>
      </c>
    </row>
    <row r="95" spans="2:15" x14ac:dyDescent="0.2">
      <c r="B95" s="138" t="str">
        <v>GBP</v>
      </c>
      <c r="C95" s="324" t="str">
        <v>Great Britain</v>
      </c>
      <c r="D95" s="324" t="str">
        <v/>
      </c>
      <c r="E95" s="139" t="str">
        <v/>
      </c>
      <c r="G95" s="138" t="s">
        <v>317</v>
      </c>
      <c r="H95" s="324" t="s">
        <v>318</v>
      </c>
      <c r="I95" s="324" t="s">
        <v>289</v>
      </c>
      <c r="J95" s="139" t="s">
        <v>289</v>
      </c>
      <c r="L95" s="368" t="str" cm="1">
        <f t="array" ref="L95">_xll.d.TestUtils_Equal(B95,G95)</f>
        <v>Ok</v>
      </c>
      <c r="M95" s="368" t="str" cm="1">
        <f t="array" ref="M95">_xll.d.TestUtils_Equal(C95,H95)</f>
        <v>Ok</v>
      </c>
      <c r="N95" s="368" t="str" cm="1">
        <f t="array" ref="N95">_xll.d.TestUtils_Equal(D95,I95)</f>
        <v>Ok</v>
      </c>
      <c r="O95" s="368" t="str" cm="1">
        <f t="array" ref="O95">_xll.d.TestUtils_Equal(E95,J95)</f>
        <v>Ok</v>
      </c>
    </row>
    <row r="96" spans="2:15" x14ac:dyDescent="0.2">
      <c r="B96" s="138" t="str">
        <v>Germany</v>
      </c>
      <c r="C96" s="324" t="str">
        <v/>
      </c>
      <c r="D96" s="324" t="str">
        <v/>
      </c>
      <c r="E96" s="139" t="str">
        <v/>
      </c>
      <c r="G96" s="138" t="s">
        <v>319</v>
      </c>
      <c r="H96" s="324" t="s">
        <v>289</v>
      </c>
      <c r="I96" s="324" t="s">
        <v>289</v>
      </c>
      <c r="J96" s="139" t="s">
        <v>289</v>
      </c>
      <c r="L96" s="368" t="str" cm="1">
        <f t="array" ref="L96">_xll.d.TestUtils_Equal(B96,G96)</f>
        <v>Ok</v>
      </c>
      <c r="M96" s="368" t="str" cm="1">
        <f t="array" ref="M96">_xll.d.TestUtils_Equal(C96,H96)</f>
        <v>Ok</v>
      </c>
      <c r="N96" s="368" t="str" cm="1">
        <f t="array" ref="N96">_xll.d.TestUtils_Equal(D96,I96)</f>
        <v>Ok</v>
      </c>
      <c r="O96" s="368" t="str" cm="1">
        <f t="array" ref="O96">_xll.d.TestUtils_Equal(E96,J96)</f>
        <v>Ok</v>
      </c>
    </row>
    <row r="97" spans="2:15" x14ac:dyDescent="0.2">
      <c r="B97" s="138" t="str">
        <v>HUF</v>
      </c>
      <c r="C97" s="324" t="str">
        <v>Hungary</v>
      </c>
      <c r="D97" s="324" t="str">
        <v/>
      </c>
      <c r="E97" s="139" t="str">
        <v/>
      </c>
      <c r="G97" s="138" t="s">
        <v>320</v>
      </c>
      <c r="H97" s="324" t="s">
        <v>321</v>
      </c>
      <c r="I97" s="324" t="s">
        <v>289</v>
      </c>
      <c r="J97" s="139" t="s">
        <v>289</v>
      </c>
      <c r="L97" s="368" t="str" cm="1">
        <f t="array" ref="L97">_xll.d.TestUtils_Equal(B97,G97)</f>
        <v>Ok</v>
      </c>
      <c r="M97" s="368" t="str" cm="1">
        <f t="array" ref="M97">_xll.d.TestUtils_Equal(C97,H97)</f>
        <v>Ok</v>
      </c>
      <c r="N97" s="368" t="str" cm="1">
        <f t="array" ref="N97">_xll.d.TestUtils_Equal(D97,I97)</f>
        <v>Ok</v>
      </c>
      <c r="O97" s="368" t="str" cm="1">
        <f t="array" ref="O97">_xll.d.TestUtils_Equal(E97,J97)</f>
        <v>Ok</v>
      </c>
    </row>
    <row r="98" spans="2:15" x14ac:dyDescent="0.2">
      <c r="B98" s="138" t="str">
        <v>INR</v>
      </c>
      <c r="C98" s="324" t="str">
        <v>India</v>
      </c>
      <c r="D98" s="324" t="str">
        <v/>
      </c>
      <c r="E98" s="139" t="str">
        <v/>
      </c>
      <c r="G98" s="138" t="s">
        <v>322</v>
      </c>
      <c r="H98" s="324" t="s">
        <v>323</v>
      </c>
      <c r="I98" s="324" t="s">
        <v>289</v>
      </c>
      <c r="J98" s="139" t="s">
        <v>289</v>
      </c>
      <c r="L98" s="368" t="str" cm="1">
        <f t="array" ref="L98">_xll.d.TestUtils_Equal(B98,G98)</f>
        <v>Ok</v>
      </c>
      <c r="M98" s="368" t="str" cm="1">
        <f t="array" ref="M98">_xll.d.TestUtils_Equal(C98,H98)</f>
        <v>Ok</v>
      </c>
      <c r="N98" s="368" t="str" cm="1">
        <f t="array" ref="N98">_xll.d.TestUtils_Equal(D98,I98)</f>
        <v>Ok</v>
      </c>
      <c r="O98" s="368" t="str" cm="1">
        <f t="array" ref="O98">_xll.d.TestUtils_Equal(E98,J98)</f>
        <v>Ok</v>
      </c>
    </row>
    <row r="99" spans="2:15" x14ac:dyDescent="0.2">
      <c r="B99" s="138" t="str">
        <v>ILS</v>
      </c>
      <c r="C99" s="324" t="str">
        <v>Israel</v>
      </c>
      <c r="D99" s="324" t="str">
        <v/>
      </c>
      <c r="E99" s="139" t="str">
        <v/>
      </c>
      <c r="G99" s="138" t="s">
        <v>324</v>
      </c>
      <c r="H99" s="324" t="s">
        <v>325</v>
      </c>
      <c r="I99" s="324" t="s">
        <v>289</v>
      </c>
      <c r="J99" s="139" t="s">
        <v>289</v>
      </c>
      <c r="L99" s="368" t="str" cm="1">
        <f t="array" ref="L99">_xll.d.TestUtils_Equal(B99,G99)</f>
        <v>Ok</v>
      </c>
      <c r="M99" s="368" t="str" cm="1">
        <f t="array" ref="M99">_xll.d.TestUtils_Equal(C99,H99)</f>
        <v>Ok</v>
      </c>
      <c r="N99" s="368" t="str" cm="1">
        <f t="array" ref="N99">_xll.d.TestUtils_Equal(D99,I99)</f>
        <v>Ok</v>
      </c>
      <c r="O99" s="368" t="str" cm="1">
        <f t="array" ref="O99">_xll.d.TestUtils_Equal(E99,J99)</f>
        <v>Ok</v>
      </c>
    </row>
    <row r="100" spans="2:15" x14ac:dyDescent="0.2">
      <c r="B100" s="138" t="str">
        <v>Italy</v>
      </c>
      <c r="C100" s="324" t="str">
        <v/>
      </c>
      <c r="D100" s="324" t="str">
        <v/>
      </c>
      <c r="E100" s="139" t="str">
        <v/>
      </c>
      <c r="G100" s="138" t="s">
        <v>326</v>
      </c>
      <c r="H100" s="324" t="s">
        <v>289</v>
      </c>
      <c r="I100" s="324" t="s">
        <v>289</v>
      </c>
      <c r="J100" s="139" t="s">
        <v>289</v>
      </c>
      <c r="L100" s="368" t="str" cm="1">
        <f t="array" ref="L100">_xll.d.TestUtils_Equal(B100,G100)</f>
        <v>Ok</v>
      </c>
      <c r="M100" s="368" t="str" cm="1">
        <f t="array" ref="M100">_xll.d.TestUtils_Equal(C100,H100)</f>
        <v>Ok</v>
      </c>
      <c r="N100" s="368" t="str" cm="1">
        <f t="array" ref="N100">_xll.d.TestUtils_Equal(D100,I100)</f>
        <v>Ok</v>
      </c>
      <c r="O100" s="368" t="str" cm="1">
        <f t="array" ref="O100">_xll.d.TestUtils_Equal(E100,J100)</f>
        <v>Ok</v>
      </c>
    </row>
    <row r="101" spans="2:15" x14ac:dyDescent="0.2">
      <c r="B101" s="138" t="str">
        <v>JPY</v>
      </c>
      <c r="C101" s="324" t="str">
        <v>Japan</v>
      </c>
      <c r="D101" s="324" t="str">
        <v/>
      </c>
      <c r="E101" s="139" t="str">
        <v/>
      </c>
      <c r="G101" s="138" t="s">
        <v>327</v>
      </c>
      <c r="H101" s="324" t="s">
        <v>328</v>
      </c>
      <c r="I101" s="324" t="s">
        <v>289</v>
      </c>
      <c r="J101" s="139" t="s">
        <v>289</v>
      </c>
      <c r="L101" s="368" t="str" cm="1">
        <f t="array" ref="L101">_xll.d.TestUtils_Equal(B101,G101)</f>
        <v>Ok</v>
      </c>
      <c r="M101" s="368" t="str" cm="1">
        <f t="array" ref="M101">_xll.d.TestUtils_Equal(C101,H101)</f>
        <v>Ok</v>
      </c>
      <c r="N101" s="368" t="str" cm="1">
        <f t="array" ref="N101">_xll.d.TestUtils_Equal(D101,I101)</f>
        <v>Ok</v>
      </c>
      <c r="O101" s="368" t="str" cm="1">
        <f t="array" ref="O101">_xll.d.TestUtils_Equal(E101,J101)</f>
        <v>Ok</v>
      </c>
    </row>
    <row r="102" spans="2:15" x14ac:dyDescent="0.2">
      <c r="B102" s="138" t="str">
        <v>KRW</v>
      </c>
      <c r="C102" s="324" t="str">
        <v>South Korea</v>
      </c>
      <c r="D102" s="324" t="str">
        <v/>
      </c>
      <c r="E102" s="139" t="str">
        <v/>
      </c>
      <c r="G102" s="138" t="s">
        <v>329</v>
      </c>
      <c r="H102" s="324" t="s">
        <v>330</v>
      </c>
      <c r="I102" s="324" t="s">
        <v>289</v>
      </c>
      <c r="J102" s="139" t="s">
        <v>289</v>
      </c>
      <c r="L102" s="368" t="str" cm="1">
        <f t="array" ref="L102">_xll.d.TestUtils_Equal(B102,G102)</f>
        <v>Ok</v>
      </c>
      <c r="M102" s="368" t="str" cm="1">
        <f t="array" ref="M102">_xll.d.TestUtils_Equal(C102,H102)</f>
        <v>Ok</v>
      </c>
      <c r="N102" s="368" t="str" cm="1">
        <f t="array" ref="N102">_xll.d.TestUtils_Equal(D102,I102)</f>
        <v>Ok</v>
      </c>
      <c r="O102" s="368" t="str" cm="1">
        <f t="array" ref="O102">_xll.d.TestUtils_Equal(E102,J102)</f>
        <v>Ok</v>
      </c>
    </row>
    <row r="103" spans="2:15" x14ac:dyDescent="0.2">
      <c r="B103" s="138" t="str">
        <v>MXN</v>
      </c>
      <c r="C103" s="324" t="str">
        <v>Mexico</v>
      </c>
      <c r="D103" s="324" t="str">
        <v/>
      </c>
      <c r="E103" s="139" t="str">
        <v/>
      </c>
      <c r="G103" s="138" t="s">
        <v>331</v>
      </c>
      <c r="H103" s="324" t="s">
        <v>332</v>
      </c>
      <c r="I103" s="324" t="s">
        <v>289</v>
      </c>
      <c r="J103" s="139" t="s">
        <v>289</v>
      </c>
      <c r="L103" s="368" t="str" cm="1">
        <f t="array" ref="L103">_xll.d.TestUtils_Equal(B103,G103)</f>
        <v>Ok</v>
      </c>
      <c r="M103" s="368" t="str" cm="1">
        <f t="array" ref="M103">_xll.d.TestUtils_Equal(C103,H103)</f>
        <v>Ok</v>
      </c>
      <c r="N103" s="368" t="str" cm="1">
        <f t="array" ref="N103">_xll.d.TestUtils_Equal(D103,I103)</f>
        <v>Ok</v>
      </c>
      <c r="O103" s="368" t="str" cm="1">
        <f t="array" ref="O103">_xll.d.TestUtils_Equal(E103,J103)</f>
        <v>Ok</v>
      </c>
    </row>
    <row r="104" spans="2:15" x14ac:dyDescent="0.2">
      <c r="B104" s="138" t="str">
        <v>NOK</v>
      </c>
      <c r="C104" s="324" t="str">
        <v>Norway</v>
      </c>
      <c r="D104" s="324" t="str">
        <v/>
      </c>
      <c r="E104" s="139" t="str">
        <v/>
      </c>
      <c r="G104" s="138" t="s">
        <v>333</v>
      </c>
      <c r="H104" s="324" t="s">
        <v>334</v>
      </c>
      <c r="I104" s="324" t="s">
        <v>289</v>
      </c>
      <c r="J104" s="139" t="s">
        <v>289</v>
      </c>
      <c r="L104" s="368" t="str" cm="1">
        <f t="array" ref="L104">_xll.d.TestUtils_Equal(B104,G104)</f>
        <v>Ok</v>
      </c>
      <c r="M104" s="368" t="str" cm="1">
        <f t="array" ref="M104">_xll.d.TestUtils_Equal(C104,H104)</f>
        <v>Ok</v>
      </c>
      <c r="N104" s="368" t="str" cm="1">
        <f t="array" ref="N104">_xll.d.TestUtils_Equal(D104,I104)</f>
        <v>Ok</v>
      </c>
      <c r="O104" s="368" t="str" cm="1">
        <f t="array" ref="O104">_xll.d.TestUtils_Equal(E104,J104)</f>
        <v>Ok</v>
      </c>
    </row>
    <row r="105" spans="2:15" x14ac:dyDescent="0.2">
      <c r="B105" s="138" t="str">
        <v>NZD</v>
      </c>
      <c r="C105" s="324" t="str">
        <v>New Zealand</v>
      </c>
      <c r="D105" s="324" t="str">
        <v/>
      </c>
      <c r="E105" s="139" t="str">
        <v/>
      </c>
      <c r="G105" s="138" t="s">
        <v>335</v>
      </c>
      <c r="H105" s="324" t="s">
        <v>336</v>
      </c>
      <c r="I105" s="324" t="s">
        <v>289</v>
      </c>
      <c r="J105" s="139" t="s">
        <v>289</v>
      </c>
      <c r="L105" s="368" t="str" cm="1">
        <f t="array" ref="L105">_xll.d.TestUtils_Equal(B105,G105)</f>
        <v>Ok</v>
      </c>
      <c r="M105" s="368" t="str" cm="1">
        <f t="array" ref="M105">_xll.d.TestUtils_Equal(C105,H105)</f>
        <v>Ok</v>
      </c>
      <c r="N105" s="368" t="str" cm="1">
        <f t="array" ref="N105">_xll.d.TestUtils_Equal(D105,I105)</f>
        <v>Ok</v>
      </c>
      <c r="O105" s="368" t="str" cm="1">
        <f t="array" ref="O105">_xll.d.TestUtils_Equal(E105,J105)</f>
        <v>Ok</v>
      </c>
    </row>
    <row r="106" spans="2:15" x14ac:dyDescent="0.2">
      <c r="B106" s="138" t="str">
        <v>PLN</v>
      </c>
      <c r="C106" s="324" t="str">
        <v>Poland</v>
      </c>
      <c r="D106" s="324" t="str">
        <v/>
      </c>
      <c r="E106" s="139" t="str">
        <v/>
      </c>
      <c r="G106" s="138" t="s">
        <v>337</v>
      </c>
      <c r="H106" s="324" t="s">
        <v>338</v>
      </c>
      <c r="I106" s="324" t="s">
        <v>289</v>
      </c>
      <c r="J106" s="139" t="s">
        <v>289</v>
      </c>
      <c r="L106" s="368" t="str" cm="1">
        <f t="array" ref="L106">_xll.d.TestUtils_Equal(B106,G106)</f>
        <v>Ok</v>
      </c>
      <c r="M106" s="368" t="str" cm="1">
        <f t="array" ref="M106">_xll.d.TestUtils_Equal(C106,H106)</f>
        <v>Ok</v>
      </c>
      <c r="N106" s="368" t="str" cm="1">
        <f t="array" ref="N106">_xll.d.TestUtils_Equal(D106,I106)</f>
        <v>Ok</v>
      </c>
      <c r="O106" s="368" t="str" cm="1">
        <f t="array" ref="O106">_xll.d.TestUtils_Equal(E106,J106)</f>
        <v>Ok</v>
      </c>
    </row>
    <row r="107" spans="2:15" x14ac:dyDescent="0.2">
      <c r="B107" s="138" t="str">
        <v>RON</v>
      </c>
      <c r="C107" s="324" t="str">
        <v>Romania</v>
      </c>
      <c r="D107" s="324" t="str">
        <v/>
      </c>
      <c r="E107" s="139" t="str">
        <v/>
      </c>
      <c r="G107" s="138" t="s">
        <v>339</v>
      </c>
      <c r="H107" s="324" t="s">
        <v>340</v>
      </c>
      <c r="I107" s="324" t="s">
        <v>289</v>
      </c>
      <c r="J107" s="139" t="s">
        <v>289</v>
      </c>
      <c r="L107" s="368" t="str" cm="1">
        <f t="array" ref="L107">_xll.d.TestUtils_Equal(B107,G107)</f>
        <v>Ok</v>
      </c>
      <c r="M107" s="368" t="str" cm="1">
        <f t="array" ref="M107">_xll.d.TestUtils_Equal(C107,H107)</f>
        <v>Ok</v>
      </c>
      <c r="N107" s="368" t="str" cm="1">
        <f t="array" ref="N107">_xll.d.TestUtils_Equal(D107,I107)</f>
        <v>Ok</v>
      </c>
      <c r="O107" s="368" t="str" cm="1">
        <f t="array" ref="O107">_xll.d.TestUtils_Equal(E107,J107)</f>
        <v>Ok</v>
      </c>
    </row>
    <row r="108" spans="2:15" x14ac:dyDescent="0.2">
      <c r="B108" s="138" t="str">
        <v>RUB</v>
      </c>
      <c r="C108" s="324" t="str">
        <v>Russia</v>
      </c>
      <c r="D108" s="324" t="str">
        <v/>
      </c>
      <c r="E108" s="139" t="str">
        <v/>
      </c>
      <c r="G108" s="138" t="s">
        <v>341</v>
      </c>
      <c r="H108" s="324" t="s">
        <v>342</v>
      </c>
      <c r="I108" s="324" t="s">
        <v>289</v>
      </c>
      <c r="J108" s="139" t="s">
        <v>289</v>
      </c>
      <c r="L108" s="368" t="str" cm="1">
        <f t="array" ref="L108">_xll.d.TestUtils_Equal(B108,G108)</f>
        <v>Ok</v>
      </c>
      <c r="M108" s="368" t="str" cm="1">
        <f t="array" ref="M108">_xll.d.TestUtils_Equal(C108,H108)</f>
        <v>Ok</v>
      </c>
      <c r="N108" s="368" t="str" cm="1">
        <f t="array" ref="N108">_xll.d.TestUtils_Equal(D108,I108)</f>
        <v>Ok</v>
      </c>
      <c r="O108" s="368" t="str" cm="1">
        <f t="array" ref="O108">_xll.d.TestUtils_Equal(E108,J108)</f>
        <v>Ok</v>
      </c>
    </row>
    <row r="109" spans="2:15" x14ac:dyDescent="0.2">
      <c r="B109" s="138" t="str">
        <v>SGD</v>
      </c>
      <c r="C109" s="324" t="str">
        <v>Singapore</v>
      </c>
      <c r="D109" s="324" t="str">
        <v/>
      </c>
      <c r="E109" s="139" t="str">
        <v/>
      </c>
      <c r="G109" s="138" t="s">
        <v>343</v>
      </c>
      <c r="H109" s="324" t="s">
        <v>344</v>
      </c>
      <c r="I109" s="324" t="s">
        <v>289</v>
      </c>
      <c r="J109" s="139" t="s">
        <v>289</v>
      </c>
      <c r="L109" s="368" t="str" cm="1">
        <f t="array" ref="L109">_xll.d.TestUtils_Equal(B109,G109)</f>
        <v>Ok</v>
      </c>
      <c r="M109" s="368" t="str" cm="1">
        <f t="array" ref="M109">_xll.d.TestUtils_Equal(C109,H109)</f>
        <v>Ok</v>
      </c>
      <c r="N109" s="368" t="str" cm="1">
        <f t="array" ref="N109">_xll.d.TestUtils_Equal(D109,I109)</f>
        <v>Ok</v>
      </c>
      <c r="O109" s="368" t="str" cm="1">
        <f t="array" ref="O109">_xll.d.TestUtils_Equal(E109,J109)</f>
        <v>Ok</v>
      </c>
    </row>
    <row r="110" spans="2:15" x14ac:dyDescent="0.2">
      <c r="B110" s="138" t="str">
        <v>SKK</v>
      </c>
      <c r="C110" s="324" t="str">
        <v>Sweden</v>
      </c>
      <c r="D110" s="324" t="str">
        <v/>
      </c>
      <c r="E110" s="139" t="str">
        <v/>
      </c>
      <c r="G110" s="138" t="s">
        <v>345</v>
      </c>
      <c r="H110" s="324" t="s">
        <v>346</v>
      </c>
      <c r="I110" s="324" t="s">
        <v>289</v>
      </c>
      <c r="J110" s="139" t="s">
        <v>289</v>
      </c>
      <c r="L110" s="368" t="str" cm="1">
        <f t="array" ref="L110">_xll.d.TestUtils_Equal(B110,G110)</f>
        <v>Ok</v>
      </c>
      <c r="M110" s="368" t="str" cm="1">
        <f t="array" ref="M110">_xll.d.TestUtils_Equal(C110,H110)</f>
        <v>Ok</v>
      </c>
      <c r="N110" s="368" t="str" cm="1">
        <f t="array" ref="N110">_xll.d.TestUtils_Equal(D110,I110)</f>
        <v>Ok</v>
      </c>
      <c r="O110" s="368" t="str" cm="1">
        <f t="array" ref="O110">_xll.d.TestUtils_Equal(E110,J110)</f>
        <v>Ok</v>
      </c>
    </row>
    <row r="111" spans="2:15" x14ac:dyDescent="0.2">
      <c r="B111" s="138" t="str">
        <v>SLOVAKIA</v>
      </c>
      <c r="C111" s="324" t="str">
        <v/>
      </c>
      <c r="D111" s="324" t="str">
        <v/>
      </c>
      <c r="E111" s="139" t="str">
        <v/>
      </c>
      <c r="G111" s="138" t="s">
        <v>347</v>
      </c>
      <c r="H111" s="324" t="s">
        <v>289</v>
      </c>
      <c r="I111" s="324" t="s">
        <v>289</v>
      </c>
      <c r="J111" s="139" t="s">
        <v>289</v>
      </c>
      <c r="L111" s="368" t="str" cm="1">
        <f t="array" ref="L111">_xll.d.TestUtils_Equal(B111,G111)</f>
        <v>Ok</v>
      </c>
      <c r="M111" s="368" t="str" cm="1">
        <f t="array" ref="M111">_xll.d.TestUtils_Equal(C111,H111)</f>
        <v>Ok</v>
      </c>
      <c r="N111" s="368" t="str" cm="1">
        <f t="array" ref="N111">_xll.d.TestUtils_Equal(D111,I111)</f>
        <v>Ok</v>
      </c>
      <c r="O111" s="368" t="str" cm="1">
        <f t="array" ref="O111">_xll.d.TestUtils_Equal(E111,J111)</f>
        <v>Ok</v>
      </c>
    </row>
    <row r="112" spans="2:15" x14ac:dyDescent="0.2">
      <c r="B112" s="138" t="str">
        <v>THB</v>
      </c>
      <c r="C112" s="324" t="str">
        <v>Thailand</v>
      </c>
      <c r="D112" s="324" t="str">
        <v/>
      </c>
      <c r="E112" s="139" t="str">
        <v/>
      </c>
      <c r="G112" s="138" t="s">
        <v>348</v>
      </c>
      <c r="H112" s="324" t="s">
        <v>349</v>
      </c>
      <c r="I112" s="324" t="s">
        <v>289</v>
      </c>
      <c r="J112" s="139" t="s">
        <v>289</v>
      </c>
      <c r="L112" s="368" t="str" cm="1">
        <f t="array" ref="L112">_xll.d.TestUtils_Equal(B112,G112)</f>
        <v>Ok</v>
      </c>
      <c r="M112" s="368" t="str" cm="1">
        <f t="array" ref="M112">_xll.d.TestUtils_Equal(C112,H112)</f>
        <v>Ok</v>
      </c>
      <c r="N112" s="368" t="str" cm="1">
        <f t="array" ref="N112">_xll.d.TestUtils_Equal(D112,I112)</f>
        <v>Ok</v>
      </c>
      <c r="O112" s="368" t="str" cm="1">
        <f t="array" ref="O112">_xll.d.TestUtils_Equal(E112,J112)</f>
        <v>Ok</v>
      </c>
    </row>
    <row r="113" spans="2:28" x14ac:dyDescent="0.2">
      <c r="B113" s="138" t="str">
        <v>TRY</v>
      </c>
      <c r="C113" s="324" t="str">
        <v>Turkey</v>
      </c>
      <c r="D113" s="324" t="str">
        <v/>
      </c>
      <c r="E113" s="139" t="str">
        <v/>
      </c>
      <c r="G113" s="138" t="s">
        <v>350</v>
      </c>
      <c r="H113" s="324" t="s">
        <v>351</v>
      </c>
      <c r="I113" s="324" t="s">
        <v>289</v>
      </c>
      <c r="J113" s="139" t="s">
        <v>289</v>
      </c>
      <c r="L113" s="368" t="str" cm="1">
        <f t="array" ref="L113">_xll.d.TestUtils_Equal(B113,G113)</f>
        <v>Ok</v>
      </c>
      <c r="M113" s="368" t="str" cm="1">
        <f t="array" ref="M113">_xll.d.TestUtils_Equal(C113,H113)</f>
        <v>Ok</v>
      </c>
      <c r="N113" s="368" t="str" cm="1">
        <f t="array" ref="N113">_xll.d.TestUtils_Equal(D113,I113)</f>
        <v>Ok</v>
      </c>
      <c r="O113" s="368" t="str" cm="1">
        <f t="array" ref="O113">_xll.d.TestUtils_Equal(E113,J113)</f>
        <v>Ok</v>
      </c>
    </row>
    <row r="114" spans="2:28" x14ac:dyDescent="0.2">
      <c r="B114" s="138" t="str">
        <v>TWD</v>
      </c>
      <c r="C114" s="324" t="str">
        <v>Taiwan</v>
      </c>
      <c r="D114" s="324" t="str">
        <v/>
      </c>
      <c r="E114" s="139" t="str">
        <v/>
      </c>
      <c r="G114" s="138" t="s">
        <v>352</v>
      </c>
      <c r="H114" s="324" t="s">
        <v>353</v>
      </c>
      <c r="I114" s="324" t="s">
        <v>289</v>
      </c>
      <c r="J114" s="139" t="s">
        <v>289</v>
      </c>
      <c r="L114" s="368" t="str" cm="1">
        <f t="array" ref="L114">_xll.d.TestUtils_Equal(B114,G114)</f>
        <v>Ok</v>
      </c>
      <c r="M114" s="368" t="str" cm="1">
        <f t="array" ref="M114">_xll.d.TestUtils_Equal(C114,H114)</f>
        <v>Ok</v>
      </c>
      <c r="N114" s="368" t="str" cm="1">
        <f t="array" ref="N114">_xll.d.TestUtils_Equal(D114,I114)</f>
        <v>Ok</v>
      </c>
      <c r="O114" s="368" t="str" cm="1">
        <f t="array" ref="O114">_xll.d.TestUtils_Equal(E114,J114)</f>
        <v>Ok</v>
      </c>
    </row>
    <row r="115" spans="2:28" x14ac:dyDescent="0.2">
      <c r="B115" s="138" t="str">
        <v>UAH</v>
      </c>
      <c r="C115" s="324" t="str">
        <v>Ukraine</v>
      </c>
      <c r="D115" s="324" t="str">
        <v/>
      </c>
      <c r="E115" s="139" t="str">
        <v/>
      </c>
      <c r="G115" s="138" t="s">
        <v>354</v>
      </c>
      <c r="H115" s="324" t="s">
        <v>355</v>
      </c>
      <c r="I115" s="324" t="s">
        <v>289</v>
      </c>
      <c r="J115" s="139" t="s">
        <v>289</v>
      </c>
      <c r="L115" s="368" t="str" cm="1">
        <f t="array" ref="L115">_xll.d.TestUtils_Equal(B115,G115)</f>
        <v>Ok</v>
      </c>
      <c r="M115" s="368" t="str" cm="1">
        <f t="array" ref="M115">_xll.d.TestUtils_Equal(C115,H115)</f>
        <v>Ok</v>
      </c>
      <c r="N115" s="368" t="str" cm="1">
        <f t="array" ref="N115">_xll.d.TestUtils_Equal(D115,I115)</f>
        <v>Ok</v>
      </c>
      <c r="O115" s="368" t="str" cm="1">
        <f t="array" ref="O115">_xll.d.TestUtils_Equal(E115,J115)</f>
        <v>Ok</v>
      </c>
    </row>
    <row r="116" spans="2:28" x14ac:dyDescent="0.2">
      <c r="B116" s="138" t="str">
        <v>USD</v>
      </c>
      <c r="C116" s="324" t="str">
        <v>USA</v>
      </c>
      <c r="D116" s="324" t="str">
        <v>United States</v>
      </c>
      <c r="E116" s="139" t="str">
        <v>United States of America</v>
      </c>
      <c r="G116" s="138" t="s">
        <v>356</v>
      </c>
      <c r="H116" s="324" t="s">
        <v>357</v>
      </c>
      <c r="I116" s="324" t="s">
        <v>358</v>
      </c>
      <c r="J116" s="139" t="s">
        <v>359</v>
      </c>
      <c r="L116" s="368" t="str" cm="1">
        <f t="array" ref="L116">_xll.d.TestUtils_Equal(B116,G116)</f>
        <v>Ok</v>
      </c>
      <c r="M116" s="368" t="str" cm="1">
        <f t="array" ref="M116">_xll.d.TestUtils_Equal(C116,H116)</f>
        <v>Ok</v>
      </c>
      <c r="N116" s="368" t="str" cm="1">
        <f t="array" ref="N116">_xll.d.TestUtils_Equal(D116,I116)</f>
        <v>Ok</v>
      </c>
      <c r="O116" s="368" t="str" cm="1">
        <f t="array" ref="O116">_xll.d.TestUtils_Equal(E116,J116)</f>
        <v>Ok</v>
      </c>
    </row>
    <row r="117" spans="2:28" x14ac:dyDescent="0.2">
      <c r="B117" s="140" t="str">
        <v>ZAR</v>
      </c>
      <c r="C117" s="222" t="str">
        <v>South Africa</v>
      </c>
      <c r="D117" s="222" t="str">
        <v/>
      </c>
      <c r="E117" s="141" t="str">
        <v/>
      </c>
      <c r="G117" s="140" t="s">
        <v>70</v>
      </c>
      <c r="H117" s="222" t="s">
        <v>360</v>
      </c>
      <c r="I117" s="222" t="s">
        <v>289</v>
      </c>
      <c r="J117" s="141" t="s">
        <v>289</v>
      </c>
      <c r="L117" s="368" t="str" cm="1">
        <f t="array" ref="L117">_xll.d.TestUtils_Equal(B117,G117)</f>
        <v>Ok</v>
      </c>
      <c r="M117" s="368" t="str" cm="1">
        <f t="array" ref="M117">_xll.d.TestUtils_Equal(C117,H117)</f>
        <v>Ok</v>
      </c>
      <c r="N117" s="368" t="str" cm="1">
        <f t="array" ref="N117">_xll.d.TestUtils_Equal(D117,I117)</f>
        <v>Ok</v>
      </c>
      <c r="O117" s="368" t="str" cm="1">
        <f t="array" ref="O117">_xll.d.TestUtils_Equal(E117,J117)</f>
        <v>Ok</v>
      </c>
    </row>
    <row r="121" spans="2:28" ht="18.75" x14ac:dyDescent="0.3">
      <c r="B121" s="3" t="s">
        <v>425</v>
      </c>
      <c r="C121" s="374"/>
      <c r="D121" s="374"/>
      <c r="E121" s="374"/>
      <c r="F121" s="374"/>
      <c r="G121" s="374"/>
      <c r="H121" s="374"/>
      <c r="I121" s="374"/>
      <c r="J121" s="374"/>
      <c r="K121" s="374"/>
      <c r="L121" s="374"/>
      <c r="M121" s="374"/>
      <c r="N121" s="374"/>
      <c r="O121" s="374"/>
      <c r="P121" s="374"/>
      <c r="Q121" s="374"/>
      <c r="R121" s="374"/>
      <c r="S121" s="374"/>
      <c r="T121" s="374"/>
      <c r="U121" s="374"/>
      <c r="V121" s="374"/>
      <c r="W121" s="374"/>
      <c r="X121" s="374"/>
      <c r="Y121" s="374"/>
      <c r="Z121" s="374"/>
      <c r="AA121" s="374"/>
      <c r="AB121" s="374"/>
    </row>
    <row r="123" spans="2:28" x14ac:dyDescent="0.2">
      <c r="B123" s="59" t="s">
        <v>163</v>
      </c>
      <c r="C123" s="368" t="str" cm="1">
        <f t="array" ref="C123">_xll.d.TestUtils_And(G128:G136,N128:N145,U128)</f>
        <v>Ok</v>
      </c>
    </row>
    <row r="125" spans="2:28" ht="15.75" x14ac:dyDescent="0.25">
      <c r="B125" s="4" t="s">
        <v>264</v>
      </c>
      <c r="C125" s="375"/>
      <c r="D125" s="375"/>
      <c r="E125" s="375"/>
      <c r="F125" s="375"/>
      <c r="G125" s="375"/>
      <c r="I125" s="4" t="s">
        <v>265</v>
      </c>
      <c r="J125" s="375"/>
      <c r="K125" s="375"/>
      <c r="L125" s="375"/>
      <c r="M125" s="375"/>
      <c r="N125" s="375"/>
      <c r="P125" s="4" t="s">
        <v>269</v>
      </c>
      <c r="Q125" s="375"/>
      <c r="R125" s="375"/>
      <c r="S125" s="375"/>
      <c r="T125" s="375"/>
      <c r="U125" s="375"/>
    </row>
    <row r="126" spans="2:28" x14ac:dyDescent="0.2">
      <c r="G126" s="367"/>
      <c r="N126" s="367"/>
    </row>
    <row r="127" spans="2:28" x14ac:dyDescent="0.2">
      <c r="B127" s="134" t="s">
        <v>256</v>
      </c>
      <c r="C127" s="135"/>
      <c r="E127" s="12" t="s">
        <v>137</v>
      </c>
      <c r="F127" s="27" t="s">
        <v>258</v>
      </c>
      <c r="G127" s="135" t="s">
        <v>85</v>
      </c>
      <c r="I127" s="134" t="s">
        <v>256</v>
      </c>
      <c r="J127" s="135"/>
      <c r="L127" s="12" t="s">
        <v>137</v>
      </c>
      <c r="M127" s="27" t="s">
        <v>258</v>
      </c>
      <c r="N127" s="135" t="s">
        <v>85</v>
      </c>
      <c r="P127" s="134" t="s">
        <v>256</v>
      </c>
      <c r="Q127" s="135"/>
      <c r="S127" s="12" t="s">
        <v>137</v>
      </c>
      <c r="T127" s="27" t="s">
        <v>258</v>
      </c>
      <c r="U127" s="135" t="s">
        <v>85</v>
      </c>
    </row>
    <row r="128" spans="2:28" x14ac:dyDescent="0.2">
      <c r="B128" s="136" t="s">
        <v>262</v>
      </c>
      <c r="C128" s="369">
        <v>44562</v>
      </c>
      <c r="E128" s="382" cm="1">
        <f t="array" ref="E128:E136">_xll.d.Dates_GetListOfHolidays(C128,C129,C130)</f>
        <v>44641</v>
      </c>
      <c r="F128" s="383">
        <v>44641</v>
      </c>
      <c r="G128" s="137" t="str" cm="1">
        <f t="array" ref="G128">_xll.d.TestUtils_Equal(E128,F128)</f>
        <v>Ok</v>
      </c>
      <c r="I128" s="136" t="s">
        <v>262</v>
      </c>
      <c r="J128" s="369">
        <v>44562</v>
      </c>
      <c r="L128" s="382" cm="1">
        <f t="array" ref="L128:L145">_xll.d.Dates_GetListOfHolidays(J128,J129,J130)</f>
        <v>44578</v>
      </c>
      <c r="M128" s="383">
        <v>44578</v>
      </c>
      <c r="N128" s="137" t="str" cm="1">
        <f t="array" ref="N128">_xll.d.TestUtils_Equal(L128,M128)</f>
        <v>Ok</v>
      </c>
      <c r="P128" s="136" t="s">
        <v>262</v>
      </c>
      <c r="Q128" s="369">
        <v>44562</v>
      </c>
      <c r="S128" s="376" t="str" cm="1">
        <f t="array" ref="S128">_xll.d.Dates_GetListOfHolidays(Q128,Q129,Q130)</f>
        <v>#∂Excel Error: Unknown calendar: WRE</v>
      </c>
      <c r="T128" s="377" t="s">
        <v>268</v>
      </c>
      <c r="U128" s="378" t="str" cm="1">
        <f t="array" ref="U128">_xll.d.TestUtils_Equal(S128,T128)</f>
        <v>Ok</v>
      </c>
    </row>
    <row r="129" spans="2:17" x14ac:dyDescent="0.2">
      <c r="B129" s="138" t="s">
        <v>263</v>
      </c>
      <c r="C129" s="381">
        <v>44926</v>
      </c>
      <c r="E129" s="384">
        <v>44666</v>
      </c>
      <c r="F129" s="385">
        <v>44666</v>
      </c>
      <c r="G129" s="139" t="str" cm="1">
        <f t="array" ref="G129">_xll.d.TestUtils_Equal(E129,F129)</f>
        <v>Ok</v>
      </c>
      <c r="I129" s="138" t="s">
        <v>263</v>
      </c>
      <c r="J129" s="381">
        <v>44926</v>
      </c>
      <c r="L129" s="384">
        <v>44613</v>
      </c>
      <c r="M129" s="385">
        <v>44613</v>
      </c>
      <c r="N129" s="139" t="str" cm="1">
        <f t="array" ref="N129">_xll.d.TestUtils_Equal(L129,M129)</f>
        <v>Ok</v>
      </c>
      <c r="P129" s="138" t="s">
        <v>263</v>
      </c>
      <c r="Q129" s="381">
        <v>44926</v>
      </c>
    </row>
    <row r="130" spans="2:17" x14ac:dyDescent="0.2">
      <c r="B130" s="140" t="s">
        <v>244</v>
      </c>
      <c r="C130" s="141" t="s">
        <v>70</v>
      </c>
      <c r="E130" s="384">
        <v>44669</v>
      </c>
      <c r="F130" s="385">
        <v>44669</v>
      </c>
      <c r="G130" s="139" t="str" cm="1">
        <f t="array" ref="G130">_xll.d.TestUtils_Equal(E130,F130)</f>
        <v>Ok</v>
      </c>
      <c r="I130" s="140" t="s">
        <v>244</v>
      </c>
      <c r="J130" s="141" t="s">
        <v>261</v>
      </c>
      <c r="L130" s="384">
        <v>44641</v>
      </c>
      <c r="M130" s="385">
        <v>44641</v>
      </c>
      <c r="N130" s="139" t="str" cm="1">
        <f t="array" ref="N130">_xll.d.TestUtils_Equal(L130,M130)</f>
        <v>Ok</v>
      </c>
      <c r="P130" s="140" t="s">
        <v>244</v>
      </c>
      <c r="Q130" s="141" t="s">
        <v>267</v>
      </c>
    </row>
    <row r="131" spans="2:17" x14ac:dyDescent="0.2">
      <c r="E131" s="384">
        <v>44678</v>
      </c>
      <c r="F131" s="385">
        <v>44678</v>
      </c>
      <c r="G131" s="139" t="str" cm="1">
        <f t="array" ref="G131">_xll.d.TestUtils_Equal(E131,F131)</f>
        <v>Ok</v>
      </c>
      <c r="L131" s="384">
        <v>44666</v>
      </c>
      <c r="M131" s="385">
        <v>44666</v>
      </c>
      <c r="N131" s="139" t="str" cm="1">
        <f t="array" ref="N131">_xll.d.TestUtils_Equal(L131,M131)</f>
        <v>Ok</v>
      </c>
    </row>
    <row r="132" spans="2:17" x14ac:dyDescent="0.2">
      <c r="E132" s="384">
        <v>44683</v>
      </c>
      <c r="F132" s="385">
        <v>44683</v>
      </c>
      <c r="G132" s="139" t="str" cm="1">
        <f t="array" ref="G132">_xll.d.TestUtils_Equal(E132,F132)</f>
        <v>Ok</v>
      </c>
      <c r="L132" s="384">
        <v>44669</v>
      </c>
      <c r="M132" s="385">
        <v>44669</v>
      </c>
      <c r="N132" s="139" t="str" cm="1">
        <f t="array" ref="N132">_xll.d.TestUtils_Equal(L132,M132)</f>
        <v>Ok</v>
      </c>
    </row>
    <row r="133" spans="2:17" x14ac:dyDescent="0.2">
      <c r="E133" s="384">
        <v>44728</v>
      </c>
      <c r="F133" s="385">
        <v>44728</v>
      </c>
      <c r="G133" s="139" t="str" cm="1">
        <f t="array" ref="G133">_xll.d.TestUtils_Equal(E133,F133)</f>
        <v>Ok</v>
      </c>
      <c r="L133" s="384">
        <v>44678</v>
      </c>
      <c r="M133" s="385">
        <v>44678</v>
      </c>
      <c r="N133" s="139" t="str" cm="1">
        <f t="array" ref="N133">_xll.d.TestUtils_Equal(L133,M133)</f>
        <v>Ok</v>
      </c>
    </row>
    <row r="134" spans="2:17" x14ac:dyDescent="0.2">
      <c r="E134" s="384">
        <v>44782</v>
      </c>
      <c r="F134" s="385">
        <v>44782</v>
      </c>
      <c r="G134" s="139" t="str" cm="1">
        <f t="array" ref="G134">_xll.d.TestUtils_Equal(E134,F134)</f>
        <v>Ok</v>
      </c>
      <c r="L134" s="384">
        <v>44683</v>
      </c>
      <c r="M134" s="385">
        <v>44683</v>
      </c>
      <c r="N134" s="139" t="str" cm="1">
        <f t="array" ref="N134">_xll.d.TestUtils_Equal(L134,M134)</f>
        <v>Ok</v>
      </c>
    </row>
    <row r="135" spans="2:17" x14ac:dyDescent="0.2">
      <c r="E135" s="384">
        <v>44911</v>
      </c>
      <c r="F135" s="385">
        <v>44911</v>
      </c>
      <c r="G135" s="139" t="str" cm="1">
        <f t="array" ref="G135">_xll.d.TestUtils_Equal(E135,F135)</f>
        <v>Ok</v>
      </c>
      <c r="L135" s="384">
        <v>44711</v>
      </c>
      <c r="M135" s="385">
        <v>44711</v>
      </c>
      <c r="N135" s="139" t="str" cm="1">
        <f t="array" ref="N135">_xll.d.TestUtils_Equal(L135,M135)</f>
        <v>Ok</v>
      </c>
    </row>
    <row r="136" spans="2:17" x14ac:dyDescent="0.2">
      <c r="E136" s="386">
        <v>44921</v>
      </c>
      <c r="F136" s="387">
        <v>44921</v>
      </c>
      <c r="G136" s="141" t="str" cm="1">
        <f t="array" ref="G136">_xll.d.TestUtils_Equal(E136,F136)</f>
        <v>Ok</v>
      </c>
      <c r="L136" s="384">
        <v>44728</v>
      </c>
      <c r="M136" s="385">
        <v>44728</v>
      </c>
      <c r="N136" s="139" t="str" cm="1">
        <f t="array" ref="N136">_xll.d.TestUtils_Equal(L136,M136)</f>
        <v>Ok</v>
      </c>
    </row>
    <row r="137" spans="2:17" x14ac:dyDescent="0.2">
      <c r="G137" s="367"/>
      <c r="L137" s="384">
        <v>44732</v>
      </c>
      <c r="M137" s="385">
        <v>44732</v>
      </c>
      <c r="N137" s="139" t="str" cm="1">
        <f t="array" ref="N137">_xll.d.TestUtils_Equal(L137,M137)</f>
        <v>Ok</v>
      </c>
    </row>
    <row r="138" spans="2:17" x14ac:dyDescent="0.2">
      <c r="G138" s="367"/>
      <c r="L138" s="384">
        <v>44746</v>
      </c>
      <c r="M138" s="385">
        <v>44746</v>
      </c>
      <c r="N138" s="139" t="str" cm="1">
        <f t="array" ref="N138">_xll.d.TestUtils_Equal(L138,M138)</f>
        <v>Ok</v>
      </c>
    </row>
    <row r="139" spans="2:17" x14ac:dyDescent="0.2">
      <c r="G139" s="367"/>
      <c r="L139" s="384">
        <v>44782</v>
      </c>
      <c r="M139" s="385">
        <v>44782</v>
      </c>
      <c r="N139" s="139" t="str" cm="1">
        <f t="array" ref="N139">_xll.d.TestUtils_Equal(L139,M139)</f>
        <v>Ok</v>
      </c>
    </row>
    <row r="140" spans="2:17" x14ac:dyDescent="0.2">
      <c r="G140" s="367"/>
      <c r="L140" s="384">
        <v>44809</v>
      </c>
      <c r="M140" s="385">
        <v>44809</v>
      </c>
      <c r="N140" s="139" t="str" cm="1">
        <f t="array" ref="N140">_xll.d.TestUtils_Equal(L140,M140)</f>
        <v>Ok</v>
      </c>
    </row>
    <row r="141" spans="2:17" x14ac:dyDescent="0.2">
      <c r="G141" s="367"/>
      <c r="L141" s="384">
        <v>44844</v>
      </c>
      <c r="M141" s="385">
        <v>44844</v>
      </c>
      <c r="N141" s="139" t="str" cm="1">
        <f t="array" ref="N141">_xll.d.TestUtils_Equal(L141,M141)</f>
        <v>Ok</v>
      </c>
    </row>
    <row r="142" spans="2:17" x14ac:dyDescent="0.2">
      <c r="G142" s="367"/>
      <c r="L142" s="384">
        <v>44876</v>
      </c>
      <c r="M142" s="385">
        <v>44876</v>
      </c>
      <c r="N142" s="139" t="str" cm="1">
        <f t="array" ref="N142">_xll.d.TestUtils_Equal(L142,M142)</f>
        <v>Ok</v>
      </c>
    </row>
    <row r="143" spans="2:17" x14ac:dyDescent="0.2">
      <c r="G143" s="367"/>
      <c r="L143" s="384">
        <v>44889</v>
      </c>
      <c r="M143" s="385">
        <v>44889</v>
      </c>
      <c r="N143" s="139" t="str" cm="1">
        <f t="array" ref="N143">_xll.d.TestUtils_Equal(L143,M143)</f>
        <v>Ok</v>
      </c>
    </row>
    <row r="144" spans="2:17" x14ac:dyDescent="0.2">
      <c r="G144" s="367"/>
      <c r="L144" s="384">
        <v>44911</v>
      </c>
      <c r="M144" s="385">
        <v>44911</v>
      </c>
      <c r="N144" s="139" t="str" cm="1">
        <f t="array" ref="N144">_xll.d.TestUtils_Equal(L144,M144)</f>
        <v>Ok</v>
      </c>
    </row>
    <row r="145" spans="2:28" x14ac:dyDescent="0.2">
      <c r="G145" s="367"/>
      <c r="L145" s="386">
        <v>44921</v>
      </c>
      <c r="M145" s="387">
        <v>44921</v>
      </c>
      <c r="N145" s="141" t="str" cm="1">
        <f t="array" ref="N145">_xll.d.TestUtils_Equal(L145,M145)</f>
        <v>Ok</v>
      </c>
    </row>
    <row r="148" spans="2:28" ht="18.75" x14ac:dyDescent="0.3">
      <c r="B148" s="3" t="s">
        <v>426</v>
      </c>
      <c r="C148" s="374"/>
      <c r="D148" s="374"/>
      <c r="E148" s="374"/>
      <c r="F148" s="374"/>
      <c r="G148" s="374"/>
      <c r="H148" s="374"/>
      <c r="I148" s="374"/>
      <c r="J148" s="374"/>
      <c r="K148" s="374"/>
      <c r="L148" s="374"/>
      <c r="M148" s="374"/>
      <c r="N148" s="374"/>
      <c r="O148" s="374"/>
      <c r="P148" s="374"/>
      <c r="Q148" s="374"/>
      <c r="R148" s="374"/>
      <c r="S148" s="374"/>
      <c r="T148" s="374"/>
      <c r="U148" s="374"/>
    </row>
    <row r="150" spans="2:28" x14ac:dyDescent="0.2">
      <c r="B150" s="59" t="s">
        <v>163</v>
      </c>
      <c r="C150" s="368" t="str" cm="1">
        <f t="array" ref="C150">_xll.d.TestUtils_And(G155:G159,N155:N159,U155:U159)</f>
        <v>Ok</v>
      </c>
    </row>
    <row r="152" spans="2:28" ht="15.75" x14ac:dyDescent="0.25">
      <c r="B152" s="4" t="s">
        <v>365</v>
      </c>
      <c r="C152" s="375"/>
      <c r="D152" s="375"/>
      <c r="E152" s="375"/>
      <c r="F152" s="375"/>
      <c r="G152" s="375"/>
      <c r="I152" s="4" t="s">
        <v>367</v>
      </c>
      <c r="J152" s="375"/>
      <c r="K152" s="375"/>
      <c r="L152" s="375"/>
      <c r="M152" s="375"/>
      <c r="N152" s="375"/>
      <c r="P152" s="4" t="s">
        <v>368</v>
      </c>
      <c r="Q152" s="375"/>
      <c r="R152" s="375"/>
      <c r="S152" s="375"/>
      <c r="T152" s="375"/>
      <c r="U152" s="375"/>
      <c r="W152" s="4" t="s">
        <v>269</v>
      </c>
      <c r="X152" s="375"/>
      <c r="Y152" s="375"/>
      <c r="Z152" s="375"/>
      <c r="AA152" s="375"/>
      <c r="AB152" s="375"/>
    </row>
    <row r="154" spans="2:28" x14ac:dyDescent="0.2">
      <c r="B154" s="134" t="s">
        <v>256</v>
      </c>
      <c r="C154" s="135"/>
      <c r="E154" s="134" t="s">
        <v>137</v>
      </c>
      <c r="F154" s="135" t="s">
        <v>258</v>
      </c>
      <c r="G154" s="135" t="s">
        <v>85</v>
      </c>
      <c r="I154" s="134" t="s">
        <v>256</v>
      </c>
      <c r="J154" s="135"/>
      <c r="L154" s="134" t="s">
        <v>137</v>
      </c>
      <c r="M154" s="135" t="s">
        <v>258</v>
      </c>
      <c r="N154" s="135" t="s">
        <v>85</v>
      </c>
      <c r="P154" s="134" t="s">
        <v>256</v>
      </c>
      <c r="Q154" s="135"/>
      <c r="S154" s="134" t="s">
        <v>137</v>
      </c>
      <c r="T154" s="135" t="s">
        <v>258</v>
      </c>
      <c r="U154" s="135" t="s">
        <v>85</v>
      </c>
      <c r="W154" s="134" t="s">
        <v>256</v>
      </c>
      <c r="X154" s="135"/>
      <c r="Z154" s="134" t="s">
        <v>137</v>
      </c>
      <c r="AA154" s="135" t="s">
        <v>258</v>
      </c>
      <c r="AB154" s="135" t="s">
        <v>85</v>
      </c>
    </row>
    <row r="155" spans="2:28" x14ac:dyDescent="0.2">
      <c r="B155" s="136" t="s">
        <v>262</v>
      </c>
      <c r="C155" s="369">
        <v>44743</v>
      </c>
      <c r="E155" s="382">
        <f t="array" ref="E155:E159">_xll.d.Dates_GenerateSchedule(C155,C156,C157,C158,C159,C160)</f>
        <v>44743</v>
      </c>
      <c r="F155" s="369">
        <v>44743</v>
      </c>
      <c r="G155" s="368" t="str" cm="1">
        <f t="array" ref="G155">_xll.d.TestUtils_Equal(E155,F155)</f>
        <v>Ok</v>
      </c>
      <c r="I155" s="136" t="s">
        <v>262</v>
      </c>
      <c r="J155" s="369">
        <v>44743</v>
      </c>
      <c r="L155" s="382">
        <f t="array" ref="L155:L159">_xll.d.Dates_GenerateSchedule(J155,J156,J157,J158,J159,J160)</f>
        <v>44743</v>
      </c>
      <c r="M155" s="369">
        <v>44743</v>
      </c>
      <c r="N155" s="368" t="str" cm="1">
        <f t="array" ref="N155">_xll.d.TestUtils_Equal(L155,M155)</f>
        <v>Ok</v>
      </c>
      <c r="P155" s="136" t="s">
        <v>262</v>
      </c>
      <c r="Q155" s="369">
        <v>44743</v>
      </c>
      <c r="S155" s="382">
        <f t="array" ref="S155:S159">_xll.d.Dates_GenerateSchedule(Q155,Q156,Q157,Q158,Q159,Q160)</f>
        <v>44743</v>
      </c>
      <c r="T155" s="369">
        <v>44743</v>
      </c>
      <c r="U155" s="368" t="str" cm="1">
        <f t="array" ref="U155">_xll.d.TestUtils_Equal(S155,T155)</f>
        <v>Ok</v>
      </c>
      <c r="W155" s="136" t="s">
        <v>262</v>
      </c>
      <c r="X155" s="369">
        <v>44743</v>
      </c>
      <c r="Z155" s="390" t="str" cm="1">
        <f t="array" ref="Z155">_xll.d.Dates_GenerateSchedule(X155,X156,X157,X158,X159,X160)</f>
        <v>#∂Excel Error: Unknown calendar: WRE</v>
      </c>
      <c r="AA155" s="372" t="s">
        <v>268</v>
      </c>
      <c r="AB155" s="368" t="str" cm="1">
        <f t="array" ref="AB155">_xll.d.TestUtils_Equal(Z155,AA155)</f>
        <v>Ok</v>
      </c>
    </row>
    <row r="156" spans="2:28" x14ac:dyDescent="0.2">
      <c r="B156" s="138" t="s">
        <v>263</v>
      </c>
      <c r="C156" s="381">
        <v>45108</v>
      </c>
      <c r="E156" s="384">
        <v>44837</v>
      </c>
      <c r="F156" s="381">
        <v>44837</v>
      </c>
      <c r="G156" s="368" t="str" cm="1">
        <f t="array" ref="G156">_xll.d.TestUtils_Equal(E156,F156)</f>
        <v>Ok</v>
      </c>
      <c r="I156" s="138" t="s">
        <v>263</v>
      </c>
      <c r="J156" s="381">
        <v>45108</v>
      </c>
      <c r="L156" s="384">
        <v>44837</v>
      </c>
      <c r="M156" s="381">
        <v>44837</v>
      </c>
      <c r="N156" s="368" t="str" cm="1">
        <f t="array" ref="N156">_xll.d.TestUtils_Equal(L156,M156)</f>
        <v>Ok</v>
      </c>
      <c r="P156" s="138" t="s">
        <v>263</v>
      </c>
      <c r="Q156" s="381">
        <v>45108</v>
      </c>
      <c r="S156" s="384">
        <v>44824</v>
      </c>
      <c r="T156" s="381">
        <v>44824</v>
      </c>
      <c r="U156" s="368" t="str" cm="1">
        <f t="array" ref="U156">_xll.d.TestUtils_Equal(S156,T156)</f>
        <v>Ok</v>
      </c>
      <c r="W156" s="138" t="s">
        <v>263</v>
      </c>
      <c r="X156" s="381">
        <v>45108</v>
      </c>
    </row>
    <row r="157" spans="2:28" x14ac:dyDescent="0.2">
      <c r="B157" s="138" t="s">
        <v>361</v>
      </c>
      <c r="C157" s="139" t="s">
        <v>25</v>
      </c>
      <c r="E157" s="384">
        <v>44929</v>
      </c>
      <c r="F157" s="381">
        <v>44929</v>
      </c>
      <c r="G157" s="368" t="str" cm="1">
        <f t="array" ref="G157">_xll.d.TestUtils_Equal(E157,F157)</f>
        <v>Ok</v>
      </c>
      <c r="I157" s="138" t="s">
        <v>361</v>
      </c>
      <c r="J157" s="139" t="s">
        <v>25</v>
      </c>
      <c r="L157" s="384">
        <v>44929</v>
      </c>
      <c r="M157" s="381">
        <v>44929</v>
      </c>
      <c r="N157" s="368" t="str" cm="1">
        <f t="array" ref="N157">_xll.d.TestUtils_Equal(L157,M157)</f>
        <v>Ok</v>
      </c>
      <c r="P157" s="138" t="s">
        <v>361</v>
      </c>
      <c r="Q157" s="139" t="s">
        <v>25</v>
      </c>
      <c r="S157" s="384">
        <v>44915</v>
      </c>
      <c r="T157" s="381">
        <v>44915</v>
      </c>
      <c r="U157" s="368" t="str" cm="1">
        <f t="array" ref="U157">_xll.d.TestUtils_Equal(S157,T157)</f>
        <v>Ok</v>
      </c>
      <c r="W157" s="138" t="s">
        <v>361</v>
      </c>
      <c r="X157" s="139" t="s">
        <v>25</v>
      </c>
    </row>
    <row r="158" spans="2:28" x14ac:dyDescent="0.2">
      <c r="B158" s="138" t="s">
        <v>362</v>
      </c>
      <c r="C158" s="139" t="s">
        <v>261</v>
      </c>
      <c r="E158" s="384">
        <v>45019</v>
      </c>
      <c r="F158" s="381">
        <v>45019</v>
      </c>
      <c r="G158" s="368" t="str" cm="1">
        <f t="array" ref="G158">_xll.d.TestUtils_Equal(E158,F158)</f>
        <v>Ok</v>
      </c>
      <c r="I158" s="138" t="s">
        <v>362</v>
      </c>
      <c r="J158" s="139" t="s">
        <v>261</v>
      </c>
      <c r="L158" s="384">
        <v>45019</v>
      </c>
      <c r="M158" s="381">
        <v>45019</v>
      </c>
      <c r="N158" s="368" t="str" cm="1">
        <f t="array" ref="N158">_xll.d.TestUtils_Equal(L158,M158)</f>
        <v>Ok</v>
      </c>
      <c r="P158" s="138" t="s">
        <v>362</v>
      </c>
      <c r="Q158" s="139" t="s">
        <v>261</v>
      </c>
      <c r="S158" s="384">
        <v>45005</v>
      </c>
      <c r="T158" s="381">
        <v>45005</v>
      </c>
      <c r="U158" s="368" t="str" cm="1">
        <f t="array" ref="U158">_xll.d.TestUtils_Equal(S158,T158)</f>
        <v>Ok</v>
      </c>
      <c r="W158" s="138" t="s">
        <v>362</v>
      </c>
      <c r="X158" s="139" t="s">
        <v>267</v>
      </c>
    </row>
    <row r="159" spans="2:28" x14ac:dyDescent="0.2">
      <c r="B159" s="138" t="s">
        <v>245</v>
      </c>
      <c r="C159" s="139" t="s">
        <v>246</v>
      </c>
      <c r="E159" s="386">
        <v>45110</v>
      </c>
      <c r="F159" s="389">
        <v>45110</v>
      </c>
      <c r="G159" s="368" t="str" cm="1">
        <f t="array" ref="G159">_xll.d.TestUtils_Equal(E159,F159)</f>
        <v>Ok</v>
      </c>
      <c r="I159" s="138" t="s">
        <v>245</v>
      </c>
      <c r="J159" s="139" t="s">
        <v>246</v>
      </c>
      <c r="L159" s="386">
        <v>45110</v>
      </c>
      <c r="M159" s="389">
        <v>45110</v>
      </c>
      <c r="N159" s="368" t="str" cm="1">
        <f t="array" ref="N159">_xll.d.TestUtils_Equal(L159,M159)</f>
        <v>Ok</v>
      </c>
      <c r="P159" s="138" t="s">
        <v>245</v>
      </c>
      <c r="Q159" s="139" t="s">
        <v>246</v>
      </c>
      <c r="S159" s="386">
        <v>45097</v>
      </c>
      <c r="T159" s="389">
        <v>45097</v>
      </c>
      <c r="U159" s="368" t="str" cm="1">
        <f t="array" ref="U159">_xll.d.TestUtils_Equal(S159,T159)</f>
        <v>Ok</v>
      </c>
      <c r="W159" s="138" t="s">
        <v>245</v>
      </c>
      <c r="X159" s="139" t="s">
        <v>246</v>
      </c>
    </row>
    <row r="160" spans="2:28" x14ac:dyDescent="0.2">
      <c r="B160" s="140" t="s">
        <v>363</v>
      </c>
      <c r="C160" s="141" t="s">
        <v>364</v>
      </c>
      <c r="I160" s="140" t="s">
        <v>363</v>
      </c>
      <c r="J160" s="141" t="s">
        <v>366</v>
      </c>
      <c r="P160" s="140" t="s">
        <v>363</v>
      </c>
      <c r="Q160" s="141" t="s">
        <v>369</v>
      </c>
      <c r="W160" s="140" t="s">
        <v>363</v>
      </c>
      <c r="X160" s="141" t="s">
        <v>369</v>
      </c>
    </row>
    <row r="164" spans="2:21" ht="18.75" x14ac:dyDescent="0.3">
      <c r="B164" s="3" t="s">
        <v>427</v>
      </c>
      <c r="C164" s="374"/>
      <c r="D164" s="374"/>
      <c r="E164" s="374"/>
      <c r="F164" s="374"/>
      <c r="G164" s="374"/>
      <c r="H164" s="374"/>
      <c r="I164" s="374"/>
      <c r="J164" s="374"/>
      <c r="K164" s="374"/>
      <c r="L164" s="374"/>
      <c r="M164" s="374"/>
      <c r="N164" s="374"/>
      <c r="O164" s="374"/>
      <c r="P164" s="374"/>
      <c r="Q164" s="374"/>
      <c r="R164" s="374"/>
      <c r="S164" s="374"/>
      <c r="T164" s="374"/>
      <c r="U164" s="374"/>
    </row>
    <row r="166" spans="2:21" x14ac:dyDescent="0.2">
      <c r="B166" s="59" t="s">
        <v>163</v>
      </c>
      <c r="C166" s="368" t="str" cm="1">
        <f t="array" ref="C166">_xll.d.TestUtils_And(H171:I175)</f>
        <v>Ok</v>
      </c>
    </row>
    <row r="168" spans="2:21" ht="15.75" x14ac:dyDescent="0.25">
      <c r="B168" s="4" t="s">
        <v>111</v>
      </c>
      <c r="C168" s="375"/>
      <c r="D168" s="375"/>
      <c r="E168" s="375"/>
      <c r="F168" s="375"/>
      <c r="G168" s="375"/>
      <c r="H168" s="375"/>
      <c r="I168" s="375"/>
    </row>
    <row r="170" spans="2:21" x14ac:dyDescent="0.2">
      <c r="B170" s="134" t="s">
        <v>137</v>
      </c>
      <c r="C170" s="135"/>
      <c r="E170" s="134" t="s">
        <v>258</v>
      </c>
      <c r="F170" s="135"/>
      <c r="H170" s="134" t="s">
        <v>85</v>
      </c>
      <c r="I170" s="135"/>
    </row>
    <row r="171" spans="2:21" x14ac:dyDescent="0.2">
      <c r="B171" s="132" t="str" cm="1">
        <f t="array" ref="B171:C175">_xll.d.Dates_GetAvailableBusinessDayConventions()</f>
        <v>Variant 1</v>
      </c>
      <c r="C171" s="133" t="str">
        <v>Variant 2</v>
      </c>
      <c r="E171" s="132" t="s">
        <v>275</v>
      </c>
      <c r="F171" s="133" t="s">
        <v>276</v>
      </c>
      <c r="H171" s="368" t="str" cm="1">
        <f t="array" ref="H171">_xll.d.TestUtils_Equal(B171,E171)</f>
        <v>Ok</v>
      </c>
      <c r="I171" s="368" t="str" cm="1">
        <f t="array" ref="I171">_xll.d.TestUtils_Equal(C171,F171)</f>
        <v>Ok</v>
      </c>
    </row>
    <row r="172" spans="2:21" x14ac:dyDescent="0.2">
      <c r="B172" s="136" t="str">
        <v>Fol</v>
      </c>
      <c r="C172" s="137" t="str">
        <v>Following</v>
      </c>
      <c r="E172" s="136" t="s">
        <v>277</v>
      </c>
      <c r="F172" s="137" t="s">
        <v>278</v>
      </c>
      <c r="H172" s="368" t="str" cm="1">
        <f t="array" ref="H172">_xll.d.TestUtils_Equal(B172,E172)</f>
        <v>Ok</v>
      </c>
      <c r="I172" s="368" t="str" cm="1">
        <f t="array" ref="I172">_xll.d.TestUtils_Equal(C172,F172)</f>
        <v>Ok</v>
      </c>
    </row>
    <row r="173" spans="2:21" x14ac:dyDescent="0.2">
      <c r="B173" s="138" t="str">
        <v>ModFol</v>
      </c>
      <c r="C173" s="139" t="str">
        <v>ModifiedFollowing</v>
      </c>
      <c r="E173" s="138" t="s">
        <v>279</v>
      </c>
      <c r="F173" s="139" t="s">
        <v>280</v>
      </c>
      <c r="H173" s="368" t="str" cm="1">
        <f t="array" ref="H173">_xll.d.TestUtils_Equal(B173,E173)</f>
        <v>Ok</v>
      </c>
      <c r="I173" s="368" t="str" cm="1">
        <f t="array" ref="I173">_xll.d.TestUtils_Equal(C173,F173)</f>
        <v>Ok</v>
      </c>
    </row>
    <row r="174" spans="2:21" x14ac:dyDescent="0.2">
      <c r="B174" s="138" t="str">
        <v>ModPrec</v>
      </c>
      <c r="C174" s="139" t="str">
        <v>ModPreceding</v>
      </c>
      <c r="E174" s="138" t="s">
        <v>281</v>
      </c>
      <c r="F174" s="139" t="s">
        <v>282</v>
      </c>
      <c r="H174" s="368" t="str" cm="1">
        <f t="array" ref="H174">_xll.d.TestUtils_Equal(B174,E174)</f>
        <v>Ok</v>
      </c>
      <c r="I174" s="368" t="str" cm="1">
        <f t="array" ref="I174">_xll.d.TestUtils_Equal(C174,F174)</f>
        <v>Ok</v>
      </c>
    </row>
    <row r="175" spans="2:21" x14ac:dyDescent="0.2">
      <c r="B175" s="140" t="str">
        <v>Prec</v>
      </c>
      <c r="C175" s="141" t="str">
        <v>Preceding</v>
      </c>
      <c r="E175" s="140" t="s">
        <v>283</v>
      </c>
      <c r="F175" s="141" t="s">
        <v>284</v>
      </c>
      <c r="H175" s="368" t="str" cm="1">
        <f t="array" ref="H175">_xll.d.TestUtils_Equal(B175,E175)</f>
        <v>Ok</v>
      </c>
      <c r="I175" s="368" t="str" cm="1">
        <f t="array" ref="I175">_xll.d.TestUtils_Equal(C175,F175)</f>
        <v>Ok</v>
      </c>
    </row>
    <row r="179" spans="2:21" ht="18.75" x14ac:dyDescent="0.3">
      <c r="B179" s="3" t="s">
        <v>428</v>
      </c>
      <c r="C179" s="374"/>
      <c r="D179" s="374"/>
      <c r="E179" s="374"/>
      <c r="F179" s="374"/>
      <c r="G179" s="374"/>
      <c r="H179" s="374"/>
      <c r="I179" s="374"/>
      <c r="J179" s="374"/>
      <c r="K179" s="374"/>
      <c r="L179" s="374"/>
      <c r="M179" s="374"/>
      <c r="N179" s="374"/>
      <c r="O179" s="374"/>
      <c r="P179" s="374"/>
      <c r="Q179" s="374"/>
      <c r="R179" s="374"/>
      <c r="S179" s="374"/>
      <c r="T179" s="374"/>
      <c r="U179" s="374"/>
    </row>
    <row r="181" spans="2:21" x14ac:dyDescent="0.2">
      <c r="B181" s="59" t="s">
        <v>163</v>
      </c>
      <c r="C181" s="368" t="str" cm="1">
        <f t="array" ref="C181">_xll.d.TestUtils_And(L186:O190)</f>
        <v>Ok</v>
      </c>
    </row>
    <row r="183" spans="2:21" ht="15.75" x14ac:dyDescent="0.25">
      <c r="B183" s="4" t="s">
        <v>111</v>
      </c>
      <c r="C183" s="375"/>
      <c r="D183" s="375"/>
      <c r="E183" s="375"/>
      <c r="F183" s="375"/>
      <c r="G183" s="375"/>
      <c r="H183" s="375"/>
      <c r="I183" s="375"/>
    </row>
    <row r="185" spans="2:21" x14ac:dyDescent="0.2">
      <c r="B185" s="134" t="s">
        <v>137</v>
      </c>
      <c r="C185" s="223"/>
      <c r="D185" s="223"/>
      <c r="E185" s="135"/>
      <c r="G185" s="134" t="s">
        <v>137</v>
      </c>
      <c r="H185" s="223"/>
      <c r="I185" s="223"/>
      <c r="J185" s="135"/>
      <c r="L185" s="134" t="s">
        <v>85</v>
      </c>
      <c r="M185" s="135"/>
      <c r="N185" s="135"/>
      <c r="O185" s="135"/>
    </row>
    <row r="186" spans="2:21" x14ac:dyDescent="0.2">
      <c r="B186" s="132" t="str" cm="1">
        <f t="array" ref="B186:E190">_xll.d.Dates_GetAvailableDayCountConventions()</f>
        <v>Variant 1</v>
      </c>
      <c r="C186" s="336" t="str">
        <v>Variant 2</v>
      </c>
      <c r="D186" s="336" t="str">
        <v>Variant 3</v>
      </c>
      <c r="E186" s="133" t="str">
        <v>Variant 4</v>
      </c>
      <c r="G186" s="132" t="s">
        <v>275</v>
      </c>
      <c r="H186" s="336" t="s">
        <v>276</v>
      </c>
      <c r="I186" s="336" t="s">
        <v>285</v>
      </c>
      <c r="J186" s="133" t="s">
        <v>286</v>
      </c>
      <c r="L186" s="368" t="str" cm="1">
        <f t="array" ref="L186">_xll.d.TestUtils_Equal(B186,G186)</f>
        <v>Ok</v>
      </c>
      <c r="M186" s="368" t="str" cm="1">
        <f t="array" ref="M186">_xll.d.TestUtils_Equal(C186,H186)</f>
        <v>Ok</v>
      </c>
      <c r="N186" s="368" t="str" cm="1">
        <f t="array" ref="N186">_xll.d.TestUtils_Equal(D186,I186)</f>
        <v>Ok</v>
      </c>
      <c r="O186" s="368" t="str" cm="1">
        <f t="array" ref="O186">_xll.d.TestUtils_Equal(E186,J186)</f>
        <v>Ok</v>
      </c>
    </row>
    <row r="187" spans="2:21" x14ac:dyDescent="0.2">
      <c r="B187" s="136" t="str">
        <v>Act360</v>
      </c>
      <c r="C187" s="388" t="str">
        <v>Actual360</v>
      </c>
      <c r="D187" s="388" t="str">
        <v/>
      </c>
      <c r="E187" s="137" t="str">
        <v/>
      </c>
      <c r="G187" s="136" t="s">
        <v>287</v>
      </c>
      <c r="H187" s="388" t="s">
        <v>288</v>
      </c>
      <c r="I187" s="388" t="s">
        <v>289</v>
      </c>
      <c r="J187" s="137" t="s">
        <v>289</v>
      </c>
      <c r="L187" s="368" t="str" cm="1">
        <f t="array" ref="L187">_xll.d.TestUtils_Equal(B187,G187)</f>
        <v>Ok</v>
      </c>
      <c r="M187" s="368" t="str" cm="1">
        <f t="array" ref="M187">_xll.d.TestUtils_Equal(C187,H187)</f>
        <v>Ok</v>
      </c>
      <c r="N187" s="368" t="str" cm="1">
        <f t="array" ref="N187">_xll.d.TestUtils_Equal(D187,I187)</f>
        <v>Ok</v>
      </c>
      <c r="O187" s="368" t="str" cm="1">
        <f t="array" ref="O187">_xll.d.TestUtils_Equal(E187,J187)</f>
        <v>Ok</v>
      </c>
    </row>
    <row r="188" spans="2:21" x14ac:dyDescent="0.2">
      <c r="B188" s="138" t="str">
        <v>Act365</v>
      </c>
      <c r="C188" s="324" t="str">
        <v>Act365F</v>
      </c>
      <c r="D188" s="324" t="str">
        <v>Actual365</v>
      </c>
      <c r="E188" s="139" t="str">
        <v>Actual365F</v>
      </c>
      <c r="G188" s="138" t="s">
        <v>290</v>
      </c>
      <c r="H188" s="324" t="s">
        <v>291</v>
      </c>
      <c r="I188" s="324" t="s">
        <v>72</v>
      </c>
      <c r="J188" s="139" t="s">
        <v>292</v>
      </c>
      <c r="L188" s="368" t="str" cm="1">
        <f t="array" ref="L188">_xll.d.TestUtils_Equal(B188,G188)</f>
        <v>Ok</v>
      </c>
      <c r="M188" s="368" t="str" cm="1">
        <f t="array" ref="M188">_xll.d.TestUtils_Equal(C188,H188)</f>
        <v>Ok</v>
      </c>
      <c r="N188" s="368" t="str" cm="1">
        <f t="array" ref="N188">_xll.d.TestUtils_Equal(D188,I188)</f>
        <v>Ok</v>
      </c>
      <c r="O188" s="368" t="str" cm="1">
        <f t="array" ref="O188">_xll.d.TestUtils_Equal(E188,J188)</f>
        <v>Ok</v>
      </c>
    </row>
    <row r="189" spans="2:21" x14ac:dyDescent="0.2">
      <c r="B189" s="138" t="str">
        <v>ActAct</v>
      </c>
      <c r="C189" s="324" t="str">
        <v>ActualActual</v>
      </c>
      <c r="D189" s="324" t="str">
        <v/>
      </c>
      <c r="E189" s="139" t="str">
        <v/>
      </c>
      <c r="G189" s="138" t="s">
        <v>293</v>
      </c>
      <c r="H189" s="324" t="s">
        <v>294</v>
      </c>
      <c r="I189" s="324" t="s">
        <v>289</v>
      </c>
      <c r="J189" s="139" t="s">
        <v>289</v>
      </c>
      <c r="L189" s="368" t="str" cm="1">
        <f t="array" ref="L189">_xll.d.TestUtils_Equal(B189,G189)</f>
        <v>Ok</v>
      </c>
      <c r="M189" s="368" t="str" cm="1">
        <f t="array" ref="M189">_xll.d.TestUtils_Equal(C189,H189)</f>
        <v>Ok</v>
      </c>
      <c r="N189" s="368" t="str" cm="1">
        <f t="array" ref="N189">_xll.d.TestUtils_Equal(D189,I189)</f>
        <v>Ok</v>
      </c>
      <c r="O189" s="368" t="str" cm="1">
        <f t="array" ref="O189">_xll.d.TestUtils_Equal(E189,J189)</f>
        <v>Ok</v>
      </c>
    </row>
    <row r="190" spans="2:21" x14ac:dyDescent="0.2">
      <c r="B190" s="140" t="str">
        <v>Bus252</v>
      </c>
      <c r="C190" s="222" t="str">
        <v>Business252</v>
      </c>
      <c r="D190" s="222" t="str">
        <v/>
      </c>
      <c r="E190" s="141" t="str">
        <v/>
      </c>
      <c r="G190" s="140" t="s">
        <v>295</v>
      </c>
      <c r="H190" s="222" t="s">
        <v>296</v>
      </c>
      <c r="I190" s="222" t="s">
        <v>289</v>
      </c>
      <c r="J190" s="141" t="s">
        <v>289</v>
      </c>
      <c r="L190" s="368" t="str" cm="1">
        <f t="array" ref="L190">_xll.d.TestUtils_Equal(B190,G190)</f>
        <v>Ok</v>
      </c>
      <c r="M190" s="368" t="str" cm="1">
        <f t="array" ref="M190">_xll.d.TestUtils_Equal(C190,H190)</f>
        <v>Ok</v>
      </c>
      <c r="N190" s="368" t="str" cm="1">
        <f t="array" ref="N190">_xll.d.TestUtils_Equal(D190,I190)</f>
        <v>Ok</v>
      </c>
      <c r="O190" s="368" t="str" cm="1">
        <f t="array" ref="O190">_xll.d.TestUtils_Equal(E190,J190)</f>
        <v>Ok</v>
      </c>
    </row>
  </sheetData>
  <conditionalFormatting sqref="D7:D13">
    <cfRule type="cellIs" dxfId="459" priority="123" stopIfTrue="1" operator="equal">
      <formula>"ERROR"</formula>
    </cfRule>
    <cfRule type="cellIs" dxfId="458" priority="124" stopIfTrue="1" operator="equal">
      <formula>"OK"</formula>
    </cfRule>
    <cfRule type="cellIs" dxfId="457" priority="125" stopIfTrue="1" operator="equal">
      <formula>"WARNING"</formula>
    </cfRule>
  </conditionalFormatting>
  <conditionalFormatting sqref="C4">
    <cfRule type="cellIs" dxfId="456" priority="97" stopIfTrue="1" operator="equal">
      <formula>"ERROR"</formula>
    </cfRule>
    <cfRule type="cellIs" dxfId="455" priority="98" stopIfTrue="1" operator="equal">
      <formula>"OK"</formula>
    </cfRule>
    <cfRule type="cellIs" dxfId="454" priority="99" stopIfTrue="1" operator="equal">
      <formula>"WARNING"</formula>
    </cfRule>
  </conditionalFormatting>
  <conditionalFormatting sqref="C20">
    <cfRule type="cellIs" dxfId="453" priority="91" stopIfTrue="1" operator="equal">
      <formula>"ERROR"</formula>
    </cfRule>
  </conditionalFormatting>
  <conditionalFormatting sqref="C20">
    <cfRule type="cellIs" dxfId="452" priority="92" stopIfTrue="1" operator="equal">
      <formula>"OK"</formula>
    </cfRule>
  </conditionalFormatting>
  <conditionalFormatting sqref="C20">
    <cfRule type="cellIs" dxfId="451" priority="93" stopIfTrue="1" operator="equal">
      <formula>"WARNING"</formula>
    </cfRule>
  </conditionalFormatting>
  <conditionalFormatting sqref="G25">
    <cfRule type="cellIs" dxfId="450" priority="126" stopIfTrue="1" operator="equal">
      <formula>"ERROR"</formula>
    </cfRule>
    <cfRule type="cellIs" dxfId="449" priority="127" stopIfTrue="1" operator="equal">
      <formula>"OK"</formula>
    </cfRule>
    <cfRule type="cellIs" dxfId="448" priority="128" stopIfTrue="1" operator="equal">
      <formula>"WARNING"</formula>
    </cfRule>
  </conditionalFormatting>
  <conditionalFormatting sqref="N25">
    <cfRule type="cellIs" dxfId="447" priority="88" stopIfTrue="1" operator="equal">
      <formula>"ERROR"</formula>
    </cfRule>
    <cfRule type="cellIs" dxfId="446" priority="89" stopIfTrue="1" operator="equal">
      <formula>"OK"</formula>
    </cfRule>
    <cfRule type="cellIs" dxfId="445" priority="90" stopIfTrue="1" operator="equal">
      <formula>"WARNING"</formula>
    </cfRule>
  </conditionalFormatting>
  <conditionalFormatting sqref="U25">
    <cfRule type="cellIs" dxfId="444" priority="85" stopIfTrue="1" operator="equal">
      <formula>"ERROR"</formula>
    </cfRule>
    <cfRule type="cellIs" dxfId="443" priority="86" stopIfTrue="1" operator="equal">
      <formula>"OK"</formula>
    </cfRule>
    <cfRule type="cellIs" dxfId="442" priority="87" stopIfTrue="1" operator="equal">
      <formula>"WARNING"</formula>
    </cfRule>
  </conditionalFormatting>
  <conditionalFormatting sqref="G128:G136">
    <cfRule type="cellIs" dxfId="441" priority="129" stopIfTrue="1" operator="equal">
      <formula>"ERROR"</formula>
    </cfRule>
    <cfRule type="cellIs" dxfId="440" priority="130" stopIfTrue="1" operator="equal">
      <formula>"OK"</formula>
    </cfRule>
    <cfRule type="cellIs" dxfId="439" priority="131" stopIfTrue="1" operator="equal">
      <formula>"WARNING"</formula>
    </cfRule>
  </conditionalFormatting>
  <conditionalFormatting sqref="C123">
    <cfRule type="cellIs" dxfId="438" priority="82" stopIfTrue="1" operator="equal">
      <formula>"ERROR"</formula>
    </cfRule>
  </conditionalFormatting>
  <conditionalFormatting sqref="C123">
    <cfRule type="cellIs" dxfId="437" priority="83" stopIfTrue="1" operator="equal">
      <formula>"OK"</formula>
    </cfRule>
  </conditionalFormatting>
  <conditionalFormatting sqref="C123">
    <cfRule type="cellIs" dxfId="436" priority="84" stopIfTrue="1" operator="equal">
      <formula>"WARNING"</formula>
    </cfRule>
  </conditionalFormatting>
  <conditionalFormatting sqref="N128:N145">
    <cfRule type="cellIs" dxfId="435" priority="79" stopIfTrue="1" operator="equal">
      <formula>"ERROR"</formula>
    </cfRule>
    <cfRule type="cellIs" dxfId="434" priority="80" stopIfTrue="1" operator="equal">
      <formula>"OK"</formula>
    </cfRule>
    <cfRule type="cellIs" dxfId="433" priority="81" stopIfTrue="1" operator="equal">
      <formula>"WARNING"</formula>
    </cfRule>
  </conditionalFormatting>
  <conditionalFormatting sqref="AB25">
    <cfRule type="cellIs" dxfId="432" priority="76" stopIfTrue="1" operator="equal">
      <formula>"ERROR"</formula>
    </cfRule>
    <cfRule type="cellIs" dxfId="431" priority="77" stopIfTrue="1" operator="equal">
      <formula>"OK"</formula>
    </cfRule>
    <cfRule type="cellIs" dxfId="430" priority="78" stopIfTrue="1" operator="equal">
      <formula>"WARNING"</formula>
    </cfRule>
  </conditionalFormatting>
  <conditionalFormatting sqref="C35">
    <cfRule type="cellIs" dxfId="429" priority="70" stopIfTrue="1" operator="equal">
      <formula>"ERROR"</formula>
    </cfRule>
  </conditionalFormatting>
  <conditionalFormatting sqref="C35">
    <cfRule type="cellIs" dxfId="428" priority="71" stopIfTrue="1" operator="equal">
      <formula>"OK"</formula>
    </cfRule>
  </conditionalFormatting>
  <conditionalFormatting sqref="C35">
    <cfRule type="cellIs" dxfId="427" priority="72" stopIfTrue="1" operator="equal">
      <formula>"WARNING"</formula>
    </cfRule>
  </conditionalFormatting>
  <conditionalFormatting sqref="G40">
    <cfRule type="cellIs" dxfId="426" priority="73" stopIfTrue="1" operator="equal">
      <formula>"ERROR"</formula>
    </cfRule>
    <cfRule type="cellIs" dxfId="425" priority="74" stopIfTrue="1" operator="equal">
      <formula>"OK"</formula>
    </cfRule>
    <cfRule type="cellIs" dxfId="424" priority="75" stopIfTrue="1" operator="equal">
      <formula>"WARNING"</formula>
    </cfRule>
  </conditionalFormatting>
  <conditionalFormatting sqref="N40">
    <cfRule type="cellIs" dxfId="423" priority="67" stopIfTrue="1" operator="equal">
      <formula>"ERROR"</formula>
    </cfRule>
    <cfRule type="cellIs" dxfId="422" priority="68" stopIfTrue="1" operator="equal">
      <formula>"OK"</formula>
    </cfRule>
    <cfRule type="cellIs" dxfId="421" priority="69" stopIfTrue="1" operator="equal">
      <formula>"WARNING"</formula>
    </cfRule>
  </conditionalFormatting>
  <conditionalFormatting sqref="U40">
    <cfRule type="cellIs" dxfId="420" priority="64" stopIfTrue="1" operator="equal">
      <formula>"ERROR"</formula>
    </cfRule>
    <cfRule type="cellIs" dxfId="419" priority="65" stopIfTrue="1" operator="equal">
      <formula>"OK"</formula>
    </cfRule>
    <cfRule type="cellIs" dxfId="418" priority="66" stopIfTrue="1" operator="equal">
      <formula>"WARNING"</formula>
    </cfRule>
  </conditionalFormatting>
  <conditionalFormatting sqref="AB40">
    <cfRule type="cellIs" dxfId="417" priority="61" stopIfTrue="1" operator="equal">
      <formula>"ERROR"</formula>
    </cfRule>
    <cfRule type="cellIs" dxfId="416" priority="62" stopIfTrue="1" operator="equal">
      <formula>"OK"</formula>
    </cfRule>
    <cfRule type="cellIs" dxfId="415" priority="63" stopIfTrue="1" operator="equal">
      <formula>"WARNING"</formula>
    </cfRule>
  </conditionalFormatting>
  <conditionalFormatting sqref="C50">
    <cfRule type="cellIs" dxfId="414" priority="55" stopIfTrue="1" operator="equal">
      <formula>"ERROR"</formula>
    </cfRule>
  </conditionalFormatting>
  <conditionalFormatting sqref="C50">
    <cfRule type="cellIs" dxfId="413" priority="56" stopIfTrue="1" operator="equal">
      <formula>"OK"</formula>
    </cfRule>
  </conditionalFormatting>
  <conditionalFormatting sqref="C50">
    <cfRule type="cellIs" dxfId="412" priority="57" stopIfTrue="1" operator="equal">
      <formula>"WARNING"</formula>
    </cfRule>
  </conditionalFormatting>
  <conditionalFormatting sqref="G55">
    <cfRule type="cellIs" dxfId="411" priority="58" stopIfTrue="1" operator="equal">
      <formula>"ERROR"</formula>
    </cfRule>
    <cfRule type="cellIs" dxfId="410" priority="59" stopIfTrue="1" operator="equal">
      <formula>"OK"</formula>
    </cfRule>
    <cfRule type="cellIs" dxfId="409" priority="60" stopIfTrue="1" operator="equal">
      <formula>"WARNING"</formula>
    </cfRule>
  </conditionalFormatting>
  <conditionalFormatting sqref="N55">
    <cfRule type="cellIs" dxfId="408" priority="52" stopIfTrue="1" operator="equal">
      <formula>"ERROR"</formula>
    </cfRule>
    <cfRule type="cellIs" dxfId="407" priority="53" stopIfTrue="1" operator="equal">
      <formula>"OK"</formula>
    </cfRule>
    <cfRule type="cellIs" dxfId="406" priority="54" stopIfTrue="1" operator="equal">
      <formula>"WARNING"</formula>
    </cfRule>
  </conditionalFormatting>
  <conditionalFormatting sqref="U55">
    <cfRule type="cellIs" dxfId="405" priority="49" stopIfTrue="1" operator="equal">
      <formula>"ERROR"</formula>
    </cfRule>
    <cfRule type="cellIs" dxfId="404" priority="50" stopIfTrue="1" operator="equal">
      <formula>"OK"</formula>
    </cfRule>
    <cfRule type="cellIs" dxfId="403" priority="51" stopIfTrue="1" operator="equal">
      <formula>"WARNING"</formula>
    </cfRule>
  </conditionalFormatting>
  <conditionalFormatting sqref="AB55">
    <cfRule type="cellIs" dxfId="402" priority="46" stopIfTrue="1" operator="equal">
      <formula>"ERROR"</formula>
    </cfRule>
    <cfRule type="cellIs" dxfId="401" priority="47" stopIfTrue="1" operator="equal">
      <formula>"OK"</formula>
    </cfRule>
    <cfRule type="cellIs" dxfId="400" priority="48" stopIfTrue="1" operator="equal">
      <formula>"WARNING"</formula>
    </cfRule>
  </conditionalFormatting>
  <conditionalFormatting sqref="G70">
    <cfRule type="cellIs" dxfId="399" priority="40" stopIfTrue="1" operator="equal">
      <formula>"ERROR"</formula>
    </cfRule>
    <cfRule type="cellIs" dxfId="398" priority="41" stopIfTrue="1" operator="equal">
      <formula>"OK"</formula>
    </cfRule>
    <cfRule type="cellIs" dxfId="397" priority="42" stopIfTrue="1" operator="equal">
      <formula>"WARNING"</formula>
    </cfRule>
  </conditionalFormatting>
  <conditionalFormatting sqref="C65">
    <cfRule type="cellIs" dxfId="396" priority="37" stopIfTrue="1" operator="equal">
      <formula>"ERROR"</formula>
    </cfRule>
  </conditionalFormatting>
  <conditionalFormatting sqref="C65">
    <cfRule type="cellIs" dxfId="395" priority="38" stopIfTrue="1" operator="equal">
      <formula>"OK"</formula>
    </cfRule>
  </conditionalFormatting>
  <conditionalFormatting sqref="C65">
    <cfRule type="cellIs" dxfId="394" priority="39" stopIfTrue="1" operator="equal">
      <formula>"WARNING"</formula>
    </cfRule>
  </conditionalFormatting>
  <conditionalFormatting sqref="N70">
    <cfRule type="cellIs" dxfId="393" priority="34" stopIfTrue="1" operator="equal">
      <formula>"ERROR"</formula>
    </cfRule>
    <cfRule type="cellIs" dxfId="392" priority="35" stopIfTrue="1" operator="equal">
      <formula>"OK"</formula>
    </cfRule>
    <cfRule type="cellIs" dxfId="391" priority="36" stopIfTrue="1" operator="equal">
      <formula>"WARNING"</formula>
    </cfRule>
  </conditionalFormatting>
  <conditionalFormatting sqref="U70">
    <cfRule type="cellIs" dxfId="390" priority="31" stopIfTrue="1" operator="equal">
      <formula>"ERROR"</formula>
    </cfRule>
    <cfRule type="cellIs" dxfId="389" priority="32" stopIfTrue="1" operator="equal">
      <formula>"OK"</formula>
    </cfRule>
    <cfRule type="cellIs" dxfId="388" priority="33" stopIfTrue="1" operator="equal">
      <formula>"WARNING"</formula>
    </cfRule>
  </conditionalFormatting>
  <conditionalFormatting sqref="AB70">
    <cfRule type="cellIs" dxfId="387" priority="28" stopIfTrue="1" operator="equal">
      <formula>"ERROR"</formula>
    </cfRule>
    <cfRule type="cellIs" dxfId="386" priority="29" stopIfTrue="1" operator="equal">
      <formula>"OK"</formula>
    </cfRule>
    <cfRule type="cellIs" dxfId="385" priority="30" stopIfTrue="1" operator="equal">
      <formula>"WARNING"</formula>
    </cfRule>
  </conditionalFormatting>
  <conditionalFormatting sqref="U128">
    <cfRule type="cellIs" dxfId="384" priority="25" stopIfTrue="1" operator="equal">
      <formula>"ERROR"</formula>
    </cfRule>
    <cfRule type="cellIs" dxfId="383" priority="26" stopIfTrue="1" operator="equal">
      <formula>"OK"</formula>
    </cfRule>
    <cfRule type="cellIs" dxfId="382" priority="27" stopIfTrue="1" operator="equal">
      <formula>"WARNING"</formula>
    </cfRule>
  </conditionalFormatting>
  <conditionalFormatting sqref="C166">
    <cfRule type="cellIs" dxfId="381" priority="22" stopIfTrue="1" operator="equal">
      <formula>"ERROR"</formula>
    </cfRule>
  </conditionalFormatting>
  <conditionalFormatting sqref="C166">
    <cfRule type="cellIs" dxfId="380" priority="23" stopIfTrue="1" operator="equal">
      <formula>"OK"</formula>
    </cfRule>
  </conditionalFormatting>
  <conditionalFormatting sqref="C166">
    <cfRule type="cellIs" dxfId="379" priority="24" stopIfTrue="1" operator="equal">
      <formula>"WARNING"</formula>
    </cfRule>
  </conditionalFormatting>
  <conditionalFormatting sqref="H171:I175">
    <cfRule type="cellIs" dxfId="378" priority="132" stopIfTrue="1" operator="equal">
      <formula>"ERROR"</formula>
    </cfRule>
  </conditionalFormatting>
  <conditionalFormatting sqref="H171:I175">
    <cfRule type="cellIs" dxfId="377" priority="133" stopIfTrue="1" operator="equal">
      <formula>"OK"</formula>
    </cfRule>
  </conditionalFormatting>
  <conditionalFormatting sqref="H171:I175">
    <cfRule type="cellIs" dxfId="376" priority="134" stopIfTrue="1" operator="equal">
      <formula>"WARNING"</formula>
    </cfRule>
  </conditionalFormatting>
  <conditionalFormatting sqref="D12:D13">
    <cfRule type="cellIs" dxfId="375" priority="135" stopIfTrue="1" operator="equal">
      <formula>"ERROR"</formula>
    </cfRule>
    <cfRule type="cellIs" dxfId="374" priority="136" stopIfTrue="1" operator="equal">
      <formula>"OK"</formula>
    </cfRule>
    <cfRule type="cellIs" dxfId="373" priority="137" stopIfTrue="1" operator="equal">
      <formula>"WARNING"</formula>
    </cfRule>
  </conditionalFormatting>
  <conditionalFormatting sqref="D14:D15">
    <cfRule type="cellIs" dxfId="372" priority="138" stopIfTrue="1" operator="equal">
      <formula>"ERROR"</formula>
    </cfRule>
    <cfRule type="cellIs" dxfId="371" priority="139" stopIfTrue="1" operator="equal">
      <formula>"OK"</formula>
    </cfRule>
    <cfRule type="cellIs" dxfId="370" priority="140" stopIfTrue="1" operator="equal">
      <formula>"WARNING"</formula>
    </cfRule>
  </conditionalFormatting>
  <conditionalFormatting sqref="C181">
    <cfRule type="cellIs" dxfId="369" priority="16" stopIfTrue="1" operator="equal">
      <formula>"ERROR"</formula>
    </cfRule>
  </conditionalFormatting>
  <conditionalFormatting sqref="C181">
    <cfRule type="cellIs" dxfId="368" priority="17" stopIfTrue="1" operator="equal">
      <formula>"OK"</formula>
    </cfRule>
  </conditionalFormatting>
  <conditionalFormatting sqref="C181">
    <cfRule type="cellIs" dxfId="367" priority="18" stopIfTrue="1" operator="equal">
      <formula>"WARNING"</formula>
    </cfRule>
  </conditionalFormatting>
  <conditionalFormatting sqref="L186:O190">
    <cfRule type="cellIs" dxfId="366" priority="19" stopIfTrue="1" operator="equal">
      <formula>"ERROR"</formula>
    </cfRule>
  </conditionalFormatting>
  <conditionalFormatting sqref="L186:O190">
    <cfRule type="cellIs" dxfId="365" priority="20" stopIfTrue="1" operator="equal">
      <formula>"OK"</formula>
    </cfRule>
  </conditionalFormatting>
  <conditionalFormatting sqref="L186:O190">
    <cfRule type="cellIs" dxfId="364" priority="21" stopIfTrue="1" operator="equal">
      <formula>"WARNING"</formula>
    </cfRule>
  </conditionalFormatting>
  <conditionalFormatting sqref="C79">
    <cfRule type="cellIs" dxfId="363" priority="13" stopIfTrue="1" operator="equal">
      <formula>"ERROR"</formula>
    </cfRule>
  </conditionalFormatting>
  <conditionalFormatting sqref="C79">
    <cfRule type="cellIs" dxfId="362" priority="14" stopIfTrue="1" operator="equal">
      <formula>"OK"</formula>
    </cfRule>
  </conditionalFormatting>
  <conditionalFormatting sqref="C79">
    <cfRule type="cellIs" dxfId="361" priority="15" stopIfTrue="1" operator="equal">
      <formula>"WARNING"</formula>
    </cfRule>
  </conditionalFormatting>
  <conditionalFormatting sqref="L84:O117">
    <cfRule type="cellIs" dxfId="360" priority="141" stopIfTrue="1" operator="equal">
      <formula>"ERROR"</formula>
    </cfRule>
  </conditionalFormatting>
  <conditionalFormatting sqref="L84:O117">
    <cfRule type="cellIs" dxfId="359" priority="142" stopIfTrue="1" operator="equal">
      <formula>"OK"</formula>
    </cfRule>
  </conditionalFormatting>
  <conditionalFormatting sqref="L84:O117">
    <cfRule type="cellIs" dxfId="358" priority="143" stopIfTrue="1" operator="equal">
      <formula>"WARNING"</formula>
    </cfRule>
  </conditionalFormatting>
  <conditionalFormatting sqref="C150">
    <cfRule type="cellIs" dxfId="357" priority="10" stopIfTrue="1" operator="equal">
      <formula>"ERROR"</formula>
    </cfRule>
  </conditionalFormatting>
  <conditionalFormatting sqref="C150">
    <cfRule type="cellIs" dxfId="356" priority="11" stopIfTrue="1" operator="equal">
      <formula>"OK"</formula>
    </cfRule>
  </conditionalFormatting>
  <conditionalFormatting sqref="C150">
    <cfRule type="cellIs" dxfId="355" priority="12" stopIfTrue="1" operator="equal">
      <formula>"WARNING"</formula>
    </cfRule>
  </conditionalFormatting>
  <conditionalFormatting sqref="G155:G159">
    <cfRule type="cellIs" dxfId="354" priority="144" stopIfTrue="1" operator="equal">
      <formula>"ERROR"</formula>
    </cfRule>
  </conditionalFormatting>
  <conditionalFormatting sqref="G155:G159">
    <cfRule type="cellIs" dxfId="353" priority="145" stopIfTrue="1" operator="equal">
      <formula>"OK"</formula>
    </cfRule>
  </conditionalFormatting>
  <conditionalFormatting sqref="G155:G159">
    <cfRule type="cellIs" dxfId="352" priority="146" stopIfTrue="1" operator="equal">
      <formula>"WARNING"</formula>
    </cfRule>
  </conditionalFormatting>
  <conditionalFormatting sqref="N155:N159">
    <cfRule type="cellIs" dxfId="351" priority="7" stopIfTrue="1" operator="equal">
      <formula>"ERROR"</formula>
    </cfRule>
  </conditionalFormatting>
  <conditionalFormatting sqref="N155:N159">
    <cfRule type="cellIs" dxfId="350" priority="8" stopIfTrue="1" operator="equal">
      <formula>"OK"</formula>
    </cfRule>
  </conditionalFormatting>
  <conditionalFormatting sqref="N155:N159">
    <cfRule type="cellIs" dxfId="349" priority="9" stopIfTrue="1" operator="equal">
      <formula>"WARNING"</formula>
    </cfRule>
  </conditionalFormatting>
  <conditionalFormatting sqref="U155:U159">
    <cfRule type="cellIs" dxfId="348" priority="4" stopIfTrue="1" operator="equal">
      <formula>"ERROR"</formula>
    </cfRule>
  </conditionalFormatting>
  <conditionalFormatting sqref="U155:U159">
    <cfRule type="cellIs" dxfId="347" priority="5" stopIfTrue="1" operator="equal">
      <formula>"OK"</formula>
    </cfRule>
  </conditionalFormatting>
  <conditionalFormatting sqref="U155:U159">
    <cfRule type="cellIs" dxfId="346" priority="6" stopIfTrue="1" operator="equal">
      <formula>"WARNING"</formula>
    </cfRule>
  </conditionalFormatting>
  <conditionalFormatting sqref="AB155">
    <cfRule type="cellIs" dxfId="345" priority="1" stopIfTrue="1" operator="equal">
      <formula>"ERROR"</formula>
    </cfRule>
  </conditionalFormatting>
  <conditionalFormatting sqref="AB155">
    <cfRule type="cellIs" dxfId="344" priority="2" stopIfTrue="1" operator="equal">
      <formula>"OK"</formula>
    </cfRule>
  </conditionalFormatting>
  <conditionalFormatting sqref="AB155">
    <cfRule type="cellIs" dxfId="343" priority="3" stopIfTrue="1" operator="equal">
      <formula>"WARNING"</formula>
    </cfRule>
  </conditionalFormatting>
  <hyperlinks>
    <hyperlink ref="B7:C7" location="$B$19" display="$B$19" xr:uid="{2CFBFE33-343F-4088-BAEB-9AB5F6334776}"/>
    <hyperlink ref="B8:C8" location="$B$34" display="$B$34" xr:uid="{50331D7A-E0F0-4470-9819-445FBB10EFFF}"/>
    <hyperlink ref="B9:C9" location="$B$49" display="$B$49" xr:uid="{C1BF1C80-383A-4449-96B0-24C82F4C8C0C}"/>
    <hyperlink ref="B10:C10" location="$B$64" display="$B$64" xr:uid="{14FE2526-6A12-4186-B9F7-344C2BA85565}"/>
    <hyperlink ref="B11:C11" location="$B$78" display="$B$78" xr:uid="{C97C61E4-688F-47E6-A85C-88BFD601215B}"/>
    <hyperlink ref="B12:C12" location="$B$122" display="$B$122" xr:uid="{1FDBCA23-ACFF-4EA1-B7FD-98B2676350BC}"/>
    <hyperlink ref="B13:C13" location="$B$149" display="$B$149" xr:uid="{08EE9C5D-A8FC-42C1-90DF-5715F219CEBC}"/>
    <hyperlink ref="B14:C14" location="$B$165" display="$B$165" xr:uid="{9D6BA76B-C91F-42D3-B149-70F62218882D}"/>
    <hyperlink ref="B15:C15" location="$B$180" display="$B$180" xr:uid="{7526F68B-CA85-49D3-B204-CD57007E2F9C}"/>
    <hyperlink ref="B1" location="Summary!A1" display="Summary!A1" xr:uid="{97A6595A-52BD-4B05-998A-59178C5B1926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2809E-7E67-4C8A-96ED-61170B6BF16A}">
  <sheetPr codeName="Sheet14">
    <tabColor theme="4" tint="-0.499984740745262"/>
  </sheetPr>
  <dimension ref="A1:BI36"/>
  <sheetViews>
    <sheetView showGridLines="0" zoomScaleNormal="100" workbookViewId="0">
      <selection activeCell="B1" sqref="B1"/>
    </sheetView>
  </sheetViews>
  <sheetFormatPr defaultColWidth="14.75" defaultRowHeight="15" x14ac:dyDescent="0.25"/>
  <cols>
    <col min="1" max="1" width="3.75" customWidth="1"/>
    <col min="39" max="40" width="70" bestFit="1" customWidth="1"/>
    <col min="47" max="48" width="70" bestFit="1" customWidth="1"/>
    <col min="55" max="56" width="44.5" bestFit="1" customWidth="1"/>
    <col min="59" max="60" width="44.5" bestFit="1" customWidth="1"/>
  </cols>
  <sheetData>
    <row r="1" spans="1:61" x14ac:dyDescent="0.25">
      <c r="B1" s="479" t="s">
        <v>429</v>
      </c>
    </row>
    <row r="2" spans="1:61" ht="26.25" x14ac:dyDescent="0.4">
      <c r="B2" s="2" t="s">
        <v>370</v>
      </c>
      <c r="C2" s="373"/>
      <c r="D2" s="373"/>
      <c r="E2" s="373"/>
      <c r="F2" s="373"/>
      <c r="G2" s="373"/>
      <c r="H2" s="373"/>
      <c r="I2" s="373"/>
      <c r="J2" s="373"/>
      <c r="K2" s="373"/>
      <c r="L2" s="373"/>
      <c r="M2" s="373"/>
      <c r="N2" s="373"/>
      <c r="O2" s="373"/>
      <c r="P2" s="373"/>
      <c r="Q2" s="373"/>
      <c r="R2" s="373"/>
      <c r="S2" s="373"/>
      <c r="T2" s="373"/>
      <c r="U2" s="373"/>
      <c r="V2" s="373"/>
      <c r="W2" s="373"/>
      <c r="X2" s="373"/>
      <c r="Y2" s="373"/>
      <c r="Z2" s="373"/>
      <c r="AA2" s="373"/>
      <c r="AB2" s="373"/>
      <c r="AC2" s="373"/>
      <c r="AD2" s="373"/>
      <c r="AE2" s="373"/>
      <c r="AF2" s="373"/>
      <c r="AG2" s="373"/>
      <c r="AH2" s="373"/>
      <c r="AI2" s="373"/>
      <c r="AJ2" s="373"/>
      <c r="AK2" s="373"/>
      <c r="AL2" s="373"/>
      <c r="AM2" s="373"/>
      <c r="AN2" s="373"/>
      <c r="AO2" s="373"/>
      <c r="AP2" s="373"/>
      <c r="AQ2" s="373"/>
      <c r="AR2" s="373"/>
      <c r="AS2" s="373"/>
      <c r="AT2" s="373"/>
      <c r="AU2" s="373"/>
      <c r="AV2" s="373"/>
      <c r="AW2" s="373"/>
      <c r="AX2" s="373"/>
      <c r="AY2" s="373"/>
      <c r="AZ2" s="373"/>
      <c r="BA2" s="373"/>
      <c r="BB2" s="373"/>
      <c r="BC2" s="373"/>
      <c r="BD2" s="373"/>
      <c r="BE2" s="373"/>
      <c r="BF2" s="373"/>
      <c r="BG2" s="373"/>
      <c r="BH2" s="373"/>
      <c r="BI2" s="373"/>
    </row>
    <row r="4" spans="1:61" x14ac:dyDescent="0.25">
      <c r="B4" s="59" t="s">
        <v>163</v>
      </c>
      <c r="C4" s="368" t="str" cm="1">
        <f t="array" ref="C4">_xll.d.TestUtils_And(D7:D8)</f>
        <v>Ok</v>
      </c>
      <c r="D4" s="366"/>
      <c r="E4" s="366"/>
      <c r="F4" s="366"/>
      <c r="G4" s="366"/>
      <c r="H4" s="366"/>
      <c r="I4" s="366"/>
      <c r="J4" s="366"/>
      <c r="K4" s="366"/>
      <c r="L4" s="366"/>
      <c r="M4" s="366"/>
      <c r="N4" s="366"/>
      <c r="O4" s="366"/>
      <c r="P4" s="366"/>
      <c r="Q4" s="366"/>
      <c r="R4" s="366"/>
      <c r="S4" s="366"/>
      <c r="T4" s="366"/>
      <c r="U4" s="366"/>
      <c r="V4" s="366"/>
      <c r="W4" s="366"/>
      <c r="X4" s="366"/>
      <c r="Y4" s="366"/>
      <c r="Z4" s="366"/>
      <c r="AA4" s="366"/>
      <c r="AB4" s="366"/>
      <c r="AC4" s="366"/>
    </row>
    <row r="6" spans="1:61" x14ac:dyDescent="0.25">
      <c r="B6" s="220" t="s">
        <v>238</v>
      </c>
      <c r="C6" s="220"/>
      <c r="D6" s="221" t="s">
        <v>10</v>
      </c>
      <c r="E6" s="366"/>
      <c r="F6" s="366"/>
      <c r="G6" s="366"/>
      <c r="H6" s="366"/>
      <c r="I6" s="366"/>
      <c r="J6" s="366"/>
      <c r="K6" s="366"/>
      <c r="L6" s="366"/>
      <c r="M6" s="366"/>
      <c r="N6" s="366"/>
      <c r="O6" s="366"/>
      <c r="P6" s="366"/>
      <c r="Q6" s="366"/>
      <c r="R6" s="366"/>
      <c r="S6" s="366"/>
      <c r="T6" s="366"/>
      <c r="U6" s="366"/>
      <c r="V6" s="366"/>
      <c r="W6" s="366"/>
      <c r="X6" s="366"/>
      <c r="Y6" s="366"/>
      <c r="Z6" s="366"/>
      <c r="AA6" s="366"/>
      <c r="AB6" s="366"/>
      <c r="AC6" s="366"/>
    </row>
    <row r="7" spans="1:61" x14ac:dyDescent="0.25">
      <c r="B7" s="478" t="s">
        <v>371</v>
      </c>
      <c r="C7" s="233"/>
      <c r="D7" s="368" t="str">
        <f>C13</f>
        <v>Ok</v>
      </c>
      <c r="E7" s="366"/>
      <c r="F7" s="366"/>
      <c r="G7" s="366"/>
      <c r="H7" s="366"/>
      <c r="I7" s="366"/>
      <c r="J7" s="366"/>
      <c r="K7" s="366"/>
      <c r="L7" s="366"/>
      <c r="M7" s="366"/>
      <c r="N7" s="366"/>
      <c r="O7" s="366"/>
      <c r="P7" s="366"/>
      <c r="Q7" s="366"/>
      <c r="R7" s="366"/>
      <c r="S7" s="366"/>
      <c r="T7" s="366"/>
      <c r="U7" s="366"/>
      <c r="V7" s="366"/>
      <c r="W7" s="366"/>
      <c r="X7" s="366"/>
      <c r="Y7" s="366"/>
      <c r="Z7" s="366"/>
      <c r="AA7" s="366"/>
      <c r="AB7" s="366"/>
      <c r="AC7" s="366"/>
    </row>
    <row r="8" spans="1:61" x14ac:dyDescent="0.25">
      <c r="B8" s="478" t="s">
        <v>389</v>
      </c>
      <c r="C8" s="233"/>
      <c r="D8" s="368" t="str">
        <f>C25</f>
        <v>Ok</v>
      </c>
      <c r="E8" s="366"/>
      <c r="F8" s="366"/>
      <c r="G8" s="366"/>
      <c r="H8" s="366"/>
      <c r="I8" s="366"/>
      <c r="J8" s="366"/>
      <c r="K8" s="366"/>
      <c r="L8" s="366"/>
      <c r="M8" s="366"/>
      <c r="N8" s="366"/>
      <c r="O8" s="366"/>
      <c r="P8" s="366"/>
      <c r="Q8" s="366"/>
      <c r="R8" s="366"/>
      <c r="S8" s="366"/>
      <c r="T8" s="366"/>
      <c r="U8" s="366"/>
      <c r="V8" s="366"/>
      <c r="W8" s="366"/>
      <c r="X8" s="366"/>
      <c r="Y8" s="366"/>
      <c r="Z8" s="366"/>
      <c r="AA8" s="366"/>
      <c r="AB8" s="366"/>
      <c r="AC8" s="366"/>
    </row>
    <row r="11" spans="1:61" s="366" customFormat="1" ht="18.75" x14ac:dyDescent="0.3">
      <c r="A11"/>
      <c r="B11" s="3" t="s">
        <v>371</v>
      </c>
      <c r="C11" s="374"/>
      <c r="D11" s="374"/>
      <c r="E11" s="374"/>
      <c r="F11" s="374"/>
      <c r="G11" s="374"/>
      <c r="H11" s="374"/>
      <c r="I11" s="374"/>
      <c r="J11" s="374"/>
      <c r="K11" s="374"/>
      <c r="L11" s="374"/>
      <c r="M11" s="374"/>
      <c r="N11" s="374"/>
      <c r="O11" s="374"/>
      <c r="P11" s="374"/>
      <c r="Q11" s="374"/>
      <c r="R11" s="374"/>
      <c r="S11" s="374"/>
      <c r="T11" s="374"/>
      <c r="U11" s="374"/>
      <c r="V11" s="374"/>
      <c r="W11" s="374"/>
      <c r="X11" s="374"/>
      <c r="Y11" s="374"/>
      <c r="Z11" s="374"/>
      <c r="AA11" s="374"/>
      <c r="AB11" s="374"/>
      <c r="AC11" s="374"/>
      <c r="AD11" s="374"/>
      <c r="AE11" s="374"/>
      <c r="AF11" s="374"/>
      <c r="AG11" s="374"/>
      <c r="AH11" s="374"/>
      <c r="AI11" s="374"/>
      <c r="AJ11" s="374"/>
      <c r="AK11" s="374"/>
      <c r="AL11" s="374"/>
      <c r="AM11" s="374"/>
      <c r="AN11" s="374"/>
      <c r="AO11" s="374"/>
      <c r="AP11" s="374"/>
      <c r="AQ11" s="374"/>
      <c r="AR11" s="374"/>
      <c r="AS11" s="374"/>
      <c r="AT11" s="374"/>
      <c r="AU11" s="374"/>
      <c r="AV11" s="374"/>
      <c r="AW11" s="374"/>
      <c r="AX11" s="374"/>
      <c r="AY11" s="374"/>
      <c r="AZ11" s="374"/>
      <c r="BA11" s="374"/>
      <c r="BB11" s="374"/>
      <c r="BC11" s="374"/>
      <c r="BD11" s="374"/>
      <c r="BE11" s="374"/>
      <c r="BF11" s="374"/>
      <c r="BG11" s="374"/>
      <c r="BH11" s="374"/>
      <c r="BI11" s="374"/>
    </row>
    <row r="13" spans="1:61" x14ac:dyDescent="0.25">
      <c r="B13" s="59" t="s">
        <v>163</v>
      </c>
      <c r="C13" s="368" t="str" cm="1">
        <f t="array" ref="C13">_xll.d.TestUtils_And(H18,P18,Y18,AG18,AO18,AW18,BE18)</f>
        <v>Ok</v>
      </c>
      <c r="D13" s="366"/>
      <c r="E13" s="366"/>
      <c r="F13" s="366"/>
      <c r="G13" s="366"/>
    </row>
    <row r="14" spans="1:61" x14ac:dyDescent="0.25">
      <c r="B14" s="366"/>
      <c r="C14" s="366"/>
      <c r="D14" s="366"/>
      <c r="E14" s="366"/>
      <c r="F14" s="366"/>
      <c r="G14" s="367"/>
    </row>
    <row r="15" spans="1:61" ht="15.75" x14ac:dyDescent="0.25">
      <c r="B15" s="4" t="s">
        <v>372</v>
      </c>
      <c r="C15" s="375"/>
      <c r="D15" s="375"/>
      <c r="E15" s="375"/>
      <c r="F15" s="375"/>
      <c r="G15" s="375"/>
      <c r="H15" s="375"/>
      <c r="J15" s="4" t="s">
        <v>376</v>
      </c>
      <c r="K15" s="375"/>
      <c r="L15" s="375"/>
      <c r="M15" s="375"/>
      <c r="N15" s="375"/>
      <c r="O15" s="375"/>
      <c r="P15" s="375"/>
      <c r="R15" s="4" t="s">
        <v>378</v>
      </c>
      <c r="S15" s="375"/>
      <c r="T15" s="375"/>
      <c r="U15" s="375"/>
      <c r="V15" s="375"/>
      <c r="W15" s="375"/>
      <c r="X15" s="375"/>
      <c r="Y15" s="375"/>
      <c r="AA15" s="4" t="s">
        <v>379</v>
      </c>
      <c r="AB15" s="375"/>
      <c r="AC15" s="375"/>
      <c r="AD15" s="375"/>
      <c r="AE15" s="375"/>
      <c r="AF15" s="375"/>
      <c r="AG15" s="375"/>
      <c r="AI15" s="4" t="s">
        <v>381</v>
      </c>
      <c r="AJ15" s="375"/>
      <c r="AK15" s="375"/>
      <c r="AL15" s="375"/>
      <c r="AM15" s="375"/>
      <c r="AN15" s="375"/>
      <c r="AO15" s="375"/>
      <c r="AQ15" s="4" t="s">
        <v>395</v>
      </c>
      <c r="AR15" s="375"/>
      <c r="AS15" s="375"/>
      <c r="AT15" s="375"/>
      <c r="AU15" s="375"/>
      <c r="AV15" s="375"/>
      <c r="AW15" s="375"/>
      <c r="AY15" s="4" t="s">
        <v>396</v>
      </c>
      <c r="AZ15" s="375"/>
      <c r="BA15" s="375"/>
      <c r="BB15" s="375"/>
      <c r="BC15" s="375"/>
      <c r="BD15" s="375"/>
      <c r="BE15" s="375"/>
    </row>
    <row r="16" spans="1:61" x14ac:dyDescent="0.25">
      <c r="B16" s="366"/>
      <c r="C16" s="366"/>
      <c r="D16" s="366"/>
      <c r="E16" s="366"/>
      <c r="F16" s="366"/>
      <c r="G16" s="367"/>
      <c r="J16" s="366"/>
      <c r="K16" s="366"/>
      <c r="L16" s="366"/>
      <c r="M16" s="366"/>
      <c r="N16" s="366"/>
      <c r="O16" s="367"/>
      <c r="R16" s="366"/>
      <c r="S16" s="366"/>
      <c r="T16" s="366"/>
      <c r="U16" s="366"/>
      <c r="V16" s="366"/>
      <c r="W16" s="366"/>
      <c r="X16" s="367"/>
      <c r="AA16" s="366"/>
      <c r="AB16" s="366"/>
      <c r="AC16" s="366"/>
      <c r="AD16" s="366"/>
      <c r="AE16" s="366"/>
      <c r="AF16" s="367"/>
      <c r="AI16" s="366"/>
      <c r="AJ16" s="366"/>
      <c r="AK16" s="366"/>
      <c r="AL16" s="366"/>
      <c r="AM16" s="366"/>
      <c r="AN16" s="367"/>
      <c r="AQ16" s="366"/>
      <c r="AR16" s="366"/>
      <c r="AS16" s="366"/>
      <c r="AT16" s="366"/>
      <c r="AU16" s="366"/>
      <c r="AV16" s="367"/>
      <c r="AY16" s="366"/>
      <c r="AZ16" s="366"/>
      <c r="BA16" s="366"/>
      <c r="BB16" s="366"/>
      <c r="BC16" s="366"/>
      <c r="BD16" s="367"/>
    </row>
    <row r="17" spans="1:61" x14ac:dyDescent="0.25">
      <c r="B17" s="134" t="s">
        <v>256</v>
      </c>
      <c r="C17" s="223"/>
      <c r="D17" s="135"/>
      <c r="F17" s="134" t="s">
        <v>137</v>
      </c>
      <c r="G17" s="134" t="s">
        <v>258</v>
      </c>
      <c r="H17" s="134" t="s">
        <v>85</v>
      </c>
      <c r="J17" s="134" t="s">
        <v>256</v>
      </c>
      <c r="K17" s="223"/>
      <c r="L17" s="135"/>
      <c r="N17" s="134" t="s">
        <v>137</v>
      </c>
      <c r="O17" s="134" t="s">
        <v>258</v>
      </c>
      <c r="P17" s="134" t="s">
        <v>85</v>
      </c>
      <c r="R17" s="134" t="s">
        <v>256</v>
      </c>
      <c r="S17" s="223"/>
      <c r="T17" s="223"/>
      <c r="U17" s="135"/>
      <c r="W17" s="134" t="s">
        <v>137</v>
      </c>
      <c r="X17" s="134" t="s">
        <v>258</v>
      </c>
      <c r="Y17" s="134" t="s">
        <v>85</v>
      </c>
      <c r="AA17" s="134" t="s">
        <v>256</v>
      </c>
      <c r="AB17" s="223"/>
      <c r="AC17" s="135"/>
      <c r="AE17" s="134" t="s">
        <v>137</v>
      </c>
      <c r="AF17" s="134" t="s">
        <v>258</v>
      </c>
      <c r="AG17" s="134" t="s">
        <v>85</v>
      </c>
      <c r="AI17" s="134" t="s">
        <v>256</v>
      </c>
      <c r="AJ17" s="223"/>
      <c r="AK17" s="135"/>
      <c r="AM17" s="134" t="s">
        <v>137</v>
      </c>
      <c r="AN17" s="134" t="s">
        <v>258</v>
      </c>
      <c r="AO17" s="134" t="s">
        <v>85</v>
      </c>
      <c r="AQ17" s="134" t="s">
        <v>256</v>
      </c>
      <c r="AR17" s="223"/>
      <c r="AS17" s="135"/>
      <c r="AU17" s="134" t="s">
        <v>137</v>
      </c>
      <c r="AV17" s="134" t="s">
        <v>258</v>
      </c>
      <c r="AW17" s="134" t="s">
        <v>85</v>
      </c>
      <c r="AY17" s="134" t="s">
        <v>256</v>
      </c>
      <c r="AZ17" s="223"/>
      <c r="BA17" s="135"/>
      <c r="BC17" s="134" t="s">
        <v>137</v>
      </c>
      <c r="BD17" s="134" t="s">
        <v>258</v>
      </c>
      <c r="BE17" s="134" t="s">
        <v>85</v>
      </c>
    </row>
    <row r="18" spans="1:61" x14ac:dyDescent="0.25">
      <c r="B18" s="391" t="s">
        <v>373</v>
      </c>
      <c r="C18" s="392" t="s">
        <v>374</v>
      </c>
      <c r="D18" s="133" t="s">
        <v>375</v>
      </c>
      <c r="F18" s="394" cm="1">
        <f t="array" ref="F18">_xll.d.Math_Interpolate(B19:B20,C19:C20,D19,"linear")</f>
        <v>7.5000000000000011E-2</v>
      </c>
      <c r="G18" s="395">
        <f>(C20-C19)/(B20-B19)*(D19-B19)+C19</f>
        <v>7.5000000000000011E-2</v>
      </c>
      <c r="H18" s="378" t="str" cm="1">
        <f t="array" ref="H18">_xll.d.TestUtils_Equal(F18,G18)</f>
        <v>Ok</v>
      </c>
      <c r="J18" s="391" t="s">
        <v>373</v>
      </c>
      <c r="K18" s="392" t="s">
        <v>374</v>
      </c>
      <c r="L18" s="133" t="s">
        <v>375</v>
      </c>
      <c r="N18" s="394" cm="1">
        <f t="array" ref="N18">_xll.d.Math_Interpolate(J19:J20,K19:K20,L19,"exponential")</f>
        <v>7.0710678118654766E-2</v>
      </c>
      <c r="O18" s="395">
        <f>EXP((LN(K20/K19))/(J20-J19)*(L19-J19)+LN(K19))</f>
        <v>7.0710678118654766E-2</v>
      </c>
      <c r="P18" s="378" t="str" cm="1">
        <f t="array" ref="P18">_xll.d.TestUtils_Equal(N18,O18)</f>
        <v>Ok</v>
      </c>
      <c r="R18" s="391" t="s">
        <v>373</v>
      </c>
      <c r="S18" s="392" t="s">
        <v>374</v>
      </c>
      <c r="T18" s="392" t="s">
        <v>377</v>
      </c>
      <c r="U18" s="133" t="s">
        <v>375</v>
      </c>
      <c r="W18" s="394" cm="1">
        <f t="array" ref="W18">_xll.d.Math_Interpolate(R19:R20,T19:T20,U19,"exponential")-EXP(_xll.d.Math_Interpolate(R19:R20,S19:S20,U19,"linear"))</f>
        <v>0</v>
      </c>
      <c r="X18" s="395">
        <v>0</v>
      </c>
      <c r="Y18" s="378" t="str" cm="1">
        <f t="array" ref="Y18">_xll.d.TestUtils_Equal(W18,X18)</f>
        <v>Ok</v>
      </c>
      <c r="AA18" s="391" t="s">
        <v>373</v>
      </c>
      <c r="AB18" s="392" t="s">
        <v>374</v>
      </c>
      <c r="AC18" s="133" t="s">
        <v>375</v>
      </c>
      <c r="AE18" s="394" cm="1">
        <f t="array" ref="AE18">_xll.d.Math_Interpolate(AA19:AA20,AB19:AB20,AC19,"flat")</f>
        <v>0.05</v>
      </c>
      <c r="AF18" s="395">
        <f>IF(AC19&lt;AA20,AB19,AB20)</f>
        <v>0.05</v>
      </c>
      <c r="AG18" s="378" t="str" cm="1">
        <f t="array" ref="AG18">_xll.d.TestUtils_Equal(AE18,AF18)</f>
        <v>Ok</v>
      </c>
      <c r="AI18" s="391" t="s">
        <v>373</v>
      </c>
      <c r="AJ18" s="392" t="s">
        <v>374</v>
      </c>
      <c r="AK18" s="133" t="s">
        <v>375</v>
      </c>
      <c r="AM18" s="394" t="str" cm="1">
        <f t="array" ref="AM18">_xll.d.Math_Interpolate(AI19,AJ19:AJ20,AK19,"linear")</f>
        <v>#∂Excel Error: Row dimensions do not match or there is more than one column in x or y.</v>
      </c>
      <c r="AN18" s="395" t="s">
        <v>380</v>
      </c>
      <c r="AO18" s="378" t="str" cm="1">
        <f t="array" ref="AO18">_xll.d.TestUtils_Equal(AM18,AN18)</f>
        <v>Ok</v>
      </c>
      <c r="AQ18" s="391" t="s">
        <v>373</v>
      </c>
      <c r="AR18" s="392" t="s">
        <v>374</v>
      </c>
      <c r="AS18" s="133" t="s">
        <v>375</v>
      </c>
      <c r="AU18" s="394" t="str" cm="1">
        <f t="array" ref="AU18">_xll.d.Math_Interpolate(AQ19:AR20,AR19:AR20,AS19,"linear")</f>
        <v>#∂Excel Error: Row dimensions do not match or there is more than one column in x or y.</v>
      </c>
      <c r="AV18" s="395" t="s">
        <v>380</v>
      </c>
      <c r="AW18" s="378" t="str" cm="1">
        <f t="array" ref="AW18">_xll.d.TestUtils_Equal(AU18,AV18)</f>
        <v>Ok</v>
      </c>
      <c r="AY18" s="391" t="s">
        <v>373</v>
      </c>
      <c r="AZ18" s="392" t="s">
        <v>374</v>
      </c>
      <c r="BA18" s="133" t="s">
        <v>375</v>
      </c>
      <c r="BC18" s="394" t="str" cm="1">
        <f t="array" ref="BC18">_xll.d.Math_Interpolate(AY19:AY20,AZ19:AZ20,BA19,"magic")</f>
        <v>#∂Excel Error: Invalid method of interpolation specified.</v>
      </c>
      <c r="BD18" s="395" t="s">
        <v>383</v>
      </c>
      <c r="BE18" s="378" t="str" cm="1">
        <f t="array" ref="BE18">_xll.d.TestUtils_Equal(BC18,BD18)</f>
        <v>Ok</v>
      </c>
    </row>
    <row r="19" spans="1:61" x14ac:dyDescent="0.25">
      <c r="B19" s="136">
        <v>1</v>
      </c>
      <c r="C19" s="388">
        <v>0.05</v>
      </c>
      <c r="D19" s="393">
        <v>1.5</v>
      </c>
      <c r="E19" s="366"/>
      <c r="F19" s="366"/>
      <c r="G19" s="367"/>
      <c r="J19" s="136">
        <v>1</v>
      </c>
      <c r="K19" s="388">
        <v>0.05</v>
      </c>
      <c r="L19" s="393">
        <v>1.5</v>
      </c>
      <c r="M19" s="366"/>
      <c r="N19" s="366"/>
      <c r="O19" s="367"/>
      <c r="R19" s="136">
        <v>1</v>
      </c>
      <c r="S19" s="388">
        <v>0.05</v>
      </c>
      <c r="T19" s="388">
        <f>EXP(S19)</f>
        <v>1.0512710963760241</v>
      </c>
      <c r="U19" s="393">
        <v>1.5</v>
      </c>
      <c r="V19" s="366"/>
      <c r="W19" s="366"/>
      <c r="X19" s="367"/>
      <c r="AA19" s="136">
        <v>1</v>
      </c>
      <c r="AB19" s="388">
        <v>0.05</v>
      </c>
      <c r="AC19" s="393">
        <v>1.5</v>
      </c>
      <c r="AD19" s="366"/>
      <c r="AE19" s="366"/>
      <c r="AF19" s="367"/>
      <c r="AI19" s="136">
        <v>1</v>
      </c>
      <c r="AJ19" s="388">
        <v>0.05</v>
      </c>
      <c r="AK19" s="393">
        <v>1.5</v>
      </c>
      <c r="AL19" s="366"/>
      <c r="AM19" s="366"/>
      <c r="AN19" s="367"/>
      <c r="AQ19" s="136">
        <v>1</v>
      </c>
      <c r="AR19" s="388">
        <v>0.05</v>
      </c>
      <c r="AS19" s="393">
        <v>1.5</v>
      </c>
      <c r="AT19" s="366"/>
      <c r="AU19" s="366"/>
      <c r="AV19" s="367"/>
      <c r="AY19" s="136">
        <v>1</v>
      </c>
      <c r="AZ19" s="388">
        <v>0.05</v>
      </c>
      <c r="BA19" s="393">
        <v>1.5</v>
      </c>
      <c r="BB19" s="366"/>
      <c r="BC19" s="366"/>
      <c r="BD19" s="367"/>
    </row>
    <row r="20" spans="1:61" x14ac:dyDescent="0.25">
      <c r="B20" s="396">
        <v>2</v>
      </c>
      <c r="C20" s="397">
        <v>0.1</v>
      </c>
      <c r="E20" s="366"/>
      <c r="F20" s="366"/>
      <c r="G20" s="367"/>
      <c r="J20" s="396">
        <v>2</v>
      </c>
      <c r="K20" s="397">
        <v>0.1</v>
      </c>
      <c r="M20" s="366"/>
      <c r="N20" s="366"/>
      <c r="O20" s="367"/>
      <c r="R20" s="396">
        <v>2</v>
      </c>
      <c r="S20" s="399">
        <v>0.1</v>
      </c>
      <c r="T20" s="398">
        <f>EXP(S20)</f>
        <v>1.1051709180756477</v>
      </c>
      <c r="V20" s="366"/>
      <c r="W20" s="366"/>
      <c r="X20" s="367"/>
      <c r="AA20" s="396">
        <v>2</v>
      </c>
      <c r="AB20" s="397">
        <v>0.1</v>
      </c>
      <c r="AD20" s="366"/>
      <c r="AE20" s="366"/>
      <c r="AF20" s="367"/>
      <c r="AI20" s="396">
        <v>2</v>
      </c>
      <c r="AJ20" s="397">
        <v>0.1</v>
      </c>
      <c r="AL20" s="366"/>
      <c r="AM20" s="366"/>
      <c r="AN20" s="367"/>
      <c r="AQ20" s="396">
        <v>2</v>
      </c>
      <c r="AR20" s="397">
        <v>0.1</v>
      </c>
      <c r="AT20" s="366"/>
      <c r="AU20" s="366"/>
      <c r="AV20" s="367"/>
      <c r="AY20" s="396">
        <v>2</v>
      </c>
      <c r="AZ20" s="397">
        <v>0.1</v>
      </c>
      <c r="BB20" s="366"/>
      <c r="BC20" s="366"/>
      <c r="BD20" s="367"/>
    </row>
    <row r="21" spans="1:61" x14ac:dyDescent="0.25">
      <c r="B21" s="366"/>
      <c r="C21" s="366"/>
      <c r="D21" s="366"/>
      <c r="E21" s="366"/>
      <c r="F21" s="366"/>
      <c r="G21" s="367"/>
    </row>
    <row r="22" spans="1:61" x14ac:dyDescent="0.25">
      <c r="B22" s="366"/>
      <c r="C22" s="366"/>
      <c r="D22" s="366"/>
      <c r="E22" s="366"/>
      <c r="F22" s="366"/>
      <c r="G22" s="367"/>
    </row>
    <row r="23" spans="1:61" s="366" customFormat="1" ht="18.75" x14ac:dyDescent="0.3">
      <c r="A23"/>
      <c r="B23" s="3" t="s">
        <v>389</v>
      </c>
      <c r="C23" s="374"/>
      <c r="D23" s="374"/>
      <c r="E23" s="374"/>
      <c r="F23" s="374"/>
      <c r="G23" s="374"/>
      <c r="H23" s="374"/>
      <c r="I23" s="374"/>
      <c r="J23" s="374"/>
      <c r="K23" s="374"/>
      <c r="L23" s="374"/>
      <c r="M23" s="374"/>
      <c r="N23" s="374"/>
      <c r="O23" s="374"/>
      <c r="P23" s="374"/>
      <c r="Q23" s="374"/>
      <c r="R23" s="374"/>
      <c r="S23" s="374"/>
      <c r="T23" s="374"/>
      <c r="U23" s="374"/>
      <c r="V23" s="374"/>
      <c r="W23" s="374"/>
      <c r="X23" s="374"/>
      <c r="Y23" s="374"/>
      <c r="Z23" s="374"/>
      <c r="AA23" s="374"/>
      <c r="AB23" s="374"/>
      <c r="AC23" s="374"/>
      <c r="AD23" s="374"/>
      <c r="AE23" s="374"/>
      <c r="AF23" s="374"/>
      <c r="AG23" s="374"/>
      <c r="AH23" s="374"/>
      <c r="AI23" s="374"/>
      <c r="AJ23" s="374"/>
      <c r="AK23" s="374"/>
      <c r="AL23" s="374"/>
      <c r="AM23" s="374"/>
      <c r="AN23" s="374"/>
      <c r="AO23" s="374"/>
      <c r="AP23" s="374"/>
      <c r="AQ23" s="374"/>
      <c r="AR23" s="374"/>
      <c r="AS23" s="374"/>
      <c r="AT23" s="374"/>
      <c r="AU23" s="374"/>
      <c r="AV23" s="374"/>
      <c r="AW23" s="374"/>
      <c r="AX23" s="374"/>
      <c r="AY23" s="374"/>
      <c r="AZ23" s="374"/>
      <c r="BA23" s="374"/>
      <c r="BB23" s="374"/>
      <c r="BC23" s="374"/>
      <c r="BD23" s="374"/>
      <c r="BE23" s="374"/>
      <c r="BF23" s="374"/>
      <c r="BG23" s="374"/>
      <c r="BH23" s="374"/>
      <c r="BI23" s="374"/>
    </row>
    <row r="25" spans="1:61" s="366" customFormat="1" x14ac:dyDescent="0.25">
      <c r="A25"/>
      <c r="B25" s="59" t="s">
        <v>163</v>
      </c>
      <c r="C25" s="368" t="str" cm="1">
        <f t="array" ref="C25">_xll.d.TestUtils_And(L30,Y30,AK30,AW30,BI30)</f>
        <v>Ok</v>
      </c>
    </row>
    <row r="27" spans="1:61" ht="15.75" x14ac:dyDescent="0.25">
      <c r="B27" s="4" t="s">
        <v>390</v>
      </c>
      <c r="C27" s="375"/>
      <c r="D27" s="375"/>
      <c r="E27" s="375"/>
      <c r="F27" s="375"/>
      <c r="G27" s="375"/>
      <c r="H27" s="375"/>
      <c r="I27" s="375"/>
      <c r="J27" s="375"/>
      <c r="K27" s="375"/>
      <c r="L27" s="375"/>
      <c r="N27" s="4" t="s">
        <v>391</v>
      </c>
      <c r="O27" s="375"/>
      <c r="P27" s="375"/>
      <c r="Q27" s="375"/>
      <c r="R27" s="375"/>
      <c r="S27" s="375"/>
      <c r="T27" s="375"/>
      <c r="U27" s="375"/>
      <c r="V27" s="375"/>
      <c r="W27" s="375"/>
      <c r="X27" s="375"/>
      <c r="Y27" s="375"/>
      <c r="AA27" s="4" t="s">
        <v>392</v>
      </c>
      <c r="AB27" s="375"/>
      <c r="AC27" s="375"/>
      <c r="AD27" s="375"/>
      <c r="AE27" s="375"/>
      <c r="AF27" s="375"/>
      <c r="AG27" s="375"/>
      <c r="AH27" s="375"/>
      <c r="AI27" s="375"/>
      <c r="AJ27" s="375"/>
      <c r="AK27" s="375"/>
      <c r="AM27" s="4" t="s">
        <v>393</v>
      </c>
      <c r="AN27" s="375"/>
      <c r="AO27" s="375"/>
      <c r="AP27" s="375"/>
      <c r="AQ27" s="375"/>
      <c r="AR27" s="375"/>
      <c r="AS27" s="375"/>
      <c r="AT27" s="375"/>
      <c r="AU27" s="375"/>
      <c r="AV27" s="375"/>
      <c r="AW27" s="375"/>
      <c r="AY27" s="4" t="s">
        <v>382</v>
      </c>
      <c r="AZ27" s="375"/>
      <c r="BA27" s="375"/>
      <c r="BB27" s="375"/>
      <c r="BC27" s="375"/>
      <c r="BD27" s="375"/>
      <c r="BE27" s="375"/>
      <c r="BF27" s="375"/>
      <c r="BG27" s="375"/>
      <c r="BH27" s="375"/>
      <c r="BI27" s="375"/>
    </row>
    <row r="28" spans="1:61" x14ac:dyDescent="0.25">
      <c r="B28" s="366"/>
      <c r="C28" s="366"/>
      <c r="D28" s="366"/>
      <c r="E28" s="366"/>
      <c r="F28" s="366"/>
      <c r="G28" s="367"/>
      <c r="N28" s="366"/>
      <c r="O28" s="366"/>
      <c r="P28" s="366"/>
      <c r="Q28" s="366"/>
      <c r="R28" s="366"/>
      <c r="S28" s="367"/>
      <c r="AA28" s="366"/>
      <c r="AB28" s="366"/>
      <c r="AC28" s="366"/>
      <c r="AD28" s="366"/>
      <c r="AE28" s="366"/>
      <c r="AF28" s="367"/>
      <c r="AM28" s="366"/>
      <c r="AN28" s="366"/>
      <c r="AO28" s="366"/>
      <c r="AP28" s="366"/>
      <c r="AQ28" s="366"/>
      <c r="AR28" s="367"/>
      <c r="AY28" s="366"/>
      <c r="AZ28" s="366"/>
      <c r="BA28" s="366"/>
      <c r="BB28" s="366"/>
      <c r="BC28" s="366"/>
      <c r="BD28" s="367"/>
    </row>
    <row r="29" spans="1:61" x14ac:dyDescent="0.25">
      <c r="A29" s="149"/>
      <c r="B29" s="401" t="s">
        <v>256</v>
      </c>
      <c r="C29" s="223"/>
      <c r="D29" s="223"/>
      <c r="E29" s="408"/>
      <c r="F29" s="408"/>
      <c r="G29" s="402"/>
      <c r="H29" s="232"/>
      <c r="J29" s="134" t="s">
        <v>137</v>
      </c>
      <c r="K29" s="134" t="s">
        <v>258</v>
      </c>
      <c r="L29" s="134" t="s">
        <v>85</v>
      </c>
      <c r="N29" s="401" t="s">
        <v>256</v>
      </c>
      <c r="O29" s="223"/>
      <c r="P29" s="223"/>
      <c r="Q29" s="408"/>
      <c r="R29" s="408"/>
      <c r="S29" s="402"/>
      <c r="T29" s="232"/>
      <c r="W29" s="134" t="s">
        <v>137</v>
      </c>
      <c r="X29" s="134" t="s">
        <v>258</v>
      </c>
      <c r="Y29" s="134" t="s">
        <v>85</v>
      </c>
      <c r="AA29" s="401" t="s">
        <v>256</v>
      </c>
      <c r="AB29" s="223"/>
      <c r="AC29" s="223"/>
      <c r="AD29" s="408"/>
      <c r="AE29" s="408"/>
      <c r="AF29" s="402"/>
      <c r="AG29" s="232"/>
      <c r="AI29" s="134" t="s">
        <v>137</v>
      </c>
      <c r="AJ29" s="134" t="s">
        <v>258</v>
      </c>
      <c r="AK29" s="134" t="s">
        <v>85</v>
      </c>
      <c r="AM29" s="401" t="s">
        <v>256</v>
      </c>
      <c r="AN29" s="223"/>
      <c r="AO29" s="223"/>
      <c r="AP29" s="408"/>
      <c r="AQ29" s="408"/>
      <c r="AR29" s="402"/>
      <c r="AS29" s="232"/>
      <c r="AU29" s="134" t="s">
        <v>137</v>
      </c>
      <c r="AV29" s="134" t="s">
        <v>258</v>
      </c>
      <c r="AW29" s="134" t="s">
        <v>85</v>
      </c>
      <c r="AY29" s="401" t="s">
        <v>256</v>
      </c>
      <c r="AZ29" s="223"/>
      <c r="BA29" s="223"/>
      <c r="BB29" s="408"/>
      <c r="BC29" s="408"/>
      <c r="BD29" s="402"/>
      <c r="BE29" s="232"/>
      <c r="BG29" s="134" t="s">
        <v>137</v>
      </c>
      <c r="BH29" s="134" t="s">
        <v>258</v>
      </c>
      <c r="BI29" s="134" t="s">
        <v>85</v>
      </c>
    </row>
    <row r="30" spans="1:61" x14ac:dyDescent="0.25">
      <c r="A30" s="149"/>
      <c r="B30" s="403"/>
      <c r="C30" s="405" t="s">
        <v>387</v>
      </c>
      <c r="D30" s="408"/>
      <c r="E30" s="408"/>
      <c r="F30" s="406"/>
      <c r="G30" s="410" t="s">
        <v>388</v>
      </c>
      <c r="H30" s="409"/>
      <c r="J30" s="394" cm="1">
        <f t="array" ref="J30">_xll.d.Math_Interpolate2D(B31:F36,G32,H32,"linear")</f>
        <v>9.5</v>
      </c>
      <c r="K30" s="395">
        <v>9.5</v>
      </c>
      <c r="L30" s="378" t="str" cm="1">
        <f t="array" ref="L30">_xll.d.TestUtils_Equal(J30,K30)</f>
        <v>Ok</v>
      </c>
      <c r="N30" s="403"/>
      <c r="O30" s="405" t="s">
        <v>387</v>
      </c>
      <c r="P30" s="408"/>
      <c r="Q30" s="408"/>
      <c r="R30" s="406"/>
      <c r="S30" s="410" t="s">
        <v>388</v>
      </c>
      <c r="T30" s="409"/>
      <c r="W30" s="394" cm="1">
        <f t="array" ref="W30">_xll.d.Math_Interpolate2D(N31:R36,S32,T32,"exponential")</f>
        <v>9.2723643716594051</v>
      </c>
      <c r="X30" s="395">
        <v>9.272364616394043</v>
      </c>
      <c r="Y30" s="378" t="str" cm="1">
        <f t="array" ref="Y30">_xll.d.TestUtils_Equal(W30,X30,0.00001)</f>
        <v>Ok</v>
      </c>
      <c r="AA30" s="403"/>
      <c r="AB30" s="405" t="s">
        <v>387</v>
      </c>
      <c r="AC30" s="408"/>
      <c r="AD30" s="408"/>
      <c r="AE30" s="406"/>
      <c r="AF30" s="410" t="s">
        <v>388</v>
      </c>
      <c r="AG30" s="409"/>
      <c r="AI30" s="394" cm="1">
        <f t="array" ref="AI30">_xll.d.Math_Interpolate2D(AA31:AE36,AF32,AG32,"flat")</f>
        <v>7</v>
      </c>
      <c r="AJ30" s="395">
        <v>7</v>
      </c>
      <c r="AK30" s="378" t="str" cm="1">
        <f t="array" ref="AK30">_xll.d.TestUtils_Equal(AI30,AJ30)</f>
        <v>Ok</v>
      </c>
      <c r="AM30" s="403"/>
      <c r="AN30" s="405" t="s">
        <v>387</v>
      </c>
      <c r="AO30" s="408"/>
      <c r="AP30" s="408"/>
      <c r="AQ30" s="406"/>
      <c r="AR30" s="410" t="s">
        <v>388</v>
      </c>
      <c r="AS30" s="409"/>
      <c r="AU30" s="394" t="str" cm="1">
        <f t="array" ref="AU30">_xll.d.Math_Interpolate2D(AM31:AQ36,AR32,AS32,"linear")</f>
        <v>#∂Excel Error: Extrapolation not supported.</v>
      </c>
      <c r="AV30" s="395" t="s">
        <v>394</v>
      </c>
      <c r="AW30" s="378" t="str" cm="1">
        <f t="array" ref="AW30">_xll.d.TestUtils_Equal(AU30,AV30)</f>
        <v>Ok</v>
      </c>
      <c r="AY30" s="403"/>
      <c r="AZ30" s="405" t="s">
        <v>387</v>
      </c>
      <c r="BA30" s="408"/>
      <c r="BB30" s="408"/>
      <c r="BC30" s="406"/>
      <c r="BD30" s="410" t="s">
        <v>388</v>
      </c>
      <c r="BE30" s="409"/>
      <c r="BG30" s="394" t="str" cm="1">
        <f t="array" ref="BG30">_xll.d.Math_Interpolate2D(AY31:BC36,BD32,BE32,"magic")</f>
        <v>#∂Excel Error: Invalid method of interpolation specified.</v>
      </c>
      <c r="BH30" s="395" t="s">
        <v>383</v>
      </c>
      <c r="BI30" s="378" t="str" cm="1">
        <f t="array" ref="BI30">_xll.d.TestUtils_Equal(BG30,BH30)</f>
        <v>Ok</v>
      </c>
    </row>
    <row r="31" spans="1:61" x14ac:dyDescent="0.25">
      <c r="A31" s="149"/>
      <c r="B31" s="404" t="s">
        <v>386</v>
      </c>
      <c r="C31" s="413">
        <v>0</v>
      </c>
      <c r="D31" s="414">
        <v>1</v>
      </c>
      <c r="E31" s="414">
        <v>2</v>
      </c>
      <c r="F31" s="415">
        <v>3</v>
      </c>
      <c r="G31" s="411" t="s">
        <v>385</v>
      </c>
      <c r="H31" s="133" t="s">
        <v>384</v>
      </c>
      <c r="N31" s="404" t="s">
        <v>386</v>
      </c>
      <c r="O31" s="413">
        <v>0</v>
      </c>
      <c r="P31" s="414">
        <v>1</v>
      </c>
      <c r="Q31" s="414">
        <v>2</v>
      </c>
      <c r="R31" s="415">
        <v>3</v>
      </c>
      <c r="S31" s="411" t="s">
        <v>385</v>
      </c>
      <c r="T31" s="133" t="s">
        <v>384</v>
      </c>
      <c r="AA31" s="404" t="s">
        <v>386</v>
      </c>
      <c r="AB31" s="413">
        <v>0</v>
      </c>
      <c r="AC31" s="414">
        <v>1</v>
      </c>
      <c r="AD31" s="414">
        <v>2</v>
      </c>
      <c r="AE31" s="415">
        <v>3</v>
      </c>
      <c r="AF31" s="411" t="s">
        <v>385</v>
      </c>
      <c r="AG31" s="133" t="s">
        <v>384</v>
      </c>
      <c r="AM31" s="404" t="s">
        <v>386</v>
      </c>
      <c r="AN31" s="413">
        <v>0</v>
      </c>
      <c r="AO31" s="414">
        <v>1</v>
      </c>
      <c r="AP31" s="414">
        <v>2</v>
      </c>
      <c r="AQ31" s="415">
        <v>3</v>
      </c>
      <c r="AR31" s="411" t="s">
        <v>385</v>
      </c>
      <c r="AS31" s="133" t="s">
        <v>384</v>
      </c>
      <c r="AY31" s="404" t="s">
        <v>386</v>
      </c>
      <c r="AZ31" s="413">
        <v>0</v>
      </c>
      <c r="BA31" s="414">
        <v>1</v>
      </c>
      <c r="BB31" s="414">
        <v>2</v>
      </c>
      <c r="BC31" s="415">
        <v>3</v>
      </c>
      <c r="BD31" s="411" t="s">
        <v>385</v>
      </c>
      <c r="BE31" s="133" t="s">
        <v>384</v>
      </c>
    </row>
    <row r="32" spans="1:61" x14ac:dyDescent="0.25">
      <c r="B32" s="400">
        <v>0</v>
      </c>
      <c r="C32" s="416">
        <v>1</v>
      </c>
      <c r="D32" s="417">
        <v>2</v>
      </c>
      <c r="E32" s="418">
        <v>3</v>
      </c>
      <c r="F32" s="419">
        <v>4</v>
      </c>
      <c r="G32" s="412">
        <v>2.5</v>
      </c>
      <c r="H32" s="407">
        <v>1.5</v>
      </c>
      <c r="N32" s="400">
        <v>0</v>
      </c>
      <c r="O32" s="416">
        <v>1</v>
      </c>
      <c r="P32" s="417">
        <v>2</v>
      </c>
      <c r="Q32" s="418">
        <v>3</v>
      </c>
      <c r="R32" s="419">
        <v>4</v>
      </c>
      <c r="S32" s="412">
        <v>2.5</v>
      </c>
      <c r="T32" s="407">
        <v>1.5</v>
      </c>
      <c r="AA32" s="400">
        <v>0</v>
      </c>
      <c r="AB32" s="416">
        <v>1</v>
      </c>
      <c r="AC32" s="417">
        <v>2</v>
      </c>
      <c r="AD32" s="418">
        <v>3</v>
      </c>
      <c r="AE32" s="419">
        <v>4</v>
      </c>
      <c r="AF32" s="412">
        <v>2.5</v>
      </c>
      <c r="AG32" s="407">
        <v>1.5</v>
      </c>
      <c r="AM32" s="400">
        <v>0</v>
      </c>
      <c r="AN32" s="416">
        <v>1</v>
      </c>
      <c r="AO32" s="417">
        <v>2</v>
      </c>
      <c r="AP32" s="418">
        <v>3</v>
      </c>
      <c r="AQ32" s="419">
        <v>4</v>
      </c>
      <c r="AR32" s="412">
        <v>5</v>
      </c>
      <c r="AS32" s="407">
        <v>5</v>
      </c>
      <c r="AY32" s="400">
        <v>0</v>
      </c>
      <c r="AZ32" s="416">
        <v>1</v>
      </c>
      <c r="BA32" s="417">
        <v>2</v>
      </c>
      <c r="BB32" s="418">
        <v>3</v>
      </c>
      <c r="BC32" s="419">
        <v>4</v>
      </c>
      <c r="BD32" s="412">
        <v>2.5</v>
      </c>
      <c r="BE32" s="407">
        <v>1.5</v>
      </c>
    </row>
    <row r="33" spans="2:55" x14ac:dyDescent="0.25">
      <c r="B33" s="424">
        <v>1</v>
      </c>
      <c r="C33" s="425">
        <v>5</v>
      </c>
      <c r="D33" s="426">
        <v>6</v>
      </c>
      <c r="E33" s="426">
        <v>7</v>
      </c>
      <c r="F33" s="427">
        <v>8</v>
      </c>
      <c r="N33" s="424">
        <v>1</v>
      </c>
      <c r="O33" s="425">
        <v>5</v>
      </c>
      <c r="P33" s="426">
        <v>6</v>
      </c>
      <c r="Q33" s="426">
        <v>7</v>
      </c>
      <c r="R33" s="427">
        <v>8</v>
      </c>
      <c r="AA33" s="424">
        <v>1</v>
      </c>
      <c r="AB33" s="425">
        <v>5</v>
      </c>
      <c r="AC33" s="426">
        <v>6</v>
      </c>
      <c r="AD33" s="426">
        <v>7</v>
      </c>
      <c r="AE33" s="427">
        <v>8</v>
      </c>
      <c r="AM33" s="424">
        <v>1</v>
      </c>
      <c r="AN33" s="425">
        <v>5</v>
      </c>
      <c r="AO33" s="426">
        <v>6</v>
      </c>
      <c r="AP33" s="426">
        <v>7</v>
      </c>
      <c r="AQ33" s="427">
        <v>8</v>
      </c>
      <c r="AY33" s="424">
        <v>1</v>
      </c>
      <c r="AZ33" s="425">
        <v>5</v>
      </c>
      <c r="BA33" s="426">
        <v>6</v>
      </c>
      <c r="BB33" s="426">
        <v>7</v>
      </c>
      <c r="BC33" s="427">
        <v>8</v>
      </c>
    </row>
    <row r="34" spans="2:55" x14ac:dyDescent="0.25">
      <c r="B34" s="428">
        <v>2</v>
      </c>
      <c r="C34" s="425">
        <v>9</v>
      </c>
      <c r="D34" s="426">
        <v>10</v>
      </c>
      <c r="E34" s="426">
        <v>11</v>
      </c>
      <c r="F34" s="427">
        <v>12</v>
      </c>
      <c r="N34" s="428">
        <v>2</v>
      </c>
      <c r="O34" s="425">
        <v>9</v>
      </c>
      <c r="P34" s="426">
        <v>10</v>
      </c>
      <c r="Q34" s="426">
        <v>11</v>
      </c>
      <c r="R34" s="427">
        <v>12</v>
      </c>
      <c r="AA34" s="428">
        <v>2</v>
      </c>
      <c r="AB34" s="425">
        <v>9</v>
      </c>
      <c r="AC34" s="426">
        <v>10</v>
      </c>
      <c r="AD34" s="426">
        <v>11</v>
      </c>
      <c r="AE34" s="427">
        <v>12</v>
      </c>
      <c r="AM34" s="428">
        <v>2</v>
      </c>
      <c r="AN34" s="425">
        <v>9</v>
      </c>
      <c r="AO34" s="426">
        <v>10</v>
      </c>
      <c r="AP34" s="426">
        <v>11</v>
      </c>
      <c r="AQ34" s="427">
        <v>12</v>
      </c>
      <c r="AY34" s="428">
        <v>2</v>
      </c>
      <c r="AZ34" s="425">
        <v>9</v>
      </c>
      <c r="BA34" s="426">
        <v>10</v>
      </c>
      <c r="BB34" s="426">
        <v>11</v>
      </c>
      <c r="BC34" s="427">
        <v>12</v>
      </c>
    </row>
    <row r="35" spans="2:55" x14ac:dyDescent="0.25">
      <c r="B35" s="428">
        <v>3</v>
      </c>
      <c r="C35" s="425">
        <v>13</v>
      </c>
      <c r="D35" s="426">
        <v>14</v>
      </c>
      <c r="E35" s="426">
        <v>15</v>
      </c>
      <c r="F35" s="427">
        <v>16</v>
      </c>
      <c r="N35" s="428">
        <v>3</v>
      </c>
      <c r="O35" s="425">
        <v>13</v>
      </c>
      <c r="P35" s="426">
        <v>14</v>
      </c>
      <c r="Q35" s="426">
        <v>15</v>
      </c>
      <c r="R35" s="427">
        <v>16</v>
      </c>
      <c r="AA35" s="428">
        <v>3</v>
      </c>
      <c r="AB35" s="425">
        <v>13</v>
      </c>
      <c r="AC35" s="426">
        <v>14</v>
      </c>
      <c r="AD35" s="426">
        <v>15</v>
      </c>
      <c r="AE35" s="427">
        <v>16</v>
      </c>
      <c r="AM35" s="428">
        <v>3</v>
      </c>
      <c r="AN35" s="425">
        <v>13</v>
      </c>
      <c r="AO35" s="426">
        <v>14</v>
      </c>
      <c r="AP35" s="426">
        <v>15</v>
      </c>
      <c r="AQ35" s="427">
        <v>16</v>
      </c>
      <c r="AY35" s="428">
        <v>3</v>
      </c>
      <c r="AZ35" s="425">
        <v>13</v>
      </c>
      <c r="BA35" s="426">
        <v>14</v>
      </c>
      <c r="BB35" s="426">
        <v>15</v>
      </c>
      <c r="BC35" s="427">
        <v>16</v>
      </c>
    </row>
    <row r="36" spans="2:55" x14ac:dyDescent="0.25">
      <c r="B36" s="420">
        <v>4</v>
      </c>
      <c r="C36" s="421">
        <v>17</v>
      </c>
      <c r="D36" s="422">
        <v>18</v>
      </c>
      <c r="E36" s="422">
        <v>19</v>
      </c>
      <c r="F36" s="423">
        <v>20</v>
      </c>
      <c r="N36" s="420">
        <v>4</v>
      </c>
      <c r="O36" s="421">
        <v>17</v>
      </c>
      <c r="P36" s="422">
        <v>18</v>
      </c>
      <c r="Q36" s="422">
        <v>19</v>
      </c>
      <c r="R36" s="423">
        <v>20</v>
      </c>
      <c r="AA36" s="420">
        <v>4</v>
      </c>
      <c r="AB36" s="421">
        <v>17</v>
      </c>
      <c r="AC36" s="422">
        <v>18</v>
      </c>
      <c r="AD36" s="422">
        <v>19</v>
      </c>
      <c r="AE36" s="423">
        <v>20</v>
      </c>
      <c r="AM36" s="420">
        <v>4</v>
      </c>
      <c r="AN36" s="421">
        <v>17</v>
      </c>
      <c r="AO36" s="422">
        <v>18</v>
      </c>
      <c r="AP36" s="422">
        <v>19</v>
      </c>
      <c r="AQ36" s="423">
        <v>20</v>
      </c>
      <c r="AY36" s="420">
        <v>4</v>
      </c>
      <c r="AZ36" s="421">
        <v>17</v>
      </c>
      <c r="BA36" s="422">
        <v>18</v>
      </c>
      <c r="BB36" s="422">
        <v>19</v>
      </c>
      <c r="BC36" s="423">
        <v>20</v>
      </c>
    </row>
  </sheetData>
  <conditionalFormatting sqref="D7:D8">
    <cfRule type="cellIs" dxfId="342" priority="130" stopIfTrue="1" operator="equal">
      <formula>"ERROR"</formula>
    </cfRule>
    <cfRule type="cellIs" dxfId="341" priority="131" stopIfTrue="1" operator="equal">
      <formula>"OK"</formula>
    </cfRule>
    <cfRule type="cellIs" dxfId="340" priority="132" stopIfTrue="1" operator="equal">
      <formula>"WARNING"</formula>
    </cfRule>
  </conditionalFormatting>
  <conditionalFormatting sqref="C4">
    <cfRule type="cellIs" dxfId="339" priority="127" stopIfTrue="1" operator="equal">
      <formula>"ERROR"</formula>
    </cfRule>
    <cfRule type="cellIs" dxfId="338" priority="128" stopIfTrue="1" operator="equal">
      <formula>"OK"</formula>
    </cfRule>
    <cfRule type="cellIs" dxfId="337" priority="129" stopIfTrue="1" operator="equal">
      <formula>"WARNING"</formula>
    </cfRule>
  </conditionalFormatting>
  <conditionalFormatting sqref="C13">
    <cfRule type="cellIs" dxfId="336" priority="124" stopIfTrue="1" operator="equal">
      <formula>"ERROR"</formula>
    </cfRule>
  </conditionalFormatting>
  <conditionalFormatting sqref="C13">
    <cfRule type="cellIs" dxfId="335" priority="125" stopIfTrue="1" operator="equal">
      <formula>"OK"</formula>
    </cfRule>
  </conditionalFormatting>
  <conditionalFormatting sqref="C13">
    <cfRule type="cellIs" dxfId="334" priority="126" stopIfTrue="1" operator="equal">
      <formula>"WARNING"</formula>
    </cfRule>
  </conditionalFormatting>
  <conditionalFormatting sqref="H18">
    <cfRule type="cellIs" dxfId="333" priority="133" stopIfTrue="1" operator="equal">
      <formula>"ERROR"</formula>
    </cfRule>
    <cfRule type="cellIs" dxfId="332" priority="134" stopIfTrue="1" operator="equal">
      <formula>"OK"</formula>
    </cfRule>
    <cfRule type="cellIs" dxfId="331" priority="135" stopIfTrue="1" operator="equal">
      <formula>"WARNING"</formula>
    </cfRule>
  </conditionalFormatting>
  <conditionalFormatting sqref="C25">
    <cfRule type="cellIs" dxfId="330" priority="103" stopIfTrue="1" operator="equal">
      <formula>"ERROR"</formula>
    </cfRule>
  </conditionalFormatting>
  <conditionalFormatting sqref="C25">
    <cfRule type="cellIs" dxfId="329" priority="104" stopIfTrue="1" operator="equal">
      <formula>"OK"</formula>
    </cfRule>
  </conditionalFormatting>
  <conditionalFormatting sqref="C25">
    <cfRule type="cellIs" dxfId="328" priority="105" stopIfTrue="1" operator="equal">
      <formula>"WARNING"</formula>
    </cfRule>
  </conditionalFormatting>
  <conditionalFormatting sqref="P18">
    <cfRule type="cellIs" dxfId="327" priority="34" stopIfTrue="1" operator="equal">
      <formula>"ERROR"</formula>
    </cfRule>
    <cfRule type="cellIs" dxfId="326" priority="35" stopIfTrue="1" operator="equal">
      <formula>"OK"</formula>
    </cfRule>
    <cfRule type="cellIs" dxfId="325" priority="36" stopIfTrue="1" operator="equal">
      <formula>"WARNING"</formula>
    </cfRule>
  </conditionalFormatting>
  <conditionalFormatting sqref="Y18">
    <cfRule type="cellIs" dxfId="324" priority="31" stopIfTrue="1" operator="equal">
      <formula>"ERROR"</formula>
    </cfRule>
    <cfRule type="cellIs" dxfId="323" priority="32" stopIfTrue="1" operator="equal">
      <formula>"OK"</formula>
    </cfRule>
    <cfRule type="cellIs" dxfId="322" priority="33" stopIfTrue="1" operator="equal">
      <formula>"WARNING"</formula>
    </cfRule>
  </conditionalFormatting>
  <conditionalFormatting sqref="AG18">
    <cfRule type="cellIs" dxfId="321" priority="28" stopIfTrue="1" operator="equal">
      <formula>"ERROR"</formula>
    </cfRule>
    <cfRule type="cellIs" dxfId="320" priority="29" stopIfTrue="1" operator="equal">
      <formula>"OK"</formula>
    </cfRule>
    <cfRule type="cellIs" dxfId="319" priority="30" stopIfTrue="1" operator="equal">
      <formula>"WARNING"</formula>
    </cfRule>
  </conditionalFormatting>
  <conditionalFormatting sqref="AO18">
    <cfRule type="cellIs" dxfId="318" priority="25" stopIfTrue="1" operator="equal">
      <formula>"ERROR"</formula>
    </cfRule>
    <cfRule type="cellIs" dxfId="317" priority="26" stopIfTrue="1" operator="equal">
      <formula>"OK"</formula>
    </cfRule>
    <cfRule type="cellIs" dxfId="316" priority="27" stopIfTrue="1" operator="equal">
      <formula>"WARNING"</formula>
    </cfRule>
  </conditionalFormatting>
  <conditionalFormatting sqref="AW18">
    <cfRule type="cellIs" dxfId="315" priority="22" stopIfTrue="1" operator="equal">
      <formula>"ERROR"</formula>
    </cfRule>
    <cfRule type="cellIs" dxfId="314" priority="23" stopIfTrue="1" operator="equal">
      <formula>"OK"</formula>
    </cfRule>
    <cfRule type="cellIs" dxfId="313" priority="24" stopIfTrue="1" operator="equal">
      <formula>"WARNING"</formula>
    </cfRule>
  </conditionalFormatting>
  <conditionalFormatting sqref="BE18">
    <cfRule type="cellIs" dxfId="312" priority="19" stopIfTrue="1" operator="equal">
      <formula>"ERROR"</formula>
    </cfRule>
    <cfRule type="cellIs" dxfId="311" priority="20" stopIfTrue="1" operator="equal">
      <formula>"OK"</formula>
    </cfRule>
    <cfRule type="cellIs" dxfId="310" priority="21" stopIfTrue="1" operator="equal">
      <formula>"WARNING"</formula>
    </cfRule>
  </conditionalFormatting>
  <conditionalFormatting sqref="L30">
    <cfRule type="cellIs" dxfId="309" priority="13" stopIfTrue="1" operator="equal">
      <formula>"ERROR"</formula>
    </cfRule>
    <cfRule type="cellIs" dxfId="308" priority="14" stopIfTrue="1" operator="equal">
      <formula>"OK"</formula>
    </cfRule>
    <cfRule type="cellIs" dxfId="307" priority="15" stopIfTrue="1" operator="equal">
      <formula>"WARNING"</formula>
    </cfRule>
  </conditionalFormatting>
  <conditionalFormatting sqref="Y30">
    <cfRule type="cellIs" dxfId="306" priority="10" stopIfTrue="1" operator="equal">
      <formula>"ERROR"</formula>
    </cfRule>
    <cfRule type="cellIs" dxfId="305" priority="11" stopIfTrue="1" operator="equal">
      <formula>"OK"</formula>
    </cfRule>
    <cfRule type="cellIs" dxfId="304" priority="12" stopIfTrue="1" operator="equal">
      <formula>"WARNING"</formula>
    </cfRule>
  </conditionalFormatting>
  <conditionalFormatting sqref="AK30">
    <cfRule type="cellIs" dxfId="303" priority="7" stopIfTrue="1" operator="equal">
      <formula>"ERROR"</formula>
    </cfRule>
    <cfRule type="cellIs" dxfId="302" priority="8" stopIfTrue="1" operator="equal">
      <formula>"OK"</formula>
    </cfRule>
    <cfRule type="cellIs" dxfId="301" priority="9" stopIfTrue="1" operator="equal">
      <formula>"WARNING"</formula>
    </cfRule>
  </conditionalFormatting>
  <conditionalFormatting sqref="AW30">
    <cfRule type="cellIs" dxfId="300" priority="4" stopIfTrue="1" operator="equal">
      <formula>"ERROR"</formula>
    </cfRule>
    <cfRule type="cellIs" dxfId="299" priority="5" stopIfTrue="1" operator="equal">
      <formula>"OK"</formula>
    </cfRule>
    <cfRule type="cellIs" dxfId="298" priority="6" stopIfTrue="1" operator="equal">
      <formula>"WARNING"</formula>
    </cfRule>
  </conditionalFormatting>
  <conditionalFormatting sqref="BI30">
    <cfRule type="cellIs" dxfId="297" priority="1" stopIfTrue="1" operator="equal">
      <formula>"ERROR"</formula>
    </cfRule>
    <cfRule type="cellIs" dxfId="296" priority="2" stopIfTrue="1" operator="equal">
      <formula>"OK"</formula>
    </cfRule>
    <cfRule type="cellIs" dxfId="295" priority="3" stopIfTrue="1" operator="equal">
      <formula>"WARNING"</formula>
    </cfRule>
  </conditionalFormatting>
  <hyperlinks>
    <hyperlink ref="B7:C7" location="$B$11" display="$B$11" xr:uid="{92F72A9F-FAB0-4966-8F2C-DF45842AFE3F}"/>
    <hyperlink ref="B8:C8" location="$B$23" display="$B$23" xr:uid="{D74171B0-8728-49AC-883A-1937632D3B2D}"/>
    <hyperlink ref="B1" location="Summary!A1" display="Summary!A1" xr:uid="{78E98E84-6F6D-4905-9487-3CA035F51CB2}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1E851-DB09-441D-8C15-60F1E0E84F32}">
  <sheetPr codeName="Sheet15">
    <tabColor theme="4" tint="-0.499984740745262"/>
  </sheetPr>
  <dimension ref="A1:AL87"/>
  <sheetViews>
    <sheetView showGridLines="0" topLeftCell="A10" zoomScaleNormal="100" workbookViewId="0">
      <selection activeCell="H15" sqref="H15"/>
    </sheetView>
  </sheetViews>
  <sheetFormatPr defaultColWidth="14.75" defaultRowHeight="15" x14ac:dyDescent="0.25"/>
  <cols>
    <col min="1" max="1" width="3.75" customWidth="1"/>
    <col min="20" max="21" width="35.5" bestFit="1" customWidth="1"/>
    <col min="24" max="24" width="31.625" bestFit="1" customWidth="1"/>
    <col min="25" max="27" width="29" bestFit="1" customWidth="1"/>
    <col min="28" max="29" width="38.375" bestFit="1" customWidth="1"/>
    <col min="30" max="30" width="29" bestFit="1" customWidth="1"/>
    <col min="31" max="31" width="14.75" customWidth="1"/>
    <col min="33" max="33" width="14.75" customWidth="1"/>
    <col min="36" max="37" width="42.875" bestFit="1" customWidth="1"/>
  </cols>
  <sheetData>
    <row r="1" spans="1:38" x14ac:dyDescent="0.25">
      <c r="B1" s="479" t="s">
        <v>429</v>
      </c>
    </row>
    <row r="2" spans="1:38" ht="26.25" x14ac:dyDescent="0.4">
      <c r="B2" s="2" t="s">
        <v>397</v>
      </c>
      <c r="C2" s="373"/>
      <c r="D2" s="373"/>
      <c r="E2" s="373"/>
      <c r="F2" s="373"/>
      <c r="G2" s="373"/>
      <c r="H2" s="373"/>
      <c r="I2" s="373"/>
      <c r="J2" s="373"/>
      <c r="K2" s="373"/>
      <c r="L2" s="373"/>
      <c r="M2" s="373"/>
      <c r="N2" s="373"/>
      <c r="O2" s="373"/>
      <c r="P2" s="373"/>
      <c r="Q2" s="373"/>
      <c r="R2" s="373"/>
      <c r="S2" s="373"/>
      <c r="T2" s="373"/>
      <c r="U2" s="373"/>
      <c r="V2" s="373"/>
      <c r="W2" s="373"/>
      <c r="X2" s="373"/>
      <c r="Y2" s="373"/>
      <c r="Z2" s="373"/>
      <c r="AA2" s="373"/>
      <c r="AB2" s="373"/>
      <c r="AC2" s="373"/>
      <c r="AD2" s="373"/>
      <c r="AE2" s="373"/>
      <c r="AF2" s="373"/>
      <c r="AG2" s="373"/>
      <c r="AH2" s="373"/>
      <c r="AI2" s="373"/>
      <c r="AJ2" s="373"/>
      <c r="AK2" s="373"/>
      <c r="AL2" s="373"/>
    </row>
    <row r="4" spans="1:38" x14ac:dyDescent="0.25">
      <c r="B4" s="59" t="s">
        <v>163</v>
      </c>
      <c r="C4" s="368" t="str" cm="1">
        <f t="array" ref="C4">_xll.d.TestUtils_And(D7:D8)</f>
        <v>Ok</v>
      </c>
      <c r="D4" s="366"/>
      <c r="E4" s="366"/>
      <c r="F4" s="366"/>
      <c r="G4" s="366"/>
      <c r="H4" s="366"/>
      <c r="I4" s="366"/>
      <c r="J4" s="366"/>
      <c r="K4" s="366"/>
      <c r="L4" s="366"/>
      <c r="M4" s="366"/>
      <c r="N4" s="366"/>
      <c r="O4" s="366"/>
      <c r="P4" s="366"/>
      <c r="Q4" s="366"/>
      <c r="R4" s="366"/>
      <c r="S4" s="366"/>
      <c r="T4" s="366"/>
      <c r="U4" s="366"/>
      <c r="V4" s="366"/>
      <c r="W4" s="366"/>
      <c r="X4" s="366"/>
      <c r="Y4" s="366"/>
      <c r="Z4" s="366"/>
      <c r="AA4" s="366"/>
      <c r="AB4" s="366"/>
      <c r="AC4" s="366"/>
    </row>
    <row r="6" spans="1:38" x14ac:dyDescent="0.25">
      <c r="B6" s="220" t="s">
        <v>238</v>
      </c>
      <c r="C6" s="220"/>
      <c r="D6" s="221" t="s">
        <v>10</v>
      </c>
      <c r="E6" s="366"/>
      <c r="F6" s="366"/>
      <c r="G6" s="366"/>
      <c r="H6" s="366"/>
      <c r="I6" s="366"/>
      <c r="J6" s="366"/>
      <c r="K6" s="366"/>
      <c r="L6" s="366"/>
      <c r="M6" s="366"/>
      <c r="N6" s="366"/>
      <c r="O6" s="366"/>
      <c r="P6" s="366"/>
      <c r="Q6" s="366"/>
      <c r="R6" s="366"/>
      <c r="S6" s="366"/>
      <c r="T6" s="366"/>
      <c r="U6" s="366"/>
      <c r="V6" s="366"/>
      <c r="W6" s="366"/>
      <c r="X6" s="366"/>
      <c r="Y6" s="366"/>
      <c r="Z6" s="366"/>
      <c r="AA6" s="366"/>
      <c r="AB6" s="366"/>
      <c r="AC6" s="366"/>
    </row>
    <row r="7" spans="1:38" x14ac:dyDescent="0.25">
      <c r="B7" s="478" t="s">
        <v>398</v>
      </c>
      <c r="C7" s="233"/>
      <c r="D7" s="368" t="str">
        <f>C14</f>
        <v>Ok</v>
      </c>
      <c r="E7" s="366"/>
      <c r="F7" s="366"/>
      <c r="G7" s="366"/>
      <c r="H7" s="366"/>
      <c r="I7" s="366"/>
      <c r="J7" s="366"/>
      <c r="K7" s="366"/>
      <c r="L7" s="366"/>
      <c r="M7" s="366"/>
      <c r="N7" s="366"/>
      <c r="O7" s="366"/>
      <c r="P7" s="366"/>
      <c r="Q7" s="366"/>
      <c r="R7" s="366"/>
      <c r="S7" s="366"/>
      <c r="T7" s="366"/>
      <c r="U7" s="366"/>
      <c r="V7" s="366"/>
      <c r="W7" s="366"/>
      <c r="X7" s="366"/>
      <c r="Y7" s="366"/>
      <c r="Z7" s="366"/>
      <c r="AA7" s="366"/>
      <c r="AB7" s="366"/>
      <c r="AC7" s="366"/>
    </row>
    <row r="8" spans="1:38" x14ac:dyDescent="0.25">
      <c r="B8" s="478" t="s">
        <v>399</v>
      </c>
      <c r="C8" s="233"/>
      <c r="D8" s="368" t="str">
        <f>C27</f>
        <v>Ok</v>
      </c>
      <c r="E8" s="366"/>
      <c r="F8" s="366"/>
      <c r="G8" s="366"/>
      <c r="H8" s="366"/>
      <c r="I8" s="366"/>
      <c r="J8" s="366"/>
      <c r="K8" s="366"/>
      <c r="L8" s="366"/>
      <c r="M8" s="366"/>
      <c r="N8" s="366"/>
      <c r="O8" s="366"/>
      <c r="P8" s="366"/>
      <c r="Q8" s="366"/>
      <c r="R8" s="366"/>
      <c r="S8" s="366"/>
      <c r="T8" s="366"/>
      <c r="U8" s="366"/>
      <c r="V8" s="366"/>
      <c r="W8" s="366"/>
      <c r="X8" s="366"/>
      <c r="Y8" s="366"/>
      <c r="Z8" s="366"/>
      <c r="AA8" s="366"/>
      <c r="AB8" s="366"/>
      <c r="AC8" s="366"/>
    </row>
    <row r="9" spans="1:38" x14ac:dyDescent="0.25">
      <c r="B9" s="478" t="s">
        <v>400</v>
      </c>
      <c r="C9" s="233"/>
      <c r="D9" s="368" t="str">
        <f ca="1">C43</f>
        <v>Ok</v>
      </c>
      <c r="E9" s="366"/>
      <c r="F9" s="366"/>
      <c r="G9" s="366"/>
      <c r="H9" s="366"/>
      <c r="I9" s="366"/>
      <c r="J9" s="366"/>
      <c r="K9" s="366"/>
      <c r="L9" s="366"/>
      <c r="M9" s="366"/>
      <c r="N9" s="366"/>
      <c r="O9" s="366"/>
      <c r="P9" s="366"/>
      <c r="Q9" s="366"/>
      <c r="R9" s="366"/>
      <c r="S9" s="366"/>
      <c r="T9" s="366"/>
      <c r="U9" s="366"/>
      <c r="V9" s="366"/>
      <c r="W9" s="366"/>
      <c r="X9" s="366"/>
      <c r="Y9" s="366"/>
      <c r="Z9" s="366"/>
      <c r="AA9" s="366"/>
      <c r="AB9" s="366"/>
      <c r="AC9" s="366"/>
    </row>
    <row r="12" spans="1:38" s="366" customFormat="1" ht="18.75" x14ac:dyDescent="0.3">
      <c r="A12"/>
      <c r="B12" s="3" t="s">
        <v>398</v>
      </c>
      <c r="C12" s="374"/>
      <c r="D12" s="374"/>
      <c r="E12" s="374"/>
      <c r="F12" s="374"/>
      <c r="G12" s="374"/>
      <c r="H12" s="374"/>
      <c r="I12" s="374"/>
      <c r="J12" s="374"/>
      <c r="K12" s="374"/>
      <c r="L12" s="374"/>
      <c r="M12" s="374"/>
      <c r="N12" s="374"/>
      <c r="O12" s="374"/>
      <c r="P12" s="374"/>
      <c r="Q12" s="374"/>
      <c r="R12" s="374"/>
      <c r="S12" s="374"/>
      <c r="T12" s="374"/>
      <c r="U12" s="374"/>
      <c r="V12" s="374"/>
      <c r="W12" s="374"/>
      <c r="X12" s="374"/>
      <c r="Y12" s="374"/>
      <c r="Z12" s="374"/>
      <c r="AA12" s="374"/>
      <c r="AB12" s="374"/>
      <c r="AC12" s="374"/>
      <c r="AD12" s="374"/>
      <c r="AE12" s="374"/>
      <c r="AF12" s="374"/>
      <c r="AG12" s="374"/>
      <c r="AH12" s="374"/>
      <c r="AI12" s="374"/>
      <c r="AJ12" s="374"/>
      <c r="AK12" s="374"/>
      <c r="AL12" s="374"/>
    </row>
    <row r="14" spans="1:38" x14ac:dyDescent="0.25">
      <c r="B14" s="59" t="s">
        <v>163</v>
      </c>
      <c r="C14" s="368" t="str" cm="1">
        <f t="array" ref="C14">_xll.d.TestUtils_And(L19:N21,V19,AD19,AL19)</f>
        <v>Ok</v>
      </c>
      <c r="D14" s="366"/>
      <c r="E14" s="366"/>
      <c r="F14" s="366"/>
      <c r="G14" s="366"/>
      <c r="H14" s="366"/>
      <c r="I14" s="366"/>
      <c r="J14" s="366"/>
      <c r="K14" s="366"/>
    </row>
    <row r="15" spans="1:38" x14ac:dyDescent="0.25">
      <c r="B15" s="366"/>
      <c r="C15" s="366"/>
      <c r="D15" s="366"/>
      <c r="E15" s="366"/>
      <c r="F15" s="366"/>
      <c r="G15" s="366"/>
      <c r="H15" s="366"/>
      <c r="I15" s="367"/>
      <c r="J15" s="367"/>
      <c r="K15" s="367"/>
    </row>
    <row r="16" spans="1:38" ht="15.75" x14ac:dyDescent="0.25">
      <c r="B16" s="4" t="s">
        <v>401</v>
      </c>
      <c r="C16" s="375"/>
      <c r="D16" s="375"/>
      <c r="E16" s="375"/>
      <c r="F16" s="375"/>
      <c r="G16" s="375"/>
      <c r="H16" s="375"/>
      <c r="I16" s="375"/>
      <c r="J16" s="375"/>
      <c r="K16" s="375"/>
      <c r="L16" s="375"/>
      <c r="M16" s="375"/>
      <c r="N16" s="375"/>
      <c r="P16" s="4" t="s">
        <v>404</v>
      </c>
      <c r="Q16" s="375"/>
      <c r="R16" s="375"/>
      <c r="S16" s="375"/>
      <c r="T16" s="375"/>
      <c r="U16" s="375"/>
      <c r="V16" s="375"/>
      <c r="X16" s="4" t="s">
        <v>407</v>
      </c>
      <c r="Y16" s="375"/>
      <c r="Z16" s="375"/>
      <c r="AA16" s="375"/>
      <c r="AB16" s="375"/>
      <c r="AC16" s="375"/>
      <c r="AD16" s="375"/>
      <c r="AF16" s="4" t="s">
        <v>408</v>
      </c>
      <c r="AG16" s="375"/>
      <c r="AH16" s="375"/>
      <c r="AI16" s="375"/>
      <c r="AJ16" s="375"/>
      <c r="AK16" s="375"/>
      <c r="AL16" s="375"/>
    </row>
    <row r="17" spans="2:38" x14ac:dyDescent="0.25">
      <c r="B17" s="366"/>
      <c r="C17" s="366"/>
      <c r="D17" s="366"/>
      <c r="E17" s="366"/>
      <c r="F17" s="366"/>
      <c r="G17" s="366"/>
      <c r="H17" s="366"/>
      <c r="I17" s="367"/>
      <c r="J17" s="367"/>
      <c r="K17" s="367"/>
      <c r="P17" s="366"/>
      <c r="Q17" s="366"/>
      <c r="R17" s="366"/>
      <c r="S17" s="366"/>
      <c r="T17" s="366"/>
      <c r="U17" s="367"/>
      <c r="X17" s="366"/>
      <c r="Y17" s="366"/>
      <c r="Z17" s="366"/>
      <c r="AA17" s="366"/>
      <c r="AB17" s="366"/>
      <c r="AC17" s="367"/>
      <c r="AF17" s="366"/>
      <c r="AG17" s="366"/>
      <c r="AH17" s="366"/>
      <c r="AI17" s="366"/>
      <c r="AJ17" s="366"/>
      <c r="AK17" s="367"/>
    </row>
    <row r="18" spans="2:38" x14ac:dyDescent="0.25">
      <c r="B18" s="134" t="s">
        <v>256</v>
      </c>
      <c r="C18" s="223"/>
      <c r="D18" s="135"/>
      <c r="F18" s="134" t="s">
        <v>137</v>
      </c>
      <c r="G18" s="134"/>
      <c r="H18" s="134"/>
      <c r="I18" s="134" t="s">
        <v>258</v>
      </c>
      <c r="J18" s="134"/>
      <c r="K18" s="134"/>
      <c r="L18" s="134" t="s">
        <v>85</v>
      </c>
      <c r="M18" s="410"/>
      <c r="N18" s="410"/>
      <c r="P18" s="134" t="s">
        <v>256</v>
      </c>
      <c r="Q18" s="223"/>
      <c r="R18" s="135"/>
      <c r="T18" s="134" t="s">
        <v>137</v>
      </c>
      <c r="U18" s="134" t="s">
        <v>258</v>
      </c>
      <c r="V18" s="134" t="s">
        <v>85</v>
      </c>
      <c r="X18" s="134" t="s">
        <v>256</v>
      </c>
      <c r="Y18" s="223"/>
      <c r="Z18" s="135"/>
      <c r="AB18" s="134" t="s">
        <v>137</v>
      </c>
      <c r="AC18" s="134" t="s">
        <v>258</v>
      </c>
      <c r="AD18" s="134" t="s">
        <v>85</v>
      </c>
      <c r="AF18" s="134" t="s">
        <v>256</v>
      </c>
      <c r="AG18" s="223"/>
      <c r="AH18" s="135"/>
      <c r="AJ18" s="134" t="s">
        <v>137</v>
      </c>
      <c r="AK18" s="134" t="s">
        <v>258</v>
      </c>
      <c r="AL18" s="134" t="s">
        <v>85</v>
      </c>
    </row>
    <row r="19" spans="2:38" x14ac:dyDescent="0.25">
      <c r="B19" s="430" t="s">
        <v>402</v>
      </c>
      <c r="C19" s="431"/>
      <c r="D19" s="432"/>
      <c r="F19" s="429">
        <f t="array" ref="F19:H21">_xll.d.Stats_Cholesky(B20:D22)</f>
        <v>1</v>
      </c>
      <c r="G19" s="325">
        <v>0</v>
      </c>
      <c r="H19" s="326">
        <v>0</v>
      </c>
      <c r="I19" s="429">
        <v>1</v>
      </c>
      <c r="J19" s="325">
        <v>0</v>
      </c>
      <c r="K19" s="326">
        <v>0</v>
      </c>
      <c r="L19" s="378" t="str" cm="1">
        <f t="array" ref="L19">_xll.d.TestUtils_Equal(F19,I19)</f>
        <v>Ok</v>
      </c>
      <c r="M19" s="378" t="str" cm="1">
        <f t="array" ref="M19">_xll.d.TestUtils_Equal(G19,J19)</f>
        <v>Ok</v>
      </c>
      <c r="N19" s="378" t="str" cm="1">
        <f t="array" ref="N19">_xll.d.TestUtils_Equal(H19,K19)</f>
        <v>Ok</v>
      </c>
      <c r="P19" s="430" t="s">
        <v>402</v>
      </c>
      <c r="Q19" s="431"/>
      <c r="R19" s="432"/>
      <c r="T19" s="439" t="str" cm="1">
        <f t="array" ref="T19">_xll.d.Stats_Cholesky(P20:R21)</f>
        <v>#∂Excel Error: Matrix supplied is not square.</v>
      </c>
      <c r="U19" s="439" t="s">
        <v>403</v>
      </c>
      <c r="V19" s="378" t="str" cm="1">
        <f t="array" ref="V19">_xll.d.TestUtils_Equal(T19,U19)</f>
        <v>Ok</v>
      </c>
      <c r="X19" s="430" t="s">
        <v>402</v>
      </c>
      <c r="Y19" s="431"/>
      <c r="Z19" s="432"/>
      <c r="AB19" s="439" t="str" cm="1">
        <f t="array" ref="AB19">_xll.d.Stats_Cholesky(X20:Z22)</f>
        <v>#∂Excel Error: Matrix supplied is not symmetric.</v>
      </c>
      <c r="AC19" s="439" t="s">
        <v>405</v>
      </c>
      <c r="AD19" s="378" t="str" cm="1">
        <f t="array" ref="AD19">_xll.d.TestUtils_Equal(AB19,AC19)</f>
        <v>Ok</v>
      </c>
      <c r="AF19" s="430" t="s">
        <v>402</v>
      </c>
      <c r="AG19" s="431"/>
      <c r="AH19" s="432"/>
      <c r="AJ19" s="439" t="str" cm="1">
        <f t="array" ref="AJ19">_xll.d.Stats_Cholesky(AF20:AH22)</f>
        <v>#∂Excel Error: Matrix supplied is not positive-definite.</v>
      </c>
      <c r="AK19" s="439" t="s">
        <v>406</v>
      </c>
      <c r="AL19" s="378" t="str" cm="1">
        <f t="array" ref="AL19">_xll.d.TestUtils_Equal(AJ19,AK19)</f>
        <v>Ok</v>
      </c>
    </row>
    <row r="20" spans="2:38" x14ac:dyDescent="0.25">
      <c r="B20" s="429">
        <v>1</v>
      </c>
      <c r="C20" s="325">
        <v>0.75</v>
      </c>
      <c r="D20" s="326">
        <v>0.5</v>
      </c>
      <c r="E20" s="366"/>
      <c r="F20" s="436">
        <v>0.75</v>
      </c>
      <c r="G20" s="437">
        <v>0.66143782776614768</v>
      </c>
      <c r="H20" s="438">
        <v>0</v>
      </c>
      <c r="I20" s="436">
        <v>0.75</v>
      </c>
      <c r="J20" s="437">
        <v>0.66143782776614768</v>
      </c>
      <c r="K20" s="438">
        <v>0</v>
      </c>
      <c r="L20" s="378" t="str" cm="1">
        <f t="array" ref="L20">_xll.d.TestUtils_Equal(F20,I20)</f>
        <v>Ok</v>
      </c>
      <c r="M20" s="378" t="str" cm="1">
        <f t="array" ref="M20">_xll.d.TestUtils_Equal(G20,J20)</f>
        <v>Ok</v>
      </c>
      <c r="N20" s="378" t="str" cm="1">
        <f t="array" ref="N20">_xll.d.TestUtils_Equal(H20,K20)</f>
        <v>Ok</v>
      </c>
      <c r="P20" s="429">
        <v>1</v>
      </c>
      <c r="Q20" s="325">
        <v>0.75</v>
      </c>
      <c r="R20" s="326">
        <v>0.5</v>
      </c>
      <c r="S20" s="366"/>
      <c r="X20" s="429">
        <v>1</v>
      </c>
      <c r="Y20" s="325">
        <v>0.75</v>
      </c>
      <c r="Z20" s="326">
        <v>10</v>
      </c>
      <c r="AA20" s="366"/>
      <c r="AF20" s="429">
        <v>1</v>
      </c>
      <c r="AG20" s="325">
        <v>2</v>
      </c>
      <c r="AH20" s="326">
        <v>3</v>
      </c>
      <c r="AI20" s="366"/>
    </row>
    <row r="21" spans="2:38" x14ac:dyDescent="0.25">
      <c r="B21" s="436">
        <v>0.75</v>
      </c>
      <c r="C21" s="437">
        <v>1</v>
      </c>
      <c r="D21" s="438">
        <v>0.75</v>
      </c>
      <c r="E21" s="366"/>
      <c r="F21" s="433">
        <v>0.5</v>
      </c>
      <c r="G21" s="434">
        <v>0.56694670951384085</v>
      </c>
      <c r="H21" s="435">
        <v>0.65465367070797709</v>
      </c>
      <c r="I21" s="433">
        <v>0.5</v>
      </c>
      <c r="J21" s="434">
        <v>0.56694670951384085</v>
      </c>
      <c r="K21" s="435">
        <v>0.65465367070797709</v>
      </c>
      <c r="L21" s="378" t="str" cm="1">
        <f t="array" ref="L21">_xll.d.TestUtils_Equal(F21,I21)</f>
        <v>Ok</v>
      </c>
      <c r="M21" s="378" t="str" cm="1">
        <f t="array" ref="M21">_xll.d.TestUtils_Equal(G21,J21)</f>
        <v>Ok</v>
      </c>
      <c r="N21" s="378" t="str" cm="1">
        <f t="array" ref="N21">_xll.d.TestUtils_Equal(H21,K21)</f>
        <v>Ok</v>
      </c>
      <c r="P21" s="433">
        <v>0.75</v>
      </c>
      <c r="Q21" s="434">
        <v>1</v>
      </c>
      <c r="R21" s="435">
        <v>0.75</v>
      </c>
      <c r="S21" s="366"/>
      <c r="X21" s="436">
        <v>0.75</v>
      </c>
      <c r="Y21" s="437">
        <v>1</v>
      </c>
      <c r="Z21" s="438">
        <v>0.75</v>
      </c>
      <c r="AA21" s="366"/>
      <c r="AF21" s="436">
        <v>2</v>
      </c>
      <c r="AG21" s="437">
        <v>3</v>
      </c>
      <c r="AH21" s="438">
        <v>4</v>
      </c>
      <c r="AI21" s="366"/>
    </row>
    <row r="22" spans="2:38" x14ac:dyDescent="0.25">
      <c r="B22" s="433">
        <v>0.5</v>
      </c>
      <c r="C22" s="434">
        <v>0.75</v>
      </c>
      <c r="D22" s="435">
        <v>1</v>
      </c>
      <c r="X22" s="433">
        <v>0.5</v>
      </c>
      <c r="Y22" s="434">
        <v>0.75</v>
      </c>
      <c r="Z22" s="435">
        <v>1</v>
      </c>
      <c r="AF22" s="433">
        <v>3</v>
      </c>
      <c r="AG22" s="434">
        <v>4</v>
      </c>
      <c r="AH22" s="435">
        <v>5</v>
      </c>
    </row>
    <row r="25" spans="2:38" ht="18.75" x14ac:dyDescent="0.3">
      <c r="B25" s="3" t="s">
        <v>399</v>
      </c>
      <c r="C25" s="374"/>
      <c r="D25" s="374"/>
      <c r="E25" s="374"/>
      <c r="F25" s="374"/>
      <c r="G25" s="374"/>
      <c r="H25" s="374"/>
      <c r="I25" s="374"/>
      <c r="J25" s="374"/>
      <c r="K25" s="374"/>
      <c r="L25" s="374"/>
      <c r="M25" s="374"/>
      <c r="N25" s="374"/>
      <c r="O25" s="374"/>
      <c r="P25" s="374"/>
      <c r="Q25" s="374"/>
      <c r="R25" s="374"/>
      <c r="S25" s="374"/>
      <c r="T25" s="374"/>
      <c r="U25" s="374"/>
      <c r="V25" s="374"/>
      <c r="W25" s="374"/>
      <c r="X25" s="374"/>
      <c r="Y25" s="374"/>
      <c r="Z25" s="374"/>
      <c r="AA25" s="374"/>
      <c r="AB25" s="374"/>
      <c r="AC25" s="374"/>
      <c r="AD25" s="374"/>
      <c r="AE25" s="374"/>
      <c r="AF25" s="374"/>
      <c r="AG25" s="374"/>
      <c r="AH25" s="374"/>
      <c r="AI25" s="374"/>
      <c r="AJ25" s="374"/>
      <c r="AK25" s="374"/>
      <c r="AL25" s="374"/>
    </row>
    <row r="27" spans="2:38" x14ac:dyDescent="0.25">
      <c r="B27" s="59" t="s">
        <v>163</v>
      </c>
      <c r="C27" s="368" t="str" cm="1">
        <f t="array" ref="C27">_xll.d.TestUtils_And(L33:M34,AB33:AD35)</f>
        <v>Ok</v>
      </c>
      <c r="D27" s="366"/>
      <c r="E27" s="366"/>
      <c r="F27" s="366"/>
      <c r="G27" s="366"/>
      <c r="H27" s="366"/>
      <c r="I27" s="366"/>
      <c r="J27" s="366"/>
      <c r="K27" s="366"/>
    </row>
    <row r="28" spans="2:38" x14ac:dyDescent="0.25">
      <c r="B28" s="366"/>
      <c r="C28" s="366"/>
      <c r="D28" s="366"/>
      <c r="E28" s="366"/>
      <c r="F28" s="366"/>
      <c r="G28" s="366"/>
      <c r="H28" s="366"/>
      <c r="I28" s="367"/>
      <c r="J28" s="367"/>
      <c r="K28" s="367"/>
    </row>
    <row r="29" spans="2:38" ht="15.75" x14ac:dyDescent="0.25">
      <c r="B29" s="4" t="s">
        <v>409</v>
      </c>
      <c r="C29" s="375"/>
      <c r="D29" s="375"/>
      <c r="E29" s="375"/>
      <c r="F29" s="375"/>
      <c r="G29" s="375"/>
      <c r="H29" s="375"/>
      <c r="I29" s="375"/>
      <c r="J29" s="375"/>
      <c r="K29" s="375"/>
      <c r="L29" s="375"/>
      <c r="M29" s="375"/>
      <c r="O29" s="4" t="s">
        <v>411</v>
      </c>
      <c r="P29" s="375"/>
      <c r="Q29" s="375"/>
      <c r="R29" s="375"/>
      <c r="S29" s="375"/>
      <c r="T29" s="375"/>
      <c r="U29" s="375"/>
      <c r="V29" s="375"/>
      <c r="W29" s="375"/>
      <c r="X29" s="375"/>
      <c r="Y29" s="375"/>
      <c r="Z29" s="375"/>
    </row>
    <row r="30" spans="2:38" x14ac:dyDescent="0.25">
      <c r="B30" s="366"/>
      <c r="C30" s="366"/>
      <c r="D30" s="366"/>
      <c r="E30" s="366"/>
      <c r="F30" s="366"/>
      <c r="G30" s="366"/>
      <c r="H30" s="366"/>
      <c r="I30" s="367"/>
      <c r="J30" s="367"/>
      <c r="K30" s="367"/>
      <c r="O30" s="366"/>
      <c r="P30" s="366"/>
      <c r="Q30" s="366"/>
      <c r="R30" s="366"/>
      <c r="S30" s="366"/>
      <c r="T30" s="366"/>
      <c r="U30" s="366"/>
      <c r="V30" s="367"/>
      <c r="W30" s="367"/>
      <c r="X30" s="367"/>
    </row>
    <row r="31" spans="2:38" x14ac:dyDescent="0.25">
      <c r="B31" s="134" t="s">
        <v>256</v>
      </c>
      <c r="C31" s="223"/>
      <c r="E31" s="134" t="s">
        <v>137</v>
      </c>
      <c r="F31" s="134"/>
      <c r="G31" s="134"/>
      <c r="H31" s="134" t="s">
        <v>258</v>
      </c>
      <c r="I31" s="134"/>
      <c r="J31" s="134"/>
      <c r="K31" s="134" t="s">
        <v>85</v>
      </c>
      <c r="L31" s="410"/>
      <c r="M31" s="410"/>
      <c r="O31" s="134" t="s">
        <v>256</v>
      </c>
      <c r="P31" s="223"/>
      <c r="Q31" s="410"/>
      <c r="S31" s="134" t="s">
        <v>137</v>
      </c>
      <c r="T31" s="134"/>
      <c r="U31" s="134"/>
      <c r="V31" s="134"/>
      <c r="W31" s="134" t="s">
        <v>258</v>
      </c>
      <c r="X31" s="134"/>
      <c r="Y31" s="134"/>
      <c r="Z31" s="134"/>
      <c r="AA31" s="134" t="s">
        <v>85</v>
      </c>
      <c r="AB31" s="410"/>
      <c r="AC31" s="410"/>
      <c r="AD31" s="410"/>
    </row>
    <row r="32" spans="2:38" x14ac:dyDescent="0.25">
      <c r="B32" s="440" t="s">
        <v>385</v>
      </c>
      <c r="C32" s="441" t="s">
        <v>384</v>
      </c>
      <c r="E32" s="455"/>
      <c r="F32" s="453" t="s">
        <v>385</v>
      </c>
      <c r="G32" s="364" t="s">
        <v>384</v>
      </c>
      <c r="H32" s="455"/>
      <c r="I32" s="453" t="s">
        <v>385</v>
      </c>
      <c r="J32" s="364" t="s">
        <v>384</v>
      </c>
      <c r="K32" s="455"/>
      <c r="L32" s="453" t="s">
        <v>385</v>
      </c>
      <c r="M32" s="364" t="s">
        <v>384</v>
      </c>
      <c r="O32" s="440" t="s">
        <v>385</v>
      </c>
      <c r="P32" s="463" t="s">
        <v>384</v>
      </c>
      <c r="Q32" s="462" t="s">
        <v>410</v>
      </c>
      <c r="S32" s="455"/>
      <c r="T32" s="453" t="s">
        <v>385</v>
      </c>
      <c r="U32" s="466" t="s">
        <v>384</v>
      </c>
      <c r="V32" s="464" t="s">
        <v>410</v>
      </c>
      <c r="W32" s="455"/>
      <c r="X32" s="453" t="s">
        <v>385</v>
      </c>
      <c r="Y32" s="466" t="s">
        <v>384</v>
      </c>
      <c r="Z32" s="464" t="s">
        <v>410</v>
      </c>
      <c r="AA32" s="455"/>
      <c r="AB32" s="453" t="s">
        <v>385</v>
      </c>
      <c r="AC32" s="466" t="s">
        <v>384</v>
      </c>
      <c r="AD32" s="464" t="s">
        <v>410</v>
      </c>
    </row>
    <row r="33" spans="2:38" x14ac:dyDescent="0.25">
      <c r="B33" s="442">
        <v>1</v>
      </c>
      <c r="C33" s="443">
        <v>0.5</v>
      </c>
      <c r="D33" s="366"/>
      <c r="E33" s="454" t="s">
        <v>385</v>
      </c>
      <c r="F33" s="449" cm="1">
        <f t="array" ref="F33:G34">_xll.d.Stats_CorrelationMatrix(B33:C38)</f>
        <v>1</v>
      </c>
      <c r="G33" s="448">
        <v>0.9855793842654561</v>
      </c>
      <c r="H33" s="454" t="s">
        <v>385</v>
      </c>
      <c r="I33" s="449">
        <f>CORREL(B33:B38,B33:B38)</f>
        <v>1</v>
      </c>
      <c r="J33" s="448">
        <f>CORREL(B33:B38,C33:C38)</f>
        <v>0.98557938426545633</v>
      </c>
      <c r="K33" s="454" t="s">
        <v>385</v>
      </c>
      <c r="L33" s="378" t="str" cm="1">
        <f t="array" ref="L33">_xll.d.TestUtils_Equal(F33,I33)</f>
        <v>Ok</v>
      </c>
      <c r="M33" s="378" t="str" cm="1">
        <f t="array" ref="M33">_xll.d.TestUtils_Equal(G33,J33)</f>
        <v>Ok</v>
      </c>
      <c r="O33" s="442">
        <v>1</v>
      </c>
      <c r="P33" s="459">
        <v>0.5</v>
      </c>
      <c r="Q33" s="456">
        <v>6.5</v>
      </c>
      <c r="R33" s="366"/>
      <c r="S33" s="454" t="s">
        <v>385</v>
      </c>
      <c r="T33" s="449" cm="1">
        <f t="array" ref="T33:V35">_xll.d.Stats_CorrelationMatrix(O33:Q38)</f>
        <v>1</v>
      </c>
      <c r="U33" s="468">
        <v>0.9855793842654561</v>
      </c>
      <c r="V33" s="467">
        <v>-0.96679334300694564</v>
      </c>
      <c r="W33" s="454" t="s">
        <v>385</v>
      </c>
      <c r="X33" s="449">
        <f>CORREL($O$33:$O$38,O$33:O$38)</f>
        <v>1</v>
      </c>
      <c r="Y33" s="468">
        <f t="shared" ref="Y33:Z33" si="0">CORREL($O$33:$O$38,P$33:P$38)</f>
        <v>0.98557938426545633</v>
      </c>
      <c r="Z33" s="467">
        <f t="shared" si="0"/>
        <v>-0.96679334300694575</v>
      </c>
      <c r="AA33" s="454" t="s">
        <v>385</v>
      </c>
      <c r="AB33" s="378" t="str" cm="1">
        <f t="array" ref="AB33">_xll.d.TestUtils_Equal(T33,X33)</f>
        <v>Ok</v>
      </c>
      <c r="AC33" s="378" t="str" cm="1">
        <f t="array" ref="AC33">_xll.d.TestUtils_Equal(U33,Y33)</f>
        <v>Ok</v>
      </c>
      <c r="AD33" s="378" t="str" cm="1">
        <f t="array" ref="AD33">_xll.d.TestUtils_Equal(V33,Z33)</f>
        <v>Ok</v>
      </c>
    </row>
    <row r="34" spans="2:38" x14ac:dyDescent="0.25">
      <c r="B34" s="444">
        <v>2</v>
      </c>
      <c r="C34" s="445">
        <v>2.2000000000000002</v>
      </c>
      <c r="D34" s="366"/>
      <c r="E34" s="353" t="s">
        <v>384</v>
      </c>
      <c r="F34" s="450">
        <v>0.9855793842654561</v>
      </c>
      <c r="G34" s="435">
        <v>1</v>
      </c>
      <c r="H34" s="353" t="s">
        <v>384</v>
      </c>
      <c r="I34" s="450">
        <f>CORREL(B33:B38,C33:C38)</f>
        <v>0.98557938426545633</v>
      </c>
      <c r="J34" s="435">
        <f>CORREL(C33:C38,C33:C38)</f>
        <v>1.0000000000000002</v>
      </c>
      <c r="K34" s="353" t="s">
        <v>384</v>
      </c>
      <c r="L34" s="378" t="str" cm="1">
        <f t="array" ref="L34">_xll.d.TestUtils_Equal(F34,I34)</f>
        <v>Ok</v>
      </c>
      <c r="M34" s="378" t="str" cm="1">
        <f t="array" ref="M34">_xll.d.TestUtils_Equal(G34,J34)</f>
        <v>Ok</v>
      </c>
      <c r="O34" s="444">
        <v>2</v>
      </c>
      <c r="P34" s="460">
        <v>2.2000000000000002</v>
      </c>
      <c r="Q34" s="457">
        <v>5.2</v>
      </c>
      <c r="R34" s="366"/>
      <c r="S34" s="451" t="s">
        <v>384</v>
      </c>
      <c r="T34" s="469">
        <v>0.9855793842654561</v>
      </c>
      <c r="U34" s="471">
        <v>1</v>
      </c>
      <c r="V34" s="472">
        <v>-0.9461544177169412</v>
      </c>
      <c r="W34" s="451" t="s">
        <v>384</v>
      </c>
      <c r="X34" s="469">
        <f>CORREL(O$33:O$38,$P$33:$P$38)</f>
        <v>0.98557938426545633</v>
      </c>
      <c r="Y34" s="471">
        <f t="shared" ref="Y34:Z34" si="1">CORREL(P$33:P$38,$P$33:$P$38)</f>
        <v>1.0000000000000002</v>
      </c>
      <c r="Z34" s="472">
        <f t="shared" si="1"/>
        <v>-0.94615441771694131</v>
      </c>
      <c r="AA34" s="451" t="s">
        <v>384</v>
      </c>
      <c r="AB34" s="378" t="str" cm="1">
        <f t="array" ref="AB34">_xll.d.TestUtils_Equal(T34,X34)</f>
        <v>Ok</v>
      </c>
      <c r="AC34" s="378" t="str" cm="1">
        <f t="array" ref="AC34">_xll.d.TestUtils_Equal(U34,Y34)</f>
        <v>Ok</v>
      </c>
      <c r="AD34" s="378" t="str" cm="1">
        <f t="array" ref="AD34">_xll.d.TestUtils_Equal(V34,Z34)</f>
        <v>Ok</v>
      </c>
    </row>
    <row r="35" spans="2:38" x14ac:dyDescent="0.25">
      <c r="B35" s="444">
        <v>3</v>
      </c>
      <c r="C35" s="445">
        <v>2.9</v>
      </c>
      <c r="O35" s="444">
        <v>3</v>
      </c>
      <c r="P35" s="460">
        <v>2.9</v>
      </c>
      <c r="Q35" s="457">
        <v>4.9000000000000004</v>
      </c>
      <c r="S35" s="452" t="s">
        <v>410</v>
      </c>
      <c r="T35" s="450">
        <v>-0.96679334300694564</v>
      </c>
      <c r="U35" s="470">
        <v>-0.9461544177169412</v>
      </c>
      <c r="V35" s="465">
        <v>1</v>
      </c>
      <c r="W35" s="452" t="s">
        <v>410</v>
      </c>
      <c r="X35" s="450">
        <f>CORREL(O$33:O$38,$Q$33:$Q$38)</f>
        <v>-0.96679334300694575</v>
      </c>
      <c r="Y35" s="470">
        <f t="shared" ref="Y35:Z35" si="2">CORREL(P$33:P$38,$Q$33:$Q$38)</f>
        <v>-0.94615441771694131</v>
      </c>
      <c r="Z35" s="465">
        <f t="shared" si="2"/>
        <v>0.99999999999999978</v>
      </c>
      <c r="AA35" s="452" t="s">
        <v>410</v>
      </c>
      <c r="AB35" s="378" t="str" cm="1">
        <f t="array" ref="AB35">_xll.d.TestUtils_Equal(T35,X35)</f>
        <v>Ok</v>
      </c>
      <c r="AC35" s="378" t="str" cm="1">
        <f t="array" ref="AC35">_xll.d.TestUtils_Equal(U35,Y35)</f>
        <v>Ok</v>
      </c>
      <c r="AD35" s="378" t="str" cm="1">
        <f t="array" ref="AD35">_xll.d.TestUtils_Equal(V35,Z35)</f>
        <v>Ok</v>
      </c>
    </row>
    <row r="36" spans="2:38" x14ac:dyDescent="0.25">
      <c r="B36" s="444">
        <v>4</v>
      </c>
      <c r="C36" s="445">
        <v>4.2</v>
      </c>
      <c r="O36" s="444">
        <v>4</v>
      </c>
      <c r="P36" s="460">
        <v>4.2</v>
      </c>
      <c r="Q36" s="457">
        <v>4</v>
      </c>
    </row>
    <row r="37" spans="2:38" x14ac:dyDescent="0.25">
      <c r="B37" s="444">
        <v>5</v>
      </c>
      <c r="C37" s="445">
        <v>5</v>
      </c>
      <c r="O37" s="444">
        <v>5</v>
      </c>
      <c r="P37" s="460">
        <v>5</v>
      </c>
      <c r="Q37" s="457">
        <v>3.8</v>
      </c>
    </row>
    <row r="38" spans="2:38" x14ac:dyDescent="0.25">
      <c r="B38" s="446">
        <v>6</v>
      </c>
      <c r="C38" s="447">
        <v>5.5</v>
      </c>
      <c r="O38" s="446">
        <v>6</v>
      </c>
      <c r="P38" s="461">
        <v>5.5</v>
      </c>
      <c r="Q38" s="458">
        <v>1.9</v>
      </c>
    </row>
    <row r="41" spans="2:38" ht="18.75" x14ac:dyDescent="0.3">
      <c r="B41" s="3" t="s">
        <v>400</v>
      </c>
      <c r="C41" s="374"/>
      <c r="D41" s="374"/>
      <c r="E41" s="374"/>
      <c r="F41" s="374"/>
      <c r="G41" s="374"/>
      <c r="H41" s="374"/>
      <c r="I41" s="374"/>
      <c r="J41" s="374"/>
      <c r="K41" s="374"/>
      <c r="L41" s="374"/>
      <c r="M41" s="374"/>
      <c r="N41" s="374"/>
      <c r="O41" s="374"/>
      <c r="P41" s="374"/>
      <c r="Q41" s="374"/>
      <c r="R41" s="374"/>
      <c r="S41" s="374"/>
      <c r="T41" s="374"/>
      <c r="U41" s="374"/>
      <c r="V41" s="374"/>
      <c r="W41" s="374"/>
      <c r="X41" s="374"/>
      <c r="Y41" s="374"/>
      <c r="Z41" s="374"/>
      <c r="AA41" s="374"/>
      <c r="AB41" s="374"/>
      <c r="AC41" s="374"/>
      <c r="AD41" s="374"/>
      <c r="AE41" s="374"/>
      <c r="AF41" s="374"/>
      <c r="AG41" s="374"/>
      <c r="AH41" s="374"/>
      <c r="AI41" s="374"/>
      <c r="AJ41" s="374"/>
      <c r="AK41" s="374"/>
      <c r="AL41" s="374"/>
    </row>
    <row r="43" spans="2:38" x14ac:dyDescent="0.25">
      <c r="B43" s="59" t="s">
        <v>163</v>
      </c>
      <c r="C43" s="368" t="str" cm="1">
        <f t="array" aca="1" ref="C43" ca="1">_xll.d.TestUtils_And(J50:K50,S50:T50,AE48)</f>
        <v>Ok</v>
      </c>
      <c r="D43" s="366"/>
      <c r="E43" s="366"/>
      <c r="F43" s="366"/>
      <c r="G43" s="366"/>
      <c r="H43" s="366"/>
      <c r="I43" s="366"/>
      <c r="J43" s="366"/>
      <c r="K43" s="366"/>
    </row>
    <row r="44" spans="2:38" x14ac:dyDescent="0.25">
      <c r="B44" s="366"/>
      <c r="C44" s="366"/>
      <c r="D44" s="366"/>
      <c r="E44" s="366"/>
      <c r="F44" s="366"/>
      <c r="G44" s="366"/>
      <c r="H44" s="366"/>
      <c r="I44" s="367"/>
      <c r="J44" s="367"/>
      <c r="K44" s="367"/>
    </row>
    <row r="45" spans="2:38" ht="15.75" x14ac:dyDescent="0.25">
      <c r="B45" s="4" t="s">
        <v>415</v>
      </c>
      <c r="C45" s="375"/>
      <c r="D45" s="375"/>
      <c r="E45" s="375"/>
      <c r="F45" s="375"/>
      <c r="G45" s="375"/>
      <c r="H45" s="375"/>
      <c r="I45" s="375"/>
      <c r="J45" s="375"/>
      <c r="K45" s="375"/>
      <c r="M45" s="4" t="s">
        <v>416</v>
      </c>
      <c r="N45" s="375"/>
      <c r="O45" s="375"/>
      <c r="P45" s="375"/>
      <c r="Q45" s="375"/>
      <c r="R45" s="375"/>
      <c r="S45" s="375"/>
      <c r="T45" s="375"/>
      <c r="V45" s="4" t="s">
        <v>417</v>
      </c>
      <c r="W45" s="375"/>
      <c r="X45" s="375"/>
      <c r="Y45" s="375"/>
      <c r="Z45" s="375"/>
      <c r="AA45" s="375"/>
      <c r="AB45" s="375"/>
      <c r="AC45" s="375"/>
      <c r="AD45" s="375"/>
      <c r="AE45" s="375"/>
    </row>
    <row r="47" spans="2:38" x14ac:dyDescent="0.25">
      <c r="B47" s="473" t="s">
        <v>256</v>
      </c>
      <c r="D47" s="134" t="s">
        <v>137</v>
      </c>
      <c r="E47" s="223"/>
      <c r="F47" s="223"/>
      <c r="G47" s="223"/>
      <c r="H47" s="135"/>
      <c r="J47" s="134" t="s">
        <v>413</v>
      </c>
      <c r="K47" s="135" t="s">
        <v>414</v>
      </c>
      <c r="M47" s="134" t="s">
        <v>137</v>
      </c>
      <c r="N47" s="223"/>
      <c r="O47" s="223"/>
      <c r="P47" s="223"/>
      <c r="Q47" s="135"/>
      <c r="S47" s="134" t="s">
        <v>413</v>
      </c>
      <c r="T47" s="135" t="s">
        <v>414</v>
      </c>
      <c r="V47" s="473" t="s">
        <v>256</v>
      </c>
      <c r="X47" s="134" t="s">
        <v>137</v>
      </c>
      <c r="Y47" s="223"/>
      <c r="Z47" s="223"/>
      <c r="AA47" s="223"/>
      <c r="AB47" s="135"/>
      <c r="AD47" s="134" t="s">
        <v>258</v>
      </c>
      <c r="AE47" s="134" t="s">
        <v>85</v>
      </c>
    </row>
    <row r="48" spans="2:38" x14ac:dyDescent="0.25">
      <c r="B48" s="474" t="s">
        <v>412</v>
      </c>
      <c r="D48" s="136">
        <f t="array" aca="1" ref="D48:H87" ca="1">_xll.d.Stats_NormalRandomNumbers(B49)</f>
        <v>-0.63711590014289476</v>
      </c>
      <c r="E48" s="388">
        <f ca="1"/>
        <v>0.70685522048944815</v>
      </c>
      <c r="F48" s="388">
        <f ca="1"/>
        <v>-0.31907668375768672</v>
      </c>
      <c r="G48" s="388">
        <f ca="1"/>
        <v>-0.40991003456258013</v>
      </c>
      <c r="H48" s="137">
        <f ca="1"/>
        <v>0.59461000541069997</v>
      </c>
      <c r="J48" s="476">
        <f ca="1">AVERAGE(D48:H87)</f>
        <v>9.2097931892436341E-2</v>
      </c>
      <c r="K48" s="407">
        <f ca="1">_xlfn.STDEV.S(D48:H87)</f>
        <v>0.96390177576967329</v>
      </c>
      <c r="M48" s="136">
        <f t="array" aca="1" ref="M48:Q87" ca="1">_xll.d.Stats_NormalRandomNumbers()</f>
        <v>1.2806317169989068</v>
      </c>
      <c r="N48" s="388">
        <f ca="1"/>
        <v>0.87949108582310986</v>
      </c>
      <c r="O48" s="388">
        <f ca="1"/>
        <v>-0.13204240241342743</v>
      </c>
      <c r="P48" s="388">
        <f ca="1"/>
        <v>-0.56613733348008055</v>
      </c>
      <c r="Q48" s="137">
        <f ca="1"/>
        <v>0.88351612044898253</v>
      </c>
      <c r="S48" s="476">
        <f ca="1">AVERAGE(M48:Q87)</f>
        <v>1.3948504592199519E-2</v>
      </c>
      <c r="T48" s="407">
        <f ca="1">_xlfn.STDEV.S(M48:Q87)</f>
        <v>1.0237236942054053</v>
      </c>
      <c r="V48" s="474" t="s">
        <v>412</v>
      </c>
      <c r="X48" s="136" t="str">
        <f t="array" aca="1" ref="X48:AB87" ca="1">_xll.d.Stats_NormalRandomNumbers(V49)</f>
        <v>#∂Excel Error: Invalid seed specified.</v>
      </c>
      <c r="Y48" s="388" t="str">
        <f ca="1"/>
        <v>#∂Excel Error: Invalid seed specified.</v>
      </c>
      <c r="Z48" s="388" t="str">
        <f ca="1"/>
        <v>#∂Excel Error: Invalid seed specified.</v>
      </c>
      <c r="AA48" s="388" t="str">
        <f ca="1"/>
        <v>#∂Excel Error: Invalid seed specified.</v>
      </c>
      <c r="AB48" s="137" t="str">
        <f ca="1"/>
        <v>#∂Excel Error: Invalid seed specified.</v>
      </c>
      <c r="AD48" s="439" t="s">
        <v>419</v>
      </c>
      <c r="AE48" s="378" t="str" cm="1">
        <f t="array" aca="1" ref="AE48" ca="1">_xll.d.TestUtils_Equal(X48,AD48)</f>
        <v>Ok</v>
      </c>
    </row>
    <row r="49" spans="2:28" x14ac:dyDescent="0.25">
      <c r="B49" s="477">
        <v>1337</v>
      </c>
      <c r="D49" s="138">
        <f ca="1"/>
        <v>0.15231246463563991</v>
      </c>
      <c r="E49" s="324">
        <f ca="1"/>
        <v>-0.33198021492010854</v>
      </c>
      <c r="F49" s="324">
        <f ca="1"/>
        <v>0.33468800840166441</v>
      </c>
      <c r="G49" s="324">
        <f ca="1"/>
        <v>2.1988514227094039E-2</v>
      </c>
      <c r="H49" s="139">
        <f ca="1"/>
        <v>-1.570800215687598</v>
      </c>
      <c r="J49" s="134" t="s">
        <v>85</v>
      </c>
      <c r="K49" s="134"/>
      <c r="M49" s="138">
        <f ca="1"/>
        <v>-0.41323207839061593</v>
      </c>
      <c r="N49" s="324">
        <f ca="1"/>
        <v>-0.39508161165581074</v>
      </c>
      <c r="O49" s="324">
        <f ca="1"/>
        <v>-1.5949943255273697</v>
      </c>
      <c r="P49" s="324">
        <f ca="1"/>
        <v>0.56196479183824677</v>
      </c>
      <c r="Q49" s="139">
        <f ca="1"/>
        <v>-1.2634521418906297</v>
      </c>
      <c r="S49" s="134" t="s">
        <v>85</v>
      </c>
      <c r="T49" s="134"/>
      <c r="V49" s="475" t="s">
        <v>418</v>
      </c>
      <c r="X49" s="138" t="str">
        <f ca="1"/>
        <v>#∂Excel Error: Invalid seed specified.</v>
      </c>
      <c r="Y49" s="324" t="str">
        <f ca="1"/>
        <v>#∂Excel Error: Invalid seed specified.</v>
      </c>
      <c r="Z49" s="324" t="str">
        <f ca="1"/>
        <v>#∂Excel Error: Invalid seed specified.</v>
      </c>
      <c r="AA49" s="324" t="str">
        <f ca="1"/>
        <v>#∂Excel Error: Invalid seed specified.</v>
      </c>
      <c r="AB49" s="139" t="str">
        <f ca="1"/>
        <v>#∂Excel Error: Invalid seed specified.</v>
      </c>
    </row>
    <row r="50" spans="2:28" x14ac:dyDescent="0.25">
      <c r="D50" s="138">
        <f ca="1"/>
        <v>-0.9998813019474484</v>
      </c>
      <c r="E50" s="324">
        <f ca="1"/>
        <v>-0.88600131746401845</v>
      </c>
      <c r="F50" s="324">
        <f ca="1"/>
        <v>0.50499676151927686</v>
      </c>
      <c r="G50" s="324">
        <f ca="1"/>
        <v>0.59135175634258896</v>
      </c>
      <c r="H50" s="139">
        <f ca="1"/>
        <v>0.81695537082956271</v>
      </c>
      <c r="J50" s="378" t="str" cm="1">
        <f t="array" aca="1" ref="J50" ca="1">_xll.d.TestUtils_Equal(ABS(J48-0)&lt;0.1,TRUE)</f>
        <v>Ok</v>
      </c>
      <c r="K50" s="378" t="str" cm="1">
        <f t="array" aca="1" ref="K50" ca="1">_xll.d.TestUtils_Equal(ABS(K48-1)&lt;0.1,TRUE)</f>
        <v>Ok</v>
      </c>
      <c r="M50" s="138">
        <f ca="1"/>
        <v>0.74575200518393403</v>
      </c>
      <c r="N50" s="324">
        <f ca="1"/>
        <v>1.5649844540769715</v>
      </c>
      <c r="O50" s="324">
        <f ca="1"/>
        <v>2.3217506048400995</v>
      </c>
      <c r="P50" s="324">
        <f ca="1"/>
        <v>-0.42636748295325677</v>
      </c>
      <c r="Q50" s="139">
        <f ca="1"/>
        <v>0.90750393690804931</v>
      </c>
      <c r="S50" s="378" t="str" cm="1">
        <f t="array" aca="1" ref="S50" ca="1">_xll.d.TestUtils_Equal(ABS(S48-0)&lt;0.1,TRUE)</f>
        <v>Ok</v>
      </c>
      <c r="T50" s="378" t="str" cm="1">
        <f t="array" aca="1" ref="T50" ca="1">_xll.d.TestUtils_Equal(ABS(T48-1)&lt;0.1,TRUE)</f>
        <v>Ok</v>
      </c>
      <c r="X50" s="138" t="str">
        <f ca="1"/>
        <v>#∂Excel Error: Invalid seed specified.</v>
      </c>
      <c r="Y50" s="324" t="str">
        <f ca="1"/>
        <v>#∂Excel Error: Invalid seed specified.</v>
      </c>
      <c r="Z50" s="324" t="str">
        <f ca="1"/>
        <v>#∂Excel Error: Invalid seed specified.</v>
      </c>
      <c r="AA50" s="324" t="str">
        <f ca="1"/>
        <v>#∂Excel Error: Invalid seed specified.</v>
      </c>
      <c r="AB50" s="139" t="str">
        <f ca="1"/>
        <v>#∂Excel Error: Invalid seed specified.</v>
      </c>
    </row>
    <row r="51" spans="2:28" x14ac:dyDescent="0.25">
      <c r="D51" s="138">
        <f ca="1"/>
        <v>-0.79747485963926357</v>
      </c>
      <c r="E51" s="324">
        <f ca="1"/>
        <v>-6.1108551057670997E-2</v>
      </c>
      <c r="F51" s="324">
        <f ca="1"/>
        <v>0.863608628387463</v>
      </c>
      <c r="G51" s="324">
        <f ca="1"/>
        <v>-1.0507271193416956</v>
      </c>
      <c r="H51" s="139">
        <f ca="1"/>
        <v>0.4991414877992304</v>
      </c>
      <c r="M51" s="138">
        <f ca="1"/>
        <v>-0.64570248955754617</v>
      </c>
      <c r="N51" s="324">
        <f ca="1"/>
        <v>0.67471393701512306</v>
      </c>
      <c r="O51" s="324">
        <f ca="1"/>
        <v>0.28694792409166237</v>
      </c>
      <c r="P51" s="324">
        <f ca="1"/>
        <v>0.56798561262043379</v>
      </c>
      <c r="Q51" s="139">
        <f ca="1"/>
        <v>0.97365023561934916</v>
      </c>
      <c r="X51" s="138" t="str">
        <f ca="1"/>
        <v>#∂Excel Error: Invalid seed specified.</v>
      </c>
      <c r="Y51" s="324" t="str">
        <f ca="1"/>
        <v>#∂Excel Error: Invalid seed specified.</v>
      </c>
      <c r="Z51" s="324" t="str">
        <f ca="1"/>
        <v>#∂Excel Error: Invalid seed specified.</v>
      </c>
      <c r="AA51" s="324" t="str">
        <f ca="1"/>
        <v>#∂Excel Error: Invalid seed specified.</v>
      </c>
      <c r="AB51" s="139" t="str">
        <f ca="1"/>
        <v>#∂Excel Error: Invalid seed specified.</v>
      </c>
    </row>
    <row r="52" spans="2:28" x14ac:dyDescent="0.25">
      <c r="D52" s="138">
        <f ca="1"/>
        <v>-0.5884160994078016</v>
      </c>
      <c r="E52" s="324">
        <f ca="1"/>
        <v>-0.55874715130596764</v>
      </c>
      <c r="F52" s="324">
        <f ca="1"/>
        <v>-2.7587630599172877</v>
      </c>
      <c r="G52" s="324">
        <f ca="1"/>
        <v>-2.2939473468112239</v>
      </c>
      <c r="H52" s="139">
        <f ca="1"/>
        <v>-0.38120894845031827</v>
      </c>
      <c r="M52" s="138">
        <f ca="1"/>
        <v>-0.12237180046026479</v>
      </c>
      <c r="N52" s="324">
        <f ca="1"/>
        <v>-2.1481498869665248</v>
      </c>
      <c r="O52" s="324">
        <f ca="1"/>
        <v>0.5045539618378394</v>
      </c>
      <c r="P52" s="324">
        <f ca="1"/>
        <v>-0.63674487084665232</v>
      </c>
      <c r="Q52" s="139">
        <f ca="1"/>
        <v>-1.1272453272388663</v>
      </c>
      <c r="X52" s="138" t="str">
        <f ca="1"/>
        <v>#∂Excel Error: Invalid seed specified.</v>
      </c>
      <c r="Y52" s="324" t="str">
        <f ca="1"/>
        <v>#∂Excel Error: Invalid seed specified.</v>
      </c>
      <c r="Z52" s="324" t="str">
        <f ca="1"/>
        <v>#∂Excel Error: Invalid seed specified.</v>
      </c>
      <c r="AA52" s="324" t="str">
        <f ca="1"/>
        <v>#∂Excel Error: Invalid seed specified.</v>
      </c>
      <c r="AB52" s="139" t="str">
        <f ca="1"/>
        <v>#∂Excel Error: Invalid seed specified.</v>
      </c>
    </row>
    <row r="53" spans="2:28" x14ac:dyDescent="0.25">
      <c r="D53" s="138">
        <f ca="1"/>
        <v>0.10819798524690837</v>
      </c>
      <c r="E53" s="324">
        <f ca="1"/>
        <v>1.0965073943909254</v>
      </c>
      <c r="F53" s="324">
        <f ca="1"/>
        <v>0.46240265761130123</v>
      </c>
      <c r="G53" s="324">
        <f ca="1"/>
        <v>0.48984251587331651</v>
      </c>
      <c r="H53" s="139">
        <f ca="1"/>
        <v>-2.25076658419695</v>
      </c>
      <c r="M53" s="138">
        <f ca="1"/>
        <v>0.21571221486033107</v>
      </c>
      <c r="N53" s="324">
        <f ca="1"/>
        <v>0.79555793767943195</v>
      </c>
      <c r="O53" s="324">
        <f ca="1"/>
        <v>1.6287144014926473</v>
      </c>
      <c r="P53" s="324">
        <f ca="1"/>
        <v>0.56243938200232235</v>
      </c>
      <c r="Q53" s="139">
        <f ca="1"/>
        <v>1.2759637104421049</v>
      </c>
      <c r="X53" s="138" t="str">
        <f ca="1"/>
        <v>#∂Excel Error: Invalid seed specified.</v>
      </c>
      <c r="Y53" s="324" t="str">
        <f ca="1"/>
        <v>#∂Excel Error: Invalid seed specified.</v>
      </c>
      <c r="Z53" s="324" t="str">
        <f ca="1"/>
        <v>#∂Excel Error: Invalid seed specified.</v>
      </c>
      <c r="AA53" s="324" t="str">
        <f ca="1"/>
        <v>#∂Excel Error: Invalid seed specified.</v>
      </c>
      <c r="AB53" s="139" t="str">
        <f ca="1"/>
        <v>#∂Excel Error: Invalid seed specified.</v>
      </c>
    </row>
    <row r="54" spans="2:28" x14ac:dyDescent="0.25">
      <c r="D54" s="138">
        <f ca="1"/>
        <v>-0.10215483425175563</v>
      </c>
      <c r="E54" s="324">
        <f ca="1"/>
        <v>0.44051757578957157</v>
      </c>
      <c r="F54" s="324">
        <f ca="1"/>
        <v>-0.33389589259671326</v>
      </c>
      <c r="G54" s="324">
        <f ca="1"/>
        <v>0.70615194140562998</v>
      </c>
      <c r="H54" s="139">
        <f ca="1"/>
        <v>1.3386245087251876</v>
      </c>
      <c r="M54" s="138">
        <f ca="1"/>
        <v>0.23606857645884485</v>
      </c>
      <c r="N54" s="324">
        <f ca="1"/>
        <v>-1.2639868260568468</v>
      </c>
      <c r="O54" s="324">
        <f ca="1"/>
        <v>3.3834064120945861E-2</v>
      </c>
      <c r="P54" s="324">
        <f ca="1"/>
        <v>1.7090479747310137</v>
      </c>
      <c r="Q54" s="139">
        <f ca="1"/>
        <v>-2.326308197031635</v>
      </c>
      <c r="X54" s="138" t="str">
        <f ca="1"/>
        <v>#∂Excel Error: Invalid seed specified.</v>
      </c>
      <c r="Y54" s="324" t="str">
        <f ca="1"/>
        <v>#∂Excel Error: Invalid seed specified.</v>
      </c>
      <c r="Z54" s="324" t="str">
        <f ca="1"/>
        <v>#∂Excel Error: Invalid seed specified.</v>
      </c>
      <c r="AA54" s="324" t="str">
        <f ca="1"/>
        <v>#∂Excel Error: Invalid seed specified.</v>
      </c>
      <c r="AB54" s="139" t="str">
        <f ca="1"/>
        <v>#∂Excel Error: Invalid seed specified.</v>
      </c>
    </row>
    <row r="55" spans="2:28" x14ac:dyDescent="0.25">
      <c r="D55" s="138">
        <f ca="1"/>
        <v>-1.8253861328037648</v>
      </c>
      <c r="E55" s="324">
        <f ca="1"/>
        <v>-0.24037216180075424</v>
      </c>
      <c r="F55" s="324">
        <f ca="1"/>
        <v>1.028058069270616</v>
      </c>
      <c r="G55" s="324">
        <f ca="1"/>
        <v>1.2259167836294167</v>
      </c>
      <c r="H55" s="139">
        <f ca="1"/>
        <v>-0.33280389867021648</v>
      </c>
      <c r="M55" s="138">
        <f ca="1"/>
        <v>1.6024279962139638</v>
      </c>
      <c r="N55" s="324">
        <f ca="1"/>
        <v>0.65008722001409469</v>
      </c>
      <c r="O55" s="324">
        <f ca="1"/>
        <v>0.54884064952100931</v>
      </c>
      <c r="P55" s="324">
        <f ca="1"/>
        <v>0.71963714587606931</v>
      </c>
      <c r="Q55" s="139">
        <f ca="1"/>
        <v>-1.4180246368819647</v>
      </c>
      <c r="X55" s="138" t="str">
        <f ca="1"/>
        <v>#∂Excel Error: Invalid seed specified.</v>
      </c>
      <c r="Y55" s="324" t="str">
        <f ca="1"/>
        <v>#∂Excel Error: Invalid seed specified.</v>
      </c>
      <c r="Z55" s="324" t="str">
        <f ca="1"/>
        <v>#∂Excel Error: Invalid seed specified.</v>
      </c>
      <c r="AA55" s="324" t="str">
        <f ca="1"/>
        <v>#∂Excel Error: Invalid seed specified.</v>
      </c>
      <c r="AB55" s="139" t="str">
        <f ca="1"/>
        <v>#∂Excel Error: Invalid seed specified.</v>
      </c>
    </row>
    <row r="56" spans="2:28" x14ac:dyDescent="0.25">
      <c r="D56" s="138">
        <f ca="1"/>
        <v>-0.46490277119672319</v>
      </c>
      <c r="E56" s="324">
        <f ca="1"/>
        <v>-8.8166823894022877E-4</v>
      </c>
      <c r="F56" s="324">
        <f ca="1"/>
        <v>-1.5659571515789519</v>
      </c>
      <c r="G56" s="324">
        <f ca="1"/>
        <v>0.44378998344608472</v>
      </c>
      <c r="H56" s="139">
        <f ca="1"/>
        <v>0.56184004420843314</v>
      </c>
      <c r="M56" s="138">
        <f ca="1"/>
        <v>8.0371584028999896E-2</v>
      </c>
      <c r="N56" s="324">
        <f ca="1"/>
        <v>0.17955795363966331</v>
      </c>
      <c r="O56" s="324">
        <f ca="1"/>
        <v>1.3296272273977301</v>
      </c>
      <c r="P56" s="324">
        <f ca="1"/>
        <v>-0.38154102930483885</v>
      </c>
      <c r="Q56" s="139">
        <f ca="1"/>
        <v>0.92403399460789692</v>
      </c>
      <c r="X56" s="138" t="str">
        <f ca="1"/>
        <v>#∂Excel Error: Invalid seed specified.</v>
      </c>
      <c r="Y56" s="324" t="str">
        <f ca="1"/>
        <v>#∂Excel Error: Invalid seed specified.</v>
      </c>
      <c r="Z56" s="324" t="str">
        <f ca="1"/>
        <v>#∂Excel Error: Invalid seed specified.</v>
      </c>
      <c r="AA56" s="324" t="str">
        <f ca="1"/>
        <v>#∂Excel Error: Invalid seed specified.</v>
      </c>
      <c r="AB56" s="139" t="str">
        <f ca="1"/>
        <v>#∂Excel Error: Invalid seed specified.</v>
      </c>
    </row>
    <row r="57" spans="2:28" x14ac:dyDescent="0.25">
      <c r="D57" s="138">
        <f ca="1"/>
        <v>-0.72121450340504112</v>
      </c>
      <c r="E57" s="324">
        <f ca="1"/>
        <v>-0.14969739262215401</v>
      </c>
      <c r="F57" s="324">
        <f ca="1"/>
        <v>0.70609350471998489</v>
      </c>
      <c r="G57" s="324">
        <f ca="1"/>
        <v>9.6224928363146583E-2</v>
      </c>
      <c r="H57" s="139">
        <f ca="1"/>
        <v>0.2296039222600787</v>
      </c>
      <c r="M57" s="138">
        <f ca="1"/>
        <v>1.216017852746615</v>
      </c>
      <c r="N57" s="324">
        <f ca="1"/>
        <v>0.92156157294460084</v>
      </c>
      <c r="O57" s="324">
        <f ca="1"/>
        <v>-1.0772154046696718</v>
      </c>
      <c r="P57" s="324">
        <f ca="1"/>
        <v>0.14817406943346481</v>
      </c>
      <c r="Q57" s="139">
        <f ca="1"/>
        <v>-0.77961025765410896</v>
      </c>
      <c r="X57" s="138" t="str">
        <f ca="1"/>
        <v>#∂Excel Error: Invalid seed specified.</v>
      </c>
      <c r="Y57" s="324" t="str">
        <f ca="1"/>
        <v>#∂Excel Error: Invalid seed specified.</v>
      </c>
      <c r="Z57" s="324" t="str">
        <f ca="1"/>
        <v>#∂Excel Error: Invalid seed specified.</v>
      </c>
      <c r="AA57" s="324" t="str">
        <f ca="1"/>
        <v>#∂Excel Error: Invalid seed specified.</v>
      </c>
      <c r="AB57" s="139" t="str">
        <f ca="1"/>
        <v>#∂Excel Error: Invalid seed specified.</v>
      </c>
    </row>
    <row r="58" spans="2:28" x14ac:dyDescent="0.25">
      <c r="D58" s="138">
        <f ca="1"/>
        <v>4.6120309846438508E-2</v>
      </c>
      <c r="E58" s="324">
        <f ca="1"/>
        <v>-0.92083350795883689</v>
      </c>
      <c r="F58" s="324">
        <f ca="1"/>
        <v>0.80411972151375544</v>
      </c>
      <c r="G58" s="324">
        <f ca="1"/>
        <v>-0.8762556877814629</v>
      </c>
      <c r="H58" s="139">
        <f ca="1"/>
        <v>1.2660233063563722</v>
      </c>
      <c r="M58" s="138">
        <f ca="1"/>
        <v>-1.5665119329039916</v>
      </c>
      <c r="N58" s="324">
        <f ca="1"/>
        <v>2.0084034731279345</v>
      </c>
      <c r="O58" s="324">
        <f ca="1"/>
        <v>-1.4337750216682486</v>
      </c>
      <c r="P58" s="324">
        <f ca="1"/>
        <v>0.25787729528621994</v>
      </c>
      <c r="Q58" s="139">
        <f ca="1"/>
        <v>7.2312965249708159E-3</v>
      </c>
      <c r="X58" s="138" t="str">
        <f ca="1"/>
        <v>#∂Excel Error: Invalid seed specified.</v>
      </c>
      <c r="Y58" s="324" t="str">
        <f ca="1"/>
        <v>#∂Excel Error: Invalid seed specified.</v>
      </c>
      <c r="Z58" s="324" t="str">
        <f ca="1"/>
        <v>#∂Excel Error: Invalid seed specified.</v>
      </c>
      <c r="AA58" s="324" t="str">
        <f ca="1"/>
        <v>#∂Excel Error: Invalid seed specified.</v>
      </c>
      <c r="AB58" s="139" t="str">
        <f ca="1"/>
        <v>#∂Excel Error: Invalid seed specified.</v>
      </c>
    </row>
    <row r="59" spans="2:28" x14ac:dyDescent="0.25">
      <c r="D59" s="138">
        <f ca="1"/>
        <v>0.23298387080043784</v>
      </c>
      <c r="E59" s="324">
        <f ca="1"/>
        <v>-1.0764899712107359</v>
      </c>
      <c r="F59" s="324">
        <f ca="1"/>
        <v>1.7547755576057253</v>
      </c>
      <c r="G59" s="324">
        <f ca="1"/>
        <v>0.72810708935373014</v>
      </c>
      <c r="H59" s="139">
        <f ca="1"/>
        <v>-4.9122462980273743E-2</v>
      </c>
      <c r="M59" s="138">
        <f ca="1"/>
        <v>-0.44185504011363425</v>
      </c>
      <c r="N59" s="324">
        <f ca="1"/>
        <v>1.7378656462443147</v>
      </c>
      <c r="O59" s="324">
        <f ca="1"/>
        <v>0.97121920583966004</v>
      </c>
      <c r="P59" s="324">
        <f ca="1"/>
        <v>1.3732876757493571</v>
      </c>
      <c r="Q59" s="139">
        <f ca="1"/>
        <v>1.237973706888966</v>
      </c>
      <c r="X59" s="138" t="str">
        <f ca="1"/>
        <v>#∂Excel Error: Invalid seed specified.</v>
      </c>
      <c r="Y59" s="324" t="str">
        <f ca="1"/>
        <v>#∂Excel Error: Invalid seed specified.</v>
      </c>
      <c r="Z59" s="324" t="str">
        <f ca="1"/>
        <v>#∂Excel Error: Invalid seed specified.</v>
      </c>
      <c r="AA59" s="324" t="str">
        <f ca="1"/>
        <v>#∂Excel Error: Invalid seed specified.</v>
      </c>
      <c r="AB59" s="139" t="str">
        <f ca="1"/>
        <v>#∂Excel Error: Invalid seed specified.</v>
      </c>
    </row>
    <row r="60" spans="2:28" x14ac:dyDescent="0.25">
      <c r="D60" s="138">
        <f ca="1"/>
        <v>-0.63736695093064755</v>
      </c>
      <c r="E60" s="324">
        <f ca="1"/>
        <v>-0.21947173866600425</v>
      </c>
      <c r="F60" s="324">
        <f ca="1"/>
        <v>-0.3859436116857301</v>
      </c>
      <c r="G60" s="324">
        <f ca="1"/>
        <v>0.43017177828252023</v>
      </c>
      <c r="H60" s="139">
        <f ca="1"/>
        <v>-0.20136053851420513</v>
      </c>
      <c r="M60" s="138">
        <f ca="1"/>
        <v>0.60238060553024553</v>
      </c>
      <c r="N60" s="324">
        <f ca="1"/>
        <v>-0.58712222096696387</v>
      </c>
      <c r="O60" s="324">
        <f ca="1"/>
        <v>0.23730552299494373</v>
      </c>
      <c r="P60" s="324">
        <f ca="1"/>
        <v>0.29659248852205017</v>
      </c>
      <c r="Q60" s="139">
        <f ca="1"/>
        <v>0.4254375015249624</v>
      </c>
      <c r="X60" s="138" t="str">
        <f ca="1"/>
        <v>#∂Excel Error: Invalid seed specified.</v>
      </c>
      <c r="Y60" s="324" t="str">
        <f ca="1"/>
        <v>#∂Excel Error: Invalid seed specified.</v>
      </c>
      <c r="Z60" s="324" t="str">
        <f ca="1"/>
        <v>#∂Excel Error: Invalid seed specified.</v>
      </c>
      <c r="AA60" s="324" t="str">
        <f ca="1"/>
        <v>#∂Excel Error: Invalid seed specified.</v>
      </c>
      <c r="AB60" s="139" t="str">
        <f ca="1"/>
        <v>#∂Excel Error: Invalid seed specified.</v>
      </c>
    </row>
    <row r="61" spans="2:28" x14ac:dyDescent="0.25">
      <c r="D61" s="138">
        <f ca="1"/>
        <v>-0.42607435867377447</v>
      </c>
      <c r="E61" s="324">
        <f ca="1"/>
        <v>0.91605467339775526</v>
      </c>
      <c r="F61" s="324">
        <f ca="1"/>
        <v>-1.6169891726572032</v>
      </c>
      <c r="G61" s="324">
        <f ca="1"/>
        <v>-9.9853780857881491E-2</v>
      </c>
      <c r="H61" s="139">
        <f ca="1"/>
        <v>-0.83075713527444417</v>
      </c>
      <c r="M61" s="138">
        <f ca="1"/>
        <v>8.3123302851810063E-2</v>
      </c>
      <c r="N61" s="324">
        <f ca="1"/>
        <v>-6.2773187660381619E-2</v>
      </c>
      <c r="O61" s="324">
        <f ca="1"/>
        <v>1.5270946774551393</v>
      </c>
      <c r="P61" s="324">
        <f ca="1"/>
        <v>-0.27503059354440429</v>
      </c>
      <c r="Q61" s="139">
        <f ca="1"/>
        <v>-6.3855861862090843E-2</v>
      </c>
      <c r="X61" s="138" t="str">
        <f ca="1"/>
        <v>#∂Excel Error: Invalid seed specified.</v>
      </c>
      <c r="Y61" s="324" t="str">
        <f ca="1"/>
        <v>#∂Excel Error: Invalid seed specified.</v>
      </c>
      <c r="Z61" s="324" t="str">
        <f ca="1"/>
        <v>#∂Excel Error: Invalid seed specified.</v>
      </c>
      <c r="AA61" s="324" t="str">
        <f ca="1"/>
        <v>#∂Excel Error: Invalid seed specified.</v>
      </c>
      <c r="AB61" s="139" t="str">
        <f ca="1"/>
        <v>#∂Excel Error: Invalid seed specified.</v>
      </c>
    </row>
    <row r="62" spans="2:28" x14ac:dyDescent="0.25">
      <c r="D62" s="138">
        <f ca="1"/>
        <v>1.9788808392213517</v>
      </c>
      <c r="E62" s="324">
        <f ca="1"/>
        <v>-0.8444992802006771</v>
      </c>
      <c r="F62" s="324">
        <f ca="1"/>
        <v>0.53167290579956916</v>
      </c>
      <c r="G62" s="324">
        <f ca="1"/>
        <v>1.3476990609315769</v>
      </c>
      <c r="H62" s="139">
        <f ca="1"/>
        <v>-8.1515249102279419E-2</v>
      </c>
      <c r="M62" s="138">
        <f ca="1"/>
        <v>1.4107167598222077</v>
      </c>
      <c r="N62" s="324">
        <f ca="1"/>
        <v>-1.5475859561561283E-2</v>
      </c>
      <c r="O62" s="324">
        <f ca="1"/>
        <v>0.84237390600840889</v>
      </c>
      <c r="P62" s="324">
        <f ca="1"/>
        <v>6.1391277443613008E-2</v>
      </c>
      <c r="Q62" s="139">
        <f ca="1"/>
        <v>0.64082817046146401</v>
      </c>
      <c r="X62" s="138" t="str">
        <f ca="1"/>
        <v>#∂Excel Error: Invalid seed specified.</v>
      </c>
      <c r="Y62" s="324" t="str">
        <f ca="1"/>
        <v>#∂Excel Error: Invalid seed specified.</v>
      </c>
      <c r="Z62" s="324" t="str">
        <f ca="1"/>
        <v>#∂Excel Error: Invalid seed specified.</v>
      </c>
      <c r="AA62" s="324" t="str">
        <f ca="1"/>
        <v>#∂Excel Error: Invalid seed specified.</v>
      </c>
      <c r="AB62" s="139" t="str">
        <f ca="1"/>
        <v>#∂Excel Error: Invalid seed specified.</v>
      </c>
    </row>
    <row r="63" spans="2:28" x14ac:dyDescent="0.25">
      <c r="D63" s="138">
        <f ca="1"/>
        <v>-0.61135617247427165</v>
      </c>
      <c r="E63" s="324">
        <f ca="1"/>
        <v>1.2682963768981825</v>
      </c>
      <c r="F63" s="324">
        <f ca="1"/>
        <v>6.5443228707294687E-2</v>
      </c>
      <c r="G63" s="324">
        <f ca="1"/>
        <v>0.43254942321321643</v>
      </c>
      <c r="H63" s="139">
        <f ca="1"/>
        <v>0.42060061179352987</v>
      </c>
      <c r="M63" s="138">
        <f ca="1"/>
        <v>0.72869734418750975</v>
      </c>
      <c r="N63" s="324">
        <f ca="1"/>
        <v>-1.3741905581846714</v>
      </c>
      <c r="O63" s="324">
        <f ca="1"/>
        <v>-2.0694492688570938E-3</v>
      </c>
      <c r="P63" s="324">
        <f ca="1"/>
        <v>0.46528457315063637</v>
      </c>
      <c r="Q63" s="139">
        <f ca="1"/>
        <v>-2.7564522053123923</v>
      </c>
      <c r="X63" s="138" t="str">
        <f ca="1"/>
        <v>#∂Excel Error: Invalid seed specified.</v>
      </c>
      <c r="Y63" s="324" t="str">
        <f ca="1"/>
        <v>#∂Excel Error: Invalid seed specified.</v>
      </c>
      <c r="Z63" s="324" t="str">
        <f ca="1"/>
        <v>#∂Excel Error: Invalid seed specified.</v>
      </c>
      <c r="AA63" s="324" t="str">
        <f ca="1"/>
        <v>#∂Excel Error: Invalid seed specified.</v>
      </c>
      <c r="AB63" s="139" t="str">
        <f ca="1"/>
        <v>#∂Excel Error: Invalid seed specified.</v>
      </c>
    </row>
    <row r="64" spans="2:28" x14ac:dyDescent="0.25">
      <c r="D64" s="138">
        <f ca="1"/>
        <v>0.62134768002507634</v>
      </c>
      <c r="E64" s="324">
        <f ca="1"/>
        <v>7.9542410013188777E-2</v>
      </c>
      <c r="F64" s="324">
        <f ca="1"/>
        <v>-2.1987215358931604E-2</v>
      </c>
      <c r="G64" s="324">
        <f ca="1"/>
        <v>-0.98579270828865395</v>
      </c>
      <c r="H64" s="139">
        <f ca="1"/>
        <v>1.3042580425018544</v>
      </c>
      <c r="M64" s="138">
        <f ca="1"/>
        <v>-1.9247959834656896</v>
      </c>
      <c r="N64" s="324">
        <f ca="1"/>
        <v>-0.47044862047381381</v>
      </c>
      <c r="O64" s="324">
        <f ca="1"/>
        <v>0.98691572568623775</v>
      </c>
      <c r="P64" s="324">
        <f ca="1"/>
        <v>-0.12919573938955656</v>
      </c>
      <c r="Q64" s="139">
        <f ca="1"/>
        <v>-8.9811736725371044E-2</v>
      </c>
      <c r="X64" s="138" t="str">
        <f ca="1"/>
        <v>#∂Excel Error: Invalid seed specified.</v>
      </c>
      <c r="Y64" s="324" t="str">
        <f ca="1"/>
        <v>#∂Excel Error: Invalid seed specified.</v>
      </c>
      <c r="Z64" s="324" t="str">
        <f ca="1"/>
        <v>#∂Excel Error: Invalid seed specified.</v>
      </c>
      <c r="AA64" s="324" t="str">
        <f ca="1"/>
        <v>#∂Excel Error: Invalid seed specified.</v>
      </c>
      <c r="AB64" s="139" t="str">
        <f ca="1"/>
        <v>#∂Excel Error: Invalid seed specified.</v>
      </c>
    </row>
    <row r="65" spans="4:28" x14ac:dyDescent="0.25">
      <c r="D65" s="138">
        <f ca="1"/>
        <v>-0.50308335820540317</v>
      </c>
      <c r="E65" s="324">
        <f ca="1"/>
        <v>1.4640300463756799</v>
      </c>
      <c r="F65" s="324">
        <f ca="1"/>
        <v>0.46256721575986759</v>
      </c>
      <c r="G65" s="324">
        <f ca="1"/>
        <v>0.13757711286725449</v>
      </c>
      <c r="H65" s="139">
        <f ca="1"/>
        <v>1.903663328597879</v>
      </c>
      <c r="M65" s="138">
        <f ca="1"/>
        <v>0.65943979075516446</v>
      </c>
      <c r="N65" s="324">
        <f ca="1"/>
        <v>-7.7165713466255531E-2</v>
      </c>
      <c r="O65" s="324">
        <f ca="1"/>
        <v>-0.16174339745176108</v>
      </c>
      <c r="P65" s="324">
        <f ca="1"/>
        <v>-0.74578771457828585</v>
      </c>
      <c r="Q65" s="139">
        <f ca="1"/>
        <v>-0.91827298055304041</v>
      </c>
      <c r="X65" s="138" t="str">
        <f ca="1"/>
        <v>#∂Excel Error: Invalid seed specified.</v>
      </c>
      <c r="Y65" s="324" t="str">
        <f ca="1"/>
        <v>#∂Excel Error: Invalid seed specified.</v>
      </c>
      <c r="Z65" s="324" t="str">
        <f ca="1"/>
        <v>#∂Excel Error: Invalid seed specified.</v>
      </c>
      <c r="AA65" s="324" t="str">
        <f ca="1"/>
        <v>#∂Excel Error: Invalid seed specified.</v>
      </c>
      <c r="AB65" s="139" t="str">
        <f ca="1"/>
        <v>#∂Excel Error: Invalid seed specified.</v>
      </c>
    </row>
    <row r="66" spans="4:28" x14ac:dyDescent="0.25">
      <c r="D66" s="138">
        <f ca="1"/>
        <v>-1.198947290104817</v>
      </c>
      <c r="E66" s="324">
        <f ca="1"/>
        <v>0.96357590104857871</v>
      </c>
      <c r="F66" s="324">
        <f ca="1"/>
        <v>1.9247923185797389</v>
      </c>
      <c r="G66" s="324">
        <f ca="1"/>
        <v>1.3443248184039669</v>
      </c>
      <c r="H66" s="139">
        <f ca="1"/>
        <v>0.34126673979749322</v>
      </c>
      <c r="M66" s="138">
        <f ca="1"/>
        <v>0.94377681766593591</v>
      </c>
      <c r="N66" s="324">
        <f ca="1"/>
        <v>-0.38612417599825161</v>
      </c>
      <c r="O66" s="324">
        <f ca="1"/>
        <v>0.46077337038937477</v>
      </c>
      <c r="P66" s="324">
        <f ca="1"/>
        <v>-0.42275878487325819</v>
      </c>
      <c r="Q66" s="139">
        <f ca="1"/>
        <v>-2.0089560815967671</v>
      </c>
      <c r="X66" s="138" t="str">
        <f ca="1"/>
        <v>#∂Excel Error: Invalid seed specified.</v>
      </c>
      <c r="Y66" s="324" t="str">
        <f ca="1"/>
        <v>#∂Excel Error: Invalid seed specified.</v>
      </c>
      <c r="Z66" s="324" t="str">
        <f ca="1"/>
        <v>#∂Excel Error: Invalid seed specified.</v>
      </c>
      <c r="AA66" s="324" t="str">
        <f ca="1"/>
        <v>#∂Excel Error: Invalid seed specified.</v>
      </c>
      <c r="AB66" s="139" t="str">
        <f ca="1"/>
        <v>#∂Excel Error: Invalid seed specified.</v>
      </c>
    </row>
    <row r="67" spans="4:28" x14ac:dyDescent="0.25">
      <c r="D67" s="138">
        <f ca="1"/>
        <v>0.85011456561901899</v>
      </c>
      <c r="E67" s="324">
        <f ca="1"/>
        <v>0.30429192596407545</v>
      </c>
      <c r="F67" s="324">
        <f ca="1"/>
        <v>0.67152742633508133</v>
      </c>
      <c r="G67" s="324">
        <f ca="1"/>
        <v>0.80782203516718254</v>
      </c>
      <c r="H67" s="139">
        <f ca="1"/>
        <v>-8.2646524328612386E-2</v>
      </c>
      <c r="M67" s="138">
        <f ca="1"/>
        <v>0.36827276227103828</v>
      </c>
      <c r="N67" s="324">
        <f ca="1"/>
        <v>1.85375135531813</v>
      </c>
      <c r="O67" s="324">
        <f ca="1"/>
        <v>0.24982811106293421</v>
      </c>
      <c r="P67" s="324">
        <f ca="1"/>
        <v>0.22711108767790789</v>
      </c>
      <c r="Q67" s="139">
        <f ca="1"/>
        <v>-1.7275871382231651</v>
      </c>
      <c r="X67" s="138" t="str">
        <f ca="1"/>
        <v>#∂Excel Error: Invalid seed specified.</v>
      </c>
      <c r="Y67" s="324" t="str">
        <f ca="1"/>
        <v>#∂Excel Error: Invalid seed specified.</v>
      </c>
      <c r="Z67" s="324" t="str">
        <f ca="1"/>
        <v>#∂Excel Error: Invalid seed specified.</v>
      </c>
      <c r="AA67" s="324" t="str">
        <f ca="1"/>
        <v>#∂Excel Error: Invalid seed specified.</v>
      </c>
      <c r="AB67" s="139" t="str">
        <f ca="1"/>
        <v>#∂Excel Error: Invalid seed specified.</v>
      </c>
    </row>
    <row r="68" spans="4:28" x14ac:dyDescent="0.25">
      <c r="D68" s="138">
        <f ca="1"/>
        <v>-0.28904080804777654</v>
      </c>
      <c r="E68" s="324">
        <f ca="1"/>
        <v>-0.89553364635263466</v>
      </c>
      <c r="F68" s="324">
        <f ca="1"/>
        <v>0.9780203880833418</v>
      </c>
      <c r="G68" s="324">
        <f ca="1"/>
        <v>-0.45554694662875511</v>
      </c>
      <c r="H68" s="139">
        <f ca="1"/>
        <v>8.2384361896065766E-2</v>
      </c>
      <c r="M68" s="138">
        <f ca="1"/>
        <v>0.81108314409647109</v>
      </c>
      <c r="N68" s="324">
        <f ca="1"/>
        <v>-0.9044402796299511</v>
      </c>
      <c r="O68" s="324">
        <f ca="1"/>
        <v>0.71944905699855399</v>
      </c>
      <c r="P68" s="324">
        <f ca="1"/>
        <v>-1.4046964968906133</v>
      </c>
      <c r="Q68" s="139">
        <f ca="1"/>
        <v>1.3924722830420602</v>
      </c>
      <c r="X68" s="138" t="str">
        <f ca="1"/>
        <v>#∂Excel Error: Invalid seed specified.</v>
      </c>
      <c r="Y68" s="324" t="str">
        <f ca="1"/>
        <v>#∂Excel Error: Invalid seed specified.</v>
      </c>
      <c r="Z68" s="324" t="str">
        <f ca="1"/>
        <v>#∂Excel Error: Invalid seed specified.</v>
      </c>
      <c r="AA68" s="324" t="str">
        <f ca="1"/>
        <v>#∂Excel Error: Invalid seed specified.</v>
      </c>
      <c r="AB68" s="139" t="str">
        <f ca="1"/>
        <v>#∂Excel Error: Invalid seed specified.</v>
      </c>
    </row>
    <row r="69" spans="4:28" x14ac:dyDescent="0.25">
      <c r="D69" s="138">
        <f ca="1"/>
        <v>-1.3097052116291188</v>
      </c>
      <c r="E69" s="324">
        <f ca="1"/>
        <v>1.7215300670511962</v>
      </c>
      <c r="F69" s="324">
        <f ca="1"/>
        <v>9.7776697591451453E-2</v>
      </c>
      <c r="G69" s="324">
        <f ca="1"/>
        <v>1.1490936456210052</v>
      </c>
      <c r="H69" s="139">
        <f ca="1"/>
        <v>-2.069075586550726</v>
      </c>
      <c r="M69" s="138">
        <f ca="1"/>
        <v>-1.041601697157732</v>
      </c>
      <c r="N69" s="324">
        <f ca="1"/>
        <v>-0.70609570258587617</v>
      </c>
      <c r="O69" s="324">
        <f ca="1"/>
        <v>-1.5640943747207874</v>
      </c>
      <c r="P69" s="324">
        <f ca="1"/>
        <v>-1.1146007504895534</v>
      </c>
      <c r="Q69" s="139">
        <f ca="1"/>
        <v>-0.6576356147768313</v>
      </c>
      <c r="X69" s="138" t="str">
        <f ca="1"/>
        <v>#∂Excel Error: Invalid seed specified.</v>
      </c>
      <c r="Y69" s="324" t="str">
        <f ca="1"/>
        <v>#∂Excel Error: Invalid seed specified.</v>
      </c>
      <c r="Z69" s="324" t="str">
        <f ca="1"/>
        <v>#∂Excel Error: Invalid seed specified.</v>
      </c>
      <c r="AA69" s="324" t="str">
        <f ca="1"/>
        <v>#∂Excel Error: Invalid seed specified.</v>
      </c>
      <c r="AB69" s="139" t="str">
        <f ca="1"/>
        <v>#∂Excel Error: Invalid seed specified.</v>
      </c>
    </row>
    <row r="70" spans="4:28" x14ac:dyDescent="0.25">
      <c r="D70" s="138">
        <f ca="1"/>
        <v>0.32788629545256831</v>
      </c>
      <c r="E70" s="324">
        <f ca="1"/>
        <v>1.720830635000675</v>
      </c>
      <c r="F70" s="324">
        <f ca="1"/>
        <v>0.27993766822148569</v>
      </c>
      <c r="G70" s="324">
        <f ca="1"/>
        <v>0.52525898259965065</v>
      </c>
      <c r="H70" s="139">
        <f ca="1"/>
        <v>-0.71433261283908289</v>
      </c>
      <c r="M70" s="138">
        <f ca="1"/>
        <v>-0.17137934096129473</v>
      </c>
      <c r="N70" s="324">
        <f ca="1"/>
        <v>-1.4137685416507724</v>
      </c>
      <c r="O70" s="324">
        <f ca="1"/>
        <v>1.3137494598981474</v>
      </c>
      <c r="P70" s="324">
        <f ca="1"/>
        <v>-0.92973020518779026</v>
      </c>
      <c r="Q70" s="139">
        <f ca="1"/>
        <v>-1.3744738062435626</v>
      </c>
      <c r="X70" s="138" t="str">
        <f ca="1"/>
        <v>#∂Excel Error: Invalid seed specified.</v>
      </c>
      <c r="Y70" s="324" t="str">
        <f ca="1"/>
        <v>#∂Excel Error: Invalid seed specified.</v>
      </c>
      <c r="Z70" s="324" t="str">
        <f ca="1"/>
        <v>#∂Excel Error: Invalid seed specified.</v>
      </c>
      <c r="AA70" s="324" t="str">
        <f ca="1"/>
        <v>#∂Excel Error: Invalid seed specified.</v>
      </c>
      <c r="AB70" s="139" t="str">
        <f ca="1"/>
        <v>#∂Excel Error: Invalid seed specified.</v>
      </c>
    </row>
    <row r="71" spans="4:28" x14ac:dyDescent="0.25">
      <c r="D71" s="138">
        <f ca="1"/>
        <v>-0.35007770185857218</v>
      </c>
      <c r="E71" s="324">
        <f ca="1"/>
        <v>1.1800027393927328</v>
      </c>
      <c r="F71" s="324">
        <f ca="1"/>
        <v>-0.62779716766341387</v>
      </c>
      <c r="G71" s="324">
        <f ca="1"/>
        <v>1.0849418236383948</v>
      </c>
      <c r="H71" s="139">
        <f ca="1"/>
        <v>-0.6285170754115107</v>
      </c>
      <c r="M71" s="138">
        <f ca="1"/>
        <v>-0.13000892609605466</v>
      </c>
      <c r="N71" s="324">
        <f ca="1"/>
        <v>5.6864909517766578E-2</v>
      </c>
      <c r="O71" s="324">
        <f ca="1"/>
        <v>4.8518437615286188E-2</v>
      </c>
      <c r="P71" s="324">
        <f ca="1"/>
        <v>-0.27679657082447529</v>
      </c>
      <c r="Q71" s="139">
        <f ca="1"/>
        <v>0.3983436126996816</v>
      </c>
      <c r="X71" s="138" t="str">
        <f ca="1"/>
        <v>#∂Excel Error: Invalid seed specified.</v>
      </c>
      <c r="Y71" s="324" t="str">
        <f ca="1"/>
        <v>#∂Excel Error: Invalid seed specified.</v>
      </c>
      <c r="Z71" s="324" t="str">
        <f ca="1"/>
        <v>#∂Excel Error: Invalid seed specified.</v>
      </c>
      <c r="AA71" s="324" t="str">
        <f ca="1"/>
        <v>#∂Excel Error: Invalid seed specified.</v>
      </c>
      <c r="AB71" s="139" t="str">
        <f ca="1"/>
        <v>#∂Excel Error: Invalid seed specified.</v>
      </c>
    </row>
    <row r="72" spans="4:28" x14ac:dyDescent="0.25">
      <c r="D72" s="138">
        <f ca="1"/>
        <v>-1.1500680545803554</v>
      </c>
      <c r="E72" s="324">
        <f ca="1"/>
        <v>-0.18806037521523697</v>
      </c>
      <c r="F72" s="324">
        <f ca="1"/>
        <v>0.16243660080584485</v>
      </c>
      <c r="G72" s="324">
        <f ca="1"/>
        <v>-0.62663170461412543</v>
      </c>
      <c r="H72" s="139">
        <f ca="1"/>
        <v>1.6118611296858081</v>
      </c>
      <c r="M72" s="138">
        <f ca="1"/>
        <v>0.21316587955861863</v>
      </c>
      <c r="N72" s="324">
        <f ca="1"/>
        <v>-0.11127616437943071</v>
      </c>
      <c r="O72" s="324">
        <f ca="1"/>
        <v>0.2871796449666642</v>
      </c>
      <c r="P72" s="324">
        <f ca="1"/>
        <v>2.0282171333757666</v>
      </c>
      <c r="Q72" s="139">
        <f ca="1"/>
        <v>-0.19089125302200488</v>
      </c>
      <c r="X72" s="138" t="str">
        <f ca="1"/>
        <v>#∂Excel Error: Invalid seed specified.</v>
      </c>
      <c r="Y72" s="324" t="str">
        <f ca="1"/>
        <v>#∂Excel Error: Invalid seed specified.</v>
      </c>
      <c r="Z72" s="324" t="str">
        <f ca="1"/>
        <v>#∂Excel Error: Invalid seed specified.</v>
      </c>
      <c r="AA72" s="324" t="str">
        <f ca="1"/>
        <v>#∂Excel Error: Invalid seed specified.</v>
      </c>
      <c r="AB72" s="139" t="str">
        <f ca="1"/>
        <v>#∂Excel Error: Invalid seed specified.</v>
      </c>
    </row>
    <row r="73" spans="4:28" x14ac:dyDescent="0.25">
      <c r="D73" s="138">
        <f ca="1"/>
        <v>0.64691193539250558</v>
      </c>
      <c r="E73" s="324">
        <f ca="1"/>
        <v>0.89115808668949248</v>
      </c>
      <c r="F73" s="324">
        <f ca="1"/>
        <v>0.9860723619258096</v>
      </c>
      <c r="G73" s="324">
        <f ca="1"/>
        <v>-0.506742454491937</v>
      </c>
      <c r="H73" s="139">
        <f ca="1"/>
        <v>7.2347348245717744E-2</v>
      </c>
      <c r="M73" s="138">
        <f ca="1"/>
        <v>0.21732956590531899</v>
      </c>
      <c r="N73" s="324">
        <f ca="1"/>
        <v>0.51944628309764307</v>
      </c>
      <c r="O73" s="324">
        <f ca="1"/>
        <v>0.30534934436910621</v>
      </c>
      <c r="P73" s="324">
        <f ca="1"/>
        <v>7.3011288036142721E-2</v>
      </c>
      <c r="Q73" s="139">
        <f ca="1"/>
        <v>1.7621279601644855</v>
      </c>
      <c r="X73" s="138" t="str">
        <f ca="1"/>
        <v>#∂Excel Error: Invalid seed specified.</v>
      </c>
      <c r="Y73" s="324" t="str">
        <f ca="1"/>
        <v>#∂Excel Error: Invalid seed specified.</v>
      </c>
      <c r="Z73" s="324" t="str">
        <f ca="1"/>
        <v>#∂Excel Error: Invalid seed specified.</v>
      </c>
      <c r="AA73" s="324" t="str">
        <f ca="1"/>
        <v>#∂Excel Error: Invalid seed specified.</v>
      </c>
      <c r="AB73" s="139" t="str">
        <f ca="1"/>
        <v>#∂Excel Error: Invalid seed specified.</v>
      </c>
    </row>
    <row r="74" spans="4:28" x14ac:dyDescent="0.25">
      <c r="D74" s="138">
        <f ca="1"/>
        <v>2.1332675037689501</v>
      </c>
      <c r="E74" s="324">
        <f ca="1"/>
        <v>1.0044329379325341E-2</v>
      </c>
      <c r="F74" s="324">
        <f ca="1"/>
        <v>2.7930281231195897</v>
      </c>
      <c r="G74" s="324">
        <f ca="1"/>
        <v>4.7540172641717976E-2</v>
      </c>
      <c r="H74" s="139">
        <f ca="1"/>
        <v>0.14952454772362248</v>
      </c>
      <c r="M74" s="138">
        <f ca="1"/>
        <v>-0.74414427156586105</v>
      </c>
      <c r="N74" s="324">
        <f ca="1"/>
        <v>-0.56168824610542833</v>
      </c>
      <c r="O74" s="324">
        <f ca="1"/>
        <v>0.66716302719147547</v>
      </c>
      <c r="P74" s="324">
        <f ca="1"/>
        <v>-0.11998441182859643</v>
      </c>
      <c r="Q74" s="139">
        <f ca="1"/>
        <v>-0.50845011391018291</v>
      </c>
      <c r="X74" s="138" t="str">
        <f ca="1"/>
        <v>#∂Excel Error: Invalid seed specified.</v>
      </c>
      <c r="Y74" s="324" t="str">
        <f ca="1"/>
        <v>#∂Excel Error: Invalid seed specified.</v>
      </c>
      <c r="Z74" s="324" t="str">
        <f ca="1"/>
        <v>#∂Excel Error: Invalid seed specified.</v>
      </c>
      <c r="AA74" s="324" t="str">
        <f ca="1"/>
        <v>#∂Excel Error: Invalid seed specified.</v>
      </c>
      <c r="AB74" s="139" t="str">
        <f ca="1"/>
        <v>#∂Excel Error: Invalid seed specified.</v>
      </c>
    </row>
    <row r="75" spans="4:28" x14ac:dyDescent="0.25">
      <c r="D75" s="138">
        <f ca="1"/>
        <v>-0.99466901445455624</v>
      </c>
      <c r="E75" s="324">
        <f ca="1"/>
        <v>0.50225278398034379</v>
      </c>
      <c r="F75" s="324">
        <f ca="1"/>
        <v>0.62792680297973469</v>
      </c>
      <c r="G75" s="324">
        <f ca="1"/>
        <v>2.0691183604794094</v>
      </c>
      <c r="H75" s="139">
        <f ca="1"/>
        <v>-1.04703872441546</v>
      </c>
      <c r="M75" s="138">
        <f ca="1"/>
        <v>-5.8344663405788651E-2</v>
      </c>
      <c r="N75" s="324">
        <f ca="1"/>
        <v>-1.7236975823573328</v>
      </c>
      <c r="O75" s="324">
        <f ca="1"/>
        <v>1.6213939623926772</v>
      </c>
      <c r="P75" s="324">
        <f ca="1"/>
        <v>-1.8272070563686149</v>
      </c>
      <c r="Q75" s="139">
        <f ca="1"/>
        <v>-0.45861539621643094</v>
      </c>
      <c r="X75" s="138" t="str">
        <f ca="1"/>
        <v>#∂Excel Error: Invalid seed specified.</v>
      </c>
      <c r="Y75" s="324" t="str">
        <f ca="1"/>
        <v>#∂Excel Error: Invalid seed specified.</v>
      </c>
      <c r="Z75" s="324" t="str">
        <f ca="1"/>
        <v>#∂Excel Error: Invalid seed specified.</v>
      </c>
      <c r="AA75" s="324" t="str">
        <f ca="1"/>
        <v>#∂Excel Error: Invalid seed specified.</v>
      </c>
      <c r="AB75" s="139" t="str">
        <f ca="1"/>
        <v>#∂Excel Error: Invalid seed specified.</v>
      </c>
    </row>
    <row r="76" spans="4:28" x14ac:dyDescent="0.25">
      <c r="D76" s="138">
        <f ca="1"/>
        <v>-0.14279798956905393</v>
      </c>
      <c r="E76" s="324">
        <f ca="1"/>
        <v>2.6249780866021383E-2</v>
      </c>
      <c r="F76" s="324">
        <f ca="1"/>
        <v>-0.65969703489988807</v>
      </c>
      <c r="G76" s="324">
        <f ca="1"/>
        <v>-0.925057575262345</v>
      </c>
      <c r="H76" s="139">
        <f ca="1"/>
        <v>0.69780853400880927</v>
      </c>
      <c r="M76" s="138">
        <f ca="1"/>
        <v>1.1563903405265823</v>
      </c>
      <c r="N76" s="324">
        <f ca="1"/>
        <v>0.37826849458779621</v>
      </c>
      <c r="O76" s="324">
        <f ca="1"/>
        <v>0.50002497482035391</v>
      </c>
      <c r="P76" s="324">
        <f ca="1"/>
        <v>-5.0254346324214411E-2</v>
      </c>
      <c r="Q76" s="139">
        <f ca="1"/>
        <v>1.8856670568494782</v>
      </c>
      <c r="X76" s="138" t="str">
        <f ca="1"/>
        <v>#∂Excel Error: Invalid seed specified.</v>
      </c>
      <c r="Y76" s="324" t="str">
        <f ca="1"/>
        <v>#∂Excel Error: Invalid seed specified.</v>
      </c>
      <c r="Z76" s="324" t="str">
        <f ca="1"/>
        <v>#∂Excel Error: Invalid seed specified.</v>
      </c>
      <c r="AA76" s="324" t="str">
        <f ca="1"/>
        <v>#∂Excel Error: Invalid seed specified.</v>
      </c>
      <c r="AB76" s="139" t="str">
        <f ca="1"/>
        <v>#∂Excel Error: Invalid seed specified.</v>
      </c>
    </row>
    <row r="77" spans="4:28" x14ac:dyDescent="0.25">
      <c r="D77" s="138">
        <f ca="1"/>
        <v>1.092291704880513</v>
      </c>
      <c r="E77" s="324">
        <f ca="1"/>
        <v>0.50433622145908918</v>
      </c>
      <c r="F77" s="324">
        <f ca="1"/>
        <v>1.0826951457065646</v>
      </c>
      <c r="G77" s="324">
        <f ca="1"/>
        <v>0.59345089881883117</v>
      </c>
      <c r="H77" s="139">
        <f ca="1"/>
        <v>1.1610661581658341E-2</v>
      </c>
      <c r="M77" s="138">
        <f ca="1"/>
        <v>0.6618815891324128</v>
      </c>
      <c r="N77" s="324">
        <f ca="1"/>
        <v>-0.71642164299468625</v>
      </c>
      <c r="O77" s="324">
        <f ca="1"/>
        <v>0.22638310155023916</v>
      </c>
      <c r="P77" s="324">
        <f ca="1"/>
        <v>0.58755850341000726</v>
      </c>
      <c r="Q77" s="139">
        <f ca="1"/>
        <v>-1.3159628045065328</v>
      </c>
      <c r="X77" s="138" t="str">
        <f ca="1"/>
        <v>#∂Excel Error: Invalid seed specified.</v>
      </c>
      <c r="Y77" s="324" t="str">
        <f ca="1"/>
        <v>#∂Excel Error: Invalid seed specified.</v>
      </c>
      <c r="Z77" s="324" t="str">
        <f ca="1"/>
        <v>#∂Excel Error: Invalid seed specified.</v>
      </c>
      <c r="AA77" s="324" t="str">
        <f ca="1"/>
        <v>#∂Excel Error: Invalid seed specified.</v>
      </c>
      <c r="AB77" s="139" t="str">
        <f ca="1"/>
        <v>#∂Excel Error: Invalid seed specified.</v>
      </c>
    </row>
    <row r="78" spans="4:28" x14ac:dyDescent="0.25">
      <c r="D78" s="138">
        <f ca="1"/>
        <v>0.80488972711453355</v>
      </c>
      <c r="E78" s="324">
        <f ca="1"/>
        <v>-2.1496502133888749</v>
      </c>
      <c r="F78" s="324">
        <f ca="1"/>
        <v>-2.1868193390200261</v>
      </c>
      <c r="G78" s="324">
        <f ca="1"/>
        <v>-8.0685653261843113E-2</v>
      </c>
      <c r="H78" s="139">
        <f ca="1"/>
        <v>-0.71874440154847874</v>
      </c>
      <c r="M78" s="138">
        <f ca="1"/>
        <v>-0.17623877884926553</v>
      </c>
      <c r="N78" s="324">
        <f ca="1"/>
        <v>-0.96587227810779952</v>
      </c>
      <c r="O78" s="324">
        <f ca="1"/>
        <v>0.84095438426487945</v>
      </c>
      <c r="P78" s="324">
        <f ca="1"/>
        <v>0.56989114492604054</v>
      </c>
      <c r="Q78" s="139">
        <f ca="1"/>
        <v>-2.2927909139012441</v>
      </c>
      <c r="X78" s="138" t="str">
        <f ca="1"/>
        <v>#∂Excel Error: Invalid seed specified.</v>
      </c>
      <c r="Y78" s="324" t="str">
        <f ca="1"/>
        <v>#∂Excel Error: Invalid seed specified.</v>
      </c>
      <c r="Z78" s="324" t="str">
        <f ca="1"/>
        <v>#∂Excel Error: Invalid seed specified.</v>
      </c>
      <c r="AA78" s="324" t="str">
        <f ca="1"/>
        <v>#∂Excel Error: Invalid seed specified.</v>
      </c>
      <c r="AB78" s="139" t="str">
        <f ca="1"/>
        <v>#∂Excel Error: Invalid seed specified.</v>
      </c>
    </row>
    <row r="79" spans="4:28" x14ac:dyDescent="0.25">
      <c r="D79" s="138">
        <f ca="1"/>
        <v>0.80605770412109401</v>
      </c>
      <c r="E79" s="324">
        <f ca="1"/>
        <v>0.98500956747093471</v>
      </c>
      <c r="F79" s="324">
        <f ca="1"/>
        <v>-0.51374156559767825</v>
      </c>
      <c r="G79" s="324">
        <f ca="1"/>
        <v>-0.10210221862083954</v>
      </c>
      <c r="H79" s="139">
        <f ca="1"/>
        <v>-0.52081378098183195</v>
      </c>
      <c r="M79" s="138">
        <f ca="1"/>
        <v>0.79907787176492862</v>
      </c>
      <c r="N79" s="324">
        <f ca="1"/>
        <v>-0.81709168268332433</v>
      </c>
      <c r="O79" s="324">
        <f ca="1"/>
        <v>-1.8691410132136526</v>
      </c>
      <c r="P79" s="324">
        <f ca="1"/>
        <v>2.2380871503153985</v>
      </c>
      <c r="Q79" s="139">
        <f ca="1"/>
        <v>1.4438528614861212</v>
      </c>
      <c r="X79" s="138" t="str">
        <f ca="1"/>
        <v>#∂Excel Error: Invalid seed specified.</v>
      </c>
      <c r="Y79" s="324" t="str">
        <f ca="1"/>
        <v>#∂Excel Error: Invalid seed specified.</v>
      </c>
      <c r="Z79" s="324" t="str">
        <f ca="1"/>
        <v>#∂Excel Error: Invalid seed specified.</v>
      </c>
      <c r="AA79" s="324" t="str">
        <f ca="1"/>
        <v>#∂Excel Error: Invalid seed specified.</v>
      </c>
      <c r="AB79" s="139" t="str">
        <f ca="1"/>
        <v>#∂Excel Error: Invalid seed specified.</v>
      </c>
    </row>
    <row r="80" spans="4:28" x14ac:dyDescent="0.25">
      <c r="D80" s="138">
        <f ca="1"/>
        <v>0.82079536005409337</v>
      </c>
      <c r="E80" s="324">
        <f ca="1"/>
        <v>0.61793246371250865</v>
      </c>
      <c r="F80" s="324">
        <f ca="1"/>
        <v>-1.3466588678274796</v>
      </c>
      <c r="G80" s="324">
        <f ca="1"/>
        <v>-0.12827791600451344</v>
      </c>
      <c r="H80" s="139">
        <f ca="1"/>
        <v>-0.17698844504820233</v>
      </c>
      <c r="M80" s="138">
        <f ca="1"/>
        <v>-0.68497135576353818</v>
      </c>
      <c r="N80" s="324">
        <f ca="1"/>
        <v>-1.3143861424564045</v>
      </c>
      <c r="O80" s="324">
        <f ca="1"/>
        <v>-1.553585945450358</v>
      </c>
      <c r="P80" s="324">
        <f ca="1"/>
        <v>-1.2530812213341398</v>
      </c>
      <c r="Q80" s="139">
        <f ca="1"/>
        <v>-0.4828122874240558</v>
      </c>
      <c r="X80" s="138" t="str">
        <f ca="1"/>
        <v>#∂Excel Error: Invalid seed specified.</v>
      </c>
      <c r="Y80" s="324" t="str">
        <f ca="1"/>
        <v>#∂Excel Error: Invalid seed specified.</v>
      </c>
      <c r="Z80" s="324" t="str">
        <f ca="1"/>
        <v>#∂Excel Error: Invalid seed specified.</v>
      </c>
      <c r="AA80" s="324" t="str">
        <f ca="1"/>
        <v>#∂Excel Error: Invalid seed specified.</v>
      </c>
      <c r="AB80" s="139" t="str">
        <f ca="1"/>
        <v>#∂Excel Error: Invalid seed specified.</v>
      </c>
    </row>
    <row r="81" spans="4:28" x14ac:dyDescent="0.25">
      <c r="D81" s="138">
        <f ca="1"/>
        <v>-2.5528312879719279</v>
      </c>
      <c r="E81" s="324">
        <f ca="1"/>
        <v>0.29691031563146875</v>
      </c>
      <c r="F81" s="324">
        <f ca="1"/>
        <v>0.27808394980380907</v>
      </c>
      <c r="G81" s="324">
        <f ca="1"/>
        <v>0.44539774631615076</v>
      </c>
      <c r="H81" s="139">
        <f ca="1"/>
        <v>-0.31079358334370855</v>
      </c>
      <c r="M81" s="138">
        <f ca="1"/>
        <v>-0.57212801220906095</v>
      </c>
      <c r="N81" s="324">
        <f ca="1"/>
        <v>-0.85106501351378305</v>
      </c>
      <c r="O81" s="324">
        <f ca="1"/>
        <v>2.4135363275616228</v>
      </c>
      <c r="P81" s="324">
        <f ca="1"/>
        <v>0.92348077876316226</v>
      </c>
      <c r="Q81" s="139">
        <f ca="1"/>
        <v>-0.12432785399757487</v>
      </c>
      <c r="X81" s="138" t="str">
        <f ca="1"/>
        <v>#∂Excel Error: Invalid seed specified.</v>
      </c>
      <c r="Y81" s="324" t="str">
        <f ca="1"/>
        <v>#∂Excel Error: Invalid seed specified.</v>
      </c>
      <c r="Z81" s="324" t="str">
        <f ca="1"/>
        <v>#∂Excel Error: Invalid seed specified.</v>
      </c>
      <c r="AA81" s="324" t="str">
        <f ca="1"/>
        <v>#∂Excel Error: Invalid seed specified.</v>
      </c>
      <c r="AB81" s="139" t="str">
        <f ca="1"/>
        <v>#∂Excel Error: Invalid seed specified.</v>
      </c>
    </row>
    <row r="82" spans="4:28" x14ac:dyDescent="0.25">
      <c r="D82" s="138">
        <f ca="1"/>
        <v>-0.35508869593067621</v>
      </c>
      <c r="E82" s="324">
        <f ca="1"/>
        <v>2.473226548926343</v>
      </c>
      <c r="F82" s="324">
        <f ca="1"/>
        <v>1.5462889736876682</v>
      </c>
      <c r="G82" s="324">
        <f ca="1"/>
        <v>-0.26354671448282113</v>
      </c>
      <c r="H82" s="139">
        <f ca="1"/>
        <v>-0.26861340529971534</v>
      </c>
      <c r="M82" s="138">
        <f ca="1"/>
        <v>0.81217781692475655</v>
      </c>
      <c r="N82" s="324">
        <f ca="1"/>
        <v>0.18840451742376257</v>
      </c>
      <c r="O82" s="324">
        <f ca="1"/>
        <v>0.56216087938622528</v>
      </c>
      <c r="P82" s="324">
        <f ca="1"/>
        <v>-0.23500757128748484</v>
      </c>
      <c r="Q82" s="139">
        <f ca="1"/>
        <v>-1.6490730224922501</v>
      </c>
      <c r="X82" s="138" t="str">
        <f ca="1"/>
        <v>#∂Excel Error: Invalid seed specified.</v>
      </c>
      <c r="Y82" s="324" t="str">
        <f ca="1"/>
        <v>#∂Excel Error: Invalid seed specified.</v>
      </c>
      <c r="Z82" s="324" t="str">
        <f ca="1"/>
        <v>#∂Excel Error: Invalid seed specified.</v>
      </c>
      <c r="AA82" s="324" t="str">
        <f ca="1"/>
        <v>#∂Excel Error: Invalid seed specified.</v>
      </c>
      <c r="AB82" s="139" t="str">
        <f ca="1"/>
        <v>#∂Excel Error: Invalid seed specified.</v>
      </c>
    </row>
    <row r="83" spans="4:28" x14ac:dyDescent="0.25">
      <c r="D83" s="138">
        <f ca="1"/>
        <v>-9.1431096942242635E-2</v>
      </c>
      <c r="E83" s="324">
        <f ca="1"/>
        <v>0.42641284474781083</v>
      </c>
      <c r="F83" s="324">
        <f ca="1"/>
        <v>-0.5923458699002222</v>
      </c>
      <c r="G83" s="324">
        <f ca="1"/>
        <v>1.2013235212028235</v>
      </c>
      <c r="H83" s="139">
        <f ca="1"/>
        <v>2.3611673657222285</v>
      </c>
      <c r="M83" s="138">
        <f ca="1"/>
        <v>-1.1268182682284105</v>
      </c>
      <c r="N83" s="324">
        <f ca="1"/>
        <v>1.2922284802912445</v>
      </c>
      <c r="O83" s="324">
        <f ca="1"/>
        <v>0.2314069179008314</v>
      </c>
      <c r="P83" s="324">
        <f ca="1"/>
        <v>-0.32896713333665484</v>
      </c>
      <c r="Q83" s="139">
        <f ca="1"/>
        <v>-5.3625760536624628E-2</v>
      </c>
      <c r="X83" s="138" t="str">
        <f ca="1"/>
        <v>#∂Excel Error: Invalid seed specified.</v>
      </c>
      <c r="Y83" s="324" t="str">
        <f ca="1"/>
        <v>#∂Excel Error: Invalid seed specified.</v>
      </c>
      <c r="Z83" s="324" t="str">
        <f ca="1"/>
        <v>#∂Excel Error: Invalid seed specified.</v>
      </c>
      <c r="AA83" s="324" t="str">
        <f ca="1"/>
        <v>#∂Excel Error: Invalid seed specified.</v>
      </c>
      <c r="AB83" s="139" t="str">
        <f ca="1"/>
        <v>#∂Excel Error: Invalid seed specified.</v>
      </c>
    </row>
    <row r="84" spans="4:28" x14ac:dyDescent="0.25">
      <c r="D84" s="138">
        <f ca="1"/>
        <v>-0.21187073507578053</v>
      </c>
      <c r="E84" s="324">
        <f ca="1"/>
        <v>-0.98270009982047668</v>
      </c>
      <c r="F84" s="324">
        <f ca="1"/>
        <v>1.9342596462199904</v>
      </c>
      <c r="G84" s="324">
        <f ca="1"/>
        <v>0.81312021724325545</v>
      </c>
      <c r="H84" s="139">
        <f ca="1"/>
        <v>2.6847701181165196E-2</v>
      </c>
      <c r="M84" s="138">
        <f ca="1"/>
        <v>-6.3698463120687623E-2</v>
      </c>
      <c r="N84" s="324">
        <f ca="1"/>
        <v>-8.8031901239865581E-2</v>
      </c>
      <c r="O84" s="324">
        <f ca="1"/>
        <v>-1.1448305568622199</v>
      </c>
      <c r="P84" s="324">
        <f ca="1"/>
        <v>-0.85451505407176054</v>
      </c>
      <c r="Q84" s="139">
        <f ca="1"/>
        <v>-1.4033485337367317</v>
      </c>
      <c r="X84" s="138" t="str">
        <f ca="1"/>
        <v>#∂Excel Error: Invalid seed specified.</v>
      </c>
      <c r="Y84" s="324" t="str">
        <f ca="1"/>
        <v>#∂Excel Error: Invalid seed specified.</v>
      </c>
      <c r="Z84" s="324" t="str">
        <f ca="1"/>
        <v>#∂Excel Error: Invalid seed specified.</v>
      </c>
      <c r="AA84" s="324" t="str">
        <f ca="1"/>
        <v>#∂Excel Error: Invalid seed specified.</v>
      </c>
      <c r="AB84" s="139" t="str">
        <f ca="1"/>
        <v>#∂Excel Error: Invalid seed specified.</v>
      </c>
    </row>
    <row r="85" spans="4:28" x14ac:dyDescent="0.25">
      <c r="D85" s="138">
        <f ca="1"/>
        <v>-0.30267530359008576</v>
      </c>
      <c r="E85" s="324">
        <f ca="1"/>
        <v>-0.10619811325803392</v>
      </c>
      <c r="F85" s="324">
        <f ca="1"/>
        <v>1.1920352851635663</v>
      </c>
      <c r="G85" s="324">
        <f ca="1"/>
        <v>-4.2323241996771725E-2</v>
      </c>
      <c r="H85" s="139">
        <f ca="1"/>
        <v>0.82332740776042657</v>
      </c>
      <c r="M85" s="138">
        <f ca="1"/>
        <v>-0.43271540869684222</v>
      </c>
      <c r="N85" s="324">
        <f ca="1"/>
        <v>0.95332799904141108</v>
      </c>
      <c r="O85" s="324">
        <f ca="1"/>
        <v>-0.8166695777774633</v>
      </c>
      <c r="P85" s="324">
        <f ca="1"/>
        <v>0.3180918659909947</v>
      </c>
      <c r="Q85" s="139">
        <f ca="1"/>
        <v>0.13492307904367792</v>
      </c>
      <c r="X85" s="138" t="str">
        <f ca="1"/>
        <v>#∂Excel Error: Invalid seed specified.</v>
      </c>
      <c r="Y85" s="324" t="str">
        <f ca="1"/>
        <v>#∂Excel Error: Invalid seed specified.</v>
      </c>
      <c r="Z85" s="324" t="str">
        <f ca="1"/>
        <v>#∂Excel Error: Invalid seed specified.</v>
      </c>
      <c r="AA85" s="324" t="str">
        <f ca="1"/>
        <v>#∂Excel Error: Invalid seed specified.</v>
      </c>
      <c r="AB85" s="139" t="str">
        <f ca="1"/>
        <v>#∂Excel Error: Invalid seed specified.</v>
      </c>
    </row>
    <row r="86" spans="4:28" x14ac:dyDescent="0.25">
      <c r="D86" s="138">
        <f ca="1"/>
        <v>0.21279899182954726</v>
      </c>
      <c r="E86" s="324">
        <f ca="1"/>
        <v>-1.1424438777784323</v>
      </c>
      <c r="F86" s="324">
        <f ca="1"/>
        <v>-2.1354251794755204E-2</v>
      </c>
      <c r="G86" s="324">
        <f ca="1"/>
        <v>-1.6548896512828936E-2</v>
      </c>
      <c r="H86" s="139">
        <f ca="1"/>
        <v>-1.1483938988369959</v>
      </c>
      <c r="M86" s="138">
        <f ca="1"/>
        <v>-1.5456092192832598</v>
      </c>
      <c r="N86" s="324">
        <f ca="1"/>
        <v>0.27692707283792395</v>
      </c>
      <c r="O86" s="324">
        <f ca="1"/>
        <v>-0.56232554324210837</v>
      </c>
      <c r="P86" s="324">
        <f ca="1"/>
        <v>1.443198918277395</v>
      </c>
      <c r="Q86" s="139">
        <f ca="1"/>
        <v>-0.48896478000211291</v>
      </c>
      <c r="X86" s="138" t="str">
        <f ca="1"/>
        <v>#∂Excel Error: Invalid seed specified.</v>
      </c>
      <c r="Y86" s="324" t="str">
        <f ca="1"/>
        <v>#∂Excel Error: Invalid seed specified.</v>
      </c>
      <c r="Z86" s="324" t="str">
        <f ca="1"/>
        <v>#∂Excel Error: Invalid seed specified.</v>
      </c>
      <c r="AA86" s="324" t="str">
        <f ca="1"/>
        <v>#∂Excel Error: Invalid seed specified.</v>
      </c>
      <c r="AB86" s="139" t="str">
        <f ca="1"/>
        <v>#∂Excel Error: Invalid seed specified.</v>
      </c>
    </row>
    <row r="87" spans="4:28" x14ac:dyDescent="0.25">
      <c r="D87" s="140">
        <f ca="1"/>
        <v>5.1409210374823731E-2</v>
      </c>
      <c r="E87" s="222">
        <f ca="1"/>
        <v>-0.21243260074195636</v>
      </c>
      <c r="F87" s="222">
        <f ca="1"/>
        <v>-0.55942050834103574</v>
      </c>
      <c r="G87" s="222">
        <f ca="1"/>
        <v>-0.21798606731311601</v>
      </c>
      <c r="H87" s="141">
        <f ca="1"/>
        <v>-0.77437601649928833</v>
      </c>
      <c r="M87" s="140">
        <f ca="1"/>
        <v>0.48221735980059049</v>
      </c>
      <c r="N87" s="222">
        <f ca="1"/>
        <v>1.0858635633340175</v>
      </c>
      <c r="O87" s="222">
        <f ca="1"/>
        <v>0.57620459626134668</v>
      </c>
      <c r="P87" s="222">
        <f ca="1"/>
        <v>-1.9795871590840792</v>
      </c>
      <c r="Q87" s="141">
        <f ca="1"/>
        <v>-5.5918273989071371E-2</v>
      </c>
      <c r="X87" s="140" t="str">
        <f ca="1"/>
        <v>#∂Excel Error: Invalid seed specified.</v>
      </c>
      <c r="Y87" s="222" t="str">
        <f ca="1"/>
        <v>#∂Excel Error: Invalid seed specified.</v>
      </c>
      <c r="Z87" s="222" t="str">
        <f ca="1"/>
        <v>#∂Excel Error: Invalid seed specified.</v>
      </c>
      <c r="AA87" s="222" t="str">
        <f ca="1"/>
        <v>#∂Excel Error: Invalid seed specified.</v>
      </c>
      <c r="AB87" s="141" t="str">
        <f ca="1"/>
        <v>#∂Excel Error: Invalid seed specified.</v>
      </c>
    </row>
  </sheetData>
  <conditionalFormatting sqref="D7:D8">
    <cfRule type="cellIs" dxfId="294" priority="88" stopIfTrue="1" operator="equal">
      <formula>"ERROR"</formula>
    </cfRule>
    <cfRule type="cellIs" dxfId="293" priority="89" stopIfTrue="1" operator="equal">
      <formula>"OK"</formula>
    </cfRule>
    <cfRule type="cellIs" dxfId="292" priority="90" stopIfTrue="1" operator="equal">
      <formula>"WARNING"</formula>
    </cfRule>
  </conditionalFormatting>
  <conditionalFormatting sqref="C4">
    <cfRule type="cellIs" dxfId="291" priority="85" stopIfTrue="1" operator="equal">
      <formula>"ERROR"</formula>
    </cfRule>
    <cfRule type="cellIs" dxfId="290" priority="86" stopIfTrue="1" operator="equal">
      <formula>"OK"</formula>
    </cfRule>
    <cfRule type="cellIs" dxfId="289" priority="87" stopIfTrue="1" operator="equal">
      <formula>"WARNING"</formula>
    </cfRule>
  </conditionalFormatting>
  <conditionalFormatting sqref="C14">
    <cfRule type="cellIs" dxfId="288" priority="82" stopIfTrue="1" operator="equal">
      <formula>"ERROR"</formula>
    </cfRule>
  </conditionalFormatting>
  <conditionalFormatting sqref="C14">
    <cfRule type="cellIs" dxfId="287" priority="83" stopIfTrue="1" operator="equal">
      <formula>"OK"</formula>
    </cfRule>
  </conditionalFormatting>
  <conditionalFormatting sqref="C14">
    <cfRule type="cellIs" dxfId="286" priority="84" stopIfTrue="1" operator="equal">
      <formula>"WARNING"</formula>
    </cfRule>
  </conditionalFormatting>
  <conditionalFormatting sqref="L19:N21">
    <cfRule type="cellIs" dxfId="285" priority="91" stopIfTrue="1" operator="equal">
      <formula>"ERROR"</formula>
    </cfRule>
    <cfRule type="cellIs" dxfId="284" priority="92" stopIfTrue="1" operator="equal">
      <formula>"OK"</formula>
    </cfRule>
    <cfRule type="cellIs" dxfId="283" priority="93" stopIfTrue="1" operator="equal">
      <formula>"WARNING"</formula>
    </cfRule>
  </conditionalFormatting>
  <conditionalFormatting sqref="D9">
    <cfRule type="cellIs" dxfId="282" priority="43" stopIfTrue="1" operator="equal">
      <formula>"ERROR"</formula>
    </cfRule>
    <cfRule type="cellIs" dxfId="281" priority="44" stopIfTrue="1" operator="equal">
      <formula>"OK"</formula>
    </cfRule>
    <cfRule type="cellIs" dxfId="280" priority="45" stopIfTrue="1" operator="equal">
      <formula>"WARNING"</formula>
    </cfRule>
  </conditionalFormatting>
  <conditionalFormatting sqref="V19">
    <cfRule type="cellIs" dxfId="279" priority="40" stopIfTrue="1" operator="equal">
      <formula>"ERROR"</formula>
    </cfRule>
    <cfRule type="cellIs" dxfId="278" priority="41" stopIfTrue="1" operator="equal">
      <formula>"OK"</formula>
    </cfRule>
    <cfRule type="cellIs" dxfId="277" priority="42" stopIfTrue="1" operator="equal">
      <formula>"WARNING"</formula>
    </cfRule>
  </conditionalFormatting>
  <conditionalFormatting sqref="AD19">
    <cfRule type="cellIs" dxfId="276" priority="37" stopIfTrue="1" operator="equal">
      <formula>"ERROR"</formula>
    </cfRule>
    <cfRule type="cellIs" dxfId="275" priority="38" stopIfTrue="1" operator="equal">
      <formula>"OK"</formula>
    </cfRule>
    <cfRule type="cellIs" dxfId="274" priority="39" stopIfTrue="1" operator="equal">
      <formula>"WARNING"</formula>
    </cfRule>
  </conditionalFormatting>
  <conditionalFormatting sqref="AL19">
    <cfRule type="cellIs" dxfId="273" priority="34" stopIfTrue="1" operator="equal">
      <formula>"ERROR"</formula>
    </cfRule>
    <cfRule type="cellIs" dxfId="272" priority="35" stopIfTrue="1" operator="equal">
      <formula>"OK"</formula>
    </cfRule>
    <cfRule type="cellIs" dxfId="271" priority="36" stopIfTrue="1" operator="equal">
      <formula>"WARNING"</formula>
    </cfRule>
  </conditionalFormatting>
  <conditionalFormatting sqref="C27">
    <cfRule type="cellIs" dxfId="270" priority="28" stopIfTrue="1" operator="equal">
      <formula>"ERROR"</formula>
    </cfRule>
  </conditionalFormatting>
  <conditionalFormatting sqref="C27">
    <cfRule type="cellIs" dxfId="269" priority="29" stopIfTrue="1" operator="equal">
      <formula>"OK"</formula>
    </cfRule>
  </conditionalFormatting>
  <conditionalFormatting sqref="C27">
    <cfRule type="cellIs" dxfId="268" priority="30" stopIfTrue="1" operator="equal">
      <formula>"WARNING"</formula>
    </cfRule>
  </conditionalFormatting>
  <conditionalFormatting sqref="L33:M34">
    <cfRule type="cellIs" dxfId="267" priority="31" stopIfTrue="1" operator="equal">
      <formula>"ERROR"</formula>
    </cfRule>
    <cfRule type="cellIs" dxfId="266" priority="32" stopIfTrue="1" operator="equal">
      <formula>"OK"</formula>
    </cfRule>
    <cfRule type="cellIs" dxfId="265" priority="33" stopIfTrue="1" operator="equal">
      <formula>"WARNING"</formula>
    </cfRule>
  </conditionalFormatting>
  <conditionalFormatting sqref="AB33:AD35">
    <cfRule type="cellIs" dxfId="264" priority="16" stopIfTrue="1" operator="equal">
      <formula>"ERROR"</formula>
    </cfRule>
    <cfRule type="cellIs" dxfId="263" priority="17" stopIfTrue="1" operator="equal">
      <formula>"OK"</formula>
    </cfRule>
    <cfRule type="cellIs" dxfId="262" priority="18" stopIfTrue="1" operator="equal">
      <formula>"WARNING"</formula>
    </cfRule>
  </conditionalFormatting>
  <conditionalFormatting sqref="C43">
    <cfRule type="cellIs" dxfId="261" priority="13" stopIfTrue="1" operator="equal">
      <formula>"ERROR"</formula>
    </cfRule>
  </conditionalFormatting>
  <conditionalFormatting sqref="C43">
    <cfRule type="cellIs" dxfId="260" priority="14" stopIfTrue="1" operator="equal">
      <formula>"OK"</formula>
    </cfRule>
  </conditionalFormatting>
  <conditionalFormatting sqref="C43">
    <cfRule type="cellIs" dxfId="259" priority="15" stopIfTrue="1" operator="equal">
      <formula>"WARNING"</formula>
    </cfRule>
  </conditionalFormatting>
  <conditionalFormatting sqref="J50:K50">
    <cfRule type="cellIs" dxfId="258" priority="10" stopIfTrue="1" operator="equal">
      <formula>"ERROR"</formula>
    </cfRule>
    <cfRule type="cellIs" dxfId="257" priority="11" stopIfTrue="1" operator="equal">
      <formula>"OK"</formula>
    </cfRule>
    <cfRule type="cellIs" dxfId="256" priority="12" stopIfTrue="1" operator="equal">
      <formula>"WARNING"</formula>
    </cfRule>
  </conditionalFormatting>
  <conditionalFormatting sqref="S50:T50">
    <cfRule type="cellIs" dxfId="255" priority="7" stopIfTrue="1" operator="equal">
      <formula>"ERROR"</formula>
    </cfRule>
    <cfRule type="cellIs" dxfId="254" priority="8" stopIfTrue="1" operator="equal">
      <formula>"OK"</formula>
    </cfRule>
    <cfRule type="cellIs" dxfId="253" priority="9" stopIfTrue="1" operator="equal">
      <formula>"WARNING"</formula>
    </cfRule>
  </conditionalFormatting>
  <conditionalFormatting sqref="AE48">
    <cfRule type="cellIs" dxfId="252" priority="1" stopIfTrue="1" operator="equal">
      <formula>"ERROR"</formula>
    </cfRule>
    <cfRule type="cellIs" dxfId="251" priority="2" stopIfTrue="1" operator="equal">
      <formula>"OK"</formula>
    </cfRule>
    <cfRule type="cellIs" dxfId="250" priority="3" stopIfTrue="1" operator="equal">
      <formula>"WARNING"</formula>
    </cfRule>
  </conditionalFormatting>
  <hyperlinks>
    <hyperlink ref="B1" location="Summary!A1" display="Summary!A1" xr:uid="{C953E8CE-F9B0-4635-AD33-59B44B53DCE7}"/>
    <hyperlink ref="B7:C7" location="$B$13" display="$B$13" xr:uid="{E4450090-8140-4882-9D4E-646D0A0830E1}"/>
    <hyperlink ref="B8:C8" location="$B$26" display="$B$26" xr:uid="{F7076B8E-761F-422D-95C7-88A540A4DFDD}"/>
    <hyperlink ref="B9:C9" location="$B$42" display="$B$42" xr:uid="{24C28D86-8B3F-4361-83C0-98370FFAED2D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756FC-83FE-45A2-A412-ED8F432E5765}">
  <sheetPr codeName="Sheet17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67" t="s">
        <v>121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CD57E-2881-4493-B9FE-930A64BD527A}">
  <sheetPr codeName="Sheet18">
    <tabColor theme="4" tint="-0.499984740745262"/>
  </sheetPr>
  <dimension ref="A1:BM1291"/>
  <sheetViews>
    <sheetView showGridLines="0" zoomScaleNormal="100" workbookViewId="0">
      <selection activeCell="B13" sqref="B13:C13"/>
    </sheetView>
  </sheetViews>
  <sheetFormatPr defaultColWidth="14.75" defaultRowHeight="15" x14ac:dyDescent="0.25"/>
  <cols>
    <col min="1" max="1" width="3.75" customWidth="1"/>
    <col min="2" max="2" width="16.5" customWidth="1"/>
    <col min="4" max="4" width="17.25" bestFit="1" customWidth="1"/>
    <col min="5" max="5" width="25" bestFit="1" customWidth="1"/>
    <col min="15" max="16" width="27" bestFit="1" customWidth="1"/>
    <col min="17" max="18" width="29.125" bestFit="1" customWidth="1"/>
    <col min="22" max="23" width="34.25" bestFit="1" customWidth="1"/>
    <col min="24" max="25" width="44.875" bestFit="1" customWidth="1"/>
    <col min="39" max="40" width="70" bestFit="1" customWidth="1"/>
    <col min="47" max="48" width="70" bestFit="1" customWidth="1"/>
    <col min="55" max="56" width="44.5" bestFit="1" customWidth="1"/>
    <col min="59" max="60" width="44.5" bestFit="1" customWidth="1"/>
  </cols>
  <sheetData>
    <row r="1" spans="1:62" x14ac:dyDescent="0.25">
      <c r="B1" s="479" t="s">
        <v>429</v>
      </c>
    </row>
    <row r="2" spans="1:62" ht="26.25" x14ac:dyDescent="0.4">
      <c r="B2" s="2" t="s">
        <v>434</v>
      </c>
      <c r="C2" s="373"/>
      <c r="D2" s="373"/>
      <c r="E2" s="373"/>
      <c r="F2" s="373"/>
      <c r="G2" s="373"/>
      <c r="H2" s="373"/>
      <c r="I2" s="373"/>
      <c r="J2" s="373"/>
      <c r="K2" s="373"/>
      <c r="L2" s="373"/>
      <c r="M2" s="373"/>
      <c r="N2" s="373"/>
      <c r="O2" s="373"/>
      <c r="P2" s="373"/>
      <c r="Q2" s="373"/>
      <c r="R2" s="373"/>
      <c r="S2" s="373"/>
      <c r="T2" s="373"/>
      <c r="U2" s="373"/>
      <c r="V2" s="373"/>
      <c r="W2" s="373"/>
      <c r="X2" s="373"/>
      <c r="Y2" s="373"/>
      <c r="Z2" s="373"/>
      <c r="AA2" s="373"/>
      <c r="AB2" s="373"/>
      <c r="AC2" s="373"/>
      <c r="AD2" s="373"/>
      <c r="AE2" s="373"/>
      <c r="AF2" s="373"/>
      <c r="AG2" s="373"/>
      <c r="AH2" s="373"/>
      <c r="AI2" s="373"/>
      <c r="AJ2" s="373"/>
      <c r="AK2" s="373"/>
      <c r="AL2" s="373"/>
      <c r="AM2" s="373"/>
      <c r="AN2" s="373"/>
      <c r="AO2" s="373"/>
      <c r="AP2" s="373"/>
      <c r="AQ2" s="373"/>
      <c r="AR2" s="373"/>
      <c r="AS2" s="373"/>
      <c r="AT2" s="373"/>
      <c r="AU2" s="373"/>
      <c r="AV2" s="373"/>
      <c r="AW2" s="373"/>
      <c r="AX2" s="373"/>
      <c r="AY2" s="373"/>
      <c r="AZ2" s="373"/>
      <c r="BA2" s="373"/>
      <c r="BB2" s="373"/>
      <c r="BC2" s="373"/>
      <c r="BD2" s="373"/>
      <c r="BE2" s="373"/>
      <c r="BF2" s="373"/>
      <c r="BG2" s="373"/>
      <c r="BH2" s="373"/>
      <c r="BI2" s="373"/>
    </row>
    <row r="4" spans="1:62" x14ac:dyDescent="0.25">
      <c r="B4" s="59" t="s">
        <v>163</v>
      </c>
      <c r="C4" s="368" t="str" cm="1">
        <f t="array" ref="C4">_xll.d.TestUtils_And(D7:D8)</f>
        <v>Error</v>
      </c>
      <c r="D4" s="366"/>
      <c r="E4" s="366"/>
      <c r="F4" s="366"/>
      <c r="G4" s="366"/>
      <c r="H4" s="366"/>
      <c r="I4" s="366"/>
      <c r="J4" s="366"/>
      <c r="K4" s="366"/>
      <c r="L4" s="366"/>
      <c r="M4" s="366"/>
      <c r="N4" s="366"/>
      <c r="O4" s="366"/>
      <c r="P4" s="366"/>
      <c r="Q4" s="366"/>
      <c r="R4" s="366"/>
      <c r="S4" s="366"/>
      <c r="T4" s="366"/>
      <c r="U4" s="366"/>
      <c r="V4" s="366"/>
      <c r="W4" s="366"/>
      <c r="X4" s="366"/>
      <c r="Y4" s="366"/>
      <c r="Z4" s="366"/>
      <c r="AA4" s="366"/>
      <c r="AB4" s="366"/>
      <c r="AC4" s="366"/>
    </row>
    <row r="5" spans="1:62" x14ac:dyDescent="0.25">
      <c r="G5" s="366"/>
      <c r="H5" s="366"/>
      <c r="I5" s="366"/>
    </row>
    <row r="6" spans="1:62" x14ac:dyDescent="0.25">
      <c r="B6" s="220" t="s">
        <v>238</v>
      </c>
      <c r="C6" s="220"/>
      <c r="D6" s="221" t="s">
        <v>10</v>
      </c>
      <c r="E6" s="366"/>
      <c r="F6" s="366"/>
      <c r="G6" s="366"/>
      <c r="H6" s="366"/>
      <c r="I6" s="366"/>
      <c r="J6" s="366"/>
      <c r="K6" s="366"/>
      <c r="L6" s="366"/>
      <c r="M6" s="366"/>
      <c r="N6" s="366"/>
      <c r="O6" s="366"/>
      <c r="P6" s="366"/>
      <c r="Q6" s="366"/>
      <c r="R6" s="366"/>
      <c r="S6" s="366"/>
      <c r="T6" s="366"/>
      <c r="U6" s="366"/>
      <c r="V6" s="366"/>
      <c r="W6" s="366"/>
      <c r="X6" s="366"/>
      <c r="Y6" s="366"/>
      <c r="Z6" s="366"/>
      <c r="AA6" s="366"/>
      <c r="AB6" s="366"/>
      <c r="AC6" s="366"/>
    </row>
    <row r="7" spans="1:62" x14ac:dyDescent="0.25">
      <c r="B7" s="486" t="s">
        <v>435</v>
      </c>
      <c r="C7" s="486"/>
      <c r="D7" s="368" t="str">
        <f>C13</f>
        <v>Error</v>
      </c>
      <c r="E7" s="366"/>
      <c r="F7" s="366"/>
      <c r="G7" s="366"/>
      <c r="H7" s="366"/>
      <c r="I7" s="366"/>
      <c r="J7" s="366"/>
      <c r="K7" s="366"/>
      <c r="L7" s="366"/>
      <c r="M7" s="366"/>
      <c r="N7" s="366"/>
      <c r="O7" s="366"/>
      <c r="P7" s="366"/>
      <c r="Q7" s="366"/>
      <c r="R7" s="366"/>
      <c r="S7" s="366"/>
      <c r="T7" s="366"/>
      <c r="U7" s="366"/>
      <c r="V7" s="366"/>
      <c r="W7" s="366"/>
      <c r="X7" s="366"/>
      <c r="Y7" s="366"/>
      <c r="Z7" s="366"/>
      <c r="AA7" s="366"/>
      <c r="AB7" s="366"/>
      <c r="AC7" s="366"/>
    </row>
    <row r="8" spans="1:62" x14ac:dyDescent="0.25">
      <c r="B8" s="486" t="s">
        <v>436</v>
      </c>
      <c r="C8" s="486"/>
      <c r="D8" s="368" t="str">
        <f>C30</f>
        <v>Ok</v>
      </c>
      <c r="E8" s="366"/>
      <c r="F8" s="366"/>
      <c r="G8" s="366"/>
      <c r="H8" s="366"/>
      <c r="I8" s="366"/>
      <c r="J8" s="366"/>
      <c r="K8" s="366"/>
      <c r="L8" s="366"/>
      <c r="M8" s="366"/>
      <c r="N8" s="366"/>
      <c r="O8" s="366"/>
      <c r="P8" s="366"/>
      <c r="Q8" s="366"/>
      <c r="R8" s="366"/>
      <c r="S8" s="366"/>
      <c r="T8" s="366"/>
      <c r="U8" s="366"/>
      <c r="V8" s="366"/>
      <c r="W8" s="366"/>
      <c r="X8" s="366"/>
      <c r="Y8" s="366"/>
      <c r="Z8" s="366"/>
      <c r="AA8" s="366"/>
      <c r="AB8" s="366"/>
      <c r="AC8" s="366"/>
    </row>
    <row r="9" spans="1:62" x14ac:dyDescent="0.25">
      <c r="G9" s="366"/>
      <c r="H9" s="366"/>
      <c r="I9" s="366"/>
    </row>
    <row r="10" spans="1:62" x14ac:dyDescent="0.25">
      <c r="G10" s="366"/>
      <c r="H10" s="366"/>
      <c r="I10" s="366"/>
    </row>
    <row r="11" spans="1:62" s="366" customFormat="1" ht="18.75" x14ac:dyDescent="0.3">
      <c r="A11"/>
      <c r="B11" s="3" t="s">
        <v>435</v>
      </c>
      <c r="C11" s="374"/>
      <c r="D11" s="374"/>
      <c r="E11" s="374"/>
      <c r="F11" s="374"/>
      <c r="G11" s="374"/>
      <c r="H11" s="374"/>
      <c r="I11" s="374"/>
      <c r="J11" s="374"/>
      <c r="K11" s="374"/>
      <c r="L11" s="374"/>
      <c r="M11" s="374"/>
      <c r="N11" s="374"/>
      <c r="O11" s="374"/>
      <c r="P11" s="374"/>
      <c r="Q11" s="374"/>
      <c r="R11" s="374"/>
      <c r="S11" s="374"/>
      <c r="T11" s="374"/>
      <c r="U11" s="374"/>
      <c r="V11" s="374"/>
      <c r="W11" s="374"/>
      <c r="X11" s="374"/>
      <c r="Y11" s="374"/>
      <c r="Z11" s="374"/>
      <c r="AA11" s="374"/>
      <c r="AB11" s="374"/>
      <c r="AC11" s="374"/>
      <c r="AD11" s="374"/>
      <c r="AE11" s="374"/>
      <c r="AF11" s="374"/>
      <c r="AG11" s="374"/>
      <c r="AH11" s="374"/>
      <c r="AI11" s="374"/>
      <c r="AJ11" s="374"/>
      <c r="AK11" s="374"/>
      <c r="AL11" s="374"/>
      <c r="AM11" s="374"/>
      <c r="AN11" s="374"/>
      <c r="AO11" s="374"/>
      <c r="AP11" s="374"/>
      <c r="AQ11" s="374"/>
      <c r="AR11" s="374"/>
      <c r="AS11" s="374"/>
      <c r="AT11" s="374"/>
      <c r="AU11" s="374"/>
      <c r="AV11" s="374"/>
      <c r="AW11" s="374"/>
      <c r="AX11" s="374"/>
      <c r="AY11" s="374"/>
      <c r="AZ11" s="374"/>
      <c r="BA11" s="374"/>
      <c r="BB11" s="374"/>
      <c r="BC11" s="374"/>
      <c r="BD11" s="374"/>
      <c r="BE11" s="374"/>
      <c r="BF11" s="374"/>
      <c r="BG11" s="374"/>
      <c r="BH11" s="374"/>
      <c r="BI11" s="374"/>
    </row>
    <row r="13" spans="1:62" x14ac:dyDescent="0.25">
      <c r="B13" s="59" t="s">
        <v>163</v>
      </c>
      <c r="C13" s="368" t="str" cm="1">
        <f t="array" ref="C13">_xll.d.TestUtils_And(J18,Q18,X18)</f>
        <v>Error</v>
      </c>
      <c r="D13" s="366"/>
      <c r="E13" s="366"/>
      <c r="F13" s="366"/>
      <c r="G13" s="366"/>
    </row>
    <row r="14" spans="1:62" x14ac:dyDescent="0.25">
      <c r="B14" s="366"/>
      <c r="C14" s="366"/>
      <c r="D14" s="366"/>
      <c r="E14" s="366"/>
      <c r="F14" s="366"/>
      <c r="G14" s="367"/>
    </row>
    <row r="15" spans="1:62" ht="15.75" x14ac:dyDescent="0.25">
      <c r="B15" s="4" t="s">
        <v>473</v>
      </c>
      <c r="C15" s="375"/>
      <c r="D15" s="375"/>
      <c r="E15" s="375"/>
      <c r="F15" s="375"/>
      <c r="G15" s="375"/>
      <c r="H15" s="375"/>
      <c r="I15" s="375"/>
      <c r="J15" s="375"/>
      <c r="K15" s="488"/>
      <c r="L15" s="4" t="s">
        <v>477</v>
      </c>
      <c r="M15" s="375"/>
      <c r="N15" s="375"/>
      <c r="O15" s="375"/>
      <c r="P15" s="375"/>
      <c r="Q15" s="375"/>
      <c r="R15" s="488"/>
      <c r="S15" s="4" t="s">
        <v>481</v>
      </c>
      <c r="T15" s="375"/>
      <c r="U15" s="375"/>
      <c r="V15" s="375"/>
      <c r="W15" s="375"/>
      <c r="X15" s="375"/>
      <c r="Y15" s="488"/>
      <c r="Z15" s="488"/>
      <c r="AA15" s="488"/>
      <c r="AB15" s="488"/>
      <c r="AC15" s="488"/>
      <c r="AD15" s="488"/>
      <c r="AE15" s="488"/>
      <c r="AF15" s="488"/>
      <c r="AG15" s="488"/>
      <c r="AH15" s="488"/>
      <c r="AI15" s="488"/>
      <c r="AJ15" s="488"/>
      <c r="AK15" s="488"/>
      <c r="AL15" s="488"/>
      <c r="AM15" s="488"/>
      <c r="AN15" s="488"/>
      <c r="AO15" s="488"/>
      <c r="AP15" s="488"/>
      <c r="AQ15" s="488"/>
      <c r="AR15" s="488"/>
      <c r="AS15" s="488"/>
      <c r="AT15" s="488"/>
      <c r="AU15" s="488"/>
      <c r="AV15" s="488"/>
      <c r="AW15" s="488"/>
      <c r="AX15" s="488"/>
      <c r="AY15" s="488"/>
      <c r="AZ15" s="488"/>
      <c r="BA15" s="488"/>
      <c r="BB15" s="488"/>
      <c r="BC15" s="488"/>
      <c r="BD15" s="488"/>
      <c r="BE15" s="488"/>
      <c r="BF15" s="488"/>
      <c r="BG15" s="488"/>
      <c r="BH15" s="488"/>
      <c r="BI15" s="488"/>
      <c r="BJ15" s="488"/>
    </row>
    <row r="16" spans="1:62" x14ac:dyDescent="0.25">
      <c r="B16" s="366"/>
      <c r="C16" s="366"/>
      <c r="D16" s="366"/>
      <c r="E16" s="366"/>
      <c r="F16" s="366"/>
      <c r="G16" s="367"/>
      <c r="J16" s="488"/>
      <c r="K16" s="488"/>
      <c r="L16" s="366"/>
      <c r="M16" s="366"/>
      <c r="N16" s="366"/>
      <c r="O16" s="519"/>
      <c r="P16" s="519"/>
      <c r="Q16" s="519"/>
      <c r="R16" s="488"/>
      <c r="S16" s="366"/>
      <c r="T16" s="366"/>
      <c r="U16" s="366"/>
      <c r="V16" s="519"/>
      <c r="W16" s="519"/>
      <c r="X16" s="519"/>
      <c r="Y16" s="488"/>
      <c r="Z16" s="488"/>
      <c r="AA16" s="488"/>
      <c r="AB16" s="488"/>
      <c r="AC16" s="488"/>
      <c r="AD16" s="488"/>
      <c r="AE16" s="488"/>
      <c r="AF16" s="488"/>
      <c r="AG16" s="488"/>
      <c r="AH16" s="488"/>
      <c r="AI16" s="488"/>
      <c r="AJ16" s="488"/>
      <c r="AK16" s="488"/>
      <c r="AL16" s="488"/>
      <c r="AM16" s="488"/>
      <c r="AN16" s="488"/>
      <c r="AO16" s="488"/>
      <c r="AP16" s="488"/>
      <c r="AQ16" s="488"/>
      <c r="AR16" s="488"/>
      <c r="AS16" s="488"/>
      <c r="AT16" s="488"/>
      <c r="AU16" s="488"/>
      <c r="AV16" s="488"/>
      <c r="AW16" s="488"/>
      <c r="AX16" s="488"/>
      <c r="AY16" s="488"/>
      <c r="AZ16" s="488"/>
      <c r="BA16" s="488"/>
      <c r="BB16" s="488"/>
      <c r="BC16" s="488"/>
      <c r="BD16" s="488"/>
      <c r="BE16" s="488"/>
      <c r="BF16" s="488"/>
      <c r="BG16" s="488"/>
      <c r="BH16" s="488"/>
      <c r="BI16" s="488"/>
      <c r="BJ16" s="488"/>
    </row>
    <row r="17" spans="1:65" s="519" customFormat="1" x14ac:dyDescent="0.25">
      <c r="B17" s="134" t="s">
        <v>256</v>
      </c>
      <c r="C17" s="135"/>
      <c r="D17" s="366"/>
      <c r="E17" s="134" t="s">
        <v>469</v>
      </c>
      <c r="F17" s="135"/>
      <c r="G17" s="367"/>
      <c r="H17" s="134" t="s">
        <v>137</v>
      </c>
      <c r="I17" s="223" t="s">
        <v>258</v>
      </c>
      <c r="J17" s="135" t="s">
        <v>85</v>
      </c>
      <c r="L17" s="134" t="s">
        <v>256</v>
      </c>
      <c r="M17" s="135"/>
      <c r="N17" s="366"/>
      <c r="O17" s="134" t="s">
        <v>137</v>
      </c>
      <c r="P17" s="223" t="s">
        <v>258</v>
      </c>
      <c r="Q17" s="135" t="s">
        <v>85</v>
      </c>
      <c r="S17" s="134" t="s">
        <v>256</v>
      </c>
      <c r="T17" s="135"/>
      <c r="U17" s="366"/>
      <c r="V17" s="134" t="s">
        <v>137</v>
      </c>
      <c r="W17" s="223" t="s">
        <v>258</v>
      </c>
      <c r="X17" s="135" t="s">
        <v>85</v>
      </c>
    </row>
    <row r="18" spans="1:65" x14ac:dyDescent="0.25">
      <c r="B18" s="521" t="s">
        <v>465</v>
      </c>
      <c r="C18" s="137" t="s">
        <v>474</v>
      </c>
      <c r="D18" s="366"/>
      <c r="E18" s="136" t="s">
        <v>470</v>
      </c>
      <c r="F18" s="137">
        <f>((LN(C20/C21)+(C22-C23+0.5*C25^2)*C24))/(C25*SQRT(C24))</f>
        <v>1.0422804977154678</v>
      </c>
      <c r="H18" s="476" cm="1">
        <f t="array" ref="H18">_xll.d.Equity_BlackScholes(C18,C19,C20,C21,C22,C23,C24,C25)</f>
        <v>49.931353791528799</v>
      </c>
      <c r="I18" s="524">
        <f>C20*EXP(-C23*C24)*_xlfn.NORM.S.DIST(F18,TRUE) -C21*EXP(-C22*C24)*_xlfn.NORM.S.DIST(F19,TRUE)</f>
        <v>49.931353791528799</v>
      </c>
      <c r="J18" s="407" t="str" cm="1">
        <f t="array" ref="J18">_xll.d.TestUtils_Equal(H18,I18)</f>
        <v>Ok</v>
      </c>
      <c r="K18" s="488"/>
      <c r="L18" s="521" t="s">
        <v>465</v>
      </c>
      <c r="M18" s="137" t="s">
        <v>460</v>
      </c>
      <c r="N18" s="366"/>
      <c r="O18" s="476" t="str" cm="1">
        <f t="array" ref="O18">_xll.d.Equity_BlackScholes(M18,M19,M20,M21,M22,M23,M24,M25)</f>
        <v>#∂Excel Error: Invalid option type: ASDF</v>
      </c>
      <c r="P18" s="524" t="s">
        <v>478</v>
      </c>
      <c r="Q18" s="407" t="str" cm="1">
        <f t="array" ref="Q18">_xll.d.TestUtils_Equal(O18,P18)</f>
        <v>Ok</v>
      </c>
      <c r="R18" s="488"/>
      <c r="S18" s="521" t="s">
        <v>465</v>
      </c>
      <c r="T18" s="137" t="s">
        <v>474</v>
      </c>
      <c r="U18" s="366"/>
      <c r="V18" s="476" t="str" cm="1">
        <f t="array" ref="V18">_xll.d.Equity_BlackScholes(T18,T19,T20,T21,T22,T23,T24,T25)</f>
        <v>#∂Excel Error: Invalid 'long'/'short' position: ASDF</v>
      </c>
      <c r="W18" s="524" t="s">
        <v>482</v>
      </c>
      <c r="X18" s="407" t="str" cm="1">
        <f t="array" ref="X18">_xll.d.TestUtils_Equal(V18,W18)</f>
        <v>Error</v>
      </c>
      <c r="Y18" s="488"/>
      <c r="Z18" s="488"/>
      <c r="AA18" s="488"/>
      <c r="AB18" s="488"/>
      <c r="AC18" s="488"/>
      <c r="AD18" s="488"/>
      <c r="AE18" s="488"/>
      <c r="AF18" s="488"/>
      <c r="AG18" s="488"/>
      <c r="AH18" s="488"/>
      <c r="AI18" s="488"/>
      <c r="AJ18" s="488"/>
      <c r="AK18" s="488"/>
      <c r="AL18" s="488"/>
      <c r="AM18" s="488"/>
      <c r="AN18" s="488"/>
      <c r="AO18" s="488"/>
      <c r="AP18" s="488"/>
      <c r="AQ18" s="488"/>
      <c r="AR18" s="488"/>
      <c r="AS18" s="488"/>
      <c r="AT18" s="488"/>
      <c r="AU18" s="488"/>
      <c r="AV18" s="488"/>
      <c r="AW18" s="488"/>
      <c r="AX18" s="488"/>
      <c r="AY18" s="488"/>
      <c r="AZ18" s="488"/>
      <c r="BA18" s="488"/>
      <c r="BB18" s="488"/>
      <c r="BC18" s="488"/>
      <c r="BD18" s="488"/>
      <c r="BE18" s="488"/>
      <c r="BF18" s="488"/>
      <c r="BG18" s="488"/>
      <c r="BH18" s="488"/>
      <c r="BI18" s="488"/>
      <c r="BJ18" s="488"/>
    </row>
    <row r="19" spans="1:65" x14ac:dyDescent="0.25">
      <c r="B19" s="522" t="s">
        <v>472</v>
      </c>
      <c r="C19" s="139" t="s">
        <v>475</v>
      </c>
      <c r="D19" s="366"/>
      <c r="E19" s="140" t="s">
        <v>471</v>
      </c>
      <c r="F19" s="141">
        <f>F18-C25*SQRT(C24)</f>
        <v>0.29817029082404245</v>
      </c>
      <c r="J19" s="488"/>
      <c r="K19" s="488"/>
      <c r="L19" s="522" t="s">
        <v>472</v>
      </c>
      <c r="M19" s="139" t="s">
        <v>475</v>
      </c>
      <c r="N19" s="366"/>
      <c r="O19" s="519"/>
      <c r="P19" s="519"/>
      <c r="Q19" s="519"/>
      <c r="R19" s="488"/>
      <c r="S19" s="522" t="s">
        <v>472</v>
      </c>
      <c r="T19" s="139" t="s">
        <v>460</v>
      </c>
      <c r="U19" s="366"/>
      <c r="V19" s="519"/>
      <c r="W19" s="519"/>
      <c r="X19" s="519"/>
      <c r="Y19" s="488"/>
      <c r="Z19" s="488"/>
      <c r="AA19" s="488"/>
      <c r="AB19" s="488"/>
      <c r="AC19" s="488"/>
      <c r="AD19" s="488"/>
      <c r="AE19" s="488"/>
      <c r="AF19" s="488"/>
      <c r="AG19" s="488"/>
      <c r="AH19" s="488"/>
      <c r="AI19" s="488"/>
      <c r="AJ19" s="488"/>
      <c r="AK19" s="488"/>
      <c r="AL19" s="488"/>
      <c r="AM19" s="488"/>
      <c r="AN19" s="488"/>
      <c r="AO19" s="488"/>
      <c r="AP19" s="488"/>
      <c r="AQ19" s="488"/>
      <c r="AR19" s="488"/>
      <c r="AS19" s="488"/>
      <c r="AT19" s="488"/>
      <c r="AU19" s="488"/>
      <c r="AV19" s="488"/>
      <c r="AW19" s="488"/>
      <c r="AX19" s="488"/>
      <c r="AY19" s="488"/>
      <c r="AZ19" s="488"/>
      <c r="BA19" s="488"/>
      <c r="BB19" s="488"/>
      <c r="BC19" s="488"/>
      <c r="BD19" s="488"/>
      <c r="BE19" s="488"/>
      <c r="BF19" s="488"/>
      <c r="BG19" s="488"/>
      <c r="BH19" s="488"/>
      <c r="BI19" s="488"/>
      <c r="BJ19" s="488"/>
    </row>
    <row r="20" spans="1:65" x14ac:dyDescent="0.25">
      <c r="B20" s="522" t="s">
        <v>466</v>
      </c>
      <c r="C20" s="139">
        <v>120</v>
      </c>
      <c r="D20" s="366"/>
      <c r="J20" s="488"/>
      <c r="K20" s="488"/>
      <c r="L20" s="522" t="s">
        <v>466</v>
      </c>
      <c r="M20" s="139">
        <v>120</v>
      </c>
      <c r="N20" s="366"/>
      <c r="O20" s="519"/>
      <c r="P20" s="519"/>
      <c r="Q20" s="519"/>
      <c r="R20" s="488"/>
      <c r="S20" s="522" t="s">
        <v>466</v>
      </c>
      <c r="T20" s="139">
        <v>120</v>
      </c>
      <c r="U20" s="366"/>
      <c r="V20" s="519"/>
      <c r="W20" s="519"/>
      <c r="X20" s="519"/>
      <c r="Y20" s="488"/>
      <c r="Z20" s="488"/>
      <c r="AA20" s="488"/>
      <c r="AB20" s="488"/>
      <c r="AC20" s="488"/>
      <c r="AD20" s="488"/>
      <c r="AE20" s="488"/>
      <c r="AF20" s="488"/>
      <c r="AG20" s="488"/>
      <c r="AH20" s="488"/>
      <c r="AI20" s="488"/>
      <c r="AJ20" s="488"/>
      <c r="AK20" s="488"/>
      <c r="AL20" s="488"/>
      <c r="AM20" s="488"/>
      <c r="AN20" s="488"/>
      <c r="AO20" s="488"/>
      <c r="AP20" s="488"/>
      <c r="AQ20" s="488"/>
      <c r="AR20" s="488"/>
      <c r="AS20" s="488"/>
      <c r="AT20" s="488"/>
      <c r="AU20" s="488"/>
      <c r="AV20" s="488"/>
      <c r="AW20" s="488"/>
      <c r="AX20" s="488"/>
      <c r="AY20" s="488"/>
      <c r="AZ20" s="488"/>
      <c r="BA20" s="488"/>
      <c r="BB20" s="488"/>
      <c r="BC20" s="488"/>
      <c r="BD20" s="488"/>
      <c r="BE20" s="488"/>
      <c r="BF20" s="488"/>
      <c r="BG20" s="488"/>
      <c r="BH20" s="488"/>
      <c r="BI20" s="488"/>
      <c r="BJ20" s="488"/>
    </row>
    <row r="21" spans="1:65" s="488" customFormat="1" x14ac:dyDescent="0.25">
      <c r="B21" s="522" t="s">
        <v>467</v>
      </c>
      <c r="C21" s="139">
        <v>100</v>
      </c>
      <c r="D21" s="366"/>
      <c r="E21" s="366"/>
      <c r="F21" s="366"/>
      <c r="G21" s="367"/>
      <c r="L21" s="522" t="s">
        <v>467</v>
      </c>
      <c r="M21" s="139">
        <v>100</v>
      </c>
      <c r="N21" s="366"/>
      <c r="O21" s="519"/>
      <c r="P21" s="519"/>
      <c r="Q21" s="519"/>
      <c r="S21" s="522" t="s">
        <v>467</v>
      </c>
      <c r="T21" s="139">
        <v>100</v>
      </c>
      <c r="U21" s="366"/>
      <c r="V21" s="519"/>
      <c r="W21" s="519"/>
      <c r="X21" s="519"/>
    </row>
    <row r="22" spans="1:65" s="488" customFormat="1" x14ac:dyDescent="0.25">
      <c r="B22" s="522" t="s">
        <v>480</v>
      </c>
      <c r="C22" s="139">
        <v>0.1</v>
      </c>
      <c r="D22" s="366"/>
      <c r="E22" s="366"/>
      <c r="F22" s="366"/>
      <c r="G22" s="367"/>
      <c r="L22" s="522" t="s">
        <v>480</v>
      </c>
      <c r="M22" s="139">
        <v>0.1</v>
      </c>
      <c r="N22" s="366"/>
      <c r="O22" s="519"/>
      <c r="P22" s="519"/>
      <c r="Q22" s="519"/>
      <c r="S22" s="522" t="s">
        <v>480</v>
      </c>
      <c r="T22" s="139">
        <v>0.1</v>
      </c>
      <c r="U22" s="366"/>
      <c r="V22" s="519"/>
      <c r="W22" s="519"/>
      <c r="X22" s="519"/>
    </row>
    <row r="23" spans="1:65" s="488" customFormat="1" x14ac:dyDescent="0.25">
      <c r="B23" s="522" t="s">
        <v>479</v>
      </c>
      <c r="C23" s="139">
        <v>0.03</v>
      </c>
      <c r="D23" s="366"/>
      <c r="E23" s="366"/>
      <c r="F23" s="366"/>
      <c r="G23" s="367"/>
      <c r="L23" s="522" t="s">
        <v>479</v>
      </c>
      <c r="M23" s="139">
        <v>0.03</v>
      </c>
      <c r="N23" s="366"/>
      <c r="O23" s="519"/>
      <c r="P23" s="519"/>
      <c r="Q23" s="519"/>
      <c r="S23" s="522" t="s">
        <v>479</v>
      </c>
      <c r="T23" s="139">
        <v>0.03</v>
      </c>
      <c r="U23" s="366"/>
      <c r="V23" s="519"/>
      <c r="W23" s="519"/>
      <c r="X23" s="519"/>
    </row>
    <row r="24" spans="1:65" s="488" customFormat="1" x14ac:dyDescent="0.25">
      <c r="B24" s="522" t="s">
        <v>468</v>
      </c>
      <c r="C24" s="139">
        <v>4.5199999999999996</v>
      </c>
      <c r="D24" s="366"/>
      <c r="E24" s="366"/>
      <c r="F24" s="366"/>
      <c r="G24" s="367"/>
      <c r="L24" s="522" t="s">
        <v>468</v>
      </c>
      <c r="M24" s="139">
        <v>4.5199999999999996</v>
      </c>
      <c r="N24" s="366"/>
      <c r="O24" s="519"/>
      <c r="P24" s="519"/>
      <c r="Q24" s="519"/>
      <c r="S24" s="522" t="s">
        <v>468</v>
      </c>
      <c r="T24" s="139">
        <v>4.5199999999999996</v>
      </c>
      <c r="U24" s="366"/>
      <c r="V24" s="519"/>
      <c r="W24" s="519"/>
      <c r="X24" s="519"/>
    </row>
    <row r="25" spans="1:65" s="519" customFormat="1" x14ac:dyDescent="0.25">
      <c r="B25" s="523" t="s">
        <v>93</v>
      </c>
      <c r="C25" s="141">
        <v>0.35</v>
      </c>
      <c r="D25" s="366"/>
      <c r="E25" s="366"/>
      <c r="F25" s="366"/>
      <c r="G25" s="367"/>
      <c r="L25" s="523" t="s">
        <v>93</v>
      </c>
      <c r="M25" s="141">
        <v>0.35</v>
      </c>
      <c r="N25" s="366"/>
      <c r="S25" s="523" t="s">
        <v>93</v>
      </c>
      <c r="T25" s="141">
        <v>0.35</v>
      </c>
      <c r="U25" s="366"/>
    </row>
    <row r="26" spans="1:65" s="519" customFormat="1" x14ac:dyDescent="0.25">
      <c r="B26" s="366"/>
      <c r="C26" s="520"/>
      <c r="D26" s="366"/>
      <c r="E26" s="366"/>
      <c r="F26" s="366"/>
      <c r="G26" s="367"/>
    </row>
    <row r="27" spans="1:65" s="519" customFormat="1" x14ac:dyDescent="0.25">
      <c r="B27" s="366"/>
      <c r="C27" s="520"/>
      <c r="D27" s="366"/>
      <c r="E27" s="366"/>
      <c r="F27" s="366"/>
      <c r="G27" s="367"/>
    </row>
    <row r="28" spans="1:65" s="366" customFormat="1" ht="18.75" x14ac:dyDescent="0.3">
      <c r="A28"/>
      <c r="B28" s="3" t="s">
        <v>436</v>
      </c>
      <c r="C28" s="374"/>
      <c r="D28" s="374"/>
      <c r="E28" s="374"/>
      <c r="F28" s="374"/>
      <c r="G28" s="374"/>
      <c r="H28" s="374"/>
      <c r="I28" s="374"/>
      <c r="J28" s="374"/>
      <c r="K28" s="374"/>
      <c r="L28" s="374"/>
      <c r="M28" s="374"/>
      <c r="N28" s="374"/>
      <c r="O28" s="374"/>
      <c r="P28" s="374"/>
      <c r="Q28" s="374"/>
      <c r="R28" s="374"/>
      <c r="S28" s="374"/>
      <c r="T28" s="374"/>
      <c r="U28" s="374"/>
      <c r="V28" s="374"/>
      <c r="W28" s="374"/>
      <c r="X28" s="374"/>
      <c r="Y28" s="374"/>
      <c r="Z28" s="374"/>
      <c r="AA28" s="374"/>
      <c r="AB28" s="374"/>
      <c r="AC28" s="374"/>
      <c r="AD28" s="374"/>
      <c r="AE28" s="374"/>
      <c r="AF28" s="374"/>
      <c r="AG28" s="374"/>
      <c r="AH28" s="374"/>
      <c r="AI28" s="374"/>
      <c r="AJ28" s="374"/>
      <c r="AK28" s="374"/>
      <c r="AL28" s="374"/>
      <c r="AM28" s="374"/>
      <c r="AN28" s="374"/>
      <c r="AO28" s="374"/>
      <c r="AP28" s="374"/>
      <c r="AQ28" s="374"/>
      <c r="AR28" s="374"/>
      <c r="AS28" s="374"/>
      <c r="AT28" s="374"/>
      <c r="AU28" s="374"/>
      <c r="AV28" s="374"/>
      <c r="AW28" s="374"/>
      <c r="AX28" s="374"/>
      <c r="AY28" s="374"/>
      <c r="AZ28" s="374"/>
      <c r="BA28" s="374"/>
      <c r="BB28" s="374"/>
      <c r="BC28" s="374"/>
      <c r="BD28" s="374"/>
      <c r="BE28" s="374"/>
      <c r="BF28" s="374"/>
      <c r="BG28" s="374"/>
      <c r="BH28" s="374"/>
      <c r="BI28" s="374"/>
    </row>
    <row r="30" spans="1:65" s="366" customFormat="1" x14ac:dyDescent="0.25">
      <c r="A30"/>
      <c r="B30" s="59" t="s">
        <v>163</v>
      </c>
      <c r="C30" s="368" t="str" cm="1">
        <f t="array" ref="C30">_xll.d.TestUtils_And(H35,S35,Z35)</f>
        <v>Ok</v>
      </c>
    </row>
    <row r="31" spans="1:65" x14ac:dyDescent="0.25">
      <c r="M31" s="488"/>
      <c r="N31" s="488"/>
      <c r="O31" s="488"/>
      <c r="P31" s="488"/>
      <c r="Q31" s="488"/>
      <c r="R31" s="488"/>
      <c r="S31" s="488"/>
      <c r="T31" s="488"/>
      <c r="U31" s="488"/>
      <c r="V31" s="488"/>
      <c r="W31" s="488"/>
      <c r="X31" s="488"/>
      <c r="Y31" s="488"/>
      <c r="Z31" s="488"/>
      <c r="AA31" s="488"/>
      <c r="AB31" s="488"/>
      <c r="AC31" s="488"/>
      <c r="AD31" s="488"/>
      <c r="AE31" s="488"/>
      <c r="AF31" s="488"/>
      <c r="AG31" s="488"/>
      <c r="AH31" s="488"/>
      <c r="AI31" s="488"/>
      <c r="AJ31" s="488"/>
      <c r="AK31" s="488"/>
      <c r="AL31" s="488"/>
      <c r="AM31" s="488"/>
      <c r="AN31" s="488"/>
      <c r="AO31" s="488"/>
      <c r="AP31" s="488"/>
      <c r="AQ31" s="488"/>
      <c r="AR31" s="488"/>
      <c r="AS31" s="488"/>
      <c r="AT31" s="488"/>
      <c r="AU31" s="488"/>
      <c r="AV31" s="488"/>
      <c r="AW31" s="488"/>
      <c r="AX31" s="488"/>
      <c r="AY31" s="488"/>
      <c r="AZ31" s="488"/>
      <c r="BA31" s="488"/>
      <c r="BB31" s="488"/>
      <c r="BC31" s="488"/>
      <c r="BD31" s="488"/>
    </row>
    <row r="32" spans="1:65" ht="15.75" x14ac:dyDescent="0.25">
      <c r="B32" s="4" t="s">
        <v>457</v>
      </c>
      <c r="C32" s="375"/>
      <c r="D32" s="375"/>
      <c r="E32" s="375"/>
      <c r="F32" s="375"/>
      <c r="G32" s="375"/>
      <c r="H32" s="375"/>
      <c r="I32" s="488"/>
      <c r="J32" s="4" t="s">
        <v>458</v>
      </c>
      <c r="K32" s="4"/>
      <c r="L32" s="4"/>
      <c r="M32" s="488"/>
      <c r="N32" s="4" t="s">
        <v>462</v>
      </c>
      <c r="O32" s="375"/>
      <c r="P32" s="375"/>
      <c r="Q32" s="375"/>
      <c r="R32" s="375"/>
      <c r="S32" s="375"/>
      <c r="T32" s="488"/>
      <c r="U32" s="4" t="s">
        <v>463</v>
      </c>
      <c r="V32" s="375"/>
      <c r="W32" s="375"/>
      <c r="X32" s="375"/>
      <c r="Y32" s="375"/>
      <c r="Z32" s="375"/>
      <c r="AA32" s="488"/>
      <c r="AB32" s="488"/>
      <c r="AC32" s="488"/>
      <c r="AD32" s="488"/>
      <c r="AE32" s="488"/>
      <c r="AF32" s="488"/>
      <c r="AG32" s="488"/>
      <c r="AH32" s="488"/>
      <c r="AI32" s="488"/>
      <c r="AJ32" s="488"/>
      <c r="AK32" s="488"/>
      <c r="AL32" s="488"/>
      <c r="AM32" s="488"/>
      <c r="AN32" s="488"/>
      <c r="AO32" s="488"/>
      <c r="AP32" s="488"/>
      <c r="AQ32" s="488"/>
      <c r="AR32" s="488"/>
      <c r="AS32" s="488"/>
      <c r="AT32" s="488"/>
      <c r="AU32" s="488"/>
      <c r="AV32" s="488"/>
      <c r="AW32" s="488"/>
      <c r="AX32" s="488"/>
      <c r="AY32" s="488"/>
      <c r="AZ32" s="488"/>
      <c r="BA32" s="488"/>
      <c r="BB32" s="488"/>
      <c r="BC32" s="488"/>
      <c r="BD32" s="488"/>
      <c r="BE32" s="488"/>
      <c r="BF32" s="488"/>
      <c r="BG32" s="488"/>
      <c r="BH32" s="488"/>
      <c r="BI32" s="488"/>
      <c r="BJ32" s="488"/>
      <c r="BK32" s="488"/>
      <c r="BL32" s="488"/>
      <c r="BM32" s="488"/>
    </row>
    <row r="33" spans="2:65" x14ac:dyDescent="0.25">
      <c r="B33" s="366"/>
      <c r="C33" s="366"/>
      <c r="D33" s="366"/>
      <c r="E33" s="366"/>
      <c r="F33" s="366"/>
      <c r="G33" s="487" t="s">
        <v>448</v>
      </c>
      <c r="I33" s="488"/>
      <c r="J33" s="488"/>
      <c r="K33" s="488"/>
      <c r="L33" s="488"/>
      <c r="M33" s="488"/>
      <c r="N33" s="366"/>
      <c r="O33" s="366"/>
      <c r="P33" s="366"/>
      <c r="Q33" s="366"/>
      <c r="R33" s="487"/>
      <c r="S33" s="488"/>
      <c r="T33" s="488"/>
      <c r="U33" s="366"/>
      <c r="V33" s="366"/>
      <c r="W33" s="366"/>
      <c r="X33" s="366"/>
      <c r="Y33" s="487"/>
      <c r="Z33" s="488"/>
      <c r="AA33" s="488"/>
      <c r="AB33" s="488"/>
      <c r="AC33" s="488"/>
      <c r="AD33" s="488"/>
      <c r="AE33" s="488"/>
      <c r="AF33" s="488"/>
      <c r="AG33" s="488"/>
      <c r="AH33" s="488"/>
      <c r="AI33" s="488"/>
      <c r="AJ33" s="488"/>
      <c r="AK33" s="488"/>
      <c r="AL33" s="488"/>
      <c r="AM33" s="488"/>
      <c r="AN33" s="488"/>
      <c r="AO33" s="488"/>
      <c r="AP33" s="488"/>
      <c r="AQ33" s="488"/>
      <c r="AR33" s="488"/>
      <c r="AS33" s="488"/>
      <c r="AT33" s="488"/>
      <c r="AU33" s="488"/>
      <c r="AV33" s="488"/>
      <c r="AW33" s="488"/>
      <c r="AX33" s="488"/>
      <c r="AY33" s="488"/>
      <c r="AZ33" s="488"/>
      <c r="BA33" s="488"/>
      <c r="BB33" s="488"/>
      <c r="BC33" s="488"/>
      <c r="BD33" s="488"/>
      <c r="BE33" s="488"/>
      <c r="BF33" s="488"/>
      <c r="BG33" s="488"/>
      <c r="BH33" s="488"/>
      <c r="BI33" s="488"/>
      <c r="BJ33" s="488"/>
      <c r="BK33" s="488"/>
      <c r="BL33" s="488"/>
    </row>
    <row r="34" spans="2:65" x14ac:dyDescent="0.25">
      <c r="B34" s="134" t="s">
        <v>256</v>
      </c>
      <c r="C34" s="135"/>
      <c r="E34" s="134" t="s">
        <v>137</v>
      </c>
      <c r="F34" s="134" t="s">
        <v>447</v>
      </c>
      <c r="G34" s="134" t="s">
        <v>258</v>
      </c>
      <c r="H34" s="134" t="s">
        <v>85</v>
      </c>
      <c r="I34" s="488"/>
      <c r="J34" s="518" t="s">
        <v>459</v>
      </c>
      <c r="K34" s="488"/>
      <c r="L34" s="488"/>
      <c r="M34" s="488"/>
      <c r="N34" s="134" t="s">
        <v>256</v>
      </c>
      <c r="O34" s="135"/>
      <c r="P34" s="488"/>
      <c r="Q34" s="134" t="s">
        <v>137</v>
      </c>
      <c r="R34" s="134" t="s">
        <v>258</v>
      </c>
      <c r="S34" s="134" t="s">
        <v>85</v>
      </c>
      <c r="T34" s="488"/>
      <c r="U34" s="134" t="s">
        <v>256</v>
      </c>
      <c r="V34" s="135"/>
      <c r="W34" s="488"/>
      <c r="X34" s="134" t="s">
        <v>137</v>
      </c>
      <c r="Y34" s="134" t="s">
        <v>258</v>
      </c>
      <c r="Z34" s="134" t="s">
        <v>85</v>
      </c>
      <c r="AA34" s="488"/>
      <c r="AB34" s="488"/>
      <c r="AC34" s="488"/>
      <c r="AD34" s="488"/>
      <c r="AE34" s="488"/>
      <c r="AF34" s="488"/>
      <c r="AG34" s="488"/>
      <c r="AH34" s="488"/>
      <c r="AI34" s="488"/>
      <c r="AJ34" s="488"/>
      <c r="AK34" s="488"/>
      <c r="AL34" s="488"/>
      <c r="AM34" s="488"/>
      <c r="AN34" s="488"/>
      <c r="AO34" s="488"/>
      <c r="AP34" s="488"/>
      <c r="AQ34" s="488"/>
      <c r="AR34" s="488"/>
      <c r="AS34" s="488"/>
      <c r="AT34" s="488"/>
      <c r="AU34" s="488"/>
      <c r="AV34" s="488"/>
      <c r="AW34" s="488"/>
      <c r="AX34" s="488"/>
      <c r="AY34" s="488"/>
      <c r="AZ34" s="488"/>
      <c r="BA34" s="488"/>
      <c r="BB34" s="488"/>
      <c r="BC34" s="488"/>
      <c r="BD34" s="488"/>
      <c r="BE34" s="488"/>
      <c r="BF34" s="488"/>
      <c r="BG34" s="488"/>
      <c r="BH34" s="488"/>
      <c r="BI34" s="488"/>
      <c r="BJ34" s="488"/>
      <c r="BK34" s="488"/>
      <c r="BL34" s="488"/>
    </row>
    <row r="35" spans="2:65" x14ac:dyDescent="0.25">
      <c r="B35" s="136" t="s">
        <v>438</v>
      </c>
      <c r="C35" s="369">
        <v>44104</v>
      </c>
      <c r="E35" s="501" cm="1">
        <f t="array" ref="E35">_xll.d.Equity_Volatility(C35,C36,C37,C38,C39,C43:C1291,D43:D1291)</f>
        <v>0.27437833409372492</v>
      </c>
      <c r="F35" s="502">
        <v>0.27437800000000001</v>
      </c>
      <c r="G35" s="502">
        <f>STDEV(F44:F1291)*SQRT(C37)</f>
        <v>0.27437833409372464</v>
      </c>
      <c r="H35" s="378" t="str" cm="1">
        <f t="array" ref="H35">_xll.d.TestUtils_Equal(E35,F35,0.00001)</f>
        <v>Ok</v>
      </c>
      <c r="I35" s="488"/>
      <c r="J35" s="488"/>
      <c r="K35" s="488"/>
      <c r="L35" s="488"/>
      <c r="M35" s="488"/>
      <c r="N35" s="136" t="s">
        <v>438</v>
      </c>
      <c r="O35" s="369">
        <v>44104</v>
      </c>
      <c r="P35" s="488"/>
      <c r="Q35" s="501" t="str" cm="1">
        <f t="array" ref="Q35">_xll.d.Equity_Volatility(O35,O36,O37,O38,O39,C43:C1291,D43:D1291)</f>
        <v>#∂Excel Error: Invalid weighting style: ASDF</v>
      </c>
      <c r="R35" s="502" t="s">
        <v>461</v>
      </c>
      <c r="S35" s="378" t="str" cm="1">
        <f t="array" ref="S35">_xll.d.TestUtils_Equal(Q35,R35)</f>
        <v>Ok</v>
      </c>
      <c r="T35" s="488"/>
      <c r="U35" s="136" t="s">
        <v>438</v>
      </c>
      <c r="V35" s="369">
        <v>44104</v>
      </c>
      <c r="W35" s="488"/>
      <c r="X35" s="501" t="str" cm="1">
        <f t="array" ref="X35">_xll.d.Equity_Volatility(V35,V36,V37,V38,V39,C43:C1291,D44:D1291)</f>
        <v>#∂Excel Error: Date array and stock price array have different sizes.</v>
      </c>
      <c r="Y35" s="502" t="s">
        <v>464</v>
      </c>
      <c r="Z35" s="378" t="str" cm="1">
        <f t="array" ref="Z35">_xll.d.TestUtils_Equal(X35,Y35)</f>
        <v>Ok</v>
      </c>
      <c r="AA35" s="488"/>
      <c r="AB35" s="488"/>
      <c r="AC35" s="488"/>
      <c r="AD35" s="488"/>
      <c r="AE35" s="488"/>
      <c r="AF35" s="488"/>
      <c r="AG35" s="488"/>
      <c r="AH35" s="488"/>
      <c r="AI35" s="488"/>
      <c r="AJ35" s="488"/>
      <c r="AK35" s="488"/>
      <c r="AL35" s="488"/>
      <c r="AM35" s="488"/>
      <c r="AN35" s="488"/>
      <c r="AO35" s="488"/>
      <c r="AP35" s="488"/>
      <c r="AQ35" s="488"/>
      <c r="AR35" s="488"/>
      <c r="AS35" s="488"/>
      <c r="AT35" s="488"/>
      <c r="AU35" s="488"/>
      <c r="AV35" s="488"/>
      <c r="AW35" s="488"/>
      <c r="AX35" s="488"/>
      <c r="AY35" s="488"/>
      <c r="AZ35" s="488"/>
      <c r="BA35" s="488"/>
      <c r="BB35" s="488"/>
      <c r="BC35" s="488"/>
      <c r="BD35" s="488"/>
      <c r="BE35" s="488"/>
      <c r="BF35" s="488"/>
      <c r="BG35" s="488"/>
      <c r="BH35" s="488"/>
      <c r="BI35" s="488"/>
      <c r="BJ35" s="488"/>
      <c r="BK35" s="488"/>
      <c r="BL35" s="488"/>
    </row>
    <row r="36" spans="2:65" x14ac:dyDescent="0.25">
      <c r="B36" s="138" t="s">
        <v>439</v>
      </c>
      <c r="C36" s="381">
        <v>45930</v>
      </c>
      <c r="E36" s="366"/>
      <c r="F36" s="487" t="s">
        <v>440</v>
      </c>
      <c r="I36" s="488"/>
      <c r="J36" s="488"/>
      <c r="K36" s="488"/>
      <c r="L36" s="488"/>
      <c r="M36" s="488"/>
      <c r="N36" s="138" t="s">
        <v>439</v>
      </c>
      <c r="O36" s="381">
        <v>45930</v>
      </c>
      <c r="P36" s="488"/>
      <c r="Q36" s="366"/>
      <c r="R36" s="488"/>
      <c r="S36" s="488"/>
      <c r="T36" s="488"/>
      <c r="U36" s="138" t="s">
        <v>439</v>
      </c>
      <c r="V36" s="381">
        <v>45930</v>
      </c>
      <c r="W36" s="488"/>
      <c r="X36" s="366"/>
      <c r="Y36" s="488"/>
      <c r="Z36" s="488"/>
      <c r="AA36" s="488"/>
      <c r="AB36" s="488"/>
      <c r="AC36" s="488"/>
      <c r="AD36" s="488"/>
      <c r="AE36" s="488"/>
      <c r="AF36" s="488"/>
      <c r="AG36" s="488"/>
      <c r="AH36" s="488"/>
      <c r="AI36" s="488"/>
      <c r="AJ36" s="488"/>
      <c r="AK36" s="488"/>
      <c r="AL36" s="488"/>
      <c r="AM36" s="488"/>
      <c r="AN36" s="488"/>
      <c r="AO36" s="488"/>
      <c r="AP36" s="488"/>
      <c r="AQ36" s="488"/>
      <c r="AR36" s="488"/>
      <c r="AS36" s="488"/>
      <c r="AT36" s="488"/>
      <c r="AU36" s="488"/>
      <c r="AV36" s="488"/>
      <c r="AW36" s="488"/>
      <c r="AX36" s="488"/>
      <c r="AY36" s="488"/>
      <c r="AZ36" s="488"/>
      <c r="BA36" s="488"/>
      <c r="BB36" s="488"/>
      <c r="BC36" s="488"/>
      <c r="BD36" s="488"/>
      <c r="BE36" s="488"/>
      <c r="BF36" s="488"/>
      <c r="BG36" s="488"/>
      <c r="BH36" s="488"/>
      <c r="BI36" s="488"/>
      <c r="BJ36" s="488"/>
      <c r="BK36" s="488"/>
      <c r="BL36" s="488"/>
    </row>
    <row r="37" spans="2:65" x14ac:dyDescent="0.25">
      <c r="B37" s="138" t="s">
        <v>449</v>
      </c>
      <c r="C37" s="507">
        <f>ROUND(COUNT(C43:C1291)*365/(C1291-C43),0)</f>
        <v>250</v>
      </c>
      <c r="J37" s="488"/>
      <c r="K37" s="488"/>
      <c r="L37" s="488"/>
      <c r="M37" s="488"/>
      <c r="N37" s="138" t="s">
        <v>449</v>
      </c>
      <c r="O37" s="507">
        <f>C37</f>
        <v>250</v>
      </c>
      <c r="P37" s="488"/>
      <c r="Q37" s="488"/>
      <c r="R37" s="488"/>
      <c r="S37" s="488"/>
      <c r="T37" s="488"/>
      <c r="U37" s="138" t="s">
        <v>449</v>
      </c>
      <c r="V37" s="507">
        <f>C37</f>
        <v>250</v>
      </c>
      <c r="W37" s="488"/>
      <c r="X37" s="488"/>
      <c r="Y37" s="488"/>
      <c r="Z37" s="488"/>
      <c r="AA37" s="488"/>
      <c r="AB37" s="488"/>
      <c r="AC37" s="488"/>
      <c r="AD37" s="488"/>
      <c r="AE37" s="488"/>
      <c r="AF37" s="488"/>
      <c r="AG37" s="488"/>
      <c r="AH37" s="488"/>
      <c r="AI37" s="488"/>
      <c r="AJ37" s="488"/>
      <c r="AK37" s="488"/>
      <c r="AL37" s="488"/>
      <c r="AM37" s="488"/>
      <c r="AN37" s="488"/>
      <c r="AO37" s="488"/>
      <c r="AP37" s="488"/>
      <c r="AQ37" s="488"/>
      <c r="AR37" s="488"/>
      <c r="AS37" s="488"/>
      <c r="AT37" s="488"/>
      <c r="AU37" s="488"/>
      <c r="AV37" s="488"/>
      <c r="AW37" s="488"/>
      <c r="AX37" s="488"/>
      <c r="AY37" s="488"/>
      <c r="AZ37" s="488"/>
      <c r="BA37" s="488"/>
      <c r="BB37" s="488"/>
      <c r="BC37" s="488"/>
      <c r="BD37" s="488"/>
      <c r="BE37" s="488"/>
      <c r="BF37" s="488"/>
      <c r="BG37" s="488"/>
      <c r="BH37" s="488"/>
      <c r="BI37" s="488"/>
      <c r="BJ37" s="488"/>
      <c r="BK37" s="488"/>
      <c r="BL37" s="488"/>
      <c r="BM37" s="488"/>
    </row>
    <row r="38" spans="2:65" s="488" customFormat="1" x14ac:dyDescent="0.25">
      <c r="B38" s="138" t="s">
        <v>452</v>
      </c>
      <c r="C38" s="381" t="s">
        <v>476</v>
      </c>
      <c r="N38" s="138" t="s">
        <v>452</v>
      </c>
      <c r="O38" s="381" t="s">
        <v>460</v>
      </c>
      <c r="U38" s="138" t="s">
        <v>452</v>
      </c>
      <c r="V38" s="381" t="s">
        <v>453</v>
      </c>
    </row>
    <row r="39" spans="2:65" s="488" customFormat="1" x14ac:dyDescent="0.25">
      <c r="B39" s="503" t="s">
        <v>437</v>
      </c>
      <c r="C39" s="504">
        <v>0.97</v>
      </c>
      <c r="N39" s="503" t="s">
        <v>437</v>
      </c>
      <c r="O39" s="504">
        <v>0.97</v>
      </c>
      <c r="U39" s="503" t="s">
        <v>437</v>
      </c>
      <c r="V39" s="504">
        <v>0.97</v>
      </c>
    </row>
    <row r="40" spans="2:65" s="488" customFormat="1" x14ac:dyDescent="0.25"/>
    <row r="41" spans="2:65" s="488" customFormat="1" x14ac:dyDescent="0.25"/>
    <row r="42" spans="2:65" x14ac:dyDescent="0.25">
      <c r="B42" s="489" t="s">
        <v>441</v>
      </c>
      <c r="C42" s="490" t="s">
        <v>442</v>
      </c>
      <c r="D42" s="490" t="s">
        <v>443</v>
      </c>
      <c r="E42" s="490" t="s">
        <v>444</v>
      </c>
      <c r="F42" s="490" t="s">
        <v>445</v>
      </c>
      <c r="G42" s="488"/>
      <c r="J42" s="488"/>
      <c r="K42" s="488"/>
      <c r="L42" s="488"/>
      <c r="M42" s="488"/>
    </row>
    <row r="43" spans="2:65" x14ac:dyDescent="0.25">
      <c r="B43" s="491" t="s">
        <v>446</v>
      </c>
      <c r="C43" s="495">
        <v>42278</v>
      </c>
      <c r="D43" s="492">
        <v>18750</v>
      </c>
      <c r="E43" s="497">
        <v>558349</v>
      </c>
      <c r="F43" s="505"/>
      <c r="G43" s="488"/>
      <c r="J43" s="488"/>
      <c r="K43" s="488"/>
      <c r="L43" s="488"/>
      <c r="M43" s="488"/>
    </row>
    <row r="44" spans="2:65" x14ac:dyDescent="0.25">
      <c r="B44" s="491" t="s">
        <v>446</v>
      </c>
      <c r="C44" s="495">
        <v>42279</v>
      </c>
      <c r="D44" s="492">
        <v>18575</v>
      </c>
      <c r="E44" s="497">
        <v>194391</v>
      </c>
      <c r="F44" s="505">
        <v>-9.3771618125969309E-3</v>
      </c>
      <c r="G44" s="488"/>
      <c r="J44" s="488"/>
      <c r="K44" s="488"/>
      <c r="L44" s="488"/>
      <c r="M44" s="488"/>
    </row>
    <row r="45" spans="2:65" x14ac:dyDescent="0.25">
      <c r="B45" s="491" t="s">
        <v>446</v>
      </c>
      <c r="C45" s="495">
        <v>42282</v>
      </c>
      <c r="D45" s="492">
        <v>19005</v>
      </c>
      <c r="E45" s="497">
        <v>493407</v>
      </c>
      <c r="F45" s="505">
        <v>2.2885511837389235E-2</v>
      </c>
      <c r="G45" s="488"/>
      <c r="J45" s="488"/>
      <c r="K45" s="488"/>
      <c r="L45" s="488"/>
      <c r="M45" s="488"/>
    </row>
    <row r="46" spans="2:65" x14ac:dyDescent="0.25">
      <c r="B46" s="491" t="s">
        <v>446</v>
      </c>
      <c r="C46" s="495">
        <v>42283</v>
      </c>
      <c r="D46" s="492">
        <v>19168</v>
      </c>
      <c r="E46" s="497">
        <v>238782</v>
      </c>
      <c r="F46" s="505">
        <v>8.5401194918268853E-3</v>
      </c>
      <c r="G46" s="488"/>
      <c r="J46" s="488"/>
      <c r="K46" s="488"/>
      <c r="L46" s="488"/>
      <c r="M46" s="488"/>
    </row>
    <row r="47" spans="2:65" x14ac:dyDescent="0.25">
      <c r="B47" s="491" t="s">
        <v>446</v>
      </c>
      <c r="C47" s="495">
        <v>42284</v>
      </c>
      <c r="D47" s="492">
        <v>19389</v>
      </c>
      <c r="E47" s="497">
        <v>635104</v>
      </c>
      <c r="F47" s="505">
        <v>1.1463673015829247E-2</v>
      </c>
      <c r="G47" s="488"/>
      <c r="J47" s="488"/>
      <c r="K47" s="488"/>
      <c r="L47" s="488"/>
      <c r="M47" s="488"/>
    </row>
    <row r="48" spans="2:65" x14ac:dyDescent="0.25">
      <c r="B48" s="491" t="s">
        <v>446</v>
      </c>
      <c r="C48" s="495">
        <v>42285</v>
      </c>
      <c r="D48" s="492">
        <v>19117</v>
      </c>
      <c r="E48" s="497">
        <v>554222</v>
      </c>
      <c r="F48" s="505">
        <v>-1.4127903401986788E-2</v>
      </c>
      <c r="G48" s="488"/>
      <c r="J48" s="488"/>
      <c r="K48" s="488"/>
      <c r="L48" s="488"/>
      <c r="M48" s="488"/>
    </row>
    <row r="49" spans="2:18" x14ac:dyDescent="0.25">
      <c r="B49" s="491" t="s">
        <v>446</v>
      </c>
      <c r="C49" s="495">
        <v>42286</v>
      </c>
      <c r="D49" s="492">
        <v>19418</v>
      </c>
      <c r="E49" s="497">
        <v>878356</v>
      </c>
      <c r="F49" s="505">
        <v>1.5622479401071887E-2</v>
      </c>
      <c r="G49" s="488"/>
      <c r="J49" s="488"/>
      <c r="K49" s="488"/>
      <c r="L49" s="488"/>
      <c r="M49" s="488"/>
    </row>
    <row r="50" spans="2:18" x14ac:dyDescent="0.25">
      <c r="B50" s="491" t="s">
        <v>446</v>
      </c>
      <c r="C50" s="495">
        <v>42289</v>
      </c>
      <c r="D50" s="492">
        <v>19314</v>
      </c>
      <c r="E50" s="497">
        <v>467609</v>
      </c>
      <c r="F50" s="505">
        <v>-5.37024940322704E-3</v>
      </c>
      <c r="G50" s="488"/>
      <c r="J50" s="488"/>
      <c r="K50" s="488"/>
      <c r="L50" s="488"/>
      <c r="M50" s="488"/>
    </row>
    <row r="51" spans="2:18" x14ac:dyDescent="0.25">
      <c r="B51" s="491" t="s">
        <v>446</v>
      </c>
      <c r="C51" s="495">
        <v>42290</v>
      </c>
      <c r="D51" s="492">
        <v>19163</v>
      </c>
      <c r="E51" s="497">
        <v>393514</v>
      </c>
      <c r="F51" s="505">
        <v>-7.8488850583679822E-3</v>
      </c>
      <c r="G51" s="488"/>
      <c r="J51" s="488"/>
      <c r="K51" s="488"/>
      <c r="L51" s="488"/>
      <c r="M51" s="488"/>
    </row>
    <row r="52" spans="2:18" x14ac:dyDescent="0.25">
      <c r="B52" s="491" t="s">
        <v>446</v>
      </c>
      <c r="C52" s="495">
        <v>42291</v>
      </c>
      <c r="D52" s="492">
        <v>19183</v>
      </c>
      <c r="E52" s="497">
        <v>383229</v>
      </c>
      <c r="F52" s="505">
        <v>1.0431336678427205E-3</v>
      </c>
      <c r="G52" s="488"/>
      <c r="J52" s="488"/>
      <c r="K52" s="488"/>
      <c r="L52" s="488"/>
      <c r="M52" s="488"/>
    </row>
    <row r="53" spans="2:18" x14ac:dyDescent="0.25">
      <c r="B53" s="491" t="s">
        <v>446</v>
      </c>
      <c r="C53" s="495">
        <v>42292</v>
      </c>
      <c r="D53" s="492">
        <v>19209</v>
      </c>
      <c r="E53" s="497">
        <v>266297</v>
      </c>
      <c r="F53" s="505">
        <v>1.3544490505739543E-3</v>
      </c>
      <c r="G53" s="488"/>
      <c r="J53" s="488"/>
      <c r="K53" s="488"/>
      <c r="L53" s="488"/>
      <c r="M53" s="488"/>
    </row>
    <row r="54" spans="2:18" x14ac:dyDescent="0.25">
      <c r="B54" s="491" t="s">
        <v>446</v>
      </c>
      <c r="C54" s="495">
        <v>42293</v>
      </c>
      <c r="D54" s="492">
        <v>19060</v>
      </c>
      <c r="E54" s="497">
        <v>994705</v>
      </c>
      <c r="F54" s="505">
        <v>-7.7870209787187887E-3</v>
      </c>
      <c r="G54" s="488"/>
      <c r="J54" s="488"/>
      <c r="K54" s="488"/>
      <c r="L54" s="488"/>
      <c r="M54" s="488"/>
    </row>
    <row r="55" spans="2:18" x14ac:dyDescent="0.25">
      <c r="B55" s="491" t="s">
        <v>446</v>
      </c>
      <c r="C55" s="495">
        <v>42296</v>
      </c>
      <c r="D55" s="492">
        <v>19200</v>
      </c>
      <c r="E55" s="497">
        <v>599328</v>
      </c>
      <c r="F55" s="505">
        <v>7.3183808076797011E-3</v>
      </c>
      <c r="G55" s="488"/>
      <c r="J55" s="488"/>
      <c r="K55" s="488"/>
      <c r="L55" s="488"/>
      <c r="M55" s="488"/>
    </row>
    <row r="56" spans="2:18" x14ac:dyDescent="0.25">
      <c r="B56" s="491" t="s">
        <v>446</v>
      </c>
      <c r="C56" s="495">
        <v>42297</v>
      </c>
      <c r="D56" s="492">
        <v>19315</v>
      </c>
      <c r="E56" s="497">
        <v>1247516</v>
      </c>
      <c r="F56" s="505">
        <v>5.9717170845088674E-3</v>
      </c>
      <c r="G56" s="488"/>
      <c r="J56" s="488"/>
      <c r="K56" s="488"/>
      <c r="L56" s="488"/>
      <c r="M56" s="488"/>
      <c r="N56" s="488"/>
      <c r="O56" s="488"/>
      <c r="P56" s="488"/>
      <c r="Q56" s="488"/>
      <c r="R56" s="488"/>
    </row>
    <row r="57" spans="2:18" x14ac:dyDescent="0.25">
      <c r="B57" s="491" t="s">
        <v>446</v>
      </c>
      <c r="C57" s="495">
        <v>42298</v>
      </c>
      <c r="D57" s="492">
        <v>19325</v>
      </c>
      <c r="E57" s="497">
        <v>420391</v>
      </c>
      <c r="F57" s="505">
        <v>5.1759835524104207E-4</v>
      </c>
      <c r="G57" s="488"/>
      <c r="J57" s="488"/>
      <c r="K57" s="488"/>
      <c r="L57" s="488"/>
      <c r="M57" s="488"/>
      <c r="N57" s="488"/>
      <c r="O57" s="488"/>
      <c r="P57" s="488"/>
      <c r="Q57" s="488"/>
      <c r="R57" s="488"/>
    </row>
    <row r="58" spans="2:18" x14ac:dyDescent="0.25">
      <c r="B58" s="491" t="s">
        <v>446</v>
      </c>
      <c r="C58" s="495">
        <v>42299</v>
      </c>
      <c r="D58" s="492">
        <v>19712</v>
      </c>
      <c r="E58" s="497">
        <v>532987</v>
      </c>
      <c r="F58" s="505">
        <v>1.9827992877623535E-2</v>
      </c>
      <c r="G58" s="488"/>
      <c r="J58" s="488"/>
      <c r="K58" s="488"/>
      <c r="L58" s="488"/>
      <c r="M58" s="488"/>
      <c r="N58" s="488"/>
      <c r="O58" s="488"/>
      <c r="P58" s="488"/>
      <c r="Q58" s="488"/>
      <c r="R58" s="488"/>
    </row>
    <row r="59" spans="2:18" x14ac:dyDescent="0.25">
      <c r="B59" s="491" t="s">
        <v>446</v>
      </c>
      <c r="C59" s="495">
        <v>42300</v>
      </c>
      <c r="D59" s="492">
        <v>19893</v>
      </c>
      <c r="E59" s="497">
        <v>211943</v>
      </c>
      <c r="F59" s="505">
        <v>9.140323703730982E-3</v>
      </c>
      <c r="G59" s="488"/>
      <c r="J59" s="488"/>
      <c r="K59" s="488"/>
      <c r="L59" s="488"/>
      <c r="M59" s="488"/>
      <c r="N59" s="488"/>
      <c r="O59" s="488"/>
      <c r="P59" s="488"/>
      <c r="Q59" s="488"/>
      <c r="R59" s="488"/>
    </row>
    <row r="60" spans="2:18" x14ac:dyDescent="0.25">
      <c r="B60" s="491" t="s">
        <v>446</v>
      </c>
      <c r="C60" s="495">
        <v>42303</v>
      </c>
      <c r="D60" s="492">
        <v>20146</v>
      </c>
      <c r="E60" s="497">
        <v>410901</v>
      </c>
      <c r="F60" s="505">
        <v>1.2637846465649158E-2</v>
      </c>
      <c r="G60" s="488"/>
      <c r="J60" s="488"/>
      <c r="K60" s="488"/>
      <c r="L60" s="488"/>
      <c r="M60" s="488"/>
      <c r="N60" s="488"/>
      <c r="O60" s="488"/>
      <c r="P60" s="488"/>
      <c r="Q60" s="488"/>
      <c r="R60" s="488"/>
    </row>
    <row r="61" spans="2:18" x14ac:dyDescent="0.25">
      <c r="B61" s="491" t="s">
        <v>446</v>
      </c>
      <c r="C61" s="495">
        <v>42304</v>
      </c>
      <c r="D61" s="492">
        <v>20022</v>
      </c>
      <c r="E61" s="497">
        <v>319921</v>
      </c>
      <c r="F61" s="505">
        <v>-6.1740885231974171E-3</v>
      </c>
      <c r="G61" s="488"/>
      <c r="J61" s="488"/>
      <c r="K61" s="488"/>
      <c r="L61" s="488"/>
      <c r="M61" s="488"/>
      <c r="N61" s="488"/>
      <c r="O61" s="488"/>
      <c r="P61" s="488"/>
      <c r="Q61" s="488"/>
      <c r="R61" s="488"/>
    </row>
    <row r="62" spans="2:18" x14ac:dyDescent="0.25">
      <c r="B62" s="491" t="s">
        <v>446</v>
      </c>
      <c r="C62" s="495">
        <v>42305</v>
      </c>
      <c r="D62" s="492">
        <v>20183</v>
      </c>
      <c r="E62" s="497">
        <v>345157</v>
      </c>
      <c r="F62" s="505">
        <v>8.0089969206899835E-3</v>
      </c>
      <c r="G62" s="488"/>
      <c r="J62" s="488"/>
      <c r="K62" s="488"/>
      <c r="L62" s="488"/>
      <c r="M62" s="488"/>
      <c r="N62" s="488"/>
      <c r="O62" s="488"/>
      <c r="P62" s="488"/>
      <c r="Q62" s="488"/>
      <c r="R62" s="488"/>
    </row>
    <row r="63" spans="2:18" x14ac:dyDescent="0.25">
      <c r="B63" s="491" t="s">
        <v>446</v>
      </c>
      <c r="C63" s="495">
        <v>42306</v>
      </c>
      <c r="D63" s="492">
        <v>19855</v>
      </c>
      <c r="E63" s="497">
        <v>307561</v>
      </c>
      <c r="F63" s="505">
        <v>-1.6384801334767177E-2</v>
      </c>
      <c r="G63" s="488"/>
    </row>
    <row r="64" spans="2:18" x14ac:dyDescent="0.25">
      <c r="B64" s="491" t="s">
        <v>446</v>
      </c>
      <c r="C64" s="495">
        <v>42307</v>
      </c>
      <c r="D64" s="492">
        <v>19884</v>
      </c>
      <c r="E64" s="497">
        <v>359706</v>
      </c>
      <c r="F64" s="505">
        <v>1.4595236492114623E-3</v>
      </c>
      <c r="G64" s="488"/>
    </row>
    <row r="65" spans="2:7" x14ac:dyDescent="0.25">
      <c r="B65" s="491" t="s">
        <v>446</v>
      </c>
      <c r="C65" s="495">
        <v>42310</v>
      </c>
      <c r="D65" s="492">
        <v>20239</v>
      </c>
      <c r="E65" s="497">
        <v>391481</v>
      </c>
      <c r="F65" s="505">
        <v>1.769604785164253E-2</v>
      </c>
      <c r="G65" s="488"/>
    </row>
    <row r="66" spans="2:7" x14ac:dyDescent="0.25">
      <c r="B66" s="491" t="s">
        <v>446</v>
      </c>
      <c r="C66" s="495">
        <v>42311</v>
      </c>
      <c r="D66" s="492">
        <v>20210</v>
      </c>
      <c r="E66" s="497">
        <v>384567</v>
      </c>
      <c r="F66" s="505">
        <v>-1.4339046685389004E-3</v>
      </c>
      <c r="G66" s="488"/>
    </row>
    <row r="67" spans="2:7" x14ac:dyDescent="0.25">
      <c r="B67" s="491" t="s">
        <v>446</v>
      </c>
      <c r="C67" s="495">
        <v>42312</v>
      </c>
      <c r="D67" s="492">
        <v>20460</v>
      </c>
      <c r="E67" s="497">
        <v>641572</v>
      </c>
      <c r="F67" s="505">
        <v>1.2294229107950709E-2</v>
      </c>
      <c r="G67" s="488"/>
    </row>
    <row r="68" spans="2:7" x14ac:dyDescent="0.25">
      <c r="B68" s="491" t="s">
        <v>446</v>
      </c>
      <c r="C68" s="495">
        <v>42313</v>
      </c>
      <c r="D68" s="492">
        <v>20400</v>
      </c>
      <c r="E68" s="497">
        <v>1470654</v>
      </c>
      <c r="F68" s="505">
        <v>-2.9368596733097135E-3</v>
      </c>
      <c r="G68" s="488"/>
    </row>
    <row r="69" spans="2:7" x14ac:dyDescent="0.25">
      <c r="B69" s="491" t="s">
        <v>446</v>
      </c>
      <c r="C69" s="495">
        <v>42314</v>
      </c>
      <c r="D69" s="492">
        <v>19876</v>
      </c>
      <c r="E69" s="497">
        <v>226669</v>
      </c>
      <c r="F69" s="505">
        <v>-2.6021927110096515E-2</v>
      </c>
      <c r="G69" s="488"/>
    </row>
    <row r="70" spans="2:7" x14ac:dyDescent="0.25">
      <c r="B70" s="491" t="s">
        <v>446</v>
      </c>
      <c r="C70" s="495">
        <v>42317</v>
      </c>
      <c r="D70" s="492">
        <v>20044</v>
      </c>
      <c r="E70" s="497">
        <v>427324</v>
      </c>
      <c r="F70" s="505">
        <v>8.4168833574041688E-3</v>
      </c>
      <c r="G70" s="488"/>
    </row>
    <row r="71" spans="2:7" x14ac:dyDescent="0.25">
      <c r="B71" s="491" t="s">
        <v>446</v>
      </c>
      <c r="C71" s="495">
        <v>42318</v>
      </c>
      <c r="D71" s="492">
        <v>19538</v>
      </c>
      <c r="E71" s="497">
        <v>319303</v>
      </c>
      <c r="F71" s="505">
        <v>-2.5568569866727429E-2</v>
      </c>
      <c r="G71" s="488"/>
    </row>
    <row r="72" spans="2:7" x14ac:dyDescent="0.25">
      <c r="B72" s="491" t="s">
        <v>446</v>
      </c>
      <c r="C72" s="495">
        <v>42319</v>
      </c>
      <c r="D72" s="492">
        <v>18950</v>
      </c>
      <c r="E72" s="497">
        <v>761159</v>
      </c>
      <c r="F72" s="505">
        <v>-3.0557355702315464E-2</v>
      </c>
      <c r="G72" s="488"/>
    </row>
    <row r="73" spans="2:7" x14ac:dyDescent="0.25">
      <c r="B73" s="491" t="s">
        <v>446</v>
      </c>
      <c r="C73" s="495">
        <v>42320</v>
      </c>
      <c r="D73" s="492">
        <v>19300</v>
      </c>
      <c r="E73" s="497">
        <v>1880367</v>
      </c>
      <c r="F73" s="505">
        <v>1.8301164382404443E-2</v>
      </c>
      <c r="G73" s="488"/>
    </row>
    <row r="74" spans="2:7" x14ac:dyDescent="0.25">
      <c r="B74" s="491" t="s">
        <v>446</v>
      </c>
      <c r="C74" s="495">
        <v>42321</v>
      </c>
      <c r="D74" s="492">
        <v>19099</v>
      </c>
      <c r="E74" s="497">
        <v>958021</v>
      </c>
      <c r="F74" s="505">
        <v>-1.0469118249822353E-2</v>
      </c>
      <c r="G74" s="488"/>
    </row>
    <row r="75" spans="2:7" x14ac:dyDescent="0.25">
      <c r="B75" s="491" t="s">
        <v>446</v>
      </c>
      <c r="C75" s="495">
        <v>42324</v>
      </c>
      <c r="D75" s="492">
        <v>18900</v>
      </c>
      <c r="E75" s="497">
        <v>682562</v>
      </c>
      <c r="F75" s="505">
        <v>-1.0474055595420747E-2</v>
      </c>
      <c r="G75" s="488"/>
    </row>
    <row r="76" spans="2:7" x14ac:dyDescent="0.25">
      <c r="B76" s="491" t="s">
        <v>446</v>
      </c>
      <c r="C76" s="495">
        <v>42325</v>
      </c>
      <c r="D76" s="492">
        <v>19140</v>
      </c>
      <c r="E76" s="497">
        <v>627249</v>
      </c>
      <c r="F76" s="505">
        <v>1.2618463959211464E-2</v>
      </c>
      <c r="G76" s="488"/>
    </row>
    <row r="77" spans="2:7" x14ac:dyDescent="0.25">
      <c r="B77" s="491" t="s">
        <v>446</v>
      </c>
      <c r="C77" s="495">
        <v>42326</v>
      </c>
      <c r="D77" s="492">
        <v>18600</v>
      </c>
      <c r="E77" s="497">
        <v>534537</v>
      </c>
      <c r="F77" s="505">
        <v>-2.8618805305652677E-2</v>
      </c>
      <c r="G77" s="488"/>
    </row>
    <row r="78" spans="2:7" x14ac:dyDescent="0.25">
      <c r="B78" s="491" t="s">
        <v>446</v>
      </c>
      <c r="C78" s="495">
        <v>42327</v>
      </c>
      <c r="D78" s="492">
        <v>19000</v>
      </c>
      <c r="E78" s="497">
        <v>812986</v>
      </c>
      <c r="F78" s="505">
        <v>2.1277398447284879E-2</v>
      </c>
      <c r="G78" s="488"/>
    </row>
    <row r="79" spans="2:7" x14ac:dyDescent="0.25">
      <c r="B79" s="491" t="s">
        <v>446</v>
      </c>
      <c r="C79" s="495">
        <v>42328</v>
      </c>
      <c r="D79" s="492">
        <v>19040</v>
      </c>
      <c r="E79" s="497">
        <v>635647</v>
      </c>
      <c r="F79" s="505">
        <v>2.10305019677889E-3</v>
      </c>
      <c r="G79" s="488"/>
    </row>
    <row r="80" spans="2:7" x14ac:dyDescent="0.25">
      <c r="B80" s="491" t="s">
        <v>446</v>
      </c>
      <c r="C80" s="495">
        <v>42331</v>
      </c>
      <c r="D80" s="492">
        <v>18900</v>
      </c>
      <c r="E80" s="497">
        <v>378561</v>
      </c>
      <c r="F80" s="505">
        <v>-7.3801072976225337E-3</v>
      </c>
      <c r="G80" s="488"/>
    </row>
    <row r="81" spans="2:7" x14ac:dyDescent="0.25">
      <c r="B81" s="491" t="s">
        <v>446</v>
      </c>
      <c r="C81" s="495">
        <v>42332</v>
      </c>
      <c r="D81" s="492">
        <v>19002</v>
      </c>
      <c r="E81" s="497">
        <v>687659</v>
      </c>
      <c r="F81" s="505">
        <v>5.382314718960942E-3</v>
      </c>
      <c r="G81" s="488"/>
    </row>
    <row r="82" spans="2:7" x14ac:dyDescent="0.25">
      <c r="B82" s="491" t="s">
        <v>446</v>
      </c>
      <c r="C82" s="495">
        <v>42333</v>
      </c>
      <c r="D82" s="492">
        <v>18703</v>
      </c>
      <c r="E82" s="497">
        <v>486181</v>
      </c>
      <c r="F82" s="505">
        <v>-1.5860297983694722E-2</v>
      </c>
      <c r="G82" s="488"/>
    </row>
    <row r="83" spans="2:7" x14ac:dyDescent="0.25">
      <c r="B83" s="491" t="s">
        <v>446</v>
      </c>
      <c r="C83" s="495">
        <v>42334</v>
      </c>
      <c r="D83" s="492">
        <v>18945</v>
      </c>
      <c r="E83" s="497">
        <v>360964</v>
      </c>
      <c r="F83" s="505">
        <v>1.2856105669701027E-2</v>
      </c>
      <c r="G83" s="488"/>
    </row>
    <row r="84" spans="2:7" x14ac:dyDescent="0.25">
      <c r="B84" s="491" t="s">
        <v>446</v>
      </c>
      <c r="C84" s="495">
        <v>42335</v>
      </c>
      <c r="D84" s="492">
        <v>19000</v>
      </c>
      <c r="E84" s="497">
        <v>466488</v>
      </c>
      <c r="F84" s="505">
        <v>2.8989346958764452E-3</v>
      </c>
      <c r="G84" s="488"/>
    </row>
    <row r="85" spans="2:7" x14ac:dyDescent="0.25">
      <c r="B85" s="491" t="s">
        <v>446</v>
      </c>
      <c r="C85" s="495">
        <v>42338</v>
      </c>
      <c r="D85" s="492">
        <v>18159</v>
      </c>
      <c r="E85" s="497">
        <v>760169</v>
      </c>
      <c r="F85" s="505">
        <v>-4.5272673588780635E-2</v>
      </c>
      <c r="G85" s="488"/>
    </row>
    <row r="86" spans="2:7" x14ac:dyDescent="0.25">
      <c r="B86" s="491" t="s">
        <v>446</v>
      </c>
      <c r="C86" s="495">
        <v>42339</v>
      </c>
      <c r="D86" s="492">
        <v>18489</v>
      </c>
      <c r="E86" s="497">
        <v>493530</v>
      </c>
      <c r="F86" s="505">
        <v>1.8009655070555998E-2</v>
      </c>
      <c r="G86" s="488"/>
    </row>
    <row r="87" spans="2:7" x14ac:dyDescent="0.25">
      <c r="B87" s="491" t="s">
        <v>446</v>
      </c>
      <c r="C87" s="495">
        <v>42340</v>
      </c>
      <c r="D87" s="492">
        <v>18664</v>
      </c>
      <c r="E87" s="497">
        <v>878695</v>
      </c>
      <c r="F87" s="505">
        <v>9.4205740709131704E-3</v>
      </c>
      <c r="G87" s="488"/>
    </row>
    <row r="88" spans="2:7" x14ac:dyDescent="0.25">
      <c r="B88" s="491" t="s">
        <v>446</v>
      </c>
      <c r="C88" s="495">
        <v>42341</v>
      </c>
      <c r="D88" s="492">
        <v>18051</v>
      </c>
      <c r="E88" s="497">
        <v>746211</v>
      </c>
      <c r="F88" s="505">
        <v>-3.3395449812804463E-2</v>
      </c>
      <c r="G88" s="488"/>
    </row>
    <row r="89" spans="2:7" x14ac:dyDescent="0.25">
      <c r="B89" s="491" t="s">
        <v>446</v>
      </c>
      <c r="C89" s="495">
        <v>42342</v>
      </c>
      <c r="D89" s="492">
        <v>17424</v>
      </c>
      <c r="E89" s="497">
        <v>837458</v>
      </c>
      <c r="F89" s="505">
        <v>-3.5352518715719719E-2</v>
      </c>
      <c r="G89" s="488"/>
    </row>
    <row r="90" spans="2:7" x14ac:dyDescent="0.25">
      <c r="B90" s="491" t="s">
        <v>446</v>
      </c>
      <c r="C90" s="495">
        <v>42345</v>
      </c>
      <c r="D90" s="492">
        <v>17705</v>
      </c>
      <c r="E90" s="497">
        <v>399387</v>
      </c>
      <c r="F90" s="505">
        <v>1.5998519373262392E-2</v>
      </c>
      <c r="G90" s="488"/>
    </row>
    <row r="91" spans="2:7" x14ac:dyDescent="0.25">
      <c r="B91" s="491" t="s">
        <v>446</v>
      </c>
      <c r="C91" s="495">
        <v>42346</v>
      </c>
      <c r="D91" s="492">
        <v>17552</v>
      </c>
      <c r="E91" s="497">
        <v>770754</v>
      </c>
      <c r="F91" s="505">
        <v>-8.6791820309926014E-3</v>
      </c>
      <c r="G91" s="488"/>
    </row>
    <row r="92" spans="2:7" x14ac:dyDescent="0.25">
      <c r="B92" s="491" t="s">
        <v>446</v>
      </c>
      <c r="C92" s="495">
        <v>42347</v>
      </c>
      <c r="D92" s="492">
        <v>18150</v>
      </c>
      <c r="E92" s="497">
        <v>397018</v>
      </c>
      <c r="F92" s="505">
        <v>3.3502657177985271E-2</v>
      </c>
      <c r="G92" s="488"/>
    </row>
    <row r="93" spans="2:7" x14ac:dyDescent="0.25">
      <c r="B93" s="491" t="s">
        <v>446</v>
      </c>
      <c r="C93" s="495">
        <v>42348</v>
      </c>
      <c r="D93" s="492">
        <v>17588</v>
      </c>
      <c r="E93" s="497">
        <v>1096001</v>
      </c>
      <c r="F93" s="505">
        <v>-3.1453709392296095E-2</v>
      </c>
      <c r="G93" s="488"/>
    </row>
    <row r="94" spans="2:7" x14ac:dyDescent="0.25">
      <c r="B94" s="491" t="s">
        <v>446</v>
      </c>
      <c r="C94" s="495">
        <v>42349</v>
      </c>
      <c r="D94" s="492">
        <v>16860</v>
      </c>
      <c r="E94" s="497">
        <v>802549</v>
      </c>
      <c r="F94" s="505">
        <v>-4.2272898744854258E-2</v>
      </c>
      <c r="G94" s="488"/>
    </row>
    <row r="95" spans="2:7" x14ac:dyDescent="0.25">
      <c r="B95" s="491" t="s">
        <v>446</v>
      </c>
      <c r="C95" s="495">
        <v>42352</v>
      </c>
      <c r="D95" s="492">
        <v>17636</v>
      </c>
      <c r="E95" s="497">
        <v>991264</v>
      </c>
      <c r="F95" s="505">
        <v>4.499831492198178E-2</v>
      </c>
      <c r="G95" s="488"/>
    </row>
    <row r="96" spans="2:7" x14ac:dyDescent="0.25">
      <c r="B96" s="491" t="s">
        <v>446</v>
      </c>
      <c r="C96" s="495">
        <v>42353</v>
      </c>
      <c r="D96" s="492">
        <v>18296</v>
      </c>
      <c r="E96" s="497">
        <v>475454</v>
      </c>
      <c r="F96" s="505">
        <v>3.6740189224788854E-2</v>
      </c>
      <c r="G96" s="488"/>
    </row>
    <row r="97" spans="2:7" x14ac:dyDescent="0.25">
      <c r="B97" s="491" t="s">
        <v>446</v>
      </c>
      <c r="C97" s="495">
        <v>42355</v>
      </c>
      <c r="D97" s="492">
        <v>18421</v>
      </c>
      <c r="E97" s="497">
        <v>706577</v>
      </c>
      <c r="F97" s="505">
        <v>6.8088614496000762E-3</v>
      </c>
      <c r="G97" s="488"/>
    </row>
    <row r="98" spans="2:7" x14ac:dyDescent="0.25">
      <c r="B98" s="491" t="s">
        <v>446</v>
      </c>
      <c r="C98" s="495">
        <v>42356</v>
      </c>
      <c r="D98" s="492">
        <v>19005</v>
      </c>
      <c r="E98" s="497">
        <v>869532</v>
      </c>
      <c r="F98" s="505">
        <v>3.1210784271131931E-2</v>
      </c>
      <c r="G98" s="488"/>
    </row>
    <row r="99" spans="2:7" x14ac:dyDescent="0.25">
      <c r="B99" s="491" t="s">
        <v>446</v>
      </c>
      <c r="C99" s="495">
        <v>42359</v>
      </c>
      <c r="D99" s="492">
        <v>18621</v>
      </c>
      <c r="E99" s="497">
        <v>567029</v>
      </c>
      <c r="F99" s="505">
        <v>-2.0412126341586709E-2</v>
      </c>
      <c r="G99" s="488"/>
    </row>
    <row r="100" spans="2:7" x14ac:dyDescent="0.25">
      <c r="B100" s="491" t="s">
        <v>446</v>
      </c>
      <c r="C100" s="495">
        <v>42360</v>
      </c>
      <c r="D100" s="492">
        <v>18628</v>
      </c>
      <c r="E100" s="497">
        <v>236015</v>
      </c>
      <c r="F100" s="505">
        <v>3.7584902050552261E-4</v>
      </c>
      <c r="G100" s="488"/>
    </row>
    <row r="101" spans="2:7" x14ac:dyDescent="0.25">
      <c r="B101" s="491" t="s">
        <v>446</v>
      </c>
      <c r="C101" s="495">
        <v>42361</v>
      </c>
      <c r="D101" s="492">
        <v>18874</v>
      </c>
      <c r="E101" s="497">
        <v>295227</v>
      </c>
      <c r="F101" s="505">
        <v>1.3119488479010481E-2</v>
      </c>
      <c r="G101" s="488"/>
    </row>
    <row r="102" spans="2:7" x14ac:dyDescent="0.25">
      <c r="B102" s="491" t="s">
        <v>446</v>
      </c>
      <c r="C102" s="495">
        <v>42362</v>
      </c>
      <c r="D102" s="492">
        <v>18851</v>
      </c>
      <c r="E102" s="497">
        <v>142680</v>
      </c>
      <c r="F102" s="505">
        <v>-1.219350714366138E-3</v>
      </c>
      <c r="G102" s="488"/>
    </row>
    <row r="103" spans="2:7" x14ac:dyDescent="0.25">
      <c r="B103" s="491" t="s">
        <v>446</v>
      </c>
      <c r="C103" s="495">
        <v>42366</v>
      </c>
      <c r="D103" s="492">
        <v>18962</v>
      </c>
      <c r="E103" s="497">
        <v>101181</v>
      </c>
      <c r="F103" s="505">
        <v>5.8710136109921375E-3</v>
      </c>
      <c r="G103" s="488"/>
    </row>
    <row r="104" spans="2:7" x14ac:dyDescent="0.25">
      <c r="B104" s="491" t="s">
        <v>446</v>
      </c>
      <c r="C104" s="495">
        <v>42367</v>
      </c>
      <c r="D104" s="492">
        <v>18796</v>
      </c>
      <c r="E104" s="497">
        <v>170178</v>
      </c>
      <c r="F104" s="505">
        <v>-8.7928952551981077E-3</v>
      </c>
      <c r="G104" s="488"/>
    </row>
    <row r="105" spans="2:7" x14ac:dyDescent="0.25">
      <c r="B105" s="491" t="s">
        <v>446</v>
      </c>
      <c r="C105" s="495">
        <v>42368</v>
      </c>
      <c r="D105" s="492">
        <v>18324</v>
      </c>
      <c r="E105" s="497">
        <v>121000</v>
      </c>
      <c r="F105" s="505">
        <v>-2.5432405216073584E-2</v>
      </c>
      <c r="G105" s="488"/>
    </row>
    <row r="106" spans="2:7" x14ac:dyDescent="0.25">
      <c r="B106" s="491" t="s">
        <v>446</v>
      </c>
      <c r="C106" s="495">
        <v>42369</v>
      </c>
      <c r="D106" s="492">
        <v>18410</v>
      </c>
      <c r="E106" s="497">
        <v>76430</v>
      </c>
      <c r="F106" s="505">
        <v>4.682319220490702E-3</v>
      </c>
      <c r="G106" s="488"/>
    </row>
    <row r="107" spans="2:7" x14ac:dyDescent="0.25">
      <c r="B107" s="491" t="s">
        <v>446</v>
      </c>
      <c r="C107" s="495">
        <v>42373</v>
      </c>
      <c r="D107" s="492">
        <v>17493</v>
      </c>
      <c r="E107" s="497">
        <v>454386</v>
      </c>
      <c r="F107" s="505">
        <v>-5.10931943368578E-2</v>
      </c>
      <c r="G107" s="488"/>
    </row>
    <row r="108" spans="2:7" x14ac:dyDescent="0.25">
      <c r="B108" s="491" t="s">
        <v>446</v>
      </c>
      <c r="C108" s="495">
        <v>42374</v>
      </c>
      <c r="D108" s="492">
        <v>17797</v>
      </c>
      <c r="E108" s="497">
        <v>363485</v>
      </c>
      <c r="F108" s="505">
        <v>1.7229102859719975E-2</v>
      </c>
      <c r="G108" s="488"/>
    </row>
    <row r="109" spans="2:7" x14ac:dyDescent="0.25">
      <c r="B109" s="491" t="s">
        <v>446</v>
      </c>
      <c r="C109" s="495">
        <v>42375</v>
      </c>
      <c r="D109" s="492">
        <v>17930</v>
      </c>
      <c r="E109" s="497">
        <v>296636</v>
      </c>
      <c r="F109" s="505">
        <v>7.445383849192984E-3</v>
      </c>
      <c r="G109" s="488"/>
    </row>
    <row r="110" spans="2:7" x14ac:dyDescent="0.25">
      <c r="B110" s="491" t="s">
        <v>446</v>
      </c>
      <c r="C110" s="495">
        <v>42376</v>
      </c>
      <c r="D110" s="492">
        <v>17342</v>
      </c>
      <c r="E110" s="497">
        <v>478207</v>
      </c>
      <c r="F110" s="505">
        <v>-3.3343982662072835E-2</v>
      </c>
      <c r="G110" s="488"/>
    </row>
    <row r="111" spans="2:7" x14ac:dyDescent="0.25">
      <c r="B111" s="491" t="s">
        <v>446</v>
      </c>
      <c r="C111" s="495">
        <v>42377</v>
      </c>
      <c r="D111" s="492">
        <v>17401</v>
      </c>
      <c r="E111" s="497">
        <v>202739</v>
      </c>
      <c r="F111" s="505">
        <v>3.3963708784726463E-3</v>
      </c>
      <c r="G111" s="488"/>
    </row>
    <row r="112" spans="2:7" x14ac:dyDescent="0.25">
      <c r="B112" s="491" t="s">
        <v>446</v>
      </c>
      <c r="C112" s="495">
        <v>42380</v>
      </c>
      <c r="D112" s="492">
        <v>16631</v>
      </c>
      <c r="E112" s="497">
        <v>539627</v>
      </c>
      <c r="F112" s="505">
        <v>-4.5259252145438501E-2</v>
      </c>
      <c r="G112" s="488"/>
    </row>
    <row r="113" spans="2:7" x14ac:dyDescent="0.25">
      <c r="B113" s="491" t="s">
        <v>446</v>
      </c>
      <c r="C113" s="495">
        <v>42381</v>
      </c>
      <c r="D113" s="492">
        <v>17323</v>
      </c>
      <c r="E113" s="497">
        <v>689681</v>
      </c>
      <c r="F113" s="505">
        <v>4.0766674608800978E-2</v>
      </c>
      <c r="G113" s="488"/>
    </row>
    <row r="114" spans="2:7" x14ac:dyDescent="0.25">
      <c r="B114" s="491" t="s">
        <v>446</v>
      </c>
      <c r="C114" s="495">
        <v>42382</v>
      </c>
      <c r="D114" s="492">
        <v>17745</v>
      </c>
      <c r="E114" s="497">
        <v>677757</v>
      </c>
      <c r="F114" s="505">
        <v>2.4068687801655851E-2</v>
      </c>
      <c r="G114" s="488"/>
    </row>
    <row r="115" spans="2:7" x14ac:dyDescent="0.25">
      <c r="B115" s="491" t="s">
        <v>446</v>
      </c>
      <c r="C115" s="495">
        <v>42383</v>
      </c>
      <c r="D115" s="492">
        <v>17801</v>
      </c>
      <c r="E115" s="497">
        <v>411540</v>
      </c>
      <c r="F115" s="505">
        <v>3.1508493968360695E-3</v>
      </c>
      <c r="G115" s="488"/>
    </row>
    <row r="116" spans="2:7" x14ac:dyDescent="0.25">
      <c r="B116" s="491" t="s">
        <v>446</v>
      </c>
      <c r="C116" s="495">
        <v>42384</v>
      </c>
      <c r="D116" s="492">
        <v>16700</v>
      </c>
      <c r="E116" s="497">
        <v>844721</v>
      </c>
      <c r="F116" s="505">
        <v>-6.3845916072586439E-2</v>
      </c>
      <c r="G116" s="488"/>
    </row>
    <row r="117" spans="2:7" x14ac:dyDescent="0.25">
      <c r="B117" s="491" t="s">
        <v>446</v>
      </c>
      <c r="C117" s="495">
        <v>42387</v>
      </c>
      <c r="D117" s="492">
        <v>16543</v>
      </c>
      <c r="E117" s="497">
        <v>612690</v>
      </c>
      <c r="F117" s="505">
        <v>-9.4456677978304818E-3</v>
      </c>
      <c r="G117" s="488"/>
    </row>
    <row r="118" spans="2:7" x14ac:dyDescent="0.25">
      <c r="B118" s="491" t="s">
        <v>446</v>
      </c>
      <c r="C118" s="495">
        <v>42388</v>
      </c>
      <c r="D118" s="492">
        <v>16891</v>
      </c>
      <c r="E118" s="497">
        <v>622604</v>
      </c>
      <c r="F118" s="505">
        <v>2.0817884073329039E-2</v>
      </c>
      <c r="G118" s="488"/>
    </row>
    <row r="119" spans="2:7" x14ac:dyDescent="0.25">
      <c r="B119" s="491" t="s">
        <v>446</v>
      </c>
      <c r="C119" s="495">
        <v>42389</v>
      </c>
      <c r="D119" s="492">
        <v>16597</v>
      </c>
      <c r="E119" s="497">
        <v>924997</v>
      </c>
      <c r="F119" s="505">
        <v>-1.7558979559626198E-2</v>
      </c>
      <c r="G119" s="488"/>
    </row>
    <row r="120" spans="2:7" x14ac:dyDescent="0.25">
      <c r="B120" s="491" t="s">
        <v>446</v>
      </c>
      <c r="C120" s="495">
        <v>42390</v>
      </c>
      <c r="D120" s="492">
        <v>16800</v>
      </c>
      <c r="E120" s="497">
        <v>393136</v>
      </c>
      <c r="F120" s="505">
        <v>1.2156930270631446E-2</v>
      </c>
      <c r="G120" s="488"/>
    </row>
    <row r="121" spans="2:7" x14ac:dyDescent="0.25">
      <c r="B121" s="491" t="s">
        <v>446</v>
      </c>
      <c r="C121" s="495">
        <v>42391</v>
      </c>
      <c r="D121" s="492">
        <v>16793</v>
      </c>
      <c r="E121" s="497">
        <v>398990</v>
      </c>
      <c r="F121" s="505">
        <v>-4.1675349634236837E-4</v>
      </c>
      <c r="G121" s="488"/>
    </row>
    <row r="122" spans="2:7" x14ac:dyDescent="0.25">
      <c r="B122" s="491" t="s">
        <v>446</v>
      </c>
      <c r="C122" s="495">
        <v>42394</v>
      </c>
      <c r="D122" s="492">
        <v>16760</v>
      </c>
      <c r="E122" s="497">
        <v>425756</v>
      </c>
      <c r="F122" s="505">
        <v>-1.9670378589338069E-3</v>
      </c>
      <c r="G122" s="488"/>
    </row>
    <row r="123" spans="2:7" x14ac:dyDescent="0.25">
      <c r="B123" s="491" t="s">
        <v>446</v>
      </c>
      <c r="C123" s="495">
        <v>42395</v>
      </c>
      <c r="D123" s="492">
        <v>16584</v>
      </c>
      <c r="E123" s="497">
        <v>676294</v>
      </c>
      <c r="F123" s="505">
        <v>-1.0556719920458469E-2</v>
      </c>
      <c r="G123" s="488"/>
    </row>
    <row r="124" spans="2:7" x14ac:dyDescent="0.25">
      <c r="B124" s="491" t="s">
        <v>446</v>
      </c>
      <c r="C124" s="495">
        <v>42396</v>
      </c>
      <c r="D124" s="492">
        <v>17407</v>
      </c>
      <c r="E124" s="497">
        <v>650723</v>
      </c>
      <c r="F124" s="505">
        <v>4.8434049037093821E-2</v>
      </c>
      <c r="G124" s="488"/>
    </row>
    <row r="125" spans="2:7" x14ac:dyDescent="0.25">
      <c r="B125" s="491" t="s">
        <v>446</v>
      </c>
      <c r="C125" s="495">
        <v>42397</v>
      </c>
      <c r="D125" s="492">
        <v>17998</v>
      </c>
      <c r="E125" s="497">
        <v>338941</v>
      </c>
      <c r="F125" s="505">
        <v>3.3388216441184643E-2</v>
      </c>
      <c r="G125" s="488"/>
    </row>
    <row r="126" spans="2:7" x14ac:dyDescent="0.25">
      <c r="B126" s="491" t="s">
        <v>446</v>
      </c>
      <c r="C126" s="495">
        <v>42398</v>
      </c>
      <c r="D126" s="492">
        <v>18303</v>
      </c>
      <c r="E126" s="497">
        <v>933155</v>
      </c>
      <c r="F126" s="505">
        <v>1.6804340226068241E-2</v>
      </c>
      <c r="G126" s="488"/>
    </row>
    <row r="127" spans="2:7" x14ac:dyDescent="0.25">
      <c r="B127" s="491" t="s">
        <v>446</v>
      </c>
      <c r="C127" s="495">
        <v>42401</v>
      </c>
      <c r="D127" s="492">
        <v>17620</v>
      </c>
      <c r="E127" s="497">
        <v>835407</v>
      </c>
      <c r="F127" s="505">
        <v>-3.8030360329791575E-2</v>
      </c>
      <c r="G127" s="488"/>
    </row>
    <row r="128" spans="2:7" x14ac:dyDescent="0.25">
      <c r="B128" s="491" t="s">
        <v>446</v>
      </c>
      <c r="C128" s="495">
        <v>42402</v>
      </c>
      <c r="D128" s="492">
        <v>17450</v>
      </c>
      <c r="E128" s="497">
        <v>440120</v>
      </c>
      <c r="F128" s="505">
        <v>-9.6949718595972945E-3</v>
      </c>
      <c r="G128" s="488"/>
    </row>
    <row r="129" spans="2:7" x14ac:dyDescent="0.25">
      <c r="B129" s="491" t="s">
        <v>446</v>
      </c>
      <c r="C129" s="495">
        <v>42403</v>
      </c>
      <c r="D129" s="492">
        <v>17820</v>
      </c>
      <c r="E129" s="497">
        <v>388381</v>
      </c>
      <c r="F129" s="505">
        <v>2.0981773394226997E-2</v>
      </c>
      <c r="G129" s="488"/>
    </row>
    <row r="130" spans="2:7" x14ac:dyDescent="0.25">
      <c r="B130" s="491" t="s">
        <v>446</v>
      </c>
      <c r="C130" s="495">
        <v>42404</v>
      </c>
      <c r="D130" s="492">
        <v>18077</v>
      </c>
      <c r="E130" s="497">
        <v>630105</v>
      </c>
      <c r="F130" s="505">
        <v>1.4318989950054017E-2</v>
      </c>
      <c r="G130" s="488"/>
    </row>
    <row r="131" spans="2:7" x14ac:dyDescent="0.25">
      <c r="B131" s="491" t="s">
        <v>446</v>
      </c>
      <c r="C131" s="495">
        <v>42405</v>
      </c>
      <c r="D131" s="492">
        <v>17904</v>
      </c>
      <c r="E131" s="497">
        <v>629239</v>
      </c>
      <c r="F131" s="505">
        <v>-9.6162604231478897E-3</v>
      </c>
      <c r="G131" s="488"/>
    </row>
    <row r="132" spans="2:7" x14ac:dyDescent="0.25">
      <c r="B132" s="491" t="s">
        <v>446</v>
      </c>
      <c r="C132" s="495">
        <v>42408</v>
      </c>
      <c r="D132" s="492">
        <v>17921</v>
      </c>
      <c r="E132" s="497">
        <v>151608</v>
      </c>
      <c r="F132" s="505">
        <v>9.4905799168209018E-4</v>
      </c>
      <c r="G132" s="488"/>
    </row>
    <row r="133" spans="2:7" x14ac:dyDescent="0.25">
      <c r="B133" s="491" t="s">
        <v>446</v>
      </c>
      <c r="C133" s="495">
        <v>42409</v>
      </c>
      <c r="D133" s="492">
        <v>18011</v>
      </c>
      <c r="E133" s="497">
        <v>236988</v>
      </c>
      <c r="F133" s="505">
        <v>5.0094727936689162E-3</v>
      </c>
      <c r="G133" s="488"/>
    </row>
    <row r="134" spans="2:7" x14ac:dyDescent="0.25">
      <c r="B134" s="491" t="s">
        <v>446</v>
      </c>
      <c r="C134" s="495">
        <v>42410</v>
      </c>
      <c r="D134" s="492">
        <v>18000</v>
      </c>
      <c r="E134" s="497">
        <v>354493</v>
      </c>
      <c r="F134" s="505">
        <v>-6.1092445875571017E-4</v>
      </c>
      <c r="G134" s="488"/>
    </row>
    <row r="135" spans="2:7" x14ac:dyDescent="0.25">
      <c r="B135" s="491" t="s">
        <v>446</v>
      </c>
      <c r="C135" s="495">
        <v>42411</v>
      </c>
      <c r="D135" s="492">
        <v>17650</v>
      </c>
      <c r="E135" s="497">
        <v>243067</v>
      </c>
      <c r="F135" s="505">
        <v>-1.9635974516858962E-2</v>
      </c>
      <c r="G135" s="488"/>
    </row>
    <row r="136" spans="2:7" x14ac:dyDescent="0.25">
      <c r="B136" s="491" t="s">
        <v>446</v>
      </c>
      <c r="C136" s="495">
        <v>42412</v>
      </c>
      <c r="D136" s="492">
        <v>17600</v>
      </c>
      <c r="E136" s="497">
        <v>540437</v>
      </c>
      <c r="F136" s="505">
        <v>-2.8368813351997263E-3</v>
      </c>
      <c r="G136" s="488"/>
    </row>
    <row r="137" spans="2:7" x14ac:dyDescent="0.25">
      <c r="B137" s="491" t="s">
        <v>446</v>
      </c>
      <c r="C137" s="495">
        <v>42415</v>
      </c>
      <c r="D137" s="492">
        <v>18098</v>
      </c>
      <c r="E137" s="497">
        <v>450343</v>
      </c>
      <c r="F137" s="505">
        <v>2.7902532884835424E-2</v>
      </c>
      <c r="G137" s="488"/>
    </row>
    <row r="138" spans="2:7" x14ac:dyDescent="0.25">
      <c r="B138" s="491" t="s">
        <v>446</v>
      </c>
      <c r="C138" s="495">
        <v>42416</v>
      </c>
      <c r="D138" s="492">
        <v>18053</v>
      </c>
      <c r="E138" s="497">
        <v>478874</v>
      </c>
      <c r="F138" s="505">
        <v>-2.4895589744205024E-3</v>
      </c>
      <c r="G138" s="488"/>
    </row>
    <row r="139" spans="2:7" x14ac:dyDescent="0.25">
      <c r="B139" s="491" t="s">
        <v>446</v>
      </c>
      <c r="C139" s="495">
        <v>42417</v>
      </c>
      <c r="D139" s="492">
        <v>18490</v>
      </c>
      <c r="E139" s="497">
        <v>259028</v>
      </c>
      <c r="F139" s="505">
        <v>2.3918169444512458E-2</v>
      </c>
      <c r="G139" s="488"/>
    </row>
    <row r="140" spans="2:7" x14ac:dyDescent="0.25">
      <c r="B140" s="491" t="s">
        <v>446</v>
      </c>
      <c r="C140" s="495">
        <v>42418</v>
      </c>
      <c r="D140" s="492">
        <v>18630</v>
      </c>
      <c r="E140" s="497">
        <v>684092</v>
      </c>
      <c r="F140" s="505">
        <v>7.5431392144636898E-3</v>
      </c>
      <c r="G140" s="488"/>
    </row>
    <row r="141" spans="2:7" x14ac:dyDescent="0.25">
      <c r="B141" s="491" t="s">
        <v>446</v>
      </c>
      <c r="C141" s="495">
        <v>42419</v>
      </c>
      <c r="D141" s="492">
        <v>18350</v>
      </c>
      <c r="E141" s="497">
        <v>838785</v>
      </c>
      <c r="F141" s="505">
        <v>-1.5143610112917765E-2</v>
      </c>
      <c r="G141" s="488"/>
    </row>
    <row r="142" spans="2:7" x14ac:dyDescent="0.25">
      <c r="B142" s="491" t="s">
        <v>446</v>
      </c>
      <c r="C142" s="495">
        <v>42422</v>
      </c>
      <c r="D142" s="492">
        <v>17835</v>
      </c>
      <c r="E142" s="497">
        <v>363227</v>
      </c>
      <c r="F142" s="505">
        <v>-2.8466755689724461E-2</v>
      </c>
      <c r="G142" s="488"/>
    </row>
    <row r="143" spans="2:7" x14ac:dyDescent="0.25">
      <c r="B143" s="491" t="s">
        <v>446</v>
      </c>
      <c r="C143" s="495">
        <v>42423</v>
      </c>
      <c r="D143" s="492">
        <v>17800</v>
      </c>
      <c r="E143" s="497">
        <v>185073</v>
      </c>
      <c r="F143" s="505">
        <v>-1.9643615128153843E-3</v>
      </c>
      <c r="G143" s="488"/>
    </row>
    <row r="144" spans="2:7" x14ac:dyDescent="0.25">
      <c r="B144" s="491" t="s">
        <v>446</v>
      </c>
      <c r="C144" s="495">
        <v>42424</v>
      </c>
      <c r="D144" s="492">
        <v>17402</v>
      </c>
      <c r="E144" s="497">
        <v>358212</v>
      </c>
      <c r="F144" s="505">
        <v>-2.261331515420676E-2</v>
      </c>
      <c r="G144" s="488"/>
    </row>
    <row r="145" spans="2:7" x14ac:dyDescent="0.25">
      <c r="B145" s="491" t="s">
        <v>446</v>
      </c>
      <c r="C145" s="495">
        <v>42425</v>
      </c>
      <c r="D145" s="492">
        <v>18341</v>
      </c>
      <c r="E145" s="497">
        <v>452219</v>
      </c>
      <c r="F145" s="505">
        <v>5.2553848825062768E-2</v>
      </c>
      <c r="G145" s="488"/>
    </row>
    <row r="146" spans="2:7" x14ac:dyDescent="0.25">
      <c r="B146" s="491" t="s">
        <v>446</v>
      </c>
      <c r="C146" s="495">
        <v>42426</v>
      </c>
      <c r="D146" s="492">
        <v>18250</v>
      </c>
      <c r="E146" s="497">
        <v>251773</v>
      </c>
      <c r="F146" s="505">
        <v>-4.9739109403950169E-3</v>
      </c>
      <c r="G146" s="488"/>
    </row>
    <row r="147" spans="2:7" x14ac:dyDescent="0.25">
      <c r="B147" s="491" t="s">
        <v>446</v>
      </c>
      <c r="C147" s="495">
        <v>42429</v>
      </c>
      <c r="D147" s="492">
        <v>17866</v>
      </c>
      <c r="E147" s="497">
        <v>463702</v>
      </c>
      <c r="F147" s="505">
        <v>-2.1265614748853134E-2</v>
      </c>
      <c r="G147" s="488"/>
    </row>
    <row r="148" spans="2:7" x14ac:dyDescent="0.25">
      <c r="B148" s="491" t="s">
        <v>446</v>
      </c>
      <c r="C148" s="495">
        <v>42430</v>
      </c>
      <c r="D148" s="492">
        <v>18571</v>
      </c>
      <c r="E148" s="497">
        <v>412737</v>
      </c>
      <c r="F148" s="505">
        <v>3.8701758931268482E-2</v>
      </c>
      <c r="G148" s="488"/>
    </row>
    <row r="149" spans="2:7" x14ac:dyDescent="0.25">
      <c r="B149" s="491" t="s">
        <v>446</v>
      </c>
      <c r="C149" s="495">
        <v>42431</v>
      </c>
      <c r="D149" s="492">
        <v>18705</v>
      </c>
      <c r="E149" s="497">
        <v>614475</v>
      </c>
      <c r="F149" s="505">
        <v>7.1896435891935064E-3</v>
      </c>
      <c r="G149" s="488"/>
    </row>
    <row r="150" spans="2:7" x14ac:dyDescent="0.25">
      <c r="B150" s="491" t="s">
        <v>446</v>
      </c>
      <c r="C150" s="495">
        <v>42432</v>
      </c>
      <c r="D150" s="492">
        <v>18941</v>
      </c>
      <c r="E150" s="497">
        <v>268312</v>
      </c>
      <c r="F150" s="505">
        <v>1.2538016874494996E-2</v>
      </c>
      <c r="G150" s="488"/>
    </row>
    <row r="151" spans="2:7" x14ac:dyDescent="0.25">
      <c r="B151" s="491" t="s">
        <v>446</v>
      </c>
      <c r="C151" s="495">
        <v>42433</v>
      </c>
      <c r="D151" s="492">
        <v>18435</v>
      </c>
      <c r="E151" s="497">
        <v>463065</v>
      </c>
      <c r="F151" s="505">
        <v>-2.7077852988496708E-2</v>
      </c>
      <c r="G151" s="488"/>
    </row>
    <row r="152" spans="2:7" x14ac:dyDescent="0.25">
      <c r="B152" s="491" t="s">
        <v>446</v>
      </c>
      <c r="C152" s="495">
        <v>42436</v>
      </c>
      <c r="D152" s="492">
        <v>19006</v>
      </c>
      <c r="E152" s="497">
        <v>535519</v>
      </c>
      <c r="F152" s="505">
        <v>3.0503687103015723E-2</v>
      </c>
      <c r="G152" s="488"/>
    </row>
    <row r="153" spans="2:7" x14ac:dyDescent="0.25">
      <c r="B153" s="491" t="s">
        <v>446</v>
      </c>
      <c r="C153" s="495">
        <v>42437</v>
      </c>
      <c r="D153" s="492">
        <v>19294</v>
      </c>
      <c r="E153" s="497">
        <v>510368</v>
      </c>
      <c r="F153" s="505">
        <v>1.5039447959238377E-2</v>
      </c>
      <c r="G153" s="488"/>
    </row>
    <row r="154" spans="2:7" x14ac:dyDescent="0.25">
      <c r="B154" s="491" t="s">
        <v>446</v>
      </c>
      <c r="C154" s="495">
        <v>42438</v>
      </c>
      <c r="D154" s="492">
        <v>19306</v>
      </c>
      <c r="E154" s="497">
        <v>432004</v>
      </c>
      <c r="F154" s="505">
        <v>6.2176167806158884E-4</v>
      </c>
      <c r="G154" s="488"/>
    </row>
    <row r="155" spans="2:7" x14ac:dyDescent="0.25">
      <c r="B155" s="491" t="s">
        <v>446</v>
      </c>
      <c r="C155" s="495">
        <v>42439</v>
      </c>
      <c r="D155" s="492">
        <v>18552</v>
      </c>
      <c r="E155" s="497">
        <v>1843615</v>
      </c>
      <c r="F155" s="505">
        <v>-3.9838328473192873E-2</v>
      </c>
      <c r="G155" s="488"/>
    </row>
    <row r="156" spans="2:7" x14ac:dyDescent="0.25">
      <c r="B156" s="491" t="s">
        <v>446</v>
      </c>
      <c r="C156" s="495">
        <v>42440</v>
      </c>
      <c r="D156" s="492">
        <v>18700</v>
      </c>
      <c r="E156" s="497">
        <v>1328061</v>
      </c>
      <c r="F156" s="505">
        <v>7.9459239073104426E-3</v>
      </c>
      <c r="G156" s="488"/>
    </row>
    <row r="157" spans="2:7" x14ac:dyDescent="0.25">
      <c r="B157" s="491" t="s">
        <v>446</v>
      </c>
      <c r="C157" s="495">
        <v>42443</v>
      </c>
      <c r="D157" s="492">
        <v>18750</v>
      </c>
      <c r="E157" s="497">
        <v>338045</v>
      </c>
      <c r="F157" s="505">
        <v>2.6702285558788921E-3</v>
      </c>
      <c r="G157" s="488"/>
    </row>
    <row r="158" spans="2:7" x14ac:dyDescent="0.25">
      <c r="B158" s="491" t="s">
        <v>446</v>
      </c>
      <c r="C158" s="495">
        <v>42444</v>
      </c>
      <c r="D158" s="492">
        <v>18526</v>
      </c>
      <c r="E158" s="497">
        <v>306168</v>
      </c>
      <c r="F158" s="505">
        <v>-1.201860158458405E-2</v>
      </c>
      <c r="G158" s="488"/>
    </row>
    <row r="159" spans="2:7" x14ac:dyDescent="0.25">
      <c r="B159" s="491" t="s">
        <v>446</v>
      </c>
      <c r="C159" s="495">
        <v>42445</v>
      </c>
      <c r="D159" s="492">
        <v>18653</v>
      </c>
      <c r="E159" s="497">
        <v>553116</v>
      </c>
      <c r="F159" s="505">
        <v>6.8318402305896867E-3</v>
      </c>
      <c r="G159" s="488"/>
    </row>
    <row r="160" spans="2:7" x14ac:dyDescent="0.25">
      <c r="B160" s="491" t="s">
        <v>446</v>
      </c>
      <c r="C160" s="495">
        <v>42446</v>
      </c>
      <c r="D160" s="492">
        <v>18700</v>
      </c>
      <c r="E160" s="497">
        <v>587344</v>
      </c>
      <c r="F160" s="505">
        <v>2.5165327981154693E-3</v>
      </c>
      <c r="G160" s="488"/>
    </row>
    <row r="161" spans="2:7" x14ac:dyDescent="0.25">
      <c r="B161" s="491" t="s">
        <v>446</v>
      </c>
      <c r="C161" s="495">
        <v>42447</v>
      </c>
      <c r="D161" s="492">
        <v>19646</v>
      </c>
      <c r="E161" s="497">
        <v>739467</v>
      </c>
      <c r="F161" s="505">
        <v>4.9350231392136866E-2</v>
      </c>
      <c r="G161" s="488"/>
    </row>
    <row r="162" spans="2:7" x14ac:dyDescent="0.25">
      <c r="B162" s="491" t="s">
        <v>446</v>
      </c>
      <c r="C162" s="495">
        <v>42451</v>
      </c>
      <c r="D162" s="492">
        <v>19034</v>
      </c>
      <c r="E162" s="497">
        <v>965103</v>
      </c>
      <c r="F162" s="505">
        <v>-3.1646901602526215E-2</v>
      </c>
      <c r="G162" s="488"/>
    </row>
    <row r="163" spans="2:7" x14ac:dyDescent="0.25">
      <c r="B163" s="491" t="s">
        <v>446</v>
      </c>
      <c r="C163" s="495">
        <v>42452</v>
      </c>
      <c r="D163" s="492">
        <v>19029</v>
      </c>
      <c r="E163" s="497">
        <v>796862</v>
      </c>
      <c r="F163" s="505">
        <v>-2.627223302819156E-4</v>
      </c>
      <c r="G163" s="488"/>
    </row>
    <row r="164" spans="2:7" x14ac:dyDescent="0.25">
      <c r="B164" s="491" t="s">
        <v>446</v>
      </c>
      <c r="C164" s="495">
        <v>42453</v>
      </c>
      <c r="D164" s="492">
        <v>19073</v>
      </c>
      <c r="E164" s="497">
        <v>641652</v>
      </c>
      <c r="F164" s="505">
        <v>2.3095910744197245E-3</v>
      </c>
      <c r="G164" s="488"/>
    </row>
    <row r="165" spans="2:7" x14ac:dyDescent="0.25">
      <c r="B165" s="491" t="s">
        <v>446</v>
      </c>
      <c r="C165" s="495">
        <v>42458</v>
      </c>
      <c r="D165" s="492">
        <v>19212</v>
      </c>
      <c r="E165" s="497">
        <v>803932</v>
      </c>
      <c r="F165" s="505">
        <v>7.2613614082883832E-3</v>
      </c>
      <c r="G165" s="488"/>
    </row>
    <row r="166" spans="2:7" x14ac:dyDescent="0.25">
      <c r="B166" s="491" t="s">
        <v>446</v>
      </c>
      <c r="C166" s="495">
        <v>42459</v>
      </c>
      <c r="D166" s="492">
        <v>19500</v>
      </c>
      <c r="E166" s="497">
        <v>2838198</v>
      </c>
      <c r="F166" s="505">
        <v>1.4879381767123275E-2</v>
      </c>
      <c r="G166" s="488"/>
    </row>
    <row r="167" spans="2:7" x14ac:dyDescent="0.25">
      <c r="B167" s="491" t="s">
        <v>446</v>
      </c>
      <c r="C167" s="495">
        <v>42460</v>
      </c>
      <c r="D167" s="492">
        <v>19900</v>
      </c>
      <c r="E167" s="497">
        <v>2296339</v>
      </c>
      <c r="F167" s="505">
        <v>2.0305266160745523E-2</v>
      </c>
      <c r="G167" s="488"/>
    </row>
    <row r="168" spans="2:7" x14ac:dyDescent="0.25">
      <c r="B168" s="491" t="s">
        <v>446</v>
      </c>
      <c r="C168" s="495">
        <v>42461</v>
      </c>
      <c r="D168" s="492">
        <v>20080</v>
      </c>
      <c r="E168" s="497">
        <v>1151775</v>
      </c>
      <c r="F168" s="505">
        <v>9.0045630930817525E-3</v>
      </c>
      <c r="G168" s="488"/>
    </row>
    <row r="169" spans="2:7" x14ac:dyDescent="0.25">
      <c r="B169" s="491" t="s">
        <v>446</v>
      </c>
      <c r="C169" s="495">
        <v>42464</v>
      </c>
      <c r="D169" s="492">
        <v>20551</v>
      </c>
      <c r="E169" s="497">
        <v>631642</v>
      </c>
      <c r="F169" s="505">
        <v>2.3185306735254728E-2</v>
      </c>
      <c r="G169" s="488"/>
    </row>
    <row r="170" spans="2:7" x14ac:dyDescent="0.25">
      <c r="B170" s="491" t="s">
        <v>446</v>
      </c>
      <c r="C170" s="495">
        <v>42465</v>
      </c>
      <c r="D170" s="492">
        <v>20541</v>
      </c>
      <c r="E170" s="497">
        <v>854140</v>
      </c>
      <c r="F170" s="505">
        <v>-4.8671275174767321E-4</v>
      </c>
      <c r="G170" s="488"/>
    </row>
    <row r="171" spans="2:7" x14ac:dyDescent="0.25">
      <c r="B171" s="491" t="s">
        <v>446</v>
      </c>
      <c r="C171" s="495">
        <v>42466</v>
      </c>
      <c r="D171" s="492">
        <v>20600</v>
      </c>
      <c r="E171" s="497">
        <v>944277</v>
      </c>
      <c r="F171" s="505">
        <v>2.8681869884997864E-3</v>
      </c>
      <c r="G171" s="488"/>
    </row>
    <row r="172" spans="2:7" x14ac:dyDescent="0.25">
      <c r="B172" s="491" t="s">
        <v>446</v>
      </c>
      <c r="C172" s="495">
        <v>42467</v>
      </c>
      <c r="D172" s="492">
        <v>21298</v>
      </c>
      <c r="E172" s="497">
        <v>1610984</v>
      </c>
      <c r="F172" s="505">
        <v>3.332209579765661E-2</v>
      </c>
      <c r="G172" s="488"/>
    </row>
    <row r="173" spans="2:7" x14ac:dyDescent="0.25">
      <c r="B173" s="491" t="s">
        <v>446</v>
      </c>
      <c r="C173" s="495">
        <v>42468</v>
      </c>
      <c r="D173" s="492">
        <v>21070</v>
      </c>
      <c r="E173" s="497">
        <v>2309013</v>
      </c>
      <c r="F173" s="505">
        <v>-1.0762943777094367E-2</v>
      </c>
      <c r="G173" s="488"/>
    </row>
    <row r="174" spans="2:7" x14ac:dyDescent="0.25">
      <c r="B174" s="491" t="s">
        <v>446</v>
      </c>
      <c r="C174" s="495">
        <v>42471</v>
      </c>
      <c r="D174" s="492">
        <v>20949</v>
      </c>
      <c r="E174" s="497">
        <v>574544</v>
      </c>
      <c r="F174" s="505">
        <v>-5.7593152840897362E-3</v>
      </c>
      <c r="G174" s="488"/>
    </row>
    <row r="175" spans="2:7" x14ac:dyDescent="0.25">
      <c r="B175" s="491" t="s">
        <v>446</v>
      </c>
      <c r="C175" s="495">
        <v>42472</v>
      </c>
      <c r="D175" s="492">
        <v>21240</v>
      </c>
      <c r="E175" s="497">
        <v>576421</v>
      </c>
      <c r="F175" s="505">
        <v>1.3795283841730155E-2</v>
      </c>
      <c r="G175" s="488"/>
    </row>
    <row r="176" spans="2:7" x14ac:dyDescent="0.25">
      <c r="B176" s="491" t="s">
        <v>446</v>
      </c>
      <c r="C176" s="495">
        <v>42473</v>
      </c>
      <c r="D176" s="492">
        <v>21195</v>
      </c>
      <c r="E176" s="497">
        <v>910660</v>
      </c>
      <c r="F176" s="505">
        <v>-2.1208915691376244E-3</v>
      </c>
      <c r="G176" s="488"/>
    </row>
    <row r="177" spans="2:7" x14ac:dyDescent="0.25">
      <c r="B177" s="491" t="s">
        <v>446</v>
      </c>
      <c r="C177" s="495">
        <v>42474</v>
      </c>
      <c r="D177" s="492">
        <v>21200</v>
      </c>
      <c r="E177" s="497">
        <v>522968</v>
      </c>
      <c r="F177" s="505">
        <v>2.3587687336641341E-4</v>
      </c>
      <c r="G177" s="488"/>
    </row>
    <row r="178" spans="2:7" x14ac:dyDescent="0.25">
      <c r="B178" s="491" t="s">
        <v>446</v>
      </c>
      <c r="C178" s="495">
        <v>42475</v>
      </c>
      <c r="D178" s="492">
        <v>21129</v>
      </c>
      <c r="E178" s="497">
        <v>642993</v>
      </c>
      <c r="F178" s="505">
        <v>-3.354677246583801E-3</v>
      </c>
      <c r="G178" s="488"/>
    </row>
    <row r="179" spans="2:7" x14ac:dyDescent="0.25">
      <c r="B179" s="491" t="s">
        <v>446</v>
      </c>
      <c r="C179" s="495">
        <v>42478</v>
      </c>
      <c r="D179" s="492">
        <v>21000</v>
      </c>
      <c r="E179" s="497">
        <v>698077</v>
      </c>
      <c r="F179" s="505">
        <v>-6.124066707959965E-3</v>
      </c>
      <c r="G179" s="488"/>
    </row>
    <row r="180" spans="2:7" x14ac:dyDescent="0.25">
      <c r="B180" s="491" t="s">
        <v>446</v>
      </c>
      <c r="C180" s="495">
        <v>42479</v>
      </c>
      <c r="D180" s="492">
        <v>21195</v>
      </c>
      <c r="E180" s="497">
        <v>521359</v>
      </c>
      <c r="F180" s="505">
        <v>9.2428670811775127E-3</v>
      </c>
      <c r="G180" s="488"/>
    </row>
    <row r="181" spans="2:7" x14ac:dyDescent="0.25">
      <c r="B181" s="491" t="s">
        <v>446</v>
      </c>
      <c r="C181" s="495">
        <v>42480</v>
      </c>
      <c r="D181" s="492">
        <v>21286</v>
      </c>
      <c r="E181" s="497">
        <v>527818</v>
      </c>
      <c r="F181" s="505">
        <v>4.2842748142520766E-3</v>
      </c>
      <c r="G181" s="488"/>
    </row>
    <row r="182" spans="2:7" x14ac:dyDescent="0.25">
      <c r="B182" s="491" t="s">
        <v>446</v>
      </c>
      <c r="C182" s="495">
        <v>42481</v>
      </c>
      <c r="D182" s="492">
        <v>21321</v>
      </c>
      <c r="E182" s="497">
        <v>775529</v>
      </c>
      <c r="F182" s="505">
        <v>1.6429228940152815E-3</v>
      </c>
      <c r="G182" s="488"/>
    </row>
    <row r="183" spans="2:7" x14ac:dyDescent="0.25">
      <c r="B183" s="491" t="s">
        <v>446</v>
      </c>
      <c r="C183" s="495">
        <v>42482</v>
      </c>
      <c r="D183" s="492">
        <v>20900</v>
      </c>
      <c r="E183" s="497">
        <v>378669</v>
      </c>
      <c r="F183" s="505">
        <v>-1.9943343542102466E-2</v>
      </c>
      <c r="G183" s="488"/>
    </row>
    <row r="184" spans="2:7" x14ac:dyDescent="0.25">
      <c r="B184" s="491" t="s">
        <v>446</v>
      </c>
      <c r="C184" s="495">
        <v>42485</v>
      </c>
      <c r="D184" s="492">
        <v>21113</v>
      </c>
      <c r="E184" s="497">
        <v>360326</v>
      </c>
      <c r="F184" s="505">
        <v>1.0139805535180547E-2</v>
      </c>
      <c r="G184" s="488"/>
    </row>
    <row r="185" spans="2:7" x14ac:dyDescent="0.25">
      <c r="B185" s="491" t="s">
        <v>446</v>
      </c>
      <c r="C185" s="495">
        <v>42486</v>
      </c>
      <c r="D185" s="492">
        <v>21145</v>
      </c>
      <c r="E185" s="497">
        <v>265634</v>
      </c>
      <c r="F185" s="505">
        <v>1.5145064185059613E-3</v>
      </c>
      <c r="G185" s="488"/>
    </row>
    <row r="186" spans="2:7" x14ac:dyDescent="0.25">
      <c r="B186" s="491" t="s">
        <v>446</v>
      </c>
      <c r="C186" s="495">
        <v>42488</v>
      </c>
      <c r="D186" s="492">
        <v>21150</v>
      </c>
      <c r="E186" s="497">
        <v>492914</v>
      </c>
      <c r="F186" s="505">
        <v>2.3643456783514169E-4</v>
      </c>
      <c r="G186" s="488"/>
    </row>
    <row r="187" spans="2:7" x14ac:dyDescent="0.25">
      <c r="B187" s="491" t="s">
        <v>446</v>
      </c>
      <c r="C187" s="495">
        <v>42489</v>
      </c>
      <c r="D187" s="492">
        <v>21275</v>
      </c>
      <c r="E187" s="497">
        <v>731195</v>
      </c>
      <c r="F187" s="505">
        <v>5.8927689671509197E-3</v>
      </c>
      <c r="G187" s="488"/>
    </row>
    <row r="188" spans="2:7" x14ac:dyDescent="0.25">
      <c r="B188" s="491" t="s">
        <v>446</v>
      </c>
      <c r="C188" s="495">
        <v>42493</v>
      </c>
      <c r="D188" s="492">
        <v>21120</v>
      </c>
      <c r="E188" s="497">
        <v>761616</v>
      </c>
      <c r="F188" s="505">
        <v>-7.3122156213771359E-3</v>
      </c>
      <c r="G188" s="488"/>
    </row>
    <row r="189" spans="2:7" x14ac:dyDescent="0.25">
      <c r="B189" s="491" t="s">
        <v>446</v>
      </c>
      <c r="C189" s="495">
        <v>42494</v>
      </c>
      <c r="D189" s="492">
        <v>21300</v>
      </c>
      <c r="E189" s="497">
        <v>1380718</v>
      </c>
      <c r="F189" s="505">
        <v>8.4866138773187251E-3</v>
      </c>
      <c r="G189" s="488"/>
    </row>
    <row r="190" spans="2:7" x14ac:dyDescent="0.25">
      <c r="B190" s="491" t="s">
        <v>446</v>
      </c>
      <c r="C190" s="495">
        <v>42495</v>
      </c>
      <c r="D190" s="492">
        <v>20933</v>
      </c>
      <c r="E190" s="497">
        <v>794094</v>
      </c>
      <c r="F190" s="505">
        <v>-1.7380211602996475E-2</v>
      </c>
      <c r="G190" s="488"/>
    </row>
    <row r="191" spans="2:7" x14ac:dyDescent="0.25">
      <c r="B191" s="491" t="s">
        <v>446</v>
      </c>
      <c r="C191" s="495">
        <v>42496</v>
      </c>
      <c r="D191" s="492">
        <v>20835</v>
      </c>
      <c r="E191" s="497">
        <v>1174419</v>
      </c>
      <c r="F191" s="505">
        <v>-4.6925962379662494E-3</v>
      </c>
      <c r="G191" s="488"/>
    </row>
    <row r="192" spans="2:7" x14ac:dyDescent="0.25">
      <c r="B192" s="491" t="s">
        <v>446</v>
      </c>
      <c r="C192" s="495">
        <v>42499</v>
      </c>
      <c r="D192" s="492">
        <v>21000</v>
      </c>
      <c r="E192" s="497">
        <v>760538</v>
      </c>
      <c r="F192" s="505">
        <v>7.8881728490062999E-3</v>
      </c>
      <c r="G192" s="488"/>
    </row>
    <row r="193" spans="2:7" x14ac:dyDescent="0.25">
      <c r="B193" s="491" t="s">
        <v>446</v>
      </c>
      <c r="C193" s="495">
        <v>42500</v>
      </c>
      <c r="D193" s="492">
        <v>21069</v>
      </c>
      <c r="E193" s="497">
        <v>574400</v>
      </c>
      <c r="F193" s="505">
        <v>3.2803281215701505E-3</v>
      </c>
      <c r="G193" s="488"/>
    </row>
    <row r="194" spans="2:7" x14ac:dyDescent="0.25">
      <c r="B194" s="491" t="s">
        <v>446</v>
      </c>
      <c r="C194" s="495">
        <v>42501</v>
      </c>
      <c r="D194" s="492">
        <v>21391</v>
      </c>
      <c r="E194" s="497">
        <v>1145647</v>
      </c>
      <c r="F194" s="505">
        <v>1.5167506974675064E-2</v>
      </c>
      <c r="G194" s="488"/>
    </row>
    <row r="195" spans="2:7" x14ac:dyDescent="0.25">
      <c r="B195" s="491" t="s">
        <v>446</v>
      </c>
      <c r="C195" s="495">
        <v>42502</v>
      </c>
      <c r="D195" s="492">
        <v>21870</v>
      </c>
      <c r="E195" s="497">
        <v>2351228</v>
      </c>
      <c r="F195" s="505">
        <v>2.2145561869008311E-2</v>
      </c>
      <c r="G195" s="488"/>
    </row>
    <row r="196" spans="2:7" x14ac:dyDescent="0.25">
      <c r="B196" s="491" t="s">
        <v>446</v>
      </c>
      <c r="C196" s="495">
        <v>42503</v>
      </c>
      <c r="D196" s="492">
        <v>21400</v>
      </c>
      <c r="E196" s="497">
        <v>1030684</v>
      </c>
      <c r="F196" s="505">
        <v>-2.1724912660870625E-2</v>
      </c>
      <c r="G196" s="488"/>
    </row>
    <row r="197" spans="2:7" x14ac:dyDescent="0.25">
      <c r="B197" s="491" t="s">
        <v>446</v>
      </c>
      <c r="C197" s="495">
        <v>42506</v>
      </c>
      <c r="D197" s="492">
        <v>21300</v>
      </c>
      <c r="E197" s="497">
        <v>420817</v>
      </c>
      <c r="F197" s="505">
        <v>-4.6838493124263143E-3</v>
      </c>
      <c r="G197" s="488"/>
    </row>
    <row r="198" spans="2:7" x14ac:dyDescent="0.25">
      <c r="B198" s="491" t="s">
        <v>446</v>
      </c>
      <c r="C198" s="495">
        <v>42507</v>
      </c>
      <c r="D198" s="492">
        <v>21125</v>
      </c>
      <c r="E198" s="497">
        <v>451237</v>
      </c>
      <c r="F198" s="505">
        <v>-8.2498994721418358E-3</v>
      </c>
      <c r="G198" s="488"/>
    </row>
    <row r="199" spans="2:7" x14ac:dyDescent="0.25">
      <c r="B199" s="491" t="s">
        <v>446</v>
      </c>
      <c r="C199" s="495">
        <v>42508</v>
      </c>
      <c r="D199" s="492">
        <v>20886</v>
      </c>
      <c r="E199" s="497">
        <v>1571049</v>
      </c>
      <c r="F199" s="505">
        <v>-1.1378095185880704E-2</v>
      </c>
      <c r="G199" s="488"/>
    </row>
    <row r="200" spans="2:7" x14ac:dyDescent="0.25">
      <c r="B200" s="491" t="s">
        <v>446</v>
      </c>
      <c r="C200" s="495">
        <v>42509</v>
      </c>
      <c r="D200" s="492">
        <v>20953</v>
      </c>
      <c r="E200" s="497">
        <v>436294</v>
      </c>
      <c r="F200" s="505">
        <v>3.2027561496140323E-3</v>
      </c>
      <c r="G200" s="488"/>
    </row>
    <row r="201" spans="2:7" x14ac:dyDescent="0.25">
      <c r="B201" s="491" t="s">
        <v>446</v>
      </c>
      <c r="C201" s="495">
        <v>42510</v>
      </c>
      <c r="D201" s="492">
        <v>20572</v>
      </c>
      <c r="E201" s="497">
        <v>705986</v>
      </c>
      <c r="F201" s="505">
        <v>-1.8350906294301146E-2</v>
      </c>
      <c r="G201" s="488"/>
    </row>
    <row r="202" spans="2:7" x14ac:dyDescent="0.25">
      <c r="B202" s="491" t="s">
        <v>446</v>
      </c>
      <c r="C202" s="495">
        <v>42513</v>
      </c>
      <c r="D202" s="492">
        <v>20500</v>
      </c>
      <c r="E202" s="497">
        <v>597849</v>
      </c>
      <c r="F202" s="505">
        <v>-3.5060417683072461E-3</v>
      </c>
      <c r="G202" s="488"/>
    </row>
    <row r="203" spans="2:7" x14ac:dyDescent="0.25">
      <c r="B203" s="491" t="s">
        <v>446</v>
      </c>
      <c r="C203" s="495">
        <v>42514</v>
      </c>
      <c r="D203" s="492">
        <v>20578</v>
      </c>
      <c r="E203" s="497">
        <v>670108</v>
      </c>
      <c r="F203" s="505">
        <v>3.7976578092559993E-3</v>
      </c>
      <c r="G203" s="488"/>
    </row>
    <row r="204" spans="2:7" x14ac:dyDescent="0.25">
      <c r="B204" s="491" t="s">
        <v>446</v>
      </c>
      <c r="C204" s="495">
        <v>42515</v>
      </c>
      <c r="D204" s="492">
        <v>20100</v>
      </c>
      <c r="E204" s="497">
        <v>762777</v>
      </c>
      <c r="F204" s="505">
        <v>-2.3502728888588453E-2</v>
      </c>
      <c r="G204" s="488"/>
    </row>
    <row r="205" spans="2:7" x14ac:dyDescent="0.25">
      <c r="B205" s="491" t="s">
        <v>446</v>
      </c>
      <c r="C205" s="495">
        <v>42516</v>
      </c>
      <c r="D205" s="492">
        <v>20795</v>
      </c>
      <c r="E205" s="497">
        <v>386109</v>
      </c>
      <c r="F205" s="505">
        <v>3.3992758129844834E-2</v>
      </c>
      <c r="G205" s="488"/>
    </row>
    <row r="206" spans="2:7" x14ac:dyDescent="0.25">
      <c r="B206" s="491" t="s">
        <v>446</v>
      </c>
      <c r="C206" s="495">
        <v>42517</v>
      </c>
      <c r="D206" s="492">
        <v>20545</v>
      </c>
      <c r="E206" s="497">
        <v>654216</v>
      </c>
      <c r="F206" s="505">
        <v>-1.2094970859501923E-2</v>
      </c>
      <c r="G206" s="488"/>
    </row>
    <row r="207" spans="2:7" x14ac:dyDescent="0.25">
      <c r="B207" s="491" t="s">
        <v>446</v>
      </c>
      <c r="C207" s="495">
        <v>42520</v>
      </c>
      <c r="D207" s="492">
        <v>20558</v>
      </c>
      <c r="E207" s="497">
        <v>218363</v>
      </c>
      <c r="F207" s="505">
        <v>6.3255725535712863E-4</v>
      </c>
      <c r="G207" s="488"/>
    </row>
    <row r="208" spans="2:7" x14ac:dyDescent="0.25">
      <c r="B208" s="491" t="s">
        <v>446</v>
      </c>
      <c r="C208" s="495">
        <v>42521</v>
      </c>
      <c r="D208" s="492">
        <v>20233</v>
      </c>
      <c r="E208" s="497">
        <v>1307944</v>
      </c>
      <c r="F208" s="505">
        <v>-1.5935224793672719E-2</v>
      </c>
      <c r="G208" s="488"/>
    </row>
    <row r="209" spans="2:7" x14ac:dyDescent="0.25">
      <c r="B209" s="491" t="s">
        <v>446</v>
      </c>
      <c r="C209" s="495">
        <v>42522</v>
      </c>
      <c r="D209" s="492">
        <v>20301</v>
      </c>
      <c r="E209" s="497">
        <v>752796</v>
      </c>
      <c r="F209" s="505">
        <v>3.3552111211406668E-3</v>
      </c>
      <c r="G209" s="488"/>
    </row>
    <row r="210" spans="2:7" x14ac:dyDescent="0.25">
      <c r="B210" s="491" t="s">
        <v>446</v>
      </c>
      <c r="C210" s="495">
        <v>42523</v>
      </c>
      <c r="D210" s="492">
        <v>20454</v>
      </c>
      <c r="E210" s="497">
        <v>462723</v>
      </c>
      <c r="F210" s="505">
        <v>7.5083164656228355E-3</v>
      </c>
      <c r="G210" s="488"/>
    </row>
    <row r="211" spans="2:7" x14ac:dyDescent="0.25">
      <c r="B211" s="491" t="s">
        <v>446</v>
      </c>
      <c r="C211" s="495">
        <v>42524</v>
      </c>
      <c r="D211" s="492">
        <v>21200</v>
      </c>
      <c r="E211" s="497">
        <v>509490</v>
      </c>
      <c r="F211" s="505">
        <v>3.5822719294145815E-2</v>
      </c>
      <c r="G211" s="488"/>
    </row>
    <row r="212" spans="2:7" x14ac:dyDescent="0.25">
      <c r="B212" s="491" t="s">
        <v>446</v>
      </c>
      <c r="C212" s="495">
        <v>42527</v>
      </c>
      <c r="D212" s="492">
        <v>20674</v>
      </c>
      <c r="E212" s="497">
        <v>353209</v>
      </c>
      <c r="F212" s="505">
        <v>-2.5124309531673692E-2</v>
      </c>
      <c r="G212" s="488"/>
    </row>
    <row r="213" spans="2:7" x14ac:dyDescent="0.25">
      <c r="B213" s="491" t="s">
        <v>446</v>
      </c>
      <c r="C213" s="495">
        <v>42528</v>
      </c>
      <c r="D213" s="492">
        <v>21311</v>
      </c>
      <c r="E213" s="497">
        <v>667289</v>
      </c>
      <c r="F213" s="505">
        <v>3.0346499188895884E-2</v>
      </c>
      <c r="G213" s="488"/>
    </row>
    <row r="214" spans="2:7" x14ac:dyDescent="0.25">
      <c r="B214" s="491" t="s">
        <v>446</v>
      </c>
      <c r="C214" s="495">
        <v>42529</v>
      </c>
      <c r="D214" s="492">
        <v>20500</v>
      </c>
      <c r="E214" s="497">
        <v>452177</v>
      </c>
      <c r="F214" s="505">
        <v>-3.879848519082639E-2</v>
      </c>
      <c r="G214" s="488"/>
    </row>
    <row r="215" spans="2:7" x14ac:dyDescent="0.25">
      <c r="B215" s="491" t="s">
        <v>446</v>
      </c>
      <c r="C215" s="495">
        <v>42530</v>
      </c>
      <c r="D215" s="492">
        <v>20170</v>
      </c>
      <c r="E215" s="497">
        <v>279577</v>
      </c>
      <c r="F215" s="505">
        <v>-1.6228534178242104E-2</v>
      </c>
      <c r="G215" s="488"/>
    </row>
    <row r="216" spans="2:7" x14ac:dyDescent="0.25">
      <c r="B216" s="491" t="s">
        <v>446</v>
      </c>
      <c r="C216" s="495">
        <v>42531</v>
      </c>
      <c r="D216" s="492">
        <v>20070</v>
      </c>
      <c r="E216" s="497">
        <v>526947</v>
      </c>
      <c r="F216" s="505">
        <v>-4.9701891578735951E-3</v>
      </c>
      <c r="G216" s="488"/>
    </row>
    <row r="217" spans="2:7" x14ac:dyDescent="0.25">
      <c r="B217" s="491" t="s">
        <v>446</v>
      </c>
      <c r="C217" s="495">
        <v>42534</v>
      </c>
      <c r="D217" s="492">
        <v>19770</v>
      </c>
      <c r="E217" s="497">
        <v>390878</v>
      </c>
      <c r="F217" s="505">
        <v>-1.5060525625721237E-2</v>
      </c>
      <c r="G217" s="488"/>
    </row>
    <row r="218" spans="2:7" x14ac:dyDescent="0.25">
      <c r="B218" s="491" t="s">
        <v>446</v>
      </c>
      <c r="C218" s="495">
        <v>42535</v>
      </c>
      <c r="D218" s="492">
        <v>19210</v>
      </c>
      <c r="E218" s="497">
        <v>379010</v>
      </c>
      <c r="F218" s="505">
        <v>-2.8734660402060304E-2</v>
      </c>
      <c r="G218" s="488"/>
    </row>
    <row r="219" spans="2:7" x14ac:dyDescent="0.25">
      <c r="B219" s="491" t="s">
        <v>446</v>
      </c>
      <c r="C219" s="495">
        <v>42536</v>
      </c>
      <c r="D219" s="492">
        <v>19490</v>
      </c>
      <c r="E219" s="497">
        <v>411856</v>
      </c>
      <c r="F219" s="505">
        <v>1.4470536739004107E-2</v>
      </c>
      <c r="G219" s="488"/>
    </row>
    <row r="220" spans="2:7" x14ac:dyDescent="0.25">
      <c r="B220" s="491" t="s">
        <v>446</v>
      </c>
      <c r="C220" s="495">
        <v>42538</v>
      </c>
      <c r="D220" s="492">
        <v>19554</v>
      </c>
      <c r="E220" s="497">
        <v>870458</v>
      </c>
      <c r="F220" s="505">
        <v>3.278355564009996E-3</v>
      </c>
      <c r="G220" s="488"/>
    </row>
    <row r="221" spans="2:7" x14ac:dyDescent="0.25">
      <c r="B221" s="491" t="s">
        <v>446</v>
      </c>
      <c r="C221" s="495">
        <v>42541</v>
      </c>
      <c r="D221" s="492">
        <v>19759</v>
      </c>
      <c r="E221" s="497">
        <v>337033</v>
      </c>
      <c r="F221" s="505">
        <v>1.0429214668200871E-2</v>
      </c>
      <c r="G221" s="488"/>
    </row>
    <row r="222" spans="2:7" x14ac:dyDescent="0.25">
      <c r="B222" s="491" t="s">
        <v>446</v>
      </c>
      <c r="C222" s="495">
        <v>42542</v>
      </c>
      <c r="D222" s="492">
        <v>19999</v>
      </c>
      <c r="E222" s="497">
        <v>637282</v>
      </c>
      <c r="F222" s="505">
        <v>1.2073188552269E-2</v>
      </c>
      <c r="G222" s="488"/>
    </row>
    <row r="223" spans="2:7" x14ac:dyDescent="0.25">
      <c r="B223" s="491" t="s">
        <v>446</v>
      </c>
      <c r="C223" s="495">
        <v>42543</v>
      </c>
      <c r="D223" s="492">
        <v>20475</v>
      </c>
      <c r="E223" s="497">
        <v>563547</v>
      </c>
      <c r="F223" s="505">
        <v>2.3522357435183806E-2</v>
      </c>
      <c r="G223" s="488"/>
    </row>
    <row r="224" spans="2:7" x14ac:dyDescent="0.25">
      <c r="B224" s="491" t="s">
        <v>446</v>
      </c>
      <c r="C224" s="495">
        <v>42544</v>
      </c>
      <c r="D224" s="492">
        <v>20519</v>
      </c>
      <c r="E224" s="497">
        <v>508656</v>
      </c>
      <c r="F224" s="505">
        <v>2.1466564324773567E-3</v>
      </c>
      <c r="G224" s="488"/>
    </row>
    <row r="225" spans="2:7" x14ac:dyDescent="0.25">
      <c r="B225" s="491" t="s">
        <v>446</v>
      </c>
      <c r="C225" s="495">
        <v>42545</v>
      </c>
      <c r="D225" s="492">
        <v>20190</v>
      </c>
      <c r="E225" s="497">
        <v>788577</v>
      </c>
      <c r="F225" s="505">
        <v>-1.6163853846864425E-2</v>
      </c>
      <c r="G225" s="488"/>
    </row>
    <row r="226" spans="2:7" x14ac:dyDescent="0.25">
      <c r="B226" s="491" t="s">
        <v>446</v>
      </c>
      <c r="C226" s="495">
        <v>42548</v>
      </c>
      <c r="D226" s="492">
        <v>19365</v>
      </c>
      <c r="E226" s="497">
        <v>554356</v>
      </c>
      <c r="F226" s="505">
        <v>-4.1720119358030577E-2</v>
      </c>
      <c r="G226" s="488"/>
    </row>
    <row r="227" spans="2:7" x14ac:dyDescent="0.25">
      <c r="B227" s="491" t="s">
        <v>446</v>
      </c>
      <c r="C227" s="495">
        <v>42549</v>
      </c>
      <c r="D227" s="492">
        <v>20155</v>
      </c>
      <c r="E227" s="497">
        <v>649559</v>
      </c>
      <c r="F227" s="505">
        <v>3.9985083602413575E-2</v>
      </c>
      <c r="G227" s="488"/>
    </row>
    <row r="228" spans="2:7" x14ac:dyDescent="0.25">
      <c r="B228" s="491" t="s">
        <v>446</v>
      </c>
      <c r="C228" s="495">
        <v>42550</v>
      </c>
      <c r="D228" s="492">
        <v>20370</v>
      </c>
      <c r="E228" s="497">
        <v>588001</v>
      </c>
      <c r="F228" s="505">
        <v>1.0610833669585429E-2</v>
      </c>
      <c r="G228" s="488"/>
    </row>
    <row r="229" spans="2:7" x14ac:dyDescent="0.25">
      <c r="B229" s="491" t="s">
        <v>446</v>
      </c>
      <c r="C229" s="495">
        <v>42551</v>
      </c>
      <c r="D229" s="492">
        <v>20200</v>
      </c>
      <c r="E229" s="497">
        <v>1129021</v>
      </c>
      <c r="F229" s="505">
        <v>-8.3806258315553446E-3</v>
      </c>
      <c r="G229" s="488"/>
    </row>
    <row r="230" spans="2:7" x14ac:dyDescent="0.25">
      <c r="B230" s="491" t="s">
        <v>446</v>
      </c>
      <c r="C230" s="495">
        <v>42552</v>
      </c>
      <c r="D230" s="492">
        <v>20126</v>
      </c>
      <c r="E230" s="497">
        <v>428103</v>
      </c>
      <c r="F230" s="505">
        <v>-3.6700928960176028E-3</v>
      </c>
      <c r="G230" s="488"/>
    </row>
    <row r="231" spans="2:7" x14ac:dyDescent="0.25">
      <c r="B231" s="491" t="s">
        <v>446</v>
      </c>
      <c r="C231" s="495">
        <v>42555</v>
      </c>
      <c r="D231" s="492">
        <v>20002</v>
      </c>
      <c r="E231" s="497">
        <v>317588</v>
      </c>
      <c r="F231" s="505">
        <v>-6.1802429568172069E-3</v>
      </c>
      <c r="G231" s="488"/>
    </row>
    <row r="232" spans="2:7" x14ac:dyDescent="0.25">
      <c r="B232" s="491" t="s">
        <v>446</v>
      </c>
      <c r="C232" s="495">
        <v>42556</v>
      </c>
      <c r="D232" s="492">
        <v>19798</v>
      </c>
      <c r="E232" s="497">
        <v>604643</v>
      </c>
      <c r="F232" s="505">
        <v>-1.0251346056708695E-2</v>
      </c>
      <c r="G232" s="488"/>
    </row>
    <row r="233" spans="2:7" x14ac:dyDescent="0.25">
      <c r="B233" s="491" t="s">
        <v>446</v>
      </c>
      <c r="C233" s="495">
        <v>42557</v>
      </c>
      <c r="D233" s="492">
        <v>19300</v>
      </c>
      <c r="E233" s="497">
        <v>965022</v>
      </c>
      <c r="F233" s="505">
        <v>-2.5475826586775753E-2</v>
      </c>
      <c r="G233" s="488"/>
    </row>
    <row r="234" spans="2:7" x14ac:dyDescent="0.25">
      <c r="B234" s="491" t="s">
        <v>446</v>
      </c>
      <c r="C234" s="495">
        <v>42558</v>
      </c>
      <c r="D234" s="492">
        <v>19529</v>
      </c>
      <c r="E234" s="497">
        <v>443291</v>
      </c>
      <c r="F234" s="505">
        <v>1.1795444389805395E-2</v>
      </c>
      <c r="G234" s="488"/>
    </row>
    <row r="235" spans="2:7" x14ac:dyDescent="0.25">
      <c r="B235" s="491" t="s">
        <v>446</v>
      </c>
      <c r="C235" s="495">
        <v>42559</v>
      </c>
      <c r="D235" s="492">
        <v>19501</v>
      </c>
      <c r="E235" s="497">
        <v>270244</v>
      </c>
      <c r="F235" s="505">
        <v>-1.4347939945415947E-3</v>
      </c>
      <c r="G235" s="488"/>
    </row>
    <row r="236" spans="2:7" x14ac:dyDescent="0.25">
      <c r="B236" s="491" t="s">
        <v>446</v>
      </c>
      <c r="C236" s="495">
        <v>42562</v>
      </c>
      <c r="D236" s="492">
        <v>20204</v>
      </c>
      <c r="E236" s="497">
        <v>454744</v>
      </c>
      <c r="F236" s="505">
        <v>3.5414858299702486E-2</v>
      </c>
      <c r="G236" s="488"/>
    </row>
    <row r="237" spans="2:7" x14ac:dyDescent="0.25">
      <c r="B237" s="491" t="s">
        <v>446</v>
      </c>
      <c r="C237" s="495">
        <v>42563</v>
      </c>
      <c r="D237" s="492">
        <v>20153</v>
      </c>
      <c r="E237" s="497">
        <v>494611</v>
      </c>
      <c r="F237" s="505">
        <v>-2.527443920454057E-3</v>
      </c>
      <c r="G237" s="488"/>
    </row>
    <row r="238" spans="2:7" x14ac:dyDescent="0.25">
      <c r="B238" s="491" t="s">
        <v>446</v>
      </c>
      <c r="C238" s="495">
        <v>42564</v>
      </c>
      <c r="D238" s="492">
        <v>20261</v>
      </c>
      <c r="E238" s="497">
        <v>555303</v>
      </c>
      <c r="F238" s="505">
        <v>5.3446952586620466E-3</v>
      </c>
      <c r="G238" s="488"/>
    </row>
    <row r="239" spans="2:7" x14ac:dyDescent="0.25">
      <c r="B239" s="491" t="s">
        <v>446</v>
      </c>
      <c r="C239" s="495">
        <v>42565</v>
      </c>
      <c r="D239" s="492">
        <v>19851</v>
      </c>
      <c r="E239" s="497">
        <v>429518</v>
      </c>
      <c r="F239" s="505">
        <v>-2.0443472245982048E-2</v>
      </c>
      <c r="G239" s="488"/>
    </row>
    <row r="240" spans="2:7" x14ac:dyDescent="0.25">
      <c r="B240" s="491" t="s">
        <v>446</v>
      </c>
      <c r="C240" s="495">
        <v>42566</v>
      </c>
      <c r="D240" s="492">
        <v>20323</v>
      </c>
      <c r="E240" s="497">
        <v>465789</v>
      </c>
      <c r="F240" s="505">
        <v>2.3498865910137817E-2</v>
      </c>
      <c r="G240" s="488"/>
    </row>
    <row r="241" spans="2:7" x14ac:dyDescent="0.25">
      <c r="B241" s="491" t="s">
        <v>446</v>
      </c>
      <c r="C241" s="495">
        <v>42569</v>
      </c>
      <c r="D241" s="492">
        <v>20258</v>
      </c>
      <c r="E241" s="497">
        <v>200864</v>
      </c>
      <c r="F241" s="505">
        <v>-3.2034723435645516E-3</v>
      </c>
      <c r="G241" s="488"/>
    </row>
    <row r="242" spans="2:7" x14ac:dyDescent="0.25">
      <c r="B242" s="491" t="s">
        <v>446</v>
      </c>
      <c r="C242" s="495">
        <v>42570</v>
      </c>
      <c r="D242" s="492">
        <v>20234</v>
      </c>
      <c r="E242" s="497">
        <v>345977</v>
      </c>
      <c r="F242" s="505">
        <v>-1.1854194809068166E-3</v>
      </c>
      <c r="G242" s="488"/>
    </row>
    <row r="243" spans="2:7" x14ac:dyDescent="0.25">
      <c r="B243" s="491" t="s">
        <v>446</v>
      </c>
      <c r="C243" s="495">
        <v>42571</v>
      </c>
      <c r="D243" s="492">
        <v>20971</v>
      </c>
      <c r="E243" s="497">
        <v>621910</v>
      </c>
      <c r="F243" s="505">
        <v>3.5776173165283649E-2</v>
      </c>
      <c r="G243" s="488"/>
    </row>
    <row r="244" spans="2:7" x14ac:dyDescent="0.25">
      <c r="B244" s="491" t="s">
        <v>446</v>
      </c>
      <c r="C244" s="495">
        <v>42572</v>
      </c>
      <c r="D244" s="492">
        <v>20700</v>
      </c>
      <c r="E244" s="497">
        <v>556560</v>
      </c>
      <c r="F244" s="505">
        <v>-1.3006830677658867E-2</v>
      </c>
      <c r="G244" s="488"/>
    </row>
    <row r="245" spans="2:7" x14ac:dyDescent="0.25">
      <c r="B245" s="491" t="s">
        <v>446</v>
      </c>
      <c r="C245" s="495">
        <v>42573</v>
      </c>
      <c r="D245" s="492">
        <v>20726</v>
      </c>
      <c r="E245" s="497">
        <v>285073</v>
      </c>
      <c r="F245" s="505">
        <v>1.2552504907023189E-3</v>
      </c>
      <c r="G245" s="488"/>
    </row>
    <row r="246" spans="2:7" x14ac:dyDescent="0.25">
      <c r="B246" s="491" t="s">
        <v>446</v>
      </c>
      <c r="C246" s="495">
        <v>42576</v>
      </c>
      <c r="D246" s="492">
        <v>21141</v>
      </c>
      <c r="E246" s="497">
        <v>367060</v>
      </c>
      <c r="F246" s="505">
        <v>1.9825332250969392E-2</v>
      </c>
      <c r="G246" s="488"/>
    </row>
    <row r="247" spans="2:7" x14ac:dyDescent="0.25">
      <c r="B247" s="491" t="s">
        <v>446</v>
      </c>
      <c r="C247" s="495">
        <v>42577</v>
      </c>
      <c r="D247" s="492">
        <v>21697</v>
      </c>
      <c r="E247" s="497">
        <v>786253</v>
      </c>
      <c r="F247" s="505">
        <v>2.5959719128239644E-2</v>
      </c>
      <c r="G247" s="488"/>
    </row>
    <row r="248" spans="2:7" x14ac:dyDescent="0.25">
      <c r="B248" s="491" t="s">
        <v>446</v>
      </c>
      <c r="C248" s="495">
        <v>42578</v>
      </c>
      <c r="D248" s="492">
        <v>21509</v>
      </c>
      <c r="E248" s="497">
        <v>668818</v>
      </c>
      <c r="F248" s="505">
        <v>-8.702549946938835E-3</v>
      </c>
      <c r="G248" s="488"/>
    </row>
    <row r="249" spans="2:7" x14ac:dyDescent="0.25">
      <c r="B249" s="491" t="s">
        <v>446</v>
      </c>
      <c r="C249" s="495">
        <v>42579</v>
      </c>
      <c r="D249" s="492">
        <v>20996</v>
      </c>
      <c r="E249" s="497">
        <v>412256</v>
      </c>
      <c r="F249" s="505">
        <v>-2.4139508804242617E-2</v>
      </c>
      <c r="G249" s="488"/>
    </row>
    <row r="250" spans="2:7" x14ac:dyDescent="0.25">
      <c r="B250" s="491" t="s">
        <v>446</v>
      </c>
      <c r="C250" s="495">
        <v>42580</v>
      </c>
      <c r="D250" s="492">
        <v>20708</v>
      </c>
      <c r="E250" s="497">
        <v>649270</v>
      </c>
      <c r="F250" s="505">
        <v>-1.3811844350398367E-2</v>
      </c>
      <c r="G250" s="488"/>
    </row>
    <row r="251" spans="2:7" x14ac:dyDescent="0.25">
      <c r="B251" s="491" t="s">
        <v>446</v>
      </c>
      <c r="C251" s="495">
        <v>42583</v>
      </c>
      <c r="D251" s="492">
        <v>20521</v>
      </c>
      <c r="E251" s="497">
        <v>1058056</v>
      </c>
      <c r="F251" s="505">
        <v>-9.0713469810277027E-3</v>
      </c>
      <c r="G251" s="488"/>
    </row>
    <row r="252" spans="2:7" x14ac:dyDescent="0.25">
      <c r="B252" s="491" t="s">
        <v>446</v>
      </c>
      <c r="C252" s="495">
        <v>42584</v>
      </c>
      <c r="D252" s="492">
        <v>20555</v>
      </c>
      <c r="E252" s="497">
        <v>677703</v>
      </c>
      <c r="F252" s="505">
        <v>1.655468291214562E-3</v>
      </c>
      <c r="G252" s="488"/>
    </row>
    <row r="253" spans="2:7" x14ac:dyDescent="0.25">
      <c r="B253" s="491" t="s">
        <v>446</v>
      </c>
      <c r="C253" s="495">
        <v>42586</v>
      </c>
      <c r="D253" s="492">
        <v>20700</v>
      </c>
      <c r="E253" s="497">
        <v>282292</v>
      </c>
      <c r="F253" s="505">
        <v>7.0294799214816696E-3</v>
      </c>
      <c r="G253" s="488"/>
    </row>
    <row r="254" spans="2:7" x14ac:dyDescent="0.25">
      <c r="B254" s="491" t="s">
        <v>446</v>
      </c>
      <c r="C254" s="495">
        <v>42587</v>
      </c>
      <c r="D254" s="492">
        <v>20600</v>
      </c>
      <c r="E254" s="497">
        <v>333658</v>
      </c>
      <c r="F254" s="505">
        <v>-4.8426244757880151E-3</v>
      </c>
      <c r="G254" s="488"/>
    </row>
    <row r="255" spans="2:7" x14ac:dyDescent="0.25">
      <c r="B255" s="491" t="s">
        <v>446</v>
      </c>
      <c r="C255" s="495">
        <v>42590</v>
      </c>
      <c r="D255" s="492">
        <v>21078</v>
      </c>
      <c r="E255" s="497">
        <v>342039</v>
      </c>
      <c r="F255" s="505">
        <v>2.2938766716209529E-2</v>
      </c>
      <c r="G255" s="488"/>
    </row>
    <row r="256" spans="2:7" x14ac:dyDescent="0.25">
      <c r="B256" s="491" t="s">
        <v>446</v>
      </c>
      <c r="C256" s="495">
        <v>42592</v>
      </c>
      <c r="D256" s="492">
        <v>21103</v>
      </c>
      <c r="E256" s="497">
        <v>648702</v>
      </c>
      <c r="F256" s="505">
        <v>1.1853679584308665E-3</v>
      </c>
      <c r="G256" s="488"/>
    </row>
    <row r="257" spans="2:7" x14ac:dyDescent="0.25">
      <c r="B257" s="491" t="s">
        <v>446</v>
      </c>
      <c r="C257" s="495">
        <v>42593</v>
      </c>
      <c r="D257" s="492">
        <v>21161</v>
      </c>
      <c r="E257" s="497">
        <v>303010</v>
      </c>
      <c r="F257" s="505">
        <v>2.7446543824584946E-3</v>
      </c>
      <c r="G257" s="488"/>
    </row>
    <row r="258" spans="2:7" x14ac:dyDescent="0.25">
      <c r="B258" s="491" t="s">
        <v>446</v>
      </c>
      <c r="C258" s="495">
        <v>42594</v>
      </c>
      <c r="D258" s="492">
        <v>21305</v>
      </c>
      <c r="E258" s="497">
        <v>293009</v>
      </c>
      <c r="F258" s="505">
        <v>6.7819220992410565E-3</v>
      </c>
      <c r="G258" s="488"/>
    </row>
    <row r="259" spans="2:7" x14ac:dyDescent="0.25">
      <c r="B259" s="491" t="s">
        <v>446</v>
      </c>
      <c r="C259" s="495">
        <v>42597</v>
      </c>
      <c r="D259" s="492">
        <v>21015</v>
      </c>
      <c r="E259" s="497">
        <v>449357</v>
      </c>
      <c r="F259" s="505">
        <v>-1.3705318494795289E-2</v>
      </c>
      <c r="G259" s="488"/>
    </row>
    <row r="260" spans="2:7" x14ac:dyDescent="0.25">
      <c r="B260" s="491" t="s">
        <v>446</v>
      </c>
      <c r="C260" s="495">
        <v>42598</v>
      </c>
      <c r="D260" s="492">
        <v>20790</v>
      </c>
      <c r="E260" s="497">
        <v>467966</v>
      </c>
      <c r="F260" s="505">
        <v>-1.076436658715843E-2</v>
      </c>
      <c r="G260" s="488"/>
    </row>
    <row r="261" spans="2:7" x14ac:dyDescent="0.25">
      <c r="B261" s="491" t="s">
        <v>446</v>
      </c>
      <c r="C261" s="495">
        <v>42599</v>
      </c>
      <c r="D261" s="492">
        <v>20690</v>
      </c>
      <c r="E261" s="497">
        <v>614303</v>
      </c>
      <c r="F261" s="505">
        <v>-4.8216101124699028E-3</v>
      </c>
      <c r="G261" s="488"/>
    </row>
    <row r="262" spans="2:7" x14ac:dyDescent="0.25">
      <c r="B262" s="491" t="s">
        <v>446</v>
      </c>
      <c r="C262" s="495">
        <v>42600</v>
      </c>
      <c r="D262" s="492">
        <v>20680</v>
      </c>
      <c r="E262" s="497">
        <v>461964</v>
      </c>
      <c r="F262" s="505">
        <v>-4.8344211722330734E-4</v>
      </c>
      <c r="G262" s="488"/>
    </row>
    <row r="263" spans="2:7" x14ac:dyDescent="0.25">
      <c r="B263" s="491" t="s">
        <v>446</v>
      </c>
      <c r="C263" s="495">
        <v>42601</v>
      </c>
      <c r="D263" s="492">
        <v>20744</v>
      </c>
      <c r="E263" s="497">
        <v>1460397</v>
      </c>
      <c r="F263" s="505">
        <v>3.0899985961349041E-3</v>
      </c>
      <c r="G263" s="488"/>
    </row>
    <row r="264" spans="2:7" x14ac:dyDescent="0.25">
      <c r="B264" s="491" t="s">
        <v>446</v>
      </c>
      <c r="C264" s="495">
        <v>42604</v>
      </c>
      <c r="D264" s="492">
        <v>20700</v>
      </c>
      <c r="E264" s="497">
        <v>259621</v>
      </c>
      <c r="F264" s="505">
        <v>-2.1233479650398209E-3</v>
      </c>
      <c r="G264" s="488"/>
    </row>
    <row r="265" spans="2:7" x14ac:dyDescent="0.25">
      <c r="B265" s="491" t="s">
        <v>446</v>
      </c>
      <c r="C265" s="495">
        <v>42605</v>
      </c>
      <c r="D265" s="492">
        <v>20775</v>
      </c>
      <c r="E265" s="497">
        <v>907464</v>
      </c>
      <c r="F265" s="505">
        <v>3.6166404701885148E-3</v>
      </c>
      <c r="G265" s="488"/>
    </row>
    <row r="266" spans="2:7" x14ac:dyDescent="0.25">
      <c r="B266" s="491" t="s">
        <v>446</v>
      </c>
      <c r="C266" s="495">
        <v>42606</v>
      </c>
      <c r="D266" s="492">
        <v>19650</v>
      </c>
      <c r="E266" s="497">
        <v>2673163</v>
      </c>
      <c r="F266" s="505">
        <v>-5.5673002426241638E-2</v>
      </c>
      <c r="G266" s="488"/>
    </row>
    <row r="267" spans="2:7" x14ac:dyDescent="0.25">
      <c r="B267" s="491" t="s">
        <v>446</v>
      </c>
      <c r="C267" s="495">
        <v>42607</v>
      </c>
      <c r="D267" s="492">
        <v>19371</v>
      </c>
      <c r="E267" s="497">
        <v>1742612</v>
      </c>
      <c r="F267" s="505">
        <v>-1.4300236002830587E-2</v>
      </c>
      <c r="G267" s="488"/>
    </row>
    <row r="268" spans="2:7" x14ac:dyDescent="0.25">
      <c r="B268" s="491" t="s">
        <v>446</v>
      </c>
      <c r="C268" s="495">
        <v>42608</v>
      </c>
      <c r="D268" s="492">
        <v>19698</v>
      </c>
      <c r="E268" s="497">
        <v>853507</v>
      </c>
      <c r="F268" s="505">
        <v>1.6740005435071009E-2</v>
      </c>
      <c r="G268" s="488"/>
    </row>
    <row r="269" spans="2:7" x14ac:dyDescent="0.25">
      <c r="B269" s="491" t="s">
        <v>446</v>
      </c>
      <c r="C269" s="495">
        <v>42611</v>
      </c>
      <c r="D269" s="492">
        <v>19700</v>
      </c>
      <c r="E269" s="497">
        <v>954086</v>
      </c>
      <c r="F269" s="505">
        <v>1.0152799643213796E-4</v>
      </c>
      <c r="G269" s="488"/>
    </row>
    <row r="270" spans="2:7" x14ac:dyDescent="0.25">
      <c r="B270" s="491" t="s">
        <v>446</v>
      </c>
      <c r="C270" s="495">
        <v>42612</v>
      </c>
      <c r="D270" s="492">
        <v>19728</v>
      </c>
      <c r="E270" s="497">
        <v>648727</v>
      </c>
      <c r="F270" s="505">
        <v>1.4203106780457139E-3</v>
      </c>
      <c r="G270" s="488"/>
    </row>
    <row r="271" spans="2:7" x14ac:dyDescent="0.25">
      <c r="B271" s="491" t="s">
        <v>446</v>
      </c>
      <c r="C271" s="495">
        <v>42613</v>
      </c>
      <c r="D271" s="492">
        <v>19200</v>
      </c>
      <c r="E271" s="497">
        <v>1133445</v>
      </c>
      <c r="F271" s="505">
        <v>-2.7128667388252585E-2</v>
      </c>
      <c r="G271" s="488"/>
    </row>
    <row r="272" spans="2:7" x14ac:dyDescent="0.25">
      <c r="B272" s="491" t="s">
        <v>446</v>
      </c>
      <c r="C272" s="495">
        <v>42614</v>
      </c>
      <c r="D272" s="492">
        <v>18950</v>
      </c>
      <c r="E272" s="497">
        <v>841851</v>
      </c>
      <c r="F272" s="505">
        <v>-1.3106347505300547E-2</v>
      </c>
      <c r="G272" s="488"/>
    </row>
    <row r="273" spans="2:7" x14ac:dyDescent="0.25">
      <c r="B273" s="491" t="s">
        <v>446</v>
      </c>
      <c r="C273" s="495">
        <v>42615</v>
      </c>
      <c r="D273" s="492">
        <v>19126</v>
      </c>
      <c r="E273" s="497">
        <v>1307172</v>
      </c>
      <c r="F273" s="505">
        <v>9.2447343989156272E-3</v>
      </c>
      <c r="G273" s="488"/>
    </row>
    <row r="274" spans="2:7" x14ac:dyDescent="0.25">
      <c r="B274" s="491" t="s">
        <v>446</v>
      </c>
      <c r="C274" s="495">
        <v>42618</v>
      </c>
      <c r="D274" s="492">
        <v>19242</v>
      </c>
      <c r="E274" s="497">
        <v>687074</v>
      </c>
      <c r="F274" s="505">
        <v>6.0467240117218664E-3</v>
      </c>
      <c r="G274" s="488"/>
    </row>
    <row r="275" spans="2:7" x14ac:dyDescent="0.25">
      <c r="B275" s="491" t="s">
        <v>446</v>
      </c>
      <c r="C275" s="495">
        <v>42619</v>
      </c>
      <c r="D275" s="492">
        <v>19365</v>
      </c>
      <c r="E275" s="497">
        <v>678235</v>
      </c>
      <c r="F275" s="505">
        <v>6.3719230276425998E-3</v>
      </c>
      <c r="G275" s="488"/>
    </row>
    <row r="276" spans="2:7" x14ac:dyDescent="0.25">
      <c r="B276" s="491" t="s">
        <v>446</v>
      </c>
      <c r="C276" s="495">
        <v>42620</v>
      </c>
      <c r="D276" s="492">
        <v>19175</v>
      </c>
      <c r="E276" s="497">
        <v>1319404</v>
      </c>
      <c r="F276" s="505">
        <v>-9.8599657133955753E-3</v>
      </c>
      <c r="G276" s="488"/>
    </row>
    <row r="277" spans="2:7" x14ac:dyDescent="0.25">
      <c r="B277" s="491" t="s">
        <v>446</v>
      </c>
      <c r="C277" s="495">
        <v>42621</v>
      </c>
      <c r="D277" s="492">
        <v>19073</v>
      </c>
      <c r="E277" s="497">
        <v>1191975</v>
      </c>
      <c r="F277" s="505">
        <v>-5.3336248590303134E-3</v>
      </c>
      <c r="G277" s="488"/>
    </row>
    <row r="278" spans="2:7" x14ac:dyDescent="0.25">
      <c r="B278" s="491" t="s">
        <v>446</v>
      </c>
      <c r="C278" s="495">
        <v>42622</v>
      </c>
      <c r="D278" s="492">
        <v>19000</v>
      </c>
      <c r="E278" s="497">
        <v>990356</v>
      </c>
      <c r="F278" s="505">
        <v>-3.8347432278491279E-3</v>
      </c>
      <c r="G278" s="488"/>
    </row>
    <row r="279" spans="2:7" x14ac:dyDescent="0.25">
      <c r="B279" s="491" t="s">
        <v>446</v>
      </c>
      <c r="C279" s="495">
        <v>42625</v>
      </c>
      <c r="D279" s="492">
        <v>18868</v>
      </c>
      <c r="E279" s="497">
        <v>724032</v>
      </c>
      <c r="F279" s="505">
        <v>-6.9716137444251801E-3</v>
      </c>
      <c r="G279" s="488"/>
    </row>
    <row r="280" spans="2:7" x14ac:dyDescent="0.25">
      <c r="B280" s="491" t="s">
        <v>446</v>
      </c>
      <c r="C280" s="495">
        <v>42626</v>
      </c>
      <c r="D280" s="492">
        <v>18857</v>
      </c>
      <c r="E280" s="497">
        <v>389079</v>
      </c>
      <c r="F280" s="505">
        <v>-5.8316767722960453E-4</v>
      </c>
      <c r="G280" s="488"/>
    </row>
    <row r="281" spans="2:7" x14ac:dyDescent="0.25">
      <c r="B281" s="491" t="s">
        <v>446</v>
      </c>
      <c r="C281" s="495">
        <v>42627</v>
      </c>
      <c r="D281" s="492">
        <v>18952</v>
      </c>
      <c r="E281" s="497">
        <v>717012</v>
      </c>
      <c r="F281" s="505">
        <v>5.0252691116987351E-3</v>
      </c>
      <c r="G281" s="488"/>
    </row>
    <row r="282" spans="2:7" x14ac:dyDescent="0.25">
      <c r="B282" s="491" t="s">
        <v>446</v>
      </c>
      <c r="C282" s="495">
        <v>42628</v>
      </c>
      <c r="D282" s="492">
        <v>18711</v>
      </c>
      <c r="E282" s="497">
        <v>820671</v>
      </c>
      <c r="F282" s="505">
        <v>-1.2797880644389106E-2</v>
      </c>
      <c r="G282" s="488"/>
    </row>
    <row r="283" spans="2:7" x14ac:dyDescent="0.25">
      <c r="B283" s="491" t="s">
        <v>446</v>
      </c>
      <c r="C283" s="495">
        <v>42629</v>
      </c>
      <c r="D283" s="492">
        <v>18963</v>
      </c>
      <c r="E283" s="497">
        <v>2965580</v>
      </c>
      <c r="F283" s="505">
        <v>1.337812594617605E-2</v>
      </c>
      <c r="G283" s="488"/>
    </row>
    <row r="284" spans="2:7" x14ac:dyDescent="0.25">
      <c r="B284" s="491" t="s">
        <v>446</v>
      </c>
      <c r="C284" s="495">
        <v>42632</v>
      </c>
      <c r="D284" s="492">
        <v>18857</v>
      </c>
      <c r="E284" s="497">
        <v>947573</v>
      </c>
      <c r="F284" s="505">
        <v>-5.6055144134857194E-3</v>
      </c>
      <c r="G284" s="488"/>
    </row>
    <row r="285" spans="2:7" x14ac:dyDescent="0.25">
      <c r="B285" s="491" t="s">
        <v>446</v>
      </c>
      <c r="C285" s="495">
        <v>42633</v>
      </c>
      <c r="D285" s="492">
        <v>19000</v>
      </c>
      <c r="E285" s="497">
        <v>524454</v>
      </c>
      <c r="F285" s="505">
        <v>7.5547814216547779E-3</v>
      </c>
      <c r="G285" s="488"/>
    </row>
    <row r="286" spans="2:7" x14ac:dyDescent="0.25">
      <c r="B286" s="491" t="s">
        <v>446</v>
      </c>
      <c r="C286" s="495">
        <v>42634</v>
      </c>
      <c r="D286" s="492">
        <v>19029</v>
      </c>
      <c r="E286" s="497">
        <v>687117</v>
      </c>
      <c r="F286" s="505">
        <v>1.525152153429231E-3</v>
      </c>
      <c r="G286" s="488"/>
    </row>
    <row r="287" spans="2:7" x14ac:dyDescent="0.25">
      <c r="B287" s="491" t="s">
        <v>446</v>
      </c>
      <c r="C287" s="495">
        <v>42635</v>
      </c>
      <c r="D287" s="492">
        <v>19350</v>
      </c>
      <c r="E287" s="497">
        <v>872982</v>
      </c>
      <c r="F287" s="505">
        <v>1.672828815592094E-2</v>
      </c>
      <c r="G287" s="488"/>
    </row>
    <row r="288" spans="2:7" x14ac:dyDescent="0.25">
      <c r="B288" s="491" t="s">
        <v>446</v>
      </c>
      <c r="C288" s="495">
        <v>42636</v>
      </c>
      <c r="D288" s="492">
        <v>19175</v>
      </c>
      <c r="E288" s="497">
        <v>1204051</v>
      </c>
      <c r="F288" s="505">
        <v>-9.0850722224709822E-3</v>
      </c>
      <c r="G288" s="488"/>
    </row>
    <row r="289" spans="2:7" x14ac:dyDescent="0.25">
      <c r="B289" s="491" t="s">
        <v>446</v>
      </c>
      <c r="C289" s="495">
        <v>42639</v>
      </c>
      <c r="D289" s="492">
        <v>18805</v>
      </c>
      <c r="E289" s="497">
        <v>421530</v>
      </c>
      <c r="F289" s="505">
        <v>-1.9484555331020139E-2</v>
      </c>
      <c r="G289" s="488"/>
    </row>
    <row r="290" spans="2:7" x14ac:dyDescent="0.25">
      <c r="B290" s="491" t="s">
        <v>446</v>
      </c>
      <c r="C290" s="495">
        <v>42640</v>
      </c>
      <c r="D290" s="492">
        <v>18903</v>
      </c>
      <c r="E290" s="497">
        <v>1174035</v>
      </c>
      <c r="F290" s="505">
        <v>5.1978477057285245E-3</v>
      </c>
      <c r="G290" s="488"/>
    </row>
    <row r="291" spans="2:7" x14ac:dyDescent="0.25">
      <c r="B291" s="491" t="s">
        <v>446</v>
      </c>
      <c r="C291" s="495">
        <v>42641</v>
      </c>
      <c r="D291" s="492">
        <v>19047</v>
      </c>
      <c r="E291" s="497">
        <v>1231795</v>
      </c>
      <c r="F291" s="505">
        <v>7.588969228394477E-3</v>
      </c>
      <c r="G291" s="488"/>
    </row>
    <row r="292" spans="2:7" x14ac:dyDescent="0.25">
      <c r="B292" s="491" t="s">
        <v>446</v>
      </c>
      <c r="C292" s="495">
        <v>42642</v>
      </c>
      <c r="D292" s="492">
        <v>19370</v>
      </c>
      <c r="E292" s="497">
        <v>1074399</v>
      </c>
      <c r="F292" s="505">
        <v>1.6815868562482062E-2</v>
      </c>
      <c r="G292" s="488"/>
    </row>
    <row r="293" spans="2:7" x14ac:dyDescent="0.25">
      <c r="B293" s="491" t="s">
        <v>446</v>
      </c>
      <c r="C293" s="495">
        <v>42643</v>
      </c>
      <c r="D293" s="492">
        <v>19222</v>
      </c>
      <c r="E293" s="497">
        <v>651753</v>
      </c>
      <c r="F293" s="505">
        <v>-7.6700210178118709E-3</v>
      </c>
      <c r="G293" s="488"/>
    </row>
    <row r="294" spans="2:7" x14ac:dyDescent="0.25">
      <c r="B294" s="491" t="s">
        <v>446</v>
      </c>
      <c r="C294" s="495">
        <v>42646</v>
      </c>
      <c r="D294" s="492">
        <v>19200</v>
      </c>
      <c r="E294" s="497">
        <v>569226</v>
      </c>
      <c r="F294" s="505">
        <v>-1.1451773673567694E-3</v>
      </c>
      <c r="G294" s="488"/>
    </row>
    <row r="295" spans="2:7" x14ac:dyDescent="0.25">
      <c r="B295" s="491" t="s">
        <v>446</v>
      </c>
      <c r="C295" s="495">
        <v>42647</v>
      </c>
      <c r="D295" s="492">
        <v>19350</v>
      </c>
      <c r="E295" s="497">
        <v>499095</v>
      </c>
      <c r="F295" s="505">
        <v>7.782140442054949E-3</v>
      </c>
      <c r="G295" s="488"/>
    </row>
    <row r="296" spans="2:7" x14ac:dyDescent="0.25">
      <c r="B296" s="491" t="s">
        <v>446</v>
      </c>
      <c r="C296" s="495">
        <v>42648</v>
      </c>
      <c r="D296" s="492">
        <v>19386</v>
      </c>
      <c r="E296" s="497">
        <v>290212</v>
      </c>
      <c r="F296" s="505">
        <v>1.858736594625342E-3</v>
      </c>
      <c r="G296" s="488"/>
    </row>
    <row r="297" spans="2:7" x14ac:dyDescent="0.25">
      <c r="B297" s="491" t="s">
        <v>446</v>
      </c>
      <c r="C297" s="495">
        <v>42649</v>
      </c>
      <c r="D297" s="492">
        <v>19139</v>
      </c>
      <c r="E297" s="497">
        <v>626650</v>
      </c>
      <c r="F297" s="505">
        <v>-1.2823018014480086E-2</v>
      </c>
      <c r="G297" s="488"/>
    </row>
    <row r="298" spans="2:7" x14ac:dyDescent="0.25">
      <c r="B298" s="491" t="s">
        <v>446</v>
      </c>
      <c r="C298" s="495">
        <v>42650</v>
      </c>
      <c r="D298" s="492">
        <v>19200</v>
      </c>
      <c r="E298" s="497">
        <v>609589</v>
      </c>
      <c r="F298" s="505">
        <v>3.1821409777998359E-3</v>
      </c>
      <c r="G298" s="488"/>
    </row>
    <row r="299" spans="2:7" x14ac:dyDescent="0.25">
      <c r="B299" s="491" t="s">
        <v>446</v>
      </c>
      <c r="C299" s="495">
        <v>42653</v>
      </c>
      <c r="D299" s="492">
        <v>19202</v>
      </c>
      <c r="E299" s="497">
        <v>722567</v>
      </c>
      <c r="F299" s="505">
        <v>1.041612416960805E-4</v>
      </c>
      <c r="G299" s="488"/>
    </row>
    <row r="300" spans="2:7" x14ac:dyDescent="0.25">
      <c r="B300" s="491" t="s">
        <v>446</v>
      </c>
      <c r="C300" s="495">
        <v>42654</v>
      </c>
      <c r="D300" s="492">
        <v>19196</v>
      </c>
      <c r="E300" s="497">
        <v>951118</v>
      </c>
      <c r="F300" s="505">
        <v>-3.1251627943299154E-4</v>
      </c>
      <c r="G300" s="488"/>
    </row>
    <row r="301" spans="2:7" x14ac:dyDescent="0.25">
      <c r="B301" s="491" t="s">
        <v>446</v>
      </c>
      <c r="C301" s="495">
        <v>42655</v>
      </c>
      <c r="D301" s="492">
        <v>19100</v>
      </c>
      <c r="E301" s="497">
        <v>716897</v>
      </c>
      <c r="F301" s="505">
        <v>-5.0135889434148664E-3</v>
      </c>
      <c r="G301" s="488"/>
    </row>
    <row r="302" spans="2:7" x14ac:dyDescent="0.25">
      <c r="B302" s="491" t="s">
        <v>446</v>
      </c>
      <c r="C302" s="495">
        <v>42656</v>
      </c>
      <c r="D302" s="492">
        <v>18727</v>
      </c>
      <c r="E302" s="497">
        <v>787843</v>
      </c>
      <c r="F302" s="505">
        <v>-1.9722002274212856E-2</v>
      </c>
      <c r="G302" s="488"/>
    </row>
    <row r="303" spans="2:7" x14ac:dyDescent="0.25">
      <c r="B303" s="491" t="s">
        <v>446</v>
      </c>
      <c r="C303" s="495">
        <v>42657</v>
      </c>
      <c r="D303" s="492">
        <v>19135</v>
      </c>
      <c r="E303" s="497">
        <v>734731</v>
      </c>
      <c r="F303" s="505">
        <v>2.1552786099294251E-2</v>
      </c>
      <c r="G303" s="488"/>
    </row>
    <row r="304" spans="2:7" x14ac:dyDescent="0.25">
      <c r="B304" s="491" t="s">
        <v>446</v>
      </c>
      <c r="C304" s="495">
        <v>42660</v>
      </c>
      <c r="D304" s="492">
        <v>19287</v>
      </c>
      <c r="E304" s="497">
        <v>574439</v>
      </c>
      <c r="F304" s="505">
        <v>7.9121749499937166E-3</v>
      </c>
      <c r="G304" s="488"/>
    </row>
    <row r="305" spans="2:7" x14ac:dyDescent="0.25">
      <c r="B305" s="491" t="s">
        <v>446</v>
      </c>
      <c r="C305" s="495">
        <v>42661</v>
      </c>
      <c r="D305" s="492">
        <v>19152</v>
      </c>
      <c r="E305" s="497">
        <v>814874</v>
      </c>
      <c r="F305" s="505">
        <v>-7.0241450120420122E-3</v>
      </c>
      <c r="G305" s="488"/>
    </row>
    <row r="306" spans="2:7" x14ac:dyDescent="0.25">
      <c r="B306" s="491" t="s">
        <v>446</v>
      </c>
      <c r="C306" s="495">
        <v>42662</v>
      </c>
      <c r="D306" s="492">
        <v>19198</v>
      </c>
      <c r="E306" s="497">
        <v>426991</v>
      </c>
      <c r="F306" s="505">
        <v>2.3989581257277616E-3</v>
      </c>
      <c r="G306" s="488"/>
    </row>
    <row r="307" spans="2:7" x14ac:dyDescent="0.25">
      <c r="B307" s="491" t="s">
        <v>446</v>
      </c>
      <c r="C307" s="495">
        <v>42663</v>
      </c>
      <c r="D307" s="492">
        <v>19020</v>
      </c>
      <c r="E307" s="497">
        <v>366473</v>
      </c>
      <c r="F307" s="505">
        <v>-9.3150498241009756E-3</v>
      </c>
      <c r="G307" s="488"/>
    </row>
    <row r="308" spans="2:7" x14ac:dyDescent="0.25">
      <c r="B308" s="491" t="s">
        <v>446</v>
      </c>
      <c r="C308" s="495">
        <v>42664</v>
      </c>
      <c r="D308" s="492">
        <v>19185</v>
      </c>
      <c r="E308" s="497">
        <v>469906</v>
      </c>
      <c r="F308" s="505">
        <v>8.6376665816714042E-3</v>
      </c>
      <c r="G308" s="488"/>
    </row>
    <row r="309" spans="2:7" x14ac:dyDescent="0.25">
      <c r="B309" s="491" t="s">
        <v>446</v>
      </c>
      <c r="C309" s="495">
        <v>42667</v>
      </c>
      <c r="D309" s="492">
        <v>19286</v>
      </c>
      <c r="E309" s="497">
        <v>497640</v>
      </c>
      <c r="F309" s="505">
        <v>5.2507203892768594E-3</v>
      </c>
      <c r="G309" s="488"/>
    </row>
    <row r="310" spans="2:7" x14ac:dyDescent="0.25">
      <c r="B310" s="491" t="s">
        <v>446</v>
      </c>
      <c r="C310" s="495">
        <v>42668</v>
      </c>
      <c r="D310" s="492">
        <v>19272</v>
      </c>
      <c r="E310" s="497">
        <v>732640</v>
      </c>
      <c r="F310" s="505">
        <v>-7.2617877562246845E-4</v>
      </c>
      <c r="G310" s="488"/>
    </row>
    <row r="311" spans="2:7" x14ac:dyDescent="0.25">
      <c r="B311" s="491" t="s">
        <v>446</v>
      </c>
      <c r="C311" s="495">
        <v>42669</v>
      </c>
      <c r="D311" s="492">
        <v>19168</v>
      </c>
      <c r="E311" s="497">
        <v>450394</v>
      </c>
      <c r="F311" s="505">
        <v>-5.4110433795313811E-3</v>
      </c>
      <c r="G311" s="488"/>
    </row>
    <row r="312" spans="2:7" x14ac:dyDescent="0.25">
      <c r="B312" s="491" t="s">
        <v>446</v>
      </c>
      <c r="C312" s="495">
        <v>42670</v>
      </c>
      <c r="D312" s="492">
        <v>19094</v>
      </c>
      <c r="E312" s="497">
        <v>442270</v>
      </c>
      <c r="F312" s="505">
        <v>-3.8680723571973595E-3</v>
      </c>
      <c r="G312" s="488"/>
    </row>
    <row r="313" spans="2:7" x14ac:dyDescent="0.25">
      <c r="B313" s="491" t="s">
        <v>446</v>
      </c>
      <c r="C313" s="495">
        <v>42671</v>
      </c>
      <c r="D313" s="492">
        <v>18832</v>
      </c>
      <c r="E313" s="497">
        <v>428756</v>
      </c>
      <c r="F313" s="505">
        <v>-1.3816599057920508E-2</v>
      </c>
      <c r="G313" s="488"/>
    </row>
    <row r="314" spans="2:7" x14ac:dyDescent="0.25">
      <c r="B314" s="491" t="s">
        <v>446</v>
      </c>
      <c r="C314" s="495">
        <v>42674</v>
      </c>
      <c r="D314" s="492">
        <v>19100</v>
      </c>
      <c r="E314" s="497">
        <v>385416</v>
      </c>
      <c r="F314" s="505">
        <v>1.4130784534663186E-2</v>
      </c>
      <c r="G314" s="488"/>
    </row>
    <row r="315" spans="2:7" x14ac:dyDescent="0.25">
      <c r="B315" s="491" t="s">
        <v>446</v>
      </c>
      <c r="C315" s="495">
        <v>42675</v>
      </c>
      <c r="D315" s="492">
        <v>18965</v>
      </c>
      <c r="E315" s="497">
        <v>505024</v>
      </c>
      <c r="F315" s="505">
        <v>-7.0931599117219617E-3</v>
      </c>
      <c r="G315" s="488"/>
    </row>
    <row r="316" spans="2:7" x14ac:dyDescent="0.25">
      <c r="B316" s="491" t="s">
        <v>446</v>
      </c>
      <c r="C316" s="495">
        <v>42676</v>
      </c>
      <c r="D316" s="492">
        <v>18778</v>
      </c>
      <c r="E316" s="497">
        <v>666108</v>
      </c>
      <c r="F316" s="505">
        <v>-9.9092033045065538E-3</v>
      </c>
      <c r="G316" s="488"/>
    </row>
    <row r="317" spans="2:7" x14ac:dyDescent="0.25">
      <c r="B317" s="491" t="s">
        <v>446</v>
      </c>
      <c r="C317" s="495">
        <v>42677</v>
      </c>
      <c r="D317" s="492">
        <v>18600</v>
      </c>
      <c r="E317" s="497">
        <v>629533</v>
      </c>
      <c r="F317" s="505">
        <v>-9.5243911172000987E-3</v>
      </c>
      <c r="G317" s="488"/>
    </row>
    <row r="318" spans="2:7" x14ac:dyDescent="0.25">
      <c r="B318" s="491" t="s">
        <v>446</v>
      </c>
      <c r="C318" s="495">
        <v>42678</v>
      </c>
      <c r="D318" s="492">
        <v>18350</v>
      </c>
      <c r="E318" s="497">
        <v>545521</v>
      </c>
      <c r="F318" s="505">
        <v>-1.3532006218576273E-2</v>
      </c>
      <c r="G318" s="488"/>
    </row>
    <row r="319" spans="2:7" x14ac:dyDescent="0.25">
      <c r="B319" s="491" t="s">
        <v>446</v>
      </c>
      <c r="C319" s="495">
        <v>42681</v>
      </c>
      <c r="D319" s="492">
        <v>18701</v>
      </c>
      <c r="E319" s="497">
        <v>1147571</v>
      </c>
      <c r="F319" s="505">
        <v>1.8947423866003659E-2</v>
      </c>
      <c r="G319" s="488"/>
    </row>
    <row r="320" spans="2:7" x14ac:dyDescent="0.25">
      <c r="B320" s="491" t="s">
        <v>446</v>
      </c>
      <c r="C320" s="495">
        <v>42682</v>
      </c>
      <c r="D320" s="492">
        <v>18898</v>
      </c>
      <c r="E320" s="497">
        <v>637296</v>
      </c>
      <c r="F320" s="505">
        <v>1.0479097993851272E-2</v>
      </c>
      <c r="G320" s="488"/>
    </row>
    <row r="321" spans="2:7" x14ac:dyDescent="0.25">
      <c r="B321" s="491" t="s">
        <v>446</v>
      </c>
      <c r="C321" s="495">
        <v>42683</v>
      </c>
      <c r="D321" s="492">
        <v>18500</v>
      </c>
      <c r="E321" s="497">
        <v>587808</v>
      </c>
      <c r="F321" s="505">
        <v>-2.1285364276155058E-2</v>
      </c>
      <c r="G321" s="488"/>
    </row>
    <row r="322" spans="2:7" x14ac:dyDescent="0.25">
      <c r="B322" s="491" t="s">
        <v>446</v>
      </c>
      <c r="C322" s="495">
        <v>42684</v>
      </c>
      <c r="D322" s="492">
        <v>17991</v>
      </c>
      <c r="E322" s="497">
        <v>611867</v>
      </c>
      <c r="F322" s="505">
        <v>-2.7899099229796727E-2</v>
      </c>
      <c r="G322" s="488"/>
    </row>
    <row r="323" spans="2:7" x14ac:dyDescent="0.25">
      <c r="B323" s="491" t="s">
        <v>446</v>
      </c>
      <c r="C323" s="495">
        <v>42685</v>
      </c>
      <c r="D323" s="492">
        <v>17287</v>
      </c>
      <c r="E323" s="497">
        <v>1631269</v>
      </c>
      <c r="F323" s="505">
        <v>-3.9916858913832676E-2</v>
      </c>
      <c r="G323" s="488"/>
    </row>
    <row r="324" spans="2:7" x14ac:dyDescent="0.25">
      <c r="B324" s="491" t="s">
        <v>446</v>
      </c>
      <c r="C324" s="495">
        <v>42688</v>
      </c>
      <c r="D324" s="492">
        <v>17100</v>
      </c>
      <c r="E324" s="497">
        <v>1300508</v>
      </c>
      <c r="F324" s="505">
        <v>-1.0876310432035527E-2</v>
      </c>
      <c r="G324" s="488"/>
    </row>
    <row r="325" spans="2:7" x14ac:dyDescent="0.25">
      <c r="B325" s="491" t="s">
        <v>446</v>
      </c>
      <c r="C325" s="495">
        <v>42689</v>
      </c>
      <c r="D325" s="492">
        <v>17510</v>
      </c>
      <c r="E325" s="497">
        <v>1508301</v>
      </c>
      <c r="F325" s="505">
        <v>2.3693682789146252E-2</v>
      </c>
      <c r="G325" s="488"/>
    </row>
    <row r="326" spans="2:7" x14ac:dyDescent="0.25">
      <c r="B326" s="491" t="s">
        <v>446</v>
      </c>
      <c r="C326" s="495">
        <v>42690</v>
      </c>
      <c r="D326" s="492">
        <v>18200</v>
      </c>
      <c r="E326" s="497">
        <v>1406267</v>
      </c>
      <c r="F326" s="505">
        <v>3.8649447784989202E-2</v>
      </c>
      <c r="G326" s="488"/>
    </row>
    <row r="327" spans="2:7" x14ac:dyDescent="0.25">
      <c r="B327" s="491" t="s">
        <v>446</v>
      </c>
      <c r="C327" s="495">
        <v>42691</v>
      </c>
      <c r="D327" s="492">
        <v>18140</v>
      </c>
      <c r="E327" s="497">
        <v>622961</v>
      </c>
      <c r="F327" s="505">
        <v>-3.3021493957591107E-3</v>
      </c>
      <c r="G327" s="488"/>
    </row>
    <row r="328" spans="2:7" x14ac:dyDescent="0.25">
      <c r="B328" s="491" t="s">
        <v>446</v>
      </c>
      <c r="C328" s="495">
        <v>42692</v>
      </c>
      <c r="D328" s="492">
        <v>18200</v>
      </c>
      <c r="E328" s="497">
        <v>655231</v>
      </c>
      <c r="F328" s="505">
        <v>3.3021493957590318E-3</v>
      </c>
      <c r="G328" s="488"/>
    </row>
    <row r="329" spans="2:7" x14ac:dyDescent="0.25">
      <c r="B329" s="491" t="s">
        <v>446</v>
      </c>
      <c r="C329" s="495">
        <v>42695</v>
      </c>
      <c r="D329" s="492">
        <v>18256</v>
      </c>
      <c r="E329" s="497">
        <v>717065</v>
      </c>
      <c r="F329" s="505">
        <v>3.0721990369700588E-3</v>
      </c>
      <c r="G329" s="488"/>
    </row>
    <row r="330" spans="2:7" x14ac:dyDescent="0.25">
      <c r="B330" s="491" t="s">
        <v>446</v>
      </c>
      <c r="C330" s="495">
        <v>42696</v>
      </c>
      <c r="D330" s="492">
        <v>18764</v>
      </c>
      <c r="E330" s="497">
        <v>755337</v>
      </c>
      <c r="F330" s="505">
        <v>2.7446347346491814E-2</v>
      </c>
      <c r="G330" s="488"/>
    </row>
    <row r="331" spans="2:7" x14ac:dyDescent="0.25">
      <c r="B331" s="491" t="s">
        <v>446</v>
      </c>
      <c r="C331" s="495">
        <v>42697</v>
      </c>
      <c r="D331" s="492">
        <v>18897</v>
      </c>
      <c r="E331" s="497">
        <v>1038386</v>
      </c>
      <c r="F331" s="505">
        <v>7.0630388416900785E-3</v>
      </c>
      <c r="G331" s="488"/>
    </row>
    <row r="332" spans="2:7" x14ac:dyDescent="0.25">
      <c r="B332" s="491" t="s">
        <v>446</v>
      </c>
      <c r="C332" s="495">
        <v>42698</v>
      </c>
      <c r="D332" s="492">
        <v>18683</v>
      </c>
      <c r="E332" s="497">
        <v>525379</v>
      </c>
      <c r="F332" s="505">
        <v>-1.1389159830201299E-2</v>
      </c>
      <c r="G332" s="488"/>
    </row>
    <row r="333" spans="2:7" x14ac:dyDescent="0.25">
      <c r="B333" s="491" t="s">
        <v>446</v>
      </c>
      <c r="C333" s="495">
        <v>42699</v>
      </c>
      <c r="D333" s="492">
        <v>18691</v>
      </c>
      <c r="E333" s="497">
        <v>531893</v>
      </c>
      <c r="F333" s="505">
        <v>4.2810510634029082E-4</v>
      </c>
      <c r="G333" s="488"/>
    </row>
    <row r="334" spans="2:7" x14ac:dyDescent="0.25">
      <c r="B334" s="491" t="s">
        <v>446</v>
      </c>
      <c r="C334" s="495">
        <v>42702</v>
      </c>
      <c r="D334" s="492">
        <v>19049</v>
      </c>
      <c r="E334" s="497">
        <v>3161109</v>
      </c>
      <c r="F334" s="505">
        <v>1.8972482172520209E-2</v>
      </c>
      <c r="G334" s="488"/>
    </row>
    <row r="335" spans="2:7" x14ac:dyDescent="0.25">
      <c r="B335" s="491" t="s">
        <v>446</v>
      </c>
      <c r="C335" s="495">
        <v>42703</v>
      </c>
      <c r="D335" s="492">
        <v>18972</v>
      </c>
      <c r="E335" s="497">
        <v>556724</v>
      </c>
      <c r="F335" s="505">
        <v>-4.0503987412256783E-3</v>
      </c>
      <c r="G335" s="488"/>
    </row>
    <row r="336" spans="2:7" x14ac:dyDescent="0.25">
      <c r="B336" s="491" t="s">
        <v>446</v>
      </c>
      <c r="C336" s="495">
        <v>42704</v>
      </c>
      <c r="D336" s="492">
        <v>18950</v>
      </c>
      <c r="E336" s="497">
        <v>1475076</v>
      </c>
      <c r="F336" s="505">
        <v>-1.160276486899903E-3</v>
      </c>
      <c r="G336" s="488"/>
    </row>
    <row r="337" spans="2:7" x14ac:dyDescent="0.25">
      <c r="B337" s="491" t="s">
        <v>446</v>
      </c>
      <c r="C337" s="495">
        <v>42705</v>
      </c>
      <c r="D337" s="492">
        <v>18976</v>
      </c>
      <c r="E337" s="497">
        <v>623538</v>
      </c>
      <c r="F337" s="505">
        <v>1.3710912868796436E-3</v>
      </c>
      <c r="G337" s="488"/>
    </row>
    <row r="338" spans="2:7" x14ac:dyDescent="0.25">
      <c r="B338" s="491" t="s">
        <v>446</v>
      </c>
      <c r="C338" s="495">
        <v>42706</v>
      </c>
      <c r="D338" s="492">
        <v>18420</v>
      </c>
      <c r="E338" s="497">
        <v>995162</v>
      </c>
      <c r="F338" s="505">
        <v>-2.9737991988154119E-2</v>
      </c>
      <c r="G338" s="488"/>
    </row>
    <row r="339" spans="2:7" x14ac:dyDescent="0.25">
      <c r="B339" s="491" t="s">
        <v>446</v>
      </c>
      <c r="C339" s="495">
        <v>42709</v>
      </c>
      <c r="D339" s="492">
        <v>18892</v>
      </c>
      <c r="E339" s="497">
        <v>925699</v>
      </c>
      <c r="F339" s="505">
        <v>2.5301521206709948E-2</v>
      </c>
      <c r="G339" s="488"/>
    </row>
    <row r="340" spans="2:7" x14ac:dyDescent="0.25">
      <c r="B340" s="491" t="s">
        <v>446</v>
      </c>
      <c r="C340" s="495">
        <v>42710</v>
      </c>
      <c r="D340" s="492">
        <v>18630</v>
      </c>
      <c r="E340" s="497">
        <v>1086380</v>
      </c>
      <c r="F340" s="505">
        <v>-1.3965367420373612E-2</v>
      </c>
      <c r="G340" s="488"/>
    </row>
    <row r="341" spans="2:7" x14ac:dyDescent="0.25">
      <c r="B341" s="491" t="s">
        <v>446</v>
      </c>
      <c r="C341" s="495">
        <v>42711</v>
      </c>
      <c r="D341" s="492">
        <v>18500</v>
      </c>
      <c r="E341" s="497">
        <v>519710</v>
      </c>
      <c r="F341" s="505">
        <v>-7.0024525292179847E-3</v>
      </c>
      <c r="G341" s="488"/>
    </row>
    <row r="342" spans="2:7" x14ac:dyDescent="0.25">
      <c r="B342" s="491" t="s">
        <v>446</v>
      </c>
      <c r="C342" s="495">
        <v>42712</v>
      </c>
      <c r="D342" s="492">
        <v>19100</v>
      </c>
      <c r="E342" s="497">
        <v>1061519</v>
      </c>
      <c r="F342" s="505">
        <v>3.1917602968304946E-2</v>
      </c>
      <c r="G342" s="488"/>
    </row>
    <row r="343" spans="2:7" x14ac:dyDescent="0.25">
      <c r="B343" s="491" t="s">
        <v>446</v>
      </c>
      <c r="C343" s="495">
        <v>42713</v>
      </c>
      <c r="D343" s="492">
        <v>19239</v>
      </c>
      <c r="E343" s="497">
        <v>819695</v>
      </c>
      <c r="F343" s="505">
        <v>7.2511337822514423E-3</v>
      </c>
      <c r="G343" s="488"/>
    </row>
    <row r="344" spans="2:7" x14ac:dyDescent="0.25">
      <c r="B344" s="491" t="s">
        <v>446</v>
      </c>
      <c r="C344" s="495">
        <v>42716</v>
      </c>
      <c r="D344" s="492">
        <v>19239</v>
      </c>
      <c r="E344" s="497">
        <v>687926</v>
      </c>
      <c r="F344" s="505">
        <v>0</v>
      </c>
      <c r="G344" s="488"/>
    </row>
    <row r="345" spans="2:7" x14ac:dyDescent="0.25">
      <c r="B345" s="491" t="s">
        <v>446</v>
      </c>
      <c r="C345" s="495">
        <v>42717</v>
      </c>
      <c r="D345" s="492">
        <v>19514</v>
      </c>
      <c r="E345" s="497">
        <v>1184426</v>
      </c>
      <c r="F345" s="505">
        <v>1.4192687850922647E-2</v>
      </c>
      <c r="G345" s="488"/>
    </row>
    <row r="346" spans="2:7" x14ac:dyDescent="0.25">
      <c r="B346" s="491" t="s">
        <v>446</v>
      </c>
      <c r="C346" s="495">
        <v>42718</v>
      </c>
      <c r="D346" s="492">
        <v>19300</v>
      </c>
      <c r="E346" s="497">
        <v>1100956</v>
      </c>
      <c r="F346" s="505">
        <v>-1.1027060774918386E-2</v>
      </c>
      <c r="G346" s="488"/>
    </row>
    <row r="347" spans="2:7" x14ac:dyDescent="0.25">
      <c r="B347" s="491" t="s">
        <v>446</v>
      </c>
      <c r="C347" s="495">
        <v>42719</v>
      </c>
      <c r="D347" s="492">
        <v>19150</v>
      </c>
      <c r="E347" s="497">
        <v>2173077</v>
      </c>
      <c r="F347" s="505">
        <v>-7.802380284184899E-3</v>
      </c>
      <c r="G347" s="488"/>
    </row>
    <row r="348" spans="2:7" x14ac:dyDescent="0.25">
      <c r="B348" s="491" t="s">
        <v>446</v>
      </c>
      <c r="C348" s="495">
        <v>42723</v>
      </c>
      <c r="D348" s="492">
        <v>19500</v>
      </c>
      <c r="E348" s="497">
        <v>597597</v>
      </c>
      <c r="F348" s="505">
        <v>1.8111749943046103E-2</v>
      </c>
      <c r="G348" s="488"/>
    </row>
    <row r="349" spans="2:7" x14ac:dyDescent="0.25">
      <c r="B349" s="491" t="s">
        <v>446</v>
      </c>
      <c r="C349" s="495">
        <v>42724</v>
      </c>
      <c r="D349" s="492">
        <v>19706</v>
      </c>
      <c r="E349" s="497">
        <v>591176</v>
      </c>
      <c r="F349" s="505">
        <v>1.0508692330581696E-2</v>
      </c>
      <c r="G349" s="488"/>
    </row>
    <row r="350" spans="2:7" x14ac:dyDescent="0.25">
      <c r="B350" s="491" t="s">
        <v>446</v>
      </c>
      <c r="C350" s="495">
        <v>42725</v>
      </c>
      <c r="D350" s="492">
        <v>19576</v>
      </c>
      <c r="E350" s="497">
        <v>714261</v>
      </c>
      <c r="F350" s="505">
        <v>-6.6188317599123253E-3</v>
      </c>
      <c r="G350" s="488"/>
    </row>
    <row r="351" spans="2:7" x14ac:dyDescent="0.25">
      <c r="B351" s="491" t="s">
        <v>446</v>
      </c>
      <c r="C351" s="495">
        <v>42726</v>
      </c>
      <c r="D351" s="492">
        <v>19499</v>
      </c>
      <c r="E351" s="497">
        <v>398980</v>
      </c>
      <c r="F351" s="505">
        <v>-3.9411439369208007E-3</v>
      </c>
      <c r="G351" s="488"/>
    </row>
    <row r="352" spans="2:7" x14ac:dyDescent="0.25">
      <c r="B352" s="491" t="s">
        <v>446</v>
      </c>
      <c r="C352" s="495">
        <v>42727</v>
      </c>
      <c r="D352" s="492">
        <v>19184</v>
      </c>
      <c r="E352" s="497">
        <v>185531</v>
      </c>
      <c r="F352" s="505">
        <v>-1.628658391829127E-2</v>
      </c>
      <c r="G352" s="488"/>
    </row>
    <row r="353" spans="2:7" x14ac:dyDescent="0.25">
      <c r="B353" s="491" t="s">
        <v>446</v>
      </c>
      <c r="C353" s="495">
        <v>42732</v>
      </c>
      <c r="D353" s="492">
        <v>19800</v>
      </c>
      <c r="E353" s="497">
        <v>586612</v>
      </c>
      <c r="F353" s="505">
        <v>3.1605339415331044E-2</v>
      </c>
      <c r="G353" s="488"/>
    </row>
    <row r="354" spans="2:7" x14ac:dyDescent="0.25">
      <c r="B354" s="491" t="s">
        <v>446</v>
      </c>
      <c r="C354" s="495">
        <v>42733</v>
      </c>
      <c r="D354" s="492">
        <v>20019</v>
      </c>
      <c r="E354" s="497">
        <v>363404</v>
      </c>
      <c r="F354" s="505">
        <v>1.0999884889089569E-2</v>
      </c>
      <c r="G354" s="488"/>
    </row>
    <row r="355" spans="2:7" x14ac:dyDescent="0.25">
      <c r="B355" s="491" t="s">
        <v>446</v>
      </c>
      <c r="C355" s="495">
        <v>42734</v>
      </c>
      <c r="D355" s="492">
        <v>19858</v>
      </c>
      <c r="E355" s="497">
        <v>199862</v>
      </c>
      <c r="F355" s="505">
        <v>-8.0748739781767876E-3</v>
      </c>
      <c r="G355" s="488"/>
    </row>
    <row r="356" spans="2:7" x14ac:dyDescent="0.25">
      <c r="B356" s="491" t="s">
        <v>446</v>
      </c>
      <c r="C356" s="495">
        <v>42738</v>
      </c>
      <c r="D356" s="492">
        <v>19775</v>
      </c>
      <c r="E356" s="497">
        <v>478446</v>
      </c>
      <c r="F356" s="505">
        <v>-4.188434957684806E-3</v>
      </c>
      <c r="G356" s="488"/>
    </row>
    <row r="357" spans="2:7" x14ac:dyDescent="0.25">
      <c r="B357" s="491" t="s">
        <v>446</v>
      </c>
      <c r="C357" s="495">
        <v>42739</v>
      </c>
      <c r="D357" s="492">
        <v>19859</v>
      </c>
      <c r="E357" s="497">
        <v>492747</v>
      </c>
      <c r="F357" s="505">
        <v>4.238791228310064E-3</v>
      </c>
      <c r="G357" s="488"/>
    </row>
    <row r="358" spans="2:7" x14ac:dyDescent="0.25">
      <c r="B358" s="491" t="s">
        <v>446</v>
      </c>
      <c r="C358" s="495">
        <v>42740</v>
      </c>
      <c r="D358" s="492">
        <v>19848</v>
      </c>
      <c r="E358" s="497">
        <v>496118</v>
      </c>
      <c r="F358" s="505">
        <v>-5.5405849252776126E-4</v>
      </c>
      <c r="G358" s="488"/>
    </row>
    <row r="359" spans="2:7" x14ac:dyDescent="0.25">
      <c r="B359" s="491" t="s">
        <v>446</v>
      </c>
      <c r="C359" s="495">
        <v>42741</v>
      </c>
      <c r="D359" s="492">
        <v>19601</v>
      </c>
      <c r="E359" s="497">
        <v>699085</v>
      </c>
      <c r="F359" s="505">
        <v>-1.2522661046361802E-2</v>
      </c>
      <c r="G359" s="488"/>
    </row>
    <row r="360" spans="2:7" x14ac:dyDescent="0.25">
      <c r="B360" s="491" t="s">
        <v>446</v>
      </c>
      <c r="C360" s="495">
        <v>42744</v>
      </c>
      <c r="D360" s="492">
        <v>19685</v>
      </c>
      <c r="E360" s="497">
        <v>464250</v>
      </c>
      <c r="F360" s="505">
        <v>4.2763390525627767E-3</v>
      </c>
      <c r="G360" s="488"/>
    </row>
    <row r="361" spans="2:7" x14ac:dyDescent="0.25">
      <c r="B361" s="491" t="s">
        <v>446</v>
      </c>
      <c r="C361" s="495">
        <v>42745</v>
      </c>
      <c r="D361" s="492">
        <v>19612</v>
      </c>
      <c r="E361" s="497">
        <v>354041</v>
      </c>
      <c r="F361" s="505">
        <v>-3.7153006067140752E-3</v>
      </c>
      <c r="G361" s="488"/>
    </row>
    <row r="362" spans="2:7" x14ac:dyDescent="0.25">
      <c r="B362" s="491" t="s">
        <v>446</v>
      </c>
      <c r="C362" s="495">
        <v>42746</v>
      </c>
      <c r="D362" s="492">
        <v>19501</v>
      </c>
      <c r="E362" s="497">
        <v>826777</v>
      </c>
      <c r="F362" s="505">
        <v>-5.6758774828831347E-3</v>
      </c>
      <c r="G362" s="488"/>
    </row>
    <row r="363" spans="2:7" x14ac:dyDescent="0.25">
      <c r="B363" s="491" t="s">
        <v>446</v>
      </c>
      <c r="C363" s="495">
        <v>42747</v>
      </c>
      <c r="D363" s="492">
        <v>19401</v>
      </c>
      <c r="E363" s="497">
        <v>1332468</v>
      </c>
      <c r="F363" s="505">
        <v>-5.1411351735382825E-3</v>
      </c>
      <c r="G363" s="488"/>
    </row>
    <row r="364" spans="2:7" x14ac:dyDescent="0.25">
      <c r="B364" s="491" t="s">
        <v>446</v>
      </c>
      <c r="C364" s="495">
        <v>42748</v>
      </c>
      <c r="D364" s="492">
        <v>19329</v>
      </c>
      <c r="E364" s="497">
        <v>799046</v>
      </c>
      <c r="F364" s="505">
        <v>-3.718052307950376E-3</v>
      </c>
      <c r="G364" s="488"/>
    </row>
    <row r="365" spans="2:7" x14ac:dyDescent="0.25">
      <c r="B365" s="491" t="s">
        <v>446</v>
      </c>
      <c r="C365" s="495">
        <v>42751</v>
      </c>
      <c r="D365" s="492">
        <v>19700</v>
      </c>
      <c r="E365" s="497">
        <v>759768</v>
      </c>
      <c r="F365" s="505">
        <v>1.9012076919327745E-2</v>
      </c>
      <c r="G365" s="488"/>
    </row>
    <row r="366" spans="2:7" x14ac:dyDescent="0.25">
      <c r="B366" s="491" t="s">
        <v>446</v>
      </c>
      <c r="C366" s="495">
        <v>42752</v>
      </c>
      <c r="D366" s="492">
        <v>19544</v>
      </c>
      <c r="E366" s="497">
        <v>511050</v>
      </c>
      <c r="F366" s="505">
        <v>-7.9503017885034881E-3</v>
      </c>
      <c r="G366" s="488"/>
    </row>
    <row r="367" spans="2:7" x14ac:dyDescent="0.25">
      <c r="B367" s="491" t="s">
        <v>446</v>
      </c>
      <c r="C367" s="495">
        <v>42753</v>
      </c>
      <c r="D367" s="492">
        <v>19600</v>
      </c>
      <c r="E367" s="497">
        <v>438802</v>
      </c>
      <c r="F367" s="505">
        <v>2.8612322810321949E-3</v>
      </c>
      <c r="G367" s="488"/>
    </row>
    <row r="368" spans="2:7" x14ac:dyDescent="0.25">
      <c r="B368" s="491" t="s">
        <v>446</v>
      </c>
      <c r="C368" s="495">
        <v>42754</v>
      </c>
      <c r="D368" s="492">
        <v>19746</v>
      </c>
      <c r="E368" s="497">
        <v>515165</v>
      </c>
      <c r="F368" s="505">
        <v>7.4213729527862647E-3</v>
      </c>
      <c r="G368" s="488"/>
    </row>
    <row r="369" spans="2:7" x14ac:dyDescent="0.25">
      <c r="B369" s="491" t="s">
        <v>446</v>
      </c>
      <c r="C369" s="495">
        <v>42755</v>
      </c>
      <c r="D369" s="492">
        <v>19575</v>
      </c>
      <c r="E369" s="497">
        <v>329663</v>
      </c>
      <c r="F369" s="505">
        <v>-8.6976973123910426E-3</v>
      </c>
      <c r="G369" s="488"/>
    </row>
    <row r="370" spans="2:7" x14ac:dyDescent="0.25">
      <c r="B370" s="491" t="s">
        <v>446</v>
      </c>
      <c r="C370" s="495">
        <v>42758</v>
      </c>
      <c r="D370" s="492">
        <v>19561</v>
      </c>
      <c r="E370" s="497">
        <v>270308</v>
      </c>
      <c r="F370" s="505">
        <v>-7.1545383264444299E-4</v>
      </c>
      <c r="G370" s="488"/>
    </row>
    <row r="371" spans="2:7" x14ac:dyDescent="0.25">
      <c r="B371" s="491" t="s">
        <v>446</v>
      </c>
      <c r="C371" s="495">
        <v>42759</v>
      </c>
      <c r="D371" s="492">
        <v>19592</v>
      </c>
      <c r="E371" s="497">
        <v>623075</v>
      </c>
      <c r="F371" s="505">
        <v>1.5835316056442201E-3</v>
      </c>
      <c r="G371" s="488"/>
    </row>
    <row r="372" spans="2:7" x14ac:dyDescent="0.25">
      <c r="B372" s="491" t="s">
        <v>446</v>
      </c>
      <c r="C372" s="495">
        <v>42760</v>
      </c>
      <c r="D372" s="492">
        <v>19751</v>
      </c>
      <c r="E372" s="497">
        <v>554092</v>
      </c>
      <c r="F372" s="505">
        <v>8.0828033268541231E-3</v>
      </c>
      <c r="G372" s="488"/>
    </row>
    <row r="373" spans="2:7" x14ac:dyDescent="0.25">
      <c r="B373" s="491" t="s">
        <v>446</v>
      </c>
      <c r="C373" s="495">
        <v>42761</v>
      </c>
      <c r="D373" s="492">
        <v>19590</v>
      </c>
      <c r="E373" s="497">
        <v>424263</v>
      </c>
      <c r="F373" s="505">
        <v>-8.1848910202712878E-3</v>
      </c>
      <c r="G373" s="488"/>
    </row>
    <row r="374" spans="2:7" x14ac:dyDescent="0.25">
      <c r="B374" s="491" t="s">
        <v>446</v>
      </c>
      <c r="C374" s="495">
        <v>42762</v>
      </c>
      <c r="D374" s="492">
        <v>19295</v>
      </c>
      <c r="E374" s="497">
        <v>606955</v>
      </c>
      <c r="F374" s="505">
        <v>-1.5173236966867289E-2</v>
      </c>
      <c r="G374" s="488"/>
    </row>
    <row r="375" spans="2:7" x14ac:dyDescent="0.25">
      <c r="B375" s="491" t="s">
        <v>446</v>
      </c>
      <c r="C375" s="495">
        <v>42765</v>
      </c>
      <c r="D375" s="492">
        <v>19029</v>
      </c>
      <c r="E375" s="497">
        <v>747659</v>
      </c>
      <c r="F375" s="505">
        <v>-1.3881863669712342E-2</v>
      </c>
      <c r="G375" s="488"/>
    </row>
    <row r="376" spans="2:7" x14ac:dyDescent="0.25">
      <c r="B376" s="491" t="s">
        <v>446</v>
      </c>
      <c r="C376" s="495">
        <v>42766</v>
      </c>
      <c r="D376" s="492">
        <v>19050</v>
      </c>
      <c r="E376" s="497">
        <v>376620</v>
      </c>
      <c r="F376" s="505">
        <v>1.1029702528401108E-3</v>
      </c>
      <c r="G376" s="488"/>
    </row>
    <row r="377" spans="2:7" x14ac:dyDescent="0.25">
      <c r="B377" s="491" t="s">
        <v>446</v>
      </c>
      <c r="C377" s="495">
        <v>42767</v>
      </c>
      <c r="D377" s="492">
        <v>19138</v>
      </c>
      <c r="E377" s="497">
        <v>547564</v>
      </c>
      <c r="F377" s="505">
        <v>4.6087857843611852E-3</v>
      </c>
      <c r="G377" s="488"/>
    </row>
    <row r="378" spans="2:7" x14ac:dyDescent="0.25">
      <c r="B378" s="491" t="s">
        <v>446</v>
      </c>
      <c r="C378" s="495">
        <v>42768</v>
      </c>
      <c r="D378" s="492">
        <v>18463</v>
      </c>
      <c r="E378" s="497">
        <v>1713360</v>
      </c>
      <c r="F378" s="505">
        <v>-3.5907157943465065E-2</v>
      </c>
      <c r="G378" s="488"/>
    </row>
    <row r="379" spans="2:7" x14ac:dyDescent="0.25">
      <c r="B379" s="491" t="s">
        <v>446</v>
      </c>
      <c r="C379" s="495">
        <v>42769</v>
      </c>
      <c r="D379" s="492">
        <v>18551</v>
      </c>
      <c r="E379" s="497">
        <v>831426</v>
      </c>
      <c r="F379" s="505">
        <v>4.7549665426300956E-3</v>
      </c>
      <c r="G379" s="488"/>
    </row>
    <row r="380" spans="2:7" x14ac:dyDescent="0.25">
      <c r="B380" s="491" t="s">
        <v>446</v>
      </c>
      <c r="C380" s="495">
        <v>42772</v>
      </c>
      <c r="D380" s="492">
        <v>18355</v>
      </c>
      <c r="E380" s="497">
        <v>1222617</v>
      </c>
      <c r="F380" s="505">
        <v>-1.0621679007438475E-2</v>
      </c>
      <c r="G380" s="488"/>
    </row>
    <row r="381" spans="2:7" x14ac:dyDescent="0.25">
      <c r="B381" s="491" t="s">
        <v>446</v>
      </c>
      <c r="C381" s="495">
        <v>42773</v>
      </c>
      <c r="D381" s="492">
        <v>17400</v>
      </c>
      <c r="E381" s="497">
        <v>1386113</v>
      </c>
      <c r="F381" s="505">
        <v>-5.3431810728314322E-2</v>
      </c>
      <c r="G381" s="488"/>
    </row>
    <row r="382" spans="2:7" x14ac:dyDescent="0.25">
      <c r="B382" s="491" t="s">
        <v>446</v>
      </c>
      <c r="C382" s="495">
        <v>42774</v>
      </c>
      <c r="D382" s="492">
        <v>17780</v>
      </c>
      <c r="E382" s="497">
        <v>3270504</v>
      </c>
      <c r="F382" s="505">
        <v>2.1604023865275181E-2</v>
      </c>
      <c r="G382" s="488"/>
    </row>
    <row r="383" spans="2:7" x14ac:dyDescent="0.25">
      <c r="B383" s="491" t="s">
        <v>446</v>
      </c>
      <c r="C383" s="495">
        <v>42775</v>
      </c>
      <c r="D383" s="492">
        <v>17586</v>
      </c>
      <c r="E383" s="497">
        <v>798747</v>
      </c>
      <c r="F383" s="505">
        <v>-1.097109912894819E-2</v>
      </c>
      <c r="G383" s="488"/>
    </row>
    <row r="384" spans="2:7" x14ac:dyDescent="0.25">
      <c r="B384" s="491" t="s">
        <v>446</v>
      </c>
      <c r="C384" s="495">
        <v>42776</v>
      </c>
      <c r="D384" s="492">
        <v>17593</v>
      </c>
      <c r="E384" s="497">
        <v>1096436</v>
      </c>
      <c r="F384" s="505">
        <v>3.9796470009860062E-4</v>
      </c>
      <c r="G384" s="488"/>
    </row>
    <row r="385" spans="2:7" x14ac:dyDescent="0.25">
      <c r="B385" s="491" t="s">
        <v>446</v>
      </c>
      <c r="C385" s="495">
        <v>42779</v>
      </c>
      <c r="D385" s="492">
        <v>17947</v>
      </c>
      <c r="E385" s="497">
        <v>353946</v>
      </c>
      <c r="F385" s="505">
        <v>1.992187439023043E-2</v>
      </c>
      <c r="G385" s="488"/>
    </row>
    <row r="386" spans="2:7" x14ac:dyDescent="0.25">
      <c r="B386" s="491" t="s">
        <v>446</v>
      </c>
      <c r="C386" s="495">
        <v>42780</v>
      </c>
      <c r="D386" s="492">
        <v>17595</v>
      </c>
      <c r="E386" s="497">
        <v>1222781</v>
      </c>
      <c r="F386" s="505">
        <v>-1.9808199273590905E-2</v>
      </c>
      <c r="G386" s="488"/>
    </row>
    <row r="387" spans="2:7" x14ac:dyDescent="0.25">
      <c r="B387" s="491" t="s">
        <v>446</v>
      </c>
      <c r="C387" s="495">
        <v>42781</v>
      </c>
      <c r="D387" s="492">
        <v>17844</v>
      </c>
      <c r="E387" s="497">
        <v>828867</v>
      </c>
      <c r="F387" s="505">
        <v>1.4052546492469797E-2</v>
      </c>
      <c r="G387" s="488"/>
    </row>
    <row r="388" spans="2:7" x14ac:dyDescent="0.25">
      <c r="B388" s="491" t="s">
        <v>446</v>
      </c>
      <c r="C388" s="495">
        <v>42782</v>
      </c>
      <c r="D388" s="492">
        <v>18146</v>
      </c>
      <c r="E388" s="497">
        <v>790702</v>
      </c>
      <c r="F388" s="505">
        <v>1.6782833481418759E-2</v>
      </c>
      <c r="G388" s="488"/>
    </row>
    <row r="389" spans="2:7" x14ac:dyDescent="0.25">
      <c r="B389" s="491" t="s">
        <v>446</v>
      </c>
      <c r="C389" s="495">
        <v>42783</v>
      </c>
      <c r="D389" s="492">
        <v>18200</v>
      </c>
      <c r="E389" s="497">
        <v>702263</v>
      </c>
      <c r="F389" s="505">
        <v>2.9714433353125024E-3</v>
      </c>
      <c r="G389" s="488"/>
    </row>
    <row r="390" spans="2:7" x14ac:dyDescent="0.25">
      <c r="B390" s="491" t="s">
        <v>446</v>
      </c>
      <c r="C390" s="495">
        <v>42786</v>
      </c>
      <c r="D390" s="492">
        <v>18344</v>
      </c>
      <c r="E390" s="497">
        <v>556481</v>
      </c>
      <c r="F390" s="505">
        <v>7.8809514728537099E-3</v>
      </c>
      <c r="G390" s="488"/>
    </row>
    <row r="391" spans="2:7" x14ac:dyDescent="0.25">
      <c r="B391" s="491" t="s">
        <v>446</v>
      </c>
      <c r="C391" s="495">
        <v>42787</v>
      </c>
      <c r="D391" s="492">
        <v>18372</v>
      </c>
      <c r="E391" s="497">
        <v>759356</v>
      </c>
      <c r="F391" s="505">
        <v>1.5252209079436763E-3</v>
      </c>
      <c r="G391" s="488"/>
    </row>
    <row r="392" spans="2:7" x14ac:dyDescent="0.25">
      <c r="B392" s="491" t="s">
        <v>446</v>
      </c>
      <c r="C392" s="495">
        <v>42788</v>
      </c>
      <c r="D392" s="492">
        <v>18019</v>
      </c>
      <c r="E392" s="497">
        <v>685394</v>
      </c>
      <c r="F392" s="505">
        <v>-1.9401009718869867E-2</v>
      </c>
      <c r="G392" s="488"/>
    </row>
    <row r="393" spans="2:7" x14ac:dyDescent="0.25">
      <c r="B393" s="491" t="s">
        <v>446</v>
      </c>
      <c r="C393" s="495">
        <v>42789</v>
      </c>
      <c r="D393" s="492">
        <v>18373</v>
      </c>
      <c r="E393" s="497">
        <v>815803</v>
      </c>
      <c r="F393" s="505">
        <v>1.9455438892920611E-2</v>
      </c>
      <c r="G393" s="488"/>
    </row>
    <row r="394" spans="2:7" x14ac:dyDescent="0.25">
      <c r="B394" s="491" t="s">
        <v>446</v>
      </c>
      <c r="C394" s="495">
        <v>42790</v>
      </c>
      <c r="D394" s="492">
        <v>18250</v>
      </c>
      <c r="E394" s="497">
        <v>1086910</v>
      </c>
      <c r="F394" s="505">
        <v>-6.7171156090972562E-3</v>
      </c>
      <c r="G394" s="488"/>
    </row>
    <row r="395" spans="2:7" x14ac:dyDescent="0.25">
      <c r="B395" s="491" t="s">
        <v>446</v>
      </c>
      <c r="C395" s="495">
        <v>42793</v>
      </c>
      <c r="D395" s="492">
        <v>18400</v>
      </c>
      <c r="E395" s="497">
        <v>476266</v>
      </c>
      <c r="F395" s="505">
        <v>8.1855845864395021E-3</v>
      </c>
      <c r="G395" s="488"/>
    </row>
    <row r="396" spans="2:7" x14ac:dyDescent="0.25">
      <c r="B396" s="491" t="s">
        <v>446</v>
      </c>
      <c r="C396" s="495">
        <v>42794</v>
      </c>
      <c r="D396" s="492">
        <v>17850</v>
      </c>
      <c r="E396" s="497">
        <v>1223372</v>
      </c>
      <c r="F396" s="505">
        <v>-3.0347156389291818E-2</v>
      </c>
      <c r="G396" s="488"/>
    </row>
    <row r="397" spans="2:7" x14ac:dyDescent="0.25">
      <c r="B397" s="491" t="s">
        <v>446</v>
      </c>
      <c r="C397" s="495">
        <v>42795</v>
      </c>
      <c r="D397" s="492">
        <v>17975</v>
      </c>
      <c r="E397" s="497">
        <v>597397</v>
      </c>
      <c r="F397" s="505">
        <v>6.9783953814622776E-3</v>
      </c>
      <c r="G397" s="488"/>
    </row>
    <row r="398" spans="2:7" x14ac:dyDescent="0.25">
      <c r="B398" s="491" t="s">
        <v>446</v>
      </c>
      <c r="C398" s="495">
        <v>42796</v>
      </c>
      <c r="D398" s="492">
        <v>17900</v>
      </c>
      <c r="E398" s="497">
        <v>439694</v>
      </c>
      <c r="F398" s="505">
        <v>-4.1811907604010464E-3</v>
      </c>
      <c r="G398" s="488"/>
    </row>
    <row r="399" spans="2:7" x14ac:dyDescent="0.25">
      <c r="B399" s="491" t="s">
        <v>446</v>
      </c>
      <c r="C399" s="495">
        <v>42797</v>
      </c>
      <c r="D399" s="492">
        <v>17986</v>
      </c>
      <c r="E399" s="497">
        <v>492380</v>
      </c>
      <c r="F399" s="505">
        <v>4.7929646456143964E-3</v>
      </c>
      <c r="G399" s="488"/>
    </row>
    <row r="400" spans="2:7" x14ac:dyDescent="0.25">
      <c r="B400" s="491" t="s">
        <v>446</v>
      </c>
      <c r="C400" s="495">
        <v>42800</v>
      </c>
      <c r="D400" s="492">
        <v>18298</v>
      </c>
      <c r="E400" s="497">
        <v>470863</v>
      </c>
      <c r="F400" s="505">
        <v>1.7198086765019799E-2</v>
      </c>
      <c r="G400" s="488"/>
    </row>
    <row r="401" spans="2:7" x14ac:dyDescent="0.25">
      <c r="B401" s="491" t="s">
        <v>446</v>
      </c>
      <c r="C401" s="495">
        <v>42801</v>
      </c>
      <c r="D401" s="492">
        <v>17905</v>
      </c>
      <c r="E401" s="497">
        <v>441369</v>
      </c>
      <c r="F401" s="505">
        <v>-2.1711760806947512E-2</v>
      </c>
      <c r="G401" s="488"/>
    </row>
    <row r="402" spans="2:7" x14ac:dyDescent="0.25">
      <c r="B402" s="491" t="s">
        <v>446</v>
      </c>
      <c r="C402" s="495">
        <v>42802</v>
      </c>
      <c r="D402" s="492">
        <v>17905</v>
      </c>
      <c r="E402" s="497">
        <v>747829</v>
      </c>
      <c r="F402" s="505">
        <v>0</v>
      </c>
      <c r="G402" s="488"/>
    </row>
    <row r="403" spans="2:7" x14ac:dyDescent="0.25">
      <c r="B403" s="491" t="s">
        <v>446</v>
      </c>
      <c r="C403" s="495">
        <v>42803</v>
      </c>
      <c r="D403" s="492">
        <v>18113</v>
      </c>
      <c r="E403" s="497">
        <v>445207</v>
      </c>
      <c r="F403" s="505">
        <v>1.1549909060383484E-2</v>
      </c>
      <c r="G403" s="488"/>
    </row>
    <row r="404" spans="2:7" x14ac:dyDescent="0.25">
      <c r="B404" s="491" t="s">
        <v>446</v>
      </c>
      <c r="C404" s="495">
        <v>42804</v>
      </c>
      <c r="D404" s="492">
        <v>17951</v>
      </c>
      <c r="E404" s="497">
        <v>714569</v>
      </c>
      <c r="F404" s="505">
        <v>-8.9840888218464341E-3</v>
      </c>
      <c r="G404" s="488"/>
    </row>
    <row r="405" spans="2:7" x14ac:dyDescent="0.25">
      <c r="B405" s="491" t="s">
        <v>446</v>
      </c>
      <c r="C405" s="495">
        <v>42807</v>
      </c>
      <c r="D405" s="492">
        <v>18000</v>
      </c>
      <c r="E405" s="497">
        <v>471815</v>
      </c>
      <c r="F405" s="505">
        <v>2.7259342072315776E-3</v>
      </c>
      <c r="G405" s="488"/>
    </row>
    <row r="406" spans="2:7" x14ac:dyDescent="0.25">
      <c r="B406" s="491" t="s">
        <v>446</v>
      </c>
      <c r="C406" s="495">
        <v>42808</v>
      </c>
      <c r="D406" s="492">
        <v>18143</v>
      </c>
      <c r="E406" s="497">
        <v>580563</v>
      </c>
      <c r="F406" s="505">
        <v>7.913053491861494E-3</v>
      </c>
      <c r="G406" s="488"/>
    </row>
    <row r="407" spans="2:7" x14ac:dyDescent="0.25">
      <c r="B407" s="491" t="s">
        <v>446</v>
      </c>
      <c r="C407" s="495">
        <v>42809</v>
      </c>
      <c r="D407" s="492">
        <v>18110</v>
      </c>
      <c r="E407" s="497">
        <v>721096</v>
      </c>
      <c r="F407" s="505">
        <v>-1.8205394927041107E-3</v>
      </c>
      <c r="G407" s="488"/>
    </row>
    <row r="408" spans="2:7" x14ac:dyDescent="0.25">
      <c r="B408" s="491" t="s">
        <v>446</v>
      </c>
      <c r="C408" s="495">
        <v>42810</v>
      </c>
      <c r="D408" s="492">
        <v>18727</v>
      </c>
      <c r="E408" s="497">
        <v>2045465</v>
      </c>
      <c r="F408" s="505">
        <v>3.3502060883049273E-2</v>
      </c>
      <c r="G408" s="488"/>
    </row>
    <row r="409" spans="2:7" x14ac:dyDescent="0.25">
      <c r="B409" s="491" t="s">
        <v>446</v>
      </c>
      <c r="C409" s="495">
        <v>42811</v>
      </c>
      <c r="D409" s="492">
        <v>18661</v>
      </c>
      <c r="E409" s="497">
        <v>1138323</v>
      </c>
      <c r="F409" s="505">
        <v>-3.5305482270367823E-3</v>
      </c>
      <c r="G409" s="488"/>
    </row>
    <row r="410" spans="2:7" x14ac:dyDescent="0.25">
      <c r="B410" s="491" t="s">
        <v>446</v>
      </c>
      <c r="C410" s="495">
        <v>42814</v>
      </c>
      <c r="D410" s="492">
        <v>18443</v>
      </c>
      <c r="E410" s="497">
        <v>464638</v>
      </c>
      <c r="F410" s="505">
        <v>-1.1750889850665651E-2</v>
      </c>
      <c r="G410" s="488"/>
    </row>
    <row r="411" spans="2:7" x14ac:dyDescent="0.25">
      <c r="B411" s="491" t="s">
        <v>446</v>
      </c>
      <c r="C411" s="495">
        <v>42816</v>
      </c>
      <c r="D411" s="492">
        <v>18074</v>
      </c>
      <c r="E411" s="497">
        <v>891870</v>
      </c>
      <c r="F411" s="505">
        <v>-2.0210453220904798E-2</v>
      </c>
      <c r="G411" s="488"/>
    </row>
    <row r="412" spans="2:7" x14ac:dyDescent="0.25">
      <c r="B412" s="491" t="s">
        <v>446</v>
      </c>
      <c r="C412" s="495">
        <v>42817</v>
      </c>
      <c r="D412" s="492">
        <v>18087</v>
      </c>
      <c r="E412" s="497">
        <v>570347</v>
      </c>
      <c r="F412" s="505">
        <v>7.1900669561403556E-4</v>
      </c>
      <c r="G412" s="488"/>
    </row>
    <row r="413" spans="2:7" x14ac:dyDescent="0.25">
      <c r="B413" s="491" t="s">
        <v>446</v>
      </c>
      <c r="C413" s="495">
        <v>42818</v>
      </c>
      <c r="D413" s="492">
        <v>17890</v>
      </c>
      <c r="E413" s="497">
        <v>1033226</v>
      </c>
      <c r="F413" s="505">
        <v>-1.0951550654750409E-2</v>
      </c>
      <c r="G413" s="488"/>
    </row>
    <row r="414" spans="2:7" x14ac:dyDescent="0.25">
      <c r="B414" s="491" t="s">
        <v>446</v>
      </c>
      <c r="C414" s="495">
        <v>42821</v>
      </c>
      <c r="D414" s="492">
        <v>17850</v>
      </c>
      <c r="E414" s="497">
        <v>467098</v>
      </c>
      <c r="F414" s="505">
        <v>-2.2383892949796678E-3</v>
      </c>
      <c r="G414" s="488"/>
    </row>
    <row r="415" spans="2:7" x14ac:dyDescent="0.25">
      <c r="B415" s="491" t="s">
        <v>446</v>
      </c>
      <c r="C415" s="495">
        <v>42822</v>
      </c>
      <c r="D415" s="492">
        <v>17620</v>
      </c>
      <c r="E415" s="497">
        <v>825703</v>
      </c>
      <c r="F415" s="505">
        <v>-1.2968887717614588E-2</v>
      </c>
      <c r="G415" s="488"/>
    </row>
    <row r="416" spans="2:7" x14ac:dyDescent="0.25">
      <c r="B416" s="491" t="s">
        <v>446</v>
      </c>
      <c r="C416" s="495">
        <v>42823</v>
      </c>
      <c r="D416" s="492">
        <v>17840</v>
      </c>
      <c r="E416" s="497">
        <v>555722</v>
      </c>
      <c r="F416" s="505">
        <v>1.2408506643829951E-2</v>
      </c>
      <c r="G416" s="488"/>
    </row>
    <row r="417" spans="2:7" x14ac:dyDescent="0.25">
      <c r="B417" s="491" t="s">
        <v>446</v>
      </c>
      <c r="C417" s="495">
        <v>42824</v>
      </c>
      <c r="D417" s="492">
        <v>17739</v>
      </c>
      <c r="E417" s="497">
        <v>489065</v>
      </c>
      <c r="F417" s="505">
        <v>-5.6775216450607371E-3</v>
      </c>
      <c r="G417" s="488"/>
    </row>
    <row r="418" spans="2:7" x14ac:dyDescent="0.25">
      <c r="B418" s="491" t="s">
        <v>446</v>
      </c>
      <c r="C418" s="495">
        <v>42825</v>
      </c>
      <c r="D418" s="492">
        <v>17426</v>
      </c>
      <c r="E418" s="497">
        <v>1246964</v>
      </c>
      <c r="F418" s="505">
        <v>-1.7802261697707433E-2</v>
      </c>
      <c r="G418" s="488"/>
    </row>
    <row r="419" spans="2:7" x14ac:dyDescent="0.25">
      <c r="B419" s="491" t="s">
        <v>446</v>
      </c>
      <c r="C419" s="495">
        <v>42828</v>
      </c>
      <c r="D419" s="492">
        <v>17630</v>
      </c>
      <c r="E419" s="497">
        <v>871463</v>
      </c>
      <c r="F419" s="505">
        <v>1.1638652600683832E-2</v>
      </c>
      <c r="G419" s="488"/>
    </row>
    <row r="420" spans="2:7" x14ac:dyDescent="0.25">
      <c r="B420" s="491" t="s">
        <v>446</v>
      </c>
      <c r="C420" s="495">
        <v>42829</v>
      </c>
      <c r="D420" s="492">
        <v>17455</v>
      </c>
      <c r="E420" s="497">
        <v>784618</v>
      </c>
      <c r="F420" s="505">
        <v>-9.9758558527795541E-3</v>
      </c>
      <c r="G420" s="488"/>
    </row>
    <row r="421" spans="2:7" x14ac:dyDescent="0.25">
      <c r="B421" s="491" t="s">
        <v>446</v>
      </c>
      <c r="C421" s="495">
        <v>42830</v>
      </c>
      <c r="D421" s="492">
        <v>17221</v>
      </c>
      <c r="E421" s="497">
        <v>1220572</v>
      </c>
      <c r="F421" s="505">
        <v>-1.3496571234236997E-2</v>
      </c>
      <c r="G421" s="488"/>
    </row>
    <row r="422" spans="2:7" x14ac:dyDescent="0.25">
      <c r="B422" s="491" t="s">
        <v>446</v>
      </c>
      <c r="C422" s="495">
        <v>42831</v>
      </c>
      <c r="D422" s="492">
        <v>17100</v>
      </c>
      <c r="E422" s="497">
        <v>475905</v>
      </c>
      <c r="F422" s="505">
        <v>-7.0511058141482516E-3</v>
      </c>
      <c r="G422" s="488"/>
    </row>
    <row r="423" spans="2:7" x14ac:dyDescent="0.25">
      <c r="B423" s="491" t="s">
        <v>446</v>
      </c>
      <c r="C423" s="495">
        <v>42832</v>
      </c>
      <c r="D423" s="492">
        <v>17260</v>
      </c>
      <c r="E423" s="497">
        <v>728598</v>
      </c>
      <c r="F423" s="505">
        <v>9.3132221466676827E-3</v>
      </c>
      <c r="G423" s="488"/>
    </row>
    <row r="424" spans="2:7" x14ac:dyDescent="0.25">
      <c r="B424" s="491" t="s">
        <v>446</v>
      </c>
      <c r="C424" s="495">
        <v>42835</v>
      </c>
      <c r="D424" s="492">
        <v>17003</v>
      </c>
      <c r="E424" s="497">
        <v>629507</v>
      </c>
      <c r="F424" s="505">
        <v>-1.5001886579933128E-2</v>
      </c>
      <c r="G424" s="488"/>
    </row>
    <row r="425" spans="2:7" x14ac:dyDescent="0.25">
      <c r="B425" s="491" t="s">
        <v>446</v>
      </c>
      <c r="C425" s="495">
        <v>42836</v>
      </c>
      <c r="D425" s="492">
        <v>17165</v>
      </c>
      <c r="E425" s="497">
        <v>340362</v>
      </c>
      <c r="F425" s="505">
        <v>9.4826278343065375E-3</v>
      </c>
      <c r="G425" s="488"/>
    </row>
    <row r="426" spans="2:7" x14ac:dyDescent="0.25">
      <c r="B426" s="491" t="s">
        <v>446</v>
      </c>
      <c r="C426" s="495">
        <v>42837</v>
      </c>
      <c r="D426" s="492">
        <v>17688</v>
      </c>
      <c r="E426" s="497">
        <v>519651</v>
      </c>
      <c r="F426" s="505">
        <v>3.0014016645489801E-2</v>
      </c>
      <c r="G426" s="488"/>
    </row>
    <row r="427" spans="2:7" x14ac:dyDescent="0.25">
      <c r="B427" s="491" t="s">
        <v>446</v>
      </c>
      <c r="C427" s="495">
        <v>42838</v>
      </c>
      <c r="D427" s="492">
        <v>18100</v>
      </c>
      <c r="E427" s="497">
        <v>1204981</v>
      </c>
      <c r="F427" s="505">
        <v>2.3025494716634842E-2</v>
      </c>
      <c r="G427" s="488"/>
    </row>
    <row r="428" spans="2:7" x14ac:dyDescent="0.25">
      <c r="B428" s="491" t="s">
        <v>446</v>
      </c>
      <c r="C428" s="495">
        <v>42843</v>
      </c>
      <c r="D428" s="492">
        <v>17900</v>
      </c>
      <c r="E428" s="497">
        <v>643139</v>
      </c>
      <c r="F428" s="505">
        <v>-1.1111225425070722E-2</v>
      </c>
      <c r="G428" s="488"/>
    </row>
    <row r="429" spans="2:7" x14ac:dyDescent="0.25">
      <c r="B429" s="491" t="s">
        <v>446</v>
      </c>
      <c r="C429" s="495">
        <v>42844</v>
      </c>
      <c r="D429" s="492">
        <v>17950</v>
      </c>
      <c r="E429" s="497">
        <v>760710</v>
      </c>
      <c r="F429" s="505">
        <v>2.7894020875785922E-3</v>
      </c>
      <c r="G429" s="488"/>
    </row>
    <row r="430" spans="2:7" x14ac:dyDescent="0.25">
      <c r="B430" s="491" t="s">
        <v>446</v>
      </c>
      <c r="C430" s="495">
        <v>42845</v>
      </c>
      <c r="D430" s="492">
        <v>17850</v>
      </c>
      <c r="E430" s="497">
        <v>430995</v>
      </c>
      <c r="F430" s="505">
        <v>-5.5866067086398231E-3</v>
      </c>
      <c r="G430" s="488"/>
    </row>
    <row r="431" spans="2:7" x14ac:dyDescent="0.25">
      <c r="B431" s="491" t="s">
        <v>446</v>
      </c>
      <c r="C431" s="495">
        <v>42846</v>
      </c>
      <c r="D431" s="492">
        <v>17772</v>
      </c>
      <c r="E431" s="497">
        <v>415607</v>
      </c>
      <c r="F431" s="505">
        <v>-4.3793231519860497E-3</v>
      </c>
      <c r="G431" s="488"/>
    </row>
    <row r="432" spans="2:7" x14ac:dyDescent="0.25">
      <c r="B432" s="491" t="s">
        <v>446</v>
      </c>
      <c r="C432" s="495">
        <v>42849</v>
      </c>
      <c r="D432" s="492">
        <v>18250</v>
      </c>
      <c r="E432" s="497">
        <v>682280</v>
      </c>
      <c r="F432" s="505">
        <v>2.6540894954838485E-2</v>
      </c>
      <c r="G432" s="488"/>
    </row>
    <row r="433" spans="2:7" x14ac:dyDescent="0.25">
      <c r="B433" s="491" t="s">
        <v>446</v>
      </c>
      <c r="C433" s="495">
        <v>42850</v>
      </c>
      <c r="D433" s="492">
        <v>17950</v>
      </c>
      <c r="E433" s="497">
        <v>789510</v>
      </c>
      <c r="F433" s="505">
        <v>-1.6574965094212676E-2</v>
      </c>
      <c r="G433" s="488"/>
    </row>
    <row r="434" spans="2:7" x14ac:dyDescent="0.25">
      <c r="B434" s="491" t="s">
        <v>446</v>
      </c>
      <c r="C434" s="495">
        <v>42851</v>
      </c>
      <c r="D434" s="492">
        <v>17970</v>
      </c>
      <c r="E434" s="497">
        <v>471972</v>
      </c>
      <c r="F434" s="505">
        <v>1.1135858611798202E-3</v>
      </c>
      <c r="G434" s="488"/>
    </row>
    <row r="435" spans="2:7" x14ac:dyDescent="0.25">
      <c r="B435" s="491" t="s">
        <v>446</v>
      </c>
      <c r="C435" s="495">
        <v>42853</v>
      </c>
      <c r="D435" s="492">
        <v>18018</v>
      </c>
      <c r="E435" s="497">
        <v>791637</v>
      </c>
      <c r="F435" s="505">
        <v>2.6675574337804982E-3</v>
      </c>
      <c r="G435" s="488"/>
    </row>
    <row r="436" spans="2:7" x14ac:dyDescent="0.25">
      <c r="B436" s="491" t="s">
        <v>446</v>
      </c>
      <c r="C436" s="495">
        <v>42857</v>
      </c>
      <c r="D436" s="492">
        <v>18275</v>
      </c>
      <c r="E436" s="497">
        <v>444885</v>
      </c>
      <c r="F436" s="505">
        <v>1.4162747406594066E-2</v>
      </c>
      <c r="G436" s="488"/>
    </row>
    <row r="437" spans="2:7" x14ac:dyDescent="0.25">
      <c r="B437" s="491" t="s">
        <v>446</v>
      </c>
      <c r="C437" s="495">
        <v>42858</v>
      </c>
      <c r="D437" s="492">
        <v>18144</v>
      </c>
      <c r="E437" s="497">
        <v>423502</v>
      </c>
      <c r="F437" s="505">
        <v>-7.1940780905006716E-3</v>
      </c>
      <c r="G437" s="488"/>
    </row>
    <row r="438" spans="2:7" x14ac:dyDescent="0.25">
      <c r="B438" s="491" t="s">
        <v>446</v>
      </c>
      <c r="C438" s="495">
        <v>42859</v>
      </c>
      <c r="D438" s="492">
        <v>18052</v>
      </c>
      <c r="E438" s="497">
        <v>537249</v>
      </c>
      <c r="F438" s="505">
        <v>-5.083445580586818E-3</v>
      </c>
      <c r="G438" s="488"/>
    </row>
    <row r="439" spans="2:7" x14ac:dyDescent="0.25">
      <c r="B439" s="491" t="s">
        <v>446</v>
      </c>
      <c r="C439" s="495">
        <v>42860</v>
      </c>
      <c r="D439" s="492">
        <v>18045</v>
      </c>
      <c r="E439" s="497">
        <v>339940</v>
      </c>
      <c r="F439" s="505">
        <v>-3.8784387000286025E-4</v>
      </c>
      <c r="G439" s="488"/>
    </row>
    <row r="440" spans="2:7" x14ac:dyDescent="0.25">
      <c r="B440" s="491" t="s">
        <v>446</v>
      </c>
      <c r="C440" s="495">
        <v>42863</v>
      </c>
      <c r="D440" s="492">
        <v>18201</v>
      </c>
      <c r="E440" s="497">
        <v>325635</v>
      </c>
      <c r="F440" s="505">
        <v>8.6078995335185544E-3</v>
      </c>
      <c r="G440" s="488"/>
    </row>
    <row r="441" spans="2:7" x14ac:dyDescent="0.25">
      <c r="B441" s="491" t="s">
        <v>446</v>
      </c>
      <c r="C441" s="495">
        <v>42864</v>
      </c>
      <c r="D441" s="492">
        <v>17920</v>
      </c>
      <c r="E441" s="497">
        <v>1264233</v>
      </c>
      <c r="F441" s="505">
        <v>-1.5559130081486119E-2</v>
      </c>
      <c r="G441" s="488"/>
    </row>
    <row r="442" spans="2:7" x14ac:dyDescent="0.25">
      <c r="B442" s="491" t="s">
        <v>446</v>
      </c>
      <c r="C442" s="495">
        <v>42865</v>
      </c>
      <c r="D442" s="492">
        <v>17803</v>
      </c>
      <c r="E442" s="497">
        <v>1848708</v>
      </c>
      <c r="F442" s="505">
        <v>-6.5504251240588425E-3</v>
      </c>
      <c r="G442" s="488"/>
    </row>
    <row r="443" spans="2:7" x14ac:dyDescent="0.25">
      <c r="B443" s="491" t="s">
        <v>446</v>
      </c>
      <c r="C443" s="495">
        <v>42866</v>
      </c>
      <c r="D443" s="492">
        <v>17850</v>
      </c>
      <c r="E443" s="497">
        <v>712306</v>
      </c>
      <c r="F443" s="505">
        <v>2.6365258029223773E-3</v>
      </c>
      <c r="G443" s="488"/>
    </row>
    <row r="444" spans="2:7" x14ac:dyDescent="0.25">
      <c r="B444" s="491" t="s">
        <v>446</v>
      </c>
      <c r="C444" s="495">
        <v>42867</v>
      </c>
      <c r="D444" s="492">
        <v>17877</v>
      </c>
      <c r="E444" s="497">
        <v>511374</v>
      </c>
      <c r="F444" s="505">
        <v>1.5114622073035407E-3</v>
      </c>
      <c r="G444" s="488"/>
    </row>
    <row r="445" spans="2:7" x14ac:dyDescent="0.25">
      <c r="B445" s="491" t="s">
        <v>446</v>
      </c>
      <c r="C445" s="495">
        <v>42870</v>
      </c>
      <c r="D445" s="492">
        <v>17750</v>
      </c>
      <c r="E445" s="497">
        <v>298799</v>
      </c>
      <c r="F445" s="505">
        <v>-7.129454511526751E-3</v>
      </c>
      <c r="G445" s="488"/>
    </row>
    <row r="446" spans="2:7" x14ac:dyDescent="0.25">
      <c r="B446" s="491" t="s">
        <v>446</v>
      </c>
      <c r="C446" s="495">
        <v>42871</v>
      </c>
      <c r="D446" s="492">
        <v>17692</v>
      </c>
      <c r="E446" s="497">
        <v>1210624</v>
      </c>
      <c r="F446" s="505">
        <v>-3.2729559153444544E-3</v>
      </c>
      <c r="G446" s="488"/>
    </row>
    <row r="447" spans="2:7" x14ac:dyDescent="0.25">
      <c r="B447" s="491" t="s">
        <v>446</v>
      </c>
      <c r="C447" s="495">
        <v>42872</v>
      </c>
      <c r="D447" s="492">
        <v>17565</v>
      </c>
      <c r="E447" s="497">
        <v>576507</v>
      </c>
      <c r="F447" s="505">
        <v>-7.2042742882900161E-3</v>
      </c>
      <c r="G447" s="488"/>
    </row>
    <row r="448" spans="2:7" x14ac:dyDescent="0.25">
      <c r="B448" s="491" t="s">
        <v>446</v>
      </c>
      <c r="C448" s="495">
        <v>42873</v>
      </c>
      <c r="D448" s="492">
        <v>17400</v>
      </c>
      <c r="E448" s="497">
        <v>1022660</v>
      </c>
      <c r="F448" s="505">
        <v>-9.4380794973070413E-3</v>
      </c>
      <c r="G448" s="488"/>
    </row>
    <row r="449" spans="2:7" x14ac:dyDescent="0.25">
      <c r="B449" s="491" t="s">
        <v>446</v>
      </c>
      <c r="C449" s="495">
        <v>42874</v>
      </c>
      <c r="D449" s="492">
        <v>17508</v>
      </c>
      <c r="E449" s="497">
        <v>874427</v>
      </c>
      <c r="F449" s="505">
        <v>6.1877131081655504E-3</v>
      </c>
      <c r="G449" s="488"/>
    </row>
    <row r="450" spans="2:7" x14ac:dyDescent="0.25">
      <c r="B450" s="491" t="s">
        <v>446</v>
      </c>
      <c r="C450" s="495">
        <v>42877</v>
      </c>
      <c r="D450" s="492">
        <v>17561</v>
      </c>
      <c r="E450" s="497">
        <v>757123</v>
      </c>
      <c r="F450" s="505">
        <v>3.0226148650685995E-3</v>
      </c>
      <c r="G450" s="488"/>
    </row>
    <row r="451" spans="2:7" x14ac:dyDescent="0.25">
      <c r="B451" s="491" t="s">
        <v>446</v>
      </c>
      <c r="C451" s="495">
        <v>42878</v>
      </c>
      <c r="D451" s="492">
        <v>17600</v>
      </c>
      <c r="E451" s="497">
        <v>601753</v>
      </c>
      <c r="F451" s="505">
        <v>2.2183678503885406E-3</v>
      </c>
      <c r="G451" s="488"/>
    </row>
    <row r="452" spans="2:7" x14ac:dyDescent="0.25">
      <c r="B452" s="491" t="s">
        <v>446</v>
      </c>
      <c r="C452" s="495">
        <v>42879</v>
      </c>
      <c r="D452" s="492">
        <v>17229</v>
      </c>
      <c r="E452" s="497">
        <v>1030166</v>
      </c>
      <c r="F452" s="505">
        <v>-2.1304891493836974E-2</v>
      </c>
      <c r="G452" s="488"/>
    </row>
    <row r="453" spans="2:7" x14ac:dyDescent="0.25">
      <c r="B453" s="491" t="s">
        <v>446</v>
      </c>
      <c r="C453" s="495">
        <v>42880</v>
      </c>
      <c r="D453" s="492">
        <v>17220</v>
      </c>
      <c r="E453" s="497">
        <v>2475151</v>
      </c>
      <c r="F453" s="505">
        <v>-5.225115506843766E-4</v>
      </c>
      <c r="G453" s="488"/>
    </row>
    <row r="454" spans="2:7" x14ac:dyDescent="0.25">
      <c r="B454" s="491" t="s">
        <v>446</v>
      </c>
      <c r="C454" s="495">
        <v>42881</v>
      </c>
      <c r="D454" s="492">
        <v>17400</v>
      </c>
      <c r="E454" s="497">
        <v>1154294</v>
      </c>
      <c r="F454" s="505">
        <v>1.0398707220898517E-2</v>
      </c>
      <c r="G454" s="488"/>
    </row>
    <row r="455" spans="2:7" x14ac:dyDescent="0.25">
      <c r="B455" s="491" t="s">
        <v>446</v>
      </c>
      <c r="C455" s="495">
        <v>42884</v>
      </c>
      <c r="D455" s="492">
        <v>17401</v>
      </c>
      <c r="E455" s="497">
        <v>252488</v>
      </c>
      <c r="F455" s="505">
        <v>5.746961295788363E-5</v>
      </c>
      <c r="G455" s="488"/>
    </row>
    <row r="456" spans="2:7" x14ac:dyDescent="0.25">
      <c r="B456" s="491" t="s">
        <v>446</v>
      </c>
      <c r="C456" s="495">
        <v>42885</v>
      </c>
      <c r="D456" s="492">
        <v>17578</v>
      </c>
      <c r="E456" s="497">
        <v>423554</v>
      </c>
      <c r="F456" s="505">
        <v>1.0120444309012256E-2</v>
      </c>
      <c r="G456" s="488"/>
    </row>
    <row r="457" spans="2:7" x14ac:dyDescent="0.25">
      <c r="B457" s="491" t="s">
        <v>446</v>
      </c>
      <c r="C457" s="495">
        <v>42886</v>
      </c>
      <c r="D457" s="492">
        <v>17092</v>
      </c>
      <c r="E457" s="497">
        <v>2931847</v>
      </c>
      <c r="F457" s="505">
        <v>-2.8037602360674943E-2</v>
      </c>
      <c r="G457" s="488"/>
    </row>
    <row r="458" spans="2:7" x14ac:dyDescent="0.25">
      <c r="B458" s="491" t="s">
        <v>446</v>
      </c>
      <c r="C458" s="495">
        <v>42887</v>
      </c>
      <c r="D458" s="492">
        <v>16025</v>
      </c>
      <c r="E458" s="497">
        <v>2507576</v>
      </c>
      <c r="F458" s="505">
        <v>-6.4460514975044736E-2</v>
      </c>
      <c r="G458" s="488"/>
    </row>
    <row r="459" spans="2:7" x14ac:dyDescent="0.25">
      <c r="B459" s="491" t="s">
        <v>446</v>
      </c>
      <c r="C459" s="495">
        <v>42888</v>
      </c>
      <c r="D459" s="492">
        <v>16077</v>
      </c>
      <c r="E459" s="497">
        <v>4692908</v>
      </c>
      <c r="F459" s="505">
        <v>3.2396763740892018E-3</v>
      </c>
      <c r="G459" s="488"/>
    </row>
    <row r="460" spans="2:7" x14ac:dyDescent="0.25">
      <c r="B460" s="491" t="s">
        <v>446</v>
      </c>
      <c r="C460" s="495">
        <v>42891</v>
      </c>
      <c r="D460" s="492">
        <v>15805</v>
      </c>
      <c r="E460" s="497">
        <v>1008954</v>
      </c>
      <c r="F460" s="505">
        <v>-1.7063333513241838E-2</v>
      </c>
      <c r="G460" s="488"/>
    </row>
    <row r="461" spans="2:7" x14ac:dyDescent="0.25">
      <c r="B461" s="491" t="s">
        <v>446</v>
      </c>
      <c r="C461" s="495">
        <v>42892</v>
      </c>
      <c r="D461" s="492">
        <v>15550</v>
      </c>
      <c r="E461" s="497">
        <v>2293218</v>
      </c>
      <c r="F461" s="505">
        <v>-1.6265707042337867E-2</v>
      </c>
      <c r="G461" s="488"/>
    </row>
    <row r="462" spans="2:7" x14ac:dyDescent="0.25">
      <c r="B462" s="491" t="s">
        <v>446</v>
      </c>
      <c r="C462" s="495">
        <v>42893</v>
      </c>
      <c r="D462" s="492">
        <v>15494</v>
      </c>
      <c r="E462" s="497">
        <v>4951895</v>
      </c>
      <c r="F462" s="505">
        <v>-3.6077864155323433E-3</v>
      </c>
      <c r="G462" s="488"/>
    </row>
    <row r="463" spans="2:7" x14ac:dyDescent="0.25">
      <c r="B463" s="491" t="s">
        <v>446</v>
      </c>
      <c r="C463" s="495">
        <v>42894</v>
      </c>
      <c r="D463" s="492">
        <v>15440</v>
      </c>
      <c r="E463" s="497">
        <v>1209480</v>
      </c>
      <c r="F463" s="505">
        <v>-3.49130761308065E-3</v>
      </c>
      <c r="G463" s="488"/>
    </row>
    <row r="464" spans="2:7" x14ac:dyDescent="0.25">
      <c r="B464" s="491" t="s">
        <v>446</v>
      </c>
      <c r="C464" s="495">
        <v>42895</v>
      </c>
      <c r="D464" s="492">
        <v>15515</v>
      </c>
      <c r="E464" s="497">
        <v>1160299</v>
      </c>
      <c r="F464" s="505">
        <v>4.8457533037134281E-3</v>
      </c>
      <c r="G464" s="488"/>
    </row>
    <row r="465" spans="2:7" x14ac:dyDescent="0.25">
      <c r="B465" s="491" t="s">
        <v>446</v>
      </c>
      <c r="C465" s="495">
        <v>42898</v>
      </c>
      <c r="D465" s="492">
        <v>15568</v>
      </c>
      <c r="E465" s="497">
        <v>1103405</v>
      </c>
      <c r="F465" s="505">
        <v>3.4102275433057277E-3</v>
      </c>
      <c r="G465" s="488"/>
    </row>
    <row r="466" spans="2:7" x14ac:dyDescent="0.25">
      <c r="B466" s="491" t="s">
        <v>446</v>
      </c>
      <c r="C466" s="495">
        <v>42899</v>
      </c>
      <c r="D466" s="492">
        <v>15600</v>
      </c>
      <c r="E466" s="497">
        <v>808996</v>
      </c>
      <c r="F466" s="505">
        <v>2.0533888118420066E-3</v>
      </c>
      <c r="G466" s="488"/>
    </row>
    <row r="467" spans="2:7" x14ac:dyDescent="0.25">
      <c r="B467" s="491" t="s">
        <v>446</v>
      </c>
      <c r="C467" s="495">
        <v>42900</v>
      </c>
      <c r="D467" s="492">
        <v>15565</v>
      </c>
      <c r="E467" s="497">
        <v>1576910</v>
      </c>
      <c r="F467" s="505">
        <v>-2.2461103619198629E-3</v>
      </c>
      <c r="G467" s="488"/>
    </row>
    <row r="468" spans="2:7" x14ac:dyDescent="0.25">
      <c r="B468" s="491" t="s">
        <v>446</v>
      </c>
      <c r="C468" s="495">
        <v>42901</v>
      </c>
      <c r="D468" s="492">
        <v>15250</v>
      </c>
      <c r="E468" s="497">
        <v>2512259</v>
      </c>
      <c r="F468" s="505">
        <v>-2.0445300840150834E-2</v>
      </c>
      <c r="G468" s="488"/>
    </row>
    <row r="469" spans="2:7" x14ac:dyDescent="0.25">
      <c r="B469" s="491" t="s">
        <v>446</v>
      </c>
      <c r="C469" s="495">
        <v>42905</v>
      </c>
      <c r="D469" s="492">
        <v>15250</v>
      </c>
      <c r="E469" s="497">
        <v>654496</v>
      </c>
      <c r="F469" s="505">
        <v>0</v>
      </c>
      <c r="G469" s="488"/>
    </row>
    <row r="470" spans="2:7" x14ac:dyDescent="0.25">
      <c r="B470" s="491" t="s">
        <v>446</v>
      </c>
      <c r="C470" s="495">
        <v>42906</v>
      </c>
      <c r="D470" s="492">
        <v>15288</v>
      </c>
      <c r="E470" s="497">
        <v>592354</v>
      </c>
      <c r="F470" s="505">
        <v>2.4887038845512353E-3</v>
      </c>
      <c r="G470" s="488"/>
    </row>
    <row r="471" spans="2:7" x14ac:dyDescent="0.25">
      <c r="B471" s="491" t="s">
        <v>446</v>
      </c>
      <c r="C471" s="495">
        <v>42907</v>
      </c>
      <c r="D471" s="492">
        <v>15227</v>
      </c>
      <c r="E471" s="497">
        <v>1612369</v>
      </c>
      <c r="F471" s="505">
        <v>-3.998039079376561E-3</v>
      </c>
      <c r="G471" s="488"/>
    </row>
    <row r="472" spans="2:7" x14ac:dyDescent="0.25">
      <c r="B472" s="491" t="s">
        <v>446</v>
      </c>
      <c r="C472" s="495">
        <v>42908</v>
      </c>
      <c r="D472" s="492">
        <v>15225</v>
      </c>
      <c r="E472" s="497">
        <v>973783</v>
      </c>
      <c r="F472" s="505">
        <v>-1.3135426263466337E-4</v>
      </c>
      <c r="G472" s="488"/>
    </row>
    <row r="473" spans="2:7" x14ac:dyDescent="0.25">
      <c r="B473" s="491" t="s">
        <v>446</v>
      </c>
      <c r="C473" s="495">
        <v>42909</v>
      </c>
      <c r="D473" s="492">
        <v>15352</v>
      </c>
      <c r="E473" s="497">
        <v>546110</v>
      </c>
      <c r="F473" s="505">
        <v>8.3069451094380867E-3</v>
      </c>
      <c r="G473" s="488"/>
    </row>
    <row r="474" spans="2:7" x14ac:dyDescent="0.25">
      <c r="B474" s="491" t="s">
        <v>446</v>
      </c>
      <c r="C474" s="495">
        <v>42912</v>
      </c>
      <c r="D474" s="492">
        <v>15399</v>
      </c>
      <c r="E474" s="497">
        <v>1184674</v>
      </c>
      <c r="F474" s="505">
        <v>3.0568135408770183E-3</v>
      </c>
      <c r="G474" s="488"/>
    </row>
    <row r="475" spans="2:7" x14ac:dyDescent="0.25">
      <c r="B475" s="491" t="s">
        <v>446</v>
      </c>
      <c r="C475" s="495">
        <v>42913</v>
      </c>
      <c r="D475" s="492">
        <v>15400</v>
      </c>
      <c r="E475" s="497">
        <v>568258</v>
      </c>
      <c r="F475" s="505">
        <v>6.4937173307659055E-5</v>
      </c>
      <c r="G475" s="488"/>
    </row>
    <row r="476" spans="2:7" x14ac:dyDescent="0.25">
      <c r="B476" s="491" t="s">
        <v>446</v>
      </c>
      <c r="C476" s="495">
        <v>42914</v>
      </c>
      <c r="D476" s="492">
        <v>15390</v>
      </c>
      <c r="E476" s="497">
        <v>988600</v>
      </c>
      <c r="F476" s="505">
        <v>-6.4956156879564502E-4</v>
      </c>
      <c r="G476" s="488"/>
    </row>
    <row r="477" spans="2:7" x14ac:dyDescent="0.25">
      <c r="B477" s="491" t="s">
        <v>446</v>
      </c>
      <c r="C477" s="495">
        <v>42915</v>
      </c>
      <c r="D477" s="492">
        <v>15384</v>
      </c>
      <c r="E477" s="497">
        <v>994661</v>
      </c>
      <c r="F477" s="505">
        <v>-3.8993956430923899E-4</v>
      </c>
      <c r="G477" s="488"/>
    </row>
    <row r="478" spans="2:7" x14ac:dyDescent="0.25">
      <c r="B478" s="491" t="s">
        <v>446</v>
      </c>
      <c r="C478" s="495">
        <v>42916</v>
      </c>
      <c r="D478" s="492">
        <v>15411</v>
      </c>
      <c r="E478" s="497">
        <v>432807</v>
      </c>
      <c r="F478" s="505">
        <v>1.7535318667619595E-3</v>
      </c>
      <c r="G478" s="488"/>
    </row>
    <row r="479" spans="2:7" x14ac:dyDescent="0.25">
      <c r="B479" s="491" t="s">
        <v>446</v>
      </c>
      <c r="C479" s="495">
        <v>42919</v>
      </c>
      <c r="D479" s="492">
        <v>15400</v>
      </c>
      <c r="E479" s="497">
        <v>718682</v>
      </c>
      <c r="F479" s="505">
        <v>-7.1403073365706277E-4</v>
      </c>
      <c r="G479" s="488"/>
    </row>
    <row r="480" spans="2:7" x14ac:dyDescent="0.25">
      <c r="B480" s="491" t="s">
        <v>446</v>
      </c>
      <c r="C480" s="495">
        <v>42920</v>
      </c>
      <c r="D480" s="492">
        <v>15563</v>
      </c>
      <c r="E480" s="497">
        <v>784946</v>
      </c>
      <c r="F480" s="505">
        <v>1.0528792803289366E-2</v>
      </c>
      <c r="G480" s="488"/>
    </row>
    <row r="481" spans="2:7" x14ac:dyDescent="0.25">
      <c r="B481" s="491" t="s">
        <v>446</v>
      </c>
      <c r="C481" s="495">
        <v>42921</v>
      </c>
      <c r="D481" s="492">
        <v>15414</v>
      </c>
      <c r="E481" s="497">
        <v>1228869</v>
      </c>
      <c r="F481" s="505">
        <v>-9.6201148670714276E-3</v>
      </c>
      <c r="G481" s="488"/>
    </row>
    <row r="482" spans="2:7" x14ac:dyDescent="0.25">
      <c r="B482" s="491" t="s">
        <v>446</v>
      </c>
      <c r="C482" s="495">
        <v>42922</v>
      </c>
      <c r="D482" s="492">
        <v>15475</v>
      </c>
      <c r="E482" s="497">
        <v>259042</v>
      </c>
      <c r="F482" s="505">
        <v>3.9496312148581975E-3</v>
      </c>
      <c r="G482" s="488"/>
    </row>
    <row r="483" spans="2:7" x14ac:dyDescent="0.25">
      <c r="B483" s="491" t="s">
        <v>446</v>
      </c>
      <c r="C483" s="495">
        <v>42923</v>
      </c>
      <c r="D483" s="492">
        <v>15515</v>
      </c>
      <c r="E483" s="497">
        <v>440052</v>
      </c>
      <c r="F483" s="505">
        <v>2.5814793296836925E-3</v>
      </c>
      <c r="G483" s="488"/>
    </row>
    <row r="484" spans="2:7" x14ac:dyDescent="0.25">
      <c r="B484" s="491" t="s">
        <v>446</v>
      </c>
      <c r="C484" s="495">
        <v>42926</v>
      </c>
      <c r="D484" s="492">
        <v>15401</v>
      </c>
      <c r="E484" s="497">
        <v>314208</v>
      </c>
      <c r="F484" s="505">
        <v>-7.3748555240150107E-3</v>
      </c>
      <c r="G484" s="488"/>
    </row>
    <row r="485" spans="2:7" x14ac:dyDescent="0.25">
      <c r="B485" s="491" t="s">
        <v>446</v>
      </c>
      <c r="C485" s="495">
        <v>42927</v>
      </c>
      <c r="D485" s="492">
        <v>15320</v>
      </c>
      <c r="E485" s="497">
        <v>481953</v>
      </c>
      <c r="F485" s="505">
        <v>-5.2732780638832331E-3</v>
      </c>
      <c r="G485" s="488"/>
    </row>
    <row r="486" spans="2:7" x14ac:dyDescent="0.25">
      <c r="B486" s="491" t="s">
        <v>446</v>
      </c>
      <c r="C486" s="495">
        <v>42928</v>
      </c>
      <c r="D486" s="492">
        <v>15409</v>
      </c>
      <c r="E486" s="497">
        <v>508388</v>
      </c>
      <c r="F486" s="505">
        <v>5.7925899872710868E-3</v>
      </c>
      <c r="G486" s="488"/>
    </row>
    <row r="487" spans="2:7" x14ac:dyDescent="0.25">
      <c r="B487" s="491" t="s">
        <v>446</v>
      </c>
      <c r="C487" s="495">
        <v>42929</v>
      </c>
      <c r="D487" s="492">
        <v>15599</v>
      </c>
      <c r="E487" s="497">
        <v>702522</v>
      </c>
      <c r="F487" s="505">
        <v>1.2255055337015354E-2</v>
      </c>
      <c r="G487" s="488"/>
    </row>
    <row r="488" spans="2:7" x14ac:dyDescent="0.25">
      <c r="B488" s="491" t="s">
        <v>446</v>
      </c>
      <c r="C488" s="495">
        <v>42930</v>
      </c>
      <c r="D488" s="492">
        <v>16070</v>
      </c>
      <c r="E488" s="497">
        <v>514321</v>
      </c>
      <c r="F488" s="505">
        <v>2.9747370112689488E-2</v>
      </c>
      <c r="G488" s="488"/>
    </row>
    <row r="489" spans="2:7" x14ac:dyDescent="0.25">
      <c r="B489" s="491" t="s">
        <v>446</v>
      </c>
      <c r="C489" s="495">
        <v>42933</v>
      </c>
      <c r="D489" s="492">
        <v>16032</v>
      </c>
      <c r="E489" s="497">
        <v>737206</v>
      </c>
      <c r="F489" s="505">
        <v>-2.3674548469669724E-3</v>
      </c>
      <c r="G489" s="488"/>
    </row>
    <row r="490" spans="2:7" x14ac:dyDescent="0.25">
      <c r="B490" s="491" t="s">
        <v>446</v>
      </c>
      <c r="C490" s="495">
        <v>42934</v>
      </c>
      <c r="D490" s="492">
        <v>16245</v>
      </c>
      <c r="E490" s="497">
        <v>782947</v>
      </c>
      <c r="F490" s="505">
        <v>1.3198444218609301E-2</v>
      </c>
      <c r="G490" s="488"/>
    </row>
    <row r="491" spans="2:7" x14ac:dyDescent="0.25">
      <c r="B491" s="491" t="s">
        <v>446</v>
      </c>
      <c r="C491" s="495">
        <v>42935</v>
      </c>
      <c r="D491" s="492">
        <v>16250</v>
      </c>
      <c r="E491" s="497">
        <v>894800</v>
      </c>
      <c r="F491" s="505">
        <v>3.0773965468286355E-4</v>
      </c>
      <c r="G491" s="488"/>
    </row>
    <row r="492" spans="2:7" x14ac:dyDescent="0.25">
      <c r="B492" s="491" t="s">
        <v>446</v>
      </c>
      <c r="C492" s="495">
        <v>42936</v>
      </c>
      <c r="D492" s="492">
        <v>16705</v>
      </c>
      <c r="E492" s="497">
        <v>715806</v>
      </c>
      <c r="F492" s="505">
        <v>2.7615167032973391E-2</v>
      </c>
      <c r="G492" s="488"/>
    </row>
    <row r="493" spans="2:7" x14ac:dyDescent="0.25">
      <c r="B493" s="491" t="s">
        <v>446</v>
      </c>
      <c r="C493" s="495">
        <v>42937</v>
      </c>
      <c r="D493" s="492">
        <v>16551</v>
      </c>
      <c r="E493" s="497">
        <v>456028</v>
      </c>
      <c r="F493" s="505">
        <v>-9.2615528503164016E-3</v>
      </c>
      <c r="G493" s="488"/>
    </row>
    <row r="494" spans="2:7" x14ac:dyDescent="0.25">
      <c r="B494" s="491" t="s">
        <v>446</v>
      </c>
      <c r="C494" s="495">
        <v>42940</v>
      </c>
      <c r="D494" s="492">
        <v>16391</v>
      </c>
      <c r="E494" s="497">
        <v>284410</v>
      </c>
      <c r="F494" s="505">
        <v>-9.7141192511803528E-3</v>
      </c>
      <c r="G494" s="488"/>
    </row>
    <row r="495" spans="2:7" x14ac:dyDescent="0.25">
      <c r="B495" s="491" t="s">
        <v>446</v>
      </c>
      <c r="C495" s="495">
        <v>42941</v>
      </c>
      <c r="D495" s="492">
        <v>16003</v>
      </c>
      <c r="E495" s="497">
        <v>510620</v>
      </c>
      <c r="F495" s="505">
        <v>-2.3956199043369882E-2</v>
      </c>
      <c r="G495" s="488"/>
    </row>
    <row r="496" spans="2:7" x14ac:dyDescent="0.25">
      <c r="B496" s="491" t="s">
        <v>446</v>
      </c>
      <c r="C496" s="495">
        <v>42942</v>
      </c>
      <c r="D496" s="492">
        <v>15994</v>
      </c>
      <c r="E496" s="497">
        <v>982942</v>
      </c>
      <c r="F496" s="505">
        <v>-5.6255275415503792E-4</v>
      </c>
      <c r="G496" s="488"/>
    </row>
    <row r="497" spans="2:7" x14ac:dyDescent="0.25">
      <c r="B497" s="491" t="s">
        <v>446</v>
      </c>
      <c r="C497" s="495">
        <v>42943</v>
      </c>
      <c r="D497" s="492">
        <v>16297</v>
      </c>
      <c r="E497" s="497">
        <v>966462</v>
      </c>
      <c r="F497" s="505">
        <v>1.8767389884153642E-2</v>
      </c>
      <c r="G497" s="488"/>
    </row>
    <row r="498" spans="2:7" x14ac:dyDescent="0.25">
      <c r="B498" s="491" t="s">
        <v>446</v>
      </c>
      <c r="C498" s="495">
        <v>42944</v>
      </c>
      <c r="D498" s="492">
        <v>16605</v>
      </c>
      <c r="E498" s="497">
        <v>351356</v>
      </c>
      <c r="F498" s="505">
        <v>1.8722813034858093E-2</v>
      </c>
      <c r="G498" s="488"/>
    </row>
    <row r="499" spans="2:7" x14ac:dyDescent="0.25">
      <c r="B499" s="491" t="s">
        <v>446</v>
      </c>
      <c r="C499" s="495">
        <v>42947</v>
      </c>
      <c r="D499" s="492">
        <v>16515</v>
      </c>
      <c r="E499" s="497">
        <v>780674</v>
      </c>
      <c r="F499" s="505">
        <v>-5.4347959859569446E-3</v>
      </c>
      <c r="G499" s="488"/>
    </row>
    <row r="500" spans="2:7" x14ac:dyDescent="0.25">
      <c r="B500" s="491" t="s">
        <v>446</v>
      </c>
      <c r="C500" s="495">
        <v>42948</v>
      </c>
      <c r="D500" s="492">
        <v>16500</v>
      </c>
      <c r="E500" s="497">
        <v>856714</v>
      </c>
      <c r="F500" s="505">
        <v>-9.0867793621806432E-4</v>
      </c>
      <c r="G500" s="488"/>
    </row>
    <row r="501" spans="2:7" x14ac:dyDescent="0.25">
      <c r="B501" s="491" t="s">
        <v>446</v>
      </c>
      <c r="C501" s="495">
        <v>42949</v>
      </c>
      <c r="D501" s="492">
        <v>16800</v>
      </c>
      <c r="E501" s="497">
        <v>602251</v>
      </c>
      <c r="F501" s="505">
        <v>1.8018505502678212E-2</v>
      </c>
      <c r="G501" s="488"/>
    </row>
    <row r="502" spans="2:7" x14ac:dyDescent="0.25">
      <c r="B502" s="491" t="s">
        <v>446</v>
      </c>
      <c r="C502" s="495">
        <v>42950</v>
      </c>
      <c r="D502" s="492">
        <v>16949</v>
      </c>
      <c r="E502" s="497">
        <v>470875</v>
      </c>
      <c r="F502" s="505">
        <v>8.8299486267041077E-3</v>
      </c>
      <c r="G502" s="488"/>
    </row>
    <row r="503" spans="2:7" x14ac:dyDescent="0.25">
      <c r="B503" s="491" t="s">
        <v>446</v>
      </c>
      <c r="C503" s="495">
        <v>42951</v>
      </c>
      <c r="D503" s="492">
        <v>16931</v>
      </c>
      <c r="E503" s="497">
        <v>413281</v>
      </c>
      <c r="F503" s="505">
        <v>-1.0625738898225757E-3</v>
      </c>
      <c r="G503" s="488"/>
    </row>
    <row r="504" spans="2:7" x14ac:dyDescent="0.25">
      <c r="B504" s="491" t="s">
        <v>446</v>
      </c>
      <c r="C504" s="495">
        <v>42954</v>
      </c>
      <c r="D504" s="492">
        <v>16800</v>
      </c>
      <c r="E504" s="497">
        <v>522783</v>
      </c>
      <c r="F504" s="505">
        <v>-7.7673747368815034E-3</v>
      </c>
      <c r="G504" s="488"/>
    </row>
    <row r="505" spans="2:7" x14ac:dyDescent="0.25">
      <c r="B505" s="491" t="s">
        <v>446</v>
      </c>
      <c r="C505" s="495">
        <v>42955</v>
      </c>
      <c r="D505" s="492">
        <v>16805</v>
      </c>
      <c r="E505" s="497">
        <v>801857</v>
      </c>
      <c r="F505" s="505">
        <v>2.975747678558542E-4</v>
      </c>
      <c r="G505" s="488"/>
    </row>
    <row r="506" spans="2:7" x14ac:dyDescent="0.25">
      <c r="B506" s="491" t="s">
        <v>446</v>
      </c>
      <c r="C506" s="495">
        <v>42957</v>
      </c>
      <c r="D506" s="492">
        <v>16662</v>
      </c>
      <c r="E506" s="497">
        <v>426592</v>
      </c>
      <c r="F506" s="505">
        <v>-8.5457836243515196E-3</v>
      </c>
      <c r="G506" s="488"/>
    </row>
    <row r="507" spans="2:7" x14ac:dyDescent="0.25">
      <c r="B507" s="491" t="s">
        <v>446</v>
      </c>
      <c r="C507" s="495">
        <v>42958</v>
      </c>
      <c r="D507" s="492">
        <v>16665</v>
      </c>
      <c r="E507" s="497">
        <v>493765</v>
      </c>
      <c r="F507" s="505">
        <v>1.8003420698562144E-4</v>
      </c>
      <c r="G507" s="488"/>
    </row>
    <row r="508" spans="2:7" x14ac:dyDescent="0.25">
      <c r="B508" s="491" t="s">
        <v>446</v>
      </c>
      <c r="C508" s="495">
        <v>42961</v>
      </c>
      <c r="D508" s="492">
        <v>16734</v>
      </c>
      <c r="E508" s="497">
        <v>267850</v>
      </c>
      <c r="F508" s="505">
        <v>4.1318661137038368E-3</v>
      </c>
      <c r="G508" s="488"/>
    </row>
    <row r="509" spans="2:7" x14ac:dyDescent="0.25">
      <c r="B509" s="491" t="s">
        <v>446</v>
      </c>
      <c r="C509" s="495">
        <v>42962</v>
      </c>
      <c r="D509" s="492">
        <v>16837</v>
      </c>
      <c r="E509" s="497">
        <v>270575</v>
      </c>
      <c r="F509" s="505">
        <v>6.1362678022556932E-3</v>
      </c>
      <c r="G509" s="488"/>
    </row>
    <row r="510" spans="2:7" x14ac:dyDescent="0.25">
      <c r="B510" s="491" t="s">
        <v>446</v>
      </c>
      <c r="C510" s="495">
        <v>42963</v>
      </c>
      <c r="D510" s="492">
        <v>16704</v>
      </c>
      <c r="E510" s="497">
        <v>455002</v>
      </c>
      <c r="F510" s="505">
        <v>-7.9306339754344462E-3</v>
      </c>
      <c r="G510" s="488"/>
    </row>
    <row r="511" spans="2:7" x14ac:dyDescent="0.25">
      <c r="B511" s="491" t="s">
        <v>446</v>
      </c>
      <c r="C511" s="495">
        <v>42964</v>
      </c>
      <c r="D511" s="492">
        <v>16800</v>
      </c>
      <c r="E511" s="497">
        <v>421825</v>
      </c>
      <c r="F511" s="505">
        <v>5.7306747089850745E-3</v>
      </c>
      <c r="G511" s="488"/>
    </row>
    <row r="512" spans="2:7" x14ac:dyDescent="0.25">
      <c r="B512" s="491" t="s">
        <v>446</v>
      </c>
      <c r="C512" s="495">
        <v>42965</v>
      </c>
      <c r="D512" s="492">
        <v>16814</v>
      </c>
      <c r="E512" s="497">
        <v>230778</v>
      </c>
      <c r="F512" s="505">
        <v>8.3298630389177098E-4</v>
      </c>
      <c r="G512" s="488"/>
    </row>
    <row r="513" spans="2:7" x14ac:dyDescent="0.25">
      <c r="B513" s="491" t="s">
        <v>446</v>
      </c>
      <c r="C513" s="495">
        <v>42968</v>
      </c>
      <c r="D513" s="492">
        <v>17115</v>
      </c>
      <c r="E513" s="497">
        <v>341557</v>
      </c>
      <c r="F513" s="505">
        <v>1.7743399269043576E-2</v>
      </c>
      <c r="G513" s="488"/>
    </row>
    <row r="514" spans="2:7" x14ac:dyDescent="0.25">
      <c r="B514" s="491" t="s">
        <v>446</v>
      </c>
      <c r="C514" s="495">
        <v>42969</v>
      </c>
      <c r="D514" s="492">
        <v>17412</v>
      </c>
      <c r="E514" s="497">
        <v>477602</v>
      </c>
      <c r="F514" s="505">
        <v>1.7204351707902386E-2</v>
      </c>
      <c r="G514" s="488"/>
    </row>
    <row r="515" spans="2:7" x14ac:dyDescent="0.25">
      <c r="B515" s="491" t="s">
        <v>446</v>
      </c>
      <c r="C515" s="495">
        <v>42970</v>
      </c>
      <c r="D515" s="492">
        <v>17200</v>
      </c>
      <c r="E515" s="497">
        <v>618561</v>
      </c>
      <c r="F515" s="505">
        <v>-1.2250239870643732E-2</v>
      </c>
      <c r="G515" s="488"/>
    </row>
    <row r="516" spans="2:7" x14ac:dyDescent="0.25">
      <c r="B516" s="491" t="s">
        <v>446</v>
      </c>
      <c r="C516" s="495">
        <v>42971</v>
      </c>
      <c r="D516" s="492">
        <v>17561</v>
      </c>
      <c r="E516" s="497">
        <v>493845</v>
      </c>
      <c r="F516" s="505">
        <v>2.0771150374310248E-2</v>
      </c>
      <c r="G516" s="488"/>
    </row>
    <row r="517" spans="2:7" x14ac:dyDescent="0.25">
      <c r="B517" s="491" t="s">
        <v>446</v>
      </c>
      <c r="C517" s="495">
        <v>42972</v>
      </c>
      <c r="D517" s="492">
        <v>17243</v>
      </c>
      <c r="E517" s="497">
        <v>308295</v>
      </c>
      <c r="F517" s="505">
        <v>-1.8274270175723036E-2</v>
      </c>
      <c r="G517" s="488"/>
    </row>
    <row r="518" spans="2:7" x14ac:dyDescent="0.25">
      <c r="B518" s="491" t="s">
        <v>446</v>
      </c>
      <c r="C518" s="495">
        <v>42975</v>
      </c>
      <c r="D518" s="492">
        <v>17150</v>
      </c>
      <c r="E518" s="497">
        <v>338075</v>
      </c>
      <c r="F518" s="505">
        <v>-5.4080904060456562E-3</v>
      </c>
      <c r="G518" s="488"/>
    </row>
    <row r="519" spans="2:7" x14ac:dyDescent="0.25">
      <c r="B519" s="491" t="s">
        <v>446</v>
      </c>
      <c r="C519" s="495">
        <v>42976</v>
      </c>
      <c r="D519" s="492">
        <v>17170</v>
      </c>
      <c r="E519" s="497">
        <v>849516</v>
      </c>
      <c r="F519" s="505">
        <v>1.1655012974351919E-3</v>
      </c>
      <c r="G519" s="488"/>
    </row>
    <row r="520" spans="2:7" x14ac:dyDescent="0.25">
      <c r="B520" s="491" t="s">
        <v>446</v>
      </c>
      <c r="C520" s="495">
        <v>42977</v>
      </c>
      <c r="D520" s="492">
        <v>16800</v>
      </c>
      <c r="E520" s="497">
        <v>1120067</v>
      </c>
      <c r="F520" s="505">
        <v>-2.1784788500170949E-2</v>
      </c>
      <c r="G520" s="488"/>
    </row>
    <row r="521" spans="2:7" x14ac:dyDescent="0.25">
      <c r="B521" s="491" t="s">
        <v>446</v>
      </c>
      <c r="C521" s="495">
        <v>42978</v>
      </c>
      <c r="D521" s="492">
        <v>16905</v>
      </c>
      <c r="E521" s="497">
        <v>780991</v>
      </c>
      <c r="F521" s="505">
        <v>6.2305497506361628E-3</v>
      </c>
      <c r="G521" s="488"/>
    </row>
    <row r="522" spans="2:7" x14ac:dyDescent="0.25">
      <c r="B522" s="491" t="s">
        <v>446</v>
      </c>
      <c r="C522" s="495">
        <v>42979</v>
      </c>
      <c r="D522" s="492">
        <v>17119</v>
      </c>
      <c r="E522" s="497">
        <v>969239</v>
      </c>
      <c r="F522" s="505">
        <v>1.2579521632791942E-2</v>
      </c>
      <c r="G522" s="488"/>
    </row>
    <row r="523" spans="2:7" x14ac:dyDescent="0.25">
      <c r="B523" s="491" t="s">
        <v>446</v>
      </c>
      <c r="C523" s="495">
        <v>42982</v>
      </c>
      <c r="D523" s="492">
        <v>16785</v>
      </c>
      <c r="E523" s="497">
        <v>568912</v>
      </c>
      <c r="F523" s="505">
        <v>-1.9703327360643078E-2</v>
      </c>
      <c r="G523" s="488"/>
    </row>
    <row r="524" spans="2:7" x14ac:dyDescent="0.25">
      <c r="B524" s="491" t="s">
        <v>446</v>
      </c>
      <c r="C524" s="495">
        <v>42983</v>
      </c>
      <c r="D524" s="492">
        <v>16650</v>
      </c>
      <c r="E524" s="497">
        <v>746670</v>
      </c>
      <c r="F524" s="505">
        <v>-8.0754140055454178E-3</v>
      </c>
      <c r="G524" s="488"/>
    </row>
    <row r="525" spans="2:7" x14ac:dyDescent="0.25">
      <c r="B525" s="491" t="s">
        <v>446</v>
      </c>
      <c r="C525" s="495">
        <v>42984</v>
      </c>
      <c r="D525" s="492">
        <v>16710</v>
      </c>
      <c r="E525" s="497">
        <v>1102799</v>
      </c>
      <c r="F525" s="505">
        <v>3.5971261808494747E-3</v>
      </c>
      <c r="G525" s="488"/>
    </row>
    <row r="526" spans="2:7" x14ac:dyDescent="0.25">
      <c r="B526" s="491" t="s">
        <v>446</v>
      </c>
      <c r="C526" s="495">
        <v>42985</v>
      </c>
      <c r="D526" s="492">
        <v>16834</v>
      </c>
      <c r="E526" s="497">
        <v>271459</v>
      </c>
      <c r="F526" s="505">
        <v>7.3933081820820642E-3</v>
      </c>
      <c r="G526" s="488"/>
    </row>
    <row r="527" spans="2:7" x14ac:dyDescent="0.25">
      <c r="B527" s="491" t="s">
        <v>446</v>
      </c>
      <c r="C527" s="495">
        <v>42986</v>
      </c>
      <c r="D527" s="492">
        <v>16650</v>
      </c>
      <c r="E527" s="497">
        <v>234859</v>
      </c>
      <c r="F527" s="505">
        <v>-1.0990434362931551E-2</v>
      </c>
      <c r="G527" s="488"/>
    </row>
    <row r="528" spans="2:7" x14ac:dyDescent="0.25">
      <c r="B528" s="491" t="s">
        <v>446</v>
      </c>
      <c r="C528" s="495">
        <v>42989</v>
      </c>
      <c r="D528" s="492">
        <v>16601</v>
      </c>
      <c r="E528" s="497">
        <v>297900</v>
      </c>
      <c r="F528" s="505">
        <v>-2.9472819145138656E-3</v>
      </c>
      <c r="G528" s="488"/>
    </row>
    <row r="529" spans="2:7" x14ac:dyDescent="0.25">
      <c r="B529" s="491" t="s">
        <v>446</v>
      </c>
      <c r="C529" s="495">
        <v>42990</v>
      </c>
      <c r="D529" s="492">
        <v>16752</v>
      </c>
      <c r="E529" s="497">
        <v>830608</v>
      </c>
      <c r="F529" s="505">
        <v>9.0547196162421469E-3</v>
      </c>
      <c r="G529" s="488"/>
    </row>
    <row r="530" spans="2:7" x14ac:dyDescent="0.25">
      <c r="B530" s="491" t="s">
        <v>446</v>
      </c>
      <c r="C530" s="495">
        <v>42991</v>
      </c>
      <c r="D530" s="492">
        <v>16852</v>
      </c>
      <c r="E530" s="497">
        <v>221871</v>
      </c>
      <c r="F530" s="505">
        <v>5.9516899885891407E-3</v>
      </c>
      <c r="G530" s="488"/>
    </row>
    <row r="531" spans="2:7" x14ac:dyDescent="0.25">
      <c r="B531" s="491" t="s">
        <v>446</v>
      </c>
      <c r="C531" s="495">
        <v>42992</v>
      </c>
      <c r="D531" s="492">
        <v>16653</v>
      </c>
      <c r="E531" s="497">
        <v>808450</v>
      </c>
      <c r="F531" s="505">
        <v>-1.1878963740636116E-2</v>
      </c>
      <c r="G531" s="488"/>
    </row>
    <row r="532" spans="2:7" x14ac:dyDescent="0.25">
      <c r="B532" s="491" t="s">
        <v>446</v>
      </c>
      <c r="C532" s="495">
        <v>42993</v>
      </c>
      <c r="D532" s="492">
        <v>16705</v>
      </c>
      <c r="E532" s="497">
        <v>842514</v>
      </c>
      <c r="F532" s="505">
        <v>3.1176954325859312E-3</v>
      </c>
      <c r="G532" s="488"/>
    </row>
    <row r="533" spans="2:7" x14ac:dyDescent="0.25">
      <c r="B533" s="491" t="s">
        <v>446</v>
      </c>
      <c r="C533" s="495">
        <v>42996</v>
      </c>
      <c r="D533" s="492">
        <v>16690</v>
      </c>
      <c r="E533" s="497">
        <v>291405</v>
      </c>
      <c r="F533" s="505">
        <v>-8.9833813497614543E-4</v>
      </c>
      <c r="G533" s="488"/>
    </row>
    <row r="534" spans="2:7" x14ac:dyDescent="0.25">
      <c r="B534" s="491" t="s">
        <v>446</v>
      </c>
      <c r="C534" s="495">
        <v>42997</v>
      </c>
      <c r="D534" s="492">
        <v>16726</v>
      </c>
      <c r="E534" s="497">
        <v>358626</v>
      </c>
      <c r="F534" s="505">
        <v>2.1546572855903616E-3</v>
      </c>
      <c r="G534" s="488"/>
    </row>
    <row r="535" spans="2:7" x14ac:dyDescent="0.25">
      <c r="B535" s="491" t="s">
        <v>446</v>
      </c>
      <c r="C535" s="495">
        <v>42998</v>
      </c>
      <c r="D535" s="492">
        <v>16726</v>
      </c>
      <c r="E535" s="497">
        <v>351284</v>
      </c>
      <c r="F535" s="505">
        <v>0</v>
      </c>
      <c r="G535" s="488"/>
    </row>
    <row r="536" spans="2:7" x14ac:dyDescent="0.25">
      <c r="B536" s="491" t="s">
        <v>446</v>
      </c>
      <c r="C536" s="495">
        <v>42999</v>
      </c>
      <c r="D536" s="492">
        <v>16690</v>
      </c>
      <c r="E536" s="497">
        <v>1747788</v>
      </c>
      <c r="F536" s="505">
        <v>-2.154657285590343E-3</v>
      </c>
      <c r="G536" s="488"/>
    </row>
    <row r="537" spans="2:7" x14ac:dyDescent="0.25">
      <c r="B537" s="491" t="s">
        <v>446</v>
      </c>
      <c r="C537" s="495">
        <v>43000</v>
      </c>
      <c r="D537" s="492">
        <v>16790</v>
      </c>
      <c r="E537" s="497">
        <v>1170206</v>
      </c>
      <c r="F537" s="505">
        <v>5.9737334157057261E-3</v>
      </c>
      <c r="G537" s="488"/>
    </row>
    <row r="538" spans="2:7" x14ac:dyDescent="0.25">
      <c r="B538" s="491" t="s">
        <v>446</v>
      </c>
      <c r="C538" s="495">
        <v>43004</v>
      </c>
      <c r="D538" s="492">
        <v>16625</v>
      </c>
      <c r="E538" s="497">
        <v>322973</v>
      </c>
      <c r="F538" s="505">
        <v>-9.8758845475315667E-3</v>
      </c>
      <c r="G538" s="488"/>
    </row>
    <row r="539" spans="2:7" x14ac:dyDescent="0.25">
      <c r="B539" s="491" t="s">
        <v>446</v>
      </c>
      <c r="C539" s="495">
        <v>43005</v>
      </c>
      <c r="D539" s="492">
        <v>16600</v>
      </c>
      <c r="E539" s="497">
        <v>440492</v>
      </c>
      <c r="F539" s="505">
        <v>-1.5048911794202768E-3</v>
      </c>
      <c r="G539" s="488"/>
    </row>
    <row r="540" spans="2:7" x14ac:dyDescent="0.25">
      <c r="B540" s="491" t="s">
        <v>446</v>
      </c>
      <c r="C540" s="495">
        <v>43006</v>
      </c>
      <c r="D540" s="492">
        <v>16600</v>
      </c>
      <c r="E540" s="497">
        <v>446980</v>
      </c>
      <c r="F540" s="505">
        <v>0</v>
      </c>
      <c r="G540" s="488"/>
    </row>
    <row r="541" spans="2:7" x14ac:dyDescent="0.25">
      <c r="B541" s="491" t="s">
        <v>446</v>
      </c>
      <c r="C541" s="495">
        <v>43007</v>
      </c>
      <c r="D541" s="492">
        <v>16708</v>
      </c>
      <c r="E541" s="497">
        <v>539260</v>
      </c>
      <c r="F541" s="505">
        <v>6.484951272431266E-3</v>
      </c>
      <c r="G541" s="488"/>
    </row>
    <row r="542" spans="2:7" x14ac:dyDescent="0.25">
      <c r="B542" s="491" t="s">
        <v>446</v>
      </c>
      <c r="C542" s="495">
        <v>43010</v>
      </c>
      <c r="D542" s="492">
        <v>16615</v>
      </c>
      <c r="E542" s="497">
        <v>518606</v>
      </c>
      <c r="F542" s="505">
        <v>-5.5817448283712635E-3</v>
      </c>
      <c r="G542" s="488"/>
    </row>
    <row r="543" spans="2:7" x14ac:dyDescent="0.25">
      <c r="B543" s="491" t="s">
        <v>446</v>
      </c>
      <c r="C543" s="495">
        <v>43011</v>
      </c>
      <c r="D543" s="492">
        <v>16660</v>
      </c>
      <c r="E543" s="497">
        <v>1215909</v>
      </c>
      <c r="F543" s="505">
        <v>2.704734932139114E-3</v>
      </c>
      <c r="G543" s="488"/>
    </row>
    <row r="544" spans="2:7" x14ac:dyDescent="0.25">
      <c r="B544" s="491" t="s">
        <v>446</v>
      </c>
      <c r="C544" s="495">
        <v>43012</v>
      </c>
      <c r="D544" s="492">
        <v>16698</v>
      </c>
      <c r="E544" s="497">
        <v>343419</v>
      </c>
      <c r="F544" s="505">
        <v>2.2783150331119927E-3</v>
      </c>
      <c r="G544" s="488"/>
    </row>
    <row r="545" spans="2:7" x14ac:dyDescent="0.25">
      <c r="B545" s="491" t="s">
        <v>446</v>
      </c>
      <c r="C545" s="495">
        <v>43013</v>
      </c>
      <c r="D545" s="492">
        <v>16650</v>
      </c>
      <c r="E545" s="497">
        <v>250568</v>
      </c>
      <c r="F545" s="505">
        <v>-2.8787353453559278E-3</v>
      </c>
      <c r="G545" s="488"/>
    </row>
    <row r="546" spans="2:7" x14ac:dyDescent="0.25">
      <c r="B546" s="491" t="s">
        <v>446</v>
      </c>
      <c r="C546" s="495">
        <v>43014</v>
      </c>
      <c r="D546" s="492">
        <v>17115</v>
      </c>
      <c r="E546" s="497">
        <v>459939</v>
      </c>
      <c r="F546" s="505">
        <v>2.7545055555695759E-2</v>
      </c>
      <c r="G546" s="488"/>
    </row>
    <row r="547" spans="2:7" x14ac:dyDescent="0.25">
      <c r="B547" s="491" t="s">
        <v>446</v>
      </c>
      <c r="C547" s="495">
        <v>43017</v>
      </c>
      <c r="D547" s="492">
        <v>17047</v>
      </c>
      <c r="E547" s="497">
        <v>257077</v>
      </c>
      <c r="F547" s="505">
        <v>-3.9810368133607792E-3</v>
      </c>
      <c r="G547" s="488"/>
    </row>
    <row r="548" spans="2:7" x14ac:dyDescent="0.25">
      <c r="B548" s="491" t="s">
        <v>446</v>
      </c>
      <c r="C548" s="495">
        <v>43018</v>
      </c>
      <c r="D548" s="492">
        <v>17176</v>
      </c>
      <c r="E548" s="497">
        <v>320104</v>
      </c>
      <c r="F548" s="505">
        <v>7.5388254076919885E-3</v>
      </c>
      <c r="G548" s="488"/>
    </row>
    <row r="549" spans="2:7" x14ac:dyDescent="0.25">
      <c r="B549" s="491" t="s">
        <v>446</v>
      </c>
      <c r="C549" s="495">
        <v>43019</v>
      </c>
      <c r="D549" s="492">
        <v>17400</v>
      </c>
      <c r="E549" s="497">
        <v>442340</v>
      </c>
      <c r="F549" s="505">
        <v>1.295714564400339E-2</v>
      </c>
      <c r="G549" s="488"/>
    </row>
    <row r="550" spans="2:7" x14ac:dyDescent="0.25">
      <c r="B550" s="491" t="s">
        <v>446</v>
      </c>
      <c r="C550" s="495">
        <v>43020</v>
      </c>
      <c r="D550" s="492">
        <v>17553</v>
      </c>
      <c r="E550" s="497">
        <v>481195</v>
      </c>
      <c r="F550" s="505">
        <v>8.7546692537253112E-3</v>
      </c>
      <c r="G550" s="488"/>
    </row>
    <row r="551" spans="2:7" x14ac:dyDescent="0.25">
      <c r="B551" s="491" t="s">
        <v>446</v>
      </c>
      <c r="C551" s="495">
        <v>43021</v>
      </c>
      <c r="D551" s="492">
        <v>17527</v>
      </c>
      <c r="E551" s="497">
        <v>392919</v>
      </c>
      <c r="F551" s="505">
        <v>-1.4823263831698411E-3</v>
      </c>
      <c r="G551" s="488"/>
    </row>
    <row r="552" spans="2:7" x14ac:dyDescent="0.25">
      <c r="B552" s="491" t="s">
        <v>446</v>
      </c>
      <c r="C552" s="495">
        <v>43024</v>
      </c>
      <c r="D552" s="492">
        <v>17568</v>
      </c>
      <c r="E552" s="497">
        <v>448640</v>
      </c>
      <c r="F552" s="505">
        <v>2.3365162360812573E-3</v>
      </c>
      <c r="G552" s="488"/>
    </row>
    <row r="553" spans="2:7" x14ac:dyDescent="0.25">
      <c r="B553" s="491" t="s">
        <v>446</v>
      </c>
      <c r="C553" s="495">
        <v>43025</v>
      </c>
      <c r="D553" s="492">
        <v>17246</v>
      </c>
      <c r="E553" s="497">
        <v>257252</v>
      </c>
      <c r="F553" s="505">
        <v>-1.8498832796987393E-2</v>
      </c>
      <c r="G553" s="488"/>
    </row>
    <row r="554" spans="2:7" x14ac:dyDescent="0.25">
      <c r="B554" s="491" t="s">
        <v>446</v>
      </c>
      <c r="C554" s="495">
        <v>43026</v>
      </c>
      <c r="D554" s="492">
        <v>17554</v>
      </c>
      <c r="E554" s="497">
        <v>221262</v>
      </c>
      <c r="F554" s="505">
        <v>1.7701611639793072E-2</v>
      </c>
      <c r="G554" s="488"/>
    </row>
    <row r="555" spans="2:7" x14ac:dyDescent="0.25">
      <c r="B555" s="491" t="s">
        <v>446</v>
      </c>
      <c r="C555" s="495">
        <v>43027</v>
      </c>
      <c r="D555" s="492">
        <v>17470</v>
      </c>
      <c r="E555" s="497">
        <v>484694</v>
      </c>
      <c r="F555" s="505">
        <v>-4.796720023960639E-3</v>
      </c>
      <c r="G555" s="488"/>
    </row>
    <row r="556" spans="2:7" x14ac:dyDescent="0.25">
      <c r="B556" s="491" t="s">
        <v>446</v>
      </c>
      <c r="C556" s="495">
        <v>43028</v>
      </c>
      <c r="D556" s="492">
        <v>17229</v>
      </c>
      <c r="E556" s="497">
        <v>997947</v>
      </c>
      <c r="F556" s="505">
        <v>-1.3891113595696039E-2</v>
      </c>
      <c r="G556" s="488"/>
    </row>
    <row r="557" spans="2:7" x14ac:dyDescent="0.25">
      <c r="B557" s="491" t="s">
        <v>446</v>
      </c>
      <c r="C557" s="495">
        <v>43031</v>
      </c>
      <c r="D557" s="492">
        <v>16862</v>
      </c>
      <c r="E557" s="497">
        <v>294038</v>
      </c>
      <c r="F557" s="505">
        <v>-2.1531441049785275E-2</v>
      </c>
      <c r="G557" s="488"/>
    </row>
    <row r="558" spans="2:7" x14ac:dyDescent="0.25">
      <c r="B558" s="491" t="s">
        <v>446</v>
      </c>
      <c r="C558" s="495">
        <v>43032</v>
      </c>
      <c r="D558" s="492">
        <v>16855</v>
      </c>
      <c r="E558" s="497">
        <v>485752</v>
      </c>
      <c r="F558" s="505">
        <v>-4.1522081445989558E-4</v>
      </c>
      <c r="G558" s="488"/>
    </row>
    <row r="559" spans="2:7" x14ac:dyDescent="0.25">
      <c r="B559" s="491" t="s">
        <v>446</v>
      </c>
      <c r="C559" s="495">
        <v>43033</v>
      </c>
      <c r="D559" s="492">
        <v>16708</v>
      </c>
      <c r="E559" s="497">
        <v>395555</v>
      </c>
      <c r="F559" s="505">
        <v>-8.7597020510951779E-3</v>
      </c>
      <c r="G559" s="488"/>
    </row>
    <row r="560" spans="2:7" x14ac:dyDescent="0.25">
      <c r="B560" s="491" t="s">
        <v>446</v>
      </c>
      <c r="C560" s="495">
        <v>43034</v>
      </c>
      <c r="D560" s="492">
        <v>16650</v>
      </c>
      <c r="E560" s="497">
        <v>579124</v>
      </c>
      <c r="F560" s="505">
        <v>-3.4774302084760768E-3</v>
      </c>
      <c r="G560" s="488"/>
    </row>
    <row r="561" spans="2:7" x14ac:dyDescent="0.25">
      <c r="B561" s="491" t="s">
        <v>446</v>
      </c>
      <c r="C561" s="495">
        <v>43035</v>
      </c>
      <c r="D561" s="492">
        <v>16650</v>
      </c>
      <c r="E561" s="497">
        <v>869827</v>
      </c>
      <c r="F561" s="505">
        <v>0</v>
      </c>
      <c r="G561" s="488"/>
    </row>
    <row r="562" spans="2:7" x14ac:dyDescent="0.25">
      <c r="B562" s="491" t="s">
        <v>446</v>
      </c>
      <c r="C562" s="495">
        <v>43038</v>
      </c>
      <c r="D562" s="492">
        <v>16621</v>
      </c>
      <c r="E562" s="497">
        <v>957305</v>
      </c>
      <c r="F562" s="505">
        <v>-1.7432603374797175E-3</v>
      </c>
      <c r="G562" s="488"/>
    </row>
    <row r="563" spans="2:7" x14ac:dyDescent="0.25">
      <c r="B563" s="491" t="s">
        <v>446</v>
      </c>
      <c r="C563" s="495">
        <v>43039</v>
      </c>
      <c r="D563" s="492">
        <v>16636</v>
      </c>
      <c r="E563" s="497">
        <v>546386</v>
      </c>
      <c r="F563" s="505">
        <v>9.0206579169212903E-4</v>
      </c>
      <c r="G563" s="488"/>
    </row>
    <row r="564" spans="2:7" x14ac:dyDescent="0.25">
      <c r="B564" s="491" t="s">
        <v>446</v>
      </c>
      <c r="C564" s="495">
        <v>43040</v>
      </c>
      <c r="D564" s="492">
        <v>16650</v>
      </c>
      <c r="E564" s="497">
        <v>656665</v>
      </c>
      <c r="F564" s="505">
        <v>8.4119454578757884E-4</v>
      </c>
      <c r="G564" s="488"/>
    </row>
    <row r="565" spans="2:7" x14ac:dyDescent="0.25">
      <c r="B565" s="491" t="s">
        <v>446</v>
      </c>
      <c r="C565" s="495">
        <v>43041</v>
      </c>
      <c r="D565" s="492">
        <v>16750</v>
      </c>
      <c r="E565" s="497">
        <v>357583</v>
      </c>
      <c r="F565" s="505">
        <v>5.9880418446226933E-3</v>
      </c>
      <c r="G565" s="488"/>
    </row>
    <row r="566" spans="2:7" x14ac:dyDescent="0.25">
      <c r="B566" s="491" t="s">
        <v>446</v>
      </c>
      <c r="C566" s="495">
        <v>43042</v>
      </c>
      <c r="D566" s="492">
        <v>16650</v>
      </c>
      <c r="E566" s="497">
        <v>559253</v>
      </c>
      <c r="F566" s="505">
        <v>-5.9880418446225572E-3</v>
      </c>
      <c r="G566" s="488"/>
    </row>
    <row r="567" spans="2:7" x14ac:dyDescent="0.25">
      <c r="B567" s="491" t="s">
        <v>446</v>
      </c>
      <c r="C567" s="495">
        <v>43045</v>
      </c>
      <c r="D567" s="492">
        <v>16650</v>
      </c>
      <c r="E567" s="497">
        <v>311776</v>
      </c>
      <c r="F567" s="505">
        <v>0</v>
      </c>
      <c r="G567" s="488"/>
    </row>
    <row r="568" spans="2:7" x14ac:dyDescent="0.25">
      <c r="B568" s="491" t="s">
        <v>446</v>
      </c>
      <c r="C568" s="495">
        <v>43046</v>
      </c>
      <c r="D568" s="492">
        <v>16650</v>
      </c>
      <c r="E568" s="497">
        <v>421869</v>
      </c>
      <c r="F568" s="505">
        <v>0</v>
      </c>
      <c r="G568" s="488"/>
    </row>
    <row r="569" spans="2:7" x14ac:dyDescent="0.25">
      <c r="B569" s="491" t="s">
        <v>446</v>
      </c>
      <c r="C569" s="495">
        <v>43047</v>
      </c>
      <c r="D569" s="492">
        <v>16749</v>
      </c>
      <c r="E569" s="497">
        <v>288739</v>
      </c>
      <c r="F569" s="505">
        <v>5.9283385698801943E-3</v>
      </c>
      <c r="G569" s="488"/>
    </row>
    <row r="570" spans="2:7" x14ac:dyDescent="0.25">
      <c r="B570" s="491" t="s">
        <v>446</v>
      </c>
      <c r="C570" s="495">
        <v>43048</v>
      </c>
      <c r="D570" s="492">
        <v>16665</v>
      </c>
      <c r="E570" s="497">
        <v>324335</v>
      </c>
      <c r="F570" s="505">
        <v>-5.0278432366300451E-3</v>
      </c>
      <c r="G570" s="488"/>
    </row>
    <row r="571" spans="2:7" x14ac:dyDescent="0.25">
      <c r="B571" s="491" t="s">
        <v>446</v>
      </c>
      <c r="C571" s="495">
        <v>43049</v>
      </c>
      <c r="D571" s="492">
        <v>16650</v>
      </c>
      <c r="E571" s="497">
        <v>459314</v>
      </c>
      <c r="F571" s="505">
        <v>-9.0049533325020626E-4</v>
      </c>
      <c r="G571" s="488"/>
    </row>
    <row r="572" spans="2:7" x14ac:dyDescent="0.25">
      <c r="B572" s="491" t="s">
        <v>446</v>
      </c>
      <c r="C572" s="495">
        <v>43052</v>
      </c>
      <c r="D572" s="492">
        <v>16650</v>
      </c>
      <c r="E572" s="497">
        <v>319793</v>
      </c>
      <c r="F572" s="505">
        <v>0</v>
      </c>
      <c r="G572" s="488"/>
    </row>
    <row r="573" spans="2:7" x14ac:dyDescent="0.25">
      <c r="B573" s="491" t="s">
        <v>446</v>
      </c>
      <c r="C573" s="495">
        <v>43053</v>
      </c>
      <c r="D573" s="492">
        <v>17070</v>
      </c>
      <c r="E573" s="497">
        <v>614361</v>
      </c>
      <c r="F573" s="505">
        <v>2.4912320379896376E-2</v>
      </c>
      <c r="G573" s="488"/>
    </row>
    <row r="574" spans="2:7" x14ac:dyDescent="0.25">
      <c r="B574" s="491" t="s">
        <v>446</v>
      </c>
      <c r="C574" s="495">
        <v>43054</v>
      </c>
      <c r="D574" s="492">
        <v>16921</v>
      </c>
      <c r="E574" s="497">
        <v>1055602</v>
      </c>
      <c r="F574" s="505">
        <v>-8.7670827198596275E-3</v>
      </c>
      <c r="G574" s="488"/>
    </row>
    <row r="575" spans="2:7" x14ac:dyDescent="0.25">
      <c r="B575" s="491" t="s">
        <v>446</v>
      </c>
      <c r="C575" s="495">
        <v>43055</v>
      </c>
      <c r="D575" s="492">
        <v>17863</v>
      </c>
      <c r="E575" s="497">
        <v>1187269</v>
      </c>
      <c r="F575" s="505">
        <v>5.417608038025791E-2</v>
      </c>
      <c r="G575" s="488"/>
    </row>
    <row r="576" spans="2:7" x14ac:dyDescent="0.25">
      <c r="B576" s="491" t="s">
        <v>446</v>
      </c>
      <c r="C576" s="495">
        <v>43056</v>
      </c>
      <c r="D576" s="492">
        <v>18887</v>
      </c>
      <c r="E576" s="497">
        <v>1254453</v>
      </c>
      <c r="F576" s="505">
        <v>5.5742320246961526E-2</v>
      </c>
      <c r="G576" s="488"/>
    </row>
    <row r="577" spans="2:7" x14ac:dyDescent="0.25">
      <c r="B577" s="491" t="s">
        <v>446</v>
      </c>
      <c r="C577" s="495">
        <v>43059</v>
      </c>
      <c r="D577" s="492">
        <v>19150</v>
      </c>
      <c r="E577" s="497">
        <v>728207</v>
      </c>
      <c r="F577" s="505">
        <v>1.3828860912945874E-2</v>
      </c>
      <c r="G577" s="488"/>
    </row>
    <row r="578" spans="2:7" x14ac:dyDescent="0.25">
      <c r="B578" s="491" t="s">
        <v>446</v>
      </c>
      <c r="C578" s="495">
        <v>43060</v>
      </c>
      <c r="D578" s="492">
        <v>18828</v>
      </c>
      <c r="E578" s="497">
        <v>1268269</v>
      </c>
      <c r="F578" s="505">
        <v>-1.6957592087759099E-2</v>
      </c>
      <c r="G578" s="488"/>
    </row>
    <row r="579" spans="2:7" x14ac:dyDescent="0.25">
      <c r="B579" s="491" t="s">
        <v>446</v>
      </c>
      <c r="C579" s="495">
        <v>43061</v>
      </c>
      <c r="D579" s="492">
        <v>18740</v>
      </c>
      <c r="E579" s="497">
        <v>861817</v>
      </c>
      <c r="F579" s="505">
        <v>-4.684846728619717E-3</v>
      </c>
      <c r="G579" s="488"/>
    </row>
    <row r="580" spans="2:7" x14ac:dyDescent="0.25">
      <c r="B580" s="491" t="s">
        <v>446</v>
      </c>
      <c r="C580" s="495">
        <v>43062</v>
      </c>
      <c r="D580" s="492">
        <v>18797</v>
      </c>
      <c r="E580" s="497">
        <v>434841</v>
      </c>
      <c r="F580" s="505">
        <v>3.037005824182253E-3</v>
      </c>
      <c r="G580" s="488"/>
    </row>
    <row r="581" spans="2:7" x14ac:dyDescent="0.25">
      <c r="B581" s="491" t="s">
        <v>446</v>
      </c>
      <c r="C581" s="495">
        <v>43063</v>
      </c>
      <c r="D581" s="492">
        <v>18594</v>
      </c>
      <c r="E581" s="497">
        <v>405305</v>
      </c>
      <c r="F581" s="505">
        <v>-1.0858334600792193E-2</v>
      </c>
      <c r="G581" s="488"/>
    </row>
    <row r="582" spans="2:7" x14ac:dyDescent="0.25">
      <c r="B582" s="491" t="s">
        <v>446</v>
      </c>
      <c r="C582" s="495">
        <v>43066</v>
      </c>
      <c r="D582" s="492">
        <v>18375</v>
      </c>
      <c r="E582" s="497">
        <v>624085</v>
      </c>
      <c r="F582" s="505">
        <v>-1.1847902934765869E-2</v>
      </c>
      <c r="G582" s="488"/>
    </row>
    <row r="583" spans="2:7" x14ac:dyDescent="0.25">
      <c r="B583" s="491" t="s">
        <v>446</v>
      </c>
      <c r="C583" s="495">
        <v>43067</v>
      </c>
      <c r="D583" s="492">
        <v>19300</v>
      </c>
      <c r="E583" s="497">
        <v>662116</v>
      </c>
      <c r="F583" s="505">
        <v>4.9114050811939508E-2</v>
      </c>
      <c r="G583" s="488"/>
    </row>
    <row r="584" spans="2:7" x14ac:dyDescent="0.25">
      <c r="B584" s="491" t="s">
        <v>446</v>
      </c>
      <c r="C584" s="495">
        <v>43068</v>
      </c>
      <c r="D584" s="492">
        <v>19219</v>
      </c>
      <c r="E584" s="497">
        <v>540961</v>
      </c>
      <c r="F584" s="505">
        <v>-4.2057228585722405E-3</v>
      </c>
      <c r="G584" s="488"/>
    </row>
    <row r="585" spans="2:7" x14ac:dyDescent="0.25">
      <c r="B585" s="491" t="s">
        <v>446</v>
      </c>
      <c r="C585" s="495">
        <v>43069</v>
      </c>
      <c r="D585" s="492">
        <v>18980</v>
      </c>
      <c r="E585" s="497">
        <v>1902197</v>
      </c>
      <c r="F585" s="505">
        <v>-1.2513579870485859E-2</v>
      </c>
      <c r="G585" s="488"/>
    </row>
    <row r="586" spans="2:7" x14ac:dyDescent="0.25">
      <c r="B586" s="491" t="s">
        <v>446</v>
      </c>
      <c r="C586" s="495">
        <v>43070</v>
      </c>
      <c r="D586" s="492">
        <v>19731</v>
      </c>
      <c r="E586" s="497">
        <v>604490</v>
      </c>
      <c r="F586" s="505">
        <v>3.8805209805541821E-2</v>
      </c>
      <c r="G586" s="488"/>
    </row>
    <row r="587" spans="2:7" x14ac:dyDescent="0.25">
      <c r="B587" s="491" t="s">
        <v>446</v>
      </c>
      <c r="C587" s="495">
        <v>43073</v>
      </c>
      <c r="D587" s="492">
        <v>19890</v>
      </c>
      <c r="E587" s="497">
        <v>574393</v>
      </c>
      <c r="F587" s="505">
        <v>8.0260898785571907E-3</v>
      </c>
      <c r="G587" s="488"/>
    </row>
    <row r="588" spans="2:7" x14ac:dyDescent="0.25">
      <c r="B588" s="491" t="s">
        <v>446</v>
      </c>
      <c r="C588" s="495">
        <v>43074</v>
      </c>
      <c r="D588" s="492">
        <v>20050</v>
      </c>
      <c r="E588" s="497">
        <v>692180</v>
      </c>
      <c r="F588" s="505">
        <v>8.0120608866973333E-3</v>
      </c>
      <c r="G588" s="488"/>
    </row>
    <row r="589" spans="2:7" x14ac:dyDescent="0.25">
      <c r="B589" s="491" t="s">
        <v>446</v>
      </c>
      <c r="C589" s="495">
        <v>43075</v>
      </c>
      <c r="D589" s="492">
        <v>19746</v>
      </c>
      <c r="E589" s="497">
        <v>685936</v>
      </c>
      <c r="F589" s="505">
        <v>-1.5278214563320307E-2</v>
      </c>
      <c r="G589" s="488"/>
    </row>
    <row r="590" spans="2:7" x14ac:dyDescent="0.25">
      <c r="B590" s="491" t="s">
        <v>446</v>
      </c>
      <c r="C590" s="495">
        <v>43076</v>
      </c>
      <c r="D590" s="492">
        <v>19380</v>
      </c>
      <c r="E590" s="497">
        <v>508699</v>
      </c>
      <c r="F590" s="505">
        <v>-1.8709332726637704E-2</v>
      </c>
      <c r="G590" s="488"/>
    </row>
    <row r="591" spans="2:7" x14ac:dyDescent="0.25">
      <c r="B591" s="491" t="s">
        <v>446</v>
      </c>
      <c r="C591" s="495">
        <v>43077</v>
      </c>
      <c r="D591" s="492">
        <v>19186</v>
      </c>
      <c r="E591" s="497">
        <v>291397</v>
      </c>
      <c r="F591" s="505">
        <v>-1.0060760066864287E-2</v>
      </c>
      <c r="G591" s="488"/>
    </row>
    <row r="592" spans="2:7" x14ac:dyDescent="0.25">
      <c r="B592" s="491" t="s">
        <v>446</v>
      </c>
      <c r="C592" s="495">
        <v>43080</v>
      </c>
      <c r="D592" s="492">
        <v>19173</v>
      </c>
      <c r="E592" s="497">
        <v>332786</v>
      </c>
      <c r="F592" s="505">
        <v>-6.7780705950137952E-4</v>
      </c>
      <c r="G592" s="488"/>
    </row>
    <row r="593" spans="2:7" x14ac:dyDescent="0.25">
      <c r="B593" s="491" t="s">
        <v>446</v>
      </c>
      <c r="C593" s="495">
        <v>43081</v>
      </c>
      <c r="D593" s="492">
        <v>19144</v>
      </c>
      <c r="E593" s="497">
        <v>450037</v>
      </c>
      <c r="F593" s="505">
        <v>-1.5136887301821693E-3</v>
      </c>
      <c r="G593" s="488"/>
    </row>
    <row r="594" spans="2:7" x14ac:dyDescent="0.25">
      <c r="B594" s="491" t="s">
        <v>446</v>
      </c>
      <c r="C594" s="495">
        <v>43082</v>
      </c>
      <c r="D594" s="492">
        <v>19049</v>
      </c>
      <c r="E594" s="497">
        <v>621987</v>
      </c>
      <c r="F594" s="505">
        <v>-4.974743849511183E-3</v>
      </c>
      <c r="G594" s="488"/>
    </row>
    <row r="595" spans="2:7" x14ac:dyDescent="0.25">
      <c r="B595" s="491" t="s">
        <v>446</v>
      </c>
      <c r="C595" s="495">
        <v>43083</v>
      </c>
      <c r="D595" s="492">
        <v>19489</v>
      </c>
      <c r="E595" s="497">
        <v>775746</v>
      </c>
      <c r="F595" s="505">
        <v>2.2835597083326099E-2</v>
      </c>
      <c r="G595" s="488"/>
    </row>
    <row r="596" spans="2:7" x14ac:dyDescent="0.25">
      <c r="B596" s="491" t="s">
        <v>446</v>
      </c>
      <c r="C596" s="495">
        <v>43084</v>
      </c>
      <c r="D596" s="492">
        <v>19902</v>
      </c>
      <c r="E596" s="497">
        <v>1046644</v>
      </c>
      <c r="F596" s="505">
        <v>2.0970025353083125E-2</v>
      </c>
      <c r="G596" s="488"/>
    </row>
    <row r="597" spans="2:7" x14ac:dyDescent="0.25">
      <c r="B597" s="491" t="s">
        <v>446</v>
      </c>
      <c r="C597" s="495">
        <v>43087</v>
      </c>
      <c r="D597" s="492">
        <v>19877</v>
      </c>
      <c r="E597" s="497">
        <v>730477</v>
      </c>
      <c r="F597" s="505">
        <v>-1.2569447845084169E-3</v>
      </c>
      <c r="G597" s="488"/>
    </row>
    <row r="598" spans="2:7" x14ac:dyDescent="0.25">
      <c r="B598" s="491" t="s">
        <v>446</v>
      </c>
      <c r="C598" s="495">
        <v>43088</v>
      </c>
      <c r="D598" s="492">
        <v>19514</v>
      </c>
      <c r="E598" s="497">
        <v>809310</v>
      </c>
      <c r="F598" s="505">
        <v>-1.8431127722703666E-2</v>
      </c>
      <c r="G598" s="488"/>
    </row>
    <row r="599" spans="2:7" x14ac:dyDescent="0.25">
      <c r="B599" s="491" t="s">
        <v>446</v>
      </c>
      <c r="C599" s="495">
        <v>43089</v>
      </c>
      <c r="D599" s="492">
        <v>19561</v>
      </c>
      <c r="E599" s="497">
        <v>756965</v>
      </c>
      <c r="F599" s="505">
        <v>2.405631358463957E-3</v>
      </c>
      <c r="G599" s="488"/>
    </row>
    <row r="600" spans="2:7" x14ac:dyDescent="0.25">
      <c r="B600" s="491" t="s">
        <v>446</v>
      </c>
      <c r="C600" s="495">
        <v>43090</v>
      </c>
      <c r="D600" s="492">
        <v>19343</v>
      </c>
      <c r="E600" s="497">
        <v>1503319</v>
      </c>
      <c r="F600" s="505">
        <v>-1.1207191124261674E-2</v>
      </c>
      <c r="G600" s="488"/>
    </row>
    <row r="601" spans="2:7" x14ac:dyDescent="0.25">
      <c r="B601" s="491" t="s">
        <v>446</v>
      </c>
      <c r="C601" s="495">
        <v>43091</v>
      </c>
      <c r="D601" s="492">
        <v>19093</v>
      </c>
      <c r="E601" s="497">
        <v>131702</v>
      </c>
      <c r="F601" s="505">
        <v>-1.3008821188633312E-2</v>
      </c>
      <c r="G601" s="488"/>
    </row>
    <row r="602" spans="2:7" x14ac:dyDescent="0.25">
      <c r="B602" s="491" t="s">
        <v>446</v>
      </c>
      <c r="C602" s="495">
        <v>43096</v>
      </c>
      <c r="D602" s="492">
        <v>19670</v>
      </c>
      <c r="E602" s="497">
        <v>229132</v>
      </c>
      <c r="F602" s="505">
        <v>2.9772856669640385E-2</v>
      </c>
      <c r="G602" s="488"/>
    </row>
    <row r="603" spans="2:7" x14ac:dyDescent="0.25">
      <c r="B603" s="491" t="s">
        <v>446</v>
      </c>
      <c r="C603" s="495">
        <v>43097</v>
      </c>
      <c r="D603" s="492">
        <v>19693</v>
      </c>
      <c r="E603" s="497">
        <v>141640</v>
      </c>
      <c r="F603" s="505">
        <v>1.1686102490916722E-3</v>
      </c>
      <c r="G603" s="488"/>
    </row>
    <row r="604" spans="2:7" x14ac:dyDescent="0.25">
      <c r="B604" s="491" t="s">
        <v>446</v>
      </c>
      <c r="C604" s="495">
        <v>43098</v>
      </c>
      <c r="D604" s="492">
        <v>20333</v>
      </c>
      <c r="E604" s="497">
        <v>223931</v>
      </c>
      <c r="F604" s="505">
        <v>3.1981939278145438E-2</v>
      </c>
      <c r="G604" s="488"/>
    </row>
    <row r="605" spans="2:7" x14ac:dyDescent="0.25">
      <c r="B605" s="491" t="s">
        <v>446</v>
      </c>
      <c r="C605" s="495">
        <v>43102</v>
      </c>
      <c r="D605" s="492">
        <v>19912</v>
      </c>
      <c r="E605" s="497">
        <v>353968</v>
      </c>
      <c r="F605" s="505">
        <v>-2.0922616862913825E-2</v>
      </c>
      <c r="G605" s="488"/>
    </row>
    <row r="606" spans="2:7" x14ac:dyDescent="0.25">
      <c r="B606" s="491" t="s">
        <v>446</v>
      </c>
      <c r="C606" s="495">
        <v>43103</v>
      </c>
      <c r="D606" s="492">
        <v>19426</v>
      </c>
      <c r="E606" s="497">
        <v>259347</v>
      </c>
      <c r="F606" s="505">
        <v>-2.4710190085152059E-2</v>
      </c>
      <c r="G606" s="488"/>
    </row>
    <row r="607" spans="2:7" x14ac:dyDescent="0.25">
      <c r="B607" s="491" t="s">
        <v>446</v>
      </c>
      <c r="C607" s="495">
        <v>43104</v>
      </c>
      <c r="D607" s="492">
        <v>19368</v>
      </c>
      <c r="E607" s="497">
        <v>397097</v>
      </c>
      <c r="F607" s="505">
        <v>-2.9901553443814829E-3</v>
      </c>
      <c r="G607" s="488"/>
    </row>
    <row r="608" spans="2:7" x14ac:dyDescent="0.25">
      <c r="B608" s="491" t="s">
        <v>446</v>
      </c>
      <c r="C608" s="495">
        <v>43105</v>
      </c>
      <c r="D608" s="492">
        <v>19370</v>
      </c>
      <c r="E608" s="497">
        <v>360517</v>
      </c>
      <c r="F608" s="505">
        <v>1.0325778314716572E-4</v>
      </c>
      <c r="G608" s="488"/>
    </row>
    <row r="609" spans="2:7" x14ac:dyDescent="0.25">
      <c r="B609" s="491" t="s">
        <v>446</v>
      </c>
      <c r="C609" s="495">
        <v>43108</v>
      </c>
      <c r="D609" s="492">
        <v>19478</v>
      </c>
      <c r="E609" s="497">
        <v>331897</v>
      </c>
      <c r="F609" s="505">
        <v>5.5601461201028931E-3</v>
      </c>
      <c r="G609" s="488"/>
    </row>
    <row r="610" spans="2:7" x14ac:dyDescent="0.25">
      <c r="B610" s="491" t="s">
        <v>446</v>
      </c>
      <c r="C610" s="495">
        <v>43109</v>
      </c>
      <c r="D610" s="492">
        <v>19630</v>
      </c>
      <c r="E610" s="497">
        <v>291208</v>
      </c>
      <c r="F610" s="505">
        <v>7.7733847493622133E-3</v>
      </c>
      <c r="G610" s="488"/>
    </row>
    <row r="611" spans="2:7" x14ac:dyDescent="0.25">
      <c r="B611" s="491" t="s">
        <v>446</v>
      </c>
      <c r="C611" s="495">
        <v>43110</v>
      </c>
      <c r="D611" s="492">
        <v>19380</v>
      </c>
      <c r="E611" s="497">
        <v>285771</v>
      </c>
      <c r="F611" s="505">
        <v>-1.2817401825749477E-2</v>
      </c>
      <c r="G611" s="488"/>
    </row>
    <row r="612" spans="2:7" x14ac:dyDescent="0.25">
      <c r="B612" s="491" t="s">
        <v>446</v>
      </c>
      <c r="C612" s="495">
        <v>43111</v>
      </c>
      <c r="D612" s="492">
        <v>19094</v>
      </c>
      <c r="E612" s="497">
        <v>258418</v>
      </c>
      <c r="F612" s="505">
        <v>-1.4867456886778731E-2</v>
      </c>
      <c r="G612" s="488"/>
    </row>
    <row r="613" spans="2:7" x14ac:dyDescent="0.25">
      <c r="B613" s="491" t="s">
        <v>446</v>
      </c>
      <c r="C613" s="495">
        <v>43112</v>
      </c>
      <c r="D613" s="492">
        <v>19334</v>
      </c>
      <c r="E613" s="497">
        <v>203496</v>
      </c>
      <c r="F613" s="505">
        <v>1.2491054466572246E-2</v>
      </c>
      <c r="G613" s="488"/>
    </row>
    <row r="614" spans="2:7" x14ac:dyDescent="0.25">
      <c r="B614" s="491" t="s">
        <v>446</v>
      </c>
      <c r="C614" s="495">
        <v>43115</v>
      </c>
      <c r="D614" s="492">
        <v>19417</v>
      </c>
      <c r="E614" s="497">
        <v>245313</v>
      </c>
      <c r="F614" s="505">
        <v>4.2837669699030924E-3</v>
      </c>
      <c r="G614" s="488"/>
    </row>
    <row r="615" spans="2:7" x14ac:dyDescent="0.25">
      <c r="B615" s="491" t="s">
        <v>446</v>
      </c>
      <c r="C615" s="495">
        <v>43116</v>
      </c>
      <c r="D615" s="492">
        <v>19261</v>
      </c>
      <c r="E615" s="497">
        <v>559484</v>
      </c>
      <c r="F615" s="505">
        <v>-8.0666449102312892E-3</v>
      </c>
      <c r="G615" s="488"/>
    </row>
    <row r="616" spans="2:7" x14ac:dyDescent="0.25">
      <c r="B616" s="491" t="s">
        <v>446</v>
      </c>
      <c r="C616" s="495">
        <v>43117</v>
      </c>
      <c r="D616" s="492">
        <v>20000</v>
      </c>
      <c r="E616" s="497">
        <v>360769</v>
      </c>
      <c r="F616" s="505">
        <v>3.7649947451905544E-2</v>
      </c>
      <c r="G616" s="488"/>
    </row>
    <row r="617" spans="2:7" x14ac:dyDescent="0.25">
      <c r="B617" s="491" t="s">
        <v>446</v>
      </c>
      <c r="C617" s="495">
        <v>43118</v>
      </c>
      <c r="D617" s="492">
        <v>20659</v>
      </c>
      <c r="E617" s="497">
        <v>515206</v>
      </c>
      <c r="F617" s="505">
        <v>3.2418786255500744E-2</v>
      </c>
      <c r="G617" s="488"/>
    </row>
    <row r="618" spans="2:7" x14ac:dyDescent="0.25">
      <c r="B618" s="491" t="s">
        <v>446</v>
      </c>
      <c r="C618" s="495">
        <v>43119</v>
      </c>
      <c r="D618" s="492">
        <v>20415</v>
      </c>
      <c r="E618" s="497">
        <v>724616</v>
      </c>
      <c r="F618" s="505">
        <v>-1.1881135037952621E-2</v>
      </c>
      <c r="G618" s="488"/>
    </row>
    <row r="619" spans="2:7" x14ac:dyDescent="0.25">
      <c r="B619" s="491" t="s">
        <v>446</v>
      </c>
      <c r="C619" s="495">
        <v>43122</v>
      </c>
      <c r="D619" s="492">
        <v>20000</v>
      </c>
      <c r="E619" s="497">
        <v>557622</v>
      </c>
      <c r="F619" s="505">
        <v>-2.0537651217548095E-2</v>
      </c>
      <c r="G619" s="488"/>
    </row>
    <row r="620" spans="2:7" x14ac:dyDescent="0.25">
      <c r="B620" s="491" t="s">
        <v>446</v>
      </c>
      <c r="C620" s="495">
        <v>43123</v>
      </c>
      <c r="D620" s="492">
        <v>20256</v>
      </c>
      <c r="E620" s="497">
        <v>401471</v>
      </c>
      <c r="F620" s="505">
        <v>1.2718772407774612E-2</v>
      </c>
      <c r="G620" s="488"/>
    </row>
    <row r="621" spans="2:7" x14ac:dyDescent="0.25">
      <c r="B621" s="491" t="s">
        <v>446</v>
      </c>
      <c r="C621" s="495">
        <v>43124</v>
      </c>
      <c r="D621" s="492">
        <v>20921</v>
      </c>
      <c r="E621" s="497">
        <v>466165</v>
      </c>
      <c r="F621" s="505">
        <v>3.2302393239745625E-2</v>
      </c>
      <c r="G621" s="488"/>
    </row>
    <row r="622" spans="2:7" x14ac:dyDescent="0.25">
      <c r="B622" s="491" t="s">
        <v>446</v>
      </c>
      <c r="C622" s="495">
        <v>43125</v>
      </c>
      <c r="D622" s="492">
        <v>21153</v>
      </c>
      <c r="E622" s="497">
        <v>468385</v>
      </c>
      <c r="F622" s="505">
        <v>1.1028300203501887E-2</v>
      </c>
      <c r="G622" s="488"/>
    </row>
    <row r="623" spans="2:7" x14ac:dyDescent="0.25">
      <c r="B623" s="491" t="s">
        <v>446</v>
      </c>
      <c r="C623" s="495">
        <v>43126</v>
      </c>
      <c r="D623" s="492">
        <v>20919</v>
      </c>
      <c r="E623" s="497">
        <v>487914</v>
      </c>
      <c r="F623" s="505">
        <v>-1.1123902498029808E-2</v>
      </c>
      <c r="G623" s="488"/>
    </row>
    <row r="624" spans="2:7" x14ac:dyDescent="0.25">
      <c r="B624" s="491" t="s">
        <v>446</v>
      </c>
      <c r="C624" s="495">
        <v>43129</v>
      </c>
      <c r="D624" s="492">
        <v>20125</v>
      </c>
      <c r="E624" s="497">
        <v>440193</v>
      </c>
      <c r="F624" s="505">
        <v>-3.8695013602356297E-2</v>
      </c>
      <c r="G624" s="488"/>
    </row>
    <row r="625" spans="2:7" x14ac:dyDescent="0.25">
      <c r="B625" s="491" t="s">
        <v>446</v>
      </c>
      <c r="C625" s="495">
        <v>43130</v>
      </c>
      <c r="D625" s="492">
        <v>20287</v>
      </c>
      <c r="E625" s="497">
        <v>649677</v>
      </c>
      <c r="F625" s="505">
        <v>8.0174635145653424E-3</v>
      </c>
      <c r="G625" s="488"/>
    </row>
    <row r="626" spans="2:7" x14ac:dyDescent="0.25">
      <c r="B626" s="491" t="s">
        <v>446</v>
      </c>
      <c r="C626" s="495">
        <v>43131</v>
      </c>
      <c r="D626" s="492">
        <v>20500</v>
      </c>
      <c r="E626" s="497">
        <v>823752</v>
      </c>
      <c r="F626" s="505">
        <v>1.0444599325170214E-2</v>
      </c>
      <c r="G626" s="488"/>
    </row>
    <row r="627" spans="2:7" x14ac:dyDescent="0.25">
      <c r="B627" s="491" t="s">
        <v>446</v>
      </c>
      <c r="C627" s="495">
        <v>43132</v>
      </c>
      <c r="D627" s="492">
        <v>20000</v>
      </c>
      <c r="E627" s="497">
        <v>445889</v>
      </c>
      <c r="F627" s="505">
        <v>-2.4692612590371522E-2</v>
      </c>
      <c r="G627" s="488"/>
    </row>
    <row r="628" spans="2:7" x14ac:dyDescent="0.25">
      <c r="B628" s="491" t="s">
        <v>446</v>
      </c>
      <c r="C628" s="495">
        <v>43133</v>
      </c>
      <c r="D628" s="492">
        <v>19926</v>
      </c>
      <c r="E628" s="497">
        <v>704180</v>
      </c>
      <c r="F628" s="505">
        <v>-3.7068619313265121E-3</v>
      </c>
      <c r="G628" s="488"/>
    </row>
    <row r="629" spans="2:7" x14ac:dyDescent="0.25">
      <c r="B629" s="491" t="s">
        <v>446</v>
      </c>
      <c r="C629" s="495">
        <v>43136</v>
      </c>
      <c r="D629" s="492">
        <v>18963</v>
      </c>
      <c r="E629" s="497">
        <v>484196</v>
      </c>
      <c r="F629" s="505">
        <v>-4.9535699464393179E-2</v>
      </c>
      <c r="G629" s="488"/>
    </row>
    <row r="630" spans="2:7" x14ac:dyDescent="0.25">
      <c r="B630" s="491" t="s">
        <v>446</v>
      </c>
      <c r="C630" s="495">
        <v>43137</v>
      </c>
      <c r="D630" s="492">
        <v>19025</v>
      </c>
      <c r="E630" s="497">
        <v>938584</v>
      </c>
      <c r="F630" s="505">
        <v>3.2641915894780923E-3</v>
      </c>
      <c r="G630" s="488"/>
    </row>
    <row r="631" spans="2:7" x14ac:dyDescent="0.25">
      <c r="B631" s="491" t="s">
        <v>446</v>
      </c>
      <c r="C631" s="495">
        <v>43138</v>
      </c>
      <c r="D631" s="492">
        <v>19200</v>
      </c>
      <c r="E631" s="497">
        <v>1030946</v>
      </c>
      <c r="F631" s="505">
        <v>9.1563752859862412E-3</v>
      </c>
      <c r="G631" s="488"/>
    </row>
    <row r="632" spans="2:7" x14ac:dyDescent="0.25">
      <c r="B632" s="491" t="s">
        <v>446</v>
      </c>
      <c r="C632" s="495">
        <v>43139</v>
      </c>
      <c r="D632" s="492">
        <v>19625</v>
      </c>
      <c r="E632" s="497">
        <v>610149</v>
      </c>
      <c r="F632" s="505">
        <v>2.1893984634736338E-2</v>
      </c>
      <c r="G632" s="488"/>
    </row>
    <row r="633" spans="2:7" x14ac:dyDescent="0.25">
      <c r="B633" s="491" t="s">
        <v>446</v>
      </c>
      <c r="C633" s="495">
        <v>43140</v>
      </c>
      <c r="D633" s="492">
        <v>19376</v>
      </c>
      <c r="E633" s="497">
        <v>548429</v>
      </c>
      <c r="F633" s="505">
        <v>-1.2769076857735638E-2</v>
      </c>
      <c r="G633" s="488"/>
    </row>
    <row r="634" spans="2:7" x14ac:dyDescent="0.25">
      <c r="B634" s="491" t="s">
        <v>446</v>
      </c>
      <c r="C634" s="495">
        <v>43143</v>
      </c>
      <c r="D634" s="492">
        <v>19887</v>
      </c>
      <c r="E634" s="497">
        <v>440398</v>
      </c>
      <c r="F634" s="505">
        <v>2.60310651166277E-2</v>
      </c>
      <c r="G634" s="488"/>
    </row>
    <row r="635" spans="2:7" x14ac:dyDescent="0.25">
      <c r="B635" s="491" t="s">
        <v>446</v>
      </c>
      <c r="C635" s="495">
        <v>43144</v>
      </c>
      <c r="D635" s="492">
        <v>20832</v>
      </c>
      <c r="E635" s="497">
        <v>655727</v>
      </c>
      <c r="F635" s="505">
        <v>4.6424014098794569E-2</v>
      </c>
      <c r="G635" s="488"/>
    </row>
    <row r="636" spans="2:7" x14ac:dyDescent="0.25">
      <c r="B636" s="491" t="s">
        <v>446</v>
      </c>
      <c r="C636" s="495">
        <v>43145</v>
      </c>
      <c r="D636" s="492">
        <v>21224</v>
      </c>
      <c r="E636" s="497">
        <v>566544</v>
      </c>
      <c r="F636" s="505">
        <v>1.8642350809279774E-2</v>
      </c>
      <c r="G636" s="488"/>
    </row>
    <row r="637" spans="2:7" x14ac:dyDescent="0.25">
      <c r="B637" s="491" t="s">
        <v>446</v>
      </c>
      <c r="C637" s="495">
        <v>43146</v>
      </c>
      <c r="D637" s="492">
        <v>21784</v>
      </c>
      <c r="E637" s="497">
        <v>573221</v>
      </c>
      <c r="F637" s="505">
        <v>2.6043138536019875E-2</v>
      </c>
      <c r="G637" s="488"/>
    </row>
    <row r="638" spans="2:7" x14ac:dyDescent="0.25">
      <c r="B638" s="491" t="s">
        <v>446</v>
      </c>
      <c r="C638" s="495">
        <v>43147</v>
      </c>
      <c r="D638" s="492">
        <v>21780</v>
      </c>
      <c r="E638" s="497">
        <v>736818</v>
      </c>
      <c r="F638" s="505">
        <v>-1.8363786664408747E-4</v>
      </c>
      <c r="G638" s="488"/>
    </row>
    <row r="639" spans="2:7" x14ac:dyDescent="0.25">
      <c r="B639" s="491" t="s">
        <v>446</v>
      </c>
      <c r="C639" s="495">
        <v>43150</v>
      </c>
      <c r="D639" s="492">
        <v>21092</v>
      </c>
      <c r="E639" s="497">
        <v>316044</v>
      </c>
      <c r="F639" s="505">
        <v>-3.2098295836591031E-2</v>
      </c>
      <c r="G639" s="488"/>
    </row>
    <row r="640" spans="2:7" x14ac:dyDescent="0.25">
      <c r="B640" s="491" t="s">
        <v>446</v>
      </c>
      <c r="C640" s="495">
        <v>43151</v>
      </c>
      <c r="D640" s="492">
        <v>21196</v>
      </c>
      <c r="E640" s="497">
        <v>312822</v>
      </c>
      <c r="F640" s="505">
        <v>4.9186629622923568E-3</v>
      </c>
      <c r="G640" s="488"/>
    </row>
    <row r="641" spans="2:7" x14ac:dyDescent="0.25">
      <c r="B641" s="491" t="s">
        <v>446</v>
      </c>
      <c r="C641" s="495">
        <v>43152</v>
      </c>
      <c r="D641" s="492">
        <v>20850</v>
      </c>
      <c r="E641" s="497">
        <v>999065</v>
      </c>
      <c r="F641" s="505">
        <v>-1.6458536385705217E-2</v>
      </c>
      <c r="G641" s="488"/>
    </row>
    <row r="642" spans="2:7" x14ac:dyDescent="0.25">
      <c r="B642" s="491" t="s">
        <v>446</v>
      </c>
      <c r="C642" s="495">
        <v>43153</v>
      </c>
      <c r="D642" s="492">
        <v>21085</v>
      </c>
      <c r="E642" s="497">
        <v>473596</v>
      </c>
      <c r="F642" s="505">
        <v>1.1207938953712703E-2</v>
      </c>
      <c r="G642" s="488"/>
    </row>
    <row r="643" spans="2:7" x14ac:dyDescent="0.25">
      <c r="B643" s="491" t="s">
        <v>446</v>
      </c>
      <c r="C643" s="495">
        <v>43154</v>
      </c>
      <c r="D643" s="492">
        <v>22112</v>
      </c>
      <c r="E643" s="497">
        <v>618254</v>
      </c>
      <c r="F643" s="505">
        <v>4.7558560386736115E-2</v>
      </c>
      <c r="G643" s="488"/>
    </row>
    <row r="644" spans="2:7" x14ac:dyDescent="0.25">
      <c r="B644" s="491" t="s">
        <v>446</v>
      </c>
      <c r="C644" s="495">
        <v>43157</v>
      </c>
      <c r="D644" s="492">
        <v>22000</v>
      </c>
      <c r="E644" s="497">
        <v>960182</v>
      </c>
      <c r="F644" s="505">
        <v>-5.0779942269435826E-3</v>
      </c>
      <c r="G644" s="488"/>
    </row>
    <row r="645" spans="2:7" x14ac:dyDescent="0.25">
      <c r="B645" s="491" t="s">
        <v>446</v>
      </c>
      <c r="C645" s="495">
        <v>43158</v>
      </c>
      <c r="D645" s="492">
        <v>22265</v>
      </c>
      <c r="E645" s="497">
        <v>603624</v>
      </c>
      <c r="F645" s="505">
        <v>1.1973485415349773E-2</v>
      </c>
      <c r="G645" s="488"/>
    </row>
    <row r="646" spans="2:7" x14ac:dyDescent="0.25">
      <c r="B646" s="491" t="s">
        <v>446</v>
      </c>
      <c r="C646" s="495">
        <v>43159</v>
      </c>
      <c r="D646" s="492">
        <v>21860</v>
      </c>
      <c r="E646" s="497">
        <v>601759</v>
      </c>
      <c r="F646" s="505">
        <v>-1.8357456025273229E-2</v>
      </c>
      <c r="G646" s="488"/>
    </row>
    <row r="647" spans="2:7" x14ac:dyDescent="0.25">
      <c r="B647" s="491" t="s">
        <v>446</v>
      </c>
      <c r="C647" s="495">
        <v>43160</v>
      </c>
      <c r="D647" s="492">
        <v>21701</v>
      </c>
      <c r="E647" s="497">
        <v>717208</v>
      </c>
      <c r="F647" s="505">
        <v>-7.3001403144563578E-3</v>
      </c>
      <c r="G647" s="488"/>
    </row>
    <row r="648" spans="2:7" x14ac:dyDescent="0.25">
      <c r="B648" s="491" t="s">
        <v>446</v>
      </c>
      <c r="C648" s="495">
        <v>43161</v>
      </c>
      <c r="D648" s="492">
        <v>21965</v>
      </c>
      <c r="E648" s="497">
        <v>509488</v>
      </c>
      <c r="F648" s="505">
        <v>1.2091934993806758E-2</v>
      </c>
      <c r="G648" s="488"/>
    </row>
    <row r="649" spans="2:7" x14ac:dyDescent="0.25">
      <c r="B649" s="491" t="s">
        <v>446</v>
      </c>
      <c r="C649" s="495">
        <v>43164</v>
      </c>
      <c r="D649" s="492">
        <v>21918</v>
      </c>
      <c r="E649" s="497">
        <v>619814</v>
      </c>
      <c r="F649" s="505">
        <v>-2.1420603865424334E-3</v>
      </c>
      <c r="G649" s="488"/>
    </row>
    <row r="650" spans="2:7" x14ac:dyDescent="0.25">
      <c r="B650" s="491" t="s">
        <v>446</v>
      </c>
      <c r="C650" s="495">
        <v>43165</v>
      </c>
      <c r="D650" s="492">
        <v>21983</v>
      </c>
      <c r="E650" s="497">
        <v>701689</v>
      </c>
      <c r="F650" s="505">
        <v>2.9612103367794677E-3</v>
      </c>
      <c r="G650" s="488"/>
    </row>
    <row r="651" spans="2:7" x14ac:dyDescent="0.25">
      <c r="B651" s="491" t="s">
        <v>446</v>
      </c>
      <c r="C651" s="495">
        <v>43166</v>
      </c>
      <c r="D651" s="492">
        <v>22175</v>
      </c>
      <c r="E651" s="497">
        <v>762288</v>
      </c>
      <c r="F651" s="505">
        <v>8.6961008176632427E-3</v>
      </c>
      <c r="G651" s="488"/>
    </row>
    <row r="652" spans="2:7" x14ac:dyDescent="0.25">
      <c r="B652" s="491" t="s">
        <v>446</v>
      </c>
      <c r="C652" s="495">
        <v>43167</v>
      </c>
      <c r="D652" s="492">
        <v>21346</v>
      </c>
      <c r="E652" s="497">
        <v>652957</v>
      </c>
      <c r="F652" s="505">
        <v>-3.8101159703869944E-2</v>
      </c>
      <c r="G652" s="488"/>
    </row>
    <row r="653" spans="2:7" x14ac:dyDescent="0.25">
      <c r="B653" s="491" t="s">
        <v>446</v>
      </c>
      <c r="C653" s="495">
        <v>43168</v>
      </c>
      <c r="D653" s="492">
        <v>21507</v>
      </c>
      <c r="E653" s="497">
        <v>500585</v>
      </c>
      <c r="F653" s="505">
        <v>7.5140950470715551E-3</v>
      </c>
      <c r="G653" s="488"/>
    </row>
    <row r="654" spans="2:7" x14ac:dyDescent="0.25">
      <c r="B654" s="491" t="s">
        <v>446</v>
      </c>
      <c r="C654" s="495">
        <v>43171</v>
      </c>
      <c r="D654" s="492">
        <v>21270</v>
      </c>
      <c r="E654" s="497">
        <v>610941</v>
      </c>
      <c r="F654" s="505">
        <v>-1.1080834326699008E-2</v>
      </c>
      <c r="G654" s="488"/>
    </row>
    <row r="655" spans="2:7" x14ac:dyDescent="0.25">
      <c r="B655" s="491" t="s">
        <v>446</v>
      </c>
      <c r="C655" s="495">
        <v>43172</v>
      </c>
      <c r="D655" s="492">
        <v>20997</v>
      </c>
      <c r="E655" s="497">
        <v>451203</v>
      </c>
      <c r="F655" s="505">
        <v>-1.2918058836633481E-2</v>
      </c>
      <c r="G655" s="488"/>
    </row>
    <row r="656" spans="2:7" x14ac:dyDescent="0.25">
      <c r="B656" s="491" t="s">
        <v>446</v>
      </c>
      <c r="C656" s="495">
        <v>43173</v>
      </c>
      <c r="D656" s="492">
        <v>20501</v>
      </c>
      <c r="E656" s="497">
        <v>367756</v>
      </c>
      <c r="F656" s="505">
        <v>-2.3905904933074189E-2</v>
      </c>
      <c r="G656" s="488"/>
    </row>
    <row r="657" spans="2:7" x14ac:dyDescent="0.25">
      <c r="B657" s="491" t="s">
        <v>446</v>
      </c>
      <c r="C657" s="495">
        <v>43174</v>
      </c>
      <c r="D657" s="492">
        <v>20444</v>
      </c>
      <c r="E657" s="497">
        <v>1404757</v>
      </c>
      <c r="F657" s="505">
        <v>-2.7842245364049865E-3</v>
      </c>
      <c r="G657" s="488"/>
    </row>
    <row r="658" spans="2:7" x14ac:dyDescent="0.25">
      <c r="B658" s="491" t="s">
        <v>446</v>
      </c>
      <c r="C658" s="495">
        <v>43175</v>
      </c>
      <c r="D658" s="492">
        <v>20962</v>
      </c>
      <c r="E658" s="497">
        <v>2083514</v>
      </c>
      <c r="F658" s="505">
        <v>2.5021833841952484E-2</v>
      </c>
      <c r="G658" s="488"/>
    </row>
    <row r="659" spans="2:7" x14ac:dyDescent="0.25">
      <c r="B659" s="491" t="s">
        <v>446</v>
      </c>
      <c r="C659" s="495">
        <v>43178</v>
      </c>
      <c r="D659" s="492">
        <v>20958</v>
      </c>
      <c r="E659" s="497">
        <v>293347</v>
      </c>
      <c r="F659" s="505">
        <v>-1.9083969523570784E-4</v>
      </c>
      <c r="G659" s="488"/>
    </row>
    <row r="660" spans="2:7" x14ac:dyDescent="0.25">
      <c r="B660" s="491" t="s">
        <v>446</v>
      </c>
      <c r="C660" s="495">
        <v>43179</v>
      </c>
      <c r="D660" s="492">
        <v>20950</v>
      </c>
      <c r="E660" s="497">
        <v>340031</v>
      </c>
      <c r="F660" s="505">
        <v>-3.8178868460315551E-4</v>
      </c>
      <c r="G660" s="488"/>
    </row>
    <row r="661" spans="2:7" x14ac:dyDescent="0.25">
      <c r="B661" s="491" t="s">
        <v>446</v>
      </c>
      <c r="C661" s="495">
        <v>43181</v>
      </c>
      <c r="D661" s="492">
        <v>21000</v>
      </c>
      <c r="E661" s="497">
        <v>586495</v>
      </c>
      <c r="F661" s="505">
        <v>2.3837913552761975E-3</v>
      </c>
      <c r="G661" s="488"/>
    </row>
    <row r="662" spans="2:7" x14ac:dyDescent="0.25">
      <c r="B662" s="491" t="s">
        <v>446</v>
      </c>
      <c r="C662" s="495">
        <v>43182</v>
      </c>
      <c r="D662" s="492">
        <v>20900</v>
      </c>
      <c r="E662" s="497">
        <v>411890</v>
      </c>
      <c r="F662" s="505">
        <v>-4.7732787526576599E-3</v>
      </c>
      <c r="G662" s="488"/>
    </row>
    <row r="663" spans="2:7" x14ac:dyDescent="0.25">
      <c r="B663" s="491" t="s">
        <v>446</v>
      </c>
      <c r="C663" s="495">
        <v>43185</v>
      </c>
      <c r="D663" s="492">
        <v>20798</v>
      </c>
      <c r="E663" s="497">
        <v>467976</v>
      </c>
      <c r="F663" s="505">
        <v>-4.8923307327242739E-3</v>
      </c>
      <c r="G663" s="488"/>
    </row>
    <row r="664" spans="2:7" x14ac:dyDescent="0.25">
      <c r="B664" s="491" t="s">
        <v>446</v>
      </c>
      <c r="C664" s="495">
        <v>43186</v>
      </c>
      <c r="D664" s="492">
        <v>20367</v>
      </c>
      <c r="E664" s="497">
        <v>484051</v>
      </c>
      <c r="F664" s="505">
        <v>-2.0940884250421343E-2</v>
      </c>
      <c r="G664" s="488"/>
    </row>
    <row r="665" spans="2:7" x14ac:dyDescent="0.25">
      <c r="B665" s="491" t="s">
        <v>446</v>
      </c>
      <c r="C665" s="495">
        <v>43187</v>
      </c>
      <c r="D665" s="492">
        <v>20135</v>
      </c>
      <c r="E665" s="497">
        <v>651229</v>
      </c>
      <c r="F665" s="505">
        <v>-1.1456349684202175E-2</v>
      </c>
      <c r="G665" s="488"/>
    </row>
    <row r="666" spans="2:7" x14ac:dyDescent="0.25">
      <c r="B666" s="491" t="s">
        <v>446</v>
      </c>
      <c r="C666" s="495">
        <v>43188</v>
      </c>
      <c r="D666" s="492">
        <v>20256</v>
      </c>
      <c r="E666" s="497">
        <v>860904</v>
      </c>
      <c r="F666" s="505">
        <v>5.9914516583482111E-3</v>
      </c>
      <c r="G666" s="488"/>
    </row>
    <row r="667" spans="2:7" x14ac:dyDescent="0.25">
      <c r="B667" s="491" t="s">
        <v>446</v>
      </c>
      <c r="C667" s="495">
        <v>43193</v>
      </c>
      <c r="D667" s="492">
        <v>20099</v>
      </c>
      <c r="E667" s="497">
        <v>785611</v>
      </c>
      <c r="F667" s="505">
        <v>-7.7809833781508717E-3</v>
      </c>
      <c r="G667" s="488"/>
    </row>
    <row r="668" spans="2:7" x14ac:dyDescent="0.25">
      <c r="B668" s="491" t="s">
        <v>446</v>
      </c>
      <c r="C668" s="495">
        <v>43194</v>
      </c>
      <c r="D668" s="492">
        <v>20108</v>
      </c>
      <c r="E668" s="497">
        <v>638625</v>
      </c>
      <c r="F668" s="505">
        <v>4.4768324671411993E-4</v>
      </c>
      <c r="G668" s="488"/>
    </row>
    <row r="669" spans="2:7" x14ac:dyDescent="0.25">
      <c r="B669" s="491" t="s">
        <v>446</v>
      </c>
      <c r="C669" s="495">
        <v>43195</v>
      </c>
      <c r="D669" s="492">
        <v>20100</v>
      </c>
      <c r="E669" s="497">
        <v>573843</v>
      </c>
      <c r="F669" s="505">
        <v>-3.9793076529879754E-4</v>
      </c>
      <c r="G669" s="488"/>
    </row>
    <row r="670" spans="2:7" x14ac:dyDescent="0.25">
      <c r="B670" s="491" t="s">
        <v>446</v>
      </c>
      <c r="C670" s="495">
        <v>43196</v>
      </c>
      <c r="D670" s="492">
        <v>20000</v>
      </c>
      <c r="E670" s="497">
        <v>519641</v>
      </c>
      <c r="F670" s="505">
        <v>-4.9875415110390512E-3</v>
      </c>
      <c r="G670" s="488"/>
    </row>
    <row r="671" spans="2:7" x14ac:dyDescent="0.25">
      <c r="B671" s="491" t="s">
        <v>446</v>
      </c>
      <c r="C671" s="495">
        <v>43199</v>
      </c>
      <c r="D671" s="492">
        <v>20000</v>
      </c>
      <c r="E671" s="497">
        <v>748752</v>
      </c>
      <c r="F671" s="505">
        <v>0</v>
      </c>
      <c r="G671" s="488"/>
    </row>
    <row r="672" spans="2:7" x14ac:dyDescent="0.25">
      <c r="B672" s="491" t="s">
        <v>446</v>
      </c>
      <c r="C672" s="495">
        <v>43200</v>
      </c>
      <c r="D672" s="492">
        <v>20165</v>
      </c>
      <c r="E672" s="497">
        <v>393949</v>
      </c>
      <c r="F672" s="505">
        <v>8.2161547713405642E-3</v>
      </c>
      <c r="G672" s="488"/>
    </row>
    <row r="673" spans="2:7" x14ac:dyDescent="0.25">
      <c r="B673" s="491" t="s">
        <v>446</v>
      </c>
      <c r="C673" s="495">
        <v>43201</v>
      </c>
      <c r="D673" s="492">
        <v>20206</v>
      </c>
      <c r="E673" s="497">
        <v>389338</v>
      </c>
      <c r="F673" s="505">
        <v>2.0311616802089934E-3</v>
      </c>
      <c r="G673" s="488"/>
    </row>
    <row r="674" spans="2:7" x14ac:dyDescent="0.25">
      <c r="B674" s="491" t="s">
        <v>446</v>
      </c>
      <c r="C674" s="495">
        <v>43202</v>
      </c>
      <c r="D674" s="492">
        <v>20009</v>
      </c>
      <c r="E674" s="497">
        <v>297389</v>
      </c>
      <c r="F674" s="505">
        <v>-9.7974176711848066E-3</v>
      </c>
      <c r="G674" s="488"/>
    </row>
    <row r="675" spans="2:7" x14ac:dyDescent="0.25">
      <c r="B675" s="491" t="s">
        <v>446</v>
      </c>
      <c r="C675" s="495">
        <v>43203</v>
      </c>
      <c r="D675" s="492">
        <v>20186</v>
      </c>
      <c r="E675" s="497">
        <v>407070</v>
      </c>
      <c r="F675" s="505">
        <v>8.8071224823120017E-3</v>
      </c>
      <c r="G675" s="488"/>
    </row>
    <row r="676" spans="2:7" x14ac:dyDescent="0.25">
      <c r="B676" s="491" t="s">
        <v>446</v>
      </c>
      <c r="C676" s="495">
        <v>43206</v>
      </c>
      <c r="D676" s="492">
        <v>20270</v>
      </c>
      <c r="E676" s="497">
        <v>339124</v>
      </c>
      <c r="F676" s="505">
        <v>4.1526656472409863E-3</v>
      </c>
      <c r="G676" s="488"/>
    </row>
    <row r="677" spans="2:7" x14ac:dyDescent="0.25">
      <c r="B677" s="491" t="s">
        <v>446</v>
      </c>
      <c r="C677" s="495">
        <v>43207</v>
      </c>
      <c r="D677" s="492">
        <v>20744</v>
      </c>
      <c r="E677" s="497">
        <v>421297</v>
      </c>
      <c r="F677" s="505">
        <v>2.3115087772454614E-2</v>
      </c>
      <c r="G677" s="488"/>
    </row>
    <row r="678" spans="2:7" x14ac:dyDescent="0.25">
      <c r="B678" s="491" t="s">
        <v>446</v>
      </c>
      <c r="C678" s="495">
        <v>43208</v>
      </c>
      <c r="D678" s="492">
        <v>20700</v>
      </c>
      <c r="E678" s="497">
        <v>596430</v>
      </c>
      <c r="F678" s="505">
        <v>-2.1233479650398209E-3</v>
      </c>
      <c r="G678" s="488"/>
    </row>
    <row r="679" spans="2:7" x14ac:dyDescent="0.25">
      <c r="B679" s="491" t="s">
        <v>446</v>
      </c>
      <c r="C679" s="495">
        <v>43209</v>
      </c>
      <c r="D679" s="492">
        <v>20715</v>
      </c>
      <c r="E679" s="497">
        <v>364460</v>
      </c>
      <c r="F679" s="505">
        <v>7.2437525804170159E-4</v>
      </c>
      <c r="G679" s="488"/>
    </row>
    <row r="680" spans="2:7" x14ac:dyDescent="0.25">
      <c r="B680" s="491" t="s">
        <v>446</v>
      </c>
      <c r="C680" s="495">
        <v>43210</v>
      </c>
      <c r="D680" s="492">
        <v>20914</v>
      </c>
      <c r="E680" s="497">
        <v>454275</v>
      </c>
      <c r="F680" s="505">
        <v>9.560715647031974E-3</v>
      </c>
      <c r="G680" s="488"/>
    </row>
    <row r="681" spans="2:7" x14ac:dyDescent="0.25">
      <c r="B681" s="491" t="s">
        <v>446</v>
      </c>
      <c r="C681" s="495">
        <v>43213</v>
      </c>
      <c r="D681" s="492">
        <v>20865</v>
      </c>
      <c r="E681" s="497">
        <v>342519</v>
      </c>
      <c r="F681" s="505">
        <v>-2.3456771328811414E-3</v>
      </c>
      <c r="G681" s="488"/>
    </row>
    <row r="682" spans="2:7" x14ac:dyDescent="0.25">
      <c r="B682" s="491" t="s">
        <v>446</v>
      </c>
      <c r="C682" s="495">
        <v>43214</v>
      </c>
      <c r="D682" s="492">
        <v>20676</v>
      </c>
      <c r="E682" s="497">
        <v>171520</v>
      </c>
      <c r="F682" s="505">
        <v>-9.099506709723015E-3</v>
      </c>
      <c r="G682" s="488"/>
    </row>
    <row r="683" spans="2:7" x14ac:dyDescent="0.25">
      <c r="B683" s="491" t="s">
        <v>446</v>
      </c>
      <c r="C683" s="495">
        <v>43215</v>
      </c>
      <c r="D683" s="492">
        <v>20930</v>
      </c>
      <c r="E683" s="497">
        <v>266323</v>
      </c>
      <c r="F683" s="505">
        <v>1.2209929124115435E-2</v>
      </c>
      <c r="G683" s="488"/>
    </row>
    <row r="684" spans="2:7" x14ac:dyDescent="0.25">
      <c r="B684" s="491" t="s">
        <v>446</v>
      </c>
      <c r="C684" s="495">
        <v>43216</v>
      </c>
      <c r="D684" s="492">
        <v>20864</v>
      </c>
      <c r="E684" s="497">
        <v>308483</v>
      </c>
      <c r="F684" s="505">
        <v>-3.1583507136658758E-3</v>
      </c>
      <c r="G684" s="488"/>
    </row>
    <row r="685" spans="2:7" x14ac:dyDescent="0.25">
      <c r="B685" s="491" t="s">
        <v>446</v>
      </c>
      <c r="C685" s="495">
        <v>43220</v>
      </c>
      <c r="D685" s="492">
        <v>21145</v>
      </c>
      <c r="E685" s="497">
        <v>433489</v>
      </c>
      <c r="F685" s="505">
        <v>1.3378285180209348E-2</v>
      </c>
      <c r="G685" s="488"/>
    </row>
    <row r="686" spans="2:7" x14ac:dyDescent="0.25">
      <c r="B686" s="491" t="s">
        <v>446</v>
      </c>
      <c r="C686" s="495">
        <v>43222</v>
      </c>
      <c r="D686" s="492">
        <v>21000</v>
      </c>
      <c r="E686" s="497">
        <v>274677</v>
      </c>
      <c r="F686" s="505">
        <v>-6.8810332010288949E-3</v>
      </c>
      <c r="G686" s="488"/>
    </row>
    <row r="687" spans="2:7" x14ac:dyDescent="0.25">
      <c r="B687" s="491" t="s">
        <v>446</v>
      </c>
      <c r="C687" s="495">
        <v>43223</v>
      </c>
      <c r="D687" s="492">
        <v>20390</v>
      </c>
      <c r="E687" s="497">
        <v>498541</v>
      </c>
      <c r="F687" s="505">
        <v>-2.9477853137059244E-2</v>
      </c>
      <c r="G687" s="488"/>
    </row>
    <row r="688" spans="2:7" x14ac:dyDescent="0.25">
      <c r="B688" s="491" t="s">
        <v>446</v>
      </c>
      <c r="C688" s="495">
        <v>43224</v>
      </c>
      <c r="D688" s="492">
        <v>20400</v>
      </c>
      <c r="E688" s="497">
        <v>350649</v>
      </c>
      <c r="F688" s="505">
        <v>4.903162638069552E-4</v>
      </c>
      <c r="G688" s="488"/>
    </row>
    <row r="689" spans="2:7" x14ac:dyDescent="0.25">
      <c r="B689" s="491" t="s">
        <v>446</v>
      </c>
      <c r="C689" s="495">
        <v>43227</v>
      </c>
      <c r="D689" s="492">
        <v>20261</v>
      </c>
      <c r="E689" s="497">
        <v>218563</v>
      </c>
      <c r="F689" s="505">
        <v>-6.8370449061565409E-3</v>
      </c>
      <c r="G689" s="488"/>
    </row>
    <row r="690" spans="2:7" x14ac:dyDescent="0.25">
      <c r="B690" s="491" t="s">
        <v>446</v>
      </c>
      <c r="C690" s="495">
        <v>43228</v>
      </c>
      <c r="D690" s="492">
        <v>19916</v>
      </c>
      <c r="E690" s="497">
        <v>423507</v>
      </c>
      <c r="F690" s="505">
        <v>-1.717442716407791E-2</v>
      </c>
      <c r="G690" s="488"/>
    </row>
    <row r="691" spans="2:7" x14ac:dyDescent="0.25">
      <c r="B691" s="491" t="s">
        <v>446</v>
      </c>
      <c r="C691" s="495">
        <v>43229</v>
      </c>
      <c r="D691" s="492">
        <v>20078</v>
      </c>
      <c r="E691" s="497">
        <v>455738</v>
      </c>
      <c r="F691" s="505">
        <v>8.1012594893984987E-3</v>
      </c>
      <c r="G691" s="488"/>
    </row>
    <row r="692" spans="2:7" x14ac:dyDescent="0.25">
      <c r="B692" s="491" t="s">
        <v>446</v>
      </c>
      <c r="C692" s="495">
        <v>43230</v>
      </c>
      <c r="D692" s="492">
        <v>19925</v>
      </c>
      <c r="E692" s="497">
        <v>751137</v>
      </c>
      <c r="F692" s="505">
        <v>-7.64946359305607E-3</v>
      </c>
      <c r="G692" s="488"/>
    </row>
    <row r="693" spans="2:7" x14ac:dyDescent="0.25">
      <c r="B693" s="491" t="s">
        <v>446</v>
      </c>
      <c r="C693" s="495">
        <v>43231</v>
      </c>
      <c r="D693" s="492">
        <v>20236</v>
      </c>
      <c r="E693" s="497">
        <v>600077</v>
      </c>
      <c r="F693" s="505">
        <v>1.5487971753410988E-2</v>
      </c>
      <c r="G693" s="488"/>
    </row>
    <row r="694" spans="2:7" x14ac:dyDescent="0.25">
      <c r="B694" s="491" t="s">
        <v>446</v>
      </c>
      <c r="C694" s="495">
        <v>43234</v>
      </c>
      <c r="D694" s="492">
        <v>20316</v>
      </c>
      <c r="E694" s="497">
        <v>526715</v>
      </c>
      <c r="F694" s="505">
        <v>3.9455565093088462E-3</v>
      </c>
      <c r="G694" s="488"/>
    </row>
    <row r="695" spans="2:7" x14ac:dyDescent="0.25">
      <c r="B695" s="491" t="s">
        <v>446</v>
      </c>
      <c r="C695" s="495">
        <v>43235</v>
      </c>
      <c r="D695" s="492">
        <v>19853</v>
      </c>
      <c r="E695" s="497">
        <v>516693</v>
      </c>
      <c r="F695" s="505">
        <v>-2.3053623724056754E-2</v>
      </c>
      <c r="G695" s="488"/>
    </row>
    <row r="696" spans="2:7" x14ac:dyDescent="0.25">
      <c r="B696" s="491" t="s">
        <v>446</v>
      </c>
      <c r="C696" s="495">
        <v>43236</v>
      </c>
      <c r="D696" s="492">
        <v>19979</v>
      </c>
      <c r="E696" s="497">
        <v>646023</v>
      </c>
      <c r="F696" s="505">
        <v>6.3265927028700996E-3</v>
      </c>
      <c r="G696" s="488"/>
    </row>
    <row r="697" spans="2:7" x14ac:dyDescent="0.25">
      <c r="B697" s="491" t="s">
        <v>446</v>
      </c>
      <c r="C697" s="495">
        <v>43237</v>
      </c>
      <c r="D697" s="492">
        <v>19124</v>
      </c>
      <c r="E697" s="497">
        <v>577862</v>
      </c>
      <c r="F697" s="505">
        <v>-4.3737631153954924E-2</v>
      </c>
      <c r="G697" s="488"/>
    </row>
    <row r="698" spans="2:7" x14ac:dyDescent="0.25">
      <c r="B698" s="491" t="s">
        <v>446</v>
      </c>
      <c r="C698" s="495">
        <v>43238</v>
      </c>
      <c r="D698" s="492">
        <v>18998</v>
      </c>
      <c r="E698" s="497">
        <v>703581</v>
      </c>
      <c r="F698" s="505">
        <v>-6.61038029586619E-3</v>
      </c>
      <c r="G698" s="488"/>
    </row>
    <row r="699" spans="2:7" x14ac:dyDescent="0.25">
      <c r="B699" s="491" t="s">
        <v>446</v>
      </c>
      <c r="C699" s="495">
        <v>43241</v>
      </c>
      <c r="D699" s="492">
        <v>18766</v>
      </c>
      <c r="E699" s="497">
        <v>720891</v>
      </c>
      <c r="F699" s="505">
        <v>-1.228698860013284E-2</v>
      </c>
      <c r="G699" s="488"/>
    </row>
    <row r="700" spans="2:7" x14ac:dyDescent="0.25">
      <c r="B700" s="491" t="s">
        <v>446</v>
      </c>
      <c r="C700" s="495">
        <v>43242</v>
      </c>
      <c r="D700" s="492">
        <v>18955</v>
      </c>
      <c r="E700" s="497">
        <v>635168</v>
      </c>
      <c r="F700" s="505">
        <v>1.0021027100440248E-2</v>
      </c>
      <c r="G700" s="488"/>
    </row>
    <row r="701" spans="2:7" x14ac:dyDescent="0.25">
      <c r="B701" s="491" t="s">
        <v>446</v>
      </c>
      <c r="C701" s="495">
        <v>43243</v>
      </c>
      <c r="D701" s="492">
        <v>18880</v>
      </c>
      <c r="E701" s="497">
        <v>477148</v>
      </c>
      <c r="F701" s="505">
        <v>-3.9645882509434776E-3</v>
      </c>
      <c r="G701" s="488"/>
    </row>
    <row r="702" spans="2:7" x14ac:dyDescent="0.25">
      <c r="B702" s="491" t="s">
        <v>446</v>
      </c>
      <c r="C702" s="495">
        <v>43244</v>
      </c>
      <c r="D702" s="492">
        <v>18490</v>
      </c>
      <c r="E702" s="497">
        <v>543309</v>
      </c>
      <c r="F702" s="505">
        <v>-2.087311531832118E-2</v>
      </c>
      <c r="G702" s="488"/>
    </row>
    <row r="703" spans="2:7" x14ac:dyDescent="0.25">
      <c r="B703" s="491" t="s">
        <v>446</v>
      </c>
      <c r="C703" s="495">
        <v>43245</v>
      </c>
      <c r="D703" s="492">
        <v>18985</v>
      </c>
      <c r="E703" s="497">
        <v>403231</v>
      </c>
      <c r="F703" s="505">
        <v>2.641914828473213E-2</v>
      </c>
      <c r="G703" s="488"/>
    </row>
    <row r="704" spans="2:7" x14ac:dyDescent="0.25">
      <c r="B704" s="491" t="s">
        <v>446</v>
      </c>
      <c r="C704" s="495">
        <v>43248</v>
      </c>
      <c r="D704" s="492">
        <v>19100</v>
      </c>
      <c r="E704" s="497">
        <v>258422</v>
      </c>
      <c r="F704" s="505">
        <v>6.0391413688186306E-3</v>
      </c>
      <c r="G704" s="488"/>
    </row>
    <row r="705" spans="2:7" x14ac:dyDescent="0.25">
      <c r="B705" s="491" t="s">
        <v>446</v>
      </c>
      <c r="C705" s="495">
        <v>43249</v>
      </c>
      <c r="D705" s="492">
        <v>18725</v>
      </c>
      <c r="E705" s="497">
        <v>370913</v>
      </c>
      <c r="F705" s="505">
        <v>-1.9828805649300993E-2</v>
      </c>
      <c r="G705" s="488"/>
    </row>
    <row r="706" spans="2:7" x14ac:dyDescent="0.25">
      <c r="B706" s="491" t="s">
        <v>446</v>
      </c>
      <c r="C706" s="495">
        <v>43250</v>
      </c>
      <c r="D706" s="492">
        <v>19262</v>
      </c>
      <c r="E706" s="497">
        <v>768074</v>
      </c>
      <c r="F706" s="505">
        <v>2.8274713735389284E-2</v>
      </c>
      <c r="G706" s="488"/>
    </row>
    <row r="707" spans="2:7" x14ac:dyDescent="0.25">
      <c r="B707" s="491" t="s">
        <v>446</v>
      </c>
      <c r="C707" s="495">
        <v>43251</v>
      </c>
      <c r="D707" s="492">
        <v>19275</v>
      </c>
      <c r="E707" s="497">
        <v>1457840</v>
      </c>
      <c r="F707" s="505">
        <v>6.7467631072060444E-4</v>
      </c>
      <c r="G707" s="488"/>
    </row>
    <row r="708" spans="2:7" x14ac:dyDescent="0.25">
      <c r="B708" s="491" t="s">
        <v>446</v>
      </c>
      <c r="C708" s="495">
        <v>43252</v>
      </c>
      <c r="D708" s="492">
        <v>19334</v>
      </c>
      <c r="E708" s="497">
        <v>463345</v>
      </c>
      <c r="F708" s="505">
        <v>3.0562845930205275E-3</v>
      </c>
      <c r="G708" s="488"/>
    </row>
    <row r="709" spans="2:7" x14ac:dyDescent="0.25">
      <c r="B709" s="491" t="s">
        <v>446</v>
      </c>
      <c r="C709" s="495">
        <v>43255</v>
      </c>
      <c r="D709" s="492">
        <v>19735</v>
      </c>
      <c r="E709" s="497">
        <v>590202</v>
      </c>
      <c r="F709" s="505">
        <v>2.0528505072396744E-2</v>
      </c>
      <c r="G709" s="488"/>
    </row>
    <row r="710" spans="2:7" x14ac:dyDescent="0.25">
      <c r="B710" s="491" t="s">
        <v>446</v>
      </c>
      <c r="C710" s="495">
        <v>43256</v>
      </c>
      <c r="D710" s="492">
        <v>19345</v>
      </c>
      <c r="E710" s="497">
        <v>692638</v>
      </c>
      <c r="F710" s="505">
        <v>-1.9959720962334095E-2</v>
      </c>
      <c r="G710" s="488"/>
    </row>
    <row r="711" spans="2:7" x14ac:dyDescent="0.25">
      <c r="B711" s="491" t="s">
        <v>446</v>
      </c>
      <c r="C711" s="495">
        <v>43257</v>
      </c>
      <c r="D711" s="492">
        <v>19475</v>
      </c>
      <c r="E711" s="497">
        <v>487947</v>
      </c>
      <c r="F711" s="505">
        <v>6.6976036043355771E-3</v>
      </c>
      <c r="G711" s="488"/>
    </row>
    <row r="712" spans="2:7" x14ac:dyDescent="0.25">
      <c r="B712" s="491" t="s">
        <v>446</v>
      </c>
      <c r="C712" s="495">
        <v>43258</v>
      </c>
      <c r="D712" s="492">
        <v>19244</v>
      </c>
      <c r="E712" s="497">
        <v>667268</v>
      </c>
      <c r="F712" s="505">
        <v>-1.1932267919604682E-2</v>
      </c>
      <c r="G712" s="488"/>
    </row>
    <row r="713" spans="2:7" x14ac:dyDescent="0.25">
      <c r="B713" s="491" t="s">
        <v>446</v>
      </c>
      <c r="C713" s="495">
        <v>43259</v>
      </c>
      <c r="D713" s="492">
        <v>19261</v>
      </c>
      <c r="E713" s="497">
        <v>638394</v>
      </c>
      <c r="F713" s="505">
        <v>8.8300226487807762E-4</v>
      </c>
      <c r="G713" s="488"/>
    </row>
    <row r="714" spans="2:7" x14ac:dyDescent="0.25">
      <c r="B714" s="491" t="s">
        <v>446</v>
      </c>
      <c r="C714" s="495">
        <v>43262</v>
      </c>
      <c r="D714" s="492">
        <v>19139</v>
      </c>
      <c r="E714" s="497">
        <v>328187</v>
      </c>
      <c r="F714" s="505">
        <v>-6.3541880461491923E-3</v>
      </c>
      <c r="G714" s="488"/>
    </row>
    <row r="715" spans="2:7" x14ac:dyDescent="0.25">
      <c r="B715" s="491" t="s">
        <v>446</v>
      </c>
      <c r="C715" s="495">
        <v>43263</v>
      </c>
      <c r="D715" s="492">
        <v>19205</v>
      </c>
      <c r="E715" s="497">
        <v>853997</v>
      </c>
      <c r="F715" s="505">
        <v>3.4425237419321102E-3</v>
      </c>
      <c r="G715" s="488"/>
    </row>
    <row r="716" spans="2:7" x14ac:dyDescent="0.25">
      <c r="B716" s="491" t="s">
        <v>446</v>
      </c>
      <c r="C716" s="495">
        <v>43264</v>
      </c>
      <c r="D716" s="492">
        <v>18878</v>
      </c>
      <c r="E716" s="497">
        <v>573420</v>
      </c>
      <c r="F716" s="505">
        <v>-1.7173438895115412E-2</v>
      </c>
      <c r="G716" s="488"/>
    </row>
    <row r="717" spans="2:7" x14ac:dyDescent="0.25">
      <c r="B717" s="491" t="s">
        <v>446</v>
      </c>
      <c r="C717" s="495">
        <v>43265</v>
      </c>
      <c r="D717" s="492">
        <v>19000</v>
      </c>
      <c r="E717" s="497">
        <v>1184373</v>
      </c>
      <c r="F717" s="505">
        <v>6.4417562636877547E-3</v>
      </c>
      <c r="G717" s="488"/>
    </row>
    <row r="718" spans="2:7" x14ac:dyDescent="0.25">
      <c r="B718" s="491" t="s">
        <v>446</v>
      </c>
      <c r="C718" s="495">
        <v>43266</v>
      </c>
      <c r="D718" s="492">
        <v>18866</v>
      </c>
      <c r="E718" s="497">
        <v>1437045</v>
      </c>
      <c r="F718" s="505">
        <v>-7.0776189387790588E-3</v>
      </c>
      <c r="G718" s="488"/>
    </row>
    <row r="719" spans="2:7" x14ac:dyDescent="0.25">
      <c r="B719" s="491" t="s">
        <v>446</v>
      </c>
      <c r="C719" s="495">
        <v>43269</v>
      </c>
      <c r="D719" s="492">
        <v>18484</v>
      </c>
      <c r="E719" s="497">
        <v>365325</v>
      </c>
      <c r="F719" s="505">
        <v>-2.0455867219641512E-2</v>
      </c>
      <c r="G719" s="488"/>
    </row>
    <row r="720" spans="2:7" x14ac:dyDescent="0.25">
      <c r="B720" s="491" t="s">
        <v>446</v>
      </c>
      <c r="C720" s="495">
        <v>43270</v>
      </c>
      <c r="D720" s="492">
        <v>18434</v>
      </c>
      <c r="E720" s="497">
        <v>862112</v>
      </c>
      <c r="F720" s="505">
        <v>-2.7087074365474604E-3</v>
      </c>
      <c r="G720" s="488"/>
    </row>
    <row r="721" spans="2:7" x14ac:dyDescent="0.25">
      <c r="B721" s="491" t="s">
        <v>446</v>
      </c>
      <c r="C721" s="495">
        <v>43271</v>
      </c>
      <c r="D721" s="492">
        <v>18649</v>
      </c>
      <c r="E721" s="497">
        <v>706353</v>
      </c>
      <c r="F721" s="505">
        <v>1.1595739777836688E-2</v>
      </c>
      <c r="G721" s="488"/>
    </row>
    <row r="722" spans="2:7" x14ac:dyDescent="0.25">
      <c r="B722" s="491" t="s">
        <v>446</v>
      </c>
      <c r="C722" s="495">
        <v>43272</v>
      </c>
      <c r="D722" s="492">
        <v>18691</v>
      </c>
      <c r="E722" s="497">
        <v>1154224</v>
      </c>
      <c r="F722" s="505">
        <v>2.2495992347315902E-3</v>
      </c>
      <c r="G722" s="488"/>
    </row>
    <row r="723" spans="2:7" x14ac:dyDescent="0.25">
      <c r="B723" s="491" t="s">
        <v>446</v>
      </c>
      <c r="C723" s="495">
        <v>43273</v>
      </c>
      <c r="D723" s="492">
        <v>18658</v>
      </c>
      <c r="E723" s="497">
        <v>526140</v>
      </c>
      <c r="F723" s="505">
        <v>-1.7671160452715131E-3</v>
      </c>
      <c r="G723" s="488"/>
    </row>
    <row r="724" spans="2:7" x14ac:dyDescent="0.25">
      <c r="B724" s="491" t="s">
        <v>446</v>
      </c>
      <c r="C724" s="495">
        <v>43276</v>
      </c>
      <c r="D724" s="492">
        <v>18446</v>
      </c>
      <c r="E724" s="497">
        <v>362257</v>
      </c>
      <c r="F724" s="505">
        <v>-1.1427463725242179E-2</v>
      </c>
      <c r="G724" s="488"/>
    </row>
    <row r="725" spans="2:7" x14ac:dyDescent="0.25">
      <c r="B725" s="491" t="s">
        <v>446</v>
      </c>
      <c r="C725" s="495">
        <v>43277</v>
      </c>
      <c r="D725" s="492">
        <v>18541</v>
      </c>
      <c r="E725" s="497">
        <v>579364</v>
      </c>
      <c r="F725" s="505">
        <v>5.1369513021892101E-3</v>
      </c>
      <c r="G725" s="488"/>
    </row>
    <row r="726" spans="2:7" x14ac:dyDescent="0.25">
      <c r="B726" s="491" t="s">
        <v>446</v>
      </c>
      <c r="C726" s="495">
        <v>43278</v>
      </c>
      <c r="D726" s="492">
        <v>18146</v>
      </c>
      <c r="E726" s="497">
        <v>804627</v>
      </c>
      <c r="F726" s="505">
        <v>-2.1534345368279171E-2</v>
      </c>
      <c r="G726" s="488"/>
    </row>
    <row r="727" spans="2:7" x14ac:dyDescent="0.25">
      <c r="B727" s="491" t="s">
        <v>446</v>
      </c>
      <c r="C727" s="495">
        <v>43279</v>
      </c>
      <c r="D727" s="492">
        <v>17960</v>
      </c>
      <c r="E727" s="497">
        <v>495745</v>
      </c>
      <c r="F727" s="505">
        <v>-1.0303087873383614E-2</v>
      </c>
      <c r="G727" s="488"/>
    </row>
    <row r="728" spans="2:7" x14ac:dyDescent="0.25">
      <c r="B728" s="491" t="s">
        <v>446</v>
      </c>
      <c r="C728" s="495">
        <v>43280</v>
      </c>
      <c r="D728" s="492">
        <v>18542</v>
      </c>
      <c r="E728" s="497">
        <v>577117</v>
      </c>
      <c r="F728" s="505">
        <v>3.1891366310737163E-2</v>
      </c>
      <c r="G728" s="488"/>
    </row>
    <row r="729" spans="2:7" x14ac:dyDescent="0.25">
      <c r="B729" s="491" t="s">
        <v>446</v>
      </c>
      <c r="C729" s="495">
        <v>43283</v>
      </c>
      <c r="D729" s="492">
        <v>18657</v>
      </c>
      <c r="E729" s="497">
        <v>301242</v>
      </c>
      <c r="F729" s="505">
        <v>6.1829816050712541E-3</v>
      </c>
      <c r="G729" s="488"/>
    </row>
    <row r="730" spans="2:7" x14ac:dyDescent="0.25">
      <c r="B730" s="491" t="s">
        <v>446</v>
      </c>
      <c r="C730" s="495">
        <v>43284</v>
      </c>
      <c r="D730" s="492">
        <v>19040</v>
      </c>
      <c r="E730" s="497">
        <v>509979</v>
      </c>
      <c r="F730" s="505">
        <v>2.0320618573357357E-2</v>
      </c>
      <c r="G730" s="488"/>
    </row>
    <row r="731" spans="2:7" x14ac:dyDescent="0.25">
      <c r="B731" s="491" t="s">
        <v>446</v>
      </c>
      <c r="C731" s="495">
        <v>43285</v>
      </c>
      <c r="D731" s="492">
        <v>19139</v>
      </c>
      <c r="E731" s="497">
        <v>235953</v>
      </c>
      <c r="F731" s="505">
        <v>5.1861086927169446E-3</v>
      </c>
      <c r="G731" s="488"/>
    </row>
    <row r="732" spans="2:7" x14ac:dyDescent="0.25">
      <c r="B732" s="491" t="s">
        <v>446</v>
      </c>
      <c r="C732" s="495">
        <v>43286</v>
      </c>
      <c r="D732" s="492">
        <v>19141</v>
      </c>
      <c r="E732" s="497">
        <v>242339</v>
      </c>
      <c r="F732" s="505">
        <v>1.0449320803652502E-4</v>
      </c>
      <c r="G732" s="488"/>
    </row>
    <row r="733" spans="2:7" x14ac:dyDescent="0.25">
      <c r="B733" s="491" t="s">
        <v>446</v>
      </c>
      <c r="C733" s="495">
        <v>43287</v>
      </c>
      <c r="D733" s="492">
        <v>18940</v>
      </c>
      <c r="E733" s="497">
        <v>285840</v>
      </c>
      <c r="F733" s="505">
        <v>-1.0556543506040445E-2</v>
      </c>
      <c r="G733" s="488"/>
    </row>
    <row r="734" spans="2:7" x14ac:dyDescent="0.25">
      <c r="B734" s="491" t="s">
        <v>446</v>
      </c>
      <c r="C734" s="495">
        <v>43290</v>
      </c>
      <c r="D734" s="492">
        <v>19207</v>
      </c>
      <c r="E734" s="497">
        <v>249141</v>
      </c>
      <c r="F734" s="505">
        <v>1.3998708164782825E-2</v>
      </c>
      <c r="G734" s="488"/>
    </row>
    <row r="735" spans="2:7" x14ac:dyDescent="0.25">
      <c r="B735" s="491" t="s">
        <v>446</v>
      </c>
      <c r="C735" s="495">
        <v>43291</v>
      </c>
      <c r="D735" s="492">
        <v>19280</v>
      </c>
      <c r="E735" s="497">
        <v>296680</v>
      </c>
      <c r="F735" s="505">
        <v>3.7934932596846507E-3</v>
      </c>
      <c r="G735" s="488"/>
    </row>
    <row r="736" spans="2:7" x14ac:dyDescent="0.25">
      <c r="B736" s="491" t="s">
        <v>446</v>
      </c>
      <c r="C736" s="495">
        <v>43292</v>
      </c>
      <c r="D736" s="492">
        <v>18920</v>
      </c>
      <c r="E736" s="497">
        <v>222792</v>
      </c>
      <c r="F736" s="505">
        <v>-1.8848725558667383E-2</v>
      </c>
      <c r="G736" s="488"/>
    </row>
    <row r="737" spans="2:7" x14ac:dyDescent="0.25">
      <c r="B737" s="491" t="s">
        <v>446</v>
      </c>
      <c r="C737" s="495">
        <v>43293</v>
      </c>
      <c r="D737" s="492">
        <v>18941</v>
      </c>
      <c r="E737" s="497">
        <v>226144</v>
      </c>
      <c r="F737" s="505">
        <v>1.1093210508723165E-3</v>
      </c>
      <c r="G737" s="488"/>
    </row>
    <row r="738" spans="2:7" x14ac:dyDescent="0.25">
      <c r="B738" s="491" t="s">
        <v>446</v>
      </c>
      <c r="C738" s="495">
        <v>43294</v>
      </c>
      <c r="D738" s="492">
        <v>18702</v>
      </c>
      <c r="E738" s="497">
        <v>146969</v>
      </c>
      <c r="F738" s="505">
        <v>-1.2698414661349505E-2</v>
      </c>
      <c r="G738" s="488"/>
    </row>
    <row r="739" spans="2:7" x14ac:dyDescent="0.25">
      <c r="B739" s="491" t="s">
        <v>446</v>
      </c>
      <c r="C739" s="495">
        <v>43297</v>
      </c>
      <c r="D739" s="492">
        <v>18200</v>
      </c>
      <c r="E739" s="497">
        <v>224893</v>
      </c>
      <c r="F739" s="505">
        <v>-2.7208875930505406E-2</v>
      </c>
      <c r="G739" s="488"/>
    </row>
    <row r="740" spans="2:7" x14ac:dyDescent="0.25">
      <c r="B740" s="491" t="s">
        <v>446</v>
      </c>
      <c r="C740" s="495">
        <v>43298</v>
      </c>
      <c r="D740" s="492">
        <v>18510</v>
      </c>
      <c r="E740" s="497">
        <v>224052</v>
      </c>
      <c r="F740" s="505">
        <v>1.6889532502656412E-2</v>
      </c>
      <c r="G740" s="488"/>
    </row>
    <row r="741" spans="2:7" x14ac:dyDescent="0.25">
      <c r="B741" s="491" t="s">
        <v>446</v>
      </c>
      <c r="C741" s="495">
        <v>43299</v>
      </c>
      <c r="D741" s="492">
        <v>18250</v>
      </c>
      <c r="E741" s="497">
        <v>459367</v>
      </c>
      <c r="F741" s="505">
        <v>-1.41460465569056E-2</v>
      </c>
      <c r="G741" s="488"/>
    </row>
    <row r="742" spans="2:7" x14ac:dyDescent="0.25">
      <c r="B742" s="491" t="s">
        <v>446</v>
      </c>
      <c r="C742" s="495">
        <v>43300</v>
      </c>
      <c r="D742" s="492">
        <v>18250</v>
      </c>
      <c r="E742" s="497">
        <v>229997</v>
      </c>
      <c r="F742" s="505">
        <v>0</v>
      </c>
      <c r="G742" s="488"/>
    </row>
    <row r="743" spans="2:7" x14ac:dyDescent="0.25">
      <c r="B743" s="491" t="s">
        <v>446</v>
      </c>
      <c r="C743" s="495">
        <v>43301</v>
      </c>
      <c r="D743" s="492">
        <v>18477</v>
      </c>
      <c r="E743" s="497">
        <v>279787</v>
      </c>
      <c r="F743" s="505">
        <v>1.2361635344515322E-2</v>
      </c>
      <c r="G743" s="488"/>
    </row>
    <row r="744" spans="2:7" x14ac:dyDescent="0.25">
      <c r="B744" s="491" t="s">
        <v>446</v>
      </c>
      <c r="C744" s="495">
        <v>43304</v>
      </c>
      <c r="D744" s="492">
        <v>18369</v>
      </c>
      <c r="E744" s="497">
        <v>196827</v>
      </c>
      <c r="F744" s="505">
        <v>-5.8622542090887297E-3</v>
      </c>
      <c r="G744" s="488"/>
    </row>
    <row r="745" spans="2:7" x14ac:dyDescent="0.25">
      <c r="B745" s="491" t="s">
        <v>446</v>
      </c>
      <c r="C745" s="495">
        <v>43305</v>
      </c>
      <c r="D745" s="492">
        <v>18440</v>
      </c>
      <c r="E745" s="497">
        <v>246097</v>
      </c>
      <c r="F745" s="505">
        <v>3.8577569645206213E-3</v>
      </c>
      <c r="G745" s="488"/>
    </row>
    <row r="746" spans="2:7" x14ac:dyDescent="0.25">
      <c r="B746" s="491" t="s">
        <v>446</v>
      </c>
      <c r="C746" s="495">
        <v>43306</v>
      </c>
      <c r="D746" s="492">
        <v>18360</v>
      </c>
      <c r="E746" s="497">
        <v>228602</v>
      </c>
      <c r="F746" s="505">
        <v>-4.3478329361033982E-3</v>
      </c>
      <c r="G746" s="488"/>
    </row>
    <row r="747" spans="2:7" x14ac:dyDescent="0.25">
      <c r="B747" s="491" t="s">
        <v>446</v>
      </c>
      <c r="C747" s="495">
        <v>43307</v>
      </c>
      <c r="D747" s="492">
        <v>18369</v>
      </c>
      <c r="E747" s="497">
        <v>457986</v>
      </c>
      <c r="F747" s="505">
        <v>4.9007597158271725E-4</v>
      </c>
      <c r="G747" s="488"/>
    </row>
    <row r="748" spans="2:7" x14ac:dyDescent="0.25">
      <c r="B748" s="491" t="s">
        <v>446</v>
      </c>
      <c r="C748" s="495">
        <v>43308</v>
      </c>
      <c r="D748" s="492">
        <v>18522</v>
      </c>
      <c r="E748" s="497">
        <v>305792</v>
      </c>
      <c r="F748" s="505">
        <v>8.2947535841502058E-3</v>
      </c>
      <c r="G748" s="488"/>
    </row>
    <row r="749" spans="2:7" x14ac:dyDescent="0.25">
      <c r="B749" s="491" t="s">
        <v>446</v>
      </c>
      <c r="C749" s="495">
        <v>43311</v>
      </c>
      <c r="D749" s="492">
        <v>18707</v>
      </c>
      <c r="E749" s="497">
        <v>342282</v>
      </c>
      <c r="F749" s="505">
        <v>9.9385706186903185E-3</v>
      </c>
      <c r="G749" s="488"/>
    </row>
    <row r="750" spans="2:7" x14ac:dyDescent="0.25">
      <c r="B750" s="491" t="s">
        <v>446</v>
      </c>
      <c r="C750" s="495">
        <v>43312</v>
      </c>
      <c r="D750" s="492">
        <v>19158</v>
      </c>
      <c r="E750" s="497">
        <v>612489</v>
      </c>
      <c r="F750" s="505">
        <v>2.3822597593932491E-2</v>
      </c>
      <c r="G750" s="488"/>
    </row>
    <row r="751" spans="2:7" x14ac:dyDescent="0.25">
      <c r="B751" s="491" t="s">
        <v>446</v>
      </c>
      <c r="C751" s="495">
        <v>43313</v>
      </c>
      <c r="D751" s="492">
        <v>19366</v>
      </c>
      <c r="E751" s="497">
        <v>626403</v>
      </c>
      <c r="F751" s="505">
        <v>1.0798568228639479E-2</v>
      </c>
      <c r="G751" s="488"/>
    </row>
    <row r="752" spans="2:7" x14ac:dyDescent="0.25">
      <c r="B752" s="491" t="s">
        <v>446</v>
      </c>
      <c r="C752" s="495">
        <v>43314</v>
      </c>
      <c r="D752" s="492">
        <v>19150</v>
      </c>
      <c r="E752" s="497">
        <v>548700</v>
      </c>
      <c r="F752" s="505">
        <v>-1.1216235562684357E-2</v>
      </c>
      <c r="G752" s="488"/>
    </row>
    <row r="753" spans="2:7" x14ac:dyDescent="0.25">
      <c r="B753" s="491" t="s">
        <v>446</v>
      </c>
      <c r="C753" s="495">
        <v>43315</v>
      </c>
      <c r="D753" s="492">
        <v>19226</v>
      </c>
      <c r="E753" s="497">
        <v>392395</v>
      </c>
      <c r="F753" s="505">
        <v>3.960814016969523E-3</v>
      </c>
      <c r="G753" s="488"/>
    </row>
    <row r="754" spans="2:7" x14ac:dyDescent="0.25">
      <c r="B754" s="491" t="s">
        <v>446</v>
      </c>
      <c r="C754" s="495">
        <v>43318</v>
      </c>
      <c r="D754" s="492">
        <v>19401</v>
      </c>
      <c r="E754" s="497">
        <v>1065414</v>
      </c>
      <c r="F754" s="505">
        <v>9.0610814889409402E-3</v>
      </c>
      <c r="G754" s="488"/>
    </row>
    <row r="755" spans="2:7" x14ac:dyDescent="0.25">
      <c r="B755" s="491" t="s">
        <v>446</v>
      </c>
      <c r="C755" s="495">
        <v>43319</v>
      </c>
      <c r="D755" s="492">
        <v>19661</v>
      </c>
      <c r="E755" s="497">
        <v>392403</v>
      </c>
      <c r="F755" s="505">
        <v>1.3312366992788262E-2</v>
      </c>
      <c r="G755" s="488"/>
    </row>
    <row r="756" spans="2:7" x14ac:dyDescent="0.25">
      <c r="B756" s="491" t="s">
        <v>446</v>
      </c>
      <c r="C756" s="495">
        <v>43320</v>
      </c>
      <c r="D756" s="492">
        <v>19738</v>
      </c>
      <c r="E756" s="497">
        <v>309394</v>
      </c>
      <c r="F756" s="505">
        <v>3.9087336244615694E-3</v>
      </c>
      <c r="G756" s="488"/>
    </row>
    <row r="757" spans="2:7" x14ac:dyDescent="0.25">
      <c r="B757" s="491" t="s">
        <v>446</v>
      </c>
      <c r="C757" s="495">
        <v>43322</v>
      </c>
      <c r="D757" s="492">
        <v>19467</v>
      </c>
      <c r="E757" s="497">
        <v>342861</v>
      </c>
      <c r="F757" s="505">
        <v>-1.3824987442674328E-2</v>
      </c>
      <c r="G757" s="488"/>
    </row>
    <row r="758" spans="2:7" x14ac:dyDescent="0.25">
      <c r="B758" s="491" t="s">
        <v>446</v>
      </c>
      <c r="C758" s="495">
        <v>43325</v>
      </c>
      <c r="D758" s="492">
        <v>19300</v>
      </c>
      <c r="E758" s="497">
        <v>610758</v>
      </c>
      <c r="F758" s="505">
        <v>-8.6156283963012802E-3</v>
      </c>
      <c r="G758" s="488"/>
    </row>
    <row r="759" spans="2:7" x14ac:dyDescent="0.25">
      <c r="B759" s="491" t="s">
        <v>446</v>
      </c>
      <c r="C759" s="495">
        <v>43326</v>
      </c>
      <c r="D759" s="492">
        <v>19225</v>
      </c>
      <c r="E759" s="497">
        <v>346699</v>
      </c>
      <c r="F759" s="505">
        <v>-3.8935805191322101E-3</v>
      </c>
      <c r="G759" s="488"/>
    </row>
    <row r="760" spans="2:7" x14ac:dyDescent="0.25">
      <c r="B760" s="491" t="s">
        <v>446</v>
      </c>
      <c r="C760" s="495">
        <v>43327</v>
      </c>
      <c r="D760" s="492">
        <v>18802</v>
      </c>
      <c r="E760" s="497">
        <v>529800</v>
      </c>
      <c r="F760" s="505">
        <v>-2.2248268235348548E-2</v>
      </c>
      <c r="G760" s="488"/>
    </row>
    <row r="761" spans="2:7" x14ac:dyDescent="0.25">
      <c r="B761" s="491" t="s">
        <v>446</v>
      </c>
      <c r="C761" s="495">
        <v>43328</v>
      </c>
      <c r="D761" s="492">
        <v>19018</v>
      </c>
      <c r="E761" s="497">
        <v>757274</v>
      </c>
      <c r="F761" s="505">
        <v>1.1422651960893404E-2</v>
      </c>
      <c r="G761" s="488"/>
    </row>
    <row r="762" spans="2:7" x14ac:dyDescent="0.25">
      <c r="B762" s="491" t="s">
        <v>446</v>
      </c>
      <c r="C762" s="495">
        <v>43329</v>
      </c>
      <c r="D762" s="492">
        <v>18869</v>
      </c>
      <c r="E762" s="497">
        <v>383509</v>
      </c>
      <c r="F762" s="505">
        <v>-7.8655353116755707E-3</v>
      </c>
      <c r="G762" s="488"/>
    </row>
    <row r="763" spans="2:7" x14ac:dyDescent="0.25">
      <c r="B763" s="491" t="s">
        <v>446</v>
      </c>
      <c r="C763" s="495">
        <v>43332</v>
      </c>
      <c r="D763" s="492">
        <v>18913</v>
      </c>
      <c r="E763" s="497">
        <v>395529</v>
      </c>
      <c r="F763" s="505">
        <v>2.3291525007402801E-3</v>
      </c>
      <c r="G763" s="488"/>
    </row>
    <row r="764" spans="2:7" x14ac:dyDescent="0.25">
      <c r="B764" s="491" t="s">
        <v>446</v>
      </c>
      <c r="C764" s="495">
        <v>43333</v>
      </c>
      <c r="D764" s="492">
        <v>19018</v>
      </c>
      <c r="E764" s="497">
        <v>677919</v>
      </c>
      <c r="F764" s="505">
        <v>5.5363828109352402E-3</v>
      </c>
      <c r="G764" s="488"/>
    </row>
    <row r="765" spans="2:7" x14ac:dyDescent="0.25">
      <c r="B765" s="491" t="s">
        <v>446</v>
      </c>
      <c r="C765" s="495">
        <v>43334</v>
      </c>
      <c r="D765" s="492">
        <v>19526</v>
      </c>
      <c r="E765" s="497">
        <v>730428</v>
      </c>
      <c r="F765" s="505">
        <v>2.6361011686227138E-2</v>
      </c>
      <c r="G765" s="488"/>
    </row>
    <row r="766" spans="2:7" x14ac:dyDescent="0.25">
      <c r="B766" s="491" t="s">
        <v>446</v>
      </c>
      <c r="C766" s="495">
        <v>43335</v>
      </c>
      <c r="D766" s="492">
        <v>19740</v>
      </c>
      <c r="E766" s="497">
        <v>471971</v>
      </c>
      <c r="F766" s="505">
        <v>1.090012320185571E-2</v>
      </c>
      <c r="G766" s="488"/>
    </row>
    <row r="767" spans="2:7" x14ac:dyDescent="0.25">
      <c r="B767" s="491" t="s">
        <v>446</v>
      </c>
      <c r="C767" s="495">
        <v>43336</v>
      </c>
      <c r="D767" s="492">
        <v>19790</v>
      </c>
      <c r="E767" s="497">
        <v>344779</v>
      </c>
      <c r="F767" s="505">
        <v>2.5297256091388301E-3</v>
      </c>
      <c r="G767" s="488"/>
    </row>
    <row r="768" spans="2:7" x14ac:dyDescent="0.25">
      <c r="B768" s="491" t="s">
        <v>446</v>
      </c>
      <c r="C768" s="495">
        <v>43339</v>
      </c>
      <c r="D768" s="492">
        <v>20472</v>
      </c>
      <c r="E768" s="497">
        <v>510657</v>
      </c>
      <c r="F768" s="505">
        <v>3.38813392430133E-2</v>
      </c>
      <c r="G768" s="488"/>
    </row>
    <row r="769" spans="2:7" x14ac:dyDescent="0.25">
      <c r="B769" s="491" t="s">
        <v>446</v>
      </c>
      <c r="C769" s="495">
        <v>43340</v>
      </c>
      <c r="D769" s="492">
        <v>20800</v>
      </c>
      <c r="E769" s="497">
        <v>701694</v>
      </c>
      <c r="F769" s="505">
        <v>1.5894887849784628E-2</v>
      </c>
      <c r="G769" s="488"/>
    </row>
    <row r="770" spans="2:7" x14ac:dyDescent="0.25">
      <c r="B770" s="491" t="s">
        <v>446</v>
      </c>
      <c r="C770" s="495">
        <v>43341</v>
      </c>
      <c r="D770" s="492">
        <v>20700</v>
      </c>
      <c r="E770" s="497">
        <v>800464</v>
      </c>
      <c r="F770" s="505">
        <v>-4.8192864359488828E-3</v>
      </c>
      <c r="G770" s="488"/>
    </row>
    <row r="771" spans="2:7" x14ac:dyDescent="0.25">
      <c r="B771" s="491" t="s">
        <v>446</v>
      </c>
      <c r="C771" s="495">
        <v>43342</v>
      </c>
      <c r="D771" s="492">
        <v>20300</v>
      </c>
      <c r="E771" s="497">
        <v>447719</v>
      </c>
      <c r="F771" s="505">
        <v>-1.9512814223581715E-2</v>
      </c>
      <c r="G771" s="488"/>
    </row>
    <row r="772" spans="2:7" x14ac:dyDescent="0.25">
      <c r="B772" s="491" t="s">
        <v>446</v>
      </c>
      <c r="C772" s="495">
        <v>43343</v>
      </c>
      <c r="D772" s="492">
        <v>20500</v>
      </c>
      <c r="E772" s="497">
        <v>775064</v>
      </c>
      <c r="F772" s="505">
        <v>9.8040000966208348E-3</v>
      </c>
      <c r="G772" s="488"/>
    </row>
    <row r="773" spans="2:7" x14ac:dyDescent="0.25">
      <c r="B773" s="491" t="s">
        <v>446</v>
      </c>
      <c r="C773" s="495">
        <v>43346</v>
      </c>
      <c r="D773" s="492">
        <v>20393</v>
      </c>
      <c r="E773" s="497">
        <v>349678</v>
      </c>
      <c r="F773" s="505">
        <v>-5.2331814341524275E-3</v>
      </c>
      <c r="G773" s="488"/>
    </row>
    <row r="774" spans="2:7" x14ac:dyDescent="0.25">
      <c r="B774" s="491" t="s">
        <v>446</v>
      </c>
      <c r="C774" s="495">
        <v>43347</v>
      </c>
      <c r="D774" s="492">
        <v>19888</v>
      </c>
      <c r="E774" s="497">
        <v>681809</v>
      </c>
      <c r="F774" s="505">
        <v>-2.5075169941854776E-2</v>
      </c>
      <c r="G774" s="488"/>
    </row>
    <row r="775" spans="2:7" x14ac:dyDescent="0.25">
      <c r="B775" s="491" t="s">
        <v>446</v>
      </c>
      <c r="C775" s="495">
        <v>43348</v>
      </c>
      <c r="D775" s="492">
        <v>19500</v>
      </c>
      <c r="E775" s="497">
        <v>693910</v>
      </c>
      <c r="F775" s="505">
        <v>-1.9702069198654155E-2</v>
      </c>
      <c r="G775" s="488"/>
    </row>
    <row r="776" spans="2:7" x14ac:dyDescent="0.25">
      <c r="B776" s="491" t="s">
        <v>446</v>
      </c>
      <c r="C776" s="495">
        <v>43349</v>
      </c>
      <c r="D776" s="492">
        <v>19841</v>
      </c>
      <c r="E776" s="497">
        <v>340945</v>
      </c>
      <c r="F776" s="505">
        <v>1.7336038242632267E-2</v>
      </c>
      <c r="G776" s="488"/>
    </row>
    <row r="777" spans="2:7" x14ac:dyDescent="0.25">
      <c r="B777" s="491" t="s">
        <v>446</v>
      </c>
      <c r="C777" s="495">
        <v>43350</v>
      </c>
      <c r="D777" s="492">
        <v>19788</v>
      </c>
      <c r="E777" s="497">
        <v>476923</v>
      </c>
      <c r="F777" s="505">
        <v>-2.6748104468711019E-3</v>
      </c>
      <c r="G777" s="488"/>
    </row>
    <row r="778" spans="2:7" x14ac:dyDescent="0.25">
      <c r="B778" s="491" t="s">
        <v>446</v>
      </c>
      <c r="C778" s="495">
        <v>43353</v>
      </c>
      <c r="D778" s="492">
        <v>19541</v>
      </c>
      <c r="E778" s="497">
        <v>313407</v>
      </c>
      <c r="F778" s="505">
        <v>-1.2560870987655697E-2</v>
      </c>
      <c r="G778" s="488"/>
    </row>
    <row r="779" spans="2:7" x14ac:dyDescent="0.25">
      <c r="B779" s="491" t="s">
        <v>446</v>
      </c>
      <c r="C779" s="495">
        <v>43354</v>
      </c>
      <c r="D779" s="492">
        <v>19236</v>
      </c>
      <c r="E779" s="497">
        <v>564246</v>
      </c>
      <c r="F779" s="505">
        <v>-1.5731298962390221E-2</v>
      </c>
      <c r="G779" s="488"/>
    </row>
    <row r="780" spans="2:7" x14ac:dyDescent="0.25">
      <c r="B780" s="491" t="s">
        <v>446</v>
      </c>
      <c r="C780" s="495">
        <v>43355</v>
      </c>
      <c r="D780" s="492">
        <v>18977</v>
      </c>
      <c r="E780" s="497">
        <v>934689</v>
      </c>
      <c r="F780" s="505">
        <v>-1.3555803843574419E-2</v>
      </c>
      <c r="G780" s="488"/>
    </row>
    <row r="781" spans="2:7" x14ac:dyDescent="0.25">
      <c r="B781" s="491" t="s">
        <v>446</v>
      </c>
      <c r="C781" s="495">
        <v>43356</v>
      </c>
      <c r="D781" s="492">
        <v>19341</v>
      </c>
      <c r="E781" s="497">
        <v>1765011</v>
      </c>
      <c r="F781" s="505">
        <v>1.8999475424750906E-2</v>
      </c>
      <c r="G781" s="488"/>
    </row>
    <row r="782" spans="2:7" x14ac:dyDescent="0.25">
      <c r="B782" s="491" t="s">
        <v>446</v>
      </c>
      <c r="C782" s="495">
        <v>43357</v>
      </c>
      <c r="D782" s="492">
        <v>19330</v>
      </c>
      <c r="E782" s="497">
        <v>312922</v>
      </c>
      <c r="F782" s="505">
        <v>-5.6890177635329211E-4</v>
      </c>
      <c r="G782" s="488"/>
    </row>
    <row r="783" spans="2:7" x14ac:dyDescent="0.25">
      <c r="B783" s="491" t="s">
        <v>446</v>
      </c>
      <c r="C783" s="495">
        <v>43360</v>
      </c>
      <c r="D783" s="492">
        <v>18754</v>
      </c>
      <c r="E783" s="497">
        <v>440164</v>
      </c>
      <c r="F783" s="505">
        <v>-3.0251230222806066E-2</v>
      </c>
      <c r="G783" s="488"/>
    </row>
    <row r="784" spans="2:7" x14ac:dyDescent="0.25">
      <c r="B784" s="491" t="s">
        <v>446</v>
      </c>
      <c r="C784" s="495">
        <v>43361</v>
      </c>
      <c r="D784" s="492">
        <v>19189</v>
      </c>
      <c r="E784" s="497">
        <v>555020</v>
      </c>
      <c r="F784" s="505">
        <v>2.2930135190171813E-2</v>
      </c>
      <c r="G784" s="488"/>
    </row>
    <row r="785" spans="2:7" x14ac:dyDescent="0.25">
      <c r="B785" s="491" t="s">
        <v>446</v>
      </c>
      <c r="C785" s="495">
        <v>43362</v>
      </c>
      <c r="D785" s="492">
        <v>19064</v>
      </c>
      <c r="E785" s="497">
        <v>455824</v>
      </c>
      <c r="F785" s="505">
        <v>-6.5354583911643041E-3</v>
      </c>
      <c r="G785" s="488"/>
    </row>
    <row r="786" spans="2:7" x14ac:dyDescent="0.25">
      <c r="B786" s="491" t="s">
        <v>446</v>
      </c>
      <c r="C786" s="495">
        <v>43363</v>
      </c>
      <c r="D786" s="492">
        <v>18856</v>
      </c>
      <c r="E786" s="497">
        <v>2046491</v>
      </c>
      <c r="F786" s="505">
        <v>-1.0970574162611012E-2</v>
      </c>
      <c r="G786" s="488"/>
    </row>
    <row r="787" spans="2:7" x14ac:dyDescent="0.25">
      <c r="B787" s="491" t="s">
        <v>446</v>
      </c>
      <c r="C787" s="495">
        <v>43364</v>
      </c>
      <c r="D787" s="492">
        <v>18819</v>
      </c>
      <c r="E787" s="497">
        <v>963627</v>
      </c>
      <c r="F787" s="505">
        <v>-1.9641678511141268E-3</v>
      </c>
      <c r="G787" s="488"/>
    </row>
    <row r="788" spans="2:7" x14ac:dyDescent="0.25">
      <c r="B788" s="491" t="s">
        <v>446</v>
      </c>
      <c r="C788" s="495">
        <v>43368</v>
      </c>
      <c r="D788" s="492">
        <v>18776</v>
      </c>
      <c r="E788" s="497">
        <v>635963</v>
      </c>
      <c r="F788" s="505">
        <v>-2.2875392339934985E-3</v>
      </c>
      <c r="G788" s="488"/>
    </row>
    <row r="789" spans="2:7" x14ac:dyDescent="0.25">
      <c r="B789" s="491" t="s">
        <v>446</v>
      </c>
      <c r="C789" s="495">
        <v>43369</v>
      </c>
      <c r="D789" s="492">
        <v>18800</v>
      </c>
      <c r="E789" s="497">
        <v>580616</v>
      </c>
      <c r="F789" s="505">
        <v>1.2774112871811244E-3</v>
      </c>
      <c r="G789" s="488"/>
    </row>
    <row r="790" spans="2:7" x14ac:dyDescent="0.25">
      <c r="B790" s="491" t="s">
        <v>446</v>
      </c>
      <c r="C790" s="495">
        <v>43370</v>
      </c>
      <c r="D790" s="492">
        <v>18617</v>
      </c>
      <c r="E790" s="497">
        <v>640504</v>
      </c>
      <c r="F790" s="505">
        <v>-9.7817280461435438E-3</v>
      </c>
      <c r="G790" s="488"/>
    </row>
    <row r="791" spans="2:7" x14ac:dyDescent="0.25">
      <c r="B791" s="491" t="s">
        <v>446</v>
      </c>
      <c r="C791" s="495">
        <v>43371</v>
      </c>
      <c r="D791" s="492">
        <v>18413</v>
      </c>
      <c r="E791" s="497">
        <v>651738</v>
      </c>
      <c r="F791" s="505">
        <v>-1.1018204904676924E-2</v>
      </c>
      <c r="G791" s="488"/>
    </row>
    <row r="792" spans="2:7" x14ac:dyDescent="0.25">
      <c r="B792" s="491" t="s">
        <v>446</v>
      </c>
      <c r="C792" s="495">
        <v>43374</v>
      </c>
      <c r="D792" s="492">
        <v>18132</v>
      </c>
      <c r="E792" s="497">
        <v>483488</v>
      </c>
      <c r="F792" s="505">
        <v>-1.5378603806480226E-2</v>
      </c>
      <c r="G792" s="488"/>
    </row>
    <row r="793" spans="2:7" x14ac:dyDescent="0.25">
      <c r="B793" s="491" t="s">
        <v>446</v>
      </c>
      <c r="C793" s="495">
        <v>43375</v>
      </c>
      <c r="D793" s="492">
        <v>17950</v>
      </c>
      <c r="E793" s="497">
        <v>620771</v>
      </c>
      <c r="F793" s="505">
        <v>-1.0088218144314905E-2</v>
      </c>
      <c r="G793" s="488"/>
    </row>
    <row r="794" spans="2:7" x14ac:dyDescent="0.25">
      <c r="B794" s="491" t="s">
        <v>446</v>
      </c>
      <c r="C794" s="495">
        <v>43376</v>
      </c>
      <c r="D794" s="492">
        <v>17929</v>
      </c>
      <c r="E794" s="497">
        <v>490840</v>
      </c>
      <c r="F794" s="505">
        <v>-1.1706013209976372E-3</v>
      </c>
      <c r="G794" s="488"/>
    </row>
    <row r="795" spans="2:7" x14ac:dyDescent="0.25">
      <c r="B795" s="491" t="s">
        <v>446</v>
      </c>
      <c r="C795" s="495">
        <v>43377</v>
      </c>
      <c r="D795" s="492">
        <v>17428</v>
      </c>
      <c r="E795" s="497">
        <v>704991</v>
      </c>
      <c r="F795" s="505">
        <v>-2.8341405358094558E-2</v>
      </c>
      <c r="G795" s="488"/>
    </row>
    <row r="796" spans="2:7" x14ac:dyDescent="0.25">
      <c r="B796" s="491" t="s">
        <v>446</v>
      </c>
      <c r="C796" s="495">
        <v>43378</v>
      </c>
      <c r="D796" s="492">
        <v>17380</v>
      </c>
      <c r="E796" s="497">
        <v>622759</v>
      </c>
      <c r="F796" s="505">
        <v>-2.7579884179496994E-3</v>
      </c>
      <c r="G796" s="488"/>
    </row>
    <row r="797" spans="2:7" x14ac:dyDescent="0.25">
      <c r="B797" s="491" t="s">
        <v>446</v>
      </c>
      <c r="C797" s="495">
        <v>43381</v>
      </c>
      <c r="D797" s="492">
        <v>17264</v>
      </c>
      <c r="E797" s="497">
        <v>632273</v>
      </c>
      <c r="F797" s="505">
        <v>-6.69671132146713E-3</v>
      </c>
      <c r="G797" s="488"/>
    </row>
    <row r="798" spans="2:7" x14ac:dyDescent="0.25">
      <c r="B798" s="491" t="s">
        <v>446</v>
      </c>
      <c r="C798" s="495">
        <v>43382</v>
      </c>
      <c r="D798" s="492">
        <v>17411</v>
      </c>
      <c r="E798" s="497">
        <v>380303</v>
      </c>
      <c r="F798" s="505">
        <v>8.4787818686825472E-3</v>
      </c>
      <c r="G798" s="488"/>
    </row>
    <row r="799" spans="2:7" x14ac:dyDescent="0.25">
      <c r="B799" s="491" t="s">
        <v>446</v>
      </c>
      <c r="C799" s="495">
        <v>43383</v>
      </c>
      <c r="D799" s="492">
        <v>17179</v>
      </c>
      <c r="E799" s="497">
        <v>596988</v>
      </c>
      <c r="F799" s="505">
        <v>-1.3414482740152949E-2</v>
      </c>
      <c r="G799" s="488"/>
    </row>
    <row r="800" spans="2:7" x14ac:dyDescent="0.25">
      <c r="B800" s="491" t="s">
        <v>446</v>
      </c>
      <c r="C800" s="495">
        <v>43384</v>
      </c>
      <c r="D800" s="492">
        <v>16800</v>
      </c>
      <c r="E800" s="497">
        <v>893189</v>
      </c>
      <c r="F800" s="505">
        <v>-2.2308821235095248E-2</v>
      </c>
      <c r="G800" s="488"/>
    </row>
    <row r="801" spans="2:7" x14ac:dyDescent="0.25">
      <c r="B801" s="491" t="s">
        <v>446</v>
      </c>
      <c r="C801" s="495">
        <v>43385</v>
      </c>
      <c r="D801" s="492">
        <v>17142</v>
      </c>
      <c r="E801" s="497">
        <v>942004</v>
      </c>
      <c r="F801" s="505">
        <v>2.0152706067477884E-2</v>
      </c>
      <c r="G801" s="488"/>
    </row>
    <row r="802" spans="2:7" x14ac:dyDescent="0.25">
      <c r="B802" s="491" t="s">
        <v>446</v>
      </c>
      <c r="C802" s="495">
        <v>43388</v>
      </c>
      <c r="D802" s="492">
        <v>16970</v>
      </c>
      <c r="E802" s="497">
        <v>623077</v>
      </c>
      <c r="F802" s="505">
        <v>-1.0084513230556078E-2</v>
      </c>
      <c r="G802" s="488"/>
    </row>
    <row r="803" spans="2:7" x14ac:dyDescent="0.25">
      <c r="B803" s="491" t="s">
        <v>446</v>
      </c>
      <c r="C803" s="495">
        <v>43389</v>
      </c>
      <c r="D803" s="492">
        <v>17490</v>
      </c>
      <c r="E803" s="497">
        <v>847670</v>
      </c>
      <c r="F803" s="505">
        <v>3.0182209784375743E-2</v>
      </c>
      <c r="G803" s="488"/>
    </row>
    <row r="804" spans="2:7" x14ac:dyDescent="0.25">
      <c r="B804" s="491" t="s">
        <v>446</v>
      </c>
      <c r="C804" s="495">
        <v>43390</v>
      </c>
      <c r="D804" s="492">
        <v>17257</v>
      </c>
      <c r="E804" s="497">
        <v>592968</v>
      </c>
      <c r="F804" s="505">
        <v>-1.3411430765068812E-2</v>
      </c>
      <c r="G804" s="488"/>
    </row>
    <row r="805" spans="2:7" x14ac:dyDescent="0.25">
      <c r="B805" s="491" t="s">
        <v>446</v>
      </c>
      <c r="C805" s="495">
        <v>43391</v>
      </c>
      <c r="D805" s="492">
        <v>17689</v>
      </c>
      <c r="E805" s="497">
        <v>634469</v>
      </c>
      <c r="F805" s="505">
        <v>2.472511919592861E-2</v>
      </c>
      <c r="G805" s="488"/>
    </row>
    <row r="806" spans="2:7" x14ac:dyDescent="0.25">
      <c r="B806" s="491" t="s">
        <v>446</v>
      </c>
      <c r="C806" s="495">
        <v>43392</v>
      </c>
      <c r="D806" s="492">
        <v>17307</v>
      </c>
      <c r="E806" s="497">
        <v>891580</v>
      </c>
      <c r="F806" s="505">
        <v>-2.183193351850846E-2</v>
      </c>
      <c r="G806" s="488"/>
    </row>
    <row r="807" spans="2:7" x14ac:dyDescent="0.25">
      <c r="B807" s="491" t="s">
        <v>446</v>
      </c>
      <c r="C807" s="495">
        <v>43395</v>
      </c>
      <c r="D807" s="492">
        <v>17210</v>
      </c>
      <c r="E807" s="497">
        <v>436617</v>
      </c>
      <c r="F807" s="505">
        <v>-5.6204337194140103E-3</v>
      </c>
      <c r="G807" s="488"/>
    </row>
    <row r="808" spans="2:7" x14ac:dyDescent="0.25">
      <c r="B808" s="491" t="s">
        <v>446</v>
      </c>
      <c r="C808" s="495">
        <v>43396</v>
      </c>
      <c r="D808" s="492">
        <v>17009</v>
      </c>
      <c r="E808" s="497">
        <v>759104</v>
      </c>
      <c r="F808" s="505">
        <v>-1.1747994491493358E-2</v>
      </c>
      <c r="G808" s="488"/>
    </row>
    <row r="809" spans="2:7" x14ac:dyDescent="0.25">
      <c r="B809" s="491" t="s">
        <v>446</v>
      </c>
      <c r="C809" s="495">
        <v>43397</v>
      </c>
      <c r="D809" s="492">
        <v>17200</v>
      </c>
      <c r="E809" s="497">
        <v>669306</v>
      </c>
      <c r="F809" s="505">
        <v>1.1166768087452721E-2</v>
      </c>
      <c r="G809" s="488"/>
    </row>
    <row r="810" spans="2:7" x14ac:dyDescent="0.25">
      <c r="B810" s="491" t="s">
        <v>446</v>
      </c>
      <c r="C810" s="495">
        <v>43398</v>
      </c>
      <c r="D810" s="492">
        <v>17492</v>
      </c>
      <c r="E810" s="497">
        <v>615826</v>
      </c>
      <c r="F810" s="505">
        <v>1.6834249731266737E-2</v>
      </c>
      <c r="G810" s="488"/>
    </row>
    <row r="811" spans="2:7" x14ac:dyDescent="0.25">
      <c r="B811" s="491" t="s">
        <v>446</v>
      </c>
      <c r="C811" s="495">
        <v>43399</v>
      </c>
      <c r="D811" s="492">
        <v>17136</v>
      </c>
      <c r="E811" s="497">
        <v>642259</v>
      </c>
      <c r="F811" s="505">
        <v>-2.056211984528121E-2</v>
      </c>
      <c r="G811" s="488"/>
    </row>
    <row r="812" spans="2:7" x14ac:dyDescent="0.25">
      <c r="B812" s="491" t="s">
        <v>446</v>
      </c>
      <c r="C812" s="495">
        <v>43402</v>
      </c>
      <c r="D812" s="492">
        <v>17124</v>
      </c>
      <c r="E812" s="497">
        <v>563871</v>
      </c>
      <c r="F812" s="505">
        <v>-7.0052542269327623E-4</v>
      </c>
      <c r="G812" s="488"/>
    </row>
    <row r="813" spans="2:7" x14ac:dyDescent="0.25">
      <c r="B813" s="491" t="s">
        <v>446</v>
      </c>
      <c r="C813" s="495">
        <v>43403</v>
      </c>
      <c r="D813" s="492">
        <v>17247</v>
      </c>
      <c r="E813" s="497">
        <v>375361</v>
      </c>
      <c r="F813" s="505">
        <v>7.1572270265639207E-3</v>
      </c>
      <c r="G813" s="488"/>
    </row>
    <row r="814" spans="2:7" x14ac:dyDescent="0.25">
      <c r="B814" s="491" t="s">
        <v>446</v>
      </c>
      <c r="C814" s="495">
        <v>43404</v>
      </c>
      <c r="D814" s="492">
        <v>17583</v>
      </c>
      <c r="E814" s="497">
        <v>1143092</v>
      </c>
      <c r="F814" s="505">
        <v>1.9294310853138246E-2</v>
      </c>
      <c r="G814" s="488"/>
    </row>
    <row r="815" spans="2:7" x14ac:dyDescent="0.25">
      <c r="B815" s="491" t="s">
        <v>446</v>
      </c>
      <c r="C815" s="495">
        <v>43405</v>
      </c>
      <c r="D815" s="492">
        <v>17831</v>
      </c>
      <c r="E815" s="497">
        <v>658015</v>
      </c>
      <c r="F815" s="505">
        <v>1.4005989389507773E-2</v>
      </c>
      <c r="G815" s="488"/>
    </row>
    <row r="816" spans="2:7" x14ac:dyDescent="0.25">
      <c r="B816" s="491" t="s">
        <v>446</v>
      </c>
      <c r="C816" s="495">
        <v>43406</v>
      </c>
      <c r="D816" s="492">
        <v>17762</v>
      </c>
      <c r="E816" s="497">
        <v>940141</v>
      </c>
      <c r="F816" s="505">
        <v>-3.8771717155972074E-3</v>
      </c>
      <c r="G816" s="488"/>
    </row>
    <row r="817" spans="2:7" x14ac:dyDescent="0.25">
      <c r="B817" s="491" t="s">
        <v>446</v>
      </c>
      <c r="C817" s="495">
        <v>43409</v>
      </c>
      <c r="D817" s="492">
        <v>18369</v>
      </c>
      <c r="E817" s="497">
        <v>604393</v>
      </c>
      <c r="F817" s="505">
        <v>3.3603117327614757E-2</v>
      </c>
      <c r="G817" s="488"/>
    </row>
    <row r="818" spans="2:7" x14ac:dyDescent="0.25">
      <c r="B818" s="491" t="s">
        <v>446</v>
      </c>
      <c r="C818" s="495">
        <v>43410</v>
      </c>
      <c r="D818" s="492">
        <v>18250</v>
      </c>
      <c r="E818" s="497">
        <v>756260</v>
      </c>
      <c r="F818" s="505">
        <v>-6.4993811354266667E-3</v>
      </c>
      <c r="G818" s="488"/>
    </row>
    <row r="819" spans="2:7" x14ac:dyDescent="0.25">
      <c r="B819" s="491" t="s">
        <v>446</v>
      </c>
      <c r="C819" s="495">
        <v>43411</v>
      </c>
      <c r="D819" s="492">
        <v>18917</v>
      </c>
      <c r="E819" s="497">
        <v>620818</v>
      </c>
      <c r="F819" s="505">
        <v>3.5895908655025836E-2</v>
      </c>
      <c r="G819" s="488"/>
    </row>
    <row r="820" spans="2:7" x14ac:dyDescent="0.25">
      <c r="B820" s="491" t="s">
        <v>446</v>
      </c>
      <c r="C820" s="495">
        <v>43412</v>
      </c>
      <c r="D820" s="492">
        <v>18421</v>
      </c>
      <c r="E820" s="497">
        <v>1222392</v>
      </c>
      <c r="F820" s="505">
        <v>-2.6569670513446143E-2</v>
      </c>
      <c r="G820" s="488"/>
    </row>
    <row r="821" spans="2:7" x14ac:dyDescent="0.25">
      <c r="B821" s="491" t="s">
        <v>446</v>
      </c>
      <c r="C821" s="495">
        <v>43413</v>
      </c>
      <c r="D821" s="492">
        <v>18389</v>
      </c>
      <c r="E821" s="497">
        <v>620404</v>
      </c>
      <c r="F821" s="505">
        <v>-1.7386584113639931E-3</v>
      </c>
      <c r="G821" s="488"/>
    </row>
    <row r="822" spans="2:7" x14ac:dyDescent="0.25">
      <c r="B822" s="491" t="s">
        <v>446</v>
      </c>
      <c r="C822" s="495">
        <v>43416</v>
      </c>
      <c r="D822" s="492">
        <v>17755</v>
      </c>
      <c r="E822" s="497">
        <v>503319</v>
      </c>
      <c r="F822" s="505">
        <v>-3.5085493363664927E-2</v>
      </c>
      <c r="G822" s="488"/>
    </row>
    <row r="823" spans="2:7" x14ac:dyDescent="0.25">
      <c r="B823" s="491" t="s">
        <v>446</v>
      </c>
      <c r="C823" s="495">
        <v>43417</v>
      </c>
      <c r="D823" s="492">
        <v>17520</v>
      </c>
      <c r="E823" s="497">
        <v>669197</v>
      </c>
      <c r="F823" s="505">
        <v>-1.3324080886805787E-2</v>
      </c>
      <c r="G823" s="488"/>
    </row>
    <row r="824" spans="2:7" x14ac:dyDescent="0.25">
      <c r="B824" s="491" t="s">
        <v>446</v>
      </c>
      <c r="C824" s="495">
        <v>43418</v>
      </c>
      <c r="D824" s="492">
        <v>17733</v>
      </c>
      <c r="E824" s="497">
        <v>986201</v>
      </c>
      <c r="F824" s="505">
        <v>1.2084225002096801E-2</v>
      </c>
      <c r="G824" s="488"/>
    </row>
    <row r="825" spans="2:7" x14ac:dyDescent="0.25">
      <c r="B825" s="491" t="s">
        <v>446</v>
      </c>
      <c r="C825" s="495">
        <v>43419</v>
      </c>
      <c r="D825" s="492">
        <v>18200</v>
      </c>
      <c r="E825" s="497">
        <v>4473950</v>
      </c>
      <c r="F825" s="505">
        <v>2.5994283572407646E-2</v>
      </c>
      <c r="G825" s="488"/>
    </row>
    <row r="826" spans="2:7" x14ac:dyDescent="0.25">
      <c r="B826" s="491" t="s">
        <v>446</v>
      </c>
      <c r="C826" s="495">
        <v>43420</v>
      </c>
      <c r="D826" s="492">
        <v>18000</v>
      </c>
      <c r="E826" s="497">
        <v>2745665</v>
      </c>
      <c r="F826" s="505">
        <v>-1.1049836186584935E-2</v>
      </c>
      <c r="G826" s="488"/>
    </row>
    <row r="827" spans="2:7" x14ac:dyDescent="0.25">
      <c r="B827" s="491" t="s">
        <v>446</v>
      </c>
      <c r="C827" s="495">
        <v>43423</v>
      </c>
      <c r="D827" s="492">
        <v>17900</v>
      </c>
      <c r="E827" s="497">
        <v>1883074</v>
      </c>
      <c r="F827" s="505">
        <v>-5.5710450494553601E-3</v>
      </c>
      <c r="G827" s="488"/>
    </row>
    <row r="828" spans="2:7" x14ac:dyDescent="0.25">
      <c r="B828" s="491" t="s">
        <v>446</v>
      </c>
      <c r="C828" s="495">
        <v>43424</v>
      </c>
      <c r="D828" s="492">
        <v>17745</v>
      </c>
      <c r="E828" s="497">
        <v>1146164</v>
      </c>
      <c r="F828" s="505">
        <v>-8.6969267482495533E-3</v>
      </c>
      <c r="G828" s="488"/>
    </row>
    <row r="829" spans="2:7" x14ac:dyDescent="0.25">
      <c r="B829" s="491" t="s">
        <v>446</v>
      </c>
      <c r="C829" s="495">
        <v>43425</v>
      </c>
      <c r="D829" s="492">
        <v>17900</v>
      </c>
      <c r="E829" s="497">
        <v>1056074</v>
      </c>
      <c r="F829" s="505">
        <v>8.6969267482494388E-3</v>
      </c>
      <c r="G829" s="488"/>
    </row>
    <row r="830" spans="2:7" x14ac:dyDescent="0.25">
      <c r="B830" s="491" t="s">
        <v>446</v>
      </c>
      <c r="C830" s="495">
        <v>43426</v>
      </c>
      <c r="D830" s="492">
        <v>17960</v>
      </c>
      <c r="E830" s="497">
        <v>960912</v>
      </c>
      <c r="F830" s="505">
        <v>3.346350027344173E-3</v>
      </c>
      <c r="G830" s="488"/>
    </row>
    <row r="831" spans="2:7" x14ac:dyDescent="0.25">
      <c r="B831" s="491" t="s">
        <v>446</v>
      </c>
      <c r="C831" s="495">
        <v>43427</v>
      </c>
      <c r="D831" s="492">
        <v>18126</v>
      </c>
      <c r="E831" s="497">
        <v>1588137</v>
      </c>
      <c r="F831" s="505">
        <v>9.2003087585363161E-3</v>
      </c>
      <c r="G831" s="488"/>
    </row>
    <row r="832" spans="2:7" x14ac:dyDescent="0.25">
      <c r="B832" s="491" t="s">
        <v>446</v>
      </c>
      <c r="C832" s="495">
        <v>43430</v>
      </c>
      <c r="D832" s="492">
        <v>18900</v>
      </c>
      <c r="E832" s="497">
        <v>1020418</v>
      </c>
      <c r="F832" s="505">
        <v>4.181455043300681E-2</v>
      </c>
      <c r="G832" s="488"/>
    </row>
    <row r="833" spans="2:7" x14ac:dyDescent="0.25">
      <c r="B833" s="491" t="s">
        <v>446</v>
      </c>
      <c r="C833" s="495">
        <v>43431</v>
      </c>
      <c r="D833" s="492">
        <v>19676</v>
      </c>
      <c r="E833" s="497">
        <v>1022304</v>
      </c>
      <c r="F833" s="505">
        <v>4.023769686749664E-2</v>
      </c>
      <c r="G833" s="488"/>
    </row>
    <row r="834" spans="2:7" x14ac:dyDescent="0.25">
      <c r="B834" s="491" t="s">
        <v>446</v>
      </c>
      <c r="C834" s="495">
        <v>43432</v>
      </c>
      <c r="D834" s="492">
        <v>19850</v>
      </c>
      <c r="E834" s="497">
        <v>897058</v>
      </c>
      <c r="F834" s="505">
        <v>8.8043882001060461E-3</v>
      </c>
      <c r="G834" s="488"/>
    </row>
    <row r="835" spans="2:7" x14ac:dyDescent="0.25">
      <c r="B835" s="491" t="s">
        <v>446</v>
      </c>
      <c r="C835" s="495">
        <v>43433</v>
      </c>
      <c r="D835" s="492">
        <v>20036</v>
      </c>
      <c r="E835" s="497">
        <v>1147819</v>
      </c>
      <c r="F835" s="505">
        <v>9.326648362170991E-3</v>
      </c>
      <c r="G835" s="488"/>
    </row>
    <row r="836" spans="2:7" x14ac:dyDescent="0.25">
      <c r="B836" s="491" t="s">
        <v>446</v>
      </c>
      <c r="C836" s="495">
        <v>43434</v>
      </c>
      <c r="D836" s="492">
        <v>19577</v>
      </c>
      <c r="E836" s="497">
        <v>963481</v>
      </c>
      <c r="F836" s="505">
        <v>-2.3175247700964817E-2</v>
      </c>
      <c r="G836" s="488"/>
    </row>
    <row r="837" spans="2:7" x14ac:dyDescent="0.25">
      <c r="B837" s="491" t="s">
        <v>446</v>
      </c>
      <c r="C837" s="495">
        <v>43437</v>
      </c>
      <c r="D837" s="492">
        <v>19800</v>
      </c>
      <c r="E837" s="497">
        <v>765536</v>
      </c>
      <c r="F837" s="505">
        <v>1.1326529906083892E-2</v>
      </c>
      <c r="G837" s="488"/>
    </row>
    <row r="838" spans="2:7" x14ac:dyDescent="0.25">
      <c r="B838" s="491" t="s">
        <v>446</v>
      </c>
      <c r="C838" s="495">
        <v>43438</v>
      </c>
      <c r="D838" s="492">
        <v>20149</v>
      </c>
      <c r="E838" s="497">
        <v>794479</v>
      </c>
      <c r="F838" s="505">
        <v>1.7472721669139598E-2</v>
      </c>
      <c r="G838" s="488"/>
    </row>
    <row r="839" spans="2:7" x14ac:dyDescent="0.25">
      <c r="B839" s="491" t="s">
        <v>446</v>
      </c>
      <c r="C839" s="495">
        <v>43439</v>
      </c>
      <c r="D839" s="492">
        <v>19736</v>
      </c>
      <c r="E839" s="497">
        <v>533361</v>
      </c>
      <c r="F839" s="505">
        <v>-2.0710280142573503E-2</v>
      </c>
      <c r="G839" s="488"/>
    </row>
    <row r="840" spans="2:7" x14ac:dyDescent="0.25">
      <c r="B840" s="491" t="s">
        <v>446</v>
      </c>
      <c r="C840" s="495">
        <v>43440</v>
      </c>
      <c r="D840" s="492">
        <v>19498</v>
      </c>
      <c r="E840" s="497">
        <v>627400</v>
      </c>
      <c r="F840" s="505">
        <v>-1.2132483019975828E-2</v>
      </c>
      <c r="G840" s="488"/>
    </row>
    <row r="841" spans="2:7" x14ac:dyDescent="0.25">
      <c r="B841" s="491" t="s">
        <v>446</v>
      </c>
      <c r="C841" s="495">
        <v>43441</v>
      </c>
      <c r="D841" s="492">
        <v>19448</v>
      </c>
      <c r="E841" s="497">
        <v>510643</v>
      </c>
      <c r="F841" s="505">
        <v>-2.5676591932575557E-3</v>
      </c>
      <c r="G841" s="488"/>
    </row>
    <row r="842" spans="2:7" x14ac:dyDescent="0.25">
      <c r="B842" s="491" t="s">
        <v>446</v>
      </c>
      <c r="C842" s="495">
        <v>43444</v>
      </c>
      <c r="D842" s="492">
        <v>19218</v>
      </c>
      <c r="E842" s="497">
        <v>701945</v>
      </c>
      <c r="F842" s="505">
        <v>-1.1896897158746183E-2</v>
      </c>
      <c r="G842" s="488"/>
    </row>
    <row r="843" spans="2:7" x14ac:dyDescent="0.25">
      <c r="B843" s="491" t="s">
        <v>446</v>
      </c>
      <c r="C843" s="495">
        <v>43445</v>
      </c>
      <c r="D843" s="492">
        <v>19303</v>
      </c>
      <c r="E843" s="497">
        <v>904972</v>
      </c>
      <c r="F843" s="505">
        <v>4.4131843906621507E-3</v>
      </c>
      <c r="G843" s="488"/>
    </row>
    <row r="844" spans="2:7" x14ac:dyDescent="0.25">
      <c r="B844" s="491" t="s">
        <v>446</v>
      </c>
      <c r="C844" s="495">
        <v>43446</v>
      </c>
      <c r="D844" s="492">
        <v>19398</v>
      </c>
      <c r="E844" s="497">
        <v>611469</v>
      </c>
      <c r="F844" s="505">
        <v>4.9094437256128973E-3</v>
      </c>
      <c r="G844" s="488"/>
    </row>
    <row r="845" spans="2:7" x14ac:dyDescent="0.25">
      <c r="B845" s="491" t="s">
        <v>446</v>
      </c>
      <c r="C845" s="495">
        <v>43447</v>
      </c>
      <c r="D845" s="492">
        <v>19739</v>
      </c>
      <c r="E845" s="497">
        <v>700477</v>
      </c>
      <c r="F845" s="505">
        <v>1.7426406189499363E-2</v>
      </c>
      <c r="G845" s="488"/>
    </row>
    <row r="846" spans="2:7" x14ac:dyDescent="0.25">
      <c r="B846" s="491" t="s">
        <v>446</v>
      </c>
      <c r="C846" s="495">
        <v>43448</v>
      </c>
      <c r="D846" s="492">
        <v>19714</v>
      </c>
      <c r="E846" s="497">
        <v>471018</v>
      </c>
      <c r="F846" s="505">
        <v>-1.2673309176032242E-3</v>
      </c>
      <c r="G846" s="488"/>
    </row>
    <row r="847" spans="2:7" x14ac:dyDescent="0.25">
      <c r="B847" s="491" t="s">
        <v>446</v>
      </c>
      <c r="C847" s="495">
        <v>43452</v>
      </c>
      <c r="D847" s="492">
        <v>19826</v>
      </c>
      <c r="E847" s="497">
        <v>666903</v>
      </c>
      <c r="F847" s="505">
        <v>5.6651643674584008E-3</v>
      </c>
      <c r="G847" s="488"/>
    </row>
    <row r="848" spans="2:7" x14ac:dyDescent="0.25">
      <c r="B848" s="491" t="s">
        <v>446</v>
      </c>
      <c r="C848" s="495">
        <v>43453</v>
      </c>
      <c r="D848" s="492">
        <v>20007</v>
      </c>
      <c r="E848" s="497">
        <v>767554</v>
      </c>
      <c r="F848" s="505">
        <v>9.0880047075731982E-3</v>
      </c>
      <c r="G848" s="488"/>
    </row>
    <row r="849" spans="2:7" x14ac:dyDescent="0.25">
      <c r="B849" s="491" t="s">
        <v>446</v>
      </c>
      <c r="C849" s="495">
        <v>43454</v>
      </c>
      <c r="D849" s="492">
        <v>19999</v>
      </c>
      <c r="E849" s="497">
        <v>1215245</v>
      </c>
      <c r="F849" s="505">
        <v>-3.9994001432957582E-4</v>
      </c>
      <c r="G849" s="488"/>
    </row>
    <row r="850" spans="2:7" x14ac:dyDescent="0.25">
      <c r="B850" s="491" t="s">
        <v>446</v>
      </c>
      <c r="C850" s="495">
        <v>43455</v>
      </c>
      <c r="D850" s="492">
        <v>19986</v>
      </c>
      <c r="E850" s="497">
        <v>972317</v>
      </c>
      <c r="F850" s="505">
        <v>-6.5024386435173992E-4</v>
      </c>
      <c r="G850" s="488"/>
    </row>
    <row r="851" spans="2:7" x14ac:dyDescent="0.25">
      <c r="B851" s="491" t="s">
        <v>446</v>
      </c>
      <c r="C851" s="495">
        <v>43458</v>
      </c>
      <c r="D851" s="492">
        <v>20046</v>
      </c>
      <c r="E851" s="497">
        <v>139089</v>
      </c>
      <c r="F851" s="505">
        <v>2.997604163076911E-3</v>
      </c>
      <c r="G851" s="488"/>
    </row>
    <row r="852" spans="2:7" x14ac:dyDescent="0.25">
      <c r="B852" s="491" t="s">
        <v>446</v>
      </c>
      <c r="C852" s="495">
        <v>43461</v>
      </c>
      <c r="D852" s="492">
        <v>19842</v>
      </c>
      <c r="E852" s="497">
        <v>232481</v>
      </c>
      <c r="F852" s="505">
        <v>-1.0228729374963715E-2</v>
      </c>
      <c r="G852" s="488"/>
    </row>
    <row r="853" spans="2:7" x14ac:dyDescent="0.25">
      <c r="B853" s="491" t="s">
        <v>446</v>
      </c>
      <c r="C853" s="495">
        <v>43462</v>
      </c>
      <c r="D853" s="492">
        <v>20250</v>
      </c>
      <c r="E853" s="497">
        <v>350238</v>
      </c>
      <c r="F853" s="505">
        <v>2.0353890324837493E-2</v>
      </c>
      <c r="G853" s="488"/>
    </row>
    <row r="854" spans="2:7" x14ac:dyDescent="0.25">
      <c r="B854" s="491" t="s">
        <v>446</v>
      </c>
      <c r="C854" s="495">
        <v>43465</v>
      </c>
      <c r="D854" s="492">
        <v>20750</v>
      </c>
      <c r="E854" s="497">
        <v>251239</v>
      </c>
      <c r="F854" s="505">
        <v>2.4391453124159263E-2</v>
      </c>
      <c r="G854" s="488"/>
    </row>
    <row r="855" spans="2:7" x14ac:dyDescent="0.25">
      <c r="B855" s="491" t="s">
        <v>446</v>
      </c>
      <c r="C855" s="495">
        <v>43467</v>
      </c>
      <c r="D855" s="492">
        <v>20039</v>
      </c>
      <c r="E855" s="497">
        <v>324378</v>
      </c>
      <c r="F855" s="505">
        <v>-3.4865871904700453E-2</v>
      </c>
      <c r="G855" s="488"/>
    </row>
    <row r="856" spans="2:7" x14ac:dyDescent="0.25">
      <c r="B856" s="491" t="s">
        <v>446</v>
      </c>
      <c r="C856" s="495">
        <v>43468</v>
      </c>
      <c r="D856" s="492">
        <v>20193</v>
      </c>
      <c r="E856" s="497">
        <v>352394</v>
      </c>
      <c r="F856" s="505">
        <v>7.6556349246789338E-3</v>
      </c>
      <c r="G856" s="488"/>
    </row>
    <row r="857" spans="2:7" x14ac:dyDescent="0.25">
      <c r="B857" s="491" t="s">
        <v>446</v>
      </c>
      <c r="C857" s="495">
        <v>43469</v>
      </c>
      <c r="D857" s="492">
        <v>20400</v>
      </c>
      <c r="E857" s="497">
        <v>718161</v>
      </c>
      <c r="F857" s="505">
        <v>1.0198891153485037E-2</v>
      </c>
      <c r="G857" s="488"/>
    </row>
    <row r="858" spans="2:7" x14ac:dyDescent="0.25">
      <c r="B858" s="491" t="s">
        <v>446</v>
      </c>
      <c r="C858" s="495">
        <v>43472</v>
      </c>
      <c r="D858" s="492">
        <v>20000</v>
      </c>
      <c r="E858" s="497">
        <v>320525</v>
      </c>
      <c r="F858" s="505">
        <v>-1.9802627296179754E-2</v>
      </c>
      <c r="G858" s="488"/>
    </row>
    <row r="859" spans="2:7" x14ac:dyDescent="0.25">
      <c r="B859" s="491" t="s">
        <v>446</v>
      </c>
      <c r="C859" s="495">
        <v>43473</v>
      </c>
      <c r="D859" s="492">
        <v>19988</v>
      </c>
      <c r="E859" s="497">
        <v>207583</v>
      </c>
      <c r="F859" s="505">
        <v>-6.0018007203246058E-4</v>
      </c>
      <c r="G859" s="488"/>
    </row>
    <row r="860" spans="2:7" x14ac:dyDescent="0.25">
      <c r="B860" s="491" t="s">
        <v>446</v>
      </c>
      <c r="C860" s="495">
        <v>43474</v>
      </c>
      <c r="D860" s="492">
        <v>20064</v>
      </c>
      <c r="E860" s="497">
        <v>971907</v>
      </c>
      <c r="F860" s="505">
        <v>3.7950709685515343E-3</v>
      </c>
      <c r="G860" s="488"/>
    </row>
    <row r="861" spans="2:7" x14ac:dyDescent="0.25">
      <c r="B861" s="491" t="s">
        <v>446</v>
      </c>
      <c r="C861" s="495">
        <v>43475</v>
      </c>
      <c r="D861" s="492">
        <v>20225</v>
      </c>
      <c r="E861" s="497">
        <v>595387</v>
      </c>
      <c r="F861" s="505">
        <v>7.9922984940452024E-3</v>
      </c>
      <c r="G861" s="488"/>
    </row>
    <row r="862" spans="2:7" x14ac:dyDescent="0.25">
      <c r="B862" s="491" t="s">
        <v>446</v>
      </c>
      <c r="C862" s="495">
        <v>43476</v>
      </c>
      <c r="D862" s="492">
        <v>20479</v>
      </c>
      <c r="E862" s="497">
        <v>598039</v>
      </c>
      <c r="F862" s="505">
        <v>1.2480507909619982E-2</v>
      </c>
      <c r="G862" s="488"/>
    </row>
    <row r="863" spans="2:7" x14ac:dyDescent="0.25">
      <c r="B863" s="491" t="s">
        <v>446</v>
      </c>
      <c r="C863" s="495">
        <v>43479</v>
      </c>
      <c r="D863" s="492">
        <v>20746</v>
      </c>
      <c r="E863" s="497">
        <v>749412</v>
      </c>
      <c r="F863" s="505">
        <v>1.2953486155460917E-2</v>
      </c>
      <c r="G863" s="488"/>
    </row>
    <row r="864" spans="2:7" x14ac:dyDescent="0.25">
      <c r="B864" s="491" t="s">
        <v>446</v>
      </c>
      <c r="C864" s="495">
        <v>43480</v>
      </c>
      <c r="D864" s="492">
        <v>20677</v>
      </c>
      <c r="E864" s="497">
        <v>617238</v>
      </c>
      <c r="F864" s="505">
        <v>-3.3314855910033568E-3</v>
      </c>
      <c r="G864" s="488"/>
    </row>
    <row r="865" spans="2:7" x14ac:dyDescent="0.25">
      <c r="B865" s="491" t="s">
        <v>446</v>
      </c>
      <c r="C865" s="495">
        <v>43481</v>
      </c>
      <c r="D865" s="492">
        <v>21072</v>
      </c>
      <c r="E865" s="497">
        <v>530134</v>
      </c>
      <c r="F865" s="505">
        <v>1.8923173582292278E-2</v>
      </c>
      <c r="G865" s="488"/>
    </row>
    <row r="866" spans="2:7" x14ac:dyDescent="0.25">
      <c r="B866" s="491" t="s">
        <v>446</v>
      </c>
      <c r="C866" s="495">
        <v>43482</v>
      </c>
      <c r="D866" s="492">
        <v>20150</v>
      </c>
      <c r="E866" s="497">
        <v>1017700</v>
      </c>
      <c r="F866" s="505">
        <v>-4.4740856608233244E-2</v>
      </c>
      <c r="G866" s="488"/>
    </row>
    <row r="867" spans="2:7" x14ac:dyDescent="0.25">
      <c r="B867" s="491" t="s">
        <v>446</v>
      </c>
      <c r="C867" s="495">
        <v>43483</v>
      </c>
      <c r="D867" s="492">
        <v>20273</v>
      </c>
      <c r="E867" s="497">
        <v>519071</v>
      </c>
      <c r="F867" s="505">
        <v>6.0856630933647168E-3</v>
      </c>
      <c r="G867" s="488"/>
    </row>
    <row r="868" spans="2:7" x14ac:dyDescent="0.25">
      <c r="B868" s="491" t="s">
        <v>446</v>
      </c>
      <c r="C868" s="495">
        <v>43486</v>
      </c>
      <c r="D868" s="492">
        <v>20163</v>
      </c>
      <c r="E868" s="497">
        <v>439055</v>
      </c>
      <c r="F868" s="505">
        <v>-5.4407098301182252E-3</v>
      </c>
      <c r="G868" s="488"/>
    </row>
    <row r="869" spans="2:7" x14ac:dyDescent="0.25">
      <c r="B869" s="491" t="s">
        <v>446</v>
      </c>
      <c r="C869" s="495">
        <v>43487</v>
      </c>
      <c r="D869" s="492">
        <v>20139</v>
      </c>
      <c r="E869" s="497">
        <v>594821</v>
      </c>
      <c r="F869" s="505">
        <v>-1.1910080312143082E-3</v>
      </c>
      <c r="G869" s="488"/>
    </row>
    <row r="870" spans="2:7" x14ac:dyDescent="0.25">
      <c r="B870" s="491" t="s">
        <v>446</v>
      </c>
      <c r="C870" s="495">
        <v>43488</v>
      </c>
      <c r="D870" s="492">
        <v>20551</v>
      </c>
      <c r="E870" s="497">
        <v>658878</v>
      </c>
      <c r="F870" s="505">
        <v>2.0251367934059007E-2</v>
      </c>
      <c r="G870" s="488"/>
    </row>
    <row r="871" spans="2:7" x14ac:dyDescent="0.25">
      <c r="B871" s="491" t="s">
        <v>446</v>
      </c>
      <c r="C871" s="495">
        <v>43489</v>
      </c>
      <c r="D871" s="492">
        <v>20799</v>
      </c>
      <c r="E871" s="497">
        <v>548881</v>
      </c>
      <c r="F871" s="505">
        <v>1.1995307069679806E-2</v>
      </c>
      <c r="G871" s="488"/>
    </row>
    <row r="872" spans="2:7" x14ac:dyDescent="0.25">
      <c r="B872" s="491" t="s">
        <v>446</v>
      </c>
      <c r="C872" s="495">
        <v>43490</v>
      </c>
      <c r="D872" s="492">
        <v>20025</v>
      </c>
      <c r="E872" s="497">
        <v>906739</v>
      </c>
      <c r="F872" s="505">
        <v>-3.7923415674040187E-2</v>
      </c>
      <c r="G872" s="488"/>
    </row>
    <row r="873" spans="2:7" x14ac:dyDescent="0.25">
      <c r="B873" s="491" t="s">
        <v>446</v>
      </c>
      <c r="C873" s="495">
        <v>43493</v>
      </c>
      <c r="D873" s="492">
        <v>20000</v>
      </c>
      <c r="E873" s="497">
        <v>619293</v>
      </c>
      <c r="F873" s="505">
        <v>-1.2492194004319278E-3</v>
      </c>
      <c r="G873" s="488"/>
    </row>
    <row r="874" spans="2:7" x14ac:dyDescent="0.25">
      <c r="B874" s="491" t="s">
        <v>446</v>
      </c>
      <c r="C874" s="495">
        <v>43494</v>
      </c>
      <c r="D874" s="492">
        <v>20078</v>
      </c>
      <c r="E874" s="497">
        <v>656553</v>
      </c>
      <c r="F874" s="505">
        <v>3.8924147153438535E-3</v>
      </c>
      <c r="G874" s="488"/>
    </row>
    <row r="875" spans="2:7" x14ac:dyDescent="0.25">
      <c r="B875" s="491" t="s">
        <v>446</v>
      </c>
      <c r="C875" s="495">
        <v>43495</v>
      </c>
      <c r="D875" s="492">
        <v>19511</v>
      </c>
      <c r="E875" s="497">
        <v>783322</v>
      </c>
      <c r="F875" s="505">
        <v>-2.8646279181573198E-2</v>
      </c>
      <c r="G875" s="488"/>
    </row>
    <row r="876" spans="2:7" x14ac:dyDescent="0.25">
      <c r="B876" s="491" t="s">
        <v>446</v>
      </c>
      <c r="C876" s="495">
        <v>43496</v>
      </c>
      <c r="D876" s="492">
        <v>19940</v>
      </c>
      <c r="E876" s="497">
        <v>1118921</v>
      </c>
      <c r="F876" s="505">
        <v>2.1749355445930547E-2</v>
      </c>
      <c r="G876" s="488"/>
    </row>
    <row r="877" spans="2:7" x14ac:dyDescent="0.25">
      <c r="B877" s="491" t="s">
        <v>446</v>
      </c>
      <c r="C877" s="495">
        <v>43497</v>
      </c>
      <c r="D877" s="492">
        <v>19867</v>
      </c>
      <c r="E877" s="497">
        <v>466052</v>
      </c>
      <c r="F877" s="505">
        <v>-3.6677007477658018E-3</v>
      </c>
      <c r="G877" s="488"/>
    </row>
    <row r="878" spans="2:7" x14ac:dyDescent="0.25">
      <c r="B878" s="491" t="s">
        <v>446</v>
      </c>
      <c r="C878" s="495">
        <v>43500</v>
      </c>
      <c r="D878" s="492">
        <v>19120</v>
      </c>
      <c r="E878" s="497">
        <v>477589</v>
      </c>
      <c r="F878" s="505">
        <v>-3.8325156162671244E-2</v>
      </c>
      <c r="G878" s="488"/>
    </row>
    <row r="879" spans="2:7" x14ac:dyDescent="0.25">
      <c r="B879" s="491" t="s">
        <v>446</v>
      </c>
      <c r="C879" s="495">
        <v>43501</v>
      </c>
      <c r="D879" s="492">
        <v>19435</v>
      </c>
      <c r="E879" s="497">
        <v>451337</v>
      </c>
      <c r="F879" s="505">
        <v>1.6340656680931303E-2</v>
      </c>
      <c r="G879" s="488"/>
    </row>
    <row r="880" spans="2:7" x14ac:dyDescent="0.25">
      <c r="B880" s="491" t="s">
        <v>446</v>
      </c>
      <c r="C880" s="495">
        <v>43502</v>
      </c>
      <c r="D880" s="492">
        <v>19417</v>
      </c>
      <c r="E880" s="497">
        <v>573164</v>
      </c>
      <c r="F880" s="505">
        <v>-9.2659329186984413E-4</v>
      </c>
      <c r="G880" s="488"/>
    </row>
    <row r="881" spans="2:7" x14ac:dyDescent="0.25">
      <c r="B881" s="491" t="s">
        <v>446</v>
      </c>
      <c r="C881" s="495">
        <v>43503</v>
      </c>
      <c r="D881" s="492">
        <v>18952</v>
      </c>
      <c r="E881" s="497">
        <v>454758</v>
      </c>
      <c r="F881" s="505">
        <v>-2.4239504155832387E-2</v>
      </c>
      <c r="G881" s="488"/>
    </row>
    <row r="882" spans="2:7" x14ac:dyDescent="0.25">
      <c r="B882" s="491" t="s">
        <v>446</v>
      </c>
      <c r="C882" s="495">
        <v>43504</v>
      </c>
      <c r="D882" s="492">
        <v>19216</v>
      </c>
      <c r="E882" s="497">
        <v>998572</v>
      </c>
      <c r="F882" s="505">
        <v>1.3833798481143354E-2</v>
      </c>
      <c r="G882" s="488"/>
    </row>
    <row r="883" spans="2:7" x14ac:dyDescent="0.25">
      <c r="B883" s="491" t="s">
        <v>446</v>
      </c>
      <c r="C883" s="495">
        <v>43507</v>
      </c>
      <c r="D883" s="492">
        <v>19021</v>
      </c>
      <c r="E883" s="497">
        <v>552656</v>
      </c>
      <c r="F883" s="505">
        <v>-1.019963336692379E-2</v>
      </c>
      <c r="G883" s="488"/>
    </row>
    <row r="884" spans="2:7" x14ac:dyDescent="0.25">
      <c r="B884" s="491" t="s">
        <v>446</v>
      </c>
      <c r="C884" s="495">
        <v>43508</v>
      </c>
      <c r="D884" s="492">
        <v>19978</v>
      </c>
      <c r="E884" s="497">
        <v>1142335</v>
      </c>
      <c r="F884" s="505">
        <v>4.9088036139253943E-2</v>
      </c>
      <c r="G884" s="488"/>
    </row>
    <row r="885" spans="2:7" x14ac:dyDescent="0.25">
      <c r="B885" s="491" t="s">
        <v>446</v>
      </c>
      <c r="C885" s="495">
        <v>43509</v>
      </c>
      <c r="D885" s="492">
        <v>20500</v>
      </c>
      <c r="E885" s="497">
        <v>1641381</v>
      </c>
      <c r="F885" s="505">
        <v>2.5793218034404545E-2</v>
      </c>
      <c r="G885" s="488"/>
    </row>
    <row r="886" spans="2:7" x14ac:dyDescent="0.25">
      <c r="B886" s="491" t="s">
        <v>446</v>
      </c>
      <c r="C886" s="495">
        <v>43510</v>
      </c>
      <c r="D886" s="492">
        <v>20235</v>
      </c>
      <c r="E886" s="497">
        <v>826571</v>
      </c>
      <c r="F886" s="505">
        <v>-1.3011107816533611E-2</v>
      </c>
      <c r="G886" s="488"/>
    </row>
    <row r="887" spans="2:7" x14ac:dyDescent="0.25">
      <c r="B887" s="491" t="s">
        <v>446</v>
      </c>
      <c r="C887" s="495">
        <v>43511</v>
      </c>
      <c r="D887" s="492">
        <v>20338</v>
      </c>
      <c r="E887" s="497">
        <v>508251</v>
      </c>
      <c r="F887" s="505">
        <v>5.0772790411168171E-3</v>
      </c>
      <c r="G887" s="488"/>
    </row>
    <row r="888" spans="2:7" x14ac:dyDescent="0.25">
      <c r="B888" s="491" t="s">
        <v>446</v>
      </c>
      <c r="C888" s="495">
        <v>43514</v>
      </c>
      <c r="D888" s="492">
        <v>20382</v>
      </c>
      <c r="E888" s="497">
        <v>1292425</v>
      </c>
      <c r="F888" s="505">
        <v>2.1611010375562675E-3</v>
      </c>
      <c r="G888" s="488"/>
    </row>
    <row r="889" spans="2:7" x14ac:dyDescent="0.25">
      <c r="B889" s="491" t="s">
        <v>446</v>
      </c>
      <c r="C889" s="495">
        <v>43515</v>
      </c>
      <c r="D889" s="492">
        <v>19958</v>
      </c>
      <c r="E889" s="497">
        <v>304305</v>
      </c>
      <c r="F889" s="505">
        <v>-2.1022092944381097E-2</v>
      </c>
      <c r="G889" s="488"/>
    </row>
    <row r="890" spans="2:7" x14ac:dyDescent="0.25">
      <c r="B890" s="491" t="s">
        <v>446</v>
      </c>
      <c r="C890" s="495">
        <v>43516</v>
      </c>
      <c r="D890" s="492">
        <v>20000</v>
      </c>
      <c r="E890" s="497">
        <v>612055</v>
      </c>
      <c r="F890" s="505">
        <v>2.1022080918702809E-3</v>
      </c>
      <c r="G890" s="488"/>
    </row>
    <row r="891" spans="2:7" x14ac:dyDescent="0.25">
      <c r="B891" s="491" t="s">
        <v>446</v>
      </c>
      <c r="C891" s="495">
        <v>43517</v>
      </c>
      <c r="D891" s="492">
        <v>19679</v>
      </c>
      <c r="E891" s="497">
        <v>342915</v>
      </c>
      <c r="F891" s="505">
        <v>-1.6180196229038352E-2</v>
      </c>
      <c r="G891" s="488"/>
    </row>
    <row r="892" spans="2:7" x14ac:dyDescent="0.25">
      <c r="B892" s="491" t="s">
        <v>446</v>
      </c>
      <c r="C892" s="495">
        <v>43518</v>
      </c>
      <c r="D892" s="492">
        <v>19862</v>
      </c>
      <c r="E892" s="497">
        <v>389715</v>
      </c>
      <c r="F892" s="505">
        <v>9.2562811562142324E-3</v>
      </c>
      <c r="G892" s="488"/>
    </row>
    <row r="893" spans="2:7" x14ac:dyDescent="0.25">
      <c r="B893" s="491" t="s">
        <v>446</v>
      </c>
      <c r="C893" s="495">
        <v>43521</v>
      </c>
      <c r="D893" s="492">
        <v>19968</v>
      </c>
      <c r="E893" s="497">
        <v>589119</v>
      </c>
      <c r="F893" s="505">
        <v>5.3226337058504504E-3</v>
      </c>
      <c r="G893" s="488"/>
    </row>
    <row r="894" spans="2:7" x14ac:dyDescent="0.25">
      <c r="B894" s="491" t="s">
        <v>446</v>
      </c>
      <c r="C894" s="495">
        <v>43522</v>
      </c>
      <c r="D894" s="492">
        <v>20054</v>
      </c>
      <c r="E894" s="497">
        <v>719871</v>
      </c>
      <c r="F894" s="505">
        <v>4.2976429147163851E-3</v>
      </c>
      <c r="G894" s="488"/>
    </row>
    <row r="895" spans="2:7" x14ac:dyDescent="0.25">
      <c r="B895" s="491" t="s">
        <v>446</v>
      </c>
      <c r="C895" s="495">
        <v>43523</v>
      </c>
      <c r="D895" s="492">
        <v>20133</v>
      </c>
      <c r="E895" s="497">
        <v>364148</v>
      </c>
      <c r="F895" s="505">
        <v>3.9316247424782749E-3</v>
      </c>
      <c r="G895" s="488"/>
    </row>
    <row r="896" spans="2:7" x14ac:dyDescent="0.25">
      <c r="B896" s="491" t="s">
        <v>446</v>
      </c>
      <c r="C896" s="495">
        <v>43524</v>
      </c>
      <c r="D896" s="492">
        <v>19970</v>
      </c>
      <c r="E896" s="497">
        <v>834757</v>
      </c>
      <c r="F896" s="505">
        <v>-8.1291124164880393E-3</v>
      </c>
      <c r="G896" s="488"/>
    </row>
    <row r="897" spans="2:7" x14ac:dyDescent="0.25">
      <c r="B897" s="491" t="s">
        <v>446</v>
      </c>
      <c r="C897" s="495">
        <v>43525</v>
      </c>
      <c r="D897" s="492">
        <v>19867</v>
      </c>
      <c r="E897" s="497">
        <v>307684</v>
      </c>
      <c r="F897" s="505">
        <v>-5.1710836417973903E-3</v>
      </c>
      <c r="G897" s="488"/>
    </row>
    <row r="898" spans="2:7" x14ac:dyDescent="0.25">
      <c r="B898" s="491" t="s">
        <v>446</v>
      </c>
      <c r="C898" s="495">
        <v>43528</v>
      </c>
      <c r="D898" s="492">
        <v>20132</v>
      </c>
      <c r="E898" s="497">
        <v>502275</v>
      </c>
      <c r="F898" s="505">
        <v>1.3250525128187123E-2</v>
      </c>
      <c r="G898" s="488"/>
    </row>
    <row r="899" spans="2:7" x14ac:dyDescent="0.25">
      <c r="B899" s="491" t="s">
        <v>446</v>
      </c>
      <c r="C899" s="495">
        <v>43529</v>
      </c>
      <c r="D899" s="492">
        <v>20246</v>
      </c>
      <c r="E899" s="497">
        <v>339588</v>
      </c>
      <c r="F899" s="505">
        <v>5.64665426244632E-3</v>
      </c>
      <c r="G899" s="488"/>
    </row>
    <row r="900" spans="2:7" x14ac:dyDescent="0.25">
      <c r="B900" s="491" t="s">
        <v>446</v>
      </c>
      <c r="C900" s="495">
        <v>43530</v>
      </c>
      <c r="D900" s="492">
        <v>20049</v>
      </c>
      <c r="E900" s="497">
        <v>414514</v>
      </c>
      <c r="F900" s="505">
        <v>-9.7779659795171562E-3</v>
      </c>
      <c r="G900" s="488"/>
    </row>
    <row r="901" spans="2:7" x14ac:dyDescent="0.25">
      <c r="B901" s="491" t="s">
        <v>446</v>
      </c>
      <c r="C901" s="495">
        <v>43531</v>
      </c>
      <c r="D901" s="492">
        <v>19970</v>
      </c>
      <c r="E901" s="497">
        <v>455074</v>
      </c>
      <c r="F901" s="505">
        <v>-3.9481297693188836E-3</v>
      </c>
      <c r="G901" s="488"/>
    </row>
    <row r="902" spans="2:7" x14ac:dyDescent="0.25">
      <c r="B902" s="491" t="s">
        <v>446</v>
      </c>
      <c r="C902" s="495">
        <v>43532</v>
      </c>
      <c r="D902" s="492">
        <v>20095</v>
      </c>
      <c r="E902" s="497">
        <v>670521</v>
      </c>
      <c r="F902" s="505">
        <v>6.2398804734404793E-3</v>
      </c>
      <c r="G902" s="488"/>
    </row>
    <row r="903" spans="2:7" x14ac:dyDescent="0.25">
      <c r="B903" s="491" t="s">
        <v>446</v>
      </c>
      <c r="C903" s="495">
        <v>43535</v>
      </c>
      <c r="D903" s="492">
        <v>20047</v>
      </c>
      <c r="E903" s="497">
        <v>272889</v>
      </c>
      <c r="F903" s="505">
        <v>-2.3915112788252622E-3</v>
      </c>
      <c r="G903" s="488"/>
    </row>
    <row r="904" spans="2:7" x14ac:dyDescent="0.25">
      <c r="B904" s="491" t="s">
        <v>446</v>
      </c>
      <c r="C904" s="495">
        <v>43536</v>
      </c>
      <c r="D904" s="492">
        <v>20286</v>
      </c>
      <c r="E904" s="497">
        <v>360252</v>
      </c>
      <c r="F904" s="505">
        <v>1.1851476331464883E-2</v>
      </c>
      <c r="G904" s="488"/>
    </row>
    <row r="905" spans="2:7" x14ac:dyDescent="0.25">
      <c r="B905" s="491" t="s">
        <v>446</v>
      </c>
      <c r="C905" s="495">
        <v>43537</v>
      </c>
      <c r="D905" s="492">
        <v>19922</v>
      </c>
      <c r="E905" s="497">
        <v>411602</v>
      </c>
      <c r="F905" s="505">
        <v>-1.8106344230829994E-2</v>
      </c>
      <c r="G905" s="488"/>
    </row>
    <row r="906" spans="2:7" x14ac:dyDescent="0.25">
      <c r="B906" s="491" t="s">
        <v>446</v>
      </c>
      <c r="C906" s="495">
        <v>43538</v>
      </c>
      <c r="D906" s="492">
        <v>19600</v>
      </c>
      <c r="E906" s="497">
        <v>403683</v>
      </c>
      <c r="F906" s="505">
        <v>-1.6295082486502337E-2</v>
      </c>
      <c r="G906" s="488"/>
    </row>
    <row r="907" spans="2:7" x14ac:dyDescent="0.25">
      <c r="B907" s="491" t="s">
        <v>446</v>
      </c>
      <c r="C907" s="495">
        <v>43539</v>
      </c>
      <c r="D907" s="492">
        <v>19500</v>
      </c>
      <c r="E907" s="497">
        <v>1932413</v>
      </c>
      <c r="F907" s="505">
        <v>-5.1151006667703768E-3</v>
      </c>
      <c r="G907" s="488"/>
    </row>
    <row r="908" spans="2:7" x14ac:dyDescent="0.25">
      <c r="B908" s="491" t="s">
        <v>446</v>
      </c>
      <c r="C908" s="495">
        <v>43542</v>
      </c>
      <c r="D908" s="492">
        <v>19800</v>
      </c>
      <c r="E908" s="497">
        <v>1029768</v>
      </c>
      <c r="F908" s="505">
        <v>1.5267472130788381E-2</v>
      </c>
      <c r="G908" s="488"/>
    </row>
    <row r="909" spans="2:7" x14ac:dyDescent="0.25">
      <c r="B909" s="491" t="s">
        <v>446</v>
      </c>
      <c r="C909" s="495">
        <v>43543</v>
      </c>
      <c r="D909" s="492">
        <v>19543</v>
      </c>
      <c r="E909" s="497">
        <v>960986</v>
      </c>
      <c r="F909" s="505">
        <v>-1.3064771652549795E-2</v>
      </c>
      <c r="G909" s="488"/>
    </row>
    <row r="910" spans="2:7" x14ac:dyDescent="0.25">
      <c r="B910" s="491" t="s">
        <v>446</v>
      </c>
      <c r="C910" s="495">
        <v>43544</v>
      </c>
      <c r="D910" s="492">
        <v>18894</v>
      </c>
      <c r="E910" s="497">
        <v>2166175</v>
      </c>
      <c r="F910" s="505">
        <v>-3.3772754700997137E-2</v>
      </c>
      <c r="G910" s="488"/>
    </row>
    <row r="911" spans="2:7" x14ac:dyDescent="0.25">
      <c r="B911" s="491" t="s">
        <v>446</v>
      </c>
      <c r="C911" s="495">
        <v>43546</v>
      </c>
      <c r="D911" s="492">
        <v>18787</v>
      </c>
      <c r="E911" s="497">
        <v>551655</v>
      </c>
      <c r="F911" s="505">
        <v>-5.6792700617806641E-3</v>
      </c>
      <c r="G911" s="488"/>
    </row>
    <row r="912" spans="2:7" x14ac:dyDescent="0.25">
      <c r="B912" s="491" t="s">
        <v>446</v>
      </c>
      <c r="C912" s="495">
        <v>43549</v>
      </c>
      <c r="D912" s="492">
        <v>18500</v>
      </c>
      <c r="E912" s="497">
        <v>389756</v>
      </c>
      <c r="F912" s="505">
        <v>-1.5394409200882746E-2</v>
      </c>
      <c r="G912" s="488"/>
    </row>
    <row r="913" spans="2:7" x14ac:dyDescent="0.25">
      <c r="B913" s="491" t="s">
        <v>446</v>
      </c>
      <c r="C913" s="495">
        <v>43550</v>
      </c>
      <c r="D913" s="492">
        <v>18744</v>
      </c>
      <c r="E913" s="497">
        <v>472639</v>
      </c>
      <c r="F913" s="505">
        <v>1.3102969121215309E-2</v>
      </c>
      <c r="G913" s="488"/>
    </row>
    <row r="914" spans="2:7" x14ac:dyDescent="0.25">
      <c r="B914" s="491" t="s">
        <v>446</v>
      </c>
      <c r="C914" s="495">
        <v>43551</v>
      </c>
      <c r="D914" s="492">
        <v>18875</v>
      </c>
      <c r="E914" s="497">
        <v>537975</v>
      </c>
      <c r="F914" s="505">
        <v>6.9645939295937698E-3</v>
      </c>
      <c r="G914" s="488"/>
    </row>
    <row r="915" spans="2:7" x14ac:dyDescent="0.25">
      <c r="B915" s="491" t="s">
        <v>446</v>
      </c>
      <c r="C915" s="495">
        <v>43552</v>
      </c>
      <c r="D915" s="492">
        <v>18652</v>
      </c>
      <c r="E915" s="497">
        <v>312540</v>
      </c>
      <c r="F915" s="505">
        <v>-1.1884916189013923E-2</v>
      </c>
      <c r="G915" s="488"/>
    </row>
    <row r="916" spans="2:7" x14ac:dyDescent="0.25">
      <c r="B916" s="491" t="s">
        <v>446</v>
      </c>
      <c r="C916" s="495">
        <v>43553</v>
      </c>
      <c r="D916" s="492">
        <v>19188</v>
      </c>
      <c r="E916" s="497">
        <v>706521</v>
      </c>
      <c r="F916" s="505">
        <v>2.8331704693742965E-2</v>
      </c>
      <c r="G916" s="488"/>
    </row>
    <row r="917" spans="2:7" x14ac:dyDescent="0.25">
      <c r="B917" s="491" t="s">
        <v>446</v>
      </c>
      <c r="C917" s="495">
        <v>43556</v>
      </c>
      <c r="D917" s="492">
        <v>19571</v>
      </c>
      <c r="E917" s="497">
        <v>359111</v>
      </c>
      <c r="F917" s="505">
        <v>1.9763795083014537E-2</v>
      </c>
      <c r="G917" s="488"/>
    </row>
    <row r="918" spans="2:7" x14ac:dyDescent="0.25">
      <c r="B918" s="491" t="s">
        <v>446</v>
      </c>
      <c r="C918" s="495">
        <v>43557</v>
      </c>
      <c r="D918" s="492">
        <v>19287</v>
      </c>
      <c r="E918" s="497">
        <v>522942</v>
      </c>
      <c r="F918" s="505">
        <v>-1.4617584895172744E-2</v>
      </c>
      <c r="G918" s="488"/>
    </row>
    <row r="919" spans="2:7" x14ac:dyDescent="0.25">
      <c r="B919" s="491" t="s">
        <v>446</v>
      </c>
      <c r="C919" s="495">
        <v>43558</v>
      </c>
      <c r="D919" s="492">
        <v>19287</v>
      </c>
      <c r="E919" s="497">
        <v>569505</v>
      </c>
      <c r="F919" s="505">
        <v>0</v>
      </c>
      <c r="G919" s="488"/>
    </row>
    <row r="920" spans="2:7" x14ac:dyDescent="0.25">
      <c r="B920" s="491" t="s">
        <v>446</v>
      </c>
      <c r="C920" s="495">
        <v>43559</v>
      </c>
      <c r="D920" s="492">
        <v>18969</v>
      </c>
      <c r="E920" s="497">
        <v>362338</v>
      </c>
      <c r="F920" s="505">
        <v>-1.6625226083073458E-2</v>
      </c>
      <c r="G920" s="488"/>
    </row>
    <row r="921" spans="2:7" x14ac:dyDescent="0.25">
      <c r="B921" s="491" t="s">
        <v>446</v>
      </c>
      <c r="C921" s="495">
        <v>43560</v>
      </c>
      <c r="D921" s="492">
        <v>19141</v>
      </c>
      <c r="E921" s="497">
        <v>370456</v>
      </c>
      <c r="F921" s="505">
        <v>9.0265635193867953E-3</v>
      </c>
      <c r="G921" s="488"/>
    </row>
    <row r="922" spans="2:7" x14ac:dyDescent="0.25">
      <c r="B922" s="491" t="s">
        <v>446</v>
      </c>
      <c r="C922" s="495">
        <v>43563</v>
      </c>
      <c r="D922" s="492">
        <v>19035</v>
      </c>
      <c r="E922" s="497">
        <v>339411</v>
      </c>
      <c r="F922" s="505">
        <v>-5.5532414295120089E-3</v>
      </c>
      <c r="G922" s="488"/>
    </row>
    <row r="923" spans="2:7" x14ac:dyDescent="0.25">
      <c r="B923" s="491" t="s">
        <v>446</v>
      </c>
      <c r="C923" s="495">
        <v>43564</v>
      </c>
      <c r="D923" s="492">
        <v>19285</v>
      </c>
      <c r="E923" s="497">
        <v>554126</v>
      </c>
      <c r="F923" s="505">
        <v>1.3048201825730386E-2</v>
      </c>
      <c r="G923" s="488"/>
    </row>
    <row r="924" spans="2:7" x14ac:dyDescent="0.25">
      <c r="B924" s="491" t="s">
        <v>446</v>
      </c>
      <c r="C924" s="495">
        <v>43565</v>
      </c>
      <c r="D924" s="492">
        <v>20100</v>
      </c>
      <c r="E924" s="497">
        <v>897385</v>
      </c>
      <c r="F924" s="505">
        <v>4.1392223404838877E-2</v>
      </c>
      <c r="G924" s="488"/>
    </row>
    <row r="925" spans="2:7" x14ac:dyDescent="0.25">
      <c r="B925" s="491" t="s">
        <v>446</v>
      </c>
      <c r="C925" s="495">
        <v>43566</v>
      </c>
      <c r="D925" s="492">
        <v>19837</v>
      </c>
      <c r="E925" s="497">
        <v>745097</v>
      </c>
      <c r="F925" s="505">
        <v>-1.3170934319058566E-2</v>
      </c>
      <c r="G925" s="488"/>
    </row>
    <row r="926" spans="2:7" x14ac:dyDescent="0.25">
      <c r="B926" s="491" t="s">
        <v>446</v>
      </c>
      <c r="C926" s="495">
        <v>43567</v>
      </c>
      <c r="D926" s="492">
        <v>20173</v>
      </c>
      <c r="E926" s="497">
        <v>470096</v>
      </c>
      <c r="F926" s="505">
        <v>1.6796195906242078E-2</v>
      </c>
      <c r="G926" s="488"/>
    </row>
    <row r="927" spans="2:7" x14ac:dyDescent="0.25">
      <c r="B927" s="491" t="s">
        <v>446</v>
      </c>
      <c r="C927" s="495">
        <v>43570</v>
      </c>
      <c r="D927" s="492">
        <v>20214</v>
      </c>
      <c r="E927" s="497">
        <v>846729</v>
      </c>
      <c r="F927" s="505">
        <v>2.0303570002571658E-3</v>
      </c>
      <c r="G927" s="488"/>
    </row>
    <row r="928" spans="2:7" x14ac:dyDescent="0.25">
      <c r="B928" s="491" t="s">
        <v>446</v>
      </c>
      <c r="C928" s="495">
        <v>43571</v>
      </c>
      <c r="D928" s="492">
        <v>20523</v>
      </c>
      <c r="E928" s="497">
        <v>794943</v>
      </c>
      <c r="F928" s="505">
        <v>1.5170774794499855E-2</v>
      </c>
      <c r="G928" s="488"/>
    </row>
    <row r="929" spans="2:7" x14ac:dyDescent="0.25">
      <c r="B929" s="491" t="s">
        <v>446</v>
      </c>
      <c r="C929" s="495">
        <v>43572</v>
      </c>
      <c r="D929" s="492">
        <v>20550</v>
      </c>
      <c r="E929" s="497">
        <v>308502</v>
      </c>
      <c r="F929" s="505">
        <v>1.3147324952728612E-3</v>
      </c>
      <c r="G929" s="488"/>
    </row>
    <row r="930" spans="2:7" x14ac:dyDescent="0.25">
      <c r="B930" s="491" t="s">
        <v>446</v>
      </c>
      <c r="C930" s="495">
        <v>43573</v>
      </c>
      <c r="D930" s="492">
        <v>20266</v>
      </c>
      <c r="E930" s="497">
        <v>392496</v>
      </c>
      <c r="F930" s="505">
        <v>-1.391633591611776E-2</v>
      </c>
      <c r="G930" s="488"/>
    </row>
    <row r="931" spans="2:7" x14ac:dyDescent="0.25">
      <c r="B931" s="491" t="s">
        <v>446</v>
      </c>
      <c r="C931" s="495">
        <v>43578</v>
      </c>
      <c r="D931" s="492">
        <v>19800</v>
      </c>
      <c r="E931" s="497">
        <v>559146</v>
      </c>
      <c r="F931" s="505">
        <v>-2.3262667325636276E-2</v>
      </c>
      <c r="G931" s="488"/>
    </row>
    <row r="932" spans="2:7" x14ac:dyDescent="0.25">
      <c r="B932" s="491" t="s">
        <v>446</v>
      </c>
      <c r="C932" s="495">
        <v>43579</v>
      </c>
      <c r="D932" s="492">
        <v>19255</v>
      </c>
      <c r="E932" s="497">
        <v>923390</v>
      </c>
      <c r="F932" s="505">
        <v>-2.7911170433617322E-2</v>
      </c>
      <c r="G932" s="488"/>
    </row>
    <row r="933" spans="2:7" x14ac:dyDescent="0.25">
      <c r="B933" s="491" t="s">
        <v>446</v>
      </c>
      <c r="C933" s="495">
        <v>43580</v>
      </c>
      <c r="D933" s="492">
        <v>19350</v>
      </c>
      <c r="E933" s="497">
        <v>721195</v>
      </c>
      <c r="F933" s="505">
        <v>4.9216522089186709E-3</v>
      </c>
      <c r="G933" s="488"/>
    </row>
    <row r="934" spans="2:7" x14ac:dyDescent="0.25">
      <c r="B934" s="491" t="s">
        <v>446</v>
      </c>
      <c r="C934" s="495">
        <v>43581</v>
      </c>
      <c r="D934" s="492">
        <v>19449</v>
      </c>
      <c r="E934" s="497">
        <v>486202</v>
      </c>
      <c r="F934" s="505">
        <v>5.1032353851774657E-3</v>
      </c>
      <c r="G934" s="488"/>
    </row>
    <row r="935" spans="2:7" x14ac:dyDescent="0.25">
      <c r="B935" s="491" t="s">
        <v>446</v>
      </c>
      <c r="C935" s="495">
        <v>43584</v>
      </c>
      <c r="D935" s="492">
        <v>19461</v>
      </c>
      <c r="E935" s="497">
        <v>532282</v>
      </c>
      <c r="F935" s="505">
        <v>6.1680803805974822E-4</v>
      </c>
      <c r="G935" s="488"/>
    </row>
    <row r="936" spans="2:7" x14ac:dyDescent="0.25">
      <c r="B936" s="491" t="s">
        <v>446</v>
      </c>
      <c r="C936" s="495">
        <v>43585</v>
      </c>
      <c r="D936" s="492">
        <v>19400</v>
      </c>
      <c r="E936" s="497">
        <v>991171</v>
      </c>
      <c r="F936" s="505">
        <v>-3.1393968297455561E-3</v>
      </c>
      <c r="G936" s="488"/>
    </row>
    <row r="937" spans="2:7" x14ac:dyDescent="0.25">
      <c r="B937" s="491" t="s">
        <v>446</v>
      </c>
      <c r="C937" s="495">
        <v>43587</v>
      </c>
      <c r="D937" s="492">
        <v>19418</v>
      </c>
      <c r="E937" s="497">
        <v>551098</v>
      </c>
      <c r="F937" s="505">
        <v>9.274048786707895E-4</v>
      </c>
      <c r="G937" s="488"/>
    </row>
    <row r="938" spans="2:7" x14ac:dyDescent="0.25">
      <c r="B938" s="491" t="s">
        <v>446</v>
      </c>
      <c r="C938" s="495">
        <v>43588</v>
      </c>
      <c r="D938" s="492">
        <v>19600</v>
      </c>
      <c r="E938" s="497">
        <v>895619</v>
      </c>
      <c r="F938" s="505">
        <v>9.3290952885183385E-3</v>
      </c>
      <c r="G938" s="488"/>
    </row>
    <row r="939" spans="2:7" x14ac:dyDescent="0.25">
      <c r="B939" s="491" t="s">
        <v>446</v>
      </c>
      <c r="C939" s="495">
        <v>43591</v>
      </c>
      <c r="D939" s="492">
        <v>20035</v>
      </c>
      <c r="E939" s="497">
        <v>826524</v>
      </c>
      <c r="F939" s="505">
        <v>2.1951177851636351E-2</v>
      </c>
      <c r="G939" s="488"/>
    </row>
    <row r="940" spans="2:7" x14ac:dyDescent="0.25">
      <c r="B940" s="491" t="s">
        <v>446</v>
      </c>
      <c r="C940" s="495">
        <v>43592</v>
      </c>
      <c r="D940" s="492">
        <v>19835</v>
      </c>
      <c r="E940" s="497">
        <v>640477</v>
      </c>
      <c r="F940" s="505">
        <v>-1.0032690121814434E-2</v>
      </c>
      <c r="G940" s="488"/>
    </row>
    <row r="941" spans="2:7" x14ac:dyDescent="0.25">
      <c r="B941" s="491" t="s">
        <v>446</v>
      </c>
      <c r="C941" s="495">
        <v>43594</v>
      </c>
      <c r="D941" s="492">
        <v>19297</v>
      </c>
      <c r="E941" s="497">
        <v>818019</v>
      </c>
      <c r="F941" s="505">
        <v>-2.7498410552074661E-2</v>
      </c>
      <c r="G941" s="488"/>
    </row>
    <row r="942" spans="2:7" x14ac:dyDescent="0.25">
      <c r="B942" s="491" t="s">
        <v>446</v>
      </c>
      <c r="C942" s="495">
        <v>43595</v>
      </c>
      <c r="D942" s="492">
        <v>19503</v>
      </c>
      <c r="E942" s="497">
        <v>877201</v>
      </c>
      <c r="F942" s="505">
        <v>1.0618656476222567E-2</v>
      </c>
      <c r="G942" s="488"/>
    </row>
    <row r="943" spans="2:7" x14ac:dyDescent="0.25">
      <c r="B943" s="491" t="s">
        <v>446</v>
      </c>
      <c r="C943" s="495">
        <v>43598</v>
      </c>
      <c r="D943" s="492">
        <v>19533</v>
      </c>
      <c r="E943" s="497">
        <v>612456</v>
      </c>
      <c r="F943" s="505">
        <v>1.5370430323933997E-3</v>
      </c>
      <c r="G943" s="488"/>
    </row>
    <row r="944" spans="2:7" x14ac:dyDescent="0.25">
      <c r="B944" s="491" t="s">
        <v>446</v>
      </c>
      <c r="C944" s="495">
        <v>43599</v>
      </c>
      <c r="D944" s="492">
        <v>19779</v>
      </c>
      <c r="E944" s="497">
        <v>655954</v>
      </c>
      <c r="F944" s="505">
        <v>1.2515425876437555E-2</v>
      </c>
      <c r="G944" s="488"/>
    </row>
    <row r="945" spans="2:7" x14ac:dyDescent="0.25">
      <c r="B945" s="491" t="s">
        <v>446</v>
      </c>
      <c r="C945" s="495">
        <v>43600</v>
      </c>
      <c r="D945" s="492">
        <v>19800</v>
      </c>
      <c r="E945" s="497">
        <v>1006906</v>
      </c>
      <c r="F945" s="505">
        <v>1.0611689012173259E-3</v>
      </c>
      <c r="G945" s="488"/>
    </row>
    <row r="946" spans="2:7" x14ac:dyDescent="0.25">
      <c r="B946" s="491" t="s">
        <v>446</v>
      </c>
      <c r="C946" s="495">
        <v>43601</v>
      </c>
      <c r="D946" s="492">
        <v>20000</v>
      </c>
      <c r="E946" s="497">
        <v>990674</v>
      </c>
      <c r="F946" s="505">
        <v>1.0050335853501506E-2</v>
      </c>
      <c r="G946" s="488"/>
    </row>
    <row r="947" spans="2:7" x14ac:dyDescent="0.25">
      <c r="B947" s="491" t="s">
        <v>446</v>
      </c>
      <c r="C947" s="495">
        <v>43602</v>
      </c>
      <c r="D947" s="492">
        <v>19780</v>
      </c>
      <c r="E947" s="497">
        <v>888662</v>
      </c>
      <c r="F947" s="505">
        <v>-1.1060947359424948E-2</v>
      </c>
      <c r="G947" s="488"/>
    </row>
    <row r="948" spans="2:7" x14ac:dyDescent="0.25">
      <c r="B948" s="491" t="s">
        <v>446</v>
      </c>
      <c r="C948" s="495">
        <v>43605</v>
      </c>
      <c r="D948" s="492">
        <v>19713</v>
      </c>
      <c r="E948" s="497">
        <v>461791</v>
      </c>
      <c r="F948" s="505">
        <v>-3.393009610725581E-3</v>
      </c>
      <c r="G948" s="488"/>
    </row>
    <row r="949" spans="2:7" x14ac:dyDescent="0.25">
      <c r="B949" s="491" t="s">
        <v>446</v>
      </c>
      <c r="C949" s="495">
        <v>43606</v>
      </c>
      <c r="D949" s="492">
        <v>19615</v>
      </c>
      <c r="E949" s="497">
        <v>1275545</v>
      </c>
      <c r="F949" s="505">
        <v>-4.9837369223246072E-3</v>
      </c>
      <c r="G949" s="488"/>
    </row>
    <row r="950" spans="2:7" x14ac:dyDescent="0.25">
      <c r="B950" s="491" t="s">
        <v>446</v>
      </c>
      <c r="C950" s="495">
        <v>43607</v>
      </c>
      <c r="D950" s="492">
        <v>19850</v>
      </c>
      <c r="E950" s="497">
        <v>733556</v>
      </c>
      <c r="F950" s="505">
        <v>1.1909427471683623E-2</v>
      </c>
      <c r="G950" s="488"/>
    </row>
    <row r="951" spans="2:7" x14ac:dyDescent="0.25">
      <c r="B951" s="491" t="s">
        <v>446</v>
      </c>
      <c r="C951" s="495">
        <v>43608</v>
      </c>
      <c r="D951" s="492">
        <v>19404</v>
      </c>
      <c r="E951" s="497">
        <v>642763</v>
      </c>
      <c r="F951" s="505">
        <v>-2.272477675022928E-2</v>
      </c>
      <c r="G951" s="488"/>
    </row>
    <row r="952" spans="2:7" x14ac:dyDescent="0.25">
      <c r="B952" s="491" t="s">
        <v>446</v>
      </c>
      <c r="C952" s="495">
        <v>43609</v>
      </c>
      <c r="D952" s="492">
        <v>18980</v>
      </c>
      <c r="E952" s="497">
        <v>773678</v>
      </c>
      <c r="F952" s="505">
        <v>-2.2093437201188348E-2</v>
      </c>
      <c r="G952" s="488"/>
    </row>
    <row r="953" spans="2:7" x14ac:dyDescent="0.25">
      <c r="B953" s="491" t="s">
        <v>446</v>
      </c>
      <c r="C953" s="495">
        <v>43612</v>
      </c>
      <c r="D953" s="492">
        <v>18952</v>
      </c>
      <c r="E953" s="497">
        <v>249963</v>
      </c>
      <c r="F953" s="505">
        <v>-1.4763263252974286E-3</v>
      </c>
      <c r="G953" s="488"/>
    </row>
    <row r="954" spans="2:7" x14ac:dyDescent="0.25">
      <c r="B954" s="491" t="s">
        <v>446</v>
      </c>
      <c r="C954" s="495">
        <v>43613</v>
      </c>
      <c r="D954" s="492">
        <v>18471</v>
      </c>
      <c r="E954" s="497">
        <v>1418419</v>
      </c>
      <c r="F954" s="505">
        <v>-2.5707532259301606E-2</v>
      </c>
      <c r="G954" s="488"/>
    </row>
    <row r="955" spans="2:7" x14ac:dyDescent="0.25">
      <c r="B955" s="491" t="s">
        <v>446</v>
      </c>
      <c r="C955" s="495">
        <v>43614</v>
      </c>
      <c r="D955" s="492">
        <v>18464</v>
      </c>
      <c r="E955" s="497">
        <v>854216</v>
      </c>
      <c r="F955" s="505">
        <v>-3.7904427149367112E-4</v>
      </c>
      <c r="G955" s="488"/>
    </row>
    <row r="956" spans="2:7" x14ac:dyDescent="0.25">
      <c r="B956" s="491" t="s">
        <v>446</v>
      </c>
      <c r="C956" s="495">
        <v>43615</v>
      </c>
      <c r="D956" s="492">
        <v>19135</v>
      </c>
      <c r="E956" s="497">
        <v>813332</v>
      </c>
      <c r="F956" s="505">
        <v>3.5696228551976621E-2</v>
      </c>
      <c r="G956" s="488"/>
    </row>
    <row r="957" spans="2:7" x14ac:dyDescent="0.25">
      <c r="B957" s="491" t="s">
        <v>446</v>
      </c>
      <c r="C957" s="495">
        <v>43616</v>
      </c>
      <c r="D957" s="492">
        <v>19149</v>
      </c>
      <c r="E957" s="497">
        <v>594062</v>
      </c>
      <c r="F957" s="505">
        <v>7.3137606436431276E-4</v>
      </c>
      <c r="G957" s="488"/>
    </row>
    <row r="958" spans="2:7" x14ac:dyDescent="0.25">
      <c r="B958" s="491" t="s">
        <v>446</v>
      </c>
      <c r="C958" s="495">
        <v>43619</v>
      </c>
      <c r="D958" s="492">
        <v>19232</v>
      </c>
      <c r="E958" s="497">
        <v>348518</v>
      </c>
      <c r="F958" s="505">
        <v>4.3250634107670329E-3</v>
      </c>
      <c r="G958" s="488"/>
    </row>
    <row r="959" spans="2:7" x14ac:dyDescent="0.25">
      <c r="B959" s="491" t="s">
        <v>446</v>
      </c>
      <c r="C959" s="495">
        <v>43620</v>
      </c>
      <c r="D959" s="492">
        <v>18714</v>
      </c>
      <c r="E959" s="497">
        <v>573216</v>
      </c>
      <c r="F959" s="505">
        <v>-2.7303651499075897E-2</v>
      </c>
      <c r="G959" s="488"/>
    </row>
    <row r="960" spans="2:7" x14ac:dyDescent="0.25">
      <c r="B960" s="491" t="s">
        <v>446</v>
      </c>
      <c r="C960" s="495">
        <v>43621</v>
      </c>
      <c r="D960" s="492">
        <v>18633</v>
      </c>
      <c r="E960" s="497">
        <v>403356</v>
      </c>
      <c r="F960" s="505">
        <v>-4.3377046084456198E-3</v>
      </c>
      <c r="G960" s="488"/>
    </row>
    <row r="961" spans="2:7" x14ac:dyDescent="0.25">
      <c r="B961" s="491" t="s">
        <v>446</v>
      </c>
      <c r="C961" s="495">
        <v>43622</v>
      </c>
      <c r="D961" s="492">
        <v>18652</v>
      </c>
      <c r="E961" s="497">
        <v>352524</v>
      </c>
      <c r="F961" s="505">
        <v>1.0191767007987145E-3</v>
      </c>
      <c r="G961" s="488"/>
    </row>
    <row r="962" spans="2:7" x14ac:dyDescent="0.25">
      <c r="B962" s="491" t="s">
        <v>446</v>
      </c>
      <c r="C962" s="495">
        <v>43623</v>
      </c>
      <c r="D962" s="492">
        <v>18849</v>
      </c>
      <c r="E962" s="497">
        <v>314586</v>
      </c>
      <c r="F962" s="505">
        <v>1.0506483142845311E-2</v>
      </c>
      <c r="G962" s="488"/>
    </row>
    <row r="963" spans="2:7" x14ac:dyDescent="0.25">
      <c r="B963" s="491" t="s">
        <v>446</v>
      </c>
      <c r="C963" s="495">
        <v>43626</v>
      </c>
      <c r="D963" s="492">
        <v>19500</v>
      </c>
      <c r="E963" s="497">
        <v>495529</v>
      </c>
      <c r="F963" s="505">
        <v>3.3954603480781533E-2</v>
      </c>
      <c r="G963" s="488"/>
    </row>
    <row r="964" spans="2:7" x14ac:dyDescent="0.25">
      <c r="B964" s="491" t="s">
        <v>446</v>
      </c>
      <c r="C964" s="495">
        <v>43627</v>
      </c>
      <c r="D964" s="492">
        <v>19500</v>
      </c>
      <c r="E964" s="497">
        <v>393191</v>
      </c>
      <c r="F964" s="505">
        <v>0</v>
      </c>
      <c r="G964" s="488"/>
    </row>
    <row r="965" spans="2:7" x14ac:dyDescent="0.25">
      <c r="B965" s="491" t="s">
        <v>446</v>
      </c>
      <c r="C965" s="495">
        <v>43628</v>
      </c>
      <c r="D965" s="492">
        <v>19275</v>
      </c>
      <c r="E965" s="497">
        <v>648531</v>
      </c>
      <c r="F965" s="505">
        <v>-1.160554612030789E-2</v>
      </c>
      <c r="G965" s="488"/>
    </row>
    <row r="966" spans="2:7" x14ac:dyDescent="0.25">
      <c r="B966" s="491" t="s">
        <v>446</v>
      </c>
      <c r="C966" s="495">
        <v>43629</v>
      </c>
      <c r="D966" s="492">
        <v>19000</v>
      </c>
      <c r="E966" s="497">
        <v>746069</v>
      </c>
      <c r="F966" s="505">
        <v>-1.4369940282952675E-2</v>
      </c>
      <c r="G966" s="488"/>
    </row>
    <row r="967" spans="2:7" x14ac:dyDescent="0.25">
      <c r="B967" s="491" t="s">
        <v>446</v>
      </c>
      <c r="C967" s="495">
        <v>43630</v>
      </c>
      <c r="D967" s="492">
        <v>19000</v>
      </c>
      <c r="E967" s="497">
        <v>551069</v>
      </c>
      <c r="F967" s="505">
        <v>0</v>
      </c>
      <c r="G967" s="488"/>
    </row>
    <row r="968" spans="2:7" x14ac:dyDescent="0.25">
      <c r="B968" s="491" t="s">
        <v>446</v>
      </c>
      <c r="C968" s="495">
        <v>43634</v>
      </c>
      <c r="D968" s="492">
        <v>19264</v>
      </c>
      <c r="E968" s="497">
        <v>779765</v>
      </c>
      <c r="F968" s="505">
        <v>1.3799089959969993E-2</v>
      </c>
      <c r="G968" s="488"/>
    </row>
    <row r="969" spans="2:7" x14ac:dyDescent="0.25">
      <c r="B969" s="491" t="s">
        <v>446</v>
      </c>
      <c r="C969" s="495">
        <v>43635</v>
      </c>
      <c r="D969" s="492">
        <v>19409</v>
      </c>
      <c r="E969" s="497">
        <v>703898</v>
      </c>
      <c r="F969" s="505">
        <v>7.4988068921796013E-3</v>
      </c>
      <c r="G969" s="488"/>
    </row>
    <row r="970" spans="2:7" x14ac:dyDescent="0.25">
      <c r="B970" s="491" t="s">
        <v>446</v>
      </c>
      <c r="C970" s="495">
        <v>43636</v>
      </c>
      <c r="D970" s="492">
        <v>19790</v>
      </c>
      <c r="E970" s="497">
        <v>2542984</v>
      </c>
      <c r="F970" s="505">
        <v>1.9439883595884281E-2</v>
      </c>
      <c r="G970" s="488"/>
    </row>
    <row r="971" spans="2:7" x14ac:dyDescent="0.25">
      <c r="B971" s="491" t="s">
        <v>446</v>
      </c>
      <c r="C971" s="495">
        <v>43637</v>
      </c>
      <c r="D971" s="492">
        <v>19599</v>
      </c>
      <c r="E971" s="497">
        <v>966635</v>
      </c>
      <c r="F971" s="505">
        <v>-9.698215087751377E-3</v>
      </c>
      <c r="G971" s="488"/>
    </row>
    <row r="972" spans="2:7" x14ac:dyDescent="0.25">
      <c r="B972" s="491" t="s">
        <v>446</v>
      </c>
      <c r="C972" s="495">
        <v>43640</v>
      </c>
      <c r="D972" s="492">
        <v>19639</v>
      </c>
      <c r="E972" s="497">
        <v>274393</v>
      </c>
      <c r="F972" s="505">
        <v>2.0388406063630146E-3</v>
      </c>
      <c r="G972" s="488"/>
    </row>
    <row r="973" spans="2:7" x14ac:dyDescent="0.25">
      <c r="B973" s="491" t="s">
        <v>446</v>
      </c>
      <c r="C973" s="495">
        <v>43641</v>
      </c>
      <c r="D973" s="492">
        <v>19431</v>
      </c>
      <c r="E973" s="497">
        <v>249839</v>
      </c>
      <c r="F973" s="505">
        <v>-1.0647656264196306E-2</v>
      </c>
      <c r="G973" s="488"/>
    </row>
    <row r="974" spans="2:7" x14ac:dyDescent="0.25">
      <c r="B974" s="491" t="s">
        <v>446</v>
      </c>
      <c r="C974" s="495">
        <v>43642</v>
      </c>
      <c r="D974" s="492">
        <v>19374</v>
      </c>
      <c r="E974" s="497">
        <v>341532</v>
      </c>
      <c r="F974" s="505">
        <v>-2.9377678646965062E-3</v>
      </c>
      <c r="G974" s="488"/>
    </row>
    <row r="975" spans="2:7" x14ac:dyDescent="0.25">
      <c r="B975" s="491" t="s">
        <v>446</v>
      </c>
      <c r="C975" s="495">
        <v>43643</v>
      </c>
      <c r="D975" s="492">
        <v>19004</v>
      </c>
      <c r="E975" s="497">
        <v>504953</v>
      </c>
      <c r="F975" s="505">
        <v>-1.928247767951826E-2</v>
      </c>
      <c r="G975" s="488"/>
    </row>
    <row r="976" spans="2:7" x14ac:dyDescent="0.25">
      <c r="B976" s="491" t="s">
        <v>446</v>
      </c>
      <c r="C976" s="495">
        <v>43644</v>
      </c>
      <c r="D976" s="492">
        <v>18683</v>
      </c>
      <c r="E976" s="497">
        <v>634657</v>
      </c>
      <c r="F976" s="505">
        <v>-1.7035463846974529E-2</v>
      </c>
      <c r="G976" s="488"/>
    </row>
    <row r="977" spans="2:7" x14ac:dyDescent="0.25">
      <c r="B977" s="491" t="s">
        <v>446</v>
      </c>
      <c r="C977" s="495">
        <v>43647</v>
      </c>
      <c r="D977" s="492">
        <v>18605</v>
      </c>
      <c r="E977" s="497">
        <v>509819</v>
      </c>
      <c r="F977" s="505">
        <v>-4.1836576791145471E-3</v>
      </c>
      <c r="G977" s="488"/>
    </row>
    <row r="978" spans="2:7" x14ac:dyDescent="0.25">
      <c r="B978" s="491" t="s">
        <v>446</v>
      </c>
      <c r="C978" s="495">
        <v>43648</v>
      </c>
      <c r="D978" s="492">
        <v>18464</v>
      </c>
      <c r="E978" s="497">
        <v>326441</v>
      </c>
      <c r="F978" s="505">
        <v>-7.6074714728967844E-3</v>
      </c>
      <c r="G978" s="488"/>
    </row>
    <row r="979" spans="2:7" x14ac:dyDescent="0.25">
      <c r="B979" s="491" t="s">
        <v>446</v>
      </c>
      <c r="C979" s="495">
        <v>43649</v>
      </c>
      <c r="D979" s="492">
        <v>18630</v>
      </c>
      <c r="E979" s="497">
        <v>409988</v>
      </c>
      <c r="F979" s="505">
        <v>8.9502942878079833E-3</v>
      </c>
      <c r="G979" s="488"/>
    </row>
    <row r="980" spans="2:7" x14ac:dyDescent="0.25">
      <c r="B980" s="491" t="s">
        <v>446</v>
      </c>
      <c r="C980" s="495">
        <v>43650</v>
      </c>
      <c r="D980" s="492">
        <v>18718</v>
      </c>
      <c r="E980" s="497">
        <v>284073</v>
      </c>
      <c r="F980" s="505">
        <v>4.7124431215677613E-3</v>
      </c>
      <c r="G980" s="488"/>
    </row>
    <row r="981" spans="2:7" x14ac:dyDescent="0.25">
      <c r="B981" s="491" t="s">
        <v>446</v>
      </c>
      <c r="C981" s="495">
        <v>43651</v>
      </c>
      <c r="D981" s="492">
        <v>18658</v>
      </c>
      <c r="E981" s="497">
        <v>223075</v>
      </c>
      <c r="F981" s="505">
        <v>-3.2106191962954409E-3</v>
      </c>
      <c r="G981" s="488"/>
    </row>
    <row r="982" spans="2:7" x14ac:dyDescent="0.25">
      <c r="B982" s="491" t="s">
        <v>446</v>
      </c>
      <c r="C982" s="495">
        <v>43654</v>
      </c>
      <c r="D982" s="492">
        <v>18661</v>
      </c>
      <c r="E982" s="497">
        <v>413500</v>
      </c>
      <c r="F982" s="505">
        <v>1.6077601256530633E-4</v>
      </c>
      <c r="G982" s="488"/>
    </row>
    <row r="983" spans="2:7" x14ac:dyDescent="0.25">
      <c r="B983" s="491" t="s">
        <v>446</v>
      </c>
      <c r="C983" s="495">
        <v>43655</v>
      </c>
      <c r="D983" s="492">
        <v>18335</v>
      </c>
      <c r="E983" s="497">
        <v>573016</v>
      </c>
      <c r="F983" s="505">
        <v>-1.7623983028045225E-2</v>
      </c>
      <c r="G983" s="488"/>
    </row>
    <row r="984" spans="2:7" x14ac:dyDescent="0.25">
      <c r="B984" s="491" t="s">
        <v>446</v>
      </c>
      <c r="C984" s="495">
        <v>43656</v>
      </c>
      <c r="D984" s="492">
        <v>18818</v>
      </c>
      <c r="E984" s="497">
        <v>548622</v>
      </c>
      <c r="F984" s="505">
        <v>2.6002057061284573E-2</v>
      </c>
      <c r="G984" s="488"/>
    </row>
    <row r="985" spans="2:7" x14ac:dyDescent="0.25">
      <c r="B985" s="491" t="s">
        <v>446</v>
      </c>
      <c r="C985" s="495">
        <v>43657</v>
      </c>
      <c r="D985" s="492">
        <v>19000</v>
      </c>
      <c r="E985" s="497">
        <v>651835</v>
      </c>
      <c r="F985" s="505">
        <v>9.6251205818665697E-3</v>
      </c>
      <c r="G985" s="488"/>
    </row>
    <row r="986" spans="2:7" x14ac:dyDescent="0.25">
      <c r="B986" s="491" t="s">
        <v>446</v>
      </c>
      <c r="C986" s="495">
        <v>43658</v>
      </c>
      <c r="D986" s="492">
        <v>19273</v>
      </c>
      <c r="E986" s="497">
        <v>529442</v>
      </c>
      <c r="F986" s="505">
        <v>1.4266173550474028E-2</v>
      </c>
      <c r="G986" s="488"/>
    </row>
    <row r="987" spans="2:7" x14ac:dyDescent="0.25">
      <c r="B987" s="491" t="s">
        <v>446</v>
      </c>
      <c r="C987" s="495">
        <v>43661</v>
      </c>
      <c r="D987" s="492">
        <v>19213</v>
      </c>
      <c r="E987" s="497">
        <v>364393</v>
      </c>
      <c r="F987" s="505">
        <v>-3.1180194673501378E-3</v>
      </c>
      <c r="G987" s="488"/>
    </row>
    <row r="988" spans="2:7" x14ac:dyDescent="0.25">
      <c r="B988" s="491" t="s">
        <v>446</v>
      </c>
      <c r="C988" s="495">
        <v>43662</v>
      </c>
      <c r="D988" s="492">
        <v>19593</v>
      </c>
      <c r="E988" s="497">
        <v>403358</v>
      </c>
      <c r="F988" s="505">
        <v>1.9585226339065374E-2</v>
      </c>
      <c r="G988" s="488"/>
    </row>
    <row r="989" spans="2:7" x14ac:dyDescent="0.25">
      <c r="B989" s="491" t="s">
        <v>446</v>
      </c>
      <c r="C989" s="495">
        <v>43663</v>
      </c>
      <c r="D989" s="492">
        <v>19406</v>
      </c>
      <c r="E989" s="497">
        <v>682864</v>
      </c>
      <c r="F989" s="505">
        <v>-9.5900629855220059E-3</v>
      </c>
      <c r="G989" s="488"/>
    </row>
    <row r="990" spans="2:7" x14ac:dyDescent="0.25">
      <c r="B990" s="491" t="s">
        <v>446</v>
      </c>
      <c r="C990" s="495">
        <v>43664</v>
      </c>
      <c r="D990" s="492">
        <v>19388</v>
      </c>
      <c r="E990" s="497">
        <v>568542</v>
      </c>
      <c r="F990" s="505">
        <v>-9.2797861997816601E-4</v>
      </c>
      <c r="G990" s="488"/>
    </row>
    <row r="991" spans="2:7" x14ac:dyDescent="0.25">
      <c r="B991" s="491" t="s">
        <v>446</v>
      </c>
      <c r="C991" s="495">
        <v>43665</v>
      </c>
      <c r="D991" s="492">
        <v>19468</v>
      </c>
      <c r="E991" s="497">
        <v>412217</v>
      </c>
      <c r="F991" s="505">
        <v>4.1177739880783335E-3</v>
      </c>
      <c r="G991" s="488"/>
    </row>
    <row r="992" spans="2:7" x14ac:dyDescent="0.25">
      <c r="B992" s="491" t="s">
        <v>446</v>
      </c>
      <c r="C992" s="495">
        <v>43668</v>
      </c>
      <c r="D992" s="492">
        <v>19400</v>
      </c>
      <c r="E992" s="497">
        <v>510399</v>
      </c>
      <c r="F992" s="505">
        <v>-3.4990259019254612E-3</v>
      </c>
      <c r="G992" s="488"/>
    </row>
    <row r="993" spans="2:7" x14ac:dyDescent="0.25">
      <c r="B993" s="491" t="s">
        <v>446</v>
      </c>
      <c r="C993" s="495">
        <v>43669</v>
      </c>
      <c r="D993" s="492">
        <v>19375</v>
      </c>
      <c r="E993" s="497">
        <v>459533</v>
      </c>
      <c r="F993" s="505">
        <v>-1.2894908298717507E-3</v>
      </c>
      <c r="G993" s="488"/>
    </row>
    <row r="994" spans="2:7" x14ac:dyDescent="0.25">
      <c r="B994" s="491" t="s">
        <v>446</v>
      </c>
      <c r="C994" s="495">
        <v>43670</v>
      </c>
      <c r="D994" s="492">
        <v>19167</v>
      </c>
      <c r="E994" s="497">
        <v>272192</v>
      </c>
      <c r="F994" s="505">
        <v>-1.0793524951094828E-2</v>
      </c>
      <c r="G994" s="488"/>
    </row>
    <row r="995" spans="2:7" x14ac:dyDescent="0.25">
      <c r="B995" s="491" t="s">
        <v>446</v>
      </c>
      <c r="C995" s="495">
        <v>43671</v>
      </c>
      <c r="D995" s="492">
        <v>18781</v>
      </c>
      <c r="E995" s="497">
        <v>759666</v>
      </c>
      <c r="F995" s="505">
        <v>-2.0344329789515527E-2</v>
      </c>
      <c r="G995" s="488"/>
    </row>
    <row r="996" spans="2:7" x14ac:dyDescent="0.25">
      <c r="B996" s="491" t="s">
        <v>446</v>
      </c>
      <c r="C996" s="495">
        <v>43672</v>
      </c>
      <c r="D996" s="492">
        <v>18433</v>
      </c>
      <c r="E996" s="497">
        <v>580340</v>
      </c>
      <c r="F996" s="505">
        <v>-1.8703183984763803E-2</v>
      </c>
      <c r="G996" s="488"/>
    </row>
    <row r="997" spans="2:7" x14ac:dyDescent="0.25">
      <c r="B997" s="491" t="s">
        <v>446</v>
      </c>
      <c r="C997" s="495">
        <v>43675</v>
      </c>
      <c r="D997" s="492">
        <v>18656</v>
      </c>
      <c r="E997" s="497">
        <v>388963</v>
      </c>
      <c r="F997" s="505">
        <v>1.2025273654045286E-2</v>
      </c>
      <c r="G997" s="488"/>
    </row>
    <row r="998" spans="2:7" x14ac:dyDescent="0.25">
      <c r="B998" s="491" t="s">
        <v>446</v>
      </c>
      <c r="C998" s="495">
        <v>43676</v>
      </c>
      <c r="D998" s="492">
        <v>18617</v>
      </c>
      <c r="E998" s="497">
        <v>1034199</v>
      </c>
      <c r="F998" s="505">
        <v>-2.0926683783219968E-3</v>
      </c>
      <c r="G998" s="488"/>
    </row>
    <row r="999" spans="2:7" x14ac:dyDescent="0.25">
      <c r="B999" s="491" t="s">
        <v>446</v>
      </c>
      <c r="C999" s="495">
        <v>43677</v>
      </c>
      <c r="D999" s="492">
        <v>18420</v>
      </c>
      <c r="E999" s="497">
        <v>1091837</v>
      </c>
      <c r="F999" s="505">
        <v>-1.0638110962599083E-2</v>
      </c>
      <c r="G999" s="488"/>
    </row>
    <row r="1000" spans="2:7" x14ac:dyDescent="0.25">
      <c r="B1000" s="491" t="s">
        <v>446</v>
      </c>
      <c r="C1000" s="495">
        <v>43678</v>
      </c>
      <c r="D1000" s="492">
        <v>18596</v>
      </c>
      <c r="E1000" s="497">
        <v>488650</v>
      </c>
      <c r="F1000" s="505">
        <v>9.5094730011774358E-3</v>
      </c>
      <c r="G1000" s="488"/>
    </row>
    <row r="1001" spans="2:7" x14ac:dyDescent="0.25">
      <c r="B1001" s="491" t="s">
        <v>446</v>
      </c>
      <c r="C1001" s="495">
        <v>43679</v>
      </c>
      <c r="D1001" s="492">
        <v>18700</v>
      </c>
      <c r="E1001" s="497">
        <v>613263</v>
      </c>
      <c r="F1001" s="505">
        <v>5.5770200322027199E-3</v>
      </c>
      <c r="G1001" s="488"/>
    </row>
    <row r="1002" spans="2:7" x14ac:dyDescent="0.25">
      <c r="B1002" s="491" t="s">
        <v>446</v>
      </c>
      <c r="C1002" s="495">
        <v>43682</v>
      </c>
      <c r="D1002" s="492">
        <v>18601</v>
      </c>
      <c r="E1002" s="497">
        <v>589522</v>
      </c>
      <c r="F1002" s="505">
        <v>-5.3081811457271087E-3</v>
      </c>
      <c r="G1002" s="488"/>
    </row>
    <row r="1003" spans="2:7" x14ac:dyDescent="0.25">
      <c r="B1003" s="491" t="s">
        <v>446</v>
      </c>
      <c r="C1003" s="495">
        <v>43683</v>
      </c>
      <c r="D1003" s="492">
        <v>18834</v>
      </c>
      <c r="E1003" s="497">
        <v>597316</v>
      </c>
      <c r="F1003" s="505">
        <v>1.244840437305763E-2</v>
      </c>
      <c r="G1003" s="488"/>
    </row>
    <row r="1004" spans="2:7" x14ac:dyDescent="0.25">
      <c r="B1004" s="491" t="s">
        <v>446</v>
      </c>
      <c r="C1004" s="495">
        <v>43684</v>
      </c>
      <c r="D1004" s="492">
        <v>18560</v>
      </c>
      <c r="E1004" s="497">
        <v>1279406</v>
      </c>
      <c r="F1004" s="505">
        <v>-1.4655019729817014E-2</v>
      </c>
      <c r="G1004" s="488"/>
    </row>
    <row r="1005" spans="2:7" x14ac:dyDescent="0.25">
      <c r="B1005" s="491" t="s">
        <v>446</v>
      </c>
      <c r="C1005" s="495">
        <v>43685</v>
      </c>
      <c r="D1005" s="492">
        <v>18772</v>
      </c>
      <c r="E1005" s="497">
        <v>607493</v>
      </c>
      <c r="F1005" s="505">
        <v>1.135767057411664E-2</v>
      </c>
      <c r="G1005" s="488"/>
    </row>
    <row r="1006" spans="2:7" x14ac:dyDescent="0.25">
      <c r="B1006" s="491" t="s">
        <v>446</v>
      </c>
      <c r="C1006" s="495">
        <v>43689</v>
      </c>
      <c r="D1006" s="492">
        <v>18481</v>
      </c>
      <c r="E1006" s="497">
        <v>329306</v>
      </c>
      <c r="F1006" s="505">
        <v>-1.5623220628552002E-2</v>
      </c>
      <c r="G1006" s="488"/>
    </row>
    <row r="1007" spans="2:7" x14ac:dyDescent="0.25">
      <c r="B1007" s="491" t="s">
        <v>446</v>
      </c>
      <c r="C1007" s="495">
        <v>43690</v>
      </c>
      <c r="D1007" s="492">
        <v>18693</v>
      </c>
      <c r="E1007" s="497">
        <v>644190</v>
      </c>
      <c r="F1007" s="505">
        <v>1.1405944926575411E-2</v>
      </c>
      <c r="G1007" s="488"/>
    </row>
    <row r="1008" spans="2:7" x14ac:dyDescent="0.25">
      <c r="B1008" s="491" t="s">
        <v>446</v>
      </c>
      <c r="C1008" s="495">
        <v>43691</v>
      </c>
      <c r="D1008" s="492">
        <v>18228</v>
      </c>
      <c r="E1008" s="497">
        <v>567152</v>
      </c>
      <c r="F1008" s="505">
        <v>-2.5190248828558519E-2</v>
      </c>
      <c r="G1008" s="488"/>
    </row>
    <row r="1009" spans="2:7" x14ac:dyDescent="0.25">
      <c r="B1009" s="491" t="s">
        <v>446</v>
      </c>
      <c r="C1009" s="495">
        <v>43692</v>
      </c>
      <c r="D1009" s="492">
        <v>18400</v>
      </c>
      <c r="E1009" s="497">
        <v>681922</v>
      </c>
      <c r="F1009" s="505">
        <v>9.3917912133038173E-3</v>
      </c>
      <c r="G1009" s="488"/>
    </row>
    <row r="1010" spans="2:7" x14ac:dyDescent="0.25">
      <c r="B1010" s="491" t="s">
        <v>446</v>
      </c>
      <c r="C1010" s="495">
        <v>43693</v>
      </c>
      <c r="D1010" s="492">
        <v>18434</v>
      </c>
      <c r="E1010" s="497">
        <v>897109</v>
      </c>
      <c r="F1010" s="505">
        <v>1.8461209565325857E-3</v>
      </c>
      <c r="G1010" s="488"/>
    </row>
    <row r="1011" spans="2:7" x14ac:dyDescent="0.25">
      <c r="B1011" s="491" t="s">
        <v>446</v>
      </c>
      <c r="C1011" s="495">
        <v>43696</v>
      </c>
      <c r="D1011" s="492">
        <v>18425</v>
      </c>
      <c r="E1011" s="497">
        <v>381922</v>
      </c>
      <c r="F1011" s="505">
        <v>-4.8834749607213972E-4</v>
      </c>
      <c r="G1011" s="488"/>
    </row>
    <row r="1012" spans="2:7" x14ac:dyDescent="0.25">
      <c r="B1012" s="491" t="s">
        <v>446</v>
      </c>
      <c r="C1012" s="495">
        <v>43697</v>
      </c>
      <c r="D1012" s="492">
        <v>18172</v>
      </c>
      <c r="E1012" s="497">
        <v>761942</v>
      </c>
      <c r="F1012" s="505">
        <v>-1.3826490178243398E-2</v>
      </c>
      <c r="G1012" s="488"/>
    </row>
    <row r="1013" spans="2:7" x14ac:dyDescent="0.25">
      <c r="B1013" s="491" t="s">
        <v>446</v>
      </c>
      <c r="C1013" s="495">
        <v>43698</v>
      </c>
      <c r="D1013" s="492">
        <v>18341</v>
      </c>
      <c r="E1013" s="497">
        <v>550603</v>
      </c>
      <c r="F1013" s="505">
        <v>9.2570430717386475E-3</v>
      </c>
      <c r="G1013" s="488"/>
    </row>
    <row r="1014" spans="2:7" x14ac:dyDescent="0.25">
      <c r="B1014" s="491" t="s">
        <v>446</v>
      </c>
      <c r="C1014" s="495">
        <v>43699</v>
      </c>
      <c r="D1014" s="492">
        <v>17343</v>
      </c>
      <c r="E1014" s="497">
        <v>980190</v>
      </c>
      <c r="F1014" s="505">
        <v>-5.5950024200446764E-2</v>
      </c>
      <c r="G1014" s="488"/>
    </row>
    <row r="1015" spans="2:7" x14ac:dyDescent="0.25">
      <c r="B1015" s="491" t="s">
        <v>446</v>
      </c>
      <c r="C1015" s="495">
        <v>43700</v>
      </c>
      <c r="D1015" s="492">
        <v>17124</v>
      </c>
      <c r="E1015" s="497">
        <v>535941</v>
      </c>
      <c r="F1015" s="505">
        <v>-1.2707978485749016E-2</v>
      </c>
      <c r="G1015" s="488"/>
    </row>
    <row r="1016" spans="2:7" x14ac:dyDescent="0.25">
      <c r="B1016" s="491" t="s">
        <v>446</v>
      </c>
      <c r="C1016" s="495">
        <v>43703</v>
      </c>
      <c r="D1016" s="492">
        <v>16793</v>
      </c>
      <c r="E1016" s="497">
        <v>518373</v>
      </c>
      <c r="F1016" s="505">
        <v>-1.9518855369828825E-2</v>
      </c>
      <c r="G1016" s="488"/>
    </row>
    <row r="1017" spans="2:7" x14ac:dyDescent="0.25">
      <c r="B1017" s="491" t="s">
        <v>446</v>
      </c>
      <c r="C1017" s="495">
        <v>43704</v>
      </c>
      <c r="D1017" s="492">
        <v>16724</v>
      </c>
      <c r="E1017" s="497">
        <v>1291039</v>
      </c>
      <c r="F1017" s="505">
        <v>-4.1173194185522791E-3</v>
      </c>
      <c r="G1017" s="488"/>
    </row>
    <row r="1018" spans="2:7" x14ac:dyDescent="0.25">
      <c r="B1018" s="491" t="s">
        <v>446</v>
      </c>
      <c r="C1018" s="495">
        <v>43705</v>
      </c>
      <c r="D1018" s="492">
        <v>17256</v>
      </c>
      <c r="E1018" s="497">
        <v>858292</v>
      </c>
      <c r="F1018" s="505">
        <v>3.1315095592536778E-2</v>
      </c>
      <c r="G1018" s="488"/>
    </row>
    <row r="1019" spans="2:7" x14ac:dyDescent="0.25">
      <c r="B1019" s="491" t="s">
        <v>446</v>
      </c>
      <c r="C1019" s="495">
        <v>43706</v>
      </c>
      <c r="D1019" s="492">
        <v>16891</v>
      </c>
      <c r="E1019" s="497">
        <v>673074</v>
      </c>
      <c r="F1019" s="505">
        <v>-2.1378973388647311E-2</v>
      </c>
      <c r="G1019" s="488"/>
    </row>
    <row r="1020" spans="2:7" x14ac:dyDescent="0.25">
      <c r="B1020" s="491" t="s">
        <v>446</v>
      </c>
      <c r="C1020" s="495">
        <v>43707</v>
      </c>
      <c r="D1020" s="492">
        <v>17383</v>
      </c>
      <c r="E1020" s="497">
        <v>697469</v>
      </c>
      <c r="F1020" s="505">
        <v>2.8711781441195419E-2</v>
      </c>
      <c r="G1020" s="488"/>
    </row>
    <row r="1021" spans="2:7" x14ac:dyDescent="0.25">
      <c r="B1021" s="491" t="s">
        <v>446</v>
      </c>
      <c r="C1021" s="495">
        <v>43710</v>
      </c>
      <c r="D1021" s="492">
        <v>17130</v>
      </c>
      <c r="E1021" s="497">
        <v>420902</v>
      </c>
      <c r="F1021" s="505">
        <v>-1.4661404803374757E-2</v>
      </c>
      <c r="G1021" s="488"/>
    </row>
    <row r="1022" spans="2:7" x14ac:dyDescent="0.25">
      <c r="B1022" s="491" t="s">
        <v>446</v>
      </c>
      <c r="C1022" s="495">
        <v>43711</v>
      </c>
      <c r="D1022" s="492">
        <v>17292</v>
      </c>
      <c r="E1022" s="497">
        <v>351363</v>
      </c>
      <c r="F1022" s="505">
        <v>9.4126544693568046E-3</v>
      </c>
      <c r="G1022" s="488"/>
    </row>
    <row r="1023" spans="2:7" x14ac:dyDescent="0.25">
      <c r="B1023" s="491" t="s">
        <v>446</v>
      </c>
      <c r="C1023" s="495">
        <v>43712</v>
      </c>
      <c r="D1023" s="492">
        <v>17436</v>
      </c>
      <c r="E1023" s="497">
        <v>585123</v>
      </c>
      <c r="F1023" s="505">
        <v>8.2930675707607298E-3</v>
      </c>
      <c r="G1023" s="488"/>
    </row>
    <row r="1024" spans="2:7" x14ac:dyDescent="0.25">
      <c r="B1024" s="491" t="s">
        <v>446</v>
      </c>
      <c r="C1024" s="495">
        <v>43713</v>
      </c>
      <c r="D1024" s="492">
        <v>17875</v>
      </c>
      <c r="E1024" s="497">
        <v>601240</v>
      </c>
      <c r="F1024" s="505">
        <v>2.4866054203925292E-2</v>
      </c>
      <c r="G1024" s="488"/>
    </row>
    <row r="1025" spans="2:7" x14ac:dyDescent="0.25">
      <c r="B1025" s="491" t="s">
        <v>446</v>
      </c>
      <c r="C1025" s="495">
        <v>43714</v>
      </c>
      <c r="D1025" s="492">
        <v>18200</v>
      </c>
      <c r="E1025" s="497">
        <v>728858</v>
      </c>
      <c r="F1025" s="505">
        <v>1.8018505502678212E-2</v>
      </c>
      <c r="G1025" s="488"/>
    </row>
    <row r="1026" spans="2:7" x14ac:dyDescent="0.25">
      <c r="B1026" s="491" t="s">
        <v>446</v>
      </c>
      <c r="C1026" s="495">
        <v>43717</v>
      </c>
      <c r="D1026" s="492">
        <v>18463</v>
      </c>
      <c r="E1026" s="497">
        <v>606384</v>
      </c>
      <c r="F1026" s="505">
        <v>1.4347135330856296E-2</v>
      </c>
      <c r="G1026" s="488"/>
    </row>
    <row r="1027" spans="2:7" x14ac:dyDescent="0.25">
      <c r="B1027" s="491" t="s">
        <v>446</v>
      </c>
      <c r="C1027" s="495">
        <v>43718</v>
      </c>
      <c r="D1027" s="492">
        <v>18389</v>
      </c>
      <c r="E1027" s="497">
        <v>390954</v>
      </c>
      <c r="F1027" s="505">
        <v>-4.0160696548899432E-3</v>
      </c>
      <c r="G1027" s="488"/>
    </row>
    <row r="1028" spans="2:7" x14ac:dyDescent="0.25">
      <c r="B1028" s="491" t="s">
        <v>446</v>
      </c>
      <c r="C1028" s="495">
        <v>43719</v>
      </c>
      <c r="D1028" s="492">
        <v>18276</v>
      </c>
      <c r="E1028" s="497">
        <v>444429</v>
      </c>
      <c r="F1028" s="505">
        <v>-6.1639360576910751E-3</v>
      </c>
      <c r="G1028" s="488"/>
    </row>
    <row r="1029" spans="2:7" x14ac:dyDescent="0.25">
      <c r="B1029" s="491" t="s">
        <v>446</v>
      </c>
      <c r="C1029" s="495">
        <v>43720</v>
      </c>
      <c r="D1029" s="492">
        <v>18712</v>
      </c>
      <c r="E1029" s="497">
        <v>1137744</v>
      </c>
      <c r="F1029" s="505">
        <v>2.3576305580852865E-2</v>
      </c>
      <c r="G1029" s="488"/>
    </row>
    <row r="1030" spans="2:7" x14ac:dyDescent="0.25">
      <c r="B1030" s="491" t="s">
        <v>446</v>
      </c>
      <c r="C1030" s="495">
        <v>43721</v>
      </c>
      <c r="D1030" s="492">
        <v>18738</v>
      </c>
      <c r="E1030" s="497">
        <v>489774</v>
      </c>
      <c r="F1030" s="505">
        <v>1.3885182471186693E-3</v>
      </c>
      <c r="G1030" s="488"/>
    </row>
    <row r="1031" spans="2:7" x14ac:dyDescent="0.25">
      <c r="B1031" s="491" t="s">
        <v>446</v>
      </c>
      <c r="C1031" s="495">
        <v>43724</v>
      </c>
      <c r="D1031" s="492">
        <v>19674</v>
      </c>
      <c r="E1031" s="497">
        <v>1157230</v>
      </c>
      <c r="F1031" s="505">
        <v>4.8744419561569594E-2</v>
      </c>
      <c r="G1031" s="488"/>
    </row>
    <row r="1032" spans="2:7" x14ac:dyDescent="0.25">
      <c r="B1032" s="491" t="s">
        <v>446</v>
      </c>
      <c r="C1032" s="495">
        <v>43725</v>
      </c>
      <c r="D1032" s="492">
        <v>19201</v>
      </c>
      <c r="E1032" s="497">
        <v>856210</v>
      </c>
      <c r="F1032" s="505">
        <v>-2.433560607978677E-2</v>
      </c>
      <c r="G1032" s="488"/>
    </row>
    <row r="1033" spans="2:7" x14ac:dyDescent="0.25">
      <c r="B1033" s="491" t="s">
        <v>446</v>
      </c>
      <c r="C1033" s="495">
        <v>43726</v>
      </c>
      <c r="D1033" s="492">
        <v>19300</v>
      </c>
      <c r="E1033" s="497">
        <v>465314</v>
      </c>
      <c r="F1033" s="505">
        <v>5.1427349000603521E-3</v>
      </c>
      <c r="G1033" s="488"/>
    </row>
    <row r="1034" spans="2:7" x14ac:dyDescent="0.25">
      <c r="B1034" s="491" t="s">
        <v>446</v>
      </c>
      <c r="C1034" s="495">
        <v>43727</v>
      </c>
      <c r="D1034" s="492">
        <v>19201</v>
      </c>
      <c r="E1034" s="497">
        <v>1727679</v>
      </c>
      <c r="F1034" s="505">
        <v>-5.142734900060366E-3</v>
      </c>
      <c r="G1034" s="488"/>
    </row>
    <row r="1035" spans="2:7" x14ac:dyDescent="0.25">
      <c r="B1035" s="491" t="s">
        <v>446</v>
      </c>
      <c r="C1035" s="495">
        <v>43728</v>
      </c>
      <c r="D1035" s="492">
        <v>19217</v>
      </c>
      <c r="E1035" s="497">
        <v>1526656</v>
      </c>
      <c r="F1035" s="505">
        <v>8.3294293951063415E-4</v>
      </c>
      <c r="G1035" s="488"/>
    </row>
    <row r="1036" spans="2:7" x14ac:dyDescent="0.25">
      <c r="B1036" s="491" t="s">
        <v>446</v>
      </c>
      <c r="C1036" s="495">
        <v>43731</v>
      </c>
      <c r="D1036" s="492">
        <v>19113</v>
      </c>
      <c r="E1036" s="497">
        <v>567317</v>
      </c>
      <c r="F1036" s="505">
        <v>-5.4265721478292004E-3</v>
      </c>
      <c r="G1036" s="488"/>
    </row>
    <row r="1037" spans="2:7" x14ac:dyDescent="0.25">
      <c r="B1037" s="491" t="s">
        <v>446</v>
      </c>
      <c r="C1037" s="495">
        <v>43733</v>
      </c>
      <c r="D1037" s="492">
        <v>18666</v>
      </c>
      <c r="E1037" s="497">
        <v>596353</v>
      </c>
      <c r="F1037" s="505">
        <v>-2.366504465890585E-2</v>
      </c>
      <c r="G1037" s="488"/>
    </row>
    <row r="1038" spans="2:7" x14ac:dyDescent="0.25">
      <c r="B1038" s="491" t="s">
        <v>446</v>
      </c>
      <c r="C1038" s="495">
        <v>43734</v>
      </c>
      <c r="D1038" s="492">
        <v>19139</v>
      </c>
      <c r="E1038" s="497">
        <v>558468</v>
      </c>
      <c r="F1038" s="505">
        <v>2.5024450912381233E-2</v>
      </c>
      <c r="G1038" s="488"/>
    </row>
    <row r="1039" spans="2:7" x14ac:dyDescent="0.25">
      <c r="B1039" s="491" t="s">
        <v>446</v>
      </c>
      <c r="C1039" s="495">
        <v>43735</v>
      </c>
      <c r="D1039" s="492">
        <v>19272</v>
      </c>
      <c r="E1039" s="497">
        <v>569684</v>
      </c>
      <c r="F1039" s="505">
        <v>6.9251272566341979E-3</v>
      </c>
      <c r="G1039" s="488"/>
    </row>
    <row r="1040" spans="2:7" x14ac:dyDescent="0.25">
      <c r="B1040" s="491" t="s">
        <v>446</v>
      </c>
      <c r="C1040" s="495">
        <v>43738</v>
      </c>
      <c r="D1040" s="492">
        <v>19101</v>
      </c>
      <c r="E1040" s="497">
        <v>639856</v>
      </c>
      <c r="F1040" s="505">
        <v>-8.912575609572251E-3</v>
      </c>
      <c r="G1040" s="488"/>
    </row>
    <row r="1041" spans="2:7" x14ac:dyDescent="0.25">
      <c r="B1041" s="491" t="s">
        <v>446</v>
      </c>
      <c r="C1041" s="495">
        <v>43739</v>
      </c>
      <c r="D1041" s="492">
        <v>19093</v>
      </c>
      <c r="E1041" s="497">
        <v>549606</v>
      </c>
      <c r="F1041" s="505">
        <v>-4.1891397167053009E-4</v>
      </c>
      <c r="G1041" s="488"/>
    </row>
    <row r="1042" spans="2:7" x14ac:dyDescent="0.25">
      <c r="B1042" s="491" t="s">
        <v>446</v>
      </c>
      <c r="C1042" s="495">
        <v>43740</v>
      </c>
      <c r="D1042" s="492">
        <v>18905</v>
      </c>
      <c r="E1042" s="497">
        <v>665248</v>
      </c>
      <c r="F1042" s="505">
        <v>-9.8953383884312837E-3</v>
      </c>
      <c r="G1042" s="488"/>
    </row>
    <row r="1043" spans="2:7" x14ac:dyDescent="0.25">
      <c r="B1043" s="491" t="s">
        <v>446</v>
      </c>
      <c r="C1043" s="495">
        <v>43741</v>
      </c>
      <c r="D1043" s="492">
        <v>18989</v>
      </c>
      <c r="E1043" s="497">
        <v>322272</v>
      </c>
      <c r="F1043" s="505">
        <v>4.4334268003836056E-3</v>
      </c>
      <c r="G1043" s="488"/>
    </row>
    <row r="1044" spans="2:7" x14ac:dyDescent="0.25">
      <c r="B1044" s="491" t="s">
        <v>446</v>
      </c>
      <c r="C1044" s="495">
        <v>43742</v>
      </c>
      <c r="D1044" s="492">
        <v>19033</v>
      </c>
      <c r="E1044" s="497">
        <v>520770</v>
      </c>
      <c r="F1044" s="505">
        <v>2.3144505623671789E-3</v>
      </c>
      <c r="G1044" s="488"/>
    </row>
    <row r="1045" spans="2:7" x14ac:dyDescent="0.25">
      <c r="B1045" s="491" t="s">
        <v>446</v>
      </c>
      <c r="C1045" s="495">
        <v>43745</v>
      </c>
      <c r="D1045" s="492">
        <v>19283</v>
      </c>
      <c r="E1045" s="497">
        <v>525138</v>
      </c>
      <c r="F1045" s="505">
        <v>1.304956403182103E-2</v>
      </c>
      <c r="G1045" s="488"/>
    </row>
    <row r="1046" spans="2:7" x14ac:dyDescent="0.25">
      <c r="B1046" s="491" t="s">
        <v>446</v>
      </c>
      <c r="C1046" s="495">
        <v>43746</v>
      </c>
      <c r="D1046" s="492">
        <v>19405</v>
      </c>
      <c r="E1046" s="497">
        <v>603416</v>
      </c>
      <c r="F1046" s="505">
        <v>6.3068860834015368E-3</v>
      </c>
      <c r="G1046" s="488"/>
    </row>
    <row r="1047" spans="2:7" x14ac:dyDescent="0.25">
      <c r="B1047" s="491" t="s">
        <v>446</v>
      </c>
      <c r="C1047" s="495">
        <v>43747</v>
      </c>
      <c r="D1047" s="492">
        <v>19080</v>
      </c>
      <c r="E1047" s="497">
        <v>484993</v>
      </c>
      <c r="F1047" s="505">
        <v>-1.6890098800729215E-2</v>
      </c>
      <c r="G1047" s="488"/>
    </row>
    <row r="1048" spans="2:7" x14ac:dyDescent="0.25">
      <c r="B1048" s="491" t="s">
        <v>446</v>
      </c>
      <c r="C1048" s="495">
        <v>43748</v>
      </c>
      <c r="D1048" s="492">
        <v>19146</v>
      </c>
      <c r="E1048" s="497">
        <v>606069</v>
      </c>
      <c r="F1048" s="505">
        <v>3.4531505040210448E-3</v>
      </c>
      <c r="G1048" s="488"/>
    </row>
    <row r="1049" spans="2:7" x14ac:dyDescent="0.25">
      <c r="B1049" s="491" t="s">
        <v>446</v>
      </c>
      <c r="C1049" s="495">
        <v>43749</v>
      </c>
      <c r="D1049" s="492">
        <v>19173</v>
      </c>
      <c r="E1049" s="497">
        <v>460591</v>
      </c>
      <c r="F1049" s="505">
        <v>1.4092228120929401E-3</v>
      </c>
      <c r="G1049" s="488"/>
    </row>
    <row r="1050" spans="2:7" x14ac:dyDescent="0.25">
      <c r="B1050" s="491" t="s">
        <v>446</v>
      </c>
      <c r="C1050" s="495">
        <v>43752</v>
      </c>
      <c r="D1050" s="492">
        <v>18765</v>
      </c>
      <c r="E1050" s="497">
        <v>758548</v>
      </c>
      <c r="F1050" s="505">
        <v>-2.1509606749270216E-2</v>
      </c>
      <c r="G1050" s="488"/>
    </row>
    <row r="1051" spans="2:7" x14ac:dyDescent="0.25">
      <c r="B1051" s="491" t="s">
        <v>446</v>
      </c>
      <c r="C1051" s="495">
        <v>43753</v>
      </c>
      <c r="D1051" s="492">
        <v>18759</v>
      </c>
      <c r="E1051" s="497">
        <v>537473</v>
      </c>
      <c r="F1051" s="505">
        <v>-3.1979533371362574E-4</v>
      </c>
      <c r="G1051" s="488"/>
    </row>
    <row r="1052" spans="2:7" x14ac:dyDescent="0.25">
      <c r="B1052" s="491" t="s">
        <v>446</v>
      </c>
      <c r="C1052" s="495">
        <v>43754</v>
      </c>
      <c r="D1052" s="492">
        <v>19100</v>
      </c>
      <c r="E1052" s="497">
        <v>615879</v>
      </c>
      <c r="F1052" s="505">
        <v>1.8014697799313684E-2</v>
      </c>
      <c r="G1052" s="488"/>
    </row>
    <row r="1053" spans="2:7" x14ac:dyDescent="0.25">
      <c r="B1053" s="491" t="s">
        <v>446</v>
      </c>
      <c r="C1053" s="495">
        <v>43755</v>
      </c>
      <c r="D1053" s="492">
        <v>19188</v>
      </c>
      <c r="E1053" s="497">
        <v>794961</v>
      </c>
      <c r="F1053" s="505">
        <v>4.5967485872332476E-3</v>
      </c>
      <c r="G1053" s="488"/>
    </row>
    <row r="1054" spans="2:7" x14ac:dyDescent="0.25">
      <c r="B1054" s="491" t="s">
        <v>446</v>
      </c>
      <c r="C1054" s="495">
        <v>43756</v>
      </c>
      <c r="D1054" s="492">
        <v>19244</v>
      </c>
      <c r="E1054" s="497">
        <v>1316274</v>
      </c>
      <c r="F1054" s="505">
        <v>2.9142401973898152E-3</v>
      </c>
      <c r="G1054" s="488"/>
    </row>
    <row r="1055" spans="2:7" x14ac:dyDescent="0.25">
      <c r="B1055" s="491" t="s">
        <v>446</v>
      </c>
      <c r="C1055" s="495">
        <v>43759</v>
      </c>
      <c r="D1055" s="492">
        <v>19000</v>
      </c>
      <c r="E1055" s="497">
        <v>544990</v>
      </c>
      <c r="F1055" s="505">
        <v>-1.2760344670766836E-2</v>
      </c>
      <c r="G1055" s="488"/>
    </row>
    <row r="1056" spans="2:7" x14ac:dyDescent="0.25">
      <c r="B1056" s="491" t="s">
        <v>446</v>
      </c>
      <c r="C1056" s="495">
        <v>43760</v>
      </c>
      <c r="D1056" s="492">
        <v>20029</v>
      </c>
      <c r="E1056" s="497">
        <v>1320722</v>
      </c>
      <c r="F1056" s="505">
        <v>5.2742244152655091E-2</v>
      </c>
      <c r="G1056" s="488"/>
    </row>
    <row r="1057" spans="2:7" x14ac:dyDescent="0.25">
      <c r="B1057" s="491" t="s">
        <v>446</v>
      </c>
      <c r="C1057" s="495">
        <v>43761</v>
      </c>
      <c r="D1057" s="492">
        <v>20205</v>
      </c>
      <c r="E1057" s="497">
        <v>538723</v>
      </c>
      <c r="F1057" s="505">
        <v>8.7488752113414649E-3</v>
      </c>
      <c r="G1057" s="488"/>
    </row>
    <row r="1058" spans="2:7" x14ac:dyDescent="0.25">
      <c r="B1058" s="491" t="s">
        <v>446</v>
      </c>
      <c r="C1058" s="495">
        <v>43762</v>
      </c>
      <c r="D1058" s="492">
        <v>20069</v>
      </c>
      <c r="E1058" s="497">
        <v>485959</v>
      </c>
      <c r="F1058" s="505">
        <v>-6.7537625738909191E-3</v>
      </c>
      <c r="G1058" s="488"/>
    </row>
    <row r="1059" spans="2:7" x14ac:dyDescent="0.25">
      <c r="B1059" s="491" t="s">
        <v>446</v>
      </c>
      <c r="C1059" s="495">
        <v>43763</v>
      </c>
      <c r="D1059" s="492">
        <v>19894</v>
      </c>
      <c r="E1059" s="497">
        <v>259071</v>
      </c>
      <c r="F1059" s="505">
        <v>-8.7581572263239031E-3</v>
      </c>
      <c r="G1059" s="488"/>
    </row>
    <row r="1060" spans="2:7" x14ac:dyDescent="0.25">
      <c r="B1060" s="491" t="s">
        <v>446</v>
      </c>
      <c r="C1060" s="495">
        <v>43766</v>
      </c>
      <c r="D1060" s="492">
        <v>20016</v>
      </c>
      <c r="E1060" s="497">
        <v>633333</v>
      </c>
      <c r="F1060" s="505">
        <v>6.1137749943330575E-3</v>
      </c>
      <c r="G1060" s="488"/>
    </row>
    <row r="1061" spans="2:7" x14ac:dyDescent="0.25">
      <c r="B1061" s="491" t="s">
        <v>446</v>
      </c>
      <c r="C1061" s="495">
        <v>43767</v>
      </c>
      <c r="D1061" s="492">
        <v>20222</v>
      </c>
      <c r="E1061" s="497">
        <v>574755</v>
      </c>
      <c r="F1061" s="505">
        <v>1.0239166944651981E-2</v>
      </c>
      <c r="G1061" s="488"/>
    </row>
    <row r="1062" spans="2:7" x14ac:dyDescent="0.25">
      <c r="B1062" s="491" t="s">
        <v>446</v>
      </c>
      <c r="C1062" s="495">
        <v>43768</v>
      </c>
      <c r="D1062" s="492">
        <v>19641</v>
      </c>
      <c r="E1062" s="497">
        <v>1724658</v>
      </c>
      <c r="F1062" s="505">
        <v>-2.9151902542143289E-2</v>
      </c>
      <c r="G1062" s="488"/>
    </row>
    <row r="1063" spans="2:7" x14ac:dyDescent="0.25">
      <c r="B1063" s="491" t="s">
        <v>446</v>
      </c>
      <c r="C1063" s="495">
        <v>43769</v>
      </c>
      <c r="D1063" s="492">
        <v>20303</v>
      </c>
      <c r="E1063" s="497">
        <v>1327395</v>
      </c>
      <c r="F1063" s="505">
        <v>3.3149440253040334E-2</v>
      </c>
      <c r="G1063" s="488"/>
    </row>
    <row r="1064" spans="2:7" x14ac:dyDescent="0.25">
      <c r="B1064" s="491" t="s">
        <v>446</v>
      </c>
      <c r="C1064" s="495">
        <v>43770</v>
      </c>
      <c r="D1064" s="492">
        <v>20232</v>
      </c>
      <c r="E1064" s="497">
        <v>322290</v>
      </c>
      <c r="F1064" s="505">
        <v>-3.5031490124402703E-3</v>
      </c>
      <c r="G1064" s="488"/>
    </row>
    <row r="1065" spans="2:7" x14ac:dyDescent="0.25">
      <c r="B1065" s="491" t="s">
        <v>446</v>
      </c>
      <c r="C1065" s="495">
        <v>43773</v>
      </c>
      <c r="D1065" s="492">
        <v>20407</v>
      </c>
      <c r="E1065" s="497">
        <v>692842</v>
      </c>
      <c r="F1065" s="505">
        <v>8.6124698792847711E-3</v>
      </c>
      <c r="G1065" s="488"/>
    </row>
    <row r="1066" spans="2:7" x14ac:dyDescent="0.25">
      <c r="B1066" s="491" t="s">
        <v>446</v>
      </c>
      <c r="C1066" s="495">
        <v>43774</v>
      </c>
      <c r="D1066" s="492">
        <v>20311</v>
      </c>
      <c r="E1066" s="497">
        <v>682787</v>
      </c>
      <c r="F1066" s="505">
        <v>-4.7153680376000812E-3</v>
      </c>
      <c r="G1066" s="488"/>
    </row>
    <row r="1067" spans="2:7" x14ac:dyDescent="0.25">
      <c r="B1067" s="491" t="s">
        <v>446</v>
      </c>
      <c r="C1067" s="495">
        <v>43775</v>
      </c>
      <c r="D1067" s="492">
        <v>20554</v>
      </c>
      <c r="E1067" s="497">
        <v>580805</v>
      </c>
      <c r="F1067" s="505">
        <v>1.1892957993532714E-2</v>
      </c>
      <c r="G1067" s="488"/>
    </row>
    <row r="1068" spans="2:7" x14ac:dyDescent="0.25">
      <c r="B1068" s="491" t="s">
        <v>446</v>
      </c>
      <c r="C1068" s="495">
        <v>43776</v>
      </c>
      <c r="D1068" s="492">
        <v>20339</v>
      </c>
      <c r="E1068" s="497">
        <v>1307698</v>
      </c>
      <c r="F1068" s="505">
        <v>-1.0515343999523008E-2</v>
      </c>
      <c r="G1068" s="488"/>
    </row>
    <row r="1069" spans="2:7" x14ac:dyDescent="0.25">
      <c r="B1069" s="491" t="s">
        <v>446</v>
      </c>
      <c r="C1069" s="495">
        <v>43777</v>
      </c>
      <c r="D1069" s="492">
        <v>20148</v>
      </c>
      <c r="E1069" s="497">
        <v>915745</v>
      </c>
      <c r="F1069" s="505">
        <v>-9.4351973199542118E-3</v>
      </c>
      <c r="G1069" s="488"/>
    </row>
    <row r="1070" spans="2:7" x14ac:dyDescent="0.25">
      <c r="B1070" s="491" t="s">
        <v>446</v>
      </c>
      <c r="C1070" s="495">
        <v>43780</v>
      </c>
      <c r="D1070" s="492">
        <v>19790</v>
      </c>
      <c r="E1070" s="497">
        <v>566048</v>
      </c>
      <c r="F1070" s="505">
        <v>-1.7928268268929768E-2</v>
      </c>
      <c r="G1070" s="488"/>
    </row>
    <row r="1071" spans="2:7" x14ac:dyDescent="0.25">
      <c r="B1071" s="491" t="s">
        <v>446</v>
      </c>
      <c r="C1071" s="495">
        <v>43781</v>
      </c>
      <c r="D1071" s="492">
        <v>19801</v>
      </c>
      <c r="E1071" s="497">
        <v>1423972</v>
      </c>
      <c r="F1071" s="505">
        <v>5.5568186118305231E-4</v>
      </c>
      <c r="G1071" s="488"/>
    </row>
    <row r="1072" spans="2:7" x14ac:dyDescent="0.25">
      <c r="B1072" s="491" t="s">
        <v>446</v>
      </c>
      <c r="C1072" s="495">
        <v>43782</v>
      </c>
      <c r="D1072" s="492">
        <v>20900</v>
      </c>
      <c r="E1072" s="497">
        <v>2143048</v>
      </c>
      <c r="F1072" s="505">
        <v>5.401671749510778E-2</v>
      </c>
      <c r="G1072" s="488"/>
    </row>
    <row r="1073" spans="2:7" x14ac:dyDescent="0.25">
      <c r="B1073" s="491" t="s">
        <v>446</v>
      </c>
      <c r="C1073" s="495">
        <v>43783</v>
      </c>
      <c r="D1073" s="492">
        <v>20801</v>
      </c>
      <c r="E1073" s="497">
        <v>1128039</v>
      </c>
      <c r="F1073" s="505">
        <v>-4.748096496074326E-3</v>
      </c>
      <c r="G1073" s="488"/>
    </row>
    <row r="1074" spans="2:7" x14ac:dyDescent="0.25">
      <c r="B1074" s="491" t="s">
        <v>446</v>
      </c>
      <c r="C1074" s="495">
        <v>43784</v>
      </c>
      <c r="D1074" s="492">
        <v>21275</v>
      </c>
      <c r="E1074" s="497">
        <v>1070269</v>
      </c>
      <c r="F1074" s="505">
        <v>2.2531611984746923E-2</v>
      </c>
      <c r="G1074" s="488"/>
    </row>
    <row r="1075" spans="2:7" x14ac:dyDescent="0.25">
      <c r="B1075" s="491" t="s">
        <v>446</v>
      </c>
      <c r="C1075" s="495">
        <v>43787</v>
      </c>
      <c r="D1075" s="492">
        <v>21081</v>
      </c>
      <c r="E1075" s="497">
        <v>848898</v>
      </c>
      <c r="F1075" s="505">
        <v>-9.1605135812674373E-3</v>
      </c>
      <c r="G1075" s="488"/>
    </row>
    <row r="1076" spans="2:7" x14ac:dyDescent="0.25">
      <c r="B1076" s="491" t="s">
        <v>446</v>
      </c>
      <c r="C1076" s="495">
        <v>43788</v>
      </c>
      <c r="D1076" s="492">
        <v>21085</v>
      </c>
      <c r="E1076" s="497">
        <v>819066</v>
      </c>
      <c r="F1076" s="505">
        <v>1.8972632035273398E-4</v>
      </c>
      <c r="G1076" s="488"/>
    </row>
    <row r="1077" spans="2:7" x14ac:dyDescent="0.25">
      <c r="B1077" s="491" t="s">
        <v>446</v>
      </c>
      <c r="C1077" s="495">
        <v>43789</v>
      </c>
      <c r="D1077" s="492">
        <v>21016</v>
      </c>
      <c r="E1077" s="497">
        <v>901072</v>
      </c>
      <c r="F1077" s="505">
        <v>-3.2778348152843863E-3</v>
      </c>
      <c r="G1077" s="488"/>
    </row>
    <row r="1078" spans="2:7" x14ac:dyDescent="0.25">
      <c r="B1078" s="491" t="s">
        <v>446</v>
      </c>
      <c r="C1078" s="495">
        <v>43790</v>
      </c>
      <c r="D1078" s="492">
        <v>20657</v>
      </c>
      <c r="E1078" s="497">
        <v>985324</v>
      </c>
      <c r="F1078" s="505">
        <v>-1.7229807367123075E-2</v>
      </c>
      <c r="G1078" s="488"/>
    </row>
    <row r="1079" spans="2:7" x14ac:dyDescent="0.25">
      <c r="B1079" s="491" t="s">
        <v>446</v>
      </c>
      <c r="C1079" s="495">
        <v>43791</v>
      </c>
      <c r="D1079" s="492">
        <v>20415</v>
      </c>
      <c r="E1079" s="497">
        <v>954794</v>
      </c>
      <c r="F1079" s="505">
        <v>-1.1784320244576615E-2</v>
      </c>
      <c r="G1079" s="488"/>
    </row>
    <row r="1080" spans="2:7" x14ac:dyDescent="0.25">
      <c r="B1080" s="491" t="s">
        <v>446</v>
      </c>
      <c r="C1080" s="495">
        <v>43794</v>
      </c>
      <c r="D1080" s="492">
        <v>20647</v>
      </c>
      <c r="E1080" s="497">
        <v>1062132</v>
      </c>
      <c r="F1080" s="505">
        <v>1.130010563120319E-2</v>
      </c>
      <c r="G1080" s="488"/>
    </row>
    <row r="1081" spans="2:7" x14ac:dyDescent="0.25">
      <c r="B1081" s="491" t="s">
        <v>446</v>
      </c>
      <c r="C1081" s="495">
        <v>43795</v>
      </c>
      <c r="D1081" s="492">
        <v>20103</v>
      </c>
      <c r="E1081" s="497">
        <v>2102640</v>
      </c>
      <c r="F1081" s="505">
        <v>-2.6700972743598946E-2</v>
      </c>
      <c r="G1081" s="488"/>
    </row>
    <row r="1082" spans="2:7" x14ac:dyDescent="0.25">
      <c r="B1082" s="491" t="s">
        <v>446</v>
      </c>
      <c r="C1082" s="495">
        <v>43796</v>
      </c>
      <c r="D1082" s="492">
        <v>20411</v>
      </c>
      <c r="E1082" s="497">
        <v>643416</v>
      </c>
      <c r="F1082" s="505">
        <v>1.5204913552762139E-2</v>
      </c>
      <c r="G1082" s="488"/>
    </row>
    <row r="1083" spans="2:7" x14ac:dyDescent="0.25">
      <c r="B1083" s="491" t="s">
        <v>446</v>
      </c>
      <c r="C1083" s="495">
        <v>43797</v>
      </c>
      <c r="D1083" s="492">
        <v>20341</v>
      </c>
      <c r="E1083" s="497">
        <v>981241</v>
      </c>
      <c r="F1083" s="505">
        <v>-3.4354175915554674E-3</v>
      </c>
      <c r="G1083" s="488"/>
    </row>
    <row r="1084" spans="2:7" x14ac:dyDescent="0.25">
      <c r="B1084" s="491" t="s">
        <v>446</v>
      </c>
      <c r="C1084" s="495">
        <v>43798</v>
      </c>
      <c r="D1084" s="492">
        <v>20592</v>
      </c>
      <c r="E1084" s="497">
        <v>1125840</v>
      </c>
      <c r="F1084" s="505">
        <v>1.2264097233420795E-2</v>
      </c>
      <c r="G1084" s="488"/>
    </row>
    <row r="1085" spans="2:7" x14ac:dyDescent="0.25">
      <c r="B1085" s="491" t="s">
        <v>446</v>
      </c>
      <c r="C1085" s="495">
        <v>43801</v>
      </c>
      <c r="D1085" s="492">
        <v>20261</v>
      </c>
      <c r="E1085" s="497">
        <v>1073976</v>
      </c>
      <c r="F1085" s="505">
        <v>-1.6204794909756615E-2</v>
      </c>
      <c r="G1085" s="488"/>
    </row>
    <row r="1086" spans="2:7" x14ac:dyDescent="0.25">
      <c r="B1086" s="491" t="s">
        <v>446</v>
      </c>
      <c r="C1086" s="495">
        <v>43802</v>
      </c>
      <c r="D1086" s="492">
        <v>20285</v>
      </c>
      <c r="E1086" s="497">
        <v>1182234</v>
      </c>
      <c r="F1086" s="505">
        <v>1.1838407143964791E-3</v>
      </c>
      <c r="G1086" s="488"/>
    </row>
    <row r="1087" spans="2:7" x14ac:dyDescent="0.25">
      <c r="B1087" s="491" t="s">
        <v>446</v>
      </c>
      <c r="C1087" s="495">
        <v>43803</v>
      </c>
      <c r="D1087" s="492">
        <v>20244</v>
      </c>
      <c r="E1087" s="497">
        <v>1026118</v>
      </c>
      <c r="F1087" s="505">
        <v>-2.0232433065790522E-3</v>
      </c>
      <c r="G1087" s="488"/>
    </row>
    <row r="1088" spans="2:7" x14ac:dyDescent="0.25">
      <c r="B1088" s="491" t="s">
        <v>446</v>
      </c>
      <c r="C1088" s="495">
        <v>43804</v>
      </c>
      <c r="D1088" s="492">
        <v>19980</v>
      </c>
      <c r="E1088" s="497">
        <v>1120127</v>
      </c>
      <c r="F1088" s="505">
        <v>-1.3126680131424052E-2</v>
      </c>
      <c r="G1088" s="488"/>
    </row>
    <row r="1089" spans="2:7" x14ac:dyDescent="0.25">
      <c r="B1089" s="491" t="s">
        <v>446</v>
      </c>
      <c r="C1089" s="495">
        <v>43805</v>
      </c>
      <c r="D1089" s="492">
        <v>20027</v>
      </c>
      <c r="E1089" s="497">
        <v>627135</v>
      </c>
      <c r="F1089" s="505">
        <v>2.3495899028790164E-3</v>
      </c>
      <c r="G1089" s="488"/>
    </row>
    <row r="1090" spans="2:7" x14ac:dyDescent="0.25">
      <c r="B1090" s="491" t="s">
        <v>446</v>
      </c>
      <c r="C1090" s="495">
        <v>43808</v>
      </c>
      <c r="D1090" s="492">
        <v>19969</v>
      </c>
      <c r="E1090" s="497">
        <v>375766</v>
      </c>
      <c r="F1090" s="505">
        <v>-2.9002920620319885E-3</v>
      </c>
      <c r="G1090" s="488"/>
    </row>
    <row r="1091" spans="2:7" x14ac:dyDescent="0.25">
      <c r="B1091" s="491" t="s">
        <v>446</v>
      </c>
      <c r="C1091" s="495">
        <v>43809</v>
      </c>
      <c r="D1091" s="492">
        <v>19766</v>
      </c>
      <c r="E1091" s="497">
        <v>784866</v>
      </c>
      <c r="F1091" s="505">
        <v>-1.0217781107262338E-2</v>
      </c>
      <c r="G1091" s="488"/>
    </row>
    <row r="1092" spans="2:7" x14ac:dyDescent="0.25">
      <c r="B1092" s="491" t="s">
        <v>446</v>
      </c>
      <c r="C1092" s="495">
        <v>43810</v>
      </c>
      <c r="D1092" s="492">
        <v>19819</v>
      </c>
      <c r="E1092" s="497">
        <v>757698</v>
      </c>
      <c r="F1092" s="505">
        <v>2.6777835882184908E-3</v>
      </c>
      <c r="G1092" s="488"/>
    </row>
    <row r="1093" spans="2:7" x14ac:dyDescent="0.25">
      <c r="B1093" s="491" t="s">
        <v>446</v>
      </c>
      <c r="C1093" s="495">
        <v>43811</v>
      </c>
      <c r="D1093" s="492">
        <v>19582</v>
      </c>
      <c r="E1093" s="497">
        <v>741092</v>
      </c>
      <c r="F1093" s="505">
        <v>-1.2030296610331098E-2</v>
      </c>
      <c r="G1093" s="488"/>
    </row>
    <row r="1094" spans="2:7" x14ac:dyDescent="0.25">
      <c r="B1094" s="491" t="s">
        <v>446</v>
      </c>
      <c r="C1094" s="495">
        <v>43812</v>
      </c>
      <c r="D1094" s="492">
        <v>20003</v>
      </c>
      <c r="E1094" s="497">
        <v>783135</v>
      </c>
      <c r="F1094" s="505">
        <v>2.1271485373236362E-2</v>
      </c>
      <c r="G1094" s="488"/>
    </row>
    <row r="1095" spans="2:7" x14ac:dyDescent="0.25">
      <c r="B1095" s="491" t="s">
        <v>446</v>
      </c>
      <c r="C1095" s="495">
        <v>43816</v>
      </c>
      <c r="D1095" s="492">
        <v>20233</v>
      </c>
      <c r="E1095" s="497">
        <v>1030007</v>
      </c>
      <c r="F1095" s="505">
        <v>1.143267249194161E-2</v>
      </c>
      <c r="G1095" s="488"/>
    </row>
    <row r="1096" spans="2:7" x14ac:dyDescent="0.25">
      <c r="B1096" s="491" t="s">
        <v>446</v>
      </c>
      <c r="C1096" s="495">
        <v>43817</v>
      </c>
      <c r="D1096" s="492">
        <v>20611</v>
      </c>
      <c r="E1096" s="497">
        <v>790606</v>
      </c>
      <c r="F1096" s="505">
        <v>1.8509979064102736E-2</v>
      </c>
      <c r="G1096" s="488"/>
    </row>
    <row r="1097" spans="2:7" x14ac:dyDescent="0.25">
      <c r="B1097" s="491" t="s">
        <v>446</v>
      </c>
      <c r="C1097" s="495">
        <v>43818</v>
      </c>
      <c r="D1097" s="492">
        <v>20365</v>
      </c>
      <c r="E1097" s="497">
        <v>1735560</v>
      </c>
      <c r="F1097" s="505">
        <v>-1.2007172760784479E-2</v>
      </c>
      <c r="G1097" s="488"/>
    </row>
    <row r="1098" spans="2:7" x14ac:dyDescent="0.25">
      <c r="B1098" s="491" t="s">
        <v>446</v>
      </c>
      <c r="C1098" s="495">
        <v>43819</v>
      </c>
      <c r="D1098" s="492">
        <v>20153</v>
      </c>
      <c r="E1098" s="497">
        <v>1013446</v>
      </c>
      <c r="F1098" s="505">
        <v>-1.0464580415023801E-2</v>
      </c>
      <c r="G1098" s="488"/>
    </row>
    <row r="1099" spans="2:7" x14ac:dyDescent="0.25">
      <c r="B1099" s="491" t="s">
        <v>446</v>
      </c>
      <c r="C1099" s="495">
        <v>43822</v>
      </c>
      <c r="D1099" s="492">
        <v>19837</v>
      </c>
      <c r="E1099" s="497">
        <v>452733</v>
      </c>
      <c r="F1099" s="505">
        <v>-1.5804279939380557E-2</v>
      </c>
      <c r="G1099" s="488"/>
    </row>
    <row r="1100" spans="2:7" x14ac:dyDescent="0.25">
      <c r="B1100" s="491" t="s">
        <v>446</v>
      </c>
      <c r="C1100" s="495">
        <v>43823</v>
      </c>
      <c r="D1100" s="492">
        <v>19757</v>
      </c>
      <c r="E1100" s="497">
        <v>135884</v>
      </c>
      <c r="F1100" s="505">
        <v>-4.0410218147034797E-3</v>
      </c>
      <c r="G1100" s="488"/>
    </row>
    <row r="1101" spans="2:7" x14ac:dyDescent="0.25">
      <c r="B1101" s="491" t="s">
        <v>446</v>
      </c>
      <c r="C1101" s="495">
        <v>43826</v>
      </c>
      <c r="D1101" s="492">
        <v>19690</v>
      </c>
      <c r="E1101" s="497">
        <v>340310</v>
      </c>
      <c r="F1101" s="505">
        <v>-3.3969662802338929E-3</v>
      </c>
      <c r="G1101" s="488"/>
    </row>
    <row r="1102" spans="2:7" x14ac:dyDescent="0.25">
      <c r="B1102" s="491" t="s">
        <v>446</v>
      </c>
      <c r="C1102" s="495">
        <v>43829</v>
      </c>
      <c r="D1102" s="492">
        <v>20023</v>
      </c>
      <c r="E1102" s="497">
        <v>353684</v>
      </c>
      <c r="F1102" s="505">
        <v>1.6770720159478409E-2</v>
      </c>
      <c r="G1102" s="488"/>
    </row>
    <row r="1103" spans="2:7" x14ac:dyDescent="0.25">
      <c r="B1103" s="491" t="s">
        <v>446</v>
      </c>
      <c r="C1103" s="495">
        <v>43830</v>
      </c>
      <c r="D1103" s="492">
        <v>19751</v>
      </c>
      <c r="E1103" s="497">
        <v>203189</v>
      </c>
      <c r="F1103" s="505">
        <v>-1.3677489833791773E-2</v>
      </c>
      <c r="G1103" s="488"/>
    </row>
    <row r="1104" spans="2:7" x14ac:dyDescent="0.25">
      <c r="B1104" s="491" t="s">
        <v>446</v>
      </c>
      <c r="C1104" s="495">
        <v>43832</v>
      </c>
      <c r="D1104" s="492">
        <v>19779</v>
      </c>
      <c r="E1104" s="497">
        <v>334470</v>
      </c>
      <c r="F1104" s="505">
        <v>1.4166458225516277E-3</v>
      </c>
      <c r="G1104" s="488"/>
    </row>
    <row r="1105" spans="2:7" x14ac:dyDescent="0.25">
      <c r="B1105" s="491" t="s">
        <v>446</v>
      </c>
      <c r="C1105" s="495">
        <v>43833</v>
      </c>
      <c r="D1105" s="492">
        <v>19565</v>
      </c>
      <c r="E1105" s="497">
        <v>339573</v>
      </c>
      <c r="F1105" s="505">
        <v>-1.0878513136896516E-2</v>
      </c>
      <c r="G1105" s="488"/>
    </row>
    <row r="1106" spans="2:7" x14ac:dyDescent="0.25">
      <c r="B1106" s="491" t="s">
        <v>446</v>
      </c>
      <c r="C1106" s="495">
        <v>43836</v>
      </c>
      <c r="D1106" s="492">
        <v>19136</v>
      </c>
      <c r="E1106" s="497">
        <v>410713</v>
      </c>
      <c r="F1106" s="505">
        <v>-2.217087789415452E-2</v>
      </c>
      <c r="G1106" s="488"/>
    </row>
    <row r="1107" spans="2:7" x14ac:dyDescent="0.25">
      <c r="B1107" s="491" t="s">
        <v>446</v>
      </c>
      <c r="C1107" s="495">
        <v>43837</v>
      </c>
      <c r="D1107" s="492">
        <v>19227</v>
      </c>
      <c r="E1107" s="497">
        <v>452902</v>
      </c>
      <c r="F1107" s="505">
        <v>4.7441634219782033E-3</v>
      </c>
      <c r="G1107" s="488"/>
    </row>
    <row r="1108" spans="2:7" x14ac:dyDescent="0.25">
      <c r="B1108" s="491" t="s">
        <v>446</v>
      </c>
      <c r="C1108" s="495">
        <v>43838</v>
      </c>
      <c r="D1108" s="492">
        <v>19175</v>
      </c>
      <c r="E1108" s="497">
        <v>604212</v>
      </c>
      <c r="F1108" s="505">
        <v>-2.7081939368796548E-3</v>
      </c>
      <c r="G1108" s="488"/>
    </row>
    <row r="1109" spans="2:7" x14ac:dyDescent="0.25">
      <c r="B1109" s="491" t="s">
        <v>446</v>
      </c>
      <c r="C1109" s="495">
        <v>43839</v>
      </c>
      <c r="D1109" s="492">
        <v>19274</v>
      </c>
      <c r="E1109" s="497">
        <v>654126</v>
      </c>
      <c r="F1109" s="505">
        <v>5.1496901757757821E-3</v>
      </c>
      <c r="G1109" s="488"/>
    </row>
    <row r="1110" spans="2:7" x14ac:dyDescent="0.25">
      <c r="B1110" s="491" t="s">
        <v>446</v>
      </c>
      <c r="C1110" s="495">
        <v>43840</v>
      </c>
      <c r="D1110" s="492">
        <v>19270</v>
      </c>
      <c r="E1110" s="497">
        <v>857899</v>
      </c>
      <c r="F1110" s="505">
        <v>-2.0755500282066569E-4</v>
      </c>
      <c r="G1110" s="488"/>
    </row>
    <row r="1111" spans="2:7" x14ac:dyDescent="0.25">
      <c r="B1111" s="491" t="s">
        <v>446</v>
      </c>
      <c r="C1111" s="495">
        <v>43843</v>
      </c>
      <c r="D1111" s="492">
        <v>19185</v>
      </c>
      <c r="E1111" s="497">
        <v>504180</v>
      </c>
      <c r="F1111" s="505">
        <v>-4.4207587273592964E-3</v>
      </c>
      <c r="G1111" s="488"/>
    </row>
    <row r="1112" spans="2:7" x14ac:dyDescent="0.25">
      <c r="B1112" s="491" t="s">
        <v>446</v>
      </c>
      <c r="C1112" s="495">
        <v>43844</v>
      </c>
      <c r="D1112" s="492">
        <v>19631</v>
      </c>
      <c r="E1112" s="497">
        <v>762730</v>
      </c>
      <c r="F1112" s="505">
        <v>2.2981225726980633E-2</v>
      </c>
      <c r="G1112" s="488"/>
    </row>
    <row r="1113" spans="2:7" x14ac:dyDescent="0.25">
      <c r="B1113" s="491" t="s">
        <v>446</v>
      </c>
      <c r="C1113" s="495">
        <v>43845</v>
      </c>
      <c r="D1113" s="492">
        <v>19972</v>
      </c>
      <c r="E1113" s="497">
        <v>762079</v>
      </c>
      <c r="F1113" s="505">
        <v>1.7221343212466503E-2</v>
      </c>
      <c r="G1113" s="488"/>
    </row>
    <row r="1114" spans="2:7" x14ac:dyDescent="0.25">
      <c r="B1114" s="491" t="s">
        <v>446</v>
      </c>
      <c r="C1114" s="495">
        <v>43846</v>
      </c>
      <c r="D1114" s="492">
        <v>19820</v>
      </c>
      <c r="E1114" s="497">
        <v>769334</v>
      </c>
      <c r="F1114" s="505">
        <v>-7.6397637365209006E-3</v>
      </c>
      <c r="G1114" s="488"/>
    </row>
    <row r="1115" spans="2:7" x14ac:dyDescent="0.25">
      <c r="B1115" s="491" t="s">
        <v>446</v>
      </c>
      <c r="C1115" s="495">
        <v>43847</v>
      </c>
      <c r="D1115" s="492">
        <v>19958</v>
      </c>
      <c r="E1115" s="497">
        <v>676392</v>
      </c>
      <c r="F1115" s="505">
        <v>6.9385365602788627E-3</v>
      </c>
      <c r="G1115" s="488"/>
    </row>
    <row r="1116" spans="2:7" x14ac:dyDescent="0.25">
      <c r="B1116" s="491" t="s">
        <v>446</v>
      </c>
      <c r="C1116" s="495">
        <v>43850</v>
      </c>
      <c r="D1116" s="492">
        <v>19964</v>
      </c>
      <c r="E1116" s="497">
        <v>187989</v>
      </c>
      <c r="F1116" s="505">
        <v>3.0058614524193809E-4</v>
      </c>
      <c r="G1116" s="488"/>
    </row>
    <row r="1117" spans="2:7" x14ac:dyDescent="0.25">
      <c r="B1117" s="491" t="s">
        <v>446</v>
      </c>
      <c r="C1117" s="495">
        <v>43851</v>
      </c>
      <c r="D1117" s="492">
        <v>20176</v>
      </c>
      <c r="E1117" s="497">
        <v>399939</v>
      </c>
      <c r="F1117" s="505">
        <v>1.0563127615200923E-2</v>
      </c>
      <c r="G1117" s="488"/>
    </row>
    <row r="1118" spans="2:7" x14ac:dyDescent="0.25">
      <c r="B1118" s="491" t="s">
        <v>446</v>
      </c>
      <c r="C1118" s="495">
        <v>43852</v>
      </c>
      <c r="D1118" s="492">
        <v>20487</v>
      </c>
      <c r="E1118" s="497">
        <v>744079</v>
      </c>
      <c r="F1118" s="505">
        <v>1.5296759424498098E-2</v>
      </c>
      <c r="G1118" s="488"/>
    </row>
    <row r="1119" spans="2:7" x14ac:dyDescent="0.25">
      <c r="B1119" s="491" t="s">
        <v>446</v>
      </c>
      <c r="C1119" s="495">
        <v>43853</v>
      </c>
      <c r="D1119" s="492">
        <v>20015</v>
      </c>
      <c r="E1119" s="497">
        <v>634411</v>
      </c>
      <c r="F1119" s="505">
        <v>-2.3308546202524916E-2</v>
      </c>
      <c r="G1119" s="488"/>
    </row>
    <row r="1120" spans="2:7" x14ac:dyDescent="0.25">
      <c r="B1120" s="491" t="s">
        <v>446</v>
      </c>
      <c r="C1120" s="495">
        <v>43854</v>
      </c>
      <c r="D1120" s="492">
        <v>20403</v>
      </c>
      <c r="E1120" s="497">
        <v>408094</v>
      </c>
      <c r="F1120" s="505">
        <v>1.9199956417074431E-2</v>
      </c>
      <c r="G1120" s="488"/>
    </row>
    <row r="1121" spans="2:7" x14ac:dyDescent="0.25">
      <c r="B1121" s="491" t="s">
        <v>446</v>
      </c>
      <c r="C1121" s="495">
        <v>43857</v>
      </c>
      <c r="D1121" s="492">
        <v>19978</v>
      </c>
      <c r="E1121" s="497">
        <v>649594</v>
      </c>
      <c r="F1121" s="505">
        <v>-2.1050280751653307E-2</v>
      </c>
      <c r="G1121" s="488"/>
    </row>
    <row r="1122" spans="2:7" x14ac:dyDescent="0.25">
      <c r="B1122" s="491" t="s">
        <v>446</v>
      </c>
      <c r="C1122" s="495">
        <v>43858</v>
      </c>
      <c r="D1122" s="492">
        <v>19480</v>
      </c>
      <c r="E1122" s="497">
        <v>478163</v>
      </c>
      <c r="F1122" s="505">
        <v>-2.5243369895568957E-2</v>
      </c>
      <c r="G1122" s="488"/>
    </row>
    <row r="1123" spans="2:7" x14ac:dyDescent="0.25">
      <c r="B1123" s="491" t="s">
        <v>446</v>
      </c>
      <c r="C1123" s="495">
        <v>43859</v>
      </c>
      <c r="D1123" s="492">
        <v>19628</v>
      </c>
      <c r="E1123" s="497">
        <v>327626</v>
      </c>
      <c r="F1123" s="505">
        <v>7.5688200132680268E-3</v>
      </c>
      <c r="G1123" s="488"/>
    </row>
    <row r="1124" spans="2:7" x14ac:dyDescent="0.25">
      <c r="B1124" s="491" t="s">
        <v>446</v>
      </c>
      <c r="C1124" s="495">
        <v>43860</v>
      </c>
      <c r="D1124" s="492">
        <v>19442</v>
      </c>
      <c r="E1124" s="497">
        <v>588316</v>
      </c>
      <c r="F1124" s="505">
        <v>-9.5214438287796969E-3</v>
      </c>
      <c r="G1124" s="488"/>
    </row>
    <row r="1125" spans="2:7" x14ac:dyDescent="0.25">
      <c r="B1125" s="491" t="s">
        <v>446</v>
      </c>
      <c r="C1125" s="495">
        <v>43861</v>
      </c>
      <c r="D1125" s="492">
        <v>19172</v>
      </c>
      <c r="E1125" s="497">
        <v>584388</v>
      </c>
      <c r="F1125" s="505">
        <v>-1.3984793101492411E-2</v>
      </c>
      <c r="G1125" s="488"/>
    </row>
    <row r="1126" spans="2:7" x14ac:dyDescent="0.25">
      <c r="B1126" s="491" t="s">
        <v>446</v>
      </c>
      <c r="C1126" s="495">
        <v>43864</v>
      </c>
      <c r="D1126" s="492">
        <v>19084</v>
      </c>
      <c r="E1126" s="497">
        <v>357664</v>
      </c>
      <c r="F1126" s="505">
        <v>-4.6005936435243155E-3</v>
      </c>
      <c r="G1126" s="488"/>
    </row>
    <row r="1127" spans="2:7" x14ac:dyDescent="0.25">
      <c r="B1127" s="491" t="s">
        <v>446</v>
      </c>
      <c r="C1127" s="495">
        <v>43865</v>
      </c>
      <c r="D1127" s="492">
        <v>19300</v>
      </c>
      <c r="E1127" s="497">
        <v>373764</v>
      </c>
      <c r="F1127" s="505">
        <v>1.1254808256979188E-2</v>
      </c>
      <c r="G1127" s="488"/>
    </row>
    <row r="1128" spans="2:7" x14ac:dyDescent="0.25">
      <c r="B1128" s="491" t="s">
        <v>446</v>
      </c>
      <c r="C1128" s="495">
        <v>43866</v>
      </c>
      <c r="D1128" s="492">
        <v>19296</v>
      </c>
      <c r="E1128" s="497">
        <v>415306</v>
      </c>
      <c r="F1128" s="505">
        <v>-2.0727536606496218E-4</v>
      </c>
      <c r="G1128" s="488"/>
    </row>
    <row r="1129" spans="2:7" x14ac:dyDescent="0.25">
      <c r="B1129" s="491" t="s">
        <v>446</v>
      </c>
      <c r="C1129" s="495">
        <v>43867</v>
      </c>
      <c r="D1129" s="492">
        <v>19200</v>
      </c>
      <c r="E1129" s="497">
        <v>221209</v>
      </c>
      <c r="F1129" s="505">
        <v>-4.9875415110390512E-3</v>
      </c>
      <c r="G1129" s="488"/>
    </row>
    <row r="1130" spans="2:7" x14ac:dyDescent="0.25">
      <c r="B1130" s="491" t="s">
        <v>446</v>
      </c>
      <c r="C1130" s="495">
        <v>43868</v>
      </c>
      <c r="D1130" s="492">
        <v>19321</v>
      </c>
      <c r="E1130" s="497">
        <v>499561</v>
      </c>
      <c r="F1130" s="505">
        <v>6.2823082455106399E-3</v>
      </c>
      <c r="G1130" s="488"/>
    </row>
    <row r="1131" spans="2:7" x14ac:dyDescent="0.25">
      <c r="B1131" s="491" t="s">
        <v>446</v>
      </c>
      <c r="C1131" s="495">
        <v>43871</v>
      </c>
      <c r="D1131" s="492">
        <v>19380</v>
      </c>
      <c r="E1131" s="497">
        <v>300727</v>
      </c>
      <c r="F1131" s="505">
        <v>3.0490191833736744E-3</v>
      </c>
      <c r="G1131" s="488"/>
    </row>
    <row r="1132" spans="2:7" x14ac:dyDescent="0.25">
      <c r="B1132" s="491" t="s">
        <v>446</v>
      </c>
      <c r="C1132" s="495">
        <v>43872</v>
      </c>
      <c r="D1132" s="492">
        <v>18650</v>
      </c>
      <c r="E1132" s="497">
        <v>1397990</v>
      </c>
      <c r="F1132" s="505">
        <v>-3.8395460372795578E-2</v>
      </c>
      <c r="G1132" s="488"/>
    </row>
    <row r="1133" spans="2:7" x14ac:dyDescent="0.25">
      <c r="B1133" s="491" t="s">
        <v>446</v>
      </c>
      <c r="C1133" s="495">
        <v>43873</v>
      </c>
      <c r="D1133" s="492">
        <v>18300</v>
      </c>
      <c r="E1133" s="497">
        <v>1540438</v>
      </c>
      <c r="F1133" s="505">
        <v>-1.8945086242449304E-2</v>
      </c>
      <c r="G1133" s="488"/>
    </row>
    <row r="1134" spans="2:7" x14ac:dyDescent="0.25">
      <c r="B1134" s="491" t="s">
        <v>446</v>
      </c>
      <c r="C1134" s="495">
        <v>43874</v>
      </c>
      <c r="D1134" s="492">
        <v>17892</v>
      </c>
      <c r="E1134" s="497">
        <v>1745713</v>
      </c>
      <c r="F1134" s="505">
        <v>-2.2547374276773547E-2</v>
      </c>
      <c r="G1134" s="488"/>
    </row>
    <row r="1135" spans="2:7" x14ac:dyDescent="0.25">
      <c r="B1135" s="491" t="s">
        <v>446</v>
      </c>
      <c r="C1135" s="495">
        <v>43875</v>
      </c>
      <c r="D1135" s="492">
        <v>17820</v>
      </c>
      <c r="E1135" s="497">
        <v>678261</v>
      </c>
      <c r="F1135" s="505">
        <v>-4.0322635279384511E-3</v>
      </c>
      <c r="G1135" s="488"/>
    </row>
    <row r="1136" spans="2:7" x14ac:dyDescent="0.25">
      <c r="B1136" s="491" t="s">
        <v>446</v>
      </c>
      <c r="C1136" s="495">
        <v>43878</v>
      </c>
      <c r="D1136" s="492">
        <v>17723</v>
      </c>
      <c r="E1136" s="497">
        <v>766854</v>
      </c>
      <c r="F1136" s="505">
        <v>-5.4581909696606156E-3</v>
      </c>
      <c r="G1136" s="488"/>
    </row>
    <row r="1137" spans="2:7" x14ac:dyDescent="0.25">
      <c r="B1137" s="491" t="s">
        <v>446</v>
      </c>
      <c r="C1137" s="495">
        <v>43879</v>
      </c>
      <c r="D1137" s="492">
        <v>17599</v>
      </c>
      <c r="E1137" s="497">
        <v>734400</v>
      </c>
      <c r="F1137" s="505">
        <v>-7.0211488249287499E-3</v>
      </c>
      <c r="G1137" s="488"/>
    </row>
    <row r="1138" spans="2:7" x14ac:dyDescent="0.25">
      <c r="B1138" s="491" t="s">
        <v>446</v>
      </c>
      <c r="C1138" s="495">
        <v>43880</v>
      </c>
      <c r="D1138" s="492">
        <v>17649</v>
      </c>
      <c r="E1138" s="497">
        <v>1826779</v>
      </c>
      <c r="F1138" s="505">
        <v>2.8370423023546206E-3</v>
      </c>
      <c r="G1138" s="488"/>
    </row>
    <row r="1139" spans="2:7" x14ac:dyDescent="0.25">
      <c r="B1139" s="491" t="s">
        <v>446</v>
      </c>
      <c r="C1139" s="495">
        <v>43881</v>
      </c>
      <c r="D1139" s="492">
        <v>17300</v>
      </c>
      <c r="E1139" s="497">
        <v>898595</v>
      </c>
      <c r="F1139" s="505">
        <v>-1.9972623046695347E-2</v>
      </c>
      <c r="G1139" s="488"/>
    </row>
    <row r="1140" spans="2:7" x14ac:dyDescent="0.25">
      <c r="B1140" s="491" t="s">
        <v>446</v>
      </c>
      <c r="C1140" s="495">
        <v>43882</v>
      </c>
      <c r="D1140" s="492">
        <v>17240</v>
      </c>
      <c r="E1140" s="497">
        <v>647326</v>
      </c>
      <c r="F1140" s="505">
        <v>-3.4742362681862782E-3</v>
      </c>
      <c r="G1140" s="488"/>
    </row>
    <row r="1141" spans="2:7" x14ac:dyDescent="0.25">
      <c r="B1141" s="491" t="s">
        <v>446</v>
      </c>
      <c r="C1141" s="495">
        <v>43885</v>
      </c>
      <c r="D1141" s="492">
        <v>16750</v>
      </c>
      <c r="E1141" s="497">
        <v>623217</v>
      </c>
      <c r="F1141" s="505">
        <v>-2.8834006964471585E-2</v>
      </c>
      <c r="G1141" s="488"/>
    </row>
    <row r="1142" spans="2:7" x14ac:dyDescent="0.25">
      <c r="B1142" s="491" t="s">
        <v>446</v>
      </c>
      <c r="C1142" s="495">
        <v>43886</v>
      </c>
      <c r="D1142" s="492">
        <v>16648</v>
      </c>
      <c r="E1142" s="497">
        <v>743444</v>
      </c>
      <c r="F1142" s="505">
        <v>-6.1081691797420868E-3</v>
      </c>
      <c r="G1142" s="488"/>
    </row>
    <row r="1143" spans="2:7" x14ac:dyDescent="0.25">
      <c r="B1143" s="491" t="s">
        <v>446</v>
      </c>
      <c r="C1143" s="495">
        <v>43887</v>
      </c>
      <c r="D1143" s="492">
        <v>17450</v>
      </c>
      <c r="E1143" s="497">
        <v>1146900</v>
      </c>
      <c r="F1143" s="505">
        <v>4.7049559557102827E-2</v>
      </c>
      <c r="G1143" s="488"/>
    </row>
    <row r="1144" spans="2:7" x14ac:dyDescent="0.25">
      <c r="B1144" s="491" t="s">
        <v>446</v>
      </c>
      <c r="C1144" s="495">
        <v>43888</v>
      </c>
      <c r="D1144" s="492">
        <v>16336</v>
      </c>
      <c r="E1144" s="497">
        <v>1043165</v>
      </c>
      <c r="F1144" s="505">
        <v>-6.5968387226126371E-2</v>
      </c>
      <c r="G1144" s="488"/>
    </row>
    <row r="1145" spans="2:7" x14ac:dyDescent="0.25">
      <c r="B1145" s="491" t="s">
        <v>446</v>
      </c>
      <c r="C1145" s="495">
        <v>43889</v>
      </c>
      <c r="D1145" s="492">
        <v>16400</v>
      </c>
      <c r="E1145" s="497">
        <v>2295550</v>
      </c>
      <c r="F1145" s="505">
        <v>3.9100734078430397E-3</v>
      </c>
      <c r="G1145" s="488"/>
    </row>
    <row r="1146" spans="2:7" x14ac:dyDescent="0.25">
      <c r="B1146" s="491" t="s">
        <v>446</v>
      </c>
      <c r="C1146" s="495">
        <v>43892</v>
      </c>
      <c r="D1146" s="492">
        <v>16515</v>
      </c>
      <c r="E1146" s="497">
        <v>798132</v>
      </c>
      <c r="F1146" s="505">
        <v>6.9877240126003E-3</v>
      </c>
      <c r="G1146" s="488"/>
    </row>
    <row r="1147" spans="2:7" x14ac:dyDescent="0.25">
      <c r="B1147" s="491" t="s">
        <v>446</v>
      </c>
      <c r="C1147" s="495">
        <v>43893</v>
      </c>
      <c r="D1147" s="492">
        <v>16897</v>
      </c>
      <c r="E1147" s="497">
        <v>2260292</v>
      </c>
      <c r="F1147" s="505">
        <v>2.2867032535759765E-2</v>
      </c>
      <c r="G1147" s="488"/>
    </row>
    <row r="1148" spans="2:7" x14ac:dyDescent="0.25">
      <c r="B1148" s="491" t="s">
        <v>446</v>
      </c>
      <c r="C1148" s="495">
        <v>43894</v>
      </c>
      <c r="D1148" s="492">
        <v>16975</v>
      </c>
      <c r="E1148" s="497">
        <v>1969433</v>
      </c>
      <c r="F1148" s="505">
        <v>4.6055820662471098E-3</v>
      </c>
      <c r="G1148" s="488"/>
    </row>
    <row r="1149" spans="2:7" x14ac:dyDescent="0.25">
      <c r="B1149" s="491" t="s">
        <v>446</v>
      </c>
      <c r="C1149" s="495">
        <v>43895</v>
      </c>
      <c r="D1149" s="492">
        <v>17157</v>
      </c>
      <c r="E1149" s="497">
        <v>1135832</v>
      </c>
      <c r="F1149" s="505">
        <v>1.0664580156529054E-2</v>
      </c>
      <c r="G1149" s="488"/>
    </row>
    <row r="1150" spans="2:7" x14ac:dyDescent="0.25">
      <c r="B1150" s="491" t="s">
        <v>446</v>
      </c>
      <c r="C1150" s="495">
        <v>43896</v>
      </c>
      <c r="D1150" s="492">
        <v>16998</v>
      </c>
      <c r="E1150" s="497">
        <v>1029519</v>
      </c>
      <c r="F1150" s="505">
        <v>-9.3105635248542946E-3</v>
      </c>
      <c r="G1150" s="488"/>
    </row>
    <row r="1151" spans="2:7" x14ac:dyDescent="0.25">
      <c r="B1151" s="491" t="s">
        <v>446</v>
      </c>
      <c r="C1151" s="495">
        <v>43899</v>
      </c>
      <c r="D1151" s="492">
        <v>17000</v>
      </c>
      <c r="E1151" s="497">
        <v>1249250</v>
      </c>
      <c r="F1151" s="505">
        <v>1.1765397978158856E-4</v>
      </c>
      <c r="G1151" s="488"/>
    </row>
    <row r="1152" spans="2:7" x14ac:dyDescent="0.25">
      <c r="B1152" s="491" t="s">
        <v>446</v>
      </c>
      <c r="C1152" s="495">
        <v>43900</v>
      </c>
      <c r="D1152" s="492">
        <v>17032</v>
      </c>
      <c r="E1152" s="497">
        <v>845478</v>
      </c>
      <c r="F1152" s="505">
        <v>1.8805835349622422E-3</v>
      </c>
      <c r="G1152" s="488"/>
    </row>
    <row r="1153" spans="2:7" x14ac:dyDescent="0.25">
      <c r="B1153" s="491" t="s">
        <v>446</v>
      </c>
      <c r="C1153" s="495">
        <v>43901</v>
      </c>
      <c r="D1153" s="492">
        <v>17107</v>
      </c>
      <c r="E1153" s="497">
        <v>1120914</v>
      </c>
      <c r="F1153" s="505">
        <v>4.3938088789765217E-3</v>
      </c>
      <c r="G1153" s="488"/>
    </row>
    <row r="1154" spans="2:7" x14ac:dyDescent="0.25">
      <c r="B1154" s="491" t="s">
        <v>446</v>
      </c>
      <c r="C1154" s="495">
        <v>43902</v>
      </c>
      <c r="D1154" s="492">
        <v>16012</v>
      </c>
      <c r="E1154" s="497">
        <v>1712186</v>
      </c>
      <c r="F1154" s="505">
        <v>-6.6149295339827663E-2</v>
      </c>
      <c r="G1154" s="488"/>
    </row>
    <row r="1155" spans="2:7" x14ac:dyDescent="0.25">
      <c r="B1155" s="491" t="s">
        <v>446</v>
      </c>
      <c r="C1155" s="495">
        <v>43903</v>
      </c>
      <c r="D1155" s="492">
        <v>15562</v>
      </c>
      <c r="E1155" s="497">
        <v>1623750</v>
      </c>
      <c r="F1155" s="505">
        <v>-2.8506395935588767E-2</v>
      </c>
      <c r="G1155" s="488"/>
    </row>
    <row r="1156" spans="2:7" x14ac:dyDescent="0.25">
      <c r="B1156" s="491" t="s">
        <v>446</v>
      </c>
      <c r="C1156" s="495">
        <v>43906</v>
      </c>
      <c r="D1156" s="492">
        <v>15712</v>
      </c>
      <c r="E1156" s="497">
        <v>2820605</v>
      </c>
      <c r="F1156" s="505">
        <v>9.5927064173716766E-3</v>
      </c>
      <c r="G1156" s="488"/>
    </row>
    <row r="1157" spans="2:7" x14ac:dyDescent="0.25">
      <c r="B1157" s="491" t="s">
        <v>446</v>
      </c>
      <c r="C1157" s="495">
        <v>43907</v>
      </c>
      <c r="D1157" s="492">
        <v>17493</v>
      </c>
      <c r="E1157" s="497">
        <v>2475860</v>
      </c>
      <c r="F1157" s="505">
        <v>0.10737604929601853</v>
      </c>
      <c r="G1157" s="488"/>
    </row>
    <row r="1158" spans="2:7" x14ac:dyDescent="0.25">
      <c r="B1158" s="491" t="s">
        <v>446</v>
      </c>
      <c r="C1158" s="495">
        <v>43908</v>
      </c>
      <c r="D1158" s="492">
        <v>16776</v>
      </c>
      <c r="E1158" s="497">
        <v>1957471</v>
      </c>
      <c r="F1158" s="505">
        <v>-4.1851507308509797E-2</v>
      </c>
      <c r="G1158" s="488"/>
    </row>
    <row r="1159" spans="2:7" x14ac:dyDescent="0.25">
      <c r="B1159" s="491" t="s">
        <v>446</v>
      </c>
      <c r="C1159" s="495">
        <v>43909</v>
      </c>
      <c r="D1159" s="492">
        <v>17963</v>
      </c>
      <c r="E1159" s="497">
        <v>2932646</v>
      </c>
      <c r="F1159" s="505">
        <v>6.8364793187079817E-2</v>
      </c>
      <c r="G1159" s="488"/>
    </row>
    <row r="1160" spans="2:7" x14ac:dyDescent="0.25">
      <c r="B1160" s="491" t="s">
        <v>446</v>
      </c>
      <c r="C1160" s="495">
        <v>43910</v>
      </c>
      <c r="D1160" s="492">
        <v>18050</v>
      </c>
      <c r="E1160" s="497">
        <v>3604249</v>
      </c>
      <c r="F1160" s="505">
        <v>4.8315979921913195E-3</v>
      </c>
      <c r="G1160" s="488"/>
    </row>
    <row r="1161" spans="2:7" x14ac:dyDescent="0.25">
      <c r="B1161" s="491" t="s">
        <v>446</v>
      </c>
      <c r="C1161" s="495">
        <v>43913</v>
      </c>
      <c r="D1161" s="492">
        <v>17735</v>
      </c>
      <c r="E1161" s="497">
        <v>1818299</v>
      </c>
      <c r="F1161" s="505">
        <v>-1.760559655330474E-2</v>
      </c>
      <c r="G1161" s="488"/>
    </row>
    <row r="1162" spans="2:7" x14ac:dyDescent="0.25">
      <c r="B1162" s="491" t="s">
        <v>446</v>
      </c>
      <c r="C1162" s="495">
        <v>43914</v>
      </c>
      <c r="D1162" s="492">
        <v>17283</v>
      </c>
      <c r="E1162" s="497">
        <v>2035197</v>
      </c>
      <c r="F1162" s="505">
        <v>-2.581672880722936E-2</v>
      </c>
      <c r="G1162" s="488"/>
    </row>
    <row r="1163" spans="2:7" x14ac:dyDescent="0.25">
      <c r="B1163" s="491" t="s">
        <v>446</v>
      </c>
      <c r="C1163" s="495">
        <v>43915</v>
      </c>
      <c r="D1163" s="492">
        <v>17874</v>
      </c>
      <c r="E1163" s="497">
        <v>1426185</v>
      </c>
      <c r="F1163" s="505">
        <v>3.3623783540844561E-2</v>
      </c>
      <c r="G1163" s="488"/>
    </row>
    <row r="1164" spans="2:7" x14ac:dyDescent="0.25">
      <c r="B1164" s="491" t="s">
        <v>446</v>
      </c>
      <c r="C1164" s="495">
        <v>43916</v>
      </c>
      <c r="D1164" s="492">
        <v>18283</v>
      </c>
      <c r="E1164" s="497">
        <v>1461185</v>
      </c>
      <c r="F1164" s="505">
        <v>2.262452338716758E-2</v>
      </c>
      <c r="G1164" s="488"/>
    </row>
    <row r="1165" spans="2:7" x14ac:dyDescent="0.25">
      <c r="B1165" s="491" t="s">
        <v>446</v>
      </c>
      <c r="C1165" s="495">
        <v>43917</v>
      </c>
      <c r="D1165" s="492">
        <v>17902</v>
      </c>
      <c r="E1165" s="497">
        <v>1337889</v>
      </c>
      <c r="F1165" s="505">
        <v>-2.1059227897620662E-2</v>
      </c>
      <c r="G1165" s="488"/>
    </row>
    <row r="1166" spans="2:7" x14ac:dyDescent="0.25">
      <c r="B1166" s="491" t="s">
        <v>446</v>
      </c>
      <c r="C1166" s="495">
        <v>43920</v>
      </c>
      <c r="D1166" s="492">
        <v>17810</v>
      </c>
      <c r="E1166" s="497">
        <v>1078518</v>
      </c>
      <c r="F1166" s="505">
        <v>-5.152341147176949E-3</v>
      </c>
      <c r="G1166" s="488"/>
    </row>
    <row r="1167" spans="2:7" x14ac:dyDescent="0.25">
      <c r="B1167" s="491" t="s">
        <v>446</v>
      </c>
      <c r="C1167" s="495">
        <v>43921</v>
      </c>
      <c r="D1167" s="492">
        <v>18175</v>
      </c>
      <c r="E1167" s="497">
        <v>1062598</v>
      </c>
      <c r="F1167" s="505">
        <v>2.0286926118012819E-2</v>
      </c>
      <c r="G1167" s="488"/>
    </row>
    <row r="1168" spans="2:7" x14ac:dyDescent="0.25">
      <c r="B1168" s="491" t="s">
        <v>446</v>
      </c>
      <c r="C1168" s="495">
        <v>43922</v>
      </c>
      <c r="D1168" s="492">
        <v>18353</v>
      </c>
      <c r="E1168" s="497">
        <v>952933</v>
      </c>
      <c r="F1168" s="505">
        <v>9.7460254567518986E-3</v>
      </c>
      <c r="G1168" s="488"/>
    </row>
    <row r="1169" spans="2:7" x14ac:dyDescent="0.25">
      <c r="B1169" s="491" t="s">
        <v>446</v>
      </c>
      <c r="C1169" s="495">
        <v>43923</v>
      </c>
      <c r="D1169" s="492">
        <v>17960</v>
      </c>
      <c r="E1169" s="497">
        <v>1067266</v>
      </c>
      <c r="F1169" s="505">
        <v>-2.1645986002281393E-2</v>
      </c>
      <c r="G1169" s="488"/>
    </row>
    <row r="1170" spans="2:7" x14ac:dyDescent="0.25">
      <c r="B1170" s="491" t="s">
        <v>446</v>
      </c>
      <c r="C1170" s="495">
        <v>43924</v>
      </c>
      <c r="D1170" s="492">
        <v>18125</v>
      </c>
      <c r="E1170" s="497">
        <v>784018</v>
      </c>
      <c r="F1170" s="505">
        <v>9.145137866684987E-3</v>
      </c>
      <c r="G1170" s="488"/>
    </row>
    <row r="1171" spans="2:7" x14ac:dyDescent="0.25">
      <c r="B1171" s="491" t="s">
        <v>446</v>
      </c>
      <c r="C1171" s="495">
        <v>43927</v>
      </c>
      <c r="D1171" s="492">
        <v>18289</v>
      </c>
      <c r="E1171" s="497">
        <v>685405</v>
      </c>
      <c r="F1171" s="505">
        <v>9.0075854817001366E-3</v>
      </c>
      <c r="G1171" s="488"/>
    </row>
    <row r="1172" spans="2:7" x14ac:dyDescent="0.25">
      <c r="B1172" s="491" t="s">
        <v>446</v>
      </c>
      <c r="C1172" s="495">
        <v>43928</v>
      </c>
      <c r="D1172" s="492">
        <v>17077</v>
      </c>
      <c r="E1172" s="497">
        <v>1144255</v>
      </c>
      <c r="F1172" s="505">
        <v>-6.8567257317336747E-2</v>
      </c>
      <c r="G1172" s="488"/>
    </row>
    <row r="1173" spans="2:7" x14ac:dyDescent="0.25">
      <c r="B1173" s="491" t="s">
        <v>446</v>
      </c>
      <c r="C1173" s="495">
        <v>43929</v>
      </c>
      <c r="D1173" s="492">
        <v>17028</v>
      </c>
      <c r="E1173" s="497">
        <v>989750</v>
      </c>
      <c r="F1173" s="505">
        <v>-2.8734809391960932E-3</v>
      </c>
      <c r="G1173" s="488"/>
    </row>
    <row r="1174" spans="2:7" x14ac:dyDescent="0.25">
      <c r="B1174" s="491" t="s">
        <v>446</v>
      </c>
      <c r="C1174" s="495">
        <v>43930</v>
      </c>
      <c r="D1174" s="492">
        <v>18078</v>
      </c>
      <c r="E1174" s="497">
        <v>1371953</v>
      </c>
      <c r="F1174" s="505">
        <v>5.9836681410313335E-2</v>
      </c>
      <c r="G1174" s="488"/>
    </row>
    <row r="1175" spans="2:7" x14ac:dyDescent="0.25">
      <c r="B1175" s="491" t="s">
        <v>446</v>
      </c>
      <c r="C1175" s="495">
        <v>43935</v>
      </c>
      <c r="D1175" s="492">
        <v>18162</v>
      </c>
      <c r="E1175" s="497">
        <v>936298</v>
      </c>
      <c r="F1175" s="505">
        <v>4.6357698914174014E-3</v>
      </c>
      <c r="G1175" s="488"/>
    </row>
    <row r="1176" spans="2:7" x14ac:dyDescent="0.25">
      <c r="B1176" s="491" t="s">
        <v>446</v>
      </c>
      <c r="C1176" s="495">
        <v>43936</v>
      </c>
      <c r="D1176" s="492">
        <v>18264</v>
      </c>
      <c r="E1176" s="497">
        <v>1204217</v>
      </c>
      <c r="F1176" s="505">
        <v>5.6004099598578874E-3</v>
      </c>
      <c r="G1176" s="488"/>
    </row>
    <row r="1177" spans="2:7" x14ac:dyDescent="0.25">
      <c r="B1177" s="491" t="s">
        <v>446</v>
      </c>
      <c r="C1177" s="495">
        <v>43937</v>
      </c>
      <c r="D1177" s="492">
        <v>18205</v>
      </c>
      <c r="E1177" s="497">
        <v>1375762</v>
      </c>
      <c r="F1177" s="505">
        <v>-3.2356276000976287E-3</v>
      </c>
      <c r="G1177" s="488"/>
    </row>
    <row r="1178" spans="2:7" x14ac:dyDescent="0.25">
      <c r="B1178" s="491" t="s">
        <v>446</v>
      </c>
      <c r="C1178" s="495">
        <v>43938</v>
      </c>
      <c r="D1178" s="492">
        <v>18496</v>
      </c>
      <c r="E1178" s="497">
        <v>666247</v>
      </c>
      <c r="F1178" s="505">
        <v>1.5858210862570252E-2</v>
      </c>
      <c r="G1178" s="488"/>
    </row>
    <row r="1179" spans="2:7" x14ac:dyDescent="0.25">
      <c r="B1179" s="491" t="s">
        <v>446</v>
      </c>
      <c r="C1179" s="495">
        <v>43941</v>
      </c>
      <c r="D1179" s="492">
        <v>18454</v>
      </c>
      <c r="E1179" s="497">
        <v>490569</v>
      </c>
      <c r="F1179" s="505">
        <v>-2.2733433336028482E-3</v>
      </c>
      <c r="G1179" s="488"/>
    </row>
    <row r="1180" spans="2:7" x14ac:dyDescent="0.25">
      <c r="B1180" s="491" t="s">
        <v>446</v>
      </c>
      <c r="C1180" s="495">
        <v>43942</v>
      </c>
      <c r="D1180" s="492">
        <v>18002</v>
      </c>
      <c r="E1180" s="497">
        <v>960175</v>
      </c>
      <c r="F1180" s="505">
        <v>-2.479828632147054E-2</v>
      </c>
      <c r="G1180" s="488"/>
    </row>
    <row r="1181" spans="2:7" x14ac:dyDescent="0.25">
      <c r="B1181" s="491" t="s">
        <v>446</v>
      </c>
      <c r="C1181" s="495">
        <v>43943</v>
      </c>
      <c r="D1181" s="492">
        <v>18452</v>
      </c>
      <c r="E1181" s="497">
        <v>1309754</v>
      </c>
      <c r="F1181" s="505">
        <v>2.4689902860680599E-2</v>
      </c>
      <c r="G1181" s="488"/>
    </row>
    <row r="1182" spans="2:7" x14ac:dyDescent="0.25">
      <c r="B1182" s="491" t="s">
        <v>446</v>
      </c>
      <c r="C1182" s="495">
        <v>43944</v>
      </c>
      <c r="D1182" s="492">
        <v>18871</v>
      </c>
      <c r="E1182" s="497">
        <v>1331096</v>
      </c>
      <c r="F1182" s="505">
        <v>2.2453586451384486E-2</v>
      </c>
      <c r="G1182" s="488"/>
    </row>
    <row r="1183" spans="2:7" x14ac:dyDescent="0.25">
      <c r="B1183" s="491" t="s">
        <v>446</v>
      </c>
      <c r="C1183" s="495">
        <v>43945</v>
      </c>
      <c r="D1183" s="492">
        <v>18950</v>
      </c>
      <c r="E1183" s="497">
        <v>1565002</v>
      </c>
      <c r="F1183" s="505">
        <v>4.1775793814768231E-3</v>
      </c>
      <c r="G1183" s="488"/>
    </row>
    <row r="1184" spans="2:7" x14ac:dyDescent="0.25">
      <c r="B1184" s="491" t="s">
        <v>446</v>
      </c>
      <c r="C1184" s="495">
        <v>43949</v>
      </c>
      <c r="D1184" s="492">
        <v>18628</v>
      </c>
      <c r="E1184" s="497">
        <v>1137941</v>
      </c>
      <c r="F1184" s="505">
        <v>-1.7138106408304613E-2</v>
      </c>
      <c r="G1184" s="488"/>
    </row>
    <row r="1185" spans="2:7" x14ac:dyDescent="0.25">
      <c r="B1185" s="491" t="s">
        <v>446</v>
      </c>
      <c r="C1185" s="495">
        <v>43950</v>
      </c>
      <c r="D1185" s="492">
        <v>18169</v>
      </c>
      <c r="E1185" s="497">
        <v>1150222</v>
      </c>
      <c r="F1185" s="505">
        <v>-2.494897999982729E-2</v>
      </c>
      <c r="G1185" s="488"/>
    </row>
    <row r="1186" spans="2:7" x14ac:dyDescent="0.25">
      <c r="B1186" s="491" t="s">
        <v>446</v>
      </c>
      <c r="C1186" s="495">
        <v>43951</v>
      </c>
      <c r="D1186" s="492">
        <v>17688</v>
      </c>
      <c r="E1186" s="497">
        <v>1264895</v>
      </c>
      <c r="F1186" s="505">
        <v>-2.6830401565158299E-2</v>
      </c>
      <c r="G1186" s="488"/>
    </row>
    <row r="1187" spans="2:7" x14ac:dyDescent="0.25">
      <c r="B1187" s="491" t="s">
        <v>446</v>
      </c>
      <c r="C1187" s="495">
        <v>43955</v>
      </c>
      <c r="D1187" s="492">
        <v>17540</v>
      </c>
      <c r="E1187" s="497">
        <v>1205312</v>
      </c>
      <c r="F1187" s="505">
        <v>-8.4024566111082066E-3</v>
      </c>
      <c r="G1187" s="488"/>
    </row>
    <row r="1188" spans="2:7" x14ac:dyDescent="0.25">
      <c r="B1188" s="491" t="s">
        <v>446</v>
      </c>
      <c r="C1188" s="495">
        <v>43956</v>
      </c>
      <c r="D1188" s="492">
        <v>18084</v>
      </c>
      <c r="E1188" s="497">
        <v>793553</v>
      </c>
      <c r="F1188" s="505">
        <v>3.0543582488321668E-2</v>
      </c>
      <c r="G1188" s="488"/>
    </row>
    <row r="1189" spans="2:7" x14ac:dyDescent="0.25">
      <c r="B1189" s="491" t="s">
        <v>446</v>
      </c>
      <c r="C1189" s="495">
        <v>43957</v>
      </c>
      <c r="D1189" s="492">
        <v>18404</v>
      </c>
      <c r="E1189" s="497">
        <v>714786</v>
      </c>
      <c r="F1189" s="505">
        <v>1.7540462860863366E-2</v>
      </c>
      <c r="G1189" s="488"/>
    </row>
    <row r="1190" spans="2:7" x14ac:dyDescent="0.25">
      <c r="B1190" s="491" t="s">
        <v>446</v>
      </c>
      <c r="C1190" s="495">
        <v>43958</v>
      </c>
      <c r="D1190" s="492">
        <v>18200</v>
      </c>
      <c r="E1190" s="497">
        <v>455959</v>
      </c>
      <c r="F1190" s="505">
        <v>-1.1146438210472545E-2</v>
      </c>
      <c r="G1190" s="488"/>
    </row>
    <row r="1191" spans="2:7" x14ac:dyDescent="0.25">
      <c r="B1191" s="491" t="s">
        <v>446</v>
      </c>
      <c r="C1191" s="495">
        <v>43959</v>
      </c>
      <c r="D1191" s="492">
        <v>18535</v>
      </c>
      <c r="E1191" s="497">
        <v>913195</v>
      </c>
      <c r="F1191" s="505">
        <v>1.823924251994586E-2</v>
      </c>
      <c r="G1191" s="488"/>
    </row>
    <row r="1192" spans="2:7" x14ac:dyDescent="0.25">
      <c r="B1192" s="491" t="s">
        <v>446</v>
      </c>
      <c r="C1192" s="495">
        <v>43962</v>
      </c>
      <c r="D1192" s="492">
        <v>18483</v>
      </c>
      <c r="E1192" s="497">
        <v>366940</v>
      </c>
      <c r="F1192" s="505">
        <v>-2.8094459021522824E-3</v>
      </c>
      <c r="G1192" s="488"/>
    </row>
    <row r="1193" spans="2:7" x14ac:dyDescent="0.25">
      <c r="B1193" s="491" t="s">
        <v>446</v>
      </c>
      <c r="C1193" s="495">
        <v>43963</v>
      </c>
      <c r="D1193" s="492">
        <v>17515</v>
      </c>
      <c r="E1193" s="497">
        <v>1721135</v>
      </c>
      <c r="F1193" s="505">
        <v>-5.379373405109323E-2</v>
      </c>
      <c r="G1193" s="488"/>
    </row>
    <row r="1194" spans="2:7" x14ac:dyDescent="0.25">
      <c r="B1194" s="491" t="s">
        <v>446</v>
      </c>
      <c r="C1194" s="495">
        <v>43964</v>
      </c>
      <c r="D1194" s="492">
        <v>17505</v>
      </c>
      <c r="E1194" s="497">
        <v>768206</v>
      </c>
      <c r="F1194" s="505">
        <v>-5.7110224282115412E-4</v>
      </c>
      <c r="G1194" s="488"/>
    </row>
    <row r="1195" spans="2:7" x14ac:dyDescent="0.25">
      <c r="B1195" s="491" t="s">
        <v>446</v>
      </c>
      <c r="C1195" s="495">
        <v>43965</v>
      </c>
      <c r="D1195" s="492">
        <v>16830</v>
      </c>
      <c r="E1195" s="497">
        <v>953051</v>
      </c>
      <c r="F1195" s="505">
        <v>-3.9323546203914407E-2</v>
      </c>
      <c r="G1195" s="488"/>
    </row>
    <row r="1196" spans="2:7" x14ac:dyDescent="0.25">
      <c r="B1196" s="491" t="s">
        <v>446</v>
      </c>
      <c r="C1196" s="495">
        <v>43966</v>
      </c>
      <c r="D1196" s="492">
        <v>16400</v>
      </c>
      <c r="E1196" s="497">
        <v>2003944</v>
      </c>
      <c r="F1196" s="505">
        <v>-2.5881673372561941E-2</v>
      </c>
      <c r="G1196" s="488"/>
    </row>
    <row r="1197" spans="2:7" x14ac:dyDescent="0.25">
      <c r="B1197" s="491" t="s">
        <v>446</v>
      </c>
      <c r="C1197" s="495">
        <v>43969</v>
      </c>
      <c r="D1197" s="492">
        <v>16300</v>
      </c>
      <c r="E1197" s="497">
        <v>938546</v>
      </c>
      <c r="F1197" s="505">
        <v>-6.1162270174360944E-3</v>
      </c>
      <c r="G1197" s="488"/>
    </row>
    <row r="1198" spans="2:7" x14ac:dyDescent="0.25">
      <c r="B1198" s="491" t="s">
        <v>446</v>
      </c>
      <c r="C1198" s="495">
        <v>43970</v>
      </c>
      <c r="D1198" s="492">
        <v>16727</v>
      </c>
      <c r="E1198" s="497">
        <v>838609</v>
      </c>
      <c r="F1198" s="505">
        <v>2.5859072517155017E-2</v>
      </c>
      <c r="G1198" s="488"/>
    </row>
    <row r="1199" spans="2:7" x14ac:dyDescent="0.25">
      <c r="B1199" s="491" t="s">
        <v>446</v>
      </c>
      <c r="C1199" s="495">
        <v>43971</v>
      </c>
      <c r="D1199" s="492">
        <v>16826</v>
      </c>
      <c r="E1199" s="497">
        <v>701791</v>
      </c>
      <c r="F1199" s="505">
        <v>5.9011287987501748E-3</v>
      </c>
      <c r="G1199" s="488"/>
    </row>
    <row r="1200" spans="2:7" x14ac:dyDescent="0.25">
      <c r="B1200" s="491" t="s">
        <v>446</v>
      </c>
      <c r="C1200" s="495">
        <v>43972</v>
      </c>
      <c r="D1200" s="492">
        <v>17890</v>
      </c>
      <c r="E1200" s="497">
        <v>1454623</v>
      </c>
      <c r="F1200" s="505">
        <v>6.1316588392005857E-2</v>
      </c>
      <c r="G1200" s="488"/>
    </row>
    <row r="1201" spans="2:7" x14ac:dyDescent="0.25">
      <c r="B1201" s="491" t="s">
        <v>446</v>
      </c>
      <c r="C1201" s="495">
        <v>43973</v>
      </c>
      <c r="D1201" s="492">
        <v>17910</v>
      </c>
      <c r="E1201" s="497">
        <v>897896</v>
      </c>
      <c r="F1201" s="505">
        <v>1.1173185519925981E-3</v>
      </c>
      <c r="G1201" s="488"/>
    </row>
    <row r="1202" spans="2:7" x14ac:dyDescent="0.25">
      <c r="B1202" s="491" t="s">
        <v>446</v>
      </c>
      <c r="C1202" s="495">
        <v>43976</v>
      </c>
      <c r="D1202" s="492">
        <v>17548</v>
      </c>
      <c r="E1202" s="497">
        <v>577440</v>
      </c>
      <c r="F1202" s="505">
        <v>-2.0419232768652845E-2</v>
      </c>
      <c r="G1202" s="488"/>
    </row>
    <row r="1203" spans="2:7" x14ac:dyDescent="0.25">
      <c r="B1203" s="491" t="s">
        <v>446</v>
      </c>
      <c r="C1203" s="495">
        <v>43977</v>
      </c>
      <c r="D1203" s="492">
        <v>17813</v>
      </c>
      <c r="E1203" s="497">
        <v>718788</v>
      </c>
      <c r="F1203" s="505">
        <v>1.4988544506380248E-2</v>
      </c>
      <c r="G1203" s="488"/>
    </row>
    <row r="1204" spans="2:7" x14ac:dyDescent="0.25">
      <c r="B1204" s="491" t="s">
        <v>446</v>
      </c>
      <c r="C1204" s="495">
        <v>43978</v>
      </c>
      <c r="D1204" s="492">
        <v>17598</v>
      </c>
      <c r="E1204" s="497">
        <v>530780</v>
      </c>
      <c r="F1204" s="505">
        <v>-1.2143268586978864E-2</v>
      </c>
      <c r="G1204" s="488"/>
    </row>
    <row r="1205" spans="2:7" x14ac:dyDescent="0.25">
      <c r="B1205" s="491" t="s">
        <v>446</v>
      </c>
      <c r="C1205" s="495">
        <v>43979</v>
      </c>
      <c r="D1205" s="492">
        <v>17443</v>
      </c>
      <c r="E1205" s="497">
        <v>650958</v>
      </c>
      <c r="F1205" s="505">
        <v>-8.8468371873712051E-3</v>
      </c>
      <c r="G1205" s="488"/>
    </row>
    <row r="1206" spans="2:7" x14ac:dyDescent="0.25">
      <c r="B1206" s="491" t="s">
        <v>446</v>
      </c>
      <c r="C1206" s="495">
        <v>43980</v>
      </c>
      <c r="D1206" s="492">
        <v>17519</v>
      </c>
      <c r="E1206" s="497">
        <v>2431593</v>
      </c>
      <c r="F1206" s="505">
        <v>4.3475842176870817E-3</v>
      </c>
      <c r="G1206" s="488"/>
    </row>
    <row r="1207" spans="2:7" x14ac:dyDescent="0.25">
      <c r="B1207" s="491" t="s">
        <v>446</v>
      </c>
      <c r="C1207" s="495">
        <v>43983</v>
      </c>
      <c r="D1207" s="492">
        <v>17633</v>
      </c>
      <c r="E1207" s="497">
        <v>516398</v>
      </c>
      <c r="F1207" s="505">
        <v>6.4861401721014672E-3</v>
      </c>
      <c r="G1207" s="488"/>
    </row>
    <row r="1208" spans="2:7" x14ac:dyDescent="0.25">
      <c r="B1208" s="491" t="s">
        <v>446</v>
      </c>
      <c r="C1208" s="495">
        <v>43984</v>
      </c>
      <c r="D1208" s="492">
        <v>17978</v>
      </c>
      <c r="E1208" s="497">
        <v>971019</v>
      </c>
      <c r="F1208" s="505">
        <v>1.9376641725421181E-2</v>
      </c>
      <c r="G1208" s="488"/>
    </row>
    <row r="1209" spans="2:7" x14ac:dyDescent="0.25">
      <c r="B1209" s="491" t="s">
        <v>446</v>
      </c>
      <c r="C1209" s="495">
        <v>43985</v>
      </c>
      <c r="D1209" s="492">
        <v>18648</v>
      </c>
      <c r="E1209" s="497">
        <v>753488</v>
      </c>
      <c r="F1209" s="505">
        <v>3.6590113582248521E-2</v>
      </c>
      <c r="G1209" s="488"/>
    </row>
    <row r="1210" spans="2:7" x14ac:dyDescent="0.25">
      <c r="B1210" s="491" t="s">
        <v>446</v>
      </c>
      <c r="C1210" s="495">
        <v>43986</v>
      </c>
      <c r="D1210" s="492">
        <v>18558</v>
      </c>
      <c r="E1210" s="497">
        <v>868893</v>
      </c>
      <c r="F1210" s="505">
        <v>-4.8379388024684892E-3</v>
      </c>
      <c r="G1210" s="488"/>
    </row>
    <row r="1211" spans="2:7" x14ac:dyDescent="0.25">
      <c r="B1211" s="491" t="s">
        <v>446</v>
      </c>
      <c r="C1211" s="495">
        <v>43987</v>
      </c>
      <c r="D1211" s="492">
        <v>18929</v>
      </c>
      <c r="E1211" s="497">
        <v>911879</v>
      </c>
      <c r="F1211" s="505">
        <v>1.9794174693094857E-2</v>
      </c>
      <c r="G1211" s="488"/>
    </row>
    <row r="1212" spans="2:7" x14ac:dyDescent="0.25">
      <c r="B1212" s="491" t="s">
        <v>446</v>
      </c>
      <c r="C1212" s="495">
        <v>43990</v>
      </c>
      <c r="D1212" s="492">
        <v>18688</v>
      </c>
      <c r="E1212" s="497">
        <v>941602</v>
      </c>
      <c r="F1212" s="505">
        <v>-1.2813530978265941E-2</v>
      </c>
      <c r="G1212" s="488"/>
    </row>
    <row r="1213" spans="2:7" x14ac:dyDescent="0.25">
      <c r="B1213" s="491" t="s">
        <v>446</v>
      </c>
      <c r="C1213" s="495">
        <v>43991</v>
      </c>
      <c r="D1213" s="492">
        <v>18689</v>
      </c>
      <c r="E1213" s="497">
        <v>1438542</v>
      </c>
      <c r="F1213" s="505">
        <v>5.3508842349072747E-5</v>
      </c>
      <c r="G1213" s="488"/>
    </row>
    <row r="1214" spans="2:7" x14ac:dyDescent="0.25">
      <c r="B1214" s="491" t="s">
        <v>446</v>
      </c>
      <c r="C1214" s="495">
        <v>43992</v>
      </c>
      <c r="D1214" s="492">
        <v>18363</v>
      </c>
      <c r="E1214" s="497">
        <v>589826</v>
      </c>
      <c r="F1214" s="505">
        <v>-1.7597344951123015E-2</v>
      </c>
      <c r="G1214" s="488"/>
    </row>
    <row r="1215" spans="2:7" x14ac:dyDescent="0.25">
      <c r="B1215" s="491" t="s">
        <v>446</v>
      </c>
      <c r="C1215" s="495">
        <v>43993</v>
      </c>
      <c r="D1215" s="492">
        <v>18008</v>
      </c>
      <c r="E1215" s="497">
        <v>878855</v>
      </c>
      <c r="F1215" s="505">
        <v>-1.9521666932611332E-2</v>
      </c>
      <c r="G1215" s="488"/>
    </row>
    <row r="1216" spans="2:7" x14ac:dyDescent="0.25">
      <c r="B1216" s="491" t="s">
        <v>446</v>
      </c>
      <c r="C1216" s="495">
        <v>43994</v>
      </c>
      <c r="D1216" s="492">
        <v>17762</v>
      </c>
      <c r="E1216" s="497">
        <v>731594</v>
      </c>
      <c r="F1216" s="505">
        <v>-1.3754759768118715E-2</v>
      </c>
      <c r="G1216" s="488"/>
    </row>
    <row r="1217" spans="2:7" x14ac:dyDescent="0.25">
      <c r="B1217" s="491" t="s">
        <v>446</v>
      </c>
      <c r="C1217" s="495">
        <v>43997</v>
      </c>
      <c r="D1217" s="492">
        <v>17120</v>
      </c>
      <c r="E1217" s="497">
        <v>928187</v>
      </c>
      <c r="F1217" s="505">
        <v>-3.6813973122716316E-2</v>
      </c>
      <c r="G1217" s="488"/>
    </row>
    <row r="1218" spans="2:7" x14ac:dyDescent="0.25">
      <c r="B1218" s="491" t="s">
        <v>446</v>
      </c>
      <c r="C1218" s="495">
        <v>43999</v>
      </c>
      <c r="D1218" s="492">
        <v>17500</v>
      </c>
      <c r="E1218" s="497">
        <v>1378003</v>
      </c>
      <c r="F1218" s="505">
        <v>2.1953510215872423E-2</v>
      </c>
      <c r="G1218" s="488"/>
    </row>
    <row r="1219" spans="2:7" x14ac:dyDescent="0.25">
      <c r="B1219" s="491" t="s">
        <v>446</v>
      </c>
      <c r="C1219" s="495">
        <v>44000</v>
      </c>
      <c r="D1219" s="492">
        <v>17343</v>
      </c>
      <c r="E1219" s="497">
        <v>1744373</v>
      </c>
      <c r="F1219" s="505">
        <v>-9.0119141610195963E-3</v>
      </c>
      <c r="G1219" s="488"/>
    </row>
    <row r="1220" spans="2:7" x14ac:dyDescent="0.25">
      <c r="B1220" s="491" t="s">
        <v>446</v>
      </c>
      <c r="C1220" s="495">
        <v>44001</v>
      </c>
      <c r="D1220" s="492">
        <v>17558</v>
      </c>
      <c r="E1220" s="497">
        <v>1919770</v>
      </c>
      <c r="F1220" s="505">
        <v>1.2320719735568277E-2</v>
      </c>
      <c r="G1220" s="488"/>
    </row>
    <row r="1221" spans="2:7" x14ac:dyDescent="0.25">
      <c r="B1221" s="491" t="s">
        <v>446</v>
      </c>
      <c r="C1221" s="495">
        <v>44004</v>
      </c>
      <c r="D1221" s="492">
        <v>17595</v>
      </c>
      <c r="E1221" s="497">
        <v>345635</v>
      </c>
      <c r="F1221" s="505">
        <v>2.1050842695313921E-3</v>
      </c>
      <c r="G1221" s="488"/>
    </row>
    <row r="1222" spans="2:7" x14ac:dyDescent="0.25">
      <c r="B1222" s="491" t="s">
        <v>446</v>
      </c>
      <c r="C1222" s="495">
        <v>44005</v>
      </c>
      <c r="D1222" s="492">
        <v>17410</v>
      </c>
      <c r="E1222" s="497">
        <v>904290</v>
      </c>
      <c r="F1222" s="505">
        <v>-1.0570016993450823E-2</v>
      </c>
      <c r="G1222" s="488"/>
    </row>
    <row r="1223" spans="2:7" x14ac:dyDescent="0.25">
      <c r="B1223" s="491" t="s">
        <v>446</v>
      </c>
      <c r="C1223" s="495">
        <v>44006</v>
      </c>
      <c r="D1223" s="492">
        <v>17500</v>
      </c>
      <c r="E1223" s="497">
        <v>537597</v>
      </c>
      <c r="F1223" s="505">
        <v>5.156127149370803E-3</v>
      </c>
      <c r="G1223" s="488"/>
    </row>
    <row r="1224" spans="2:7" x14ac:dyDescent="0.25">
      <c r="B1224" s="491" t="s">
        <v>446</v>
      </c>
      <c r="C1224" s="495">
        <v>44007</v>
      </c>
      <c r="D1224" s="492">
        <v>17254</v>
      </c>
      <c r="E1224" s="497">
        <v>822834</v>
      </c>
      <c r="F1224" s="505">
        <v>-1.4156880275081355E-2</v>
      </c>
      <c r="G1224" s="488"/>
    </row>
    <row r="1225" spans="2:7" x14ac:dyDescent="0.25">
      <c r="B1225" s="491" t="s">
        <v>446</v>
      </c>
      <c r="C1225" s="495">
        <v>44008</v>
      </c>
      <c r="D1225" s="492">
        <v>17376</v>
      </c>
      <c r="E1225" s="497">
        <v>718750</v>
      </c>
      <c r="F1225" s="505">
        <v>7.0459430971378401E-3</v>
      </c>
      <c r="G1225" s="488"/>
    </row>
    <row r="1226" spans="2:7" x14ac:dyDescent="0.25">
      <c r="B1226" s="491" t="s">
        <v>446</v>
      </c>
      <c r="C1226" s="495">
        <v>44011</v>
      </c>
      <c r="D1226" s="492">
        <v>17490</v>
      </c>
      <c r="E1226" s="497">
        <v>551005</v>
      </c>
      <c r="F1226" s="505">
        <v>6.5393452789857583E-3</v>
      </c>
      <c r="G1226" s="488"/>
    </row>
    <row r="1227" spans="2:7" x14ac:dyDescent="0.25">
      <c r="B1227" s="491" t="s">
        <v>446</v>
      </c>
      <c r="C1227" s="495">
        <v>44012</v>
      </c>
      <c r="D1227" s="492">
        <v>17160</v>
      </c>
      <c r="E1227" s="497">
        <v>755995</v>
      </c>
      <c r="F1227" s="505">
        <v>-1.9048194970694474E-2</v>
      </c>
      <c r="G1227" s="488"/>
    </row>
    <row r="1228" spans="2:7" x14ac:dyDescent="0.25">
      <c r="B1228" s="491" t="s">
        <v>446</v>
      </c>
      <c r="C1228" s="495">
        <v>44013</v>
      </c>
      <c r="D1228" s="492">
        <v>17574</v>
      </c>
      <c r="E1228" s="497">
        <v>618521</v>
      </c>
      <c r="F1228" s="505">
        <v>2.3839443013835161E-2</v>
      </c>
      <c r="G1228" s="488"/>
    </row>
    <row r="1229" spans="2:7" x14ac:dyDescent="0.25">
      <c r="B1229" s="491" t="s">
        <v>446</v>
      </c>
      <c r="C1229" s="495">
        <v>44014</v>
      </c>
      <c r="D1229" s="492">
        <v>17708</v>
      </c>
      <c r="E1229" s="497">
        <v>688052</v>
      </c>
      <c r="F1229" s="505">
        <v>7.5959777962432374E-3</v>
      </c>
      <c r="G1229" s="488"/>
    </row>
    <row r="1230" spans="2:7" x14ac:dyDescent="0.25">
      <c r="B1230" s="491" t="s">
        <v>446</v>
      </c>
      <c r="C1230" s="495">
        <v>44015</v>
      </c>
      <c r="D1230" s="492">
        <v>17666</v>
      </c>
      <c r="E1230" s="497">
        <v>248834</v>
      </c>
      <c r="F1230" s="505">
        <v>-2.3746265469541186E-3</v>
      </c>
      <c r="G1230" s="488"/>
    </row>
    <row r="1231" spans="2:7" x14ac:dyDescent="0.25">
      <c r="B1231" s="491" t="s">
        <v>446</v>
      </c>
      <c r="C1231" s="495">
        <v>44018</v>
      </c>
      <c r="D1231" s="492">
        <v>17554</v>
      </c>
      <c r="E1231" s="497">
        <v>337576</v>
      </c>
      <c r="F1231" s="505">
        <v>-6.360044153014598E-3</v>
      </c>
      <c r="G1231" s="488"/>
    </row>
    <row r="1232" spans="2:7" x14ac:dyDescent="0.25">
      <c r="B1232" s="491" t="s">
        <v>446</v>
      </c>
      <c r="C1232" s="495">
        <v>44019</v>
      </c>
      <c r="D1232" s="492">
        <v>17462</v>
      </c>
      <c r="E1232" s="497">
        <v>714865</v>
      </c>
      <c r="F1232" s="505">
        <v>-5.2547527813099782E-3</v>
      </c>
      <c r="G1232" s="488"/>
    </row>
    <row r="1233" spans="2:7" x14ac:dyDescent="0.25">
      <c r="B1233" s="491" t="s">
        <v>446</v>
      </c>
      <c r="C1233" s="495">
        <v>44020</v>
      </c>
      <c r="D1233" s="492">
        <v>17720</v>
      </c>
      <c r="E1233" s="497">
        <v>790618</v>
      </c>
      <c r="F1233" s="505">
        <v>1.4666853788319008E-2</v>
      </c>
      <c r="G1233" s="488"/>
    </row>
    <row r="1234" spans="2:7" x14ac:dyDescent="0.25">
      <c r="B1234" s="491" t="s">
        <v>446</v>
      </c>
      <c r="C1234" s="495">
        <v>44021</v>
      </c>
      <c r="D1234" s="492">
        <v>17501</v>
      </c>
      <c r="E1234" s="497">
        <v>483780</v>
      </c>
      <c r="F1234" s="505">
        <v>-1.2435923022914585E-2</v>
      </c>
      <c r="G1234" s="488"/>
    </row>
    <row r="1235" spans="2:7" x14ac:dyDescent="0.25">
      <c r="B1235" s="491" t="s">
        <v>446</v>
      </c>
      <c r="C1235" s="495">
        <v>44022</v>
      </c>
      <c r="D1235" s="492">
        <v>17450</v>
      </c>
      <c r="E1235" s="497">
        <v>819291</v>
      </c>
      <c r="F1235" s="505">
        <v>-2.9183735055841871E-3</v>
      </c>
      <c r="G1235" s="488"/>
    </row>
    <row r="1236" spans="2:7" x14ac:dyDescent="0.25">
      <c r="B1236" s="491" t="s">
        <v>446</v>
      </c>
      <c r="C1236" s="495">
        <v>44025</v>
      </c>
      <c r="D1236" s="492">
        <v>17539</v>
      </c>
      <c r="E1236" s="497">
        <v>440909</v>
      </c>
      <c r="F1236" s="505">
        <v>5.0873241275645733E-3</v>
      </c>
      <c r="G1236" s="488"/>
    </row>
    <row r="1237" spans="2:7" x14ac:dyDescent="0.25">
      <c r="B1237" s="491" t="s">
        <v>446</v>
      </c>
      <c r="C1237" s="495">
        <v>44026</v>
      </c>
      <c r="D1237" s="492">
        <v>17370</v>
      </c>
      <c r="E1237" s="497">
        <v>574325</v>
      </c>
      <c r="F1237" s="505">
        <v>-9.682392522987273E-3</v>
      </c>
      <c r="G1237" s="488"/>
    </row>
    <row r="1238" spans="2:7" x14ac:dyDescent="0.25">
      <c r="B1238" s="491" t="s">
        <v>446</v>
      </c>
      <c r="C1238" s="495">
        <v>44027</v>
      </c>
      <c r="D1238" s="492">
        <v>17370</v>
      </c>
      <c r="E1238" s="497">
        <v>492391</v>
      </c>
      <c r="F1238" s="505">
        <v>0</v>
      </c>
      <c r="G1238" s="488"/>
    </row>
    <row r="1239" spans="2:7" x14ac:dyDescent="0.25">
      <c r="B1239" s="491" t="s">
        <v>446</v>
      </c>
      <c r="C1239" s="495">
        <v>44028</v>
      </c>
      <c r="D1239" s="492">
        <v>17465</v>
      </c>
      <c r="E1239" s="497">
        <v>612030</v>
      </c>
      <c r="F1239" s="505">
        <v>5.4542980057816475E-3</v>
      </c>
      <c r="G1239" s="488"/>
    </row>
    <row r="1240" spans="2:7" x14ac:dyDescent="0.25">
      <c r="B1240" s="491" t="s">
        <v>446</v>
      </c>
      <c r="C1240" s="495">
        <v>44029</v>
      </c>
      <c r="D1240" s="492">
        <v>17450</v>
      </c>
      <c r="E1240" s="497">
        <v>1135048</v>
      </c>
      <c r="F1240" s="505">
        <v>-8.5922961035909224E-4</v>
      </c>
      <c r="G1240" s="488"/>
    </row>
    <row r="1241" spans="2:7" x14ac:dyDescent="0.25">
      <c r="B1241" s="491" t="s">
        <v>446</v>
      </c>
      <c r="C1241" s="495">
        <v>44032</v>
      </c>
      <c r="D1241" s="492">
        <v>17207</v>
      </c>
      <c r="E1241" s="497">
        <v>550411</v>
      </c>
      <c r="F1241" s="505">
        <v>-1.4023370877415623E-2</v>
      </c>
      <c r="G1241" s="488"/>
    </row>
    <row r="1242" spans="2:7" x14ac:dyDescent="0.25">
      <c r="B1242" s="491" t="s">
        <v>446</v>
      </c>
      <c r="C1242" s="495">
        <v>44033</v>
      </c>
      <c r="D1242" s="492">
        <v>17200</v>
      </c>
      <c r="E1242" s="497">
        <v>877503</v>
      </c>
      <c r="F1242" s="505">
        <v>-4.068939516132098E-4</v>
      </c>
      <c r="G1242" s="488"/>
    </row>
    <row r="1243" spans="2:7" x14ac:dyDescent="0.25">
      <c r="B1243" s="491" t="s">
        <v>446</v>
      </c>
      <c r="C1243" s="495">
        <v>44034</v>
      </c>
      <c r="D1243" s="492">
        <v>16900</v>
      </c>
      <c r="E1243" s="497">
        <v>627099</v>
      </c>
      <c r="F1243" s="505">
        <v>-1.7595761890379601E-2</v>
      </c>
      <c r="G1243" s="488"/>
    </row>
    <row r="1244" spans="2:7" x14ac:dyDescent="0.25">
      <c r="B1244" s="491" t="s">
        <v>446</v>
      </c>
      <c r="C1244" s="495">
        <v>44035</v>
      </c>
      <c r="D1244" s="492">
        <v>16683</v>
      </c>
      <c r="E1244" s="497">
        <v>611064</v>
      </c>
      <c r="F1244" s="505">
        <v>-1.2923385055491194E-2</v>
      </c>
      <c r="G1244" s="488"/>
    </row>
    <row r="1245" spans="2:7" x14ac:dyDescent="0.25">
      <c r="B1245" s="491" t="s">
        <v>446</v>
      </c>
      <c r="C1245" s="495">
        <v>44036</v>
      </c>
      <c r="D1245" s="492">
        <v>16541</v>
      </c>
      <c r="E1245" s="497">
        <v>688110</v>
      </c>
      <c r="F1245" s="505">
        <v>-8.5480896134525405E-3</v>
      </c>
      <c r="G1245" s="488"/>
    </row>
    <row r="1246" spans="2:7" x14ac:dyDescent="0.25">
      <c r="B1246" s="491" t="s">
        <v>446</v>
      </c>
      <c r="C1246" s="495">
        <v>44039</v>
      </c>
      <c r="D1246" s="492">
        <v>16458</v>
      </c>
      <c r="E1246" s="497">
        <v>513858</v>
      </c>
      <c r="F1246" s="505">
        <v>-5.0304660765629269E-3</v>
      </c>
      <c r="G1246" s="488"/>
    </row>
    <row r="1247" spans="2:7" x14ac:dyDescent="0.25">
      <c r="B1247" s="491" t="s">
        <v>446</v>
      </c>
      <c r="C1247" s="495">
        <v>44040</v>
      </c>
      <c r="D1247" s="492">
        <v>16433</v>
      </c>
      <c r="E1247" s="497">
        <v>582107</v>
      </c>
      <c r="F1247" s="505">
        <v>-1.5201729843683197E-3</v>
      </c>
      <c r="G1247" s="488"/>
    </row>
    <row r="1248" spans="2:7" x14ac:dyDescent="0.25">
      <c r="B1248" s="491" t="s">
        <v>446</v>
      </c>
      <c r="C1248" s="495">
        <v>44041</v>
      </c>
      <c r="D1248" s="492">
        <v>16900</v>
      </c>
      <c r="E1248" s="497">
        <v>809266</v>
      </c>
      <c r="F1248" s="505">
        <v>2.8022113729874908E-2</v>
      </c>
      <c r="G1248" s="488"/>
    </row>
    <row r="1249" spans="2:7" x14ac:dyDescent="0.25">
      <c r="B1249" s="491" t="s">
        <v>446</v>
      </c>
      <c r="C1249" s="495">
        <v>44042</v>
      </c>
      <c r="D1249" s="492">
        <v>16770</v>
      </c>
      <c r="E1249" s="497">
        <v>371550</v>
      </c>
      <c r="F1249" s="505">
        <v>-7.7220460939102778E-3</v>
      </c>
      <c r="G1249" s="488"/>
    </row>
    <row r="1250" spans="2:7" x14ac:dyDescent="0.25">
      <c r="B1250" s="491" t="s">
        <v>446</v>
      </c>
      <c r="C1250" s="495">
        <v>44043</v>
      </c>
      <c r="D1250" s="492">
        <v>16500</v>
      </c>
      <c r="E1250" s="497">
        <v>753882</v>
      </c>
      <c r="F1250" s="505">
        <v>-1.6231194928582552E-2</v>
      </c>
      <c r="G1250" s="488"/>
    </row>
    <row r="1251" spans="2:7" x14ac:dyDescent="0.25">
      <c r="B1251" s="491" t="s">
        <v>446</v>
      </c>
      <c r="C1251" s="495">
        <v>44046</v>
      </c>
      <c r="D1251" s="492">
        <v>16605</v>
      </c>
      <c r="E1251" s="497">
        <v>731702</v>
      </c>
      <c r="F1251" s="505">
        <v>6.3434739221749515E-3</v>
      </c>
      <c r="G1251" s="488"/>
    </row>
    <row r="1252" spans="2:7" x14ac:dyDescent="0.25">
      <c r="B1252" s="491" t="s">
        <v>446</v>
      </c>
      <c r="C1252" s="495">
        <v>44047</v>
      </c>
      <c r="D1252" s="492">
        <v>16500</v>
      </c>
      <c r="E1252" s="497">
        <v>467147</v>
      </c>
      <c r="F1252" s="505">
        <v>-6.3434739221749263E-3</v>
      </c>
      <c r="G1252" s="488"/>
    </row>
    <row r="1253" spans="2:7" x14ac:dyDescent="0.25">
      <c r="B1253" s="491" t="s">
        <v>446</v>
      </c>
      <c r="C1253" s="495">
        <v>44048</v>
      </c>
      <c r="D1253" s="492">
        <v>16315</v>
      </c>
      <c r="E1253" s="497">
        <v>796863</v>
      </c>
      <c r="F1253" s="505">
        <v>-1.1275450861250999E-2</v>
      </c>
      <c r="G1253" s="488"/>
    </row>
    <row r="1254" spans="2:7" x14ac:dyDescent="0.25">
      <c r="B1254" s="491" t="s">
        <v>446</v>
      </c>
      <c r="C1254" s="495">
        <v>44049</v>
      </c>
      <c r="D1254" s="492">
        <v>16695</v>
      </c>
      <c r="E1254" s="497">
        <v>558035</v>
      </c>
      <c r="F1254" s="505">
        <v>2.302434335033398E-2</v>
      </c>
      <c r="G1254" s="488"/>
    </row>
    <row r="1255" spans="2:7" x14ac:dyDescent="0.25">
      <c r="B1255" s="491" t="s">
        <v>446</v>
      </c>
      <c r="C1255" s="495">
        <v>44050</v>
      </c>
      <c r="D1255" s="492">
        <v>16661</v>
      </c>
      <c r="E1255" s="497">
        <v>395945</v>
      </c>
      <c r="F1255" s="505">
        <v>-2.0386144486860989E-3</v>
      </c>
      <c r="G1255" s="488"/>
    </row>
    <row r="1256" spans="2:7" x14ac:dyDescent="0.25">
      <c r="B1256" s="491" t="s">
        <v>446</v>
      </c>
      <c r="C1256" s="495">
        <v>44054</v>
      </c>
      <c r="D1256" s="492">
        <v>16870</v>
      </c>
      <c r="E1256" s="497">
        <v>789147</v>
      </c>
      <c r="F1256" s="505">
        <v>1.2466237610945277E-2</v>
      </c>
      <c r="G1256" s="488"/>
    </row>
    <row r="1257" spans="2:7" x14ac:dyDescent="0.25">
      <c r="B1257" s="491" t="s">
        <v>446</v>
      </c>
      <c r="C1257" s="495">
        <v>44055</v>
      </c>
      <c r="D1257" s="492">
        <v>16869</v>
      </c>
      <c r="E1257" s="497">
        <v>1037992</v>
      </c>
      <c r="F1257" s="505">
        <v>-5.927857970258903E-5</v>
      </c>
      <c r="G1257" s="488"/>
    </row>
    <row r="1258" spans="2:7" x14ac:dyDescent="0.25">
      <c r="B1258" s="491" t="s">
        <v>446</v>
      </c>
      <c r="C1258" s="495">
        <v>44056</v>
      </c>
      <c r="D1258" s="492">
        <v>17055</v>
      </c>
      <c r="E1258" s="497">
        <v>656578</v>
      </c>
      <c r="F1258" s="505">
        <v>1.096579789243469E-2</v>
      </c>
      <c r="G1258" s="488"/>
    </row>
    <row r="1259" spans="2:7" x14ac:dyDescent="0.25">
      <c r="B1259" s="491" t="s">
        <v>446</v>
      </c>
      <c r="C1259" s="495">
        <v>44057</v>
      </c>
      <c r="D1259" s="492">
        <v>17161</v>
      </c>
      <c r="E1259" s="497">
        <v>705473</v>
      </c>
      <c r="F1259" s="505">
        <v>6.1959515495570551E-3</v>
      </c>
      <c r="G1259" s="488"/>
    </row>
    <row r="1260" spans="2:7" x14ac:dyDescent="0.25">
      <c r="B1260" s="491" t="s">
        <v>446</v>
      </c>
      <c r="C1260" s="495">
        <v>44060</v>
      </c>
      <c r="D1260" s="492">
        <v>17050</v>
      </c>
      <c r="E1260" s="497">
        <v>688340</v>
      </c>
      <c r="F1260" s="505">
        <v>-6.4891636906402039E-3</v>
      </c>
      <c r="G1260" s="488"/>
    </row>
    <row r="1261" spans="2:7" x14ac:dyDescent="0.25">
      <c r="B1261" s="491" t="s">
        <v>446</v>
      </c>
      <c r="C1261" s="495">
        <v>44061</v>
      </c>
      <c r="D1261" s="492">
        <v>17311</v>
      </c>
      <c r="E1261" s="497">
        <v>1025874</v>
      </c>
      <c r="F1261" s="505">
        <v>1.5191933865066726E-2</v>
      </c>
      <c r="G1261" s="488"/>
    </row>
    <row r="1262" spans="2:7" x14ac:dyDescent="0.25">
      <c r="B1262" s="491" t="s">
        <v>446</v>
      </c>
      <c r="C1262" s="495">
        <v>44062</v>
      </c>
      <c r="D1262" s="492">
        <v>17248</v>
      </c>
      <c r="E1262" s="497">
        <v>532561</v>
      </c>
      <c r="F1262" s="505">
        <v>-3.645942868005765E-3</v>
      </c>
      <c r="G1262" s="488"/>
    </row>
    <row r="1263" spans="2:7" x14ac:dyDescent="0.25">
      <c r="B1263" s="491" t="s">
        <v>446</v>
      </c>
      <c r="C1263" s="495">
        <v>44063</v>
      </c>
      <c r="D1263" s="492">
        <v>17042</v>
      </c>
      <c r="E1263" s="497">
        <v>480749</v>
      </c>
      <c r="F1263" s="505">
        <v>-1.2015309320822405E-2</v>
      </c>
      <c r="G1263" s="488"/>
    </row>
    <row r="1264" spans="2:7" x14ac:dyDescent="0.25">
      <c r="B1264" s="491" t="s">
        <v>446</v>
      </c>
      <c r="C1264" s="495">
        <v>44064</v>
      </c>
      <c r="D1264" s="492">
        <v>17057</v>
      </c>
      <c r="E1264" s="497">
        <v>316211</v>
      </c>
      <c r="F1264" s="505">
        <v>8.7979125297172266E-4</v>
      </c>
      <c r="G1264" s="488"/>
    </row>
    <row r="1265" spans="2:7" x14ac:dyDescent="0.25">
      <c r="B1265" s="491" t="s">
        <v>446</v>
      </c>
      <c r="C1265" s="495">
        <v>44067</v>
      </c>
      <c r="D1265" s="492">
        <v>17490</v>
      </c>
      <c r="E1265" s="497">
        <v>506218</v>
      </c>
      <c r="F1265" s="505">
        <v>2.5068612371774872E-2</v>
      </c>
      <c r="G1265" s="488"/>
    </row>
    <row r="1266" spans="2:7" x14ac:dyDescent="0.25">
      <c r="B1266" s="491" t="s">
        <v>446</v>
      </c>
      <c r="C1266" s="495">
        <v>44068</v>
      </c>
      <c r="D1266" s="492">
        <v>17196</v>
      </c>
      <c r="E1266" s="497">
        <v>476094</v>
      </c>
      <c r="F1266" s="505">
        <v>-1.695249039647562E-2</v>
      </c>
      <c r="G1266" s="488"/>
    </row>
    <row r="1267" spans="2:7" x14ac:dyDescent="0.25">
      <c r="B1267" s="491" t="s">
        <v>446</v>
      </c>
      <c r="C1267" s="495">
        <v>44069</v>
      </c>
      <c r="D1267" s="492">
        <v>17002</v>
      </c>
      <c r="E1267" s="497">
        <v>345513</v>
      </c>
      <c r="F1267" s="505">
        <v>-1.1345814438868002E-2</v>
      </c>
      <c r="G1267" s="488"/>
    </row>
    <row r="1268" spans="2:7" x14ac:dyDescent="0.25">
      <c r="B1268" s="491" t="s">
        <v>446</v>
      </c>
      <c r="C1268" s="495">
        <v>44070</v>
      </c>
      <c r="D1268" s="492">
        <v>17083</v>
      </c>
      <c r="E1268" s="497">
        <v>321738</v>
      </c>
      <c r="F1268" s="505">
        <v>4.7528327697534088E-3</v>
      </c>
      <c r="G1268" s="488"/>
    </row>
    <row r="1269" spans="2:7" x14ac:dyDescent="0.25">
      <c r="B1269" s="491" t="s">
        <v>446</v>
      </c>
      <c r="C1269" s="495">
        <v>44071</v>
      </c>
      <c r="D1269" s="492">
        <v>16670</v>
      </c>
      <c r="E1269" s="497">
        <v>667933</v>
      </c>
      <c r="F1269" s="505">
        <v>-2.4473120202217931E-2</v>
      </c>
      <c r="G1269" s="488"/>
    </row>
    <row r="1270" spans="2:7" x14ac:dyDescent="0.25">
      <c r="B1270" s="491" t="s">
        <v>446</v>
      </c>
      <c r="C1270" s="495">
        <v>44074</v>
      </c>
      <c r="D1270" s="492">
        <v>16166</v>
      </c>
      <c r="E1270" s="497">
        <v>1633407</v>
      </c>
      <c r="F1270" s="505">
        <v>-3.0700425451050062E-2</v>
      </c>
      <c r="G1270" s="488"/>
    </row>
    <row r="1271" spans="2:7" x14ac:dyDescent="0.25">
      <c r="B1271" s="491" t="s">
        <v>446</v>
      </c>
      <c r="C1271" s="495">
        <v>44075</v>
      </c>
      <c r="D1271" s="492">
        <v>16299</v>
      </c>
      <c r="E1271" s="497">
        <v>925541</v>
      </c>
      <c r="F1271" s="505">
        <v>8.1934849258431044E-3</v>
      </c>
      <c r="G1271" s="488"/>
    </row>
    <row r="1272" spans="2:7" x14ac:dyDescent="0.25">
      <c r="B1272" s="491" t="s">
        <v>446</v>
      </c>
      <c r="C1272" s="495">
        <v>44076</v>
      </c>
      <c r="D1272" s="492">
        <v>16402</v>
      </c>
      <c r="E1272" s="497">
        <v>841392</v>
      </c>
      <c r="F1272" s="505">
        <v>6.299522376723753E-3</v>
      </c>
      <c r="G1272" s="488"/>
    </row>
    <row r="1273" spans="2:7" x14ac:dyDescent="0.25">
      <c r="B1273" s="491" t="s">
        <v>446</v>
      </c>
      <c r="C1273" s="495">
        <v>44077</v>
      </c>
      <c r="D1273" s="492">
        <v>16404</v>
      </c>
      <c r="E1273" s="497">
        <v>706151</v>
      </c>
      <c r="F1273" s="505">
        <v>1.2192891559339785E-4</v>
      </c>
      <c r="G1273" s="488"/>
    </row>
    <row r="1274" spans="2:7" x14ac:dyDescent="0.25">
      <c r="B1274" s="491" t="s">
        <v>446</v>
      </c>
      <c r="C1274" s="495">
        <v>44078</v>
      </c>
      <c r="D1274" s="492">
        <v>16254</v>
      </c>
      <c r="E1274" s="497">
        <v>505303</v>
      </c>
      <c r="F1274" s="505">
        <v>-9.1861751987997713E-3</v>
      </c>
      <c r="G1274" s="488"/>
    </row>
    <row r="1275" spans="2:7" x14ac:dyDescent="0.25">
      <c r="B1275" s="491" t="s">
        <v>446</v>
      </c>
      <c r="C1275" s="495">
        <v>44081</v>
      </c>
      <c r="D1275" s="492">
        <v>16205</v>
      </c>
      <c r="E1275" s="497">
        <v>375645</v>
      </c>
      <c r="F1275" s="505">
        <v>-3.0191957375024134E-3</v>
      </c>
      <c r="G1275" s="488"/>
    </row>
    <row r="1276" spans="2:7" x14ac:dyDescent="0.25">
      <c r="B1276" s="491" t="s">
        <v>446</v>
      </c>
      <c r="C1276" s="495">
        <v>44082</v>
      </c>
      <c r="D1276" s="492">
        <v>16892</v>
      </c>
      <c r="E1276" s="497">
        <v>805606</v>
      </c>
      <c r="F1276" s="505">
        <v>4.1520300478186417E-2</v>
      </c>
      <c r="G1276" s="488"/>
    </row>
    <row r="1277" spans="2:7" x14ac:dyDescent="0.25">
      <c r="B1277" s="491" t="s">
        <v>446</v>
      </c>
      <c r="C1277" s="495">
        <v>44083</v>
      </c>
      <c r="D1277" s="492">
        <v>17582</v>
      </c>
      <c r="E1277" s="497">
        <v>770026</v>
      </c>
      <c r="F1277" s="505">
        <v>4.0035514357289796E-2</v>
      </c>
      <c r="G1277" s="488"/>
    </row>
    <row r="1278" spans="2:7" x14ac:dyDescent="0.25">
      <c r="B1278" s="491" t="s">
        <v>446</v>
      </c>
      <c r="C1278" s="495">
        <v>44084</v>
      </c>
      <c r="D1278" s="492">
        <v>17934</v>
      </c>
      <c r="E1278" s="497">
        <v>847449</v>
      </c>
      <c r="F1278" s="505">
        <v>1.982270110086887E-2</v>
      </c>
      <c r="G1278" s="488"/>
    </row>
    <row r="1279" spans="2:7" x14ac:dyDescent="0.25">
      <c r="B1279" s="491" t="s">
        <v>446</v>
      </c>
      <c r="C1279" s="495">
        <v>44085</v>
      </c>
      <c r="D1279" s="492">
        <v>18211</v>
      </c>
      <c r="E1279" s="497">
        <v>791011</v>
      </c>
      <c r="F1279" s="505">
        <v>1.5327454583826759E-2</v>
      </c>
      <c r="G1279" s="488"/>
    </row>
    <row r="1280" spans="2:7" x14ac:dyDescent="0.25">
      <c r="B1280" s="491" t="s">
        <v>446</v>
      </c>
      <c r="C1280" s="495">
        <v>44088</v>
      </c>
      <c r="D1280" s="492">
        <v>18217</v>
      </c>
      <c r="E1280" s="497">
        <v>652850</v>
      </c>
      <c r="F1280" s="505">
        <v>3.2941693500922696E-4</v>
      </c>
      <c r="G1280" s="488"/>
    </row>
    <row r="1281" spans="2:7" x14ac:dyDescent="0.25">
      <c r="B1281" s="491" t="s">
        <v>446</v>
      </c>
      <c r="C1281" s="495">
        <v>44089</v>
      </c>
      <c r="D1281" s="492">
        <v>18043</v>
      </c>
      <c r="E1281" s="497">
        <v>655959</v>
      </c>
      <c r="F1281" s="505">
        <v>-9.5974261225304919E-3</v>
      </c>
      <c r="G1281" s="488"/>
    </row>
    <row r="1282" spans="2:7" x14ac:dyDescent="0.25">
      <c r="B1282" s="491" t="s">
        <v>446</v>
      </c>
      <c r="C1282" s="495">
        <v>44090</v>
      </c>
      <c r="D1282" s="492">
        <v>17911</v>
      </c>
      <c r="E1282" s="497">
        <v>655343</v>
      </c>
      <c r="F1282" s="505">
        <v>-7.3427486830398223E-3</v>
      </c>
      <c r="G1282" s="488"/>
    </row>
    <row r="1283" spans="2:7" x14ac:dyDescent="0.25">
      <c r="B1283" s="491" t="s">
        <v>446</v>
      </c>
      <c r="C1283" s="495">
        <v>44091</v>
      </c>
      <c r="D1283" s="492">
        <v>18079</v>
      </c>
      <c r="E1283" s="497">
        <v>1482524</v>
      </c>
      <c r="F1283" s="505">
        <v>9.3359944567559614E-3</v>
      </c>
      <c r="G1283" s="488"/>
    </row>
    <row r="1284" spans="2:7" x14ac:dyDescent="0.25">
      <c r="B1284" s="491" t="s">
        <v>446</v>
      </c>
      <c r="C1284" s="495">
        <v>44092</v>
      </c>
      <c r="D1284" s="492">
        <v>18763</v>
      </c>
      <c r="E1284" s="497">
        <v>2061546</v>
      </c>
      <c r="F1284" s="505">
        <v>3.7135801805360177E-2</v>
      </c>
      <c r="G1284" s="488"/>
    </row>
    <row r="1285" spans="2:7" x14ac:dyDescent="0.25">
      <c r="B1285" s="491" t="s">
        <v>446</v>
      </c>
      <c r="C1285" s="495">
        <v>44095</v>
      </c>
      <c r="D1285" s="492">
        <v>18281</v>
      </c>
      <c r="E1285" s="497">
        <v>776858</v>
      </c>
      <c r="F1285" s="505">
        <v>-2.6024576380289339E-2</v>
      </c>
      <c r="G1285" s="488"/>
    </row>
    <row r="1286" spans="2:7" x14ac:dyDescent="0.25">
      <c r="B1286" s="491" t="s">
        <v>446</v>
      </c>
      <c r="C1286" s="495">
        <v>44096</v>
      </c>
      <c r="D1286" s="492">
        <v>18684</v>
      </c>
      <c r="E1286" s="497">
        <v>841030</v>
      </c>
      <c r="F1286" s="505">
        <v>2.1805273514913348E-2</v>
      </c>
      <c r="G1286" s="488"/>
    </row>
    <row r="1287" spans="2:7" x14ac:dyDescent="0.25">
      <c r="B1287" s="491" t="s">
        <v>446</v>
      </c>
      <c r="C1287" s="495">
        <v>44097</v>
      </c>
      <c r="D1287" s="492">
        <v>18912</v>
      </c>
      <c r="E1287" s="497">
        <v>798241</v>
      </c>
      <c r="F1287" s="505">
        <v>1.2129098583826069E-2</v>
      </c>
      <c r="G1287" s="488"/>
    </row>
    <row r="1288" spans="2:7" x14ac:dyDescent="0.25">
      <c r="B1288" s="491" t="s">
        <v>446</v>
      </c>
      <c r="C1288" s="495">
        <v>44099</v>
      </c>
      <c r="D1288" s="492">
        <v>18846</v>
      </c>
      <c r="E1288" s="497">
        <v>420962</v>
      </c>
      <c r="F1288" s="505">
        <v>-3.4959514391231742E-3</v>
      </c>
      <c r="G1288" s="488"/>
    </row>
    <row r="1289" spans="2:7" x14ac:dyDescent="0.25">
      <c r="B1289" s="491" t="s">
        <v>446</v>
      </c>
      <c r="C1289" s="495">
        <v>44102</v>
      </c>
      <c r="D1289" s="492">
        <v>18957</v>
      </c>
      <c r="E1289" s="497">
        <v>581513</v>
      </c>
      <c r="F1289" s="505">
        <v>5.8725666748633805E-3</v>
      </c>
      <c r="G1289" s="488"/>
    </row>
    <row r="1290" spans="2:7" x14ac:dyDescent="0.25">
      <c r="B1290" s="491" t="s">
        <v>446</v>
      </c>
      <c r="C1290" s="495">
        <v>44103</v>
      </c>
      <c r="D1290" s="492">
        <v>18858</v>
      </c>
      <c r="E1290" s="497">
        <v>607477</v>
      </c>
      <c r="F1290" s="505">
        <v>-5.236029415942341E-3</v>
      </c>
      <c r="G1290" s="488"/>
    </row>
    <row r="1291" spans="2:7" x14ac:dyDescent="0.25">
      <c r="B1291" s="493" t="s">
        <v>446</v>
      </c>
      <c r="C1291" s="496">
        <v>44104</v>
      </c>
      <c r="D1291" s="494">
        <v>18965</v>
      </c>
      <c r="E1291" s="498">
        <v>1596885</v>
      </c>
      <c r="F1291" s="506">
        <v>5.6579480973766964E-3</v>
      </c>
      <c r="G1291" s="488"/>
    </row>
  </sheetData>
  <conditionalFormatting sqref="D7:D8">
    <cfRule type="cellIs" dxfId="249" priority="55" stopIfTrue="1" operator="equal">
      <formula>"ERROR"</formula>
    </cfRule>
    <cfRule type="cellIs" dxfId="248" priority="56" stopIfTrue="1" operator="equal">
      <formula>"OK"</formula>
    </cfRule>
    <cfRule type="cellIs" dxfId="247" priority="57" stopIfTrue="1" operator="equal">
      <formula>"WARNING"</formula>
    </cfRule>
  </conditionalFormatting>
  <conditionalFormatting sqref="C4">
    <cfRule type="cellIs" dxfId="246" priority="52" stopIfTrue="1" operator="equal">
      <formula>"ERROR"</formula>
    </cfRule>
    <cfRule type="cellIs" dxfId="245" priority="53" stopIfTrue="1" operator="equal">
      <formula>"OK"</formula>
    </cfRule>
    <cfRule type="cellIs" dxfId="244" priority="54" stopIfTrue="1" operator="equal">
      <formula>"WARNING"</formula>
    </cfRule>
  </conditionalFormatting>
  <conditionalFormatting sqref="C13">
    <cfRule type="cellIs" dxfId="243" priority="49" stopIfTrue="1" operator="equal">
      <formula>"ERROR"</formula>
    </cfRule>
  </conditionalFormatting>
  <conditionalFormatting sqref="C13">
    <cfRule type="cellIs" dxfId="242" priority="50" stopIfTrue="1" operator="equal">
      <formula>"OK"</formula>
    </cfRule>
  </conditionalFormatting>
  <conditionalFormatting sqref="C13">
    <cfRule type="cellIs" dxfId="241" priority="51" stopIfTrue="1" operator="equal">
      <formula>"WARNING"</formula>
    </cfRule>
  </conditionalFormatting>
  <conditionalFormatting sqref="H35">
    <cfRule type="cellIs" dxfId="240" priority="58" stopIfTrue="1" operator="equal">
      <formula>"ERROR"</formula>
    </cfRule>
    <cfRule type="cellIs" dxfId="239" priority="59" stopIfTrue="1" operator="equal">
      <formula>"OK"</formula>
    </cfRule>
    <cfRule type="cellIs" dxfId="238" priority="60" stopIfTrue="1" operator="equal">
      <formula>"WARNING"</formula>
    </cfRule>
  </conditionalFormatting>
  <conditionalFormatting sqref="C30">
    <cfRule type="cellIs" dxfId="237" priority="46" stopIfTrue="1" operator="equal">
      <formula>"ERROR"</formula>
    </cfRule>
  </conditionalFormatting>
  <conditionalFormatting sqref="C30">
    <cfRule type="cellIs" dxfId="236" priority="47" stopIfTrue="1" operator="equal">
      <formula>"OK"</formula>
    </cfRule>
  </conditionalFormatting>
  <conditionalFormatting sqref="C30">
    <cfRule type="cellIs" dxfId="235" priority="48" stopIfTrue="1" operator="equal">
      <formula>"WARNING"</formula>
    </cfRule>
  </conditionalFormatting>
  <conditionalFormatting sqref="S35">
    <cfRule type="cellIs" dxfId="234" priority="10" stopIfTrue="1" operator="equal">
      <formula>"ERROR"</formula>
    </cfRule>
    <cfRule type="cellIs" dxfId="233" priority="11" stopIfTrue="1" operator="equal">
      <formula>"OK"</formula>
    </cfRule>
    <cfRule type="cellIs" dxfId="232" priority="12" stopIfTrue="1" operator="equal">
      <formula>"WARNING"</formula>
    </cfRule>
  </conditionalFormatting>
  <conditionalFormatting sqref="Z35">
    <cfRule type="cellIs" dxfId="231" priority="7" stopIfTrue="1" operator="equal">
      <formula>"ERROR"</formula>
    </cfRule>
    <cfRule type="cellIs" dxfId="230" priority="8" stopIfTrue="1" operator="equal">
      <formula>"OK"</formula>
    </cfRule>
    <cfRule type="cellIs" dxfId="229" priority="9" stopIfTrue="1" operator="equal">
      <formula>"WARNING"</formula>
    </cfRule>
  </conditionalFormatting>
  <conditionalFormatting sqref="J18">
    <cfRule type="cellIs" dxfId="228" priority="61" stopIfTrue="1" operator="equal">
      <formula>"ERROR"</formula>
    </cfRule>
    <cfRule type="cellIs" dxfId="227" priority="62" stopIfTrue="1" operator="equal">
      <formula>"OK"</formula>
    </cfRule>
    <cfRule type="cellIs" dxfId="226" priority="63" stopIfTrue="1" operator="equal">
      <formula>"WARNING"</formula>
    </cfRule>
  </conditionalFormatting>
  <conditionalFormatting sqref="Q18">
    <cfRule type="cellIs" dxfId="225" priority="4" stopIfTrue="1" operator="equal">
      <formula>"ERROR"</formula>
    </cfRule>
    <cfRule type="cellIs" dxfId="224" priority="5" stopIfTrue="1" operator="equal">
      <formula>"OK"</formula>
    </cfRule>
    <cfRule type="cellIs" dxfId="223" priority="6" stopIfTrue="1" operator="equal">
      <formula>"WARNING"</formula>
    </cfRule>
  </conditionalFormatting>
  <conditionalFormatting sqref="X18">
    <cfRule type="cellIs" dxfId="222" priority="1" stopIfTrue="1" operator="equal">
      <formula>"ERROR"</formula>
    </cfRule>
    <cfRule type="cellIs" dxfId="221" priority="2" stopIfTrue="1" operator="equal">
      <formula>"OK"</formula>
    </cfRule>
    <cfRule type="cellIs" dxfId="220" priority="3" stopIfTrue="1" operator="equal">
      <formula>"WARNING"</formula>
    </cfRule>
  </conditionalFormatting>
  <hyperlinks>
    <hyperlink ref="B1" location="Summary!A1" display="Summary!A1" xr:uid="{591DE09B-1684-4E49-9612-EF40837F1AE0}"/>
    <hyperlink ref="B7:C7" location="$B$11" display="$B$11" xr:uid="{654A4D78-FFF6-44CE-89BE-B9E9998B378E}"/>
    <hyperlink ref="B8:C8" location="$B$23" display="$B$23" xr:uid="{1EC9384A-80B4-44AD-8349-31F50FEA8907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Sheet2">
    <tabColor theme="1"/>
  </sheetPr>
  <dimension ref="B2"/>
  <sheetViews>
    <sheetView showGridLines="0" workbookViewId="0">
      <selection activeCell="J17" sqref="J17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121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42CB3-1026-4A26-87FD-BED6F8365FA5}">
  <sheetPr codeName="Sheet16">
    <tabColor theme="4" tint="-0.499984740745262"/>
  </sheetPr>
  <dimension ref="A1:BB43"/>
  <sheetViews>
    <sheetView showGridLines="0" zoomScale="83" zoomScaleNormal="55" workbookViewId="0"/>
  </sheetViews>
  <sheetFormatPr defaultColWidth="14.75" defaultRowHeight="15" x14ac:dyDescent="0.25"/>
  <cols>
    <col min="1" max="1" width="3.75" customWidth="1"/>
    <col min="10" max="10" width="21.25" customWidth="1"/>
    <col min="36" max="41" width="14.25" customWidth="1"/>
    <col min="47" max="54" width="14.5" customWidth="1"/>
  </cols>
  <sheetData>
    <row r="1" spans="1:54" x14ac:dyDescent="0.25">
      <c r="B1" s="479" t="s">
        <v>429</v>
      </c>
    </row>
    <row r="2" spans="1:54" ht="26.25" x14ac:dyDescent="0.4">
      <c r="B2" s="2" t="s">
        <v>430</v>
      </c>
      <c r="C2" s="373"/>
      <c r="D2" s="373"/>
      <c r="E2" s="373"/>
      <c r="F2" s="373"/>
      <c r="G2" s="373"/>
      <c r="H2" s="373"/>
      <c r="I2" s="373"/>
      <c r="J2" s="373"/>
      <c r="K2" s="373"/>
      <c r="L2" s="373"/>
      <c r="M2" s="373"/>
      <c r="N2" s="373"/>
      <c r="O2" s="373"/>
      <c r="P2" s="373"/>
      <c r="Q2" s="373"/>
      <c r="R2" s="373"/>
      <c r="S2" s="373"/>
      <c r="T2" s="373"/>
      <c r="U2" s="373"/>
      <c r="V2" s="373"/>
      <c r="W2" s="373"/>
      <c r="X2" s="373"/>
      <c r="Y2" s="373"/>
      <c r="Z2" s="373"/>
      <c r="AA2" s="373"/>
      <c r="AB2" s="373"/>
      <c r="AC2" s="373"/>
      <c r="AD2" s="373"/>
      <c r="AE2" s="373"/>
      <c r="AF2" s="373"/>
      <c r="AG2" s="373"/>
      <c r="AH2" s="373"/>
      <c r="AI2" s="373"/>
      <c r="AJ2" s="373"/>
      <c r="AK2" s="373"/>
      <c r="AL2" s="373"/>
      <c r="AM2" s="373"/>
      <c r="AN2" s="373"/>
      <c r="AO2" s="373"/>
      <c r="AP2" s="373"/>
      <c r="AQ2" s="373"/>
      <c r="AR2" s="373"/>
      <c r="AS2" s="373"/>
      <c r="AT2" s="373"/>
      <c r="AU2" s="373"/>
      <c r="AV2" s="373"/>
      <c r="AW2" s="373"/>
      <c r="AX2" s="373"/>
      <c r="AY2" s="373"/>
      <c r="AZ2" s="373"/>
      <c r="BA2" s="373"/>
      <c r="BB2" s="373"/>
    </row>
    <row r="4" spans="1:54" x14ac:dyDescent="0.25">
      <c r="B4" s="59" t="s">
        <v>163</v>
      </c>
      <c r="C4" s="368" t="str" cm="1">
        <f t="array" ref="C4">_xll.d.TestUtils_And(D7:D8)</f>
        <v>Ok</v>
      </c>
      <c r="D4" s="366"/>
      <c r="E4" s="366"/>
      <c r="F4" s="366"/>
      <c r="G4" s="366"/>
      <c r="H4" s="366"/>
      <c r="I4" s="366"/>
      <c r="J4" s="366"/>
      <c r="K4" s="366"/>
      <c r="L4" s="366"/>
      <c r="M4" s="366"/>
      <c r="N4" s="366"/>
      <c r="O4" s="366"/>
      <c r="P4" s="366"/>
      <c r="Q4" s="366"/>
      <c r="R4" s="366"/>
      <c r="S4" s="366"/>
      <c r="T4" s="366"/>
      <c r="U4" s="366"/>
      <c r="V4" s="366"/>
      <c r="W4" s="366"/>
      <c r="X4" s="366"/>
      <c r="Y4" s="366"/>
      <c r="Z4" s="366"/>
      <c r="AA4" s="366"/>
      <c r="AB4" s="366"/>
      <c r="AC4" s="366"/>
    </row>
    <row r="6" spans="1:54" x14ac:dyDescent="0.25">
      <c r="B6" s="147" t="s">
        <v>238</v>
      </c>
      <c r="C6" s="221"/>
      <c r="D6" s="221" t="s">
        <v>10</v>
      </c>
      <c r="E6" s="366"/>
      <c r="F6" s="366"/>
      <c r="G6" s="366"/>
      <c r="H6" s="366"/>
      <c r="I6" s="366"/>
      <c r="J6" s="366"/>
      <c r="K6" s="366"/>
      <c r="L6" s="366"/>
      <c r="M6" s="366"/>
      <c r="N6" s="366"/>
      <c r="O6" s="366"/>
      <c r="P6" s="366"/>
      <c r="Q6" s="366"/>
      <c r="R6" s="366"/>
      <c r="S6" s="366"/>
      <c r="T6" s="366"/>
      <c r="U6" s="366"/>
      <c r="V6" s="366"/>
      <c r="W6" s="366"/>
      <c r="X6" s="366"/>
      <c r="Y6" s="366"/>
      <c r="Z6" s="366"/>
      <c r="AA6" s="366"/>
      <c r="AB6" s="366"/>
      <c r="AC6" s="366"/>
    </row>
    <row r="7" spans="1:54" x14ac:dyDescent="0.25">
      <c r="B7" s="233" t="s">
        <v>431</v>
      </c>
      <c r="C7" s="486"/>
      <c r="D7" s="368" t="str">
        <f>C13</f>
        <v>Ok</v>
      </c>
      <c r="E7" s="366"/>
      <c r="F7" s="366"/>
      <c r="G7" s="366"/>
      <c r="H7" s="366"/>
      <c r="I7" s="366"/>
      <c r="J7" s="366"/>
      <c r="K7" s="366"/>
      <c r="L7" s="366"/>
      <c r="M7" s="366"/>
      <c r="N7" s="366"/>
      <c r="O7" s="366"/>
      <c r="P7" s="366"/>
      <c r="Q7" s="366"/>
      <c r="R7" s="366"/>
      <c r="S7" s="366"/>
      <c r="T7" s="366"/>
      <c r="U7" s="366"/>
      <c r="V7" s="366"/>
      <c r="W7" s="366"/>
      <c r="X7" s="366"/>
      <c r="Y7" s="366"/>
      <c r="Z7" s="366"/>
      <c r="AA7" s="366"/>
      <c r="AB7" s="366"/>
      <c r="AC7" s="366"/>
    </row>
    <row r="8" spans="1:54" x14ac:dyDescent="0.25">
      <c r="B8" s="233" t="s">
        <v>432</v>
      </c>
      <c r="C8" s="486"/>
      <c r="D8" s="368" t="str">
        <f>C31</f>
        <v>Ok</v>
      </c>
      <c r="E8" s="366"/>
      <c r="F8" s="366"/>
      <c r="G8" s="366"/>
      <c r="H8" s="366"/>
      <c r="I8" s="366"/>
      <c r="J8" s="366"/>
      <c r="K8" s="366"/>
      <c r="L8" s="366"/>
      <c r="M8" s="366"/>
      <c r="N8" s="366"/>
      <c r="O8" s="366"/>
      <c r="P8" s="366"/>
      <c r="Q8" s="366"/>
      <c r="R8" s="366"/>
      <c r="S8" s="366"/>
      <c r="T8" s="366"/>
      <c r="U8" s="366"/>
      <c r="V8" s="366"/>
      <c r="W8" s="366"/>
      <c r="X8" s="366"/>
      <c r="Y8" s="366"/>
      <c r="Z8" s="366"/>
      <c r="AA8" s="366"/>
      <c r="AB8" s="366"/>
      <c r="AC8" s="366"/>
    </row>
    <row r="11" spans="1:54" s="366" customFormat="1" ht="18.75" x14ac:dyDescent="0.3">
      <c r="A11"/>
      <c r="B11" s="3" t="s">
        <v>431</v>
      </c>
      <c r="C11" s="374"/>
      <c r="D11" s="374"/>
      <c r="E11" s="374"/>
      <c r="F11" s="374"/>
      <c r="G11" s="374"/>
      <c r="H11" s="374"/>
      <c r="I11" s="374"/>
      <c r="J11" s="374"/>
      <c r="K11" s="374"/>
      <c r="L11" s="374"/>
      <c r="M11" s="374"/>
      <c r="N11" s="374"/>
      <c r="O11" s="374"/>
      <c r="P11" s="374"/>
      <c r="Q11" s="374"/>
      <c r="R11" s="374"/>
      <c r="S11" s="374"/>
      <c r="T11" s="374"/>
      <c r="U11" s="374"/>
      <c r="V11" s="374"/>
      <c r="W11" s="374"/>
      <c r="X11" s="374"/>
      <c r="Y11" s="374"/>
      <c r="Z11" s="374"/>
      <c r="AA11" s="374"/>
      <c r="AB11" s="374"/>
      <c r="AC11" s="374"/>
      <c r="AD11" s="374"/>
      <c r="AE11" s="374"/>
      <c r="AF11" s="374"/>
      <c r="AG11" s="374"/>
      <c r="AH11" s="374"/>
      <c r="AI11" s="374"/>
      <c r="AJ11" s="374"/>
      <c r="AK11" s="374"/>
      <c r="AL11" s="374"/>
      <c r="AM11" s="374"/>
      <c r="AN11" s="374"/>
      <c r="AO11" s="374"/>
      <c r="AP11" s="374"/>
      <c r="AQ11" s="374"/>
      <c r="AR11" s="374"/>
      <c r="AS11" s="374"/>
      <c r="AT11" s="374"/>
      <c r="AU11" s="374"/>
      <c r="AV11" s="374"/>
      <c r="AW11" s="374"/>
      <c r="AX11" s="374"/>
      <c r="AY11" s="374"/>
      <c r="AZ11" s="374"/>
      <c r="BA11" s="374"/>
      <c r="BB11" s="374"/>
    </row>
    <row r="13" spans="1:54" x14ac:dyDescent="0.25">
      <c r="B13" s="59" t="s">
        <v>163</v>
      </c>
      <c r="C13" s="368" t="str" cm="1">
        <f t="array" ref="C13">_xll.d.TestUtils_And(C17,AG17,AS17)</f>
        <v>Ok</v>
      </c>
      <c r="D13" s="366"/>
      <c r="G13" s="366"/>
    </row>
    <row r="14" spans="1:54" x14ac:dyDescent="0.25">
      <c r="B14" s="366"/>
      <c r="C14" s="366"/>
      <c r="D14" s="366"/>
      <c r="E14" s="366"/>
      <c r="F14" s="366"/>
      <c r="G14" s="367"/>
    </row>
    <row r="15" spans="1:54" ht="15.75" x14ac:dyDescent="0.25">
      <c r="B15" s="4" t="s">
        <v>111</v>
      </c>
      <c r="C15" s="375"/>
      <c r="D15" s="375"/>
      <c r="E15" s="375"/>
      <c r="F15" s="375"/>
      <c r="G15" s="375"/>
      <c r="H15" s="375"/>
      <c r="I15" s="375"/>
      <c r="J15" s="375"/>
      <c r="K15" s="375"/>
      <c r="L15" s="375"/>
      <c r="M15" s="375"/>
      <c r="N15" s="375"/>
      <c r="O15" s="375"/>
      <c r="P15" s="375"/>
      <c r="Q15" s="375"/>
      <c r="R15" s="375"/>
      <c r="S15" s="375"/>
      <c r="T15" s="375"/>
      <c r="U15" s="375"/>
      <c r="V15" s="375"/>
      <c r="W15" s="375"/>
      <c r="X15" s="375"/>
      <c r="Y15" s="375"/>
      <c r="Z15" s="375"/>
      <c r="AA15" s="375"/>
      <c r="AB15" s="375"/>
      <c r="AC15" s="375"/>
      <c r="AD15" s="375"/>
      <c r="AE15" s="519"/>
      <c r="AF15" s="4" t="s">
        <v>487</v>
      </c>
      <c r="AG15" s="375"/>
      <c r="AH15" s="375"/>
      <c r="AI15" s="375"/>
      <c r="AJ15" s="375"/>
      <c r="AK15" s="375"/>
      <c r="AL15" s="375"/>
      <c r="AM15" s="375"/>
      <c r="AN15" s="375"/>
      <c r="AO15" s="375"/>
      <c r="AP15" s="375"/>
      <c r="AQ15" s="519"/>
      <c r="AR15" s="4" t="s">
        <v>492</v>
      </c>
      <c r="AS15" s="375"/>
      <c r="AT15" s="375"/>
      <c r="AU15" s="375"/>
      <c r="AV15" s="375"/>
      <c r="AW15" s="375"/>
      <c r="AX15" s="375"/>
      <c r="AY15" s="375"/>
      <c r="AZ15" s="375"/>
      <c r="BA15" s="375"/>
      <c r="BB15" s="375"/>
    </row>
    <row r="16" spans="1:54" s="525" customFormat="1" x14ac:dyDescent="0.25">
      <c r="AE16" s="519"/>
      <c r="AF16" s="519"/>
      <c r="AG16" s="519"/>
      <c r="AR16" s="519"/>
      <c r="AS16" s="519"/>
    </row>
    <row r="17" spans="1:54" s="525" customFormat="1" x14ac:dyDescent="0.25">
      <c r="B17" s="59" t="s">
        <v>163</v>
      </c>
      <c r="C17" s="368" t="str" cm="1">
        <f t="array" ref="C17">_xll.d.TestUtils_And(Y21:AD26)</f>
        <v>Ok</v>
      </c>
      <c r="AE17" s="519"/>
      <c r="AF17" s="59" t="s">
        <v>163</v>
      </c>
      <c r="AG17" s="550" t="str">
        <f>AP20</f>
        <v>Ok</v>
      </c>
      <c r="AR17" s="59" t="s">
        <v>163</v>
      </c>
      <c r="AS17" s="550" t="str">
        <f>BB20</f>
        <v>Ok</v>
      </c>
    </row>
    <row r="18" spans="1:54" x14ac:dyDescent="0.25">
      <c r="B18" s="366"/>
      <c r="C18" s="366"/>
      <c r="D18" s="366"/>
      <c r="F18" s="366"/>
      <c r="G18" s="530" t="s">
        <v>485</v>
      </c>
      <c r="J18" s="366"/>
      <c r="K18" s="366"/>
      <c r="L18" s="366"/>
      <c r="M18" s="366"/>
      <c r="N18" s="366"/>
      <c r="O18" s="367"/>
      <c r="R18" s="366"/>
      <c r="S18" s="366"/>
      <c r="T18" s="366"/>
      <c r="U18" s="366"/>
      <c r="V18" s="366"/>
      <c r="W18" s="366"/>
      <c r="X18" s="367"/>
      <c r="AA18" s="366"/>
      <c r="AB18" s="366"/>
      <c r="AC18" s="366"/>
      <c r="AD18" s="366"/>
      <c r="AE18" s="519"/>
      <c r="AQ18" s="366"/>
      <c r="AR18" s="519"/>
      <c r="AS18" s="519"/>
      <c r="AT18" s="519"/>
      <c r="AU18" s="519"/>
      <c r="AV18" s="519"/>
      <c r="AW18" s="519"/>
      <c r="AX18" s="519"/>
      <c r="AY18" s="519"/>
      <c r="AZ18" s="519"/>
      <c r="BA18" s="519"/>
      <c r="BB18" s="519"/>
    </row>
    <row r="19" spans="1:54" s="519" customFormat="1" x14ac:dyDescent="0.25">
      <c r="B19" s="134" t="s">
        <v>256</v>
      </c>
      <c r="C19" s="135"/>
      <c r="D19" s="366"/>
      <c r="E19" s="528" t="s">
        <v>258</v>
      </c>
      <c r="F19" s="366"/>
      <c r="G19" s="134" t="s">
        <v>484</v>
      </c>
      <c r="H19" s="223"/>
      <c r="I19" s="223"/>
      <c r="J19" s="223"/>
      <c r="K19" s="223"/>
      <c r="L19" s="135"/>
      <c r="N19" s="528" t="s">
        <v>137</v>
      </c>
      <c r="O19" s="366"/>
      <c r="P19" s="134" t="s">
        <v>484</v>
      </c>
      <c r="Q19" s="223"/>
      <c r="R19" s="223"/>
      <c r="S19" s="223"/>
      <c r="T19" s="223"/>
      <c r="U19" s="135"/>
      <c r="V19" s="366"/>
      <c r="W19" s="528" t="s">
        <v>85</v>
      </c>
      <c r="X19" s="366"/>
      <c r="Y19" s="134" t="s">
        <v>484</v>
      </c>
      <c r="Z19" s="223"/>
      <c r="AA19" s="223"/>
      <c r="AB19" s="223"/>
      <c r="AC19" s="223"/>
      <c r="AD19" s="135"/>
      <c r="AF19" s="12" t="s">
        <v>256</v>
      </c>
      <c r="AG19" s="12"/>
      <c r="AH19" s="135"/>
      <c r="AI19" s="525"/>
      <c r="AJ19" s="12" t="s">
        <v>137</v>
      </c>
      <c r="AK19" s="27"/>
      <c r="AL19" s="27"/>
      <c r="AM19" s="27" t="s">
        <v>258</v>
      </c>
      <c r="AN19" s="27"/>
      <c r="AO19" s="27"/>
      <c r="AP19" s="13" t="s">
        <v>85</v>
      </c>
      <c r="AR19" s="12" t="s">
        <v>256</v>
      </c>
      <c r="AS19" s="12"/>
      <c r="AT19" s="135"/>
      <c r="AU19" s="525"/>
      <c r="AV19" s="12" t="s">
        <v>137</v>
      </c>
      <c r="AW19" s="27"/>
      <c r="AX19" s="27"/>
      <c r="AY19" s="27" t="s">
        <v>258</v>
      </c>
      <c r="AZ19" s="27"/>
      <c r="BA19" s="27"/>
      <c r="BB19" s="13" t="s">
        <v>85</v>
      </c>
    </row>
    <row r="20" spans="1:54" ht="15" customHeight="1" x14ac:dyDescent="0.25">
      <c r="B20" s="476" t="s">
        <v>24</v>
      </c>
      <c r="C20" s="548">
        <v>1.15E-2</v>
      </c>
      <c r="D20" s="526"/>
      <c r="F20" s="366"/>
      <c r="G20" s="327" t="s">
        <v>248</v>
      </c>
      <c r="H20" s="328" t="s">
        <v>99</v>
      </c>
      <c r="I20" s="529" t="s">
        <v>100</v>
      </c>
      <c r="J20" s="328" t="s">
        <v>81</v>
      </c>
      <c r="K20" s="328" t="s">
        <v>80</v>
      </c>
      <c r="L20" s="329" t="s">
        <v>79</v>
      </c>
      <c r="N20" s="366"/>
      <c r="O20" s="366"/>
      <c r="P20" s="327" t="s">
        <v>248</v>
      </c>
      <c r="Q20" s="328" t="s">
        <v>99</v>
      </c>
      <c r="R20" s="529" t="s">
        <v>100</v>
      </c>
      <c r="S20" s="328" t="s">
        <v>81</v>
      </c>
      <c r="T20" s="328" t="s">
        <v>80</v>
      </c>
      <c r="U20" s="329" t="s">
        <v>79</v>
      </c>
      <c r="W20" s="519"/>
      <c r="X20" s="366"/>
      <c r="Y20" s="327" t="s">
        <v>248</v>
      </c>
      <c r="Z20" s="328" t="s">
        <v>99</v>
      </c>
      <c r="AA20" s="529" t="s">
        <v>100</v>
      </c>
      <c r="AB20" s="328" t="s">
        <v>81</v>
      </c>
      <c r="AC20" s="328" t="s">
        <v>80</v>
      </c>
      <c r="AD20" s="329" t="s">
        <v>79</v>
      </c>
      <c r="AF20" s="551" t="s">
        <v>24</v>
      </c>
      <c r="AG20" s="551"/>
      <c r="AH20" s="558">
        <v>1.15E-2</v>
      </c>
      <c r="AJ20" s="554" t="str" cm="1">
        <f t="array" ref="AJ20">_xll.d.IR_ConvertInterestRate(AH20,AH21,AH22)</f>
        <v>#∂Excel Error: Invalid old compounding convention: NACP</v>
      </c>
      <c r="AK20" s="555"/>
      <c r="AL20" s="555"/>
      <c r="AM20" s="556" t="s">
        <v>491</v>
      </c>
      <c r="AN20" s="557"/>
      <c r="AO20" s="557"/>
      <c r="AP20" s="407" t="str" cm="1">
        <f t="array" ref="AP20">_xll.d.TestUtils_Equal(AJ20,AM20)</f>
        <v>Ok</v>
      </c>
      <c r="AR20" s="551" t="s">
        <v>24</v>
      </c>
      <c r="AS20" s="551"/>
      <c r="AT20" s="558">
        <v>1.15E-2</v>
      </c>
      <c r="AU20" s="519"/>
      <c r="AV20" s="554" t="str" cm="1">
        <f t="array" ref="AV20">_xll.d.IR_ConvertInterestRate(AT20,AT21,AT22)</f>
        <v>#∂Excel Error: Invalid new compounding convention: NACP</v>
      </c>
      <c r="AW20" s="555"/>
      <c r="AX20" s="555"/>
      <c r="AY20" s="556" t="s">
        <v>490</v>
      </c>
      <c r="AZ20" s="557"/>
      <c r="BA20" s="557"/>
      <c r="BB20" s="407" t="str" cm="1">
        <f t="array" ref="BB20">_xll.d.TestUtils_Equal(AV20,AY20)</f>
        <v>Ok</v>
      </c>
    </row>
    <row r="21" spans="1:54" s="519" customFormat="1" x14ac:dyDescent="0.25">
      <c r="B21" s="366"/>
      <c r="C21" s="527"/>
      <c r="D21" s="527"/>
      <c r="E21" s="580" t="s">
        <v>483</v>
      </c>
      <c r="F21" s="333" t="s">
        <v>248</v>
      </c>
      <c r="G21" s="531">
        <v>1.15E-2</v>
      </c>
      <c r="H21" s="540">
        <v>1.15E-2</v>
      </c>
      <c r="I21" s="540">
        <v>1.1467E-2</v>
      </c>
      <c r="J21" s="540">
        <v>1.1450999999999999E-2</v>
      </c>
      <c r="K21" s="540">
        <v>1.1440000000000001E-2</v>
      </c>
      <c r="L21" s="541">
        <v>1.1434E-2</v>
      </c>
      <c r="N21" s="580" t="s">
        <v>483</v>
      </c>
      <c r="O21" s="333" t="s">
        <v>248</v>
      </c>
      <c r="P21" s="532" cm="1">
        <f t="array" ref="P21">_xll.d.IR_ConvertInterestRate($C$20,$O21,P$20)</f>
        <v>1.15E-2</v>
      </c>
      <c r="Q21" s="533" cm="1">
        <f t="array" ref="Q21">_xll.d.IR_ConvertInterestRate($C$20,$O21,Q$20)</f>
        <v>1.1500000000000066E-2</v>
      </c>
      <c r="R21" s="533" cm="1">
        <f t="array" ref="R21">_xll.d.IR_ConvertInterestRate($C$20,$O21,R$20)</f>
        <v>1.1467126253869697E-2</v>
      </c>
      <c r="S21" s="533" cm="1">
        <f t="array" ref="S21">_xll.d.IR_ConvertInterestRate($C$20,$O21,S$20)</f>
        <v>1.1450736333546985E-2</v>
      </c>
      <c r="T21" s="533" cm="1">
        <f t="array" ref="T21">_xll.d.IR_ConvertInterestRate($C$20,$O21,T$20)</f>
        <v>1.1439827064371855E-2</v>
      </c>
      <c r="U21" s="534" cm="1">
        <f t="array" ref="U21">_xll.d.IR_ConvertInterestRate($C$20,$O21,U$20)</f>
        <v>1.143437762566317E-2</v>
      </c>
      <c r="W21" s="580" t="s">
        <v>483</v>
      </c>
      <c r="X21" s="333" t="s">
        <v>248</v>
      </c>
      <c r="Y21" s="531" t="str" cm="1">
        <f t="array" ref="Y21">_xll.d.TestUtils_Equal(G21,P21,0.0001)</f>
        <v>Ok</v>
      </c>
      <c r="Z21" s="531" t="str" cm="1">
        <f t="array" ref="Z21">_xll.d.TestUtils_Equal(H21,Q21,0.0001)</f>
        <v>Ok</v>
      </c>
      <c r="AA21" s="531" t="str" cm="1">
        <f t="array" ref="AA21">_xll.d.TestUtils_Equal(I21,R21,0.0001)</f>
        <v>Ok</v>
      </c>
      <c r="AB21" s="531" t="str" cm="1">
        <f t="array" ref="AB21">_xll.d.TestUtils_Equal(J21,S21,0.0001)</f>
        <v>Ok</v>
      </c>
      <c r="AC21" s="531" t="str" cm="1">
        <f t="array" ref="AC21">_xll.d.TestUtils_Equal(K21,T21,0.0001)</f>
        <v>Ok</v>
      </c>
      <c r="AD21" s="531" t="str" cm="1">
        <f t="array" ref="AD21">_xll.d.TestUtils_Equal(L21,U21,0.0001)</f>
        <v>Ok</v>
      </c>
      <c r="AF21" s="552" t="s">
        <v>488</v>
      </c>
      <c r="AG21" s="552"/>
      <c r="AH21" s="139" t="s">
        <v>486</v>
      </c>
      <c r="AJ21" s="366"/>
      <c r="AK21" s="525"/>
      <c r="AM21" s="527"/>
      <c r="AN21" s="366"/>
      <c r="AO21" s="367"/>
      <c r="AR21" s="552" t="s">
        <v>488</v>
      </c>
      <c r="AS21" s="552"/>
      <c r="AT21" s="139" t="s">
        <v>81</v>
      </c>
      <c r="AV21" s="366"/>
      <c r="AW21" s="525"/>
      <c r="AY21" s="527"/>
      <c r="AZ21" s="366"/>
      <c r="BA21" s="367"/>
    </row>
    <row r="22" spans="1:54" s="519" customFormat="1" x14ac:dyDescent="0.25">
      <c r="B22" s="366"/>
      <c r="C22" s="527"/>
      <c r="D22" s="527"/>
      <c r="E22" s="581"/>
      <c r="F22" s="334" t="s">
        <v>99</v>
      </c>
      <c r="G22" s="542">
        <v>1.15E-2</v>
      </c>
      <c r="H22" s="543">
        <v>1.15E-2</v>
      </c>
      <c r="I22" s="543">
        <v>1.1467E-2</v>
      </c>
      <c r="J22" s="543">
        <v>1.1450999999999999E-2</v>
      </c>
      <c r="K22" s="543">
        <v>1.1440000000000001E-2</v>
      </c>
      <c r="L22" s="544">
        <v>1.1434E-2</v>
      </c>
      <c r="N22" s="581"/>
      <c r="O22" s="334" t="s">
        <v>99</v>
      </c>
      <c r="P22" s="535" cm="1">
        <f t="array" ref="P22">_xll.d.IR_ConvertInterestRate($C$20,$O22,P$20)</f>
        <v>1.1500000000000066E-2</v>
      </c>
      <c r="Q22" s="531" cm="1">
        <f t="array" ref="Q22">_xll.d.IR_ConvertInterestRate($C$20,$O22,Q$20)</f>
        <v>1.15E-2</v>
      </c>
      <c r="R22" s="531" cm="1">
        <f t="array" ref="R22">_xll.d.IR_ConvertInterestRate($C$20,$O22,R$20)</f>
        <v>1.1467126253869697E-2</v>
      </c>
      <c r="S22" s="531" cm="1">
        <f t="array" ref="S22">_xll.d.IR_ConvertInterestRate($C$20,$O22,S$20)</f>
        <v>1.1450736333546985E-2</v>
      </c>
      <c r="T22" s="531" cm="1">
        <f t="array" ref="T22">_xll.d.IR_ConvertInterestRate($C$20,$O22,T$20)</f>
        <v>1.1439827064371855E-2</v>
      </c>
      <c r="U22" s="536" cm="1">
        <f t="array" ref="U22">_xll.d.IR_ConvertInterestRate($C$20,$O22,U$20)</f>
        <v>1.143437762566317E-2</v>
      </c>
      <c r="W22" s="581"/>
      <c r="X22" s="334" t="s">
        <v>99</v>
      </c>
      <c r="Y22" s="531" t="str" cm="1">
        <f t="array" ref="Y22">_xll.d.TestUtils_Equal(G22,P22,0.0001)</f>
        <v>Ok</v>
      </c>
      <c r="Z22" s="531" t="str" cm="1">
        <f t="array" ref="Z22">_xll.d.TestUtils_Equal(H22,Q22,0.0001)</f>
        <v>Ok</v>
      </c>
      <c r="AA22" s="531" t="str" cm="1">
        <f t="array" ref="AA22">_xll.d.TestUtils_Equal(I22,R22,0.0001)</f>
        <v>Ok</v>
      </c>
      <c r="AB22" s="531" t="str" cm="1">
        <f t="array" ref="AB22">_xll.d.TestUtils_Equal(J22,S22,0.0001)</f>
        <v>Ok</v>
      </c>
      <c r="AC22" s="531" t="str" cm="1">
        <f t="array" ref="AC22">_xll.d.TestUtils_Equal(K22,T22,0.0001)</f>
        <v>Ok</v>
      </c>
      <c r="AD22" s="531" t="str" cm="1">
        <f t="array" ref="AD22">_xll.d.TestUtils_Equal(L22,U22,0.0001)</f>
        <v>Ok</v>
      </c>
      <c r="AF22" s="553" t="s">
        <v>489</v>
      </c>
      <c r="AG22" s="553"/>
      <c r="AH22" s="141" t="s">
        <v>81</v>
      </c>
      <c r="AI22"/>
      <c r="AJ22"/>
      <c r="AK22"/>
      <c r="AM22" s="366"/>
      <c r="AN22"/>
      <c r="AO22"/>
      <c r="AP22"/>
      <c r="AR22" s="553" t="s">
        <v>489</v>
      </c>
      <c r="AS22" s="553"/>
      <c r="AT22" s="141" t="s">
        <v>486</v>
      </c>
      <c r="AY22" s="366"/>
    </row>
    <row r="23" spans="1:54" s="519" customFormat="1" x14ac:dyDescent="0.25">
      <c r="E23" s="581"/>
      <c r="F23" s="334" t="s">
        <v>100</v>
      </c>
      <c r="G23" s="542">
        <v>1.1533E-2</v>
      </c>
      <c r="H23" s="543">
        <v>1.1533E-2</v>
      </c>
      <c r="I23" s="543">
        <v>1.15E-2</v>
      </c>
      <c r="J23" s="543">
        <v>1.1483999999999999E-2</v>
      </c>
      <c r="K23" s="543">
        <v>1.1473000000000001E-2</v>
      </c>
      <c r="L23" s="544">
        <v>1.1467E-2</v>
      </c>
      <c r="N23" s="581"/>
      <c r="O23" s="334" t="s">
        <v>100</v>
      </c>
      <c r="P23" s="535" cm="1">
        <f t="array" ref="P23">_xll.d.IR_ConvertInterestRate($C$20,$O23,P$20)</f>
        <v>1.1533062499999858E-2</v>
      </c>
      <c r="Q23" s="531" cm="1">
        <f t="array" ref="Q23">_xll.d.IR_ConvertInterestRate($C$20,$O23,Q$20)</f>
        <v>1.1533062499999858E-2</v>
      </c>
      <c r="R23" s="531" cm="1">
        <f t="array" ref="R23">_xll.d.IR_ConvertInterestRate($C$20,$O23,R$20)</f>
        <v>1.15E-2</v>
      </c>
      <c r="S23" s="531" cm="1">
        <f t="array" ref="S23">_xll.d.IR_ConvertInterestRate($C$20,$O23,S$20)</f>
        <v>1.1483516107226421E-2</v>
      </c>
      <c r="T23" s="531" cm="1">
        <f t="array" ref="T23">_xll.d.IR_ConvertInterestRate($C$20,$O23,T$20)</f>
        <v>1.1472544339037327E-2</v>
      </c>
      <c r="U23" s="536" cm="1">
        <f t="array" ref="U23">_xll.d.IR_ConvertInterestRate($C$20,$O23,U$20)</f>
        <v>1.1467063695520934E-2</v>
      </c>
      <c r="W23" s="581"/>
      <c r="X23" s="334" t="s">
        <v>100</v>
      </c>
      <c r="Y23" s="531" t="str" cm="1">
        <f t="array" ref="Y23">_xll.d.TestUtils_Equal(G23,P23,0.0001)</f>
        <v>Ok</v>
      </c>
      <c r="Z23" s="531" t="str" cm="1">
        <f t="array" ref="Z23">_xll.d.TestUtils_Equal(H23,Q23,0.0001)</f>
        <v>Ok</v>
      </c>
      <c r="AA23" s="531" t="str" cm="1">
        <f t="array" ref="AA23">_xll.d.TestUtils_Equal(I23,R23,0.0001)</f>
        <v>Ok</v>
      </c>
      <c r="AB23" s="531" t="str" cm="1">
        <f t="array" ref="AB23">_xll.d.TestUtils_Equal(J23,S23,0.0001)</f>
        <v>Ok</v>
      </c>
      <c r="AC23" s="531" t="str" cm="1">
        <f t="array" ref="AC23">_xll.d.TestUtils_Equal(K23,T23,0.0001)</f>
        <v>Ok</v>
      </c>
      <c r="AD23" s="531" t="str" cm="1">
        <f t="array" ref="AD23">_xll.d.TestUtils_Equal(L23,U23,0.0001)</f>
        <v>Ok</v>
      </c>
    </row>
    <row r="24" spans="1:54" s="519" customFormat="1" x14ac:dyDescent="0.25">
      <c r="E24" s="581"/>
      <c r="F24" s="334" t="s">
        <v>81</v>
      </c>
      <c r="G24" s="542">
        <v>1.155E-2</v>
      </c>
      <c r="H24" s="543">
        <v>1.155E-2</v>
      </c>
      <c r="I24" s="543">
        <v>1.1516999999999999E-2</v>
      </c>
      <c r="J24" s="543">
        <v>1.15E-2</v>
      </c>
      <c r="K24" s="543">
        <v>1.1488999999999999E-2</v>
      </c>
      <c r="L24" s="544">
        <v>1.1483999999999999E-2</v>
      </c>
      <c r="N24" s="581"/>
      <c r="O24" s="334" t="s">
        <v>81</v>
      </c>
      <c r="P24" s="535" cm="1">
        <f t="array" ref="P24">_xll.d.IR_ConvertInterestRate($C$20,$O24,P$20)</f>
        <v>1.1549688873008002E-2</v>
      </c>
      <c r="Q24" s="531" cm="1">
        <f t="array" ref="Q24">_xll.d.IR_ConvertInterestRate($C$20,$O24,Q$20)</f>
        <v>1.1549688873008002E-2</v>
      </c>
      <c r="R24" s="531" cm="1">
        <f t="array" ref="R24">_xll.d.IR_ConvertInterestRate($C$20,$O24,R$20)</f>
        <v>1.1516531249999851E-2</v>
      </c>
      <c r="S24" s="531" cm="1">
        <f t="array" ref="S24">_xll.d.IR_ConvertInterestRate($C$20,$O24,S$20)</f>
        <v>1.15E-2</v>
      </c>
      <c r="T24" s="531" cm="1">
        <f t="array" ref="T24">_xll.d.IR_ConvertInterestRate($C$20,$O24,T$20)</f>
        <v>1.1488996735719681E-2</v>
      </c>
      <c r="U24" s="536" cm="1">
        <f t="array" ref="U24">_xll.d.IR_ConvertInterestRate($C$20,$O24,U$20)</f>
        <v>1.1483500366731883E-2</v>
      </c>
      <c r="W24" s="581"/>
      <c r="X24" s="334" t="s">
        <v>81</v>
      </c>
      <c r="Y24" s="531" t="str" cm="1">
        <f t="array" ref="Y24">_xll.d.TestUtils_Equal(G24,P24,0.0001)</f>
        <v>Ok</v>
      </c>
      <c r="Z24" s="531" t="str" cm="1">
        <f t="array" ref="Z24">_xll.d.TestUtils_Equal(H24,Q24,0.0001)</f>
        <v>Ok</v>
      </c>
      <c r="AA24" s="531" t="str" cm="1">
        <f t="array" ref="AA24">_xll.d.TestUtils_Equal(I24,R24,0.0001)</f>
        <v>Ok</v>
      </c>
      <c r="AB24" s="531" t="str" cm="1">
        <f t="array" ref="AB24">_xll.d.TestUtils_Equal(J24,S24,0.0001)</f>
        <v>Ok</v>
      </c>
      <c r="AC24" s="531" t="str" cm="1">
        <f t="array" ref="AC24">_xll.d.TestUtils_Equal(K24,T24,0.0001)</f>
        <v>Ok</v>
      </c>
      <c r="AD24" s="531" t="str" cm="1">
        <f t="array" ref="AD24">_xll.d.TestUtils_Equal(L24,U24,0.0001)</f>
        <v>Ok</v>
      </c>
    </row>
    <row r="25" spans="1:54" s="519" customFormat="1" x14ac:dyDescent="0.25">
      <c r="B25" s="366"/>
      <c r="C25" s="366"/>
      <c r="D25" s="366"/>
      <c r="E25" s="581"/>
      <c r="F25" s="334" t="s">
        <v>80</v>
      </c>
      <c r="G25" s="542">
        <v>1.1561E-2</v>
      </c>
      <c r="H25" s="543">
        <v>1.1561E-2</v>
      </c>
      <c r="I25" s="543">
        <v>1.1528E-2</v>
      </c>
      <c r="J25" s="543">
        <v>1.1511E-2</v>
      </c>
      <c r="K25" s="543">
        <v>1.15E-2</v>
      </c>
      <c r="L25" s="544">
        <v>1.1494000000000001E-2</v>
      </c>
      <c r="N25" s="581"/>
      <c r="O25" s="334" t="s">
        <v>80</v>
      </c>
      <c r="P25" s="535" cm="1">
        <f t="array" ref="P25">_xll.d.IR_ConvertInterestRate($C$20,$O25,P$20)</f>
        <v>1.1560808631408515E-2</v>
      </c>
      <c r="Q25" s="531" cm="1">
        <f t="array" ref="Q25">_xll.d.IR_ConvertInterestRate($C$20,$O25,Q$20)</f>
        <v>1.1560808631408515E-2</v>
      </c>
      <c r="R25" s="531" cm="1">
        <f t="array" ref="R25">_xll.d.IR_ConvertInterestRate($C$20,$O25,R$20)</f>
        <v>1.1527587314087651E-2</v>
      </c>
      <c r="S25" s="531" cm="1">
        <f t="array" ref="S25">_xll.d.IR_ConvertInterestRate($C$20,$O25,S$20)</f>
        <v>1.151102435387763E-2</v>
      </c>
      <c r="T25" s="531" cm="1">
        <f t="array" ref="T25">_xll.d.IR_ConvertInterestRate($C$20,$O25,T$20)</f>
        <v>1.15E-2</v>
      </c>
      <c r="U25" s="536" cm="1">
        <f t="array" ref="U25">_xll.d.IR_ConvertInterestRate($C$20,$O25,U$20)</f>
        <v>1.1494493101349593E-2</v>
      </c>
      <c r="W25" s="581"/>
      <c r="X25" s="334" t="s">
        <v>80</v>
      </c>
      <c r="Y25" s="531" t="str" cm="1">
        <f t="array" ref="Y25">_xll.d.TestUtils_Equal(G25,P25,0.0001)</f>
        <v>Ok</v>
      </c>
      <c r="Z25" s="531" t="str" cm="1">
        <f t="array" ref="Z25">_xll.d.TestUtils_Equal(H25,Q25,0.0001)</f>
        <v>Ok</v>
      </c>
      <c r="AA25" s="531" t="str" cm="1">
        <f t="array" ref="AA25">_xll.d.TestUtils_Equal(I25,R25,0.0001)</f>
        <v>Ok</v>
      </c>
      <c r="AB25" s="531" t="str" cm="1">
        <f t="array" ref="AB25">_xll.d.TestUtils_Equal(J25,S25,0.0001)</f>
        <v>Ok</v>
      </c>
      <c r="AC25" s="531" t="str" cm="1">
        <f t="array" ref="AC25">_xll.d.TestUtils_Equal(K25,T25,0.0001)</f>
        <v>Ok</v>
      </c>
      <c r="AD25" s="531" t="str" cm="1">
        <f t="array" ref="AD25">_xll.d.TestUtils_Equal(L25,U25,0.0001)</f>
        <v>Ok</v>
      </c>
    </row>
    <row r="26" spans="1:54" s="519" customFormat="1" x14ac:dyDescent="0.25">
      <c r="B26" s="366"/>
      <c r="C26" s="366"/>
      <c r="D26" s="366"/>
      <c r="E26" s="582"/>
      <c r="F26" s="335" t="s">
        <v>79</v>
      </c>
      <c r="G26" s="545">
        <v>1.1566E-2</v>
      </c>
      <c r="H26" s="546">
        <v>1.1566E-2</v>
      </c>
      <c r="I26" s="546">
        <v>1.1533E-2</v>
      </c>
      <c r="J26" s="546">
        <v>1.1516999999999999E-2</v>
      </c>
      <c r="K26" s="546">
        <v>1.1506000000000001E-2</v>
      </c>
      <c r="L26" s="547">
        <v>1.15E-2</v>
      </c>
      <c r="N26" s="582"/>
      <c r="O26" s="335" t="s">
        <v>79</v>
      </c>
      <c r="P26" s="537" cm="1">
        <f t="array" ref="P26">_xll.d.IR_ConvertInterestRate($C$20,$O26,P$20)</f>
        <v>1.1566379209598576E-2</v>
      </c>
      <c r="Q26" s="538" cm="1">
        <f t="array" ref="Q26">_xll.d.IR_ConvertInterestRate($C$20,$O26,Q$20)</f>
        <v>1.1566379209598576E-2</v>
      </c>
      <c r="R26" s="538" cm="1">
        <f t="array" ref="R26">_xll.d.IR_ConvertInterestRate($C$20,$O26,R$20)</f>
        <v>1.1533125960990542E-2</v>
      </c>
      <c r="S26" s="538" cm="1">
        <f t="array" ref="S26">_xll.d.IR_ConvertInterestRate($C$20,$O26,S$20)</f>
        <v>1.1516547103841646E-2</v>
      </c>
      <c r="T26" s="538" cm="1">
        <f t="array" ref="T26">_xll.d.IR_ConvertInterestRate($C$20,$O26,T$20)</f>
        <v>1.1505512177360622E-2</v>
      </c>
      <c r="U26" s="539" cm="1">
        <f t="array" ref="U26">_xll.d.IR_ConvertInterestRate($C$20,$O26,U$20)</f>
        <v>1.15E-2</v>
      </c>
      <c r="W26" s="582"/>
      <c r="X26" s="335" t="s">
        <v>79</v>
      </c>
      <c r="Y26" s="531" t="str" cm="1">
        <f t="array" ref="Y26">_xll.d.TestUtils_Equal(G26,P26,0.0001)</f>
        <v>Ok</v>
      </c>
      <c r="Z26" s="531" t="str" cm="1">
        <f t="array" ref="Z26">_xll.d.TestUtils_Equal(H26,Q26,0.0001)</f>
        <v>Ok</v>
      </c>
      <c r="AA26" s="531" t="str" cm="1">
        <f t="array" ref="AA26">_xll.d.TestUtils_Equal(I26,R26,0.0001)</f>
        <v>Ok</v>
      </c>
      <c r="AB26" s="531" t="str" cm="1">
        <f t="array" ref="AB26">_xll.d.TestUtils_Equal(J26,S26,0.0001)</f>
        <v>Ok</v>
      </c>
      <c r="AC26" s="531" t="str" cm="1">
        <f t="array" ref="AC26">_xll.d.TestUtils_Equal(K26,T26,0.0001)</f>
        <v>Ok</v>
      </c>
      <c r="AD26" s="531" t="str" cm="1">
        <f t="array" ref="AD26">_xll.d.TestUtils_Equal(L26,U26,0.0001)</f>
        <v>Ok</v>
      </c>
    </row>
    <row r="27" spans="1:54" s="519" customFormat="1" x14ac:dyDescent="0.25">
      <c r="B27" s="366"/>
      <c r="C27" s="366"/>
      <c r="D27" s="366"/>
      <c r="E27" s="366"/>
      <c r="F27" s="366"/>
      <c r="G27" s="366"/>
      <c r="H27" s="367"/>
    </row>
    <row r="28" spans="1:54" s="519" customFormat="1" x14ac:dyDescent="0.25">
      <c r="B28" s="366"/>
      <c r="C28" s="366"/>
      <c r="D28" s="366"/>
      <c r="E28" s="366"/>
      <c r="F28" s="366"/>
      <c r="G28" s="367"/>
    </row>
    <row r="29" spans="1:54" s="366" customFormat="1" ht="18.75" x14ac:dyDescent="0.3">
      <c r="A29"/>
      <c r="B29" s="3" t="s">
        <v>432</v>
      </c>
      <c r="C29" s="374"/>
      <c r="D29" s="374"/>
      <c r="E29" s="374"/>
      <c r="F29" s="374"/>
      <c r="G29" s="374"/>
      <c r="H29" s="374"/>
      <c r="I29" s="374"/>
      <c r="J29" s="374"/>
      <c r="K29" s="374"/>
      <c r="L29" s="374"/>
      <c r="M29" s="374"/>
      <c r="N29" s="374"/>
      <c r="O29" s="374"/>
      <c r="P29" s="374"/>
      <c r="Q29" s="374"/>
      <c r="R29" s="374"/>
      <c r="S29" s="374"/>
      <c r="T29" s="374"/>
      <c r="U29" s="374"/>
      <c r="V29" s="374"/>
      <c r="W29" s="374"/>
      <c r="X29" s="374"/>
      <c r="Y29" s="374"/>
      <c r="Z29" s="374"/>
      <c r="AA29" s="374"/>
      <c r="AB29" s="374"/>
      <c r="AC29" s="374"/>
      <c r="AD29" s="374"/>
      <c r="AE29" s="374"/>
      <c r="AF29" s="374"/>
      <c r="AG29" s="374"/>
      <c r="AH29" s="374"/>
      <c r="AI29" s="374"/>
      <c r="AJ29" s="374"/>
      <c r="AK29" s="374"/>
      <c r="AL29" s="374"/>
      <c r="AM29" s="374"/>
      <c r="AN29" s="374"/>
      <c r="AO29" s="374"/>
      <c r="AP29" s="374"/>
      <c r="AQ29" s="374"/>
      <c r="AR29" s="374"/>
      <c r="AS29" s="374"/>
      <c r="AT29" s="374"/>
      <c r="AU29" s="374"/>
      <c r="AV29" s="374"/>
      <c r="AW29" s="374"/>
      <c r="AX29" s="374"/>
      <c r="AY29" s="374"/>
      <c r="AZ29" s="374"/>
      <c r="BA29" s="374"/>
      <c r="BB29" s="374"/>
    </row>
    <row r="31" spans="1:54" s="366" customFormat="1" x14ac:dyDescent="0.25">
      <c r="A31"/>
      <c r="B31" s="59" t="s">
        <v>163</v>
      </c>
      <c r="C31" s="368" t="str" cm="1">
        <f t="array" ref="C31">_xll.d.TestUtils_And(C35,K35)</f>
        <v>Ok</v>
      </c>
      <c r="E31" s="519"/>
      <c r="F31" s="519"/>
      <c r="G31" s="519"/>
      <c r="H31" s="519"/>
      <c r="I31" s="519"/>
    </row>
    <row r="32" spans="1:54" x14ac:dyDescent="0.25">
      <c r="E32" s="519"/>
      <c r="F32" s="519"/>
      <c r="G32" s="519"/>
      <c r="H32" s="519"/>
    </row>
    <row r="33" spans="2:24" ht="15.75" x14ac:dyDescent="0.25">
      <c r="B33" s="4" t="s">
        <v>111</v>
      </c>
      <c r="C33" s="375"/>
      <c r="D33" s="375"/>
      <c r="E33" s="375"/>
      <c r="F33" s="375"/>
      <c r="G33" s="375"/>
      <c r="H33" s="375"/>
      <c r="I33" s="519"/>
      <c r="J33" s="4" t="s">
        <v>496</v>
      </c>
      <c r="K33" s="375"/>
      <c r="L33" s="375"/>
      <c r="M33" s="375"/>
      <c r="N33" s="375"/>
      <c r="O33" s="375"/>
      <c r="P33" s="375"/>
      <c r="Q33" s="375"/>
      <c r="R33" s="375"/>
      <c r="S33" s="375"/>
    </row>
    <row r="34" spans="2:24" s="519" customFormat="1" x14ac:dyDescent="0.25"/>
    <row r="35" spans="2:24" s="519" customFormat="1" x14ac:dyDescent="0.25">
      <c r="B35" s="59" t="s">
        <v>163</v>
      </c>
      <c r="C35" s="368" t="str" cm="1">
        <f t="array" ref="C35">_xll.d.TestUtils_And(H38:H43)</f>
        <v>Ok</v>
      </c>
      <c r="J35" s="59" t="s">
        <v>163</v>
      </c>
      <c r="K35" s="550" t="str">
        <f>S38</f>
        <v>Ok</v>
      </c>
    </row>
    <row r="36" spans="2:24" s="519" customFormat="1" x14ac:dyDescent="0.25"/>
    <row r="37" spans="2:24" x14ac:dyDescent="0.25">
      <c r="B37" s="134" t="s">
        <v>256</v>
      </c>
      <c r="C37" s="135"/>
      <c r="E37" s="134"/>
      <c r="F37" s="401" t="s">
        <v>137</v>
      </c>
      <c r="G37" s="562" t="s">
        <v>258</v>
      </c>
      <c r="H37" s="549" t="s">
        <v>85</v>
      </c>
      <c r="I37" s="519"/>
      <c r="J37" s="134" t="s">
        <v>256</v>
      </c>
      <c r="K37" s="135"/>
      <c r="M37" s="134" t="s">
        <v>137</v>
      </c>
      <c r="N37" s="223"/>
      <c r="O37" s="223"/>
      <c r="P37" s="223" t="s">
        <v>258</v>
      </c>
      <c r="Q37" s="223"/>
      <c r="R37" s="223"/>
      <c r="S37" s="135" t="s">
        <v>85</v>
      </c>
    </row>
    <row r="38" spans="2:24" x14ac:dyDescent="0.25">
      <c r="B38" s="136" t="s">
        <v>493</v>
      </c>
      <c r="C38" s="559">
        <v>0.9993298952745</v>
      </c>
      <c r="D38" s="519"/>
      <c r="E38" s="473" t="s">
        <v>248</v>
      </c>
      <c r="F38" s="565" cm="1">
        <f t="array" ref="F38">_xll.d.IR_DiscountFactorsToForwardRate(E38,$C$38,$C$39,$C$40)</f>
        <v>1.1751446475177119E-2</v>
      </c>
      <c r="G38" s="566">
        <f>(C38/C39-1)/C40</f>
        <v>1.1751446475177119E-2</v>
      </c>
      <c r="H38" s="567" t="str" cm="1">
        <f t="array" ref="H38">_xll.d.TestUtils_Equal(F38,G38,0.0001)</f>
        <v>Ok</v>
      </c>
      <c r="I38" s="520"/>
      <c r="J38" s="136" t="s">
        <v>497</v>
      </c>
      <c r="K38" s="559" t="s">
        <v>486</v>
      </c>
      <c r="L38" s="519"/>
      <c r="M38" s="554" t="str" cm="1">
        <f t="array" ref="M38">_xll.d.IR_DiscountFactorsToForwardRate(K38,K39,K40,K41)</f>
        <v>#∂Excel Error: Invalid compounding convention: NACP</v>
      </c>
      <c r="N38" s="555"/>
      <c r="O38" s="555"/>
      <c r="P38" s="556" t="s">
        <v>498</v>
      </c>
      <c r="Q38" s="557"/>
      <c r="R38" s="557"/>
      <c r="S38" s="407" t="str" cm="1">
        <f t="array" ref="S38">_xll.d.TestUtils_Equal(M38,P38)</f>
        <v>Ok</v>
      </c>
      <c r="T38" s="519"/>
      <c r="U38" s="519"/>
      <c r="V38" s="519"/>
      <c r="W38" s="519"/>
      <c r="X38" s="519"/>
    </row>
    <row r="39" spans="2:24" x14ac:dyDescent="0.25">
      <c r="B39" s="138" t="s">
        <v>494</v>
      </c>
      <c r="C39" s="560">
        <v>0.99640260231230005</v>
      </c>
      <c r="D39" s="519"/>
      <c r="E39" s="563" t="s">
        <v>79</v>
      </c>
      <c r="F39" s="568" cm="1">
        <f t="array" ref="F39">_xll.d.IR_DiscountFactorsToForwardRate(E39,$C$38,$C$39,$C$40)</f>
        <v>1.1734218148106865E-2</v>
      </c>
      <c r="G39" s="569">
        <f>(LN(C38)-LN(C39))/C40</f>
        <v>1.1734218148106865E-2</v>
      </c>
      <c r="H39" s="570" t="str" cm="1">
        <f t="array" ref="H39">_xll.d.TestUtils_Equal(F39,G39,0.0001)</f>
        <v>Ok</v>
      </c>
      <c r="I39" s="519"/>
      <c r="J39" s="138" t="s">
        <v>493</v>
      </c>
      <c r="K39" s="560">
        <v>0.9993298952745</v>
      </c>
      <c r="L39" s="519"/>
      <c r="M39" s="519"/>
      <c r="N39" s="519"/>
      <c r="O39" s="561"/>
      <c r="P39" s="561"/>
      <c r="Q39" s="561"/>
      <c r="R39" s="561"/>
      <c r="S39" s="561"/>
      <c r="T39" s="561"/>
    </row>
    <row r="40" spans="2:24" x14ac:dyDescent="0.25">
      <c r="B40" s="140" t="s">
        <v>495</v>
      </c>
      <c r="C40" s="141">
        <v>0.25</v>
      </c>
      <c r="D40" s="519"/>
      <c r="E40" s="563" t="s">
        <v>99</v>
      </c>
      <c r="F40" s="568" cm="1">
        <f t="array" ref="F40">_xll.d.IR_DiscountFactorsToForwardRate(E40,$C$38,$C$39,$C$40)</f>
        <v>1.1803334162116208E-2</v>
      </c>
      <c r="G40" s="569">
        <f>EXP((LN(C38)-LN(C39))/C40)-1</f>
        <v>1.1803334162116208E-2</v>
      </c>
      <c r="H40" s="570" t="str" cm="1">
        <f t="array" ref="H40">_xll.d.TestUtils_Equal(F40,G40,0.0001)</f>
        <v>Ok</v>
      </c>
      <c r="I40" s="519"/>
      <c r="J40" s="138" t="s">
        <v>494</v>
      </c>
      <c r="K40" s="560">
        <v>0.99640260231230005</v>
      </c>
      <c r="L40" s="519"/>
      <c r="M40" s="519"/>
      <c r="N40" s="519"/>
      <c r="O40" s="561"/>
      <c r="P40" s="561"/>
      <c r="Q40" s="561"/>
      <c r="R40" s="561"/>
      <c r="S40" s="561"/>
      <c r="T40" s="561"/>
    </row>
    <row r="41" spans="2:24" x14ac:dyDescent="0.25">
      <c r="D41" s="519"/>
      <c r="E41" s="563" t="s">
        <v>100</v>
      </c>
      <c r="F41" s="568" cm="1">
        <f t="array" ref="F41">_xll.d.IR_DiscountFactorsToForwardRate(E41,$C$38,$C$39,$C$40)</f>
        <v>1.1768708536959327E-2</v>
      </c>
      <c r="G41" s="569">
        <f>((EXP((LN(C38)-LN(C39))/C40))^(0.5)-1)*2</f>
        <v>1.1768708536959327E-2</v>
      </c>
      <c r="H41" s="570" t="str" cm="1">
        <f t="array" ref="H41">_xll.d.TestUtils_Equal(F41,G41,0.0001)</f>
        <v>Ok</v>
      </c>
      <c r="I41" s="519"/>
      <c r="J41" s="140" t="s">
        <v>495</v>
      </c>
      <c r="K41" s="141">
        <v>0.25</v>
      </c>
      <c r="L41" s="519"/>
      <c r="M41" s="519"/>
      <c r="N41" s="519"/>
      <c r="O41" s="561"/>
      <c r="P41" s="561"/>
      <c r="Q41" s="561"/>
      <c r="R41" s="561"/>
      <c r="S41" s="561"/>
      <c r="T41" s="561"/>
    </row>
    <row r="42" spans="2:24" x14ac:dyDescent="0.25">
      <c r="E42" s="563" t="s">
        <v>81</v>
      </c>
      <c r="F42" s="568" cm="1">
        <f t="array" ref="F42">_xll.d.IR_DiscountFactorsToForwardRate(E42,$C$38,$C$39,$C$40)</f>
        <v>1.1751446475177119E-2</v>
      </c>
      <c r="G42" s="569">
        <f>((EXP((LN(C38)-LN(C39))/C40))^(1/4)-1)*4</f>
        <v>1.1751446475177119E-2</v>
      </c>
      <c r="H42" s="570" t="str" cm="1">
        <f t="array" ref="H42">_xll.d.TestUtils_Equal(F42,G42,0.0001)</f>
        <v>Ok</v>
      </c>
      <c r="I42" s="519"/>
      <c r="J42" s="519"/>
      <c r="K42" s="519"/>
      <c r="L42" s="519"/>
    </row>
    <row r="43" spans="2:24" x14ac:dyDescent="0.25">
      <c r="E43" s="564" t="s">
        <v>80</v>
      </c>
      <c r="F43" s="571" cm="1">
        <f t="array" ref="F43">_xll.d.IR_DiscountFactorsToForwardRate(E43,$C$38,$C$39,$C$40)</f>
        <v>1.1739957180076033E-2</v>
      </c>
      <c r="G43" s="572">
        <f>((EXP((LN(C38)-LN(C39))/C40))^(1/12)-1)*12</f>
        <v>1.1739957180076033E-2</v>
      </c>
      <c r="H43" s="573" t="str" cm="1">
        <f t="array" ref="H43">_xll.d.TestUtils_Equal(F43,G43,0.0001)</f>
        <v>Ok</v>
      </c>
      <c r="J43" s="519"/>
      <c r="K43" s="519"/>
    </row>
  </sheetData>
  <mergeCells count="3">
    <mergeCell ref="N21:N26"/>
    <mergeCell ref="E21:E26"/>
    <mergeCell ref="W21:W26"/>
  </mergeCells>
  <conditionalFormatting sqref="D7:D8">
    <cfRule type="cellIs" dxfId="219" priority="61" stopIfTrue="1" operator="equal">
      <formula>"ERROR"</formula>
    </cfRule>
    <cfRule type="cellIs" dxfId="218" priority="62" stopIfTrue="1" operator="equal">
      <formula>"OK"</formula>
    </cfRule>
    <cfRule type="cellIs" dxfId="217" priority="63" stopIfTrue="1" operator="equal">
      <formula>"WARNING"</formula>
    </cfRule>
  </conditionalFormatting>
  <conditionalFormatting sqref="C4">
    <cfRule type="cellIs" dxfId="216" priority="58" stopIfTrue="1" operator="equal">
      <formula>"ERROR"</formula>
    </cfRule>
    <cfRule type="cellIs" dxfId="215" priority="59" stopIfTrue="1" operator="equal">
      <formula>"OK"</formula>
    </cfRule>
    <cfRule type="cellIs" dxfId="214" priority="60" stopIfTrue="1" operator="equal">
      <formula>"WARNING"</formula>
    </cfRule>
  </conditionalFormatting>
  <conditionalFormatting sqref="C13">
    <cfRule type="cellIs" dxfId="213" priority="55" stopIfTrue="1" operator="equal">
      <formula>"ERROR"</formula>
    </cfRule>
  </conditionalFormatting>
  <conditionalFormatting sqref="C13">
    <cfRule type="cellIs" dxfId="212" priority="56" stopIfTrue="1" operator="equal">
      <formula>"OK"</formula>
    </cfRule>
  </conditionalFormatting>
  <conditionalFormatting sqref="C13">
    <cfRule type="cellIs" dxfId="211" priority="57" stopIfTrue="1" operator="equal">
      <formula>"WARNING"</formula>
    </cfRule>
  </conditionalFormatting>
  <conditionalFormatting sqref="C31">
    <cfRule type="cellIs" dxfId="210" priority="52" stopIfTrue="1" operator="equal">
      <formula>"ERROR"</formula>
    </cfRule>
  </conditionalFormatting>
  <conditionalFormatting sqref="C31">
    <cfRule type="cellIs" dxfId="209" priority="53" stopIfTrue="1" operator="equal">
      <formula>"OK"</formula>
    </cfRule>
  </conditionalFormatting>
  <conditionalFormatting sqref="C31">
    <cfRule type="cellIs" dxfId="208" priority="54" stopIfTrue="1" operator="equal">
      <formula>"WARNING"</formula>
    </cfRule>
  </conditionalFormatting>
  <conditionalFormatting sqref="Y21:AD26">
    <cfRule type="cellIs" dxfId="207" priority="64" stopIfTrue="1" operator="equal">
      <formula>"ERROR"</formula>
    </cfRule>
    <cfRule type="cellIs" dxfId="206" priority="65" stopIfTrue="1" operator="equal">
      <formula>"OK"</formula>
    </cfRule>
    <cfRule type="cellIs" dxfId="205" priority="66" stopIfTrue="1" operator="equal">
      <formula>"WARNING"</formula>
    </cfRule>
  </conditionalFormatting>
  <conditionalFormatting sqref="C17">
    <cfRule type="cellIs" dxfId="204" priority="16" stopIfTrue="1" operator="equal">
      <formula>"ERROR"</formula>
    </cfRule>
  </conditionalFormatting>
  <conditionalFormatting sqref="C17">
    <cfRule type="cellIs" dxfId="203" priority="17" stopIfTrue="1" operator="equal">
      <formula>"OK"</formula>
    </cfRule>
  </conditionalFormatting>
  <conditionalFormatting sqref="C17">
    <cfRule type="cellIs" dxfId="202" priority="18" stopIfTrue="1" operator="equal">
      <formula>"WARNING"</formula>
    </cfRule>
  </conditionalFormatting>
  <conditionalFormatting sqref="AP20">
    <cfRule type="cellIs" dxfId="201" priority="67" stopIfTrue="1" operator="equal">
      <formula>"ERROR"</formula>
    </cfRule>
    <cfRule type="cellIs" dxfId="200" priority="68" stopIfTrue="1" operator="equal">
      <formula>"OK"</formula>
    </cfRule>
    <cfRule type="cellIs" dxfId="199" priority="69" stopIfTrue="1" operator="equal">
      <formula>"WARNING"</formula>
    </cfRule>
  </conditionalFormatting>
  <conditionalFormatting sqref="AG17">
    <cfRule type="cellIs" dxfId="198" priority="13" stopIfTrue="1" operator="equal">
      <formula>"ERROR"</formula>
    </cfRule>
  </conditionalFormatting>
  <conditionalFormatting sqref="AG17">
    <cfRule type="cellIs" dxfId="197" priority="14" stopIfTrue="1" operator="equal">
      <formula>"OK"</formula>
    </cfRule>
  </conditionalFormatting>
  <conditionalFormatting sqref="AG17">
    <cfRule type="cellIs" dxfId="196" priority="15" stopIfTrue="1" operator="equal">
      <formula>"WARNING"</formula>
    </cfRule>
  </conditionalFormatting>
  <conditionalFormatting sqref="BB20">
    <cfRule type="cellIs" dxfId="195" priority="10" stopIfTrue="1" operator="equal">
      <formula>"ERROR"</formula>
    </cfRule>
    <cfRule type="cellIs" dxfId="194" priority="11" stopIfTrue="1" operator="equal">
      <formula>"OK"</formula>
    </cfRule>
    <cfRule type="cellIs" dxfId="193" priority="12" stopIfTrue="1" operator="equal">
      <formula>"WARNING"</formula>
    </cfRule>
  </conditionalFormatting>
  <conditionalFormatting sqref="AS17">
    <cfRule type="cellIs" dxfId="192" priority="7" stopIfTrue="1" operator="equal">
      <formula>"ERROR"</formula>
    </cfRule>
  </conditionalFormatting>
  <conditionalFormatting sqref="AS17">
    <cfRule type="cellIs" dxfId="191" priority="8" stopIfTrue="1" operator="equal">
      <formula>"OK"</formula>
    </cfRule>
  </conditionalFormatting>
  <conditionalFormatting sqref="AS17">
    <cfRule type="cellIs" dxfId="190" priority="9" stopIfTrue="1" operator="equal">
      <formula>"WARNING"</formula>
    </cfRule>
  </conditionalFormatting>
  <conditionalFormatting sqref="H38:H43">
    <cfRule type="cellIs" dxfId="189" priority="70" stopIfTrue="1" operator="equal">
      <formula>"ERROR"</formula>
    </cfRule>
  </conditionalFormatting>
  <conditionalFormatting sqref="H38:H43">
    <cfRule type="cellIs" dxfId="188" priority="71" stopIfTrue="1" operator="equal">
      <formula>"OK"</formula>
    </cfRule>
  </conditionalFormatting>
  <conditionalFormatting sqref="H38:H43">
    <cfRule type="cellIs" dxfId="187" priority="72" stopIfTrue="1" operator="equal">
      <formula>"WARNING"</formula>
    </cfRule>
  </conditionalFormatting>
  <conditionalFormatting sqref="C35">
    <cfRule type="cellIs" dxfId="186" priority="4" stopIfTrue="1" operator="equal">
      <formula>"ERROR"</formula>
    </cfRule>
  </conditionalFormatting>
  <conditionalFormatting sqref="C35">
    <cfRule type="cellIs" dxfId="185" priority="5" stopIfTrue="1" operator="equal">
      <formula>"OK"</formula>
    </cfRule>
  </conditionalFormatting>
  <conditionalFormatting sqref="C35">
    <cfRule type="cellIs" dxfId="184" priority="6" stopIfTrue="1" operator="equal">
      <formula>"WARNING"</formula>
    </cfRule>
  </conditionalFormatting>
  <conditionalFormatting sqref="K35">
    <cfRule type="cellIs" dxfId="183" priority="1" stopIfTrue="1" operator="equal">
      <formula>"ERROR"</formula>
    </cfRule>
  </conditionalFormatting>
  <conditionalFormatting sqref="K35">
    <cfRule type="cellIs" dxfId="182" priority="2" stopIfTrue="1" operator="equal">
      <formula>"OK"</formula>
    </cfRule>
  </conditionalFormatting>
  <conditionalFormatting sqref="K35">
    <cfRule type="cellIs" dxfId="181" priority="3" stopIfTrue="1" operator="equal">
      <formula>"WARNING"</formula>
    </cfRule>
  </conditionalFormatting>
  <conditionalFormatting sqref="S38">
    <cfRule type="cellIs" dxfId="180" priority="73" stopIfTrue="1" operator="equal">
      <formula>"ERROR"</formula>
    </cfRule>
  </conditionalFormatting>
  <conditionalFormatting sqref="S38">
    <cfRule type="cellIs" dxfId="179" priority="74" stopIfTrue="1" operator="equal">
      <formula>"OK"</formula>
    </cfRule>
  </conditionalFormatting>
  <conditionalFormatting sqref="S38">
    <cfRule type="cellIs" dxfId="178" priority="75" stopIfTrue="1" operator="equal">
      <formula>"WARNING"</formula>
    </cfRule>
  </conditionalFormatting>
  <hyperlinks>
    <hyperlink ref="B1" location="Summary!A1" display="Summary!A1" xr:uid="{A0B9E643-EE9E-4C87-B82D-C24C318C926B}"/>
    <hyperlink ref="B7:C7" location="$B$11" display="$B$11" xr:uid="{358EA6BB-8648-4810-976A-A3C903C39AE9}"/>
    <hyperlink ref="B8:C8" location="$B$34" display="$B$34" xr:uid="{B2296E93-3A8E-468E-89AB-01E278C30A97}"/>
  </hyperlink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Sheet1">
    <tabColor theme="4" tint="-0.499984740745262"/>
  </sheetPr>
  <dimension ref="B1:S46"/>
  <sheetViews>
    <sheetView showGridLines="0" tabSelected="1" topLeftCell="A4" zoomScaleNormal="100" workbookViewId="0">
      <selection activeCell="B32" sqref="B32"/>
    </sheetView>
  </sheetViews>
  <sheetFormatPr defaultRowHeight="15" x14ac:dyDescent="0.25"/>
  <cols>
    <col min="1" max="1" width="3.75" customWidth="1"/>
    <col min="2" max="2" width="17.375" customWidth="1"/>
    <col min="3" max="3" width="14.25" customWidth="1"/>
    <col min="4" max="4" width="11.375" customWidth="1"/>
    <col min="5" max="6" width="10.75" customWidth="1"/>
    <col min="7" max="7" width="20.875" bestFit="1" customWidth="1"/>
    <col min="8" max="8" width="19.75" customWidth="1"/>
    <col min="9" max="9" width="10" customWidth="1"/>
    <col min="10" max="10" width="17.875" customWidth="1"/>
    <col min="11" max="11" width="16.875" customWidth="1"/>
    <col min="12" max="12" width="10" customWidth="1"/>
    <col min="13" max="13" width="18" customWidth="1"/>
    <col min="14" max="14" width="16.875" customWidth="1"/>
    <col min="15" max="15" width="10" customWidth="1"/>
    <col min="17" max="17" width="44.875" customWidth="1"/>
    <col min="18" max="18" width="45.75" customWidth="1"/>
  </cols>
  <sheetData>
    <row r="1" spans="2:19" x14ac:dyDescent="0.25">
      <c r="B1" s="479" t="s">
        <v>429</v>
      </c>
    </row>
    <row r="2" spans="2:19" ht="26.25" x14ac:dyDescent="0.4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4" spans="2:19" x14ac:dyDescent="0.25">
      <c r="B4" s="59" t="s">
        <v>163</v>
      </c>
      <c r="C4" s="59"/>
    </row>
    <row r="5" spans="2:19" x14ac:dyDescent="0.25">
      <c r="B5" s="575" t="s">
        <v>501</v>
      </c>
      <c r="C5" s="178" t="str">
        <f ca="1">C12</f>
        <v>Ok</v>
      </c>
    </row>
    <row r="10" spans="2:19" ht="18.75" x14ac:dyDescent="0.3">
      <c r="B10" s="3" t="s">
        <v>501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</row>
    <row r="12" spans="2:19" x14ac:dyDescent="0.25">
      <c r="B12" s="66" t="s">
        <v>163</v>
      </c>
      <c r="C12" s="178" t="str" cm="1">
        <f t="array" aca="1" ref="C12" ca="1">_xll.d.TestUtils_And(G16,S20)</f>
        <v>Ok</v>
      </c>
    </row>
    <row r="14" spans="2:19" ht="15.75" x14ac:dyDescent="0.25">
      <c r="B14" s="4" t="s">
        <v>74</v>
      </c>
      <c r="C14" s="4"/>
      <c r="D14" s="4"/>
      <c r="F14" s="4" t="s">
        <v>503</v>
      </c>
      <c r="G14" s="4"/>
      <c r="H14" s="4"/>
      <c r="I14" s="4"/>
      <c r="J14" s="4"/>
      <c r="K14" s="4"/>
      <c r="L14" s="4"/>
      <c r="M14" s="4"/>
      <c r="N14" s="4"/>
      <c r="O14" s="4"/>
      <c r="Q14" s="4" t="s">
        <v>113</v>
      </c>
      <c r="R14" s="4"/>
      <c r="S14" s="4"/>
    </row>
    <row r="16" spans="2:19" x14ac:dyDescent="0.25">
      <c r="B16" s="66" t="s">
        <v>3</v>
      </c>
      <c r="C16" s="65" t="str" cm="1">
        <f t="array" aca="1" ref="C16" ca="1">_xll.d.Curve_Create("ExampleCurve",B19:C22,B26:B31,C26:C31)</f>
        <v>@@ExampleCurve::09:43:05</v>
      </c>
      <c r="D16" s="26"/>
      <c r="F16" s="59" t="s">
        <v>130</v>
      </c>
      <c r="G16" s="178" t="str" cm="1">
        <f t="array" aca="1" ref="G16" ca="1">_xll.d.TestUtils_And(I20:I30)</f>
        <v>Ok</v>
      </c>
      <c r="Q16" s="59" t="s">
        <v>130</v>
      </c>
      <c r="R16" s="587" t="str">
        <f ca="1">S20</f>
        <v>Ok</v>
      </c>
    </row>
    <row r="18" spans="2:19" x14ac:dyDescent="0.25">
      <c r="B18" s="12" t="s">
        <v>60</v>
      </c>
      <c r="C18" s="150"/>
      <c r="F18" s="68" t="s">
        <v>2</v>
      </c>
      <c r="H18" s="574" t="s">
        <v>500</v>
      </c>
      <c r="Q18" s="27" t="s">
        <v>162</v>
      </c>
      <c r="R18" s="27"/>
      <c r="S18" s="27"/>
    </row>
    <row r="19" spans="2:19" x14ac:dyDescent="0.25">
      <c r="B19" s="72" t="s">
        <v>31</v>
      </c>
      <c r="C19" s="151" t="s">
        <v>32</v>
      </c>
      <c r="F19" s="12" t="s">
        <v>34</v>
      </c>
      <c r="G19" s="27" t="s">
        <v>77</v>
      </c>
      <c r="H19" s="27" t="s">
        <v>78</v>
      </c>
      <c r="I19" s="27" t="s">
        <v>85</v>
      </c>
      <c r="Q19" s="214" t="s">
        <v>83</v>
      </c>
      <c r="R19" s="215" t="s">
        <v>84</v>
      </c>
      <c r="S19" s="216" t="s">
        <v>85</v>
      </c>
    </row>
    <row r="20" spans="2:19" x14ac:dyDescent="0.25">
      <c r="B20" s="152" t="s">
        <v>73</v>
      </c>
      <c r="C20" s="153" t="s">
        <v>70</v>
      </c>
      <c r="F20" s="17">
        <f>B26</f>
        <v>44562</v>
      </c>
      <c r="G20" s="56">
        <v>1</v>
      </c>
      <c r="H20" s="56" cm="1">
        <f t="array" aca="1" ref="H20" ca="1">_xll.d.Curve_GetDiscountFactors($C$16,F20)</f>
        <v>1</v>
      </c>
      <c r="I20" s="199" t="str" cm="1">
        <f t="array" aca="1" ref="I20" ca="1">_xll.d.TestUtils_Equal(G20,H20)</f>
        <v>Ok</v>
      </c>
      <c r="Q20" s="212" t="str" cm="1">
        <f t="array" aca="1" ref="Q20" ca="1">_xll.d.Curve_GetZeroRates($C$16,$B42,"NACP")</f>
        <v>#∂Excel Error: Invalid compounding convention 'NACP'.</v>
      </c>
      <c r="R20" s="213" t="s">
        <v>504</v>
      </c>
      <c r="S20" s="199" t="str" cm="1">
        <f t="array" aca="1" ref="S20" ca="1">_xll.d.TestUtils_Equal(Q20,R20)</f>
        <v>Ok</v>
      </c>
    </row>
    <row r="21" spans="2:19" x14ac:dyDescent="0.25">
      <c r="B21" s="154" t="s">
        <v>71</v>
      </c>
      <c r="C21" s="155" t="s">
        <v>72</v>
      </c>
      <c r="E21" s="158"/>
      <c r="F21" s="197">
        <v>44576</v>
      </c>
      <c r="G21" s="198">
        <f>EXP((LN(C27)-LN(C26))/((B27-B26)/365)*((F21-B26)/365)+LN(C26))</f>
        <v>0.99547142371128639</v>
      </c>
      <c r="H21" s="198" cm="1">
        <f t="array" aca="1" ref="H21" ca="1">_xll.d.Curve_GetDiscountFactors($C$16,F21)</f>
        <v>0.99547142371128639</v>
      </c>
      <c r="I21" s="199" t="str" cm="1">
        <f t="array" aca="1" ref="I21" ca="1">_xll.d.TestUtils_Equal(G21,H21)</f>
        <v>Ok</v>
      </c>
    </row>
    <row r="22" spans="2:19" x14ac:dyDescent="0.25">
      <c r="B22" s="156" t="s">
        <v>53</v>
      </c>
      <c r="C22" s="157" t="s">
        <v>86</v>
      </c>
      <c r="F22" s="18">
        <f>B27</f>
        <v>44593</v>
      </c>
      <c r="G22" s="57">
        <f ca="1">EXP((LN(C27)-LN(C26))/((B27-B26)/365)*((F22-B26)/365)+LN(C26))</f>
        <v>0.99</v>
      </c>
      <c r="H22" s="57" cm="1">
        <f t="array" aca="1" ref="H22" ca="1">_xll.d.Curve_GetDiscountFactors($C$16,F22)</f>
        <v>0.99</v>
      </c>
      <c r="I22" s="199" t="str" cm="1">
        <f t="array" aca="1" ref="I22" ca="1">_xll.d.TestUtils_Equal(G22,H22)</f>
        <v>Ok</v>
      </c>
    </row>
    <row r="23" spans="2:19" x14ac:dyDescent="0.25">
      <c r="F23" s="197">
        <v>44607</v>
      </c>
      <c r="G23" s="198">
        <f>EXP((LN(C28)-LN(C27))/((B28-B27)/365)*((F23-B27)/365)+LN(C27))</f>
        <v>0.98498730956292024</v>
      </c>
      <c r="H23" s="198" cm="1">
        <f t="array" aca="1" ref="H23" ca="1">_xll.d.Curve_GetDiscountFactors($C$16,F23)</f>
        <v>0.98498730956292024</v>
      </c>
      <c r="I23" s="199" t="str" cm="1">
        <f t="array" aca="1" ref="I23" ca="1">_xll.d.TestUtils_Equal(G23,H23)</f>
        <v>Ok</v>
      </c>
    </row>
    <row r="24" spans="2:19" x14ac:dyDescent="0.25">
      <c r="E24" s="10"/>
      <c r="F24" s="18">
        <f>B28</f>
        <v>44621</v>
      </c>
      <c r="G24" s="57">
        <f>EXP((LN(C28)-LN(C27))/((B28-B27)/365)*((F24-B27)/365)+LN(C27))</f>
        <v>0.98</v>
      </c>
      <c r="H24" s="57" cm="1">
        <f t="array" aca="1" ref="H24" ca="1">_xll.d.Curve_GetDiscountFactors($C$16,F24)</f>
        <v>0.98</v>
      </c>
      <c r="I24" s="199" t="str" cm="1">
        <f t="array" aca="1" ref="I24" ca="1">_xll.d.TestUtils_Equal(G24,H24)</f>
        <v>Ok</v>
      </c>
    </row>
    <row r="25" spans="2:19" x14ac:dyDescent="0.25">
      <c r="B25" s="12" t="s">
        <v>0</v>
      </c>
      <c r="C25" s="13" t="s">
        <v>2</v>
      </c>
      <c r="E25" s="11"/>
      <c r="F25" s="197">
        <v>44635</v>
      </c>
      <c r="G25" s="198">
        <f>EXP((LN(C29)-LN(C28))/((B29-B28)/365)*((F25-B28)/365)+LN(C28))</f>
        <v>0.97547116833738268</v>
      </c>
      <c r="H25" s="198" cm="1">
        <f t="array" aca="1" ref="H25" ca="1">_xll.d.Curve_GetDiscountFactors($C$16,F25)</f>
        <v>0.97547116833738268</v>
      </c>
      <c r="I25" s="199" t="str" cm="1">
        <f t="array" aca="1" ref="I25" ca="1">_xll.d.TestUtils_Equal(G25,H25)</f>
        <v>Ok</v>
      </c>
    </row>
    <row r="26" spans="2:19" x14ac:dyDescent="0.25">
      <c r="B26" s="17">
        <v>44562</v>
      </c>
      <c r="C26" s="69">
        <v>1</v>
      </c>
      <c r="E26" s="8"/>
      <c r="F26" s="18">
        <f>B29</f>
        <v>44652</v>
      </c>
      <c r="G26" s="57">
        <f>EXP((LN(C29)-LN(C28))/((B29-B28)/365)*((F26-B28)/365)+LN(C28))</f>
        <v>0.97</v>
      </c>
      <c r="H26" s="57" cm="1">
        <f t="array" aca="1" ref="H26" ca="1">_xll.d.Curve_GetDiscountFactors($C$16,F26)</f>
        <v>0.97</v>
      </c>
      <c r="I26" s="199" t="str" cm="1">
        <f t="array" aca="1" ref="I26" ca="1">_xll.d.TestUtils_Equal(G26,H26)</f>
        <v>Ok</v>
      </c>
    </row>
    <row r="27" spans="2:19" x14ac:dyDescent="0.25">
      <c r="B27" s="18">
        <v>44593</v>
      </c>
      <c r="C27" s="70">
        <v>0.99</v>
      </c>
      <c r="E27" s="8"/>
      <c r="F27" s="197">
        <v>44666</v>
      </c>
      <c r="G27" s="198">
        <f>EXP((LN(C30)-LN(C29))/((B30-B29)/365)*((F27-B29)/365)+LN(C29))</f>
        <v>0.96532043596444328</v>
      </c>
      <c r="H27" s="198" cm="1">
        <f t="array" aca="1" ref="H27" ca="1">_xll.d.Curve_GetDiscountFactors($C$16,F27)</f>
        <v>0.96532043596444328</v>
      </c>
      <c r="I27" s="199" t="str" cm="1">
        <f t="array" aca="1" ref="I27" ca="1">_xll.d.TestUtils_Equal(G27,H27)</f>
        <v>Ok</v>
      </c>
    </row>
    <row r="28" spans="2:19" x14ac:dyDescent="0.25">
      <c r="B28" s="18">
        <v>44621</v>
      </c>
      <c r="C28" s="70">
        <v>0.98</v>
      </c>
      <c r="F28" s="18">
        <f>B30</f>
        <v>44682</v>
      </c>
      <c r="G28" s="57">
        <f>EXP((LN(C30)-LN(C29))/((B30-B29)/365)*((F28-B29)/365)+LN(C29))</f>
        <v>0.96</v>
      </c>
      <c r="H28" s="57" cm="1">
        <f t="array" aca="1" ref="H28" ca="1">_xll.d.Curve_GetDiscountFactors($C$16,F28)</f>
        <v>0.96</v>
      </c>
      <c r="I28" s="199" t="str" cm="1">
        <f t="array" aca="1" ref="I28" ca="1">_xll.d.TestUtils_Equal(G28,H28)</f>
        <v>Ok</v>
      </c>
    </row>
    <row r="29" spans="2:19" x14ac:dyDescent="0.25">
      <c r="B29" s="18">
        <v>44652</v>
      </c>
      <c r="C29" s="70">
        <v>0.97</v>
      </c>
      <c r="F29" s="197">
        <v>45107</v>
      </c>
      <c r="G29" s="198">
        <f>EXP((LN(C31)-LN(C30))/((B31-B30)/365)*((F29-B30)/365)+LN(C30))</f>
        <v>0.8356958461194135</v>
      </c>
      <c r="H29" s="198" cm="1">
        <f t="array" aca="1" ref="H29" ca="1">_xll.d.Curve_GetDiscountFactors($C$16,F29)</f>
        <v>0.8356958461194135</v>
      </c>
      <c r="I29" s="199" t="str" cm="1">
        <f t="array" aca="1" ref="I29" ca="1">_xll.d.TestUtils_Equal(G29,H29)</f>
        <v>Ok</v>
      </c>
    </row>
    <row r="30" spans="2:19" x14ac:dyDescent="0.25">
      <c r="B30" s="18">
        <v>44682</v>
      </c>
      <c r="C30" s="70">
        <v>0.96</v>
      </c>
      <c r="F30" s="18">
        <f>B31</f>
        <v>46022</v>
      </c>
      <c r="G30" s="57">
        <f>EXP((LN(C31)-LN(C30))/((B31-B30)/365)*((F30-B30)/365)+LN(C30))</f>
        <v>0.62</v>
      </c>
      <c r="H30" s="57" cm="1">
        <f t="array" aca="1" ref="H30" ca="1">_xll.d.Curve_GetDiscountFactors($C$16,F30)</f>
        <v>0.62</v>
      </c>
      <c r="I30" s="199" t="str" cm="1">
        <f t="array" aca="1" ref="I30" ca="1">_xll.d.TestUtils_Equal(G30,H30)</f>
        <v>Ok</v>
      </c>
    </row>
    <row r="31" spans="2:19" x14ac:dyDescent="0.25">
      <c r="B31" s="19">
        <v>46022</v>
      </c>
      <c r="C31" s="71">
        <v>0.62</v>
      </c>
    </row>
    <row r="32" spans="2:19" x14ac:dyDescent="0.25">
      <c r="D32" s="5"/>
      <c r="E32" s="5"/>
    </row>
    <row r="34" spans="2:16" ht="18.75" x14ac:dyDescent="0.3">
      <c r="B34" s="3" t="s">
        <v>505</v>
      </c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</row>
    <row r="35" spans="2:16" x14ac:dyDescent="0.25">
      <c r="E35" s="6"/>
    </row>
    <row r="36" spans="2:16" x14ac:dyDescent="0.25">
      <c r="B36" s="5"/>
      <c r="C36" s="5"/>
      <c r="D36" s="5"/>
      <c r="E36" s="5"/>
    </row>
    <row r="37" spans="2:16" x14ac:dyDescent="0.25">
      <c r="F37" s="5"/>
      <c r="G37" s="5"/>
    </row>
    <row r="38" spans="2:16" x14ac:dyDescent="0.25">
      <c r="F38" s="5"/>
      <c r="G38" s="5"/>
    </row>
    <row r="39" spans="2:16" x14ac:dyDescent="0.25">
      <c r="B39" s="12" t="s">
        <v>82</v>
      </c>
      <c r="C39" s="27"/>
      <c r="D39" s="27"/>
      <c r="E39" s="27"/>
      <c r="F39" s="27"/>
      <c r="G39" s="27"/>
      <c r="H39" s="27"/>
      <c r="I39" s="27"/>
      <c r="J39" s="27"/>
      <c r="K39" s="13"/>
    </row>
    <row r="40" spans="2:16" x14ac:dyDescent="0.25">
      <c r="B40" s="204"/>
      <c r="C40" s="203" t="s">
        <v>79</v>
      </c>
      <c r="D40" s="200"/>
      <c r="E40" s="201"/>
      <c r="F40" s="203" t="s">
        <v>80</v>
      </c>
      <c r="G40" s="200"/>
      <c r="H40" s="201"/>
      <c r="I40" s="203" t="s">
        <v>81</v>
      </c>
      <c r="J40" s="200"/>
      <c r="K40" s="201"/>
    </row>
    <row r="41" spans="2:16" x14ac:dyDescent="0.25">
      <c r="B41" s="205" t="s">
        <v>34</v>
      </c>
      <c r="C41" s="206" t="s">
        <v>75</v>
      </c>
      <c r="D41" s="207" t="s">
        <v>76</v>
      </c>
      <c r="E41" s="208" t="s">
        <v>85</v>
      </c>
      <c r="F41" s="206" t="s">
        <v>75</v>
      </c>
      <c r="G41" s="207" t="s">
        <v>76</v>
      </c>
      <c r="H41" s="208" t="s">
        <v>85</v>
      </c>
      <c r="I41" s="206" t="s">
        <v>75</v>
      </c>
      <c r="J41" s="207" t="s">
        <v>76</v>
      </c>
      <c r="K41" s="208" t="s">
        <v>85</v>
      </c>
    </row>
    <row r="42" spans="2:16" x14ac:dyDescent="0.25">
      <c r="B42" s="18">
        <f>B27</f>
        <v>44593</v>
      </c>
      <c r="C42" s="209">
        <f ca="1">-LN(C27)/YEARFRAC($B$26,B42,3)</f>
        <v>0.11833459956542031</v>
      </c>
      <c r="D42" s="209">
        <f t="array" aca="1" ref="D42:D46" ca="1">_xll.d.Curve_GetZeroRates($C$16,B42:B46,"NACC")</f>
        <v>0.11833459956542096</v>
      </c>
      <c r="E42" s="202" t="str" cm="1">
        <f t="array" aca="1" ref="E42" ca="1">_xll.d.TestUtils_Equal(C42,D42)</f>
        <v>Ok</v>
      </c>
      <c r="F42" s="209">
        <f ca="1">12*($C27^(-1/(12*YEARFRAC($B$26,$B42,3)))-1)</f>
        <v>0.11891998374379664</v>
      </c>
      <c r="G42" s="209">
        <f t="array" aca="1" ref="G42" ca="1">_xll.d.Curve_GetZeroRates($C$16,$B42,"NACM")</f>
        <v>0.11891998374379664</v>
      </c>
      <c r="H42" s="202" t="str" cm="1">
        <f t="array" aca="1" ref="H42" ca="1">_xll.d.TestUtils_Equal(F42,G42)</f>
        <v>Ok</v>
      </c>
      <c r="I42" s="209">
        <f ca="1">4*($C27^(-1/(4*YEARFRAC($B$26,$B42,3)))-1)</f>
        <v>0.12010237358908604</v>
      </c>
      <c r="J42" s="209" cm="1">
        <f t="array" aca="1" ref="J42" ca="1">_xll.d.Curve_GetZeroRates($C$16,$B42,"NACQ")</f>
        <v>0.12010237358908693</v>
      </c>
      <c r="K42" s="202" t="str" cm="1">
        <f t="array" aca="1" ref="K42" ca="1">_xll.d.TestUtils_Equal(I42,J42)</f>
        <v>Ok</v>
      </c>
    </row>
    <row r="43" spans="2:16" x14ac:dyDescent="0.25">
      <c r="B43" s="18">
        <f>B28</f>
        <v>44621</v>
      </c>
      <c r="C43" s="210">
        <f>-LN(C28)/YEARFRAC($B$26,B43,3)</f>
        <v>0.12498285035414584</v>
      </c>
      <c r="D43" s="210">
        <f ca="1"/>
        <v>0.12498285035414587</v>
      </c>
      <c r="E43" s="199" t="str" cm="1">
        <f t="array" aca="1" ref="E43" ca="1">_xll.d.TestUtils_Equal(C43,D43)</f>
        <v>Ok</v>
      </c>
      <c r="F43" s="210">
        <f ca="1">12*($C28^(-1/(12*YEARFRAC($B$26,$B43,3)))-1)</f>
        <v>0.12563597891789247</v>
      </c>
      <c r="G43" s="210" cm="1">
        <f t="array" aca="1" ref="G43" ca="1">_xll.d.Curve_GetZeroRates($C$16,$B43,"NACM")</f>
        <v>0.1256359789178898</v>
      </c>
      <c r="H43" s="199" t="str" cm="1">
        <f t="array" aca="1" ref="H43" ca="1">_xll.d.TestUtils_Equal(F43,G43)</f>
        <v>Ok</v>
      </c>
      <c r="I43" s="210">
        <f ca="1">4*($C28^(-1/(4*YEARFRAC($B$26,$B43,3)))-1)</f>
        <v>0.12695593600029031</v>
      </c>
      <c r="J43" s="210" cm="1">
        <f t="array" aca="1" ref="J43" ca="1">_xll.d.Curve_GetZeroRates($C$16,$B43,"NACQ")</f>
        <v>0.12695593600029031</v>
      </c>
      <c r="K43" s="199" t="str" cm="1">
        <f t="array" aca="1" ref="K43" ca="1">_xll.d.TestUtils_Equal(I43,J43)</f>
        <v>Ok</v>
      </c>
    </row>
    <row r="44" spans="2:16" x14ac:dyDescent="0.25">
      <c r="B44" s="18">
        <f>B29</f>
        <v>44652</v>
      </c>
      <c r="C44" s="210">
        <f>-LN(C29)/YEARFRAC($B$26,B44,3)</f>
        <v>0.12352900813242923</v>
      </c>
      <c r="D44" s="210">
        <f ca="1"/>
        <v>0.12352900813242955</v>
      </c>
      <c r="E44" s="199" t="str" cm="1">
        <f t="array" aca="1" ref="E44" ca="1">_xll.d.TestUtils_Equal(C44,D44)</f>
        <v>Ok</v>
      </c>
      <c r="F44" s="210">
        <f ca="1">12*($C29^(-1/(12*YEARFRAC($B$26,$B44,3)))-1)</f>
        <v>0.12416700444279183</v>
      </c>
      <c r="G44" s="210" cm="1">
        <f t="array" aca="1" ref="G44" ca="1">_xll.d.Curve_GetZeroRates($C$16,$B44,"NACM")</f>
        <v>0.12416700444279183</v>
      </c>
      <c r="H44" s="199" t="str" cm="1">
        <f t="array" aca="1" ref="H44" ca="1">_xll.d.TestUtils_Equal(F44,G44)</f>
        <v>Ok</v>
      </c>
      <c r="I44" s="210">
        <f ca="1">4*($C29^(-1/(4*YEARFRAC($B$26,$B44,3)))-1)</f>
        <v>0.12545622286335512</v>
      </c>
      <c r="J44" s="210" cm="1">
        <f t="array" aca="1" ref="J44" ca="1">_xll.d.Curve_GetZeroRates($C$16,$B44,"NACQ")</f>
        <v>0.12545622286335512</v>
      </c>
      <c r="K44" s="199" t="str" cm="1">
        <f t="array" aca="1" ref="K44" ca="1">_xll.d.TestUtils_Equal(I44,J44)</f>
        <v>Ok</v>
      </c>
    </row>
    <row r="45" spans="2:16" x14ac:dyDescent="0.25">
      <c r="B45" s="18">
        <f>B30</f>
        <v>44682</v>
      </c>
      <c r="C45" s="210">
        <f>-LN(C30)/YEARFRAC($B$26,B45,3)</f>
        <v>0.12416689999910947</v>
      </c>
      <c r="D45" s="210">
        <f ca="1"/>
        <v>0.12416689999910957</v>
      </c>
      <c r="E45" s="199" t="str" cm="1">
        <f t="array" aca="1" ref="E45" ca="1">_xll.d.TestUtils_Equal(C45,D45)</f>
        <v>Ok</v>
      </c>
      <c r="F45" s="210">
        <f ca="1">12*($C30^(-1/(12*YEARFRAC($B$26,$B45,3)))-1)</f>
        <v>0.12481151386647849</v>
      </c>
      <c r="G45" s="210" cm="1">
        <f t="array" aca="1" ref="G45" ca="1">_xll.d.Curve_GetZeroRates($C$16,$B45,"NACM")</f>
        <v>0.12481151386647849</v>
      </c>
      <c r="H45" s="199" t="str" cm="1">
        <f t="array" aca="1" ref="H45" ca="1">_xll.d.TestUtils_Equal(F45,G45)</f>
        <v>Ok</v>
      </c>
      <c r="I45" s="210">
        <f ca="1">4*($C30^(-1/(4*YEARFRAC($B$26,$B45,3)))-1)</f>
        <v>0.12611417406740255</v>
      </c>
      <c r="J45" s="210" cm="1">
        <f t="array" aca="1" ref="J45" ca="1">_xll.d.Curve_GetZeroRates($C$16,$B45,"NACQ")</f>
        <v>0.12611417406740344</v>
      </c>
      <c r="K45" s="199" t="str" cm="1">
        <f t="array" aca="1" ref="K45" ca="1">_xll.d.TestUtils_Equal(I45,J45)</f>
        <v>Ok</v>
      </c>
    </row>
    <row r="46" spans="2:16" x14ac:dyDescent="0.25">
      <c r="B46" s="19">
        <f>B31</f>
        <v>46022</v>
      </c>
      <c r="C46" s="211">
        <f>-LN(C31)/YEARFRAC($B$26,B46,3)</f>
        <v>0.11950895023574995</v>
      </c>
      <c r="D46" s="211">
        <f ca="1"/>
        <v>0.11950895023574998</v>
      </c>
      <c r="E46" s="199" t="str" cm="1">
        <f t="array" aca="1" ref="E46" ca="1">_xll.d.TestUtils_Equal(C46,D46)</f>
        <v>Ok</v>
      </c>
      <c r="F46" s="211">
        <f ca="1">12*($C31^(-1/(12*YEARFRAC($B$26,$B46,3)))-1)</f>
        <v>0.12010603026150424</v>
      </c>
      <c r="G46" s="211" cm="1">
        <f t="array" aca="1" ref="G46" ca="1">_xll.d.Curve_GetZeroRates($C$16,$B46,"NACM")</f>
        <v>0.12010603026150424</v>
      </c>
      <c r="H46" s="199" t="str" cm="1">
        <f t="array" aca="1" ref="H46" ca="1">_xll.d.TestUtils_Equal(F46,G46)</f>
        <v>Ok</v>
      </c>
      <c r="I46" s="211">
        <f ca="1">4*($C31^(-1/(4*YEARFRAC($B$26,$B46,3)))-1)</f>
        <v>0.1213121624159994</v>
      </c>
      <c r="J46" s="211" cm="1">
        <f t="array" aca="1" ref="J46" ca="1">_xll.d.Curve_GetZeroRates($C$16,$B46,"NACQ")</f>
        <v>0.1213121624159994</v>
      </c>
      <c r="K46" s="199" t="str" cm="1">
        <f t="array" aca="1" ref="K46" ca="1">_xll.d.TestUtils_Equal(I46,J46)</f>
        <v>Ok</v>
      </c>
    </row>
  </sheetData>
  <conditionalFormatting sqref="I20:I30">
    <cfRule type="cellIs" dxfId="177" priority="13" stopIfTrue="1" operator="equal">
      <formula>"OK"</formula>
    </cfRule>
    <cfRule type="cellIs" dxfId="176" priority="14" stopIfTrue="1" operator="equal">
      <formula>"ERROR"</formula>
    </cfRule>
  </conditionalFormatting>
  <conditionalFormatting sqref="G16">
    <cfRule type="cellIs" dxfId="175" priority="11" stopIfTrue="1" operator="equal">
      <formula>"OK"</formula>
    </cfRule>
    <cfRule type="cellIs" dxfId="174" priority="12" stopIfTrue="1" operator="equal">
      <formula>"ERROR"</formula>
    </cfRule>
  </conditionalFormatting>
  <conditionalFormatting sqref="C12">
    <cfRule type="cellIs" dxfId="173" priority="15" stopIfTrue="1" operator="equal">
      <formula>"OK"</formula>
    </cfRule>
    <cfRule type="cellIs" dxfId="172" priority="16" stopIfTrue="1" operator="equal">
      <formula>"ERROR"</formula>
    </cfRule>
  </conditionalFormatting>
  <conditionalFormatting sqref="E42:E46">
    <cfRule type="cellIs" dxfId="171" priority="9" stopIfTrue="1" operator="equal">
      <formula>"OK"</formula>
    </cfRule>
    <cfRule type="cellIs" dxfId="170" priority="10" stopIfTrue="1" operator="equal">
      <formula>"ERROR"</formula>
    </cfRule>
  </conditionalFormatting>
  <conditionalFormatting sqref="H42:H46">
    <cfRule type="cellIs" dxfId="169" priority="7" stopIfTrue="1" operator="equal">
      <formula>"OK"</formula>
    </cfRule>
    <cfRule type="cellIs" dxfId="168" priority="8" stopIfTrue="1" operator="equal">
      <formula>"ERROR"</formula>
    </cfRule>
  </conditionalFormatting>
  <conditionalFormatting sqref="K42:K46">
    <cfRule type="cellIs" dxfId="167" priority="5" stopIfTrue="1" operator="equal">
      <formula>"OK"</formula>
    </cfRule>
    <cfRule type="cellIs" dxfId="166" priority="6" stopIfTrue="1" operator="equal">
      <formula>"ERROR"</formula>
    </cfRule>
  </conditionalFormatting>
  <conditionalFormatting sqref="S20">
    <cfRule type="cellIs" dxfId="165" priority="3" stopIfTrue="1" operator="equal">
      <formula>"OK"</formula>
    </cfRule>
    <cfRule type="cellIs" dxfId="164" priority="4" stopIfTrue="1" operator="equal">
      <formula>"ERROR"</formula>
    </cfRule>
  </conditionalFormatting>
  <conditionalFormatting sqref="C5">
    <cfRule type="cellIs" dxfId="163" priority="17" stopIfTrue="1" operator="equal">
      <formula>"ERROR"</formula>
    </cfRule>
    <cfRule type="cellIs" dxfId="162" priority="18" stopIfTrue="1" operator="equal">
      <formula>"OK"</formula>
    </cfRule>
    <cfRule type="cellIs" dxfId="161" priority="19" stopIfTrue="1" operator="equal">
      <formula>"WARNING"</formula>
    </cfRule>
  </conditionalFormatting>
  <conditionalFormatting sqref="R16">
    <cfRule type="cellIs" dxfId="160" priority="1" stopIfTrue="1" operator="equal">
      <formula>"OK"</formula>
    </cfRule>
    <cfRule type="cellIs" dxfId="159" priority="2" stopIfTrue="1" operator="equal">
      <formula>"ERROR"</formula>
    </cfRule>
  </conditionalFormatting>
  <hyperlinks>
    <hyperlink ref="B1" location="Summary!A1" display="Summary!A1" xr:uid="{5CD9F595-B2D7-475A-84D7-CAC6BB570153}"/>
    <hyperlink ref="B5" location="$B$10" display="$B$10" xr:uid="{B5B5DB46-8820-412B-8072-B5CC0BD2CED5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heet3">
    <tabColor theme="4" tint="-0.499984740745262"/>
  </sheetPr>
  <dimension ref="B1:AX66"/>
  <sheetViews>
    <sheetView showGridLines="0" zoomScale="115" zoomScaleNormal="115" workbookViewId="0">
      <selection activeCell="N12" sqref="N12"/>
    </sheetView>
  </sheetViews>
  <sheetFormatPr defaultRowHeight="15" x14ac:dyDescent="0.25"/>
  <cols>
    <col min="1" max="1" width="3.75" customWidth="1"/>
    <col min="2" max="3" width="15.5" customWidth="1"/>
    <col min="4" max="4" width="15.8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  <col min="11" max="12" width="3.75" customWidth="1"/>
    <col min="13" max="13" width="17.75" customWidth="1"/>
    <col min="14" max="14" width="10" customWidth="1"/>
    <col min="15" max="15" width="11.25" customWidth="1"/>
    <col min="16" max="16" width="11.875" customWidth="1"/>
    <col min="18" max="18" width="11.375" customWidth="1"/>
    <col min="19" max="19" width="22.5" customWidth="1"/>
    <col min="20" max="20" width="21.5" customWidth="1"/>
    <col min="21" max="21" width="13.5" bestFit="1" customWidth="1"/>
    <col min="22" max="23" width="3.75" customWidth="1"/>
    <col min="24" max="24" width="11.375" customWidth="1"/>
    <col min="26" max="26" width="11" customWidth="1"/>
    <col min="41" max="41" width="20.25" customWidth="1"/>
  </cols>
  <sheetData>
    <row r="1" spans="2:25" x14ac:dyDescent="0.25">
      <c r="B1" s="479" t="s">
        <v>429</v>
      </c>
    </row>
    <row r="2" spans="2:25" ht="26.25" x14ac:dyDescent="0.4">
      <c r="B2" s="2" t="s">
        <v>21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</row>
    <row r="4" spans="2:25" ht="18.75" x14ac:dyDescent="0.3">
      <c r="B4" s="3" t="s">
        <v>163</v>
      </c>
      <c r="C4" s="3"/>
      <c r="D4" s="3"/>
      <c r="E4" s="3"/>
      <c r="F4" s="3"/>
      <c r="G4" s="3"/>
      <c r="H4" s="3"/>
      <c r="I4" s="3"/>
      <c r="J4" s="3"/>
    </row>
    <row r="6" spans="2:25" x14ac:dyDescent="0.25">
      <c r="B6" s="59" t="s">
        <v>163</v>
      </c>
      <c r="C6" s="178" t="str" cm="1">
        <f t="array" ref="C6">_xll.d.TestUtils_And(D10)</f>
        <v>Ok</v>
      </c>
    </row>
    <row r="8" spans="2:25" x14ac:dyDescent="0.25">
      <c r="B8" s="220" t="s">
        <v>9</v>
      </c>
      <c r="C8" s="220"/>
      <c r="D8" s="221" t="s">
        <v>10</v>
      </c>
      <c r="K8" s="234"/>
      <c r="L8" s="235"/>
      <c r="V8" s="234"/>
      <c r="W8" s="235"/>
    </row>
    <row r="9" spans="2:25" x14ac:dyDescent="0.25">
      <c r="B9" s="269" t="str">
        <f>B17</f>
        <v>ZAR Swap Curve Testing</v>
      </c>
      <c r="C9" s="270"/>
      <c r="D9" s="271"/>
      <c r="K9" s="234"/>
      <c r="L9" s="235"/>
      <c r="V9" s="234"/>
      <c r="W9" s="235"/>
    </row>
    <row r="10" spans="2:25" x14ac:dyDescent="0.25">
      <c r="B10" s="230" t="str">
        <f>B19</f>
        <v>Flat Curve, 3m JIBAR</v>
      </c>
      <c r="C10" s="268"/>
      <c r="D10" s="178" t="str">
        <f>C21</f>
        <v>Ok</v>
      </c>
      <c r="K10" s="234"/>
      <c r="L10" s="235"/>
      <c r="V10" s="234"/>
      <c r="W10" s="235"/>
    </row>
    <row r="11" spans="2:25" x14ac:dyDescent="0.25">
      <c r="K11" s="234"/>
      <c r="L11" s="235"/>
      <c r="V11" s="234"/>
      <c r="W11" s="235"/>
    </row>
    <row r="12" spans="2:25" x14ac:dyDescent="0.25">
      <c r="B12" s="269" t="s">
        <v>218</v>
      </c>
      <c r="C12" s="270"/>
      <c r="D12" s="271"/>
      <c r="K12" s="234"/>
      <c r="L12" s="235"/>
      <c r="V12" s="234"/>
      <c r="W12" s="235"/>
    </row>
    <row r="13" spans="2:25" x14ac:dyDescent="0.25">
      <c r="B13" s="230" t="str">
        <f>M19</f>
        <v>Non-Flat Curve, FEDFUND</v>
      </c>
      <c r="C13" s="268"/>
      <c r="D13" s="178" t="str">
        <f>N21</f>
        <v>Error</v>
      </c>
      <c r="K13" s="234"/>
      <c r="L13" s="235"/>
      <c r="V13" s="234"/>
      <c r="W13" s="235"/>
    </row>
    <row r="14" spans="2:25" x14ac:dyDescent="0.25">
      <c r="B14" s="230"/>
      <c r="C14" s="268"/>
      <c r="D14" s="178"/>
      <c r="K14" s="234"/>
      <c r="L14" s="235"/>
      <c r="V14" s="234"/>
      <c r="W14" s="235"/>
    </row>
    <row r="15" spans="2:25" x14ac:dyDescent="0.25">
      <c r="K15" s="234"/>
      <c r="L15" s="235"/>
      <c r="V15" s="234"/>
      <c r="W15" s="235"/>
    </row>
    <row r="16" spans="2:25" x14ac:dyDescent="0.25">
      <c r="K16" s="234"/>
      <c r="L16" s="235"/>
      <c r="V16" s="234"/>
      <c r="W16" s="235"/>
    </row>
    <row r="17" spans="2:50" ht="18.75" x14ac:dyDescent="0.3">
      <c r="B17" s="3" t="s">
        <v>239</v>
      </c>
      <c r="C17" s="3"/>
      <c r="D17" s="3"/>
      <c r="E17" s="3"/>
      <c r="F17" s="3"/>
      <c r="G17" s="3"/>
      <c r="H17" s="3"/>
      <c r="I17" s="3"/>
      <c r="J17" s="3"/>
      <c r="K17" s="234"/>
      <c r="L17" s="235"/>
      <c r="M17" s="3" t="s">
        <v>240</v>
      </c>
      <c r="N17" s="3"/>
      <c r="O17" s="3"/>
      <c r="P17" s="3"/>
      <c r="Q17" s="3"/>
      <c r="R17" s="3"/>
      <c r="S17" s="3"/>
      <c r="T17" s="3"/>
      <c r="U17" s="3"/>
      <c r="V17" s="234"/>
      <c r="W17" s="235"/>
      <c r="X17" s="3" t="s">
        <v>209</v>
      </c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</row>
    <row r="18" spans="2:50" x14ac:dyDescent="0.25">
      <c r="K18" s="234"/>
      <c r="L18" s="235"/>
      <c r="V18" s="234"/>
      <c r="W18" s="235"/>
    </row>
    <row r="19" spans="2:50" ht="15.75" x14ac:dyDescent="0.25">
      <c r="B19" s="4" t="s">
        <v>220</v>
      </c>
      <c r="C19" s="4"/>
      <c r="D19" s="4"/>
      <c r="E19" s="4"/>
      <c r="F19" s="4"/>
      <c r="G19" s="4"/>
      <c r="H19" s="4"/>
      <c r="I19" s="4"/>
      <c r="J19" s="4"/>
      <c r="K19" s="234"/>
      <c r="L19" s="235"/>
      <c r="M19" s="4" t="s">
        <v>241</v>
      </c>
      <c r="N19" s="4"/>
      <c r="O19" s="4"/>
      <c r="P19" s="4"/>
      <c r="Q19" s="4"/>
      <c r="R19" s="4"/>
      <c r="S19" s="4"/>
      <c r="T19" s="4"/>
      <c r="U19" s="4"/>
      <c r="V19" s="234"/>
      <c r="W19" s="235"/>
      <c r="X19" t="s">
        <v>215</v>
      </c>
      <c r="AH19" t="s">
        <v>210</v>
      </c>
    </row>
    <row r="20" spans="2:50" x14ac:dyDescent="0.25">
      <c r="K20" s="234"/>
      <c r="L20" s="235"/>
      <c r="V20" s="234"/>
      <c r="W20" s="235"/>
    </row>
    <row r="21" spans="2:50" x14ac:dyDescent="0.25">
      <c r="B21" s="59" t="s">
        <v>130</v>
      </c>
      <c r="C21" s="178" t="str" cm="1">
        <f t="array" ref="C21">_xll.d.TestUtils_And(J23:J28)</f>
        <v>Ok</v>
      </c>
      <c r="G21" s="265" t="s">
        <v>238</v>
      </c>
      <c r="H21" s="266"/>
      <c r="I21" s="266"/>
      <c r="J21" s="267"/>
      <c r="K21" s="234"/>
      <c r="L21" s="235"/>
      <c r="M21" s="59" t="s">
        <v>130</v>
      </c>
      <c r="N21" s="178" t="str" cm="1">
        <f t="array" ref="N21">_xll.d.TestUtils_And(U23:U39)</f>
        <v>Error</v>
      </c>
      <c r="R21" s="134" t="s">
        <v>238</v>
      </c>
      <c r="S21" s="223"/>
      <c r="T21" s="223"/>
      <c r="U21" s="135"/>
      <c r="V21" s="234"/>
      <c r="W21" s="235"/>
      <c r="X21" s="66" t="s">
        <v>40</v>
      </c>
      <c r="Y21" s="66"/>
      <c r="Z21" s="301" t="str" cm="1">
        <f t="array" ref="Z21">_xll.d.Curve_SingleCurveBootstrap("ZARCurve",X25:Y27,X32:Z37,X39:Z42,X44:Z47)</f>
        <v>#∂Excel Error: Base date missing from curve parameters.</v>
      </c>
      <c r="AA21" s="39"/>
      <c r="AB21" s="39"/>
      <c r="AC21" s="39"/>
      <c r="AD21" s="243"/>
      <c r="AH21" s="66" t="s">
        <v>40</v>
      </c>
      <c r="AI21" s="66"/>
      <c r="AJ21" s="242" t="str" cm="1">
        <f t="array" ref="AJ21">_xll.d.Curve_SingleCurveBootstrap("ZARCurve",AH25:AI27,AH32:AJ37,AH39:AJ42,AH44:AJ47)</f>
        <v xml:space="preserve">#∂Excel Error: Unsupported rate index: </v>
      </c>
      <c r="AK21" s="243"/>
      <c r="AM21" t="s">
        <v>211</v>
      </c>
      <c r="AS21" s="66" t="s">
        <v>40</v>
      </c>
      <c r="AT21" s="66"/>
      <c r="AU21" s="242" t="str" cm="1">
        <f t="array" ref="AU21">_xll.d.Curve_SingleCurveBootstrap("ZARCurve",AS25:AT28,AS32:AU37,AS39:AU42,AS44:AU47)</f>
        <v xml:space="preserve">#∂Excel Error: Unsupported rate index: </v>
      </c>
      <c r="AV21" s="243"/>
      <c r="AX21" t="s">
        <v>213</v>
      </c>
    </row>
    <row r="22" spans="2:50" x14ac:dyDescent="0.25">
      <c r="G22" s="72" t="s">
        <v>34</v>
      </c>
      <c r="H22" s="73" t="s">
        <v>41</v>
      </c>
      <c r="I22" s="73" t="s">
        <v>42</v>
      </c>
      <c r="J22" s="74" t="s">
        <v>85</v>
      </c>
      <c r="K22" s="234"/>
      <c r="L22" s="235"/>
      <c r="R22" s="72" t="s">
        <v>34</v>
      </c>
      <c r="S22" s="73" t="s">
        <v>41</v>
      </c>
      <c r="T22" s="73" t="s">
        <v>42</v>
      </c>
      <c r="U22" s="74" t="s">
        <v>9</v>
      </c>
      <c r="V22" s="234"/>
      <c r="W22" s="235"/>
    </row>
    <row r="23" spans="2:50" x14ac:dyDescent="0.25">
      <c r="G23" s="262">
        <f>C29</f>
        <v>44713</v>
      </c>
      <c r="H23" s="272">
        <v>1</v>
      </c>
      <c r="I23" s="272" cm="1">
        <f t="array" ref="I23">_xll.d.Curve_GetDiscountFactors($D$24,G23)</f>
        <v>1</v>
      </c>
      <c r="J23" s="251" t="str" cm="1">
        <f t="array" ref="J23">_xll.d.TestUtils_Equal(H23,I23,0.00001)</f>
        <v>Ok</v>
      </c>
      <c r="K23" s="234"/>
      <c r="L23" s="235"/>
      <c r="R23" s="302">
        <f>N29</f>
        <v>44655</v>
      </c>
      <c r="S23" s="313">
        <v>1</v>
      </c>
      <c r="T23" s="320" cm="1">
        <f t="array" ref="T23">_xll.d.Curve_GetDiscountFactors($O$24,R23)</f>
        <v>1</v>
      </c>
      <c r="U23" s="304" t="str" cm="1">
        <f t="array" ref="U23">_xll.d.TestUtils_Equal(S23,T23,0.001)</f>
        <v>Ok</v>
      </c>
      <c r="V23" s="234"/>
      <c r="W23" s="235"/>
      <c r="Z23" t="s">
        <v>214</v>
      </c>
    </row>
    <row r="24" spans="2:50" x14ac:dyDescent="0.25">
      <c r="B24" s="66" t="s">
        <v>40</v>
      </c>
      <c r="C24" s="66"/>
      <c r="D24" s="242" t="str" cm="1">
        <f t="array" ref="D24">_xll.d.Curve_SingleCurveBootstrap("ZARCurve",B27:C31,,B33:D37,B39:D43,B45:D48)</f>
        <v>@@ZARCurve::09:36:08</v>
      </c>
      <c r="E24" s="243"/>
      <c r="G24" s="263">
        <f>EDATE(G23,1)</f>
        <v>44743</v>
      </c>
      <c r="H24" s="273">
        <f>1/(1+YEARFRAC($G$23,G24,3)*C35)</f>
        <v>0.99184782608695643</v>
      </c>
      <c r="I24" s="273" cm="1">
        <f t="array" ref="I24">_xll.d.Curve_GetDiscountFactors($D$24,G24)</f>
        <v>0.99184782608695665</v>
      </c>
      <c r="J24" s="255" t="str" cm="1">
        <f t="array" ref="J24">_xll.d.TestUtils_Equal(H24,I24,0.00001)</f>
        <v>Ok</v>
      </c>
      <c r="K24" s="234"/>
      <c r="L24" s="235"/>
      <c r="M24" s="66" t="s">
        <v>40</v>
      </c>
      <c r="N24" s="66"/>
      <c r="O24" s="242" t="str" cm="1">
        <f t="array" ref="O24">_xll.d.Curve_SingleCurveBootstrap("USDOIS",M27:N31,,M34:O36,M38:O59)</f>
        <v>@@USDOIS::09:36:08</v>
      </c>
      <c r="P24" s="243"/>
      <c r="R24" s="303">
        <f t="shared" ref="R24:R32" si="0">M40</f>
        <v>44685</v>
      </c>
      <c r="S24" s="314">
        <f>1/(1+N40*(M40-$R$23)/360)</f>
        <v>0.99971508120185737</v>
      </c>
      <c r="T24" s="321" cm="1">
        <f t="array" ref="T24">_xll.d.Curve_GetDiscountFactors($O$24,R24)</f>
        <v>0.99971508120185748</v>
      </c>
      <c r="U24" s="305" t="str" cm="1">
        <f t="array" ref="U24">_xll.d.TestUtils_Equal(S24,T24,0.001)</f>
        <v>Ok</v>
      </c>
      <c r="V24" s="234"/>
      <c r="W24" s="235"/>
    </row>
    <row r="25" spans="2:50" x14ac:dyDescent="0.25">
      <c r="G25" s="263">
        <f>EDATE(G23,2)</f>
        <v>44774</v>
      </c>
      <c r="H25" s="273">
        <f>1/(1+YEARFRAC($G$23,G25,3)*C36)</f>
        <v>0.98356238210724867</v>
      </c>
      <c r="I25" s="273" cm="1">
        <f t="array" ref="I25">_xll.d.Curve_GetDiscountFactors($D$24,G25)</f>
        <v>0.98356238210724867</v>
      </c>
      <c r="J25" s="255" t="str" cm="1">
        <f t="array" ref="J25">_xll.d.TestUtils_Equal(H25,I25,0.00001)</f>
        <v>Ok</v>
      </c>
      <c r="K25" s="234"/>
      <c r="L25" s="235"/>
      <c r="R25" s="303">
        <f t="shared" si="0"/>
        <v>44718</v>
      </c>
      <c r="S25" s="314">
        <f>1/(1+N41*(M41-$R$23)/360)</f>
        <v>0.99901222666088896</v>
      </c>
      <c r="T25" s="321" cm="1">
        <f t="array" ref="T25">_xll.d.Curve_GetDiscountFactors($O$24,R25)</f>
        <v>0.99901222666088918</v>
      </c>
      <c r="U25" s="305" t="str" cm="1">
        <f t="array" ref="U25">_xll.d.TestUtils_Equal(S25,T25,0.001)</f>
        <v>Ok</v>
      </c>
      <c r="V25" s="234"/>
      <c r="W25" s="235"/>
      <c r="X25" s="58" t="s">
        <v>60</v>
      </c>
      <c r="Y25" s="59"/>
      <c r="AH25" s="58" t="s">
        <v>60</v>
      </c>
      <c r="AI25" s="59"/>
      <c r="AS25" s="58" t="s">
        <v>60</v>
      </c>
      <c r="AT25" s="59"/>
    </row>
    <row r="26" spans="2:50" x14ac:dyDescent="0.25">
      <c r="G26" s="263">
        <f>EDATE(G23,3)</f>
        <v>44805</v>
      </c>
      <c r="H26" s="273">
        <f>1/(1+YEARFRAC($G$23,G26,3)*C37)</f>
        <v>0.97541421699625863</v>
      </c>
      <c r="I26" s="273" cm="1">
        <f t="array" ref="I26">_xll.d.Curve_GetDiscountFactors($D$24,G26)</f>
        <v>0.97541421699625874</v>
      </c>
      <c r="J26" s="255" t="str" cm="1">
        <f t="array" ref="J26">_xll.d.TestUtils_Equal(H26,I26,0.00001)</f>
        <v>Ok</v>
      </c>
      <c r="K26" s="234"/>
      <c r="L26" s="235"/>
      <c r="R26" s="303">
        <f t="shared" si="0"/>
        <v>44747</v>
      </c>
      <c r="S26" s="314">
        <f t="shared" ref="S26:S32" si="1">1/(1+N42*(M42-$R$23)/360)</f>
        <v>0.99816847176192491</v>
      </c>
      <c r="T26" s="321" cm="1">
        <f t="array" ref="T26">_xll.d.Curve_GetDiscountFactors($O$24,R26)</f>
        <v>0.9981684717619248</v>
      </c>
      <c r="U26" s="305" t="str" cm="1">
        <f t="array" ref="U26">_xll.d.TestUtils_Equal(S26,T26,0.001)</f>
        <v>Ok</v>
      </c>
      <c r="V26" s="234"/>
      <c r="W26" s="235"/>
      <c r="X26" s="60" t="s">
        <v>31</v>
      </c>
      <c r="Y26" s="61" t="s">
        <v>32</v>
      </c>
      <c r="AH26" s="60" t="s">
        <v>31</v>
      </c>
      <c r="AI26" s="61" t="s">
        <v>32</v>
      </c>
      <c r="AS26" s="60" t="s">
        <v>31</v>
      </c>
      <c r="AT26" s="61" t="s">
        <v>32</v>
      </c>
    </row>
    <row r="27" spans="2:50" x14ac:dyDescent="0.25">
      <c r="B27" s="12" t="s">
        <v>60</v>
      </c>
      <c r="C27" s="13"/>
      <c r="G27" s="263">
        <f>EDATE(G23,6)</f>
        <v>44896</v>
      </c>
      <c r="H27" s="273">
        <f>H26*1/(1+YEARFRAC($G$26,G27,3)*C41)</f>
        <v>0.95168722053898536</v>
      </c>
      <c r="I27" s="273" cm="1">
        <f t="array" ref="I27">_xll.d.Curve_GetDiscountFactors($D$24,G27)</f>
        <v>0.95168722053898547</v>
      </c>
      <c r="J27" s="255" t="str" cm="1">
        <f t="array" ref="J27">_xll.d.TestUtils_Equal(H27,I27,0.00001)</f>
        <v>Ok</v>
      </c>
      <c r="K27" s="234"/>
      <c r="L27" s="235"/>
      <c r="M27" s="12" t="s">
        <v>60</v>
      </c>
      <c r="N27" s="13"/>
      <c r="R27" s="303">
        <f t="shared" si="0"/>
        <v>44777</v>
      </c>
      <c r="S27" s="314">
        <f t="shared" si="1"/>
        <v>0.99710750192663333</v>
      </c>
      <c r="T27" s="321" cm="1">
        <f t="array" ref="T27">_xll.d.Curve_GetDiscountFactors($O$24,R27)</f>
        <v>0.99710750192663322</v>
      </c>
      <c r="U27" s="305" t="str" cm="1">
        <f t="array" ref="U27">_xll.d.TestUtils_Equal(S27,T27,0.001)</f>
        <v>Ok</v>
      </c>
      <c r="V27" s="234"/>
      <c r="W27" s="235"/>
      <c r="X27" s="248" t="s">
        <v>35</v>
      </c>
      <c r="Y27" s="249" t="s">
        <v>36</v>
      </c>
      <c r="AA27" s="62"/>
      <c r="AH27" s="244" t="s">
        <v>208</v>
      </c>
      <c r="AI27" s="46">
        <v>44713</v>
      </c>
      <c r="AK27" s="62"/>
      <c r="AS27" s="244" t="s">
        <v>208</v>
      </c>
      <c r="AT27" s="46">
        <v>44713</v>
      </c>
      <c r="AV27" s="62"/>
    </row>
    <row r="28" spans="2:50" x14ac:dyDescent="0.25">
      <c r="B28" s="72" t="s">
        <v>31</v>
      </c>
      <c r="C28" s="74" t="s">
        <v>32</v>
      </c>
      <c r="G28" s="264">
        <f>EDATE(G23,9)</f>
        <v>44986</v>
      </c>
      <c r="H28" s="274">
        <f>H27*1/(1+C42*YEARFRAC(G27,G28,3))</f>
        <v>0.92878565640836808</v>
      </c>
      <c r="I28" s="274" cm="1">
        <f t="array" ref="I28">_xll.d.Curve_GetDiscountFactors($D$24,G28)</f>
        <v>0.92878565640836819</v>
      </c>
      <c r="J28" s="253" t="str" cm="1">
        <f t="array" ref="J28">_xll.d.TestUtils_Equal(H28,I28,0.00001)</f>
        <v>Ok</v>
      </c>
      <c r="K28" s="234"/>
      <c r="L28" s="235"/>
      <c r="M28" s="72" t="s">
        <v>31</v>
      </c>
      <c r="N28" s="74" t="s">
        <v>32</v>
      </c>
      <c r="R28" s="303">
        <f t="shared" si="0"/>
        <v>44810</v>
      </c>
      <c r="S28" s="314">
        <f t="shared" si="1"/>
        <v>0.99567448579981488</v>
      </c>
      <c r="T28" s="321" cm="1">
        <f t="array" ref="T28">_xll.d.Curve_GetDiscountFactors($O$24,R28)</f>
        <v>0.99567448579981488</v>
      </c>
      <c r="U28" s="305" t="str" cm="1">
        <f t="array" ref="U28">_xll.d.TestUtils_Equal(S28,T28,0.001)</f>
        <v>Ok</v>
      </c>
      <c r="V28" s="234"/>
      <c r="W28" s="235"/>
      <c r="X28" s="248"/>
      <c r="Y28" s="249"/>
      <c r="AA28" s="62"/>
      <c r="AH28" s="245"/>
      <c r="AI28" s="246"/>
      <c r="AK28" s="62"/>
      <c r="AS28" s="245" t="s">
        <v>35</v>
      </c>
      <c r="AT28" s="247" t="s">
        <v>212</v>
      </c>
      <c r="AV28" s="62"/>
    </row>
    <row r="29" spans="2:50" x14ac:dyDescent="0.25">
      <c r="B29" s="250" t="s">
        <v>208</v>
      </c>
      <c r="C29" s="254">
        <v>44713</v>
      </c>
      <c r="E29" s="62"/>
      <c r="K29" s="234"/>
      <c r="L29" s="235"/>
      <c r="M29" s="310" t="s">
        <v>208</v>
      </c>
      <c r="N29" s="312">
        <v>44655</v>
      </c>
      <c r="O29" s="8">
        <v>44651</v>
      </c>
      <c r="P29" s="62"/>
      <c r="R29" s="303">
        <f t="shared" si="0"/>
        <v>44838</v>
      </c>
      <c r="S29" s="314">
        <f t="shared" si="1"/>
        <v>0.99434894919688932</v>
      </c>
      <c r="T29" s="321" cm="1">
        <f t="array" ref="T29">_xll.d.Curve_GetDiscountFactors($O$24,R29)</f>
        <v>0.99434894919688921</v>
      </c>
      <c r="U29" s="306" t="str" cm="1">
        <f t="array" ref="U29">_xll.d.TestUtils_Equal(S29,T29,0.001)</f>
        <v>Ok</v>
      </c>
      <c r="V29" s="234"/>
      <c r="W29" s="235"/>
    </row>
    <row r="30" spans="2:50" x14ac:dyDescent="0.25">
      <c r="B30" s="308" t="s">
        <v>247</v>
      </c>
      <c r="C30" s="275" t="s">
        <v>36</v>
      </c>
      <c r="E30" s="62"/>
      <c r="K30" s="234"/>
      <c r="L30" s="235"/>
      <c r="M30" s="308" t="s">
        <v>247</v>
      </c>
      <c r="N30" s="311" t="s">
        <v>66</v>
      </c>
      <c r="P30" s="62"/>
      <c r="R30" s="303">
        <f t="shared" si="0"/>
        <v>44930</v>
      </c>
      <c r="S30" s="314">
        <f t="shared" si="1"/>
        <v>0.98898517758465088</v>
      </c>
      <c r="T30" s="321" cm="1">
        <f t="array" ref="T30">_xll.d.Curve_GetDiscountFactors($O$24,R30)</f>
        <v>0.98898517758465088</v>
      </c>
      <c r="U30" s="306" t="str" cm="1">
        <f t="array" ref="U30">_xll.d.TestUtils_Equal(S30,T30,0.001)</f>
        <v>Ok</v>
      </c>
      <c r="V30" s="234"/>
      <c r="W30" s="235"/>
    </row>
    <row r="31" spans="2:50" x14ac:dyDescent="0.25">
      <c r="B31" s="309" t="s">
        <v>56</v>
      </c>
      <c r="C31" s="253" t="s">
        <v>25</v>
      </c>
      <c r="K31" s="234"/>
      <c r="L31" s="235"/>
      <c r="M31" s="140" t="s">
        <v>56</v>
      </c>
      <c r="N31" s="141" t="s">
        <v>67</v>
      </c>
      <c r="P31" s="62"/>
      <c r="R31" s="303">
        <f t="shared" si="0"/>
        <v>45020</v>
      </c>
      <c r="S31" s="314">
        <f t="shared" si="1"/>
        <v>0.98275228786780011</v>
      </c>
      <c r="T31" s="321" cm="1">
        <f t="array" ref="T31">_xll.d.Curve_GetDiscountFactors($O$24,R31)</f>
        <v>0.98275228786780011</v>
      </c>
      <c r="U31" s="306" t="str" cm="1">
        <f t="array" ref="U31">_xll.d.TestUtils_Equal(S31,T31,0.001)</f>
        <v>Ok</v>
      </c>
      <c r="V31" s="234"/>
      <c r="W31" s="235"/>
    </row>
    <row r="32" spans="2:50" x14ac:dyDescent="0.25">
      <c r="K32" s="234"/>
      <c r="L32" s="235"/>
      <c r="P32" s="62"/>
      <c r="R32" s="303">
        <f t="shared" si="0"/>
        <v>45203</v>
      </c>
      <c r="S32" s="314">
        <f t="shared" si="1"/>
        <v>0.96919510285098431</v>
      </c>
      <c r="T32" s="321" cm="1">
        <f t="array" ref="T32">_xll.d.Curve_GetDiscountFactors($O$24,R32)</f>
        <v>0.96893365478149973</v>
      </c>
      <c r="U32" s="306" t="str" cm="1">
        <f t="array" ref="U32">_xll.d.TestUtils_Equal(S32,T32,0.001)</f>
        <v>Ok</v>
      </c>
      <c r="V32" s="234"/>
      <c r="W32" s="235"/>
      <c r="X32" s="12" t="s">
        <v>22</v>
      </c>
      <c r="Y32" s="13"/>
      <c r="Z32" s="13"/>
      <c r="AH32" s="12" t="s">
        <v>22</v>
      </c>
      <c r="AI32" s="13"/>
      <c r="AJ32" s="13"/>
      <c r="AS32" s="12" t="s">
        <v>22</v>
      </c>
      <c r="AT32" s="13"/>
      <c r="AU32" s="13"/>
    </row>
    <row r="33" spans="2:47" x14ac:dyDescent="0.25">
      <c r="B33" s="12" t="s">
        <v>22</v>
      </c>
      <c r="C33" s="27"/>
      <c r="D33" s="13"/>
      <c r="K33" s="234"/>
      <c r="L33" s="235"/>
      <c r="R33" s="303">
        <f t="shared" ref="R33:R39" si="2">M49</f>
        <v>45386</v>
      </c>
      <c r="S33" s="314">
        <f t="shared" ref="S33:S39" si="3">1/(1+N49*(M49-$R$23)/360)</f>
        <v>0.95528839028731749</v>
      </c>
      <c r="T33" s="321" cm="1">
        <f t="array" ref="T33">_xll.d.Curve_GetDiscountFactors($O$24,R33)</f>
        <v>0.95466125165760329</v>
      </c>
      <c r="U33" s="306" t="str" cm="1">
        <f t="array" ref="U33">_xll.d.TestUtils_Equal(S33,T33,0.001)</f>
        <v>Ok</v>
      </c>
      <c r="V33" s="234"/>
      <c r="W33" s="235"/>
      <c r="X33" s="43" t="s">
        <v>38</v>
      </c>
      <c r="Y33" s="44" t="s">
        <v>39</v>
      </c>
      <c r="Z33" s="45" t="s">
        <v>52</v>
      </c>
      <c r="AH33" s="43" t="s">
        <v>38</v>
      </c>
      <c r="AI33" s="44" t="s">
        <v>39</v>
      </c>
      <c r="AJ33" s="45" t="s">
        <v>52</v>
      </c>
      <c r="AS33" s="43" t="s">
        <v>38</v>
      </c>
      <c r="AT33" s="44" t="s">
        <v>39</v>
      </c>
      <c r="AU33" s="45" t="s">
        <v>52</v>
      </c>
    </row>
    <row r="34" spans="2:47" x14ac:dyDescent="0.25">
      <c r="B34" s="72" t="s">
        <v>38</v>
      </c>
      <c r="C34" s="73" t="s">
        <v>39</v>
      </c>
      <c r="D34" s="74" t="s">
        <v>52</v>
      </c>
      <c r="K34" s="234"/>
      <c r="L34" s="235"/>
      <c r="M34" s="12" t="s">
        <v>22</v>
      </c>
      <c r="N34" s="27"/>
      <c r="O34" s="13"/>
      <c r="Q34" t="s">
        <v>61</v>
      </c>
      <c r="R34" s="303">
        <f t="shared" si="2"/>
        <v>45751</v>
      </c>
      <c r="S34" s="314">
        <f t="shared" si="3"/>
        <v>0.93336499860513777</v>
      </c>
      <c r="T34" s="321" cm="1">
        <f t="array" ref="T34">_xll.d.Curve_GetDiscountFactors($O$24,R34)</f>
        <v>0.93172212162756984</v>
      </c>
      <c r="U34" s="306" t="str" cm="1">
        <f t="array" ref="U34">_xll.d.TestUtils_Equal(S34,T34,0.001)</f>
        <v>Error</v>
      </c>
      <c r="V34" s="234"/>
      <c r="W34" s="235"/>
      <c r="X34" s="42" t="s">
        <v>26</v>
      </c>
      <c r="Y34" s="42">
        <v>0.1</v>
      </c>
      <c r="Z34" s="42" t="b">
        <v>1</v>
      </c>
      <c r="AH34" s="42" t="s">
        <v>26</v>
      </c>
      <c r="AI34" s="42">
        <v>0.1</v>
      </c>
      <c r="AJ34" s="42" t="b">
        <v>1</v>
      </c>
      <c r="AS34" s="42" t="s">
        <v>26</v>
      </c>
      <c r="AT34" s="42">
        <v>0.1</v>
      </c>
      <c r="AU34" s="42" t="b">
        <v>1</v>
      </c>
    </row>
    <row r="35" spans="2:47" x14ac:dyDescent="0.25">
      <c r="B35" s="283" t="s">
        <v>26</v>
      </c>
      <c r="C35" s="284">
        <v>0.1</v>
      </c>
      <c r="D35" s="285" t="b">
        <v>1</v>
      </c>
      <c r="F35" s="9"/>
      <c r="G35" s="276"/>
      <c r="K35" s="234"/>
      <c r="L35" s="235"/>
      <c r="M35" s="72" t="s">
        <v>38</v>
      </c>
      <c r="N35" s="73" t="s">
        <v>39</v>
      </c>
      <c r="O35" s="74" t="s">
        <v>52</v>
      </c>
      <c r="Q35" s="323" t="s">
        <v>62</v>
      </c>
      <c r="R35" s="303">
        <f t="shared" si="2"/>
        <v>46118</v>
      </c>
      <c r="S35" s="314">
        <f t="shared" si="3"/>
        <v>0.91503040379147926</v>
      </c>
      <c r="T35" s="321" cm="1">
        <f t="array" ref="T35">_xll.d.Curve_GetDiscountFactors($O$24,R35)</f>
        <v>0.91221752721251526</v>
      </c>
      <c r="U35" s="306" t="str" cm="1">
        <f t="array" ref="U35">_xll.d.TestUtils_Equal(S35,T35,0.001)</f>
        <v>Error</v>
      </c>
      <c r="V35" s="234"/>
      <c r="W35" s="235"/>
      <c r="X35" s="42" t="s">
        <v>27</v>
      </c>
      <c r="Y35" s="42">
        <v>0.1</v>
      </c>
      <c r="Z35" s="42" t="b">
        <v>1</v>
      </c>
      <c r="AH35" s="42" t="s">
        <v>27</v>
      </c>
      <c r="AI35" s="42">
        <v>0.1</v>
      </c>
      <c r="AJ35" s="42" t="b">
        <v>1</v>
      </c>
      <c r="AS35" s="42" t="s">
        <v>27</v>
      </c>
      <c r="AT35" s="42">
        <v>0.1</v>
      </c>
      <c r="AU35" s="42" t="b">
        <v>1</v>
      </c>
    </row>
    <row r="36" spans="2:47" x14ac:dyDescent="0.25">
      <c r="B36" s="286" t="s">
        <v>27</v>
      </c>
      <c r="C36" s="257">
        <v>0.1</v>
      </c>
      <c r="D36" s="287" t="b">
        <v>1</v>
      </c>
      <c r="F36" s="9"/>
      <c r="K36" s="234"/>
      <c r="L36" s="235"/>
      <c r="M36" s="259" t="s">
        <v>67</v>
      </c>
      <c r="N36" s="261">
        <v>3.3E-3</v>
      </c>
      <c r="O36" s="260" t="b">
        <v>1</v>
      </c>
      <c r="R36" s="303">
        <f t="shared" si="2"/>
        <v>46482</v>
      </c>
      <c r="S36" s="314">
        <f t="shared" si="3"/>
        <v>0.8991532224527552</v>
      </c>
      <c r="T36" s="321" cm="1">
        <f t="array" ref="T36">_xll.d.Curve_GetDiscountFactors($O$24,R36)</f>
        <v>0.8950983340626063</v>
      </c>
      <c r="U36" s="306" t="str" cm="1">
        <f t="array" ref="U36">_xll.d.TestUtils_Equal(S36,T36,0.001)</f>
        <v>Error</v>
      </c>
      <c r="V36" s="234"/>
      <c r="W36" s="235"/>
      <c r="X36" s="42" t="s">
        <v>25</v>
      </c>
      <c r="Y36" s="42">
        <v>0.1</v>
      </c>
      <c r="Z36" s="42" t="b">
        <v>1</v>
      </c>
      <c r="AH36" s="42" t="s">
        <v>25</v>
      </c>
      <c r="AI36" s="42">
        <v>0.1</v>
      </c>
      <c r="AJ36" s="42" t="b">
        <v>1</v>
      </c>
      <c r="AS36" s="42" t="s">
        <v>25</v>
      </c>
      <c r="AT36" s="42">
        <v>0.1</v>
      </c>
      <c r="AU36" s="42" t="b">
        <v>1</v>
      </c>
    </row>
    <row r="37" spans="2:47" x14ac:dyDescent="0.25">
      <c r="B37" s="288" t="s">
        <v>25</v>
      </c>
      <c r="C37" s="289">
        <v>0.1</v>
      </c>
      <c r="D37" s="290" t="b">
        <v>1</v>
      </c>
      <c r="F37" s="9"/>
      <c r="K37" s="234"/>
      <c r="L37" s="235"/>
      <c r="R37" s="303">
        <f t="shared" si="2"/>
        <v>47212</v>
      </c>
      <c r="S37" s="314">
        <f t="shared" si="3"/>
        <v>0.86816302924846078</v>
      </c>
      <c r="T37" s="321" cm="1">
        <f t="array" ref="T37">_xll.d.Curve_GetDiscountFactors($O$24,R37)</f>
        <v>0.86082884929520387</v>
      </c>
      <c r="U37" s="306" t="str" cm="1">
        <f t="array" ref="U37">_xll.d.TestUtils_Equal(S37,T37,0.001)</f>
        <v>Error</v>
      </c>
      <c r="V37" s="234"/>
      <c r="W37" s="235"/>
      <c r="X37" s="42" t="s">
        <v>28</v>
      </c>
      <c r="Y37" s="42">
        <v>0.1</v>
      </c>
      <c r="Z37" s="42" t="b">
        <v>1</v>
      </c>
      <c r="AH37" s="42" t="s">
        <v>28</v>
      </c>
      <c r="AI37" s="42">
        <v>0.1</v>
      </c>
      <c r="AJ37" s="42" t="b">
        <v>1</v>
      </c>
      <c r="AS37" s="42" t="s">
        <v>28</v>
      </c>
      <c r="AT37" s="42">
        <v>0.1</v>
      </c>
      <c r="AU37" s="42" t="b">
        <v>1</v>
      </c>
    </row>
    <row r="38" spans="2:47" x14ac:dyDescent="0.25">
      <c r="F38" s="9"/>
      <c r="K38" s="234"/>
      <c r="L38" s="235"/>
      <c r="M38" s="12" t="s">
        <v>65</v>
      </c>
      <c r="N38" s="27"/>
      <c r="O38" s="13"/>
      <c r="R38" s="303">
        <f t="shared" si="2"/>
        <v>48309</v>
      </c>
      <c r="S38" s="314">
        <f t="shared" si="3"/>
        <v>0.8245073259537179</v>
      </c>
      <c r="T38" s="321" cm="1">
        <f t="array" ref="T38">_xll.d.Curve_GetDiscountFactors($O$24,R38)</f>
        <v>0.81064184849750731</v>
      </c>
      <c r="U38" s="306" t="str" cm="1">
        <f t="array" ref="U38">_xll.d.TestUtils_Equal(S38,T38,0.001)</f>
        <v>Error</v>
      </c>
      <c r="V38" s="234"/>
      <c r="W38" s="235"/>
    </row>
    <row r="39" spans="2:47" x14ac:dyDescent="0.25">
      <c r="B39" s="12" t="s">
        <v>37</v>
      </c>
      <c r="C39" s="27"/>
      <c r="D39" s="13"/>
      <c r="F39" s="9"/>
      <c r="K39" s="234"/>
      <c r="L39" s="235"/>
      <c r="M39" s="72" t="s">
        <v>68</v>
      </c>
      <c r="N39" s="73" t="s">
        <v>39</v>
      </c>
      <c r="O39" s="74" t="s">
        <v>52</v>
      </c>
      <c r="R39" s="303">
        <f t="shared" si="2"/>
        <v>49038</v>
      </c>
      <c r="S39" s="314">
        <f t="shared" si="3"/>
        <v>0.79638441475700317</v>
      </c>
      <c r="T39" s="321" cm="1">
        <f t="array" ref="T39">_xll.d.Curve_GetDiscountFactors($O$24,R39)</f>
        <v>0.77697680844404871</v>
      </c>
      <c r="U39" s="306" t="str" cm="1">
        <f t="array" ref="U39">_xll.d.TestUtils_Equal(S39,T39,0.001)</f>
        <v>Error</v>
      </c>
      <c r="V39" s="234"/>
      <c r="W39" s="235"/>
      <c r="X39" s="12" t="s">
        <v>37</v>
      </c>
      <c r="Y39" s="13"/>
      <c r="Z39" s="13"/>
      <c r="AH39" s="12" t="s">
        <v>37</v>
      </c>
      <c r="AI39" s="13"/>
      <c r="AJ39" s="13"/>
      <c r="AS39" s="12" t="s">
        <v>37</v>
      </c>
      <c r="AT39" s="13"/>
      <c r="AU39" s="13"/>
    </row>
    <row r="40" spans="2:47" x14ac:dyDescent="0.25">
      <c r="B40" s="72" t="s">
        <v>221</v>
      </c>
      <c r="C40" s="73" t="s">
        <v>39</v>
      </c>
      <c r="D40" s="74" t="s">
        <v>52</v>
      </c>
      <c r="F40" s="9"/>
      <c r="K40" s="234"/>
      <c r="L40" s="235"/>
      <c r="M40" s="236">
        <v>44685</v>
      </c>
      <c r="N40" s="316">
        <v>3.4199999999999999E-3</v>
      </c>
      <c r="O40" s="238" t="b">
        <v>1</v>
      </c>
      <c r="T40" s="315"/>
      <c r="U40" s="322"/>
      <c r="V40" s="234"/>
      <c r="W40" s="235"/>
      <c r="X40" s="43" t="s">
        <v>38</v>
      </c>
      <c r="Y40" s="44" t="s">
        <v>39</v>
      </c>
      <c r="Z40" s="45" t="s">
        <v>52</v>
      </c>
      <c r="AH40" s="43" t="s">
        <v>38</v>
      </c>
      <c r="AI40" s="44" t="s">
        <v>39</v>
      </c>
      <c r="AJ40" s="45" t="s">
        <v>52</v>
      </c>
      <c r="AS40" s="43" t="s">
        <v>38</v>
      </c>
      <c r="AT40" s="44" t="s">
        <v>39</v>
      </c>
      <c r="AU40" s="45" t="s">
        <v>52</v>
      </c>
    </row>
    <row r="41" spans="2:47" x14ac:dyDescent="0.25">
      <c r="B41" s="292" t="s">
        <v>222</v>
      </c>
      <c r="C41" s="282">
        <v>0.1</v>
      </c>
      <c r="D41" s="281" t="b">
        <v>1</v>
      </c>
      <c r="F41" s="9"/>
      <c r="G41" s="8"/>
      <c r="K41" s="234"/>
      <c r="L41" s="235"/>
      <c r="M41" s="237">
        <v>44718</v>
      </c>
      <c r="N41" s="317">
        <v>5.6499999999999996E-3</v>
      </c>
      <c r="O41" s="239" t="b">
        <v>1</v>
      </c>
      <c r="T41" s="315"/>
      <c r="U41" s="322"/>
      <c r="V41" s="234"/>
      <c r="W41" s="235"/>
      <c r="X41" s="42" t="s">
        <v>28</v>
      </c>
      <c r="Y41" s="42">
        <v>0.1</v>
      </c>
      <c r="Z41" s="42" t="b">
        <v>1</v>
      </c>
      <c r="AH41" s="42" t="s">
        <v>28</v>
      </c>
      <c r="AI41" s="42">
        <v>0.1</v>
      </c>
      <c r="AJ41" s="42" t="b">
        <v>1</v>
      </c>
      <c r="AS41" s="42" t="s">
        <v>28</v>
      </c>
      <c r="AT41" s="42">
        <v>0.1</v>
      </c>
      <c r="AU41" s="42" t="b">
        <v>1</v>
      </c>
    </row>
    <row r="42" spans="2:47" x14ac:dyDescent="0.25">
      <c r="B42" s="293" t="s">
        <v>223</v>
      </c>
      <c r="C42" s="277">
        <v>0.1</v>
      </c>
      <c r="D42" s="278" t="b">
        <v>1</v>
      </c>
      <c r="F42" s="9"/>
      <c r="G42" s="291" t="s">
        <v>219</v>
      </c>
      <c r="K42" s="234"/>
      <c r="L42" s="235"/>
      <c r="M42" s="237">
        <v>44747</v>
      </c>
      <c r="N42" s="317">
        <v>7.1799999999999998E-3</v>
      </c>
      <c r="O42" s="239" t="b">
        <v>1</v>
      </c>
      <c r="T42" s="315"/>
      <c r="U42" s="322"/>
      <c r="V42" s="234"/>
      <c r="W42" s="235"/>
      <c r="X42" s="42" t="s">
        <v>29</v>
      </c>
      <c r="Y42" s="42">
        <v>0.1</v>
      </c>
      <c r="Z42" s="42" t="b">
        <v>1</v>
      </c>
      <c r="AH42" s="42" t="s">
        <v>29</v>
      </c>
      <c r="AI42" s="42">
        <v>0.1</v>
      </c>
      <c r="AJ42" s="42" t="b">
        <v>1</v>
      </c>
      <c r="AS42" s="42" t="s">
        <v>29</v>
      </c>
      <c r="AT42" s="42">
        <v>0.1</v>
      </c>
      <c r="AU42" s="42" t="b">
        <v>1</v>
      </c>
    </row>
    <row r="43" spans="2:47" x14ac:dyDescent="0.25">
      <c r="B43" s="294" t="s">
        <v>224</v>
      </c>
      <c r="C43" s="279">
        <v>0.1</v>
      </c>
      <c r="D43" s="280" t="b">
        <v>1</v>
      </c>
      <c r="F43" s="9"/>
      <c r="G43" t="s">
        <v>243</v>
      </c>
      <c r="K43" s="234"/>
      <c r="L43" s="235"/>
      <c r="M43" s="237">
        <v>44777</v>
      </c>
      <c r="N43" s="317">
        <v>8.5599999999999999E-3</v>
      </c>
      <c r="O43" s="239" t="b">
        <v>1</v>
      </c>
      <c r="T43" s="315"/>
      <c r="U43" s="322"/>
      <c r="V43" s="234"/>
      <c r="W43" s="235"/>
    </row>
    <row r="44" spans="2:47" x14ac:dyDescent="0.25">
      <c r="F44" s="9"/>
      <c r="G44" s="307" t="s">
        <v>242</v>
      </c>
      <c r="K44" s="234"/>
      <c r="L44" s="235"/>
      <c r="M44" s="237">
        <v>44810</v>
      </c>
      <c r="N44" s="317">
        <v>1.0089999999999998E-2</v>
      </c>
      <c r="O44" s="239" t="b">
        <v>1</v>
      </c>
      <c r="T44" s="315"/>
      <c r="U44" s="322"/>
      <c r="V44" s="234"/>
      <c r="W44" s="235"/>
      <c r="X44" s="12" t="s">
        <v>45</v>
      </c>
      <c r="Y44" s="13"/>
      <c r="Z44" s="13"/>
      <c r="AH44" s="12" t="s">
        <v>45</v>
      </c>
      <c r="AI44" s="13"/>
      <c r="AJ44" s="13"/>
      <c r="AS44" s="12" t="s">
        <v>45</v>
      </c>
      <c r="AT44" s="13"/>
      <c r="AU44" s="13"/>
    </row>
    <row r="45" spans="2:47" x14ac:dyDescent="0.25">
      <c r="B45" s="12" t="s">
        <v>45</v>
      </c>
      <c r="C45" s="27"/>
      <c r="D45" s="13"/>
      <c r="K45" s="234"/>
      <c r="L45" s="235"/>
      <c r="M45" s="237">
        <v>44838</v>
      </c>
      <c r="N45" s="317">
        <v>1.1180000000000001E-2</v>
      </c>
      <c r="O45" s="239" t="b">
        <v>1</v>
      </c>
      <c r="V45" s="234"/>
      <c r="W45" s="235"/>
      <c r="X45" s="43" t="s">
        <v>38</v>
      </c>
      <c r="Y45" s="44" t="s">
        <v>39</v>
      </c>
      <c r="Z45" s="45" t="s">
        <v>52</v>
      </c>
      <c r="AH45" s="43" t="s">
        <v>38</v>
      </c>
      <c r="AI45" s="44" t="s">
        <v>39</v>
      </c>
      <c r="AJ45" s="45" t="s">
        <v>52</v>
      </c>
      <c r="AS45" s="43" t="s">
        <v>38</v>
      </c>
      <c r="AT45" s="44" t="s">
        <v>39</v>
      </c>
      <c r="AU45" s="45" t="s">
        <v>52</v>
      </c>
    </row>
    <row r="46" spans="2:47" x14ac:dyDescent="0.25">
      <c r="B46" s="72" t="s">
        <v>38</v>
      </c>
      <c r="C46" s="73" t="s">
        <v>39</v>
      </c>
      <c r="D46" s="74" t="s">
        <v>52</v>
      </c>
      <c r="K46" s="234"/>
      <c r="L46" s="235"/>
      <c r="M46" s="237">
        <v>44930</v>
      </c>
      <c r="N46" s="317">
        <v>1.4579999999999999E-2</v>
      </c>
      <c r="O46" s="239" t="b">
        <v>1</v>
      </c>
      <c r="V46" s="234"/>
      <c r="W46" s="235"/>
      <c r="X46" s="42" t="s">
        <v>62</v>
      </c>
      <c r="Y46" s="42">
        <v>0.1</v>
      </c>
      <c r="Z46" s="42" t="b">
        <v>1</v>
      </c>
      <c r="AH46" s="42" t="s">
        <v>62</v>
      </c>
      <c r="AI46" s="42">
        <v>0.1</v>
      </c>
      <c r="AJ46" s="42" t="b">
        <v>1</v>
      </c>
      <c r="AS46" s="42" t="s">
        <v>62</v>
      </c>
      <c r="AT46" s="42">
        <v>0.1</v>
      </c>
      <c r="AU46" s="42" t="b">
        <v>1</v>
      </c>
    </row>
    <row r="47" spans="2:47" x14ac:dyDescent="0.25">
      <c r="B47" s="250" t="s">
        <v>62</v>
      </c>
      <c r="C47" s="256">
        <v>0.1</v>
      </c>
      <c r="D47" s="251" t="b">
        <v>1</v>
      </c>
      <c r="K47" s="234"/>
      <c r="L47" s="235"/>
      <c r="M47" s="237">
        <v>45020</v>
      </c>
      <c r="N47" s="317">
        <v>1.7310000000000002E-2</v>
      </c>
      <c r="O47" s="239" t="b">
        <v>1</v>
      </c>
      <c r="R47" t="s">
        <v>248</v>
      </c>
      <c r="S47" s="319">
        <f>1/(1+N36*(1/360))</f>
        <v>0.99999083341736039</v>
      </c>
      <c r="V47" s="234"/>
      <c r="W47" s="235"/>
      <c r="X47" s="42" t="s">
        <v>69</v>
      </c>
      <c r="Y47" s="42">
        <v>0.1</v>
      </c>
      <c r="Z47" s="42" t="b">
        <v>1</v>
      </c>
      <c r="AH47" s="42" t="s">
        <v>69</v>
      </c>
      <c r="AI47" s="42">
        <v>0.1</v>
      </c>
      <c r="AJ47" s="42" t="b">
        <v>1</v>
      </c>
      <c r="AS47" s="42" t="s">
        <v>69</v>
      </c>
      <c r="AT47" s="42">
        <v>0.1</v>
      </c>
      <c r="AU47" s="42" t="b">
        <v>1</v>
      </c>
    </row>
    <row r="48" spans="2:47" x14ac:dyDescent="0.25">
      <c r="B48" s="252" t="s">
        <v>69</v>
      </c>
      <c r="C48" s="258">
        <v>0.1</v>
      </c>
      <c r="D48" s="253" t="b">
        <v>1</v>
      </c>
      <c r="K48" s="234"/>
      <c r="L48" s="235"/>
      <c r="M48" s="237">
        <v>45203</v>
      </c>
      <c r="N48" s="317">
        <v>2.0879999999999999E-2</v>
      </c>
      <c r="O48" s="239" t="b">
        <v>1</v>
      </c>
      <c r="R48" t="s">
        <v>79</v>
      </c>
      <c r="S48" s="319">
        <f>EXP(-N36/360)</f>
        <v>0.99999083337534711</v>
      </c>
      <c r="V48" s="234"/>
      <c r="W48" s="235"/>
      <c r="X48" s="64"/>
      <c r="Y48" s="64"/>
      <c r="Z48" s="64"/>
      <c r="AA48" s="64"/>
      <c r="AB48" s="64"/>
      <c r="AC48" s="64"/>
      <c r="AD48" s="64"/>
      <c r="AE48" s="64"/>
      <c r="AF48" s="64"/>
      <c r="AG48" s="64"/>
    </row>
    <row r="49" spans="11:33" x14ac:dyDescent="0.25">
      <c r="K49" s="234"/>
      <c r="L49" s="235"/>
      <c r="M49" s="237">
        <v>45386</v>
      </c>
      <c r="N49" s="317">
        <v>2.3050000000000001E-2</v>
      </c>
      <c r="O49" s="239" t="b">
        <v>1</v>
      </c>
      <c r="R49" t="s">
        <v>249</v>
      </c>
      <c r="S49" s="319">
        <f>(1+N36)^(-1/360)</f>
        <v>0.99999084846701602</v>
      </c>
      <c r="V49" s="234"/>
      <c r="W49" s="235"/>
      <c r="X49" s="64"/>
      <c r="Y49" s="64"/>
      <c r="Z49" s="64"/>
      <c r="AA49" s="64"/>
      <c r="AB49" s="64"/>
      <c r="AC49" s="64"/>
      <c r="AD49" s="64"/>
      <c r="AE49" s="64"/>
      <c r="AF49" s="64"/>
      <c r="AG49" s="64"/>
    </row>
    <row r="50" spans="11:33" x14ac:dyDescent="0.25">
      <c r="K50" s="234"/>
      <c r="L50" s="235"/>
      <c r="M50" s="237">
        <v>45751</v>
      </c>
      <c r="N50" s="317">
        <v>2.3450000000000002E-2</v>
      </c>
      <c r="O50" s="239" t="b">
        <v>1</v>
      </c>
      <c r="V50" s="234"/>
      <c r="W50" s="235"/>
      <c r="X50" s="64"/>
      <c r="Y50" s="64"/>
      <c r="Z50" s="64"/>
      <c r="AA50" s="64"/>
      <c r="AB50" s="64"/>
      <c r="AC50" s="64"/>
      <c r="AD50" s="64"/>
      <c r="AE50" s="64"/>
      <c r="AF50" s="64"/>
      <c r="AG50" s="64"/>
    </row>
    <row r="51" spans="11:33" x14ac:dyDescent="0.25">
      <c r="K51" s="234"/>
      <c r="L51" s="235"/>
      <c r="M51" s="237">
        <v>46118</v>
      </c>
      <c r="N51" s="317">
        <v>2.2850000000000002E-2</v>
      </c>
      <c r="O51" s="239" t="b">
        <v>1</v>
      </c>
      <c r="V51" s="234"/>
      <c r="W51" s="235"/>
      <c r="X51" s="64"/>
      <c r="Y51" s="64"/>
      <c r="Z51" s="64"/>
      <c r="AA51" s="64"/>
      <c r="AB51" s="64"/>
      <c r="AC51" s="64"/>
      <c r="AD51" s="64"/>
      <c r="AE51" s="64"/>
      <c r="AF51" s="64"/>
      <c r="AG51" s="64"/>
    </row>
    <row r="52" spans="11:33" x14ac:dyDescent="0.25">
      <c r="K52" s="234"/>
      <c r="L52" s="235"/>
      <c r="M52" s="237">
        <v>46482</v>
      </c>
      <c r="N52" s="317">
        <v>2.2099999999999998E-2</v>
      </c>
      <c r="O52" s="239" t="b">
        <v>1</v>
      </c>
      <c r="V52" s="234"/>
      <c r="W52" s="235"/>
      <c r="X52" s="64"/>
      <c r="Y52" s="64"/>
      <c r="Z52" s="64"/>
      <c r="AA52" s="64"/>
      <c r="AB52" s="64"/>
      <c r="AC52" s="64"/>
      <c r="AD52" s="64"/>
      <c r="AE52" s="64"/>
      <c r="AF52" s="64"/>
      <c r="AG52" s="64"/>
    </row>
    <row r="53" spans="11:33" x14ac:dyDescent="0.25">
      <c r="K53" s="234"/>
      <c r="L53" s="235"/>
      <c r="M53" s="237">
        <v>47212</v>
      </c>
      <c r="N53" s="317">
        <v>2.138E-2</v>
      </c>
      <c r="O53" s="239" t="b">
        <v>1</v>
      </c>
      <c r="V53" s="234"/>
      <c r="W53" s="235"/>
      <c r="X53" s="64"/>
      <c r="Y53" s="64"/>
      <c r="Z53" s="64"/>
      <c r="AA53" s="64"/>
      <c r="AB53" s="64"/>
      <c r="AC53" s="64"/>
      <c r="AD53" s="64"/>
      <c r="AE53" s="64"/>
      <c r="AF53" s="64"/>
      <c r="AG53" s="64"/>
    </row>
    <row r="54" spans="11:33" x14ac:dyDescent="0.25">
      <c r="K54" s="234"/>
      <c r="L54" s="235"/>
      <c r="M54" s="237">
        <v>48309</v>
      </c>
      <c r="N54" s="317">
        <v>2.0969999999999999E-2</v>
      </c>
      <c r="O54" s="239" t="b">
        <v>1</v>
      </c>
      <c r="V54" s="234"/>
      <c r="W54" s="235"/>
      <c r="X54" s="64"/>
      <c r="Y54" s="64"/>
      <c r="Z54" s="64"/>
      <c r="AA54" s="64"/>
      <c r="AB54" s="64"/>
      <c r="AC54" s="64"/>
      <c r="AD54" s="64"/>
      <c r="AE54" s="64"/>
      <c r="AF54" s="64"/>
      <c r="AG54" s="64"/>
    </row>
    <row r="55" spans="11:33" x14ac:dyDescent="0.25">
      <c r="K55" s="234"/>
      <c r="L55" s="235"/>
      <c r="M55" s="237">
        <v>49038</v>
      </c>
      <c r="N55" s="317">
        <v>2.1000000000000001E-2</v>
      </c>
      <c r="O55" s="239" t="b">
        <v>1</v>
      </c>
      <c r="V55" s="234"/>
      <c r="W55" s="235"/>
      <c r="X55" s="64"/>
      <c r="Y55" s="64"/>
      <c r="Z55" s="64"/>
      <c r="AA55" s="64"/>
      <c r="AB55" s="64"/>
      <c r="AC55" s="64"/>
      <c r="AD55" s="64"/>
      <c r="AE55" s="64"/>
      <c r="AF55" s="64"/>
      <c r="AG55" s="64"/>
    </row>
    <row r="56" spans="11:33" x14ac:dyDescent="0.25">
      <c r="K56" s="234"/>
      <c r="L56" s="235"/>
      <c r="M56" s="237">
        <v>50136</v>
      </c>
      <c r="N56" s="317">
        <v>2.0959999999999999E-2</v>
      </c>
      <c r="O56" s="239" t="b">
        <v>1</v>
      </c>
      <c r="V56" s="234"/>
      <c r="W56" s="235"/>
      <c r="X56" s="64"/>
      <c r="Y56" s="64"/>
      <c r="Z56" s="64"/>
      <c r="AA56" s="64"/>
      <c r="AB56" s="64"/>
      <c r="AC56" s="64"/>
      <c r="AD56" s="64"/>
      <c r="AE56" s="64"/>
      <c r="AF56" s="64"/>
      <c r="AG56" s="64"/>
    </row>
    <row r="57" spans="11:33" x14ac:dyDescent="0.25">
      <c r="K57" s="234"/>
      <c r="L57" s="235"/>
      <c r="M57" s="237">
        <v>51963</v>
      </c>
      <c r="N57" s="317">
        <v>2.0830000000000001E-2</v>
      </c>
      <c r="O57" s="239" t="b">
        <v>1</v>
      </c>
      <c r="V57" s="234"/>
      <c r="W57" s="235"/>
      <c r="X57" s="64"/>
      <c r="Y57" s="64"/>
      <c r="Z57" s="64"/>
      <c r="AA57" s="64"/>
      <c r="AB57" s="64"/>
      <c r="AC57" s="64"/>
      <c r="AD57" s="64"/>
      <c r="AE57" s="64"/>
      <c r="AF57" s="64"/>
      <c r="AG57" s="64"/>
    </row>
    <row r="58" spans="11:33" x14ac:dyDescent="0.25">
      <c r="K58" s="234"/>
      <c r="L58" s="235"/>
      <c r="M58" s="237">
        <v>53786</v>
      </c>
      <c r="N58" s="317">
        <v>2.0250000000000001E-2</v>
      </c>
      <c r="O58" s="239" t="b">
        <v>1</v>
      </c>
      <c r="V58" s="234"/>
      <c r="W58" s="235"/>
      <c r="X58" s="64"/>
      <c r="Y58" s="64"/>
      <c r="Z58" s="64"/>
      <c r="AA58" s="64"/>
      <c r="AB58" s="64"/>
      <c r="AC58" s="64"/>
      <c r="AD58" s="64"/>
      <c r="AE58" s="64"/>
      <c r="AF58" s="64"/>
      <c r="AG58" s="64"/>
    </row>
    <row r="59" spans="11:33" x14ac:dyDescent="0.25">
      <c r="K59" s="234"/>
      <c r="L59" s="235"/>
      <c r="M59" s="241">
        <v>55613</v>
      </c>
      <c r="N59" s="318">
        <v>1.9550000000000001E-2</v>
      </c>
      <c r="O59" s="240" t="b">
        <v>1</v>
      </c>
      <c r="V59" s="234"/>
      <c r="W59" s="235"/>
      <c r="X59" s="64"/>
      <c r="Y59" s="64"/>
      <c r="Z59" s="64"/>
      <c r="AA59" s="64"/>
      <c r="AB59" s="64"/>
      <c r="AC59" s="64"/>
      <c r="AD59" s="64"/>
      <c r="AE59" s="64"/>
      <c r="AF59" s="64"/>
      <c r="AG59" s="64"/>
    </row>
    <row r="60" spans="11:33" x14ac:dyDescent="0.25">
      <c r="K60" s="234"/>
      <c r="L60" s="235"/>
      <c r="V60" s="234"/>
      <c r="W60" s="235"/>
      <c r="X60" s="64"/>
      <c r="Y60" s="64"/>
      <c r="Z60" s="64"/>
      <c r="AA60" s="64"/>
      <c r="AB60" s="64"/>
      <c r="AC60" s="64"/>
      <c r="AD60" s="64"/>
      <c r="AE60" s="64"/>
      <c r="AF60" s="64"/>
      <c r="AG60" s="64"/>
    </row>
    <row r="61" spans="11:33" x14ac:dyDescent="0.25">
      <c r="K61" s="234"/>
      <c r="L61" s="235"/>
      <c r="V61" s="234"/>
      <c r="W61" s="235"/>
    </row>
    <row r="62" spans="11:33" x14ac:dyDescent="0.25">
      <c r="K62" s="234"/>
      <c r="L62" s="235"/>
      <c r="V62" s="234"/>
      <c r="W62" s="235"/>
    </row>
    <row r="63" spans="11:33" x14ac:dyDescent="0.25">
      <c r="K63" s="234"/>
      <c r="L63" s="235"/>
      <c r="V63" s="234"/>
      <c r="W63" s="235"/>
    </row>
    <row r="64" spans="11:33" x14ac:dyDescent="0.25">
      <c r="K64" s="234"/>
      <c r="L64" s="235"/>
      <c r="V64" s="234"/>
      <c r="W64" s="235"/>
    </row>
    <row r="65" spans="11:23" x14ac:dyDescent="0.25">
      <c r="K65" s="234"/>
      <c r="L65" s="235"/>
      <c r="V65" s="234"/>
      <c r="W65" s="235"/>
    </row>
    <row r="66" spans="11:23" x14ac:dyDescent="0.25">
      <c r="K66" s="234"/>
      <c r="L66" s="235"/>
      <c r="V66" s="234"/>
      <c r="W66" s="235"/>
    </row>
  </sheetData>
  <conditionalFormatting sqref="J23:J28 D10 D13:D14">
    <cfRule type="cellIs" dxfId="158" priority="10" stopIfTrue="1" operator="equal">
      <formula>"ERROR"</formula>
    </cfRule>
    <cfRule type="cellIs" dxfId="157" priority="11" stopIfTrue="1" operator="equal">
      <formula>"OK"</formula>
    </cfRule>
    <cfRule type="cellIs" dxfId="156" priority="12" stopIfTrue="1" operator="equal">
      <formula>"WARNING"</formula>
    </cfRule>
  </conditionalFormatting>
  <conditionalFormatting sqref="U23:U39">
    <cfRule type="cellIs" dxfId="155" priority="13" stopIfTrue="1" operator="equal">
      <formula>"ERROR"</formula>
    </cfRule>
    <cfRule type="cellIs" dxfId="154" priority="14" stopIfTrue="1" operator="equal">
      <formula>"OK"</formula>
    </cfRule>
    <cfRule type="cellIs" dxfId="153" priority="15" stopIfTrue="1" operator="equal">
      <formula>"WARNING"</formula>
    </cfRule>
  </conditionalFormatting>
  <conditionalFormatting sqref="C6">
    <cfRule type="cellIs" dxfId="152" priority="7" stopIfTrue="1" operator="equal">
      <formula>"ERROR"</formula>
    </cfRule>
    <cfRule type="cellIs" dxfId="151" priority="8" stopIfTrue="1" operator="equal">
      <formula>"OK"</formula>
    </cfRule>
    <cfRule type="cellIs" dxfId="150" priority="9" stopIfTrue="1" operator="equal">
      <formula>"WARNING"</formula>
    </cfRule>
  </conditionalFormatting>
  <conditionalFormatting sqref="C21">
    <cfRule type="cellIs" dxfId="149" priority="4" stopIfTrue="1" operator="equal">
      <formula>"ERROR"</formula>
    </cfRule>
    <cfRule type="cellIs" dxfId="148" priority="5" stopIfTrue="1" operator="equal">
      <formula>"OK"</formula>
    </cfRule>
    <cfRule type="cellIs" dxfId="147" priority="6" stopIfTrue="1" operator="equal">
      <formula>"WARNING"</formula>
    </cfRule>
  </conditionalFormatting>
  <conditionalFormatting sqref="N21">
    <cfRule type="cellIs" dxfId="146" priority="1" stopIfTrue="1" operator="equal">
      <formula>"ERROR"</formula>
    </cfRule>
    <cfRule type="cellIs" dxfId="145" priority="2" stopIfTrue="1" operator="equal">
      <formula>"OK"</formula>
    </cfRule>
    <cfRule type="cellIs" dxfId="144" priority="3" stopIfTrue="1" operator="equal">
      <formula>"WARNING"</formula>
    </cfRule>
  </conditionalFormatting>
  <hyperlinks>
    <hyperlink ref="G44" r:id="rId1" xr:uid="{6E83939E-DE65-46DA-A531-F038BB9EC528}"/>
    <hyperlink ref="B1" location="Summary!A1" display="Summary!A1" xr:uid="{459312DD-6101-46DE-85A3-7ECDBFC6C9BD}"/>
  </hyperlinks>
  <pageMargins left="0.7" right="0.7" top="0.75" bottom="0.75" header="0.3" footer="0.3"/>
  <pageSetup paperSize="9"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8283A-9D41-4788-93EB-0BC431C290EC}">
  <sheetPr codeName="Sheet4">
    <tabColor theme="4" tint="-0.499984740745262"/>
  </sheetPr>
  <dimension ref="B1:M39"/>
  <sheetViews>
    <sheetView showGridLines="0" zoomScale="114" workbookViewId="0">
      <selection activeCell="B1" sqref="B1"/>
    </sheetView>
  </sheetViews>
  <sheetFormatPr defaultRowHeight="15" x14ac:dyDescent="0.25"/>
  <cols>
    <col min="1" max="1" width="3.75" customWidth="1"/>
    <col min="2" max="2" width="15.5" customWidth="1"/>
    <col min="3" max="3" width="21.625" customWidth="1"/>
    <col min="4" max="4" width="15.875" customWidth="1"/>
    <col min="5" max="6" width="21" customWidth="1"/>
    <col min="7" max="7" width="15" customWidth="1"/>
    <col min="8" max="8" width="22.5" customWidth="1"/>
    <col min="9" max="9" width="21.5" customWidth="1"/>
    <col min="10" max="10" width="13.5" customWidth="1"/>
    <col min="11" max="11" width="17.875" customWidth="1"/>
    <col min="13" max="13" width="27.375" customWidth="1"/>
  </cols>
  <sheetData>
    <row r="1" spans="2:13" x14ac:dyDescent="0.25">
      <c r="B1" s="479" t="s">
        <v>429</v>
      </c>
    </row>
    <row r="2" spans="2:13" ht="26.25" x14ac:dyDescent="0.4">
      <c r="B2" s="2" t="s">
        <v>58</v>
      </c>
      <c r="C2" s="2"/>
      <c r="D2" s="2"/>
      <c r="E2" s="2"/>
      <c r="F2" s="2"/>
      <c r="G2" s="2"/>
      <c r="H2" s="2"/>
      <c r="I2" s="2"/>
      <c r="J2" s="2"/>
      <c r="K2" s="2"/>
    </row>
    <row r="4" spans="2:13" x14ac:dyDescent="0.25">
      <c r="B4" s="47" t="s">
        <v>49</v>
      </c>
      <c r="C4" s="47"/>
      <c r="D4" s="50" t="e" cm="1">
        <f t="array" ref="D4">_xll.d.Curve_SingleCurveBootstrap("ForecastingCurve",C9,B24:D29,B31:D34)</f>
        <v>#VALUE!</v>
      </c>
      <c r="E4" s="51"/>
    </row>
    <row r="5" spans="2:13" x14ac:dyDescent="0.25">
      <c r="B5" s="47" t="s">
        <v>50</v>
      </c>
      <c r="C5" s="47"/>
      <c r="D5" s="52" t="e" cm="1">
        <f t="array" ref="D5">_xll.d.Curve_SingleCurveBootstrap("DiscountingCurve",C9,B24:D29,B31:D34)</f>
        <v>#VALUE!</v>
      </c>
      <c r="E5" s="53"/>
    </row>
    <row r="7" spans="2:13" ht="18.75" x14ac:dyDescent="0.3">
      <c r="B7" s="58" t="s">
        <v>60</v>
      </c>
      <c r="C7" s="59"/>
      <c r="D7" s="64"/>
      <c r="E7" s="64"/>
      <c r="I7" s="3" t="s">
        <v>33</v>
      </c>
      <c r="J7" s="3"/>
      <c r="K7" s="3"/>
      <c r="L7" s="3"/>
      <c r="M7" s="3"/>
    </row>
    <row r="8" spans="2:13" x14ac:dyDescent="0.25">
      <c r="B8" s="60" t="s">
        <v>31</v>
      </c>
      <c r="C8" s="61" t="s">
        <v>32</v>
      </c>
      <c r="D8" s="64"/>
      <c r="E8" s="64"/>
    </row>
    <row r="9" spans="2:13" x14ac:dyDescent="0.25">
      <c r="B9" s="42" t="s">
        <v>30</v>
      </c>
      <c r="C9" s="46">
        <v>44713</v>
      </c>
      <c r="I9" s="23" t="s">
        <v>34</v>
      </c>
      <c r="J9" s="41" t="s">
        <v>41</v>
      </c>
      <c r="K9" s="41" t="s">
        <v>42</v>
      </c>
      <c r="L9" s="41" t="s">
        <v>43</v>
      </c>
      <c r="M9" s="41" t="s">
        <v>44</v>
      </c>
    </row>
    <row r="10" spans="2:13" x14ac:dyDescent="0.25">
      <c r="B10" s="42" t="s">
        <v>49</v>
      </c>
      <c r="C10" s="54" t="s">
        <v>51</v>
      </c>
      <c r="F10" s="9"/>
      <c r="G10" s="9"/>
      <c r="H10" s="9"/>
      <c r="I10" s="8">
        <f>C9</f>
        <v>44713</v>
      </c>
      <c r="J10">
        <v>1</v>
      </c>
      <c r="K10" s="48" t="e" cm="1">
        <f t="array" aca="1" ref="K10" ca="1">_xll.d.Curve_DF($D$4,I10)</f>
        <v>#NAME?</v>
      </c>
      <c r="L10" s="48" t="e">
        <f t="shared" ref="L10:L15" ca="1" si="0">J10-K10</f>
        <v>#NAME?</v>
      </c>
      <c r="M10" s="49" t="e">
        <f ca="1">L10/J10</f>
        <v>#NAME?</v>
      </c>
    </row>
    <row r="11" spans="2:13" x14ac:dyDescent="0.25">
      <c r="B11" s="42" t="s">
        <v>50</v>
      </c>
      <c r="C11" s="54" t="s">
        <v>47</v>
      </c>
      <c r="F11" s="9"/>
      <c r="G11" s="9"/>
      <c r="H11" s="9"/>
      <c r="I11" s="8">
        <f>EDATE(I10,1)</f>
        <v>44743</v>
      </c>
      <c r="J11">
        <f>EXP(-D26*YEARFRAC($C$9,I11,3))</f>
        <v>0.99181450701087914</v>
      </c>
      <c r="K11" s="48" t="e" cm="1">
        <f t="array" aca="1" ref="K11" ca="1">_xll.d.Curve_DF($D$4,I11)</f>
        <v>#NAME?</v>
      </c>
      <c r="L11" s="48" t="e">
        <f t="shared" ca="1" si="0"/>
        <v>#NAME?</v>
      </c>
      <c r="M11" s="49" t="e">
        <f t="shared" ref="M11:M12" ca="1" si="1">L11/J11</f>
        <v>#NAME?</v>
      </c>
    </row>
    <row r="12" spans="2:13" x14ac:dyDescent="0.25">
      <c r="B12" s="55" t="s">
        <v>53</v>
      </c>
      <c r="C12" s="54" t="s">
        <v>54</v>
      </c>
      <c r="F12" s="9"/>
      <c r="G12" s="9"/>
      <c r="H12" s="9"/>
      <c r="I12" s="8">
        <f>EDATE(I10,2)</f>
        <v>44774</v>
      </c>
      <c r="J12">
        <f>EXP(-D27*YEARFRAC($C$9,I12,3))</f>
        <v>0.98342654747456371</v>
      </c>
      <c r="K12" s="48" t="e" cm="1">
        <f t="array" aca="1" ref="K12" ca="1">_xll.d.Curve_DF($D$4,I12)</f>
        <v>#NAME?</v>
      </c>
      <c r="L12" s="48" t="e">
        <f t="shared" ca="1" si="0"/>
        <v>#NAME?</v>
      </c>
      <c r="M12" s="49" t="e">
        <f t="shared" ca="1" si="1"/>
        <v>#NAME?</v>
      </c>
    </row>
    <row r="13" spans="2:13" x14ac:dyDescent="0.25">
      <c r="F13" s="9"/>
      <c r="G13" s="9"/>
      <c r="H13" s="9"/>
      <c r="I13" s="8">
        <f>EDATE(I10,3)</f>
        <v>44805</v>
      </c>
      <c r="J13">
        <f>EXP(-D28*YEARFRAC($C$9,I13,3))</f>
        <v>0.97510952647028781</v>
      </c>
      <c r="K13" s="48" t="e" cm="1">
        <f t="array" aca="1" ref="K13" ca="1">_xll.d.Curve_DF($D$4,I13)</f>
        <v>#NAME?</v>
      </c>
      <c r="L13" s="48" t="e">
        <f t="shared" ca="1" si="0"/>
        <v>#NAME?</v>
      </c>
      <c r="M13" s="49" t="e">
        <f ca="1">L13/J13</f>
        <v>#NAME?</v>
      </c>
    </row>
    <row r="14" spans="2:13" x14ac:dyDescent="0.25">
      <c r="B14" s="58" t="s">
        <v>57</v>
      </c>
      <c r="C14" s="59"/>
      <c r="F14" s="9"/>
      <c r="G14" s="9"/>
      <c r="H14" s="9"/>
      <c r="I14" s="8">
        <f>EDATE(I10,6)</f>
        <v>44896</v>
      </c>
      <c r="J14">
        <f>EXP(-D29*YEARFRAC($C$9,I14,3))</f>
        <v>0.95109912802471741</v>
      </c>
      <c r="K14" s="48" t="e" cm="1">
        <f t="array" aca="1" ref="K14" ca="1">_xll.d.Curve_DF($D$4,I14)</f>
        <v>#NAME?</v>
      </c>
      <c r="L14" s="48" t="e">
        <f t="shared" ca="1" si="0"/>
        <v>#NAME?</v>
      </c>
      <c r="M14" s="49" t="e">
        <f ca="1">L14/J14</f>
        <v>#NAME?</v>
      </c>
    </row>
    <row r="15" spans="2:13" x14ac:dyDescent="0.25">
      <c r="B15" s="60" t="s">
        <v>31</v>
      </c>
      <c r="C15" s="61" t="s">
        <v>32</v>
      </c>
      <c r="G15" s="8"/>
      <c r="I15" s="8">
        <f>EDATE(I10,9)</f>
        <v>44986</v>
      </c>
      <c r="J15">
        <f>J14*EXP(-D33*YEARFRAC(I14,I15,3))</f>
        <v>0.92793413813861503</v>
      </c>
      <c r="K15" s="48" t="e" cm="1">
        <f t="array" aca="1" ref="K15" ca="1">_xll.d.Curve_DF($D$4,I15)</f>
        <v>#NAME?</v>
      </c>
      <c r="L15" s="48" t="e">
        <f t="shared" ca="1" si="0"/>
        <v>#NAME?</v>
      </c>
      <c r="M15" s="49" t="e">
        <f ca="1">L15/J15</f>
        <v>#NAME?</v>
      </c>
    </row>
    <row r="16" spans="2:13" x14ac:dyDescent="0.25">
      <c r="B16" s="42" t="s">
        <v>55</v>
      </c>
      <c r="C16" s="54" t="s">
        <v>51</v>
      </c>
    </row>
    <row r="17" spans="2:9" x14ac:dyDescent="0.25">
      <c r="B17" s="42" t="s">
        <v>35</v>
      </c>
      <c r="C17" s="54" t="s">
        <v>59</v>
      </c>
    </row>
    <row r="18" spans="2:9" x14ac:dyDescent="0.25">
      <c r="E18" s="42"/>
      <c r="F18" s="54"/>
      <c r="H18" s="46"/>
    </row>
    <row r="19" spans="2:9" x14ac:dyDescent="0.25">
      <c r="B19" s="58" t="s">
        <v>57</v>
      </c>
      <c r="C19" s="59"/>
      <c r="H19" s="46"/>
      <c r="I19" s="46"/>
    </row>
    <row r="20" spans="2:9" x14ac:dyDescent="0.25">
      <c r="B20" s="60" t="s">
        <v>31</v>
      </c>
      <c r="C20" s="61" t="s">
        <v>32</v>
      </c>
      <c r="H20" s="46"/>
      <c r="I20" s="46"/>
    </row>
    <row r="21" spans="2:9" x14ac:dyDescent="0.25">
      <c r="B21" s="42" t="s">
        <v>55</v>
      </c>
      <c r="C21" s="54" t="s">
        <v>47</v>
      </c>
      <c r="I21" s="46"/>
    </row>
    <row r="22" spans="2:9" x14ac:dyDescent="0.25">
      <c r="B22" s="42" t="s">
        <v>35</v>
      </c>
      <c r="C22" s="54" t="s">
        <v>48</v>
      </c>
      <c r="H22" s="42"/>
    </row>
    <row r="23" spans="2:9" x14ac:dyDescent="0.25">
      <c r="H23" s="42"/>
      <c r="I23" s="46"/>
    </row>
    <row r="24" spans="2:9" x14ac:dyDescent="0.25">
      <c r="B24" s="12" t="s">
        <v>22</v>
      </c>
      <c r="C24" s="27"/>
      <c r="D24" s="13"/>
      <c r="E24" s="13"/>
      <c r="F24" s="13"/>
      <c r="G24" s="13"/>
      <c r="I24" s="46"/>
    </row>
    <row r="25" spans="2:9" x14ac:dyDescent="0.25">
      <c r="B25" s="43" t="s">
        <v>38</v>
      </c>
      <c r="C25" s="44" t="s">
        <v>35</v>
      </c>
      <c r="D25" s="44" t="s">
        <v>39</v>
      </c>
      <c r="E25" s="63" t="s">
        <v>63</v>
      </c>
      <c r="F25" s="63" t="s">
        <v>64</v>
      </c>
      <c r="G25" s="45" t="s">
        <v>52</v>
      </c>
    </row>
    <row r="26" spans="2:9" x14ac:dyDescent="0.25">
      <c r="B26" s="42" t="s">
        <v>26</v>
      </c>
      <c r="C26" s="42" t="s">
        <v>36</v>
      </c>
      <c r="D26" s="42">
        <v>0.1</v>
      </c>
      <c r="E26" s="42" t="s">
        <v>51</v>
      </c>
      <c r="F26" s="42" t="s">
        <v>47</v>
      </c>
      <c r="G26" t="b">
        <v>1</v>
      </c>
    </row>
    <row r="27" spans="2:9" x14ac:dyDescent="0.25">
      <c r="B27" s="42" t="s">
        <v>27</v>
      </c>
      <c r="C27" s="42" t="s">
        <v>36</v>
      </c>
      <c r="D27" s="42">
        <v>0.1</v>
      </c>
      <c r="E27" s="42" t="s">
        <v>51</v>
      </c>
      <c r="F27" s="42" t="s">
        <v>47</v>
      </c>
      <c r="G27" t="b">
        <v>1</v>
      </c>
    </row>
    <row r="28" spans="2:9" x14ac:dyDescent="0.25">
      <c r="B28" s="42" t="s">
        <v>25</v>
      </c>
      <c r="C28" s="42" t="s">
        <v>36</v>
      </c>
      <c r="D28" s="42">
        <v>0.1</v>
      </c>
      <c r="E28" s="42" t="s">
        <v>51</v>
      </c>
      <c r="F28" s="42" t="s">
        <v>47</v>
      </c>
      <c r="G28" t="b">
        <v>1</v>
      </c>
    </row>
    <row r="29" spans="2:9" x14ac:dyDescent="0.25">
      <c r="B29" s="42" t="s">
        <v>28</v>
      </c>
      <c r="C29" s="42" t="s">
        <v>36</v>
      </c>
      <c r="D29" s="42">
        <v>0.1</v>
      </c>
      <c r="E29" s="42" t="s">
        <v>51</v>
      </c>
      <c r="F29" s="42" t="s">
        <v>47</v>
      </c>
      <c r="G29" t="b">
        <v>1</v>
      </c>
    </row>
    <row r="31" spans="2:9" x14ac:dyDescent="0.25">
      <c r="B31" s="12" t="s">
        <v>37</v>
      </c>
      <c r="C31" s="27"/>
      <c r="D31" s="13"/>
      <c r="E31" s="13"/>
      <c r="F31" s="13"/>
      <c r="G31" s="13"/>
    </row>
    <row r="32" spans="2:9" x14ac:dyDescent="0.25">
      <c r="B32" s="43" t="s">
        <v>38</v>
      </c>
      <c r="C32" s="44" t="s">
        <v>35</v>
      </c>
      <c r="D32" s="44" t="s">
        <v>39</v>
      </c>
      <c r="E32" s="63" t="s">
        <v>63</v>
      </c>
      <c r="F32" s="63" t="s">
        <v>64</v>
      </c>
      <c r="G32" s="45" t="s">
        <v>52</v>
      </c>
    </row>
    <row r="33" spans="2:7" x14ac:dyDescent="0.25">
      <c r="B33" s="42" t="s">
        <v>28</v>
      </c>
      <c r="C33" s="42" t="s">
        <v>36</v>
      </c>
      <c r="D33" s="42">
        <v>0.1</v>
      </c>
      <c r="E33" s="42" t="s">
        <v>51</v>
      </c>
      <c r="F33" s="42" t="s">
        <v>47</v>
      </c>
      <c r="G33" t="b">
        <v>1</v>
      </c>
    </row>
    <row r="34" spans="2:7" x14ac:dyDescent="0.25">
      <c r="B34" s="42" t="s">
        <v>29</v>
      </c>
      <c r="C34" s="42" t="s">
        <v>36</v>
      </c>
      <c r="D34" s="42">
        <v>0.1</v>
      </c>
      <c r="E34" s="42" t="s">
        <v>51</v>
      </c>
      <c r="F34" s="42" t="s">
        <v>47</v>
      </c>
      <c r="G34" t="b">
        <v>1</v>
      </c>
    </row>
    <row r="36" spans="2:7" x14ac:dyDescent="0.25">
      <c r="B36" s="12" t="s">
        <v>45</v>
      </c>
      <c r="C36" s="27"/>
      <c r="D36" s="13"/>
      <c r="E36" s="13"/>
      <c r="F36" s="13"/>
      <c r="G36" s="13"/>
    </row>
    <row r="37" spans="2:7" x14ac:dyDescent="0.25">
      <c r="B37" s="43" t="s">
        <v>23</v>
      </c>
      <c r="C37" s="44" t="s">
        <v>35</v>
      </c>
      <c r="D37" s="44" t="s">
        <v>24</v>
      </c>
      <c r="E37" s="63" t="s">
        <v>63</v>
      </c>
      <c r="F37" s="63" t="s">
        <v>64</v>
      </c>
      <c r="G37" s="45" t="s">
        <v>52</v>
      </c>
    </row>
    <row r="38" spans="2:7" x14ac:dyDescent="0.25">
      <c r="B38" s="42" t="s">
        <v>61</v>
      </c>
      <c r="C38" s="42" t="s">
        <v>36</v>
      </c>
      <c r="D38" s="42">
        <v>0.1</v>
      </c>
      <c r="E38" s="42" t="s">
        <v>51</v>
      </c>
      <c r="F38" s="42" t="s">
        <v>47</v>
      </c>
      <c r="G38" t="b">
        <v>1</v>
      </c>
    </row>
    <row r="39" spans="2:7" x14ac:dyDescent="0.25">
      <c r="B39" s="42" t="s">
        <v>62</v>
      </c>
      <c r="C39" s="42" t="s">
        <v>36</v>
      </c>
      <c r="D39" s="42">
        <v>0.1</v>
      </c>
      <c r="E39" s="42" t="s">
        <v>51</v>
      </c>
      <c r="F39" s="42" t="s">
        <v>47</v>
      </c>
      <c r="G39" t="b">
        <v>1</v>
      </c>
    </row>
  </sheetData>
  <hyperlinks>
    <hyperlink ref="B1" location="Summary!A1" display="Summary!A1" xr:uid="{02DA3F2F-A049-4BD4-9611-45E721E7A7CE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Sheet5">
    <tabColor theme="4" tint="-0.499984740745262"/>
  </sheetPr>
  <dimension ref="B1:J67"/>
  <sheetViews>
    <sheetView showGridLines="0" zoomScale="115" zoomScaleNormal="115" workbookViewId="0"/>
  </sheetViews>
  <sheetFormatPr defaultRowHeight="15" x14ac:dyDescent="0.25"/>
  <cols>
    <col min="1" max="1" width="3.625" customWidth="1"/>
    <col min="2" max="2" width="14.875" customWidth="1"/>
    <col min="3" max="3" width="15.5" customWidth="1"/>
    <col min="7" max="7" width="19.75" customWidth="1"/>
    <col min="8" max="8" width="11.875" customWidth="1"/>
    <col min="9" max="9" width="13.25" customWidth="1"/>
    <col min="10" max="10" width="9.875" customWidth="1"/>
  </cols>
  <sheetData>
    <row r="1" spans="2:10" x14ac:dyDescent="0.25">
      <c r="B1" s="479" t="s">
        <v>429</v>
      </c>
    </row>
    <row r="2" spans="2:10" ht="26.25" x14ac:dyDescent="0.4">
      <c r="B2" s="2" t="s">
        <v>11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12</v>
      </c>
      <c r="C4" s="3"/>
      <c r="D4" s="3"/>
      <c r="E4" s="3"/>
      <c r="G4" s="3" t="s">
        <v>13</v>
      </c>
      <c r="H4" s="3"/>
      <c r="I4" s="3"/>
      <c r="J4" s="3"/>
    </row>
    <row r="6" spans="2:10" x14ac:dyDescent="0.25">
      <c r="B6" s="12" t="s">
        <v>3</v>
      </c>
      <c r="C6" s="25" t="str" cm="1">
        <f t="array" ref="C6">_xll.d.Curve_Create("CurveForHullWhite",,B9:B41,C9:C41)</f>
        <v>DayCountConvention not set in parameters.</v>
      </c>
      <c r="D6" s="25"/>
      <c r="E6" s="26"/>
      <c r="F6" s="9"/>
      <c r="G6" s="12" t="s">
        <v>17</v>
      </c>
      <c r="H6" s="27" t="s">
        <v>18</v>
      </c>
      <c r="I6" s="27" t="s">
        <v>19</v>
      </c>
      <c r="J6" s="13" t="s">
        <v>14</v>
      </c>
    </row>
    <row r="7" spans="2:10" x14ac:dyDescent="0.25">
      <c r="F7" s="9"/>
      <c r="G7" s="14">
        <v>7</v>
      </c>
      <c r="H7" s="28">
        <v>1</v>
      </c>
      <c r="I7" s="31">
        <v>0.36199999999999999</v>
      </c>
      <c r="J7" s="34" t="s">
        <v>15</v>
      </c>
    </row>
    <row r="8" spans="2:10" x14ac:dyDescent="0.25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15</v>
      </c>
    </row>
    <row r="9" spans="2:10" x14ac:dyDescent="0.25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15</v>
      </c>
    </row>
    <row r="10" spans="2:10" x14ac:dyDescent="0.25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15</v>
      </c>
    </row>
    <row r="11" spans="2:10" x14ac:dyDescent="0.25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15</v>
      </c>
    </row>
    <row r="12" spans="2:10" x14ac:dyDescent="0.25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15</v>
      </c>
    </row>
    <row r="13" spans="2:10" x14ac:dyDescent="0.25">
      <c r="B13" s="18">
        <v>44773</v>
      </c>
      <c r="C13" s="21">
        <v>0.99979600000000002</v>
      </c>
    </row>
    <row r="14" spans="2:10" x14ac:dyDescent="0.25">
      <c r="B14" s="18">
        <v>44802</v>
      </c>
      <c r="C14" s="21">
        <v>0.99965800000000005</v>
      </c>
    </row>
    <row r="15" spans="2:10" ht="18.75" x14ac:dyDescent="0.3">
      <c r="B15" s="18">
        <v>44830</v>
      </c>
      <c r="C15" s="21">
        <v>0.99958499999999995</v>
      </c>
      <c r="G15" s="3" t="s">
        <v>16</v>
      </c>
      <c r="H15" s="3"/>
      <c r="I15" s="3"/>
      <c r="J15" s="3"/>
    </row>
    <row r="16" spans="2:10" x14ac:dyDescent="0.25">
      <c r="B16" s="18">
        <v>44857</v>
      </c>
      <c r="C16" s="21">
        <v>0.999421</v>
      </c>
    </row>
    <row r="17" spans="2:9" x14ac:dyDescent="0.25">
      <c r="B17" s="18">
        <v>44887</v>
      </c>
      <c r="C17" s="21">
        <v>0.99924900000000005</v>
      </c>
      <c r="G17" s="12" t="s">
        <v>20</v>
      </c>
      <c r="H17" s="39" t="e" cm="1">
        <f t="array" ref="H17">_xll.d.HullWhite_Calibrate("HW",C6,G6:J12)</f>
        <v>#VALUE!</v>
      </c>
      <c r="I17" s="40"/>
    </row>
    <row r="18" spans="2:9" x14ac:dyDescent="0.25">
      <c r="B18" s="18">
        <v>44920</v>
      </c>
      <c r="C18" s="21">
        <v>0.99921499999999996</v>
      </c>
    </row>
    <row r="19" spans="2:9" x14ac:dyDescent="0.25">
      <c r="B19" s="18">
        <v>44949</v>
      </c>
      <c r="C19" s="21">
        <v>0.99906200000000001</v>
      </c>
    </row>
    <row r="20" spans="2:9" x14ac:dyDescent="0.25">
      <c r="B20" s="18">
        <v>44979</v>
      </c>
      <c r="C20" s="21">
        <v>0.99885800000000002</v>
      </c>
    </row>
    <row r="21" spans="2:9" x14ac:dyDescent="0.25">
      <c r="B21" s="18">
        <v>45012</v>
      </c>
      <c r="C21" s="21">
        <v>0.99878100000000003</v>
      </c>
      <c r="G21" s="37" t="e" cm="1">
        <f t="array" ref="G21">_xll.d.HullWhite_GetParameters(H17)</f>
        <v>#VALUE!</v>
      </c>
      <c r="H21" s="38"/>
    </row>
    <row r="22" spans="2:9" x14ac:dyDescent="0.25">
      <c r="B22" s="18">
        <v>45041</v>
      </c>
      <c r="C22" s="21">
        <v>0.99856400000000001</v>
      </c>
      <c r="G22" s="18"/>
      <c r="H22" s="21"/>
    </row>
    <row r="23" spans="2:9" x14ac:dyDescent="0.25">
      <c r="B23" s="18">
        <v>45071</v>
      </c>
      <c r="C23" s="21">
        <v>0.998309</v>
      </c>
      <c r="G23" s="19"/>
      <c r="H23" s="22"/>
    </row>
    <row r="24" spans="2:9" x14ac:dyDescent="0.25">
      <c r="B24" s="18">
        <v>45162</v>
      </c>
      <c r="C24" s="21">
        <v>0.99748499999999996</v>
      </c>
    </row>
    <row r="25" spans="2:9" x14ac:dyDescent="0.25">
      <c r="B25" s="18">
        <v>45252</v>
      </c>
      <c r="C25" s="21">
        <v>0.99626000000000003</v>
      </c>
    </row>
    <row r="26" spans="2:9" x14ac:dyDescent="0.25">
      <c r="B26" s="18">
        <v>45344</v>
      </c>
      <c r="C26" s="21">
        <v>0.99468800000000002</v>
      </c>
    </row>
    <row r="27" spans="2:9" x14ac:dyDescent="0.25">
      <c r="B27" s="18">
        <v>45438</v>
      </c>
      <c r="C27" s="21">
        <v>0.99261299999999997</v>
      </c>
    </row>
    <row r="28" spans="2:9" x14ac:dyDescent="0.25">
      <c r="B28" s="18">
        <v>45806</v>
      </c>
      <c r="C28" s="21">
        <v>0.98043999999999998</v>
      </c>
    </row>
    <row r="29" spans="2:9" x14ac:dyDescent="0.25">
      <c r="B29" s="18">
        <v>46173</v>
      </c>
      <c r="C29" s="21">
        <v>0.96520099999999998</v>
      </c>
    </row>
    <row r="30" spans="2:9" x14ac:dyDescent="0.25">
      <c r="B30" s="18">
        <v>46537</v>
      </c>
      <c r="C30" s="21">
        <v>0.94818400000000003</v>
      </c>
    </row>
    <row r="31" spans="2:9" x14ac:dyDescent="0.25">
      <c r="B31" s="18">
        <v>46901</v>
      </c>
      <c r="C31" s="21">
        <v>0.93045800000000001</v>
      </c>
    </row>
    <row r="32" spans="2:9" x14ac:dyDescent="0.25">
      <c r="B32" s="18">
        <v>47267</v>
      </c>
      <c r="C32" s="21">
        <v>0.91225999999999996</v>
      </c>
    </row>
    <row r="33" spans="2:3" x14ac:dyDescent="0.25">
      <c r="B33" s="18">
        <v>47632</v>
      </c>
      <c r="C33" s="21">
        <v>0.89427000000000001</v>
      </c>
    </row>
    <row r="34" spans="2:3" x14ac:dyDescent="0.25">
      <c r="B34" s="18">
        <v>47997</v>
      </c>
      <c r="C34" s="21">
        <v>0.87622500000000003</v>
      </c>
    </row>
    <row r="35" spans="2:3" x14ac:dyDescent="0.25">
      <c r="B35" s="18">
        <v>48364</v>
      </c>
      <c r="C35" s="21">
        <v>0.85857799999999995</v>
      </c>
    </row>
    <row r="36" spans="2:3" x14ac:dyDescent="0.25">
      <c r="B36" s="18">
        <v>49093</v>
      </c>
      <c r="C36" s="21">
        <v>0.82275399999999999</v>
      </c>
    </row>
    <row r="37" spans="2:3" x14ac:dyDescent="0.25">
      <c r="B37" s="18">
        <v>50191</v>
      </c>
      <c r="C37" s="21">
        <v>0.77304499999999998</v>
      </c>
    </row>
    <row r="38" spans="2:3" x14ac:dyDescent="0.25">
      <c r="B38" s="18">
        <v>52015</v>
      </c>
      <c r="C38" s="21">
        <v>0.69641399999999998</v>
      </c>
    </row>
    <row r="39" spans="2:3" x14ac:dyDescent="0.25">
      <c r="B39" s="18">
        <v>53841</v>
      </c>
      <c r="C39" s="21">
        <v>0.63234400000000002</v>
      </c>
    </row>
    <row r="40" spans="2:3" x14ac:dyDescent="0.25">
      <c r="B40" s="18">
        <v>55667</v>
      </c>
      <c r="C40" s="21">
        <v>0.57906999999999997</v>
      </c>
    </row>
    <row r="41" spans="2:3" x14ac:dyDescent="0.25">
      <c r="B41" s="19">
        <v>59320</v>
      </c>
      <c r="C41" s="22">
        <v>0.49973099999999998</v>
      </c>
    </row>
    <row r="42" spans="2:3" x14ac:dyDescent="0.25">
      <c r="B42" s="8"/>
    </row>
    <row r="55" spans="2:6" ht="18.75" x14ac:dyDescent="0.3">
      <c r="B55" s="3" t="s">
        <v>4</v>
      </c>
      <c r="C55" s="3"/>
    </row>
    <row r="57" spans="2:6" x14ac:dyDescent="0.25">
      <c r="B57" s="7" t="s">
        <v>9</v>
      </c>
      <c r="C57" s="7" t="s">
        <v>10</v>
      </c>
    </row>
    <row r="58" spans="2:6" x14ac:dyDescent="0.25">
      <c r="B58" t="s">
        <v>5</v>
      </c>
      <c r="C58" t="e" cm="1">
        <f t="array" aca="1" ref="C58" ca="1">_xll.d.And(F62:F64)</f>
        <v>#NAME?</v>
      </c>
    </row>
    <row r="60" spans="2:6" ht="15.75" x14ac:dyDescent="0.25">
      <c r="B60" s="4" t="s">
        <v>5</v>
      </c>
      <c r="C60" s="4"/>
    </row>
    <row r="62" spans="2:6" x14ac:dyDescent="0.25">
      <c r="B62" t="s">
        <v>7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 x14ac:dyDescent="0.25">
      <c r="B64" t="s">
        <v>8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75" x14ac:dyDescent="0.25">
      <c r="B67" s="4" t="s">
        <v>6</v>
      </c>
      <c r="C67" s="4"/>
      <c r="E67" s="6"/>
    </row>
  </sheetData>
  <hyperlinks>
    <hyperlink ref="B1" location="Summary!A1" display="Summary!A1" xr:uid="{A28948D6-5280-4843-A6D7-8798C4FEC2A6}"/>
  </hyperlink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1E906-9771-47CD-8BBD-3388703C7176}">
  <sheetPr codeName="Sheet10">
    <tabColor theme="1"/>
  </sheetPr>
  <dimension ref="B2"/>
  <sheetViews>
    <sheetView showGridLines="0" workbookViewId="0">
      <selection activeCell="K7" sqref="K7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121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77EE2-81C8-4690-964C-AF7D716B46FF}">
  <sheetPr codeName="Sheet11">
    <tabColor theme="4" tint="-0.499984740745262"/>
  </sheetPr>
  <dimension ref="B1:J34"/>
  <sheetViews>
    <sheetView showGridLines="0" zoomScale="115" zoomScaleNormal="115" workbookViewId="0">
      <selection activeCell="B1" sqref="B1"/>
    </sheetView>
  </sheetViews>
  <sheetFormatPr defaultRowHeight="15" x14ac:dyDescent="0.25"/>
  <cols>
    <col min="1" max="1" width="3.75" customWidth="1"/>
    <col min="2" max="3" width="15.5" customWidth="1"/>
    <col min="4" max="4" width="15.8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</cols>
  <sheetData>
    <row r="1" spans="2:10" x14ac:dyDescent="0.25">
      <c r="B1" s="479" t="s">
        <v>429</v>
      </c>
    </row>
    <row r="2" spans="2:10" ht="26.25" x14ac:dyDescent="0.4">
      <c r="B2" s="2" t="s">
        <v>45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163</v>
      </c>
      <c r="C4" s="3"/>
      <c r="D4" s="3"/>
      <c r="E4" s="3"/>
      <c r="F4" s="3"/>
      <c r="G4" s="3"/>
      <c r="H4" s="3"/>
      <c r="I4" s="3"/>
      <c r="J4" s="3"/>
    </row>
    <row r="6" spans="2:10" x14ac:dyDescent="0.25">
      <c r="B6" s="59" t="s">
        <v>163</v>
      </c>
      <c r="C6" s="178" t="str" cm="1">
        <f t="array" ref="C6">_xll.d.TestUtils_And(D10:D13)</f>
        <v>Error</v>
      </c>
    </row>
    <row r="8" spans="2:10" x14ac:dyDescent="0.25">
      <c r="B8" s="220" t="s">
        <v>9</v>
      </c>
      <c r="C8" s="220"/>
      <c r="D8" s="221" t="s">
        <v>10</v>
      </c>
    </row>
    <row r="9" spans="2:10" x14ac:dyDescent="0.25">
      <c r="B9" s="269" t="s">
        <v>217</v>
      </c>
      <c r="C9" s="270"/>
      <c r="D9" s="271"/>
    </row>
    <row r="10" spans="2:10" x14ac:dyDescent="0.25">
      <c r="B10" s="230" t="str">
        <f>B18</f>
        <v>Flat Curve, 3m JIBAR</v>
      </c>
      <c r="C10" s="268"/>
      <c r="D10" s="178" t="str">
        <f>C20</f>
        <v>Error</v>
      </c>
    </row>
    <row r="12" spans="2:10" x14ac:dyDescent="0.25">
      <c r="B12" s="269" t="s">
        <v>218</v>
      </c>
      <c r="C12" s="270"/>
      <c r="D12" s="271"/>
    </row>
    <row r="13" spans="2:10" x14ac:dyDescent="0.25">
      <c r="B13" s="230" t="e">
        <f>#REF!</f>
        <v>#REF!</v>
      </c>
      <c r="C13" s="268"/>
      <c r="D13" s="178" t="str">
        <f>C32</f>
        <v>ZAR</v>
      </c>
    </row>
    <row r="16" spans="2:10" ht="18.75" x14ac:dyDescent="0.3">
      <c r="B16" s="3" t="s">
        <v>225</v>
      </c>
      <c r="C16" s="3"/>
      <c r="D16" s="3"/>
      <c r="E16" s="3"/>
      <c r="F16" s="3"/>
      <c r="G16" s="3"/>
      <c r="H16" s="3"/>
      <c r="I16" s="3"/>
      <c r="J16" s="3"/>
    </row>
    <row r="18" spans="2:10" ht="15.75" x14ac:dyDescent="0.25">
      <c r="B18" s="4" t="s">
        <v>220</v>
      </c>
      <c r="C18" s="4"/>
      <c r="D18" s="4"/>
      <c r="E18" s="4"/>
      <c r="F18" s="4"/>
      <c r="G18" s="4"/>
      <c r="H18" s="4"/>
      <c r="I18" s="4"/>
      <c r="J18" s="4"/>
    </row>
    <row r="20" spans="2:10" x14ac:dyDescent="0.25">
      <c r="B20" s="59" t="s">
        <v>130</v>
      </c>
      <c r="C20" s="178" t="str" cm="1">
        <f t="array" ref="C20">_xll.d.TestUtils_And(J22:J27)</f>
        <v>Error</v>
      </c>
      <c r="G20" s="265" t="s">
        <v>216</v>
      </c>
      <c r="H20" s="266"/>
      <c r="I20" s="266"/>
      <c r="J20" s="267"/>
    </row>
    <row r="21" spans="2:10" x14ac:dyDescent="0.25">
      <c r="G21" s="72" t="s">
        <v>34</v>
      </c>
      <c r="H21" s="73" t="s">
        <v>41</v>
      </c>
      <c r="I21" s="73" t="s">
        <v>42</v>
      </c>
      <c r="J21" s="74" t="s">
        <v>85</v>
      </c>
    </row>
    <row r="22" spans="2:10" x14ac:dyDescent="0.25">
      <c r="G22" s="262">
        <f>C28</f>
        <v>44713</v>
      </c>
      <c r="H22" s="272">
        <v>1</v>
      </c>
      <c r="I22" s="272" t="e" cm="1">
        <f t="array" ref="I22">_xll.d.Curve_GetDiscountFactors($C$23,G22)</f>
        <v>#VALUE!</v>
      </c>
      <c r="J22" s="251" t="str" cm="1">
        <f t="array" ref="J22">_xll.d.TestUtils_Equal(H22,I22,0.00001)</f>
        <v>Error</v>
      </c>
    </row>
    <row r="23" spans="2:10" x14ac:dyDescent="0.25">
      <c r="B23" s="66" t="s">
        <v>230</v>
      </c>
      <c r="C23" s="298" t="s">
        <v>231</v>
      </c>
      <c r="D23" s="243"/>
      <c r="G23" s="263">
        <f>EDATE(G22,1)</f>
        <v>44743</v>
      </c>
      <c r="H23" s="273" t="e">
        <f>1/(1+YEARFRAC($G$22,G23,3)*#REF!)</f>
        <v>#REF!</v>
      </c>
      <c r="I23" s="273" t="e" cm="1">
        <f t="array" ref="I23">_xll.d.Curve_GetDiscountFactors($C$23,G23)</f>
        <v>#VALUE!</v>
      </c>
      <c r="J23" s="255" t="str" cm="1">
        <f t="array" ref="J23">_xll.d.TestUtils_Equal(H23,I23,0.00001)</f>
        <v>Error</v>
      </c>
    </row>
    <row r="24" spans="2:10" x14ac:dyDescent="0.25">
      <c r="G24" s="263">
        <f>EDATE(G22,2)</f>
        <v>44774</v>
      </c>
      <c r="H24" s="273" t="e">
        <f>1/(1+YEARFRAC($G$22,G24,3)*#REF!)</f>
        <v>#REF!</v>
      </c>
      <c r="I24" s="273" t="e" cm="1">
        <f t="array" ref="I24">_xll.d.Curve_GetDiscountFactors($C$23,G24)</f>
        <v>#VALUE!</v>
      </c>
      <c r="J24" s="255" t="str" cm="1">
        <f t="array" ref="J24">_xll.d.TestUtils_Equal(H24,I24,0.00001)</f>
        <v>Error</v>
      </c>
    </row>
    <row r="25" spans="2:10" x14ac:dyDescent="0.25">
      <c r="G25" s="263">
        <f>EDATE(G22,3)</f>
        <v>44805</v>
      </c>
      <c r="H25" s="273" t="e">
        <f>1/(1+YEARFRAC($G$22,G25,3)*#REF!)</f>
        <v>#REF!</v>
      </c>
      <c r="I25" s="273" t="e" cm="1">
        <f t="array" ref="I25">_xll.d.Curve_GetDiscountFactors($C$23,G25)</f>
        <v>#VALUE!</v>
      </c>
      <c r="J25" s="255" t="str" cm="1">
        <f t="array" ref="J25">_xll.d.TestUtils_Equal(H25,I25,0.00001)</f>
        <v>Error</v>
      </c>
    </row>
    <row r="26" spans="2:10" x14ac:dyDescent="0.25">
      <c r="B26" s="12" t="s">
        <v>226</v>
      </c>
      <c r="C26" s="13"/>
      <c r="G26" s="263">
        <f>EDATE(G22,6)</f>
        <v>44896</v>
      </c>
      <c r="H26" s="273" t="e">
        <f>H25*1/(1+YEARFRAC($G$25,G26,3)*#REF!)</f>
        <v>#REF!</v>
      </c>
      <c r="I26" s="273" t="e" cm="1">
        <f t="array" ref="I26">_xll.d.Curve_GetDiscountFactors($C$23,G26)</f>
        <v>#VALUE!</v>
      </c>
      <c r="J26" s="255" t="str" cm="1">
        <f t="array" ref="J26">_xll.d.TestUtils_Equal(H26,I26,0.00001)</f>
        <v>Error</v>
      </c>
    </row>
    <row r="27" spans="2:10" x14ac:dyDescent="0.25">
      <c r="B27" s="72" t="s">
        <v>31</v>
      </c>
      <c r="C27" s="74" t="s">
        <v>32</v>
      </c>
      <c r="G27" s="264">
        <f>EDATE(G22,9)</f>
        <v>44986</v>
      </c>
      <c r="H27" s="274" t="e">
        <f>H26*1/(1+#REF!*YEARFRAC(G26,G27,3))</f>
        <v>#REF!</v>
      </c>
      <c r="I27" s="274" t="e" cm="1">
        <f t="array" ref="I27">_xll.d.Curve_GetDiscountFactors($C$23,G27)</f>
        <v>#VALUE!</v>
      </c>
      <c r="J27" s="253" t="str" cm="1">
        <f t="array" ref="J27">_xll.d.TestUtils_Equal(H27,I27,0.00001)</f>
        <v>Error</v>
      </c>
    </row>
    <row r="28" spans="2:10" x14ac:dyDescent="0.25">
      <c r="B28" s="295" t="s">
        <v>227</v>
      </c>
      <c r="C28" s="254">
        <v>44713</v>
      </c>
      <c r="E28" s="62"/>
    </row>
    <row r="29" spans="2:10" x14ac:dyDescent="0.25">
      <c r="B29" s="296" t="s">
        <v>228</v>
      </c>
      <c r="C29" s="275">
        <f>C28+365</f>
        <v>45078</v>
      </c>
      <c r="E29" s="62"/>
    </row>
    <row r="30" spans="2:10" x14ac:dyDescent="0.25">
      <c r="B30" s="297" t="s">
        <v>229</v>
      </c>
      <c r="C30" s="299" t="s">
        <v>232</v>
      </c>
    </row>
    <row r="31" spans="2:10" x14ac:dyDescent="0.25">
      <c r="B31" s="300" t="s">
        <v>233</v>
      </c>
      <c r="C31">
        <v>1000000</v>
      </c>
    </row>
    <row r="32" spans="2:10" x14ac:dyDescent="0.25">
      <c r="B32" s="300" t="s">
        <v>235</v>
      </c>
      <c r="C32" t="s">
        <v>70</v>
      </c>
      <c r="D32" t="s">
        <v>236</v>
      </c>
    </row>
    <row r="33" spans="2:3" x14ac:dyDescent="0.25">
      <c r="B33" s="300" t="s">
        <v>237</v>
      </c>
    </row>
    <row r="34" spans="2:3" x14ac:dyDescent="0.25">
      <c r="B34" s="300" t="s">
        <v>234</v>
      </c>
      <c r="C34" t="s">
        <v>25</v>
      </c>
    </row>
  </sheetData>
  <conditionalFormatting sqref="J22:J27 D10 D13">
    <cfRule type="cellIs" dxfId="143" priority="7" stopIfTrue="1" operator="equal">
      <formula>"ERROR"</formula>
    </cfRule>
    <cfRule type="cellIs" dxfId="142" priority="8" stopIfTrue="1" operator="equal">
      <formula>"OK"</formula>
    </cfRule>
    <cfRule type="cellIs" dxfId="141" priority="9" stopIfTrue="1" operator="equal">
      <formula>"WARNING"</formula>
    </cfRule>
  </conditionalFormatting>
  <conditionalFormatting sqref="C6">
    <cfRule type="cellIs" dxfId="140" priority="4" stopIfTrue="1" operator="equal">
      <formula>"ERROR"</formula>
    </cfRule>
    <cfRule type="cellIs" dxfId="139" priority="5" stopIfTrue="1" operator="equal">
      <formula>"OK"</formula>
    </cfRule>
    <cfRule type="cellIs" dxfId="138" priority="6" stopIfTrue="1" operator="equal">
      <formula>"WARNING"</formula>
    </cfRule>
  </conditionalFormatting>
  <conditionalFormatting sqref="C20">
    <cfRule type="cellIs" dxfId="137" priority="1" stopIfTrue="1" operator="equal">
      <formula>"ERROR"</formula>
    </cfRule>
    <cfRule type="cellIs" dxfId="136" priority="2" stopIfTrue="1" operator="equal">
      <formula>"OK"</formula>
    </cfRule>
    <cfRule type="cellIs" dxfId="135" priority="3" stopIfTrue="1" operator="equal">
      <formula>"WARNING"</formula>
    </cfRule>
  </conditionalFormatting>
  <hyperlinks>
    <hyperlink ref="B1" location="Summary!A1" display="Summary!A1" xr:uid="{4EF68214-5CCA-4A2B-BBD9-F55DECB7F9F2}"/>
  </hyperlink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Sheet6">
    <tabColor theme="1"/>
  </sheetPr>
  <dimension ref="B2"/>
  <sheetViews>
    <sheetView showGridLines="0" workbookViewId="0">
      <selection activeCell="B1" sqref="B1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88</v>
      </c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Sheet9">
    <tabColor theme="4" tint="-0.499984740745262"/>
  </sheetPr>
  <dimension ref="B1:W236"/>
  <sheetViews>
    <sheetView showGridLines="0" workbookViewId="0">
      <selection activeCell="B1" sqref="B1"/>
    </sheetView>
  </sheetViews>
  <sheetFormatPr defaultRowHeight="15" x14ac:dyDescent="0.25"/>
  <cols>
    <col min="1" max="1" width="3.75" customWidth="1"/>
    <col min="2" max="2" width="10.75" bestFit="1" customWidth="1"/>
    <col min="3" max="3" width="11.625" customWidth="1"/>
    <col min="5" max="5" width="9.625" bestFit="1" customWidth="1"/>
    <col min="6" max="6" width="13.375" customWidth="1"/>
    <col min="9" max="9" width="12.75" customWidth="1"/>
    <col min="10" max="10" width="9.375" bestFit="1" customWidth="1"/>
    <col min="11" max="11" width="11.625" customWidth="1"/>
    <col min="12" max="12" width="13.375" customWidth="1"/>
    <col min="15" max="15" width="14.75" customWidth="1"/>
    <col min="16" max="16" width="13" customWidth="1"/>
    <col min="17" max="17" width="10.5" customWidth="1"/>
    <col min="18" max="18" width="18.25" customWidth="1"/>
    <col min="21" max="21" width="17.75" customWidth="1"/>
  </cols>
  <sheetData>
    <row r="1" spans="2:23" x14ac:dyDescent="0.25">
      <c r="B1" s="479" t="s">
        <v>429</v>
      </c>
    </row>
    <row r="2" spans="2:23" ht="26.25" x14ac:dyDescent="0.4">
      <c r="B2" s="76" t="s">
        <v>179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 x14ac:dyDescent="0.25">
      <c r="B4" s="59" t="s">
        <v>163</v>
      </c>
      <c r="C4" s="178" t="str" cm="1">
        <f t="array" ref="C4">_xll.d.TestUtils_And(C7:C16)</f>
        <v>Ok</v>
      </c>
    </row>
    <row r="6" spans="2:23" x14ac:dyDescent="0.25">
      <c r="B6" s="220" t="s">
        <v>9</v>
      </c>
      <c r="C6" s="221" t="s">
        <v>10</v>
      </c>
    </row>
    <row r="7" spans="2:23" x14ac:dyDescent="0.25">
      <c r="B7" s="230" t="s">
        <v>111</v>
      </c>
      <c r="C7" s="178" t="str">
        <f>C21</f>
        <v>Ok</v>
      </c>
    </row>
    <row r="8" spans="2:23" x14ac:dyDescent="0.25">
      <c r="B8" s="230" t="s">
        <v>113</v>
      </c>
      <c r="C8" s="178" t="str">
        <f>C43</f>
        <v>Ok</v>
      </c>
    </row>
    <row r="9" spans="2:23" x14ac:dyDescent="0.25">
      <c r="B9" s="230" t="s">
        <v>114</v>
      </c>
      <c r="C9" s="178" t="str">
        <f>C65</f>
        <v>Ok</v>
      </c>
    </row>
    <row r="10" spans="2:23" x14ac:dyDescent="0.25">
      <c r="B10" s="230" t="s">
        <v>117</v>
      </c>
      <c r="C10" s="178" t="str">
        <f>C87</f>
        <v>Ok</v>
      </c>
    </row>
    <row r="11" spans="2:23" x14ac:dyDescent="0.25">
      <c r="B11" s="230" t="s">
        <v>122</v>
      </c>
      <c r="C11" s="178" t="str">
        <f>C109</f>
        <v>Ok</v>
      </c>
    </row>
    <row r="12" spans="2:23" x14ac:dyDescent="0.25">
      <c r="B12" s="230" t="s">
        <v>124</v>
      </c>
      <c r="C12" s="178" t="str">
        <f>C131</f>
        <v>Ok</v>
      </c>
    </row>
    <row r="13" spans="2:23" x14ac:dyDescent="0.25">
      <c r="B13" s="230" t="s">
        <v>166</v>
      </c>
      <c r="C13" s="178" t="str">
        <f>C153</f>
        <v>Ok</v>
      </c>
    </row>
    <row r="14" spans="2:23" x14ac:dyDescent="0.25">
      <c r="B14" s="230" t="s">
        <v>171</v>
      </c>
      <c r="C14" s="178" t="str">
        <f>C175</f>
        <v>Ok</v>
      </c>
    </row>
    <row r="15" spans="2:23" x14ac:dyDescent="0.25">
      <c r="B15" s="230" t="s">
        <v>176</v>
      </c>
      <c r="C15" s="178" t="str">
        <f>C197</f>
        <v>Ok</v>
      </c>
    </row>
    <row r="16" spans="2:23" x14ac:dyDescent="0.25">
      <c r="B16" s="230" t="s">
        <v>195</v>
      </c>
      <c r="C16" s="178" t="str">
        <f>C219</f>
        <v>Ok</v>
      </c>
    </row>
    <row r="17" spans="2:23" x14ac:dyDescent="0.25">
      <c r="B17" s="230"/>
    </row>
    <row r="19" spans="2:23" ht="18.75" x14ac:dyDescent="0.3">
      <c r="B19" s="3" t="s">
        <v>111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 x14ac:dyDescent="0.25">
      <c r="B21" s="59" t="s">
        <v>130</v>
      </c>
      <c r="C21" s="178" t="str" cm="1">
        <f t="array" ref="C21">_xll.d.TestUtils_And(C27,F27,K27,P27)</f>
        <v>Ok</v>
      </c>
    </row>
    <row r="23" spans="2:23" x14ac:dyDescent="0.25">
      <c r="B23" t="s">
        <v>186</v>
      </c>
    </row>
    <row r="25" spans="2:23" ht="15.75" x14ac:dyDescent="0.25">
      <c r="B25" s="4" t="s">
        <v>133</v>
      </c>
      <c r="C25" s="4"/>
      <c r="E25" s="4" t="s">
        <v>134</v>
      </c>
      <c r="F25" s="4"/>
      <c r="G25" s="4"/>
      <c r="H25" s="4"/>
      <c r="J25" s="4" t="s">
        <v>135</v>
      </c>
      <c r="K25" s="4"/>
      <c r="L25" s="4"/>
      <c r="M25" s="4"/>
      <c r="O25" s="4" t="s">
        <v>150</v>
      </c>
      <c r="P25" s="4"/>
      <c r="Q25" s="4"/>
      <c r="R25" s="4"/>
      <c r="S25" s="4"/>
      <c r="T25" s="4"/>
      <c r="U25" s="4"/>
      <c r="V25" s="4"/>
      <c r="W25" s="4"/>
    </row>
    <row r="27" spans="2:23" x14ac:dyDescent="0.25">
      <c r="B27" s="59" t="s">
        <v>130</v>
      </c>
      <c r="C27" s="178" t="str" cm="1">
        <f t="array" ref="C27">_xll.d.TestUtils_IsTrue(C32="OK")</f>
        <v>Ok</v>
      </c>
      <c r="E27" s="59" t="s">
        <v>130</v>
      </c>
      <c r="F27" s="178" t="str" cm="1">
        <f t="array" ref="F27">_xll.d.TestUtils_IsTrue(E35="OK")</f>
        <v>Ok</v>
      </c>
      <c r="J27" s="59" t="s">
        <v>130</v>
      </c>
      <c r="K27" s="178" t="str" cm="1">
        <f t="array" ref="K27">_xll.d.TestUtils_IsTrue(J32="OK")</f>
        <v>Ok</v>
      </c>
      <c r="O27" s="59" t="s">
        <v>130</v>
      </c>
      <c r="P27" s="178" t="str" cm="1">
        <f t="array" ref="P27">_xll.d.TestUtils_IsTrue(O32="OK")</f>
        <v>Ok</v>
      </c>
    </row>
    <row r="29" spans="2:23" x14ac:dyDescent="0.25">
      <c r="B29" s="195" t="s">
        <v>138</v>
      </c>
      <c r="C29" s="179" t="s">
        <v>180</v>
      </c>
      <c r="E29" s="195" t="s">
        <v>138</v>
      </c>
      <c r="F29" s="179" t="s">
        <v>180</v>
      </c>
      <c r="J29" s="195" t="s">
        <v>138</v>
      </c>
      <c r="K29" s="179" t="s">
        <v>180</v>
      </c>
      <c r="O29" s="195" t="s">
        <v>138</v>
      </c>
      <c r="P29" s="179" t="s">
        <v>180</v>
      </c>
    </row>
    <row r="30" spans="2:23" x14ac:dyDescent="0.25">
      <c r="B30" s="179"/>
    </row>
    <row r="31" spans="2:23" x14ac:dyDescent="0.25">
      <c r="B31" s="196" t="s">
        <v>136</v>
      </c>
      <c r="C31" s="196" t="s">
        <v>137</v>
      </c>
      <c r="E31" s="196" t="s">
        <v>136</v>
      </c>
      <c r="J31" s="196" t="s">
        <v>137</v>
      </c>
      <c r="O31" s="196" t="s">
        <v>137</v>
      </c>
    </row>
    <row r="32" spans="2:23" x14ac:dyDescent="0.25">
      <c r="B32" s="179" t="s">
        <v>132</v>
      </c>
      <c r="C32" s="179" t="str" cm="1">
        <f t="array" ref="C32">_xll.d.TestUtils_And(B32:B35)</f>
        <v>Ok</v>
      </c>
      <c r="E32" s="179" t="s">
        <v>132</v>
      </c>
      <c r="F32" s="179" t="s">
        <v>132</v>
      </c>
      <c r="G32" s="179" t="s">
        <v>132</v>
      </c>
      <c r="H32" s="179" t="s">
        <v>132</v>
      </c>
      <c r="J32" s="179" t="str" cm="1">
        <f t="array" ref="J32">_xll.d.TestUtils_And(J35:M38)</f>
        <v>Ok</v>
      </c>
      <c r="O32" s="179" t="str" cm="1">
        <f t="array" ref="O32">_xll.d.TestUtils_And(O35,O37:Q37,S35:S38,U35:W38)</f>
        <v>Ok</v>
      </c>
    </row>
    <row r="33" spans="2:23" x14ac:dyDescent="0.25">
      <c r="B33" s="179" t="s">
        <v>132</v>
      </c>
    </row>
    <row r="34" spans="2:23" x14ac:dyDescent="0.25">
      <c r="B34" s="179" t="s">
        <v>132</v>
      </c>
      <c r="E34" s="196" t="s">
        <v>137</v>
      </c>
      <c r="J34" s="68" t="s">
        <v>136</v>
      </c>
      <c r="O34" s="68" t="s">
        <v>136</v>
      </c>
    </row>
    <row r="35" spans="2:23" x14ac:dyDescent="0.25">
      <c r="B35" s="179" t="s">
        <v>132</v>
      </c>
      <c r="E35" s="179" t="str" cm="1">
        <f t="array" ref="E35">_xll.d.TestUtils_And(E32:H32)</f>
        <v>Ok</v>
      </c>
      <c r="J35" s="179" t="s">
        <v>132</v>
      </c>
      <c r="K35" s="179" t="s">
        <v>132</v>
      </c>
      <c r="L35" s="179" t="s">
        <v>132</v>
      </c>
      <c r="M35" s="179" t="s">
        <v>132</v>
      </c>
      <c r="O35" s="179" t="s">
        <v>132</v>
      </c>
      <c r="R35" s="179"/>
      <c r="S35" s="179" t="s">
        <v>132</v>
      </c>
      <c r="U35" s="179" t="s">
        <v>132</v>
      </c>
      <c r="V35" s="179" t="s">
        <v>132</v>
      </c>
      <c r="W35" s="179" t="s">
        <v>132</v>
      </c>
    </row>
    <row r="36" spans="2:23" x14ac:dyDescent="0.25">
      <c r="J36" s="179" t="s">
        <v>132</v>
      </c>
      <c r="K36" s="179" t="s">
        <v>132</v>
      </c>
      <c r="L36" s="179" t="s">
        <v>132</v>
      </c>
      <c r="M36" s="179" t="s">
        <v>132</v>
      </c>
      <c r="S36" s="179" t="s">
        <v>132</v>
      </c>
      <c r="U36" s="179" t="s">
        <v>132</v>
      </c>
      <c r="V36" s="179" t="s">
        <v>132</v>
      </c>
      <c r="W36" s="179" t="s">
        <v>132</v>
      </c>
    </row>
    <row r="37" spans="2:23" x14ac:dyDescent="0.25">
      <c r="J37" s="179" t="s">
        <v>132</v>
      </c>
      <c r="K37" s="179" t="s">
        <v>132</v>
      </c>
      <c r="L37" s="179" t="s">
        <v>132</v>
      </c>
      <c r="M37" s="179" t="s">
        <v>132</v>
      </c>
      <c r="O37" s="179" t="s">
        <v>132</v>
      </c>
      <c r="P37" s="179" t="s">
        <v>132</v>
      </c>
      <c r="Q37" s="179" t="s">
        <v>132</v>
      </c>
      <c r="S37" s="179" t="s">
        <v>132</v>
      </c>
      <c r="U37" s="179" t="s">
        <v>132</v>
      </c>
      <c r="V37" s="179" t="s">
        <v>132</v>
      </c>
      <c r="W37" s="179" t="s">
        <v>132</v>
      </c>
    </row>
    <row r="38" spans="2:23" x14ac:dyDescent="0.25">
      <c r="C38" s="178"/>
      <c r="J38" s="179" t="s">
        <v>132</v>
      </c>
      <c r="K38" s="179" t="s">
        <v>132</v>
      </c>
      <c r="L38" s="179" t="s">
        <v>132</v>
      </c>
      <c r="M38" s="179" t="s">
        <v>132</v>
      </c>
      <c r="S38" s="179" t="s">
        <v>132</v>
      </c>
      <c r="U38" s="179" t="s">
        <v>132</v>
      </c>
      <c r="V38" s="179" t="s">
        <v>132</v>
      </c>
      <c r="W38" s="179" t="s">
        <v>132</v>
      </c>
    </row>
    <row r="39" spans="2:23" x14ac:dyDescent="0.25">
      <c r="C39" s="178"/>
    </row>
    <row r="41" spans="2:23" ht="18.75" x14ac:dyDescent="0.3">
      <c r="B41" s="3" t="s">
        <v>113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 x14ac:dyDescent="0.25">
      <c r="B43" s="59" t="s">
        <v>130</v>
      </c>
      <c r="C43" s="178" t="str" cm="1">
        <f t="array" ref="C43">_xll.d.TestUtils_And(C49,F49,K49,P49)</f>
        <v>Ok</v>
      </c>
    </row>
    <row r="45" spans="2:23" x14ac:dyDescent="0.25">
      <c r="B45" t="s">
        <v>187</v>
      </c>
    </row>
    <row r="47" spans="2:23" ht="15.75" x14ac:dyDescent="0.25">
      <c r="B47" s="4" t="s">
        <v>139</v>
      </c>
      <c r="C47" s="4"/>
      <c r="E47" s="4" t="s">
        <v>140</v>
      </c>
      <c r="F47" s="4"/>
      <c r="G47" s="4"/>
      <c r="H47" s="4"/>
      <c r="J47" s="4" t="s">
        <v>141</v>
      </c>
      <c r="K47" s="4"/>
      <c r="L47" s="4"/>
      <c r="M47" s="4"/>
      <c r="O47" s="4" t="s">
        <v>151</v>
      </c>
      <c r="P47" s="4"/>
      <c r="Q47" s="4"/>
      <c r="R47" s="4"/>
      <c r="S47" s="4"/>
      <c r="T47" s="4"/>
      <c r="U47" s="4"/>
      <c r="V47" s="4"/>
      <c r="W47" s="4"/>
    </row>
    <row r="49" spans="2:23" x14ac:dyDescent="0.25">
      <c r="B49" s="59" t="s">
        <v>130</v>
      </c>
      <c r="C49" s="178" t="str" cm="1">
        <f t="array" ref="C49">_xll.d.TestUtils_IsTrue(C54="ERROR")</f>
        <v>Ok</v>
      </c>
      <c r="E49" s="59" t="s">
        <v>130</v>
      </c>
      <c r="F49" s="178" t="str" cm="1">
        <f t="array" ref="F49">_xll.d.TestUtils_IsTrue(E54="ERROR")</f>
        <v>Ok</v>
      </c>
      <c r="J49" s="59" t="s">
        <v>130</v>
      </c>
      <c r="K49" s="178" t="str" cm="1">
        <f t="array" ref="K49">_xll.d.TestUtils_IsTrue(J54="ERROR")</f>
        <v>Ok</v>
      </c>
      <c r="O49" s="59" t="s">
        <v>130</v>
      </c>
      <c r="P49" s="178" t="str" cm="1">
        <f t="array" ref="P49">_xll.d.TestUtils_IsTrue(O54="ERROR")</f>
        <v>Ok</v>
      </c>
    </row>
    <row r="51" spans="2:23" x14ac:dyDescent="0.25">
      <c r="B51" s="195" t="s">
        <v>138</v>
      </c>
      <c r="C51" s="179" t="s">
        <v>180</v>
      </c>
      <c r="E51" s="195" t="s">
        <v>138</v>
      </c>
      <c r="F51" s="179" t="s">
        <v>180</v>
      </c>
      <c r="J51" s="195" t="s">
        <v>138</v>
      </c>
      <c r="K51" s="179" t="s">
        <v>180</v>
      </c>
      <c r="O51" s="195" t="s">
        <v>138</v>
      </c>
      <c r="P51" s="179" t="s">
        <v>180</v>
      </c>
    </row>
    <row r="52" spans="2:23" x14ac:dyDescent="0.25">
      <c r="B52" s="179"/>
    </row>
    <row r="53" spans="2:23" x14ac:dyDescent="0.25">
      <c r="B53" s="196" t="s">
        <v>136</v>
      </c>
      <c r="C53" s="196" t="s">
        <v>137</v>
      </c>
      <c r="E53" s="196" t="s">
        <v>137</v>
      </c>
      <c r="J53" s="196" t="s">
        <v>137</v>
      </c>
      <c r="O53" s="196" t="s">
        <v>137</v>
      </c>
    </row>
    <row r="54" spans="2:23" x14ac:dyDescent="0.25">
      <c r="B54" s="179" t="s">
        <v>132</v>
      </c>
      <c r="C54" s="179" t="str" cm="1">
        <f t="array" ref="C54">_xll.d.TestUtils_And(B54:B57)</f>
        <v>Error</v>
      </c>
      <c r="E54" s="179" t="str" cm="1">
        <f t="array" ref="E54">_xll.d.TestUtils_And(E57:H57)</f>
        <v>Error</v>
      </c>
      <c r="J54" s="179" t="str" cm="1">
        <f t="array" ref="J54">_xll.d.TestUtils_And(J57:M60)</f>
        <v>Error</v>
      </c>
      <c r="O54" s="179" t="str" cm="1">
        <f t="array" ref="O54">_xll.d.TestUtils_And(O57,O59:Q59,S57:S60,U57:W60)</f>
        <v>Error</v>
      </c>
    </row>
    <row r="55" spans="2:23" x14ac:dyDescent="0.25">
      <c r="B55" s="179" t="s">
        <v>132</v>
      </c>
    </row>
    <row r="56" spans="2:23" x14ac:dyDescent="0.25">
      <c r="B56" s="179" t="s">
        <v>142</v>
      </c>
      <c r="E56" s="196" t="s">
        <v>136</v>
      </c>
      <c r="J56" s="68" t="s">
        <v>136</v>
      </c>
      <c r="O56" s="68" t="s">
        <v>136</v>
      </c>
    </row>
    <row r="57" spans="2:23" x14ac:dyDescent="0.25">
      <c r="B57" s="179" t="s">
        <v>132</v>
      </c>
      <c r="E57" s="179" t="s">
        <v>132</v>
      </c>
      <c r="F57" s="179" t="s">
        <v>142</v>
      </c>
      <c r="G57" s="179" t="s">
        <v>132</v>
      </c>
      <c r="H57" s="179" t="s">
        <v>132</v>
      </c>
      <c r="J57" s="179" t="s">
        <v>132</v>
      </c>
      <c r="K57" s="179" t="s">
        <v>132</v>
      </c>
      <c r="L57" s="179" t="s">
        <v>132</v>
      </c>
      <c r="M57" s="179" t="s">
        <v>132</v>
      </c>
      <c r="O57" s="179" t="s">
        <v>132</v>
      </c>
      <c r="R57" s="179"/>
      <c r="S57" s="179" t="s">
        <v>132</v>
      </c>
      <c r="U57" s="179" t="s">
        <v>132</v>
      </c>
      <c r="V57" s="179" t="s">
        <v>132</v>
      </c>
      <c r="W57" s="179" t="s">
        <v>132</v>
      </c>
    </row>
    <row r="58" spans="2:23" x14ac:dyDescent="0.25">
      <c r="J58" s="179" t="s">
        <v>132</v>
      </c>
      <c r="K58" s="179" t="s">
        <v>132</v>
      </c>
      <c r="L58" s="179" t="s">
        <v>132</v>
      </c>
      <c r="M58" s="179" t="s">
        <v>132</v>
      </c>
      <c r="S58" s="179" t="s">
        <v>132</v>
      </c>
      <c r="U58" s="179" t="s">
        <v>132</v>
      </c>
      <c r="V58" s="179" t="s">
        <v>132</v>
      </c>
      <c r="W58" s="179" t="s">
        <v>132</v>
      </c>
    </row>
    <row r="59" spans="2:23" x14ac:dyDescent="0.25">
      <c r="J59" s="179" t="s">
        <v>132</v>
      </c>
      <c r="K59" s="179" t="s">
        <v>132</v>
      </c>
      <c r="L59" s="179" t="s">
        <v>142</v>
      </c>
      <c r="M59" s="179" t="s">
        <v>132</v>
      </c>
      <c r="O59" s="179" t="s">
        <v>132</v>
      </c>
      <c r="P59" s="179" t="s">
        <v>142</v>
      </c>
      <c r="Q59" s="179" t="s">
        <v>132</v>
      </c>
      <c r="S59" s="179" t="s">
        <v>132</v>
      </c>
      <c r="U59" s="179" t="s">
        <v>132</v>
      </c>
      <c r="V59" s="179" t="s">
        <v>132</v>
      </c>
      <c r="W59" s="179" t="s">
        <v>132</v>
      </c>
    </row>
    <row r="60" spans="2:23" x14ac:dyDescent="0.25">
      <c r="C60" s="178"/>
      <c r="J60" s="179" t="s">
        <v>132</v>
      </c>
      <c r="K60" s="179" t="s">
        <v>132</v>
      </c>
      <c r="L60" s="179" t="s">
        <v>132</v>
      </c>
      <c r="M60" s="179" t="s">
        <v>132</v>
      </c>
      <c r="S60" s="179" t="s">
        <v>132</v>
      </c>
      <c r="U60" s="179" t="s">
        <v>132</v>
      </c>
      <c r="V60" s="179" t="s">
        <v>132</v>
      </c>
      <c r="W60" s="179" t="s">
        <v>132</v>
      </c>
    </row>
    <row r="63" spans="2:23" ht="18.75" x14ac:dyDescent="0.3">
      <c r="B63" s="3" t="s">
        <v>114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 x14ac:dyDescent="0.25">
      <c r="B65" s="59" t="s">
        <v>130</v>
      </c>
      <c r="C65" s="178" t="str" cm="1">
        <f t="array" ref="C65">_xll.d.TestUtils_And(C71,F71,K71,P71)</f>
        <v>Ok</v>
      </c>
    </row>
    <row r="67" spans="2:23" x14ac:dyDescent="0.25">
      <c r="B67" t="s">
        <v>188</v>
      </c>
    </row>
    <row r="69" spans="2:23" s="64" customFormat="1" ht="15.75" x14ac:dyDescent="0.25">
      <c r="B69" s="4" t="s">
        <v>143</v>
      </c>
      <c r="C69" s="4"/>
      <c r="E69" s="4" t="s">
        <v>144</v>
      </c>
      <c r="F69" s="4"/>
      <c r="G69" s="4"/>
      <c r="H69" s="4"/>
      <c r="J69" s="4" t="s">
        <v>145</v>
      </c>
      <c r="K69" s="4"/>
      <c r="L69" s="4"/>
      <c r="M69" s="4"/>
      <c r="O69" s="4" t="s">
        <v>152</v>
      </c>
      <c r="P69" s="4"/>
      <c r="Q69" s="4"/>
      <c r="R69" s="4"/>
      <c r="S69" s="4"/>
      <c r="T69" s="4"/>
      <c r="U69" s="4"/>
      <c r="V69" s="4"/>
      <c r="W69" s="4"/>
    </row>
    <row r="71" spans="2:23" x14ac:dyDescent="0.25">
      <c r="B71" s="59" t="s">
        <v>130</v>
      </c>
      <c r="C71" s="178" t="str" cm="1">
        <f t="array" ref="C71">_xll.d.TestUtils_IsTrue(C76="WARNING")</f>
        <v>Ok</v>
      </c>
      <c r="E71" s="59" t="s">
        <v>130</v>
      </c>
      <c r="F71" s="178" t="str" cm="1">
        <f t="array" ref="F71">_xll.d.TestUtils_IsTrue(E76="WARNING")</f>
        <v>Ok</v>
      </c>
      <c r="J71" s="59" t="s">
        <v>130</v>
      </c>
      <c r="K71" s="178" t="str" cm="1">
        <f t="array" ref="K71">_xll.d.TestUtils_IsTrue(J76="WARNING")</f>
        <v>Ok</v>
      </c>
      <c r="O71" s="59" t="s">
        <v>130</v>
      </c>
      <c r="P71" s="178" t="str" cm="1">
        <f t="array" ref="P71">_xll.d.TestUtils_IsTrue(O76="WARNING")</f>
        <v>Ok</v>
      </c>
    </row>
    <row r="73" spans="2:23" x14ac:dyDescent="0.25">
      <c r="B73" s="195" t="s">
        <v>138</v>
      </c>
      <c r="C73" s="179" t="s">
        <v>180</v>
      </c>
      <c r="E73" s="195" t="s">
        <v>138</v>
      </c>
      <c r="F73" s="179" t="s">
        <v>180</v>
      </c>
      <c r="J73" s="195" t="s">
        <v>138</v>
      </c>
      <c r="K73" s="179" t="s">
        <v>180</v>
      </c>
      <c r="O73" s="195" t="s">
        <v>138</v>
      </c>
      <c r="P73" s="179" t="s">
        <v>180</v>
      </c>
    </row>
    <row r="74" spans="2:23" x14ac:dyDescent="0.25">
      <c r="B74" s="179"/>
    </row>
    <row r="75" spans="2:23" x14ac:dyDescent="0.25">
      <c r="B75" s="196" t="s">
        <v>136</v>
      </c>
      <c r="C75" s="196" t="s">
        <v>137</v>
      </c>
      <c r="E75" s="196" t="s">
        <v>137</v>
      </c>
      <c r="J75" s="196" t="s">
        <v>137</v>
      </c>
      <c r="O75" s="196" t="s">
        <v>137</v>
      </c>
    </row>
    <row r="76" spans="2:23" x14ac:dyDescent="0.25">
      <c r="B76" s="179" t="s">
        <v>132</v>
      </c>
      <c r="C76" s="179" t="str" cm="1">
        <f t="array" ref="C76">_xll.d.TestUtils_And(B76:B79)</f>
        <v>Warning</v>
      </c>
      <c r="E76" s="179" t="str" cm="1">
        <f t="array" ref="E76">_xll.d.TestUtils_And(E79:H79)</f>
        <v>Warning</v>
      </c>
      <c r="J76" s="179" t="str" cm="1">
        <f t="array" ref="J76">_xll.d.TestUtils_And(J79:M82)</f>
        <v>Warning</v>
      </c>
      <c r="O76" s="179" t="str" cm="1">
        <f t="array" ref="O76">_xll.d.TestUtils_And(O79,O81:Q81,S79:S82,U79:W82)</f>
        <v>Warning</v>
      </c>
    </row>
    <row r="77" spans="2:23" x14ac:dyDescent="0.25">
      <c r="B77" s="179" t="s">
        <v>132</v>
      </c>
    </row>
    <row r="78" spans="2:23" x14ac:dyDescent="0.25">
      <c r="B78" s="179" t="s">
        <v>146</v>
      </c>
      <c r="E78" s="196" t="s">
        <v>136</v>
      </c>
      <c r="J78" s="68" t="s">
        <v>136</v>
      </c>
      <c r="O78" s="68" t="s">
        <v>136</v>
      </c>
    </row>
    <row r="79" spans="2:23" x14ac:dyDescent="0.25">
      <c r="B79" s="179" t="s">
        <v>132</v>
      </c>
      <c r="E79" s="179" t="s">
        <v>132</v>
      </c>
      <c r="F79" s="179" t="s">
        <v>146</v>
      </c>
      <c r="G79" s="179" t="s">
        <v>132</v>
      </c>
      <c r="H79" s="179" t="s">
        <v>132</v>
      </c>
      <c r="J79" s="179" t="s">
        <v>132</v>
      </c>
      <c r="K79" s="179" t="s">
        <v>132</v>
      </c>
      <c r="L79" s="179" t="s">
        <v>132</v>
      </c>
      <c r="M79" s="179" t="s">
        <v>132</v>
      </c>
      <c r="O79" s="179" t="s">
        <v>132</v>
      </c>
      <c r="R79" s="179"/>
      <c r="S79" s="179" t="s">
        <v>132</v>
      </c>
      <c r="U79" s="179" t="s">
        <v>132</v>
      </c>
      <c r="V79" s="179" t="s">
        <v>132</v>
      </c>
      <c r="W79" s="179" t="s">
        <v>132</v>
      </c>
    </row>
    <row r="80" spans="2:23" x14ac:dyDescent="0.25">
      <c r="J80" s="179" t="s">
        <v>132</v>
      </c>
      <c r="K80" s="179" t="s">
        <v>132</v>
      </c>
      <c r="L80" s="179" t="s">
        <v>132</v>
      </c>
      <c r="M80" s="179" t="s">
        <v>132</v>
      </c>
      <c r="S80" s="179" t="s">
        <v>132</v>
      </c>
      <c r="U80" s="179" t="s">
        <v>132</v>
      </c>
      <c r="V80" s="179" t="s">
        <v>132</v>
      </c>
      <c r="W80" s="179" t="s">
        <v>132</v>
      </c>
    </row>
    <row r="81" spans="2:23" x14ac:dyDescent="0.25">
      <c r="J81" s="179" t="s">
        <v>132</v>
      </c>
      <c r="K81" s="179" t="s">
        <v>132</v>
      </c>
      <c r="L81" s="179" t="s">
        <v>146</v>
      </c>
      <c r="M81" s="179" t="s">
        <v>132</v>
      </c>
      <c r="O81" s="179" t="s">
        <v>132</v>
      </c>
      <c r="P81" s="179" t="s">
        <v>146</v>
      </c>
      <c r="Q81" s="179" t="s">
        <v>132</v>
      </c>
      <c r="S81" s="179" t="s">
        <v>132</v>
      </c>
      <c r="U81" s="179" t="s">
        <v>132</v>
      </c>
      <c r="V81" s="179" t="s">
        <v>132</v>
      </c>
      <c r="W81" s="179" t="s">
        <v>132</v>
      </c>
    </row>
    <row r="82" spans="2:23" x14ac:dyDescent="0.25">
      <c r="C82" s="178"/>
      <c r="J82" s="179" t="s">
        <v>132</v>
      </c>
      <c r="K82" s="179" t="s">
        <v>132</v>
      </c>
      <c r="L82" s="179" t="s">
        <v>132</v>
      </c>
      <c r="M82" s="179" t="s">
        <v>132</v>
      </c>
      <c r="S82" s="179" t="s">
        <v>132</v>
      </c>
      <c r="U82" s="179" t="s">
        <v>132</v>
      </c>
      <c r="V82" s="179" t="s">
        <v>132</v>
      </c>
      <c r="W82" s="179" t="s">
        <v>132</v>
      </c>
    </row>
    <row r="85" spans="2:23" ht="18.75" x14ac:dyDescent="0.3">
      <c r="B85" s="3" t="s">
        <v>117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 x14ac:dyDescent="0.25">
      <c r="B87" s="59" t="s">
        <v>130</v>
      </c>
      <c r="C87" s="178" t="str" cm="1">
        <f t="array" ref="C87">_xll.d.TestUtils_And(C93,F93,K93,P93)</f>
        <v>Ok</v>
      </c>
    </row>
    <row r="89" spans="2:23" x14ac:dyDescent="0.25">
      <c r="B89" t="s">
        <v>189</v>
      </c>
    </row>
    <row r="91" spans="2:23" ht="15.75" x14ac:dyDescent="0.25">
      <c r="B91" s="4" t="s">
        <v>147</v>
      </c>
      <c r="C91" s="4"/>
      <c r="E91" s="4" t="s">
        <v>148</v>
      </c>
      <c r="F91" s="4"/>
      <c r="G91" s="4"/>
      <c r="H91" s="4"/>
      <c r="J91" s="4" t="s">
        <v>149</v>
      </c>
      <c r="K91" s="4"/>
      <c r="L91" s="4"/>
      <c r="M91" s="4"/>
      <c r="O91" s="4" t="s">
        <v>153</v>
      </c>
      <c r="P91" s="4"/>
      <c r="Q91" s="4"/>
      <c r="R91" s="4"/>
      <c r="S91" s="4"/>
      <c r="T91" s="4"/>
      <c r="U91" s="4"/>
      <c r="V91" s="4"/>
      <c r="W91" s="4"/>
    </row>
    <row r="93" spans="2:23" x14ac:dyDescent="0.25">
      <c r="B93" s="59" t="s">
        <v>130</v>
      </c>
      <c r="C93" s="178" t="str" cm="1">
        <f t="array" ref="C93">_xll.d.TestUtils_IsTrue(C98="ERROR")</f>
        <v>Ok</v>
      </c>
      <c r="E93" s="59" t="s">
        <v>130</v>
      </c>
      <c r="F93" s="178" t="str" cm="1">
        <f t="array" ref="F93">_xll.d.TestUtils_IsTrue(E98="ERROR")</f>
        <v>Ok</v>
      </c>
      <c r="J93" s="59" t="s">
        <v>130</v>
      </c>
      <c r="K93" s="178" t="str" cm="1">
        <f t="array" ref="K93">_xll.d.TestUtils_IsTrue(J98="ERROR")</f>
        <v>Ok</v>
      </c>
      <c r="O93" s="59" t="s">
        <v>130</v>
      </c>
      <c r="P93" s="178" t="str" cm="1">
        <f t="array" ref="P93">_xll.d.TestUtils_IsTrue(O98="ERROR")</f>
        <v>Ok</v>
      </c>
    </row>
    <row r="95" spans="2:23" x14ac:dyDescent="0.25">
      <c r="B95" s="195" t="s">
        <v>138</v>
      </c>
      <c r="C95" s="179" t="s">
        <v>180</v>
      </c>
      <c r="E95" s="195" t="s">
        <v>138</v>
      </c>
      <c r="F95" s="179" t="s">
        <v>180</v>
      </c>
      <c r="J95" s="195" t="s">
        <v>138</v>
      </c>
      <c r="K95" s="179" t="s">
        <v>180</v>
      </c>
      <c r="O95" s="195" t="s">
        <v>138</v>
      </c>
      <c r="P95" s="179" t="s">
        <v>180</v>
      </c>
    </row>
    <row r="96" spans="2:23" x14ac:dyDescent="0.25">
      <c r="B96" s="179"/>
    </row>
    <row r="97" spans="2:23" x14ac:dyDescent="0.25">
      <c r="B97" s="196" t="s">
        <v>136</v>
      </c>
      <c r="C97" s="196" t="s">
        <v>137</v>
      </c>
      <c r="E97" s="196" t="s">
        <v>137</v>
      </c>
      <c r="J97" s="196" t="s">
        <v>137</v>
      </c>
      <c r="O97" s="196" t="s">
        <v>137</v>
      </c>
    </row>
    <row r="98" spans="2:23" x14ac:dyDescent="0.25">
      <c r="B98" s="179" t="s">
        <v>132</v>
      </c>
      <c r="C98" s="179" t="str" cm="1">
        <f t="array" ref="C98">_xll.d.TestUtils_And(B98:B101)</f>
        <v>Error</v>
      </c>
      <c r="E98" s="179" t="str" cm="1">
        <f t="array" ref="E98">_xll.d.TestUtils_And(E101:H101)</f>
        <v>Error</v>
      </c>
      <c r="J98" s="179" t="str" cm="1">
        <f t="array" ref="J98">_xll.d.TestUtils_And(J101:M104)</f>
        <v>Error</v>
      </c>
      <c r="O98" s="179" t="str" cm="1">
        <f t="array" ref="O98">_xll.d.TestUtils_And(O101,O103:Q103,S101:S104,U101:W104)</f>
        <v>Error</v>
      </c>
    </row>
    <row r="99" spans="2:23" x14ac:dyDescent="0.25">
      <c r="B99" s="179" t="s">
        <v>142</v>
      </c>
    </row>
    <row r="100" spans="2:23" x14ac:dyDescent="0.25">
      <c r="B100" s="179" t="s">
        <v>146</v>
      </c>
      <c r="E100" s="196" t="s">
        <v>136</v>
      </c>
      <c r="J100" s="68" t="s">
        <v>136</v>
      </c>
      <c r="O100" s="68" t="s">
        <v>136</v>
      </c>
    </row>
    <row r="101" spans="2:23" x14ac:dyDescent="0.25">
      <c r="B101" s="179" t="s">
        <v>132</v>
      </c>
      <c r="E101" s="179" t="s">
        <v>132</v>
      </c>
      <c r="F101" s="179" t="s">
        <v>146</v>
      </c>
      <c r="G101" s="179" t="s">
        <v>132</v>
      </c>
      <c r="H101" s="179" t="s">
        <v>142</v>
      </c>
      <c r="J101" s="179" t="s">
        <v>132</v>
      </c>
      <c r="K101" s="179" t="s">
        <v>132</v>
      </c>
      <c r="L101" s="179" t="s">
        <v>132</v>
      </c>
      <c r="M101" s="179" t="s">
        <v>132</v>
      </c>
      <c r="O101" s="179" t="s">
        <v>132</v>
      </c>
      <c r="R101" s="179"/>
      <c r="S101" s="179" t="s">
        <v>132</v>
      </c>
      <c r="U101" s="179" t="s">
        <v>132</v>
      </c>
      <c r="V101" s="179" t="s">
        <v>132</v>
      </c>
      <c r="W101" s="179" t="s">
        <v>132</v>
      </c>
    </row>
    <row r="102" spans="2:23" x14ac:dyDescent="0.25">
      <c r="J102" s="179" t="s">
        <v>132</v>
      </c>
      <c r="K102" s="179" t="s">
        <v>132</v>
      </c>
      <c r="L102" s="179" t="s">
        <v>132</v>
      </c>
      <c r="M102" s="179" t="s">
        <v>132</v>
      </c>
      <c r="S102" s="179" t="s">
        <v>132</v>
      </c>
      <c r="U102" s="179" t="s">
        <v>132</v>
      </c>
      <c r="V102" s="179" t="s">
        <v>132</v>
      </c>
      <c r="W102" s="179" t="s">
        <v>132</v>
      </c>
    </row>
    <row r="103" spans="2:23" x14ac:dyDescent="0.25">
      <c r="J103" s="179" t="s">
        <v>132</v>
      </c>
      <c r="K103" s="179" t="s">
        <v>132</v>
      </c>
      <c r="L103" s="179" t="s">
        <v>146</v>
      </c>
      <c r="M103" s="179" t="s">
        <v>132</v>
      </c>
      <c r="O103" s="179" t="s">
        <v>132</v>
      </c>
      <c r="P103" s="179" t="s">
        <v>146</v>
      </c>
      <c r="Q103" s="179" t="s">
        <v>132</v>
      </c>
      <c r="S103" s="179" t="s">
        <v>132</v>
      </c>
      <c r="U103" s="179" t="s">
        <v>142</v>
      </c>
      <c r="V103" s="179" t="s">
        <v>132</v>
      </c>
      <c r="W103" s="179" t="s">
        <v>132</v>
      </c>
    </row>
    <row r="104" spans="2:23" x14ac:dyDescent="0.25">
      <c r="C104" s="178"/>
      <c r="J104" s="179" t="s">
        <v>132</v>
      </c>
      <c r="K104" s="179" t="s">
        <v>132</v>
      </c>
      <c r="L104" s="179" t="s">
        <v>132</v>
      </c>
      <c r="M104" s="179" t="s">
        <v>142</v>
      </c>
      <c r="S104" s="179" t="s">
        <v>132</v>
      </c>
      <c r="U104" s="179" t="s">
        <v>132</v>
      </c>
      <c r="V104" s="179" t="s">
        <v>132</v>
      </c>
      <c r="W104" s="179" t="s">
        <v>132</v>
      </c>
    </row>
    <row r="107" spans="2:23" ht="18.75" x14ac:dyDescent="0.3">
      <c r="B107" s="3" t="s">
        <v>122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 x14ac:dyDescent="0.25">
      <c r="B109" s="59" t="s">
        <v>130</v>
      </c>
      <c r="C109" s="178" t="str" cm="1">
        <f t="array" ref="C109">_xll.d.TestUtils_And(C115,F115,K115,P115)</f>
        <v>Ok</v>
      </c>
    </row>
    <row r="111" spans="2:23" x14ac:dyDescent="0.25">
      <c r="B111" t="s">
        <v>190</v>
      </c>
    </row>
    <row r="113" spans="2:23" ht="15.75" x14ac:dyDescent="0.25">
      <c r="B113" s="4" t="s">
        <v>154</v>
      </c>
      <c r="C113" s="4"/>
      <c r="E113" s="4" t="s">
        <v>155</v>
      </c>
      <c r="F113" s="4"/>
      <c r="G113" s="4"/>
      <c r="H113" s="4"/>
      <c r="J113" s="4" t="s">
        <v>156</v>
      </c>
      <c r="K113" s="4"/>
      <c r="L113" s="4"/>
      <c r="M113" s="4"/>
      <c r="O113" s="4" t="s">
        <v>157</v>
      </c>
      <c r="P113" s="4"/>
      <c r="Q113" s="4"/>
      <c r="R113" s="4"/>
      <c r="S113" s="4"/>
      <c r="T113" s="4"/>
      <c r="U113" s="4"/>
      <c r="V113" s="4"/>
      <c r="W113" s="4"/>
    </row>
    <row r="115" spans="2:23" x14ac:dyDescent="0.25">
      <c r="B115" s="59" t="s">
        <v>130</v>
      </c>
      <c r="C115" s="178" t="str" cm="1">
        <f t="array" ref="C115">_xll.d.TestUtils_IsTrue(C120="ERROR")</f>
        <v>Ok</v>
      </c>
      <c r="E115" s="59" t="s">
        <v>130</v>
      </c>
      <c r="F115" s="178" t="str" cm="1">
        <f t="array" ref="F115">_xll.d.TestUtils_IsTrue(E120="ERROR")</f>
        <v>Ok</v>
      </c>
      <c r="J115" s="59" t="s">
        <v>130</v>
      </c>
      <c r="K115" s="178" t="str" cm="1">
        <f t="array" ref="K115">_xll.d.TestUtils_IsTrue(J120="ERROR")</f>
        <v>Ok</v>
      </c>
      <c r="O115" s="59" t="s">
        <v>130</v>
      </c>
      <c r="P115" s="178" t="str" cm="1">
        <f t="array" ref="P115">_xll.d.TestUtils_IsTrue(O120="ERROR")</f>
        <v>Ok</v>
      </c>
    </row>
    <row r="117" spans="2:23" x14ac:dyDescent="0.25">
      <c r="B117" s="195" t="s">
        <v>138</v>
      </c>
      <c r="C117" s="179" t="s">
        <v>181</v>
      </c>
      <c r="E117" s="195" t="s">
        <v>138</v>
      </c>
      <c r="F117" s="179" t="s">
        <v>181</v>
      </c>
      <c r="J117" s="195" t="s">
        <v>138</v>
      </c>
      <c r="K117" s="179" t="s">
        <v>181</v>
      </c>
      <c r="O117" s="195" t="s">
        <v>138</v>
      </c>
      <c r="P117" s="179" t="s">
        <v>181</v>
      </c>
    </row>
    <row r="118" spans="2:23" x14ac:dyDescent="0.25">
      <c r="B118" s="179"/>
    </row>
    <row r="119" spans="2:23" x14ac:dyDescent="0.25">
      <c r="B119" s="196" t="s">
        <v>136</v>
      </c>
      <c r="C119" s="196" t="s">
        <v>137</v>
      </c>
      <c r="E119" s="196" t="s">
        <v>137</v>
      </c>
      <c r="J119" s="196" t="s">
        <v>137</v>
      </c>
      <c r="O119" s="196" t="s">
        <v>137</v>
      </c>
    </row>
    <row r="120" spans="2:23" x14ac:dyDescent="0.25">
      <c r="B120" s="179" t="s">
        <v>142</v>
      </c>
      <c r="C120" s="179" t="str" cm="1">
        <f t="array" ref="C120">_xll.d.TestUtils_Or(B120:B123)</f>
        <v>Error</v>
      </c>
      <c r="E120" s="179" t="str" cm="1">
        <f t="array" ref="E120">_xll.d.TestUtils_Or(E123:H123)</f>
        <v>Error</v>
      </c>
      <c r="J120" s="179" t="str" cm="1">
        <f t="array" ref="J120">_xll.d.TestUtils_Or(J123:M126)</f>
        <v>Error</v>
      </c>
      <c r="O120" s="179" t="str" cm="1">
        <f t="array" ref="O120">_xll.d.TestUtils_Or(O123,O125:Q125,S123:S126,U123:W126)</f>
        <v>Error</v>
      </c>
    </row>
    <row r="121" spans="2:23" x14ac:dyDescent="0.25">
      <c r="B121" s="179" t="s">
        <v>142</v>
      </c>
    </row>
    <row r="122" spans="2:23" x14ac:dyDescent="0.25">
      <c r="B122" s="179" t="s">
        <v>142</v>
      </c>
      <c r="E122" s="196" t="s">
        <v>136</v>
      </c>
      <c r="J122" s="68" t="s">
        <v>136</v>
      </c>
      <c r="O122" s="68" t="s">
        <v>136</v>
      </c>
    </row>
    <row r="123" spans="2:23" x14ac:dyDescent="0.25">
      <c r="B123" s="179" t="s">
        <v>142</v>
      </c>
      <c r="E123" s="179" t="s">
        <v>142</v>
      </c>
      <c r="F123" s="179" t="s">
        <v>142</v>
      </c>
      <c r="G123" s="179" t="s">
        <v>142</v>
      </c>
      <c r="H123" s="179" t="s">
        <v>142</v>
      </c>
      <c r="J123" s="179" t="s">
        <v>142</v>
      </c>
      <c r="K123" s="179" t="s">
        <v>142</v>
      </c>
      <c r="L123" s="179" t="s">
        <v>142</v>
      </c>
      <c r="M123" s="179" t="s">
        <v>142</v>
      </c>
      <c r="O123" s="179" t="s">
        <v>142</v>
      </c>
      <c r="R123" s="179"/>
      <c r="S123" s="179" t="s">
        <v>142</v>
      </c>
      <c r="U123" s="179" t="s">
        <v>142</v>
      </c>
      <c r="V123" s="179" t="s">
        <v>142</v>
      </c>
      <c r="W123" s="179" t="s">
        <v>142</v>
      </c>
    </row>
    <row r="124" spans="2:23" x14ac:dyDescent="0.25">
      <c r="J124" s="179" t="s">
        <v>142</v>
      </c>
      <c r="K124" s="179" t="s">
        <v>142</v>
      </c>
      <c r="L124" s="179" t="s">
        <v>142</v>
      </c>
      <c r="M124" s="179" t="s">
        <v>142</v>
      </c>
      <c r="S124" s="179" t="s">
        <v>142</v>
      </c>
      <c r="U124" s="179" t="s">
        <v>142</v>
      </c>
      <c r="V124" s="179" t="s">
        <v>142</v>
      </c>
      <c r="W124" s="179" t="s">
        <v>142</v>
      </c>
    </row>
    <row r="125" spans="2:23" x14ac:dyDescent="0.25">
      <c r="J125" s="179" t="s">
        <v>142</v>
      </c>
      <c r="K125" s="179" t="s">
        <v>142</v>
      </c>
      <c r="L125" s="179" t="s">
        <v>142</v>
      </c>
      <c r="M125" s="179" t="s">
        <v>142</v>
      </c>
      <c r="O125" s="179" t="s">
        <v>142</v>
      </c>
      <c r="P125" s="179" t="s">
        <v>142</v>
      </c>
      <c r="Q125" s="179" t="s">
        <v>142</v>
      </c>
      <c r="S125" s="179" t="s">
        <v>142</v>
      </c>
      <c r="U125" s="179" t="s">
        <v>142</v>
      </c>
      <c r="V125" s="179" t="s">
        <v>142</v>
      </c>
      <c r="W125" s="179" t="s">
        <v>142</v>
      </c>
    </row>
    <row r="126" spans="2:23" x14ac:dyDescent="0.25">
      <c r="C126" s="178"/>
      <c r="J126" s="179" t="s">
        <v>142</v>
      </c>
      <c r="K126" s="179" t="s">
        <v>142</v>
      </c>
      <c r="L126" s="179" t="s">
        <v>142</v>
      </c>
      <c r="M126" s="179" t="s">
        <v>142</v>
      </c>
      <c r="S126" s="179" t="s">
        <v>142</v>
      </c>
      <c r="U126" s="179" t="s">
        <v>142</v>
      </c>
      <c r="V126" s="179" t="s">
        <v>142</v>
      </c>
      <c r="W126" s="179" t="s">
        <v>142</v>
      </c>
    </row>
    <row r="129" spans="2:23" ht="18.75" x14ac:dyDescent="0.3">
      <c r="B129" s="3" t="s">
        <v>124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 x14ac:dyDescent="0.25">
      <c r="B131" s="59" t="s">
        <v>130</v>
      </c>
      <c r="C131" s="178" t="str" cm="1">
        <f t="array" ref="C131">_xll.d.TestUtils_And(C137,F137,K137,P137)</f>
        <v>Ok</v>
      </c>
    </row>
    <row r="133" spans="2:23" x14ac:dyDescent="0.25">
      <c r="B133" t="s">
        <v>191</v>
      </c>
    </row>
    <row r="135" spans="2:23" ht="15.75" x14ac:dyDescent="0.25">
      <c r="B135" s="4" t="s">
        <v>161</v>
      </c>
      <c r="C135" s="4"/>
      <c r="E135" s="4" t="s">
        <v>158</v>
      </c>
      <c r="F135" s="4"/>
      <c r="G135" s="4"/>
      <c r="H135" s="4"/>
      <c r="J135" s="4" t="s">
        <v>159</v>
      </c>
      <c r="K135" s="4"/>
      <c r="L135" s="4"/>
      <c r="M135" s="4"/>
      <c r="O135" s="4" t="s">
        <v>160</v>
      </c>
      <c r="P135" s="4"/>
      <c r="Q135" s="4"/>
      <c r="R135" s="4"/>
      <c r="S135" s="4"/>
      <c r="T135" s="4"/>
      <c r="U135" s="4"/>
      <c r="V135" s="4"/>
      <c r="W135" s="4"/>
    </row>
    <row r="137" spans="2:23" x14ac:dyDescent="0.25">
      <c r="B137" s="59" t="s">
        <v>130</v>
      </c>
      <c r="C137" s="178" t="str" cm="1">
        <f t="array" ref="C137">_xll.d.TestUtils_IsTrue(C142="OK")</f>
        <v>Ok</v>
      </c>
      <c r="E137" s="59" t="s">
        <v>130</v>
      </c>
      <c r="F137" s="178" t="str" cm="1">
        <f t="array" ref="F137">_xll.d.TestUtils_IsTrue(E142="OK")</f>
        <v>Ok</v>
      </c>
      <c r="J137" s="59" t="s">
        <v>130</v>
      </c>
      <c r="K137" s="178" t="str" cm="1">
        <f t="array" ref="K137">_xll.d.TestUtils_IsTrue(J142="OK")</f>
        <v>Ok</v>
      </c>
      <c r="O137" s="59" t="s">
        <v>130</v>
      </c>
      <c r="P137" s="178" t="str" cm="1">
        <f t="array" ref="P137">_xll.d.TestUtils_IsTrue(O142="OK")</f>
        <v>Ok</v>
      </c>
    </row>
    <row r="139" spans="2:23" x14ac:dyDescent="0.25">
      <c r="B139" s="195" t="s">
        <v>138</v>
      </c>
      <c r="C139" s="179" t="s">
        <v>181</v>
      </c>
      <c r="E139" s="195" t="s">
        <v>138</v>
      </c>
      <c r="F139" s="179" t="s">
        <v>181</v>
      </c>
      <c r="J139" s="195" t="s">
        <v>138</v>
      </c>
      <c r="K139" s="179" t="s">
        <v>181</v>
      </c>
      <c r="O139" s="195" t="s">
        <v>138</v>
      </c>
      <c r="P139" s="179" t="s">
        <v>181</v>
      </c>
    </row>
    <row r="140" spans="2:23" x14ac:dyDescent="0.25">
      <c r="B140" s="179"/>
    </row>
    <row r="141" spans="2:23" x14ac:dyDescent="0.25">
      <c r="B141" s="196" t="s">
        <v>136</v>
      </c>
      <c r="C141" s="196" t="s">
        <v>137</v>
      </c>
      <c r="E141" s="196" t="s">
        <v>137</v>
      </c>
      <c r="J141" s="196" t="s">
        <v>137</v>
      </c>
      <c r="O141" s="196" t="s">
        <v>137</v>
      </c>
    </row>
    <row r="142" spans="2:23" x14ac:dyDescent="0.25">
      <c r="B142" s="179" t="s">
        <v>142</v>
      </c>
      <c r="C142" s="179" t="str" cm="1">
        <f t="array" ref="C142">_xll.d.TestUtils_Or(B142:B145)</f>
        <v>Ok</v>
      </c>
      <c r="E142" s="179" t="str" cm="1">
        <f t="array" ref="E142">_xll.d.TestUtils_Or(E145:H145)</f>
        <v>Ok</v>
      </c>
      <c r="J142" s="179" t="str" cm="1">
        <f t="array" ref="J142">_xll.d.TestUtils_Or(J145:M148)</f>
        <v>Ok</v>
      </c>
      <c r="O142" s="179" t="str" cm="1">
        <f t="array" ref="O142">_xll.d.TestUtils_Or(O145,O147:Q147,S145:S148,U145:W148)</f>
        <v>Ok</v>
      </c>
    </row>
    <row r="143" spans="2:23" x14ac:dyDescent="0.25">
      <c r="B143" s="179" t="s">
        <v>142</v>
      </c>
    </row>
    <row r="144" spans="2:23" x14ac:dyDescent="0.25">
      <c r="B144" s="179" t="s">
        <v>132</v>
      </c>
      <c r="E144" s="196" t="s">
        <v>136</v>
      </c>
      <c r="J144" s="68" t="s">
        <v>136</v>
      </c>
      <c r="O144" s="68" t="s">
        <v>136</v>
      </c>
    </row>
    <row r="145" spans="2:23" x14ac:dyDescent="0.25">
      <c r="B145" s="179" t="s">
        <v>142</v>
      </c>
      <c r="E145" s="179" t="s">
        <v>142</v>
      </c>
      <c r="F145" s="179" t="s">
        <v>132</v>
      </c>
      <c r="G145" t="s">
        <v>142</v>
      </c>
      <c r="H145" s="179" t="s">
        <v>142</v>
      </c>
      <c r="J145" s="179" t="s">
        <v>142</v>
      </c>
      <c r="K145" s="179" t="s">
        <v>142</v>
      </c>
      <c r="L145" s="179" t="s">
        <v>142</v>
      </c>
      <c r="M145" s="179" t="s">
        <v>132</v>
      </c>
      <c r="O145" s="179" t="s">
        <v>142</v>
      </c>
      <c r="R145" s="179"/>
      <c r="S145" s="179" t="s">
        <v>142</v>
      </c>
      <c r="U145" s="179" t="s">
        <v>142</v>
      </c>
      <c r="V145" s="179" t="s">
        <v>142</v>
      </c>
      <c r="W145" s="179" t="s">
        <v>142</v>
      </c>
    </row>
    <row r="146" spans="2:23" x14ac:dyDescent="0.25">
      <c r="J146" s="179" t="s">
        <v>142</v>
      </c>
      <c r="K146" s="179" t="s">
        <v>142</v>
      </c>
      <c r="L146" s="179" t="s">
        <v>142</v>
      </c>
      <c r="M146" s="179" t="s">
        <v>142</v>
      </c>
      <c r="S146" s="179" t="s">
        <v>142</v>
      </c>
      <c r="U146" s="179" t="s">
        <v>142</v>
      </c>
      <c r="V146" s="179" t="s">
        <v>142</v>
      </c>
      <c r="W146" s="179" t="s">
        <v>142</v>
      </c>
    </row>
    <row r="147" spans="2:23" x14ac:dyDescent="0.25">
      <c r="J147" s="179" t="s">
        <v>142</v>
      </c>
      <c r="K147" s="179" t="s">
        <v>142</v>
      </c>
      <c r="L147" s="179" t="s">
        <v>142</v>
      </c>
      <c r="M147" s="179" t="s">
        <v>142</v>
      </c>
      <c r="O147" s="179" t="s">
        <v>142</v>
      </c>
      <c r="P147" s="179" t="s">
        <v>142</v>
      </c>
      <c r="Q147" s="179" t="s">
        <v>132</v>
      </c>
      <c r="S147" s="179" t="s">
        <v>142</v>
      </c>
      <c r="U147" s="179" t="s">
        <v>142</v>
      </c>
      <c r="V147" s="179" t="s">
        <v>142</v>
      </c>
      <c r="W147" s="179" t="s">
        <v>142</v>
      </c>
    </row>
    <row r="148" spans="2:23" x14ac:dyDescent="0.25">
      <c r="J148" s="179" t="s">
        <v>142</v>
      </c>
      <c r="K148" s="179" t="s">
        <v>142</v>
      </c>
      <c r="L148" s="179" t="s">
        <v>142</v>
      </c>
      <c r="M148" s="179" t="s">
        <v>142</v>
      </c>
      <c r="S148" s="179" t="s">
        <v>132</v>
      </c>
      <c r="U148" s="179" t="s">
        <v>142</v>
      </c>
      <c r="V148" s="179" t="s">
        <v>142</v>
      </c>
      <c r="W148" s="179" t="s">
        <v>142</v>
      </c>
    </row>
    <row r="151" spans="2:23" ht="18.75" x14ac:dyDescent="0.3">
      <c r="B151" s="3" t="s">
        <v>166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 x14ac:dyDescent="0.25">
      <c r="B153" s="59" t="s">
        <v>130</v>
      </c>
      <c r="C153" s="178" t="str" cm="1">
        <f t="array" ref="C153">_xll.d.TestUtils_And(C159,F159,K159,P159)</f>
        <v>Ok</v>
      </c>
    </row>
    <row r="155" spans="2:23" x14ac:dyDescent="0.25">
      <c r="B155" t="s">
        <v>192</v>
      </c>
    </row>
    <row r="157" spans="2:23" ht="15.75" x14ac:dyDescent="0.25">
      <c r="B157" s="4" t="s">
        <v>167</v>
      </c>
      <c r="C157" s="4"/>
      <c r="E157" s="4" t="s">
        <v>168</v>
      </c>
      <c r="F157" s="4"/>
      <c r="G157" s="4"/>
      <c r="H157" s="4"/>
      <c r="J157" s="4" t="s">
        <v>169</v>
      </c>
      <c r="K157" s="4"/>
      <c r="L157" s="4"/>
      <c r="M157" s="4"/>
      <c r="O157" s="4" t="s">
        <v>170</v>
      </c>
      <c r="P157" s="4"/>
      <c r="Q157" s="4"/>
      <c r="R157" s="4"/>
      <c r="S157" s="4"/>
      <c r="T157" s="4"/>
      <c r="U157" s="4"/>
      <c r="V157" s="4"/>
      <c r="W157" s="4"/>
    </row>
    <row r="159" spans="2:23" x14ac:dyDescent="0.25">
      <c r="B159" s="59" t="s">
        <v>130</v>
      </c>
      <c r="C159" s="178" t="str" cm="1">
        <f t="array" ref="C159">_xll.d.TestUtils_IsTrue(C164="WARNING")</f>
        <v>Ok</v>
      </c>
      <c r="E159" s="59" t="s">
        <v>130</v>
      </c>
      <c r="F159" s="178" t="str" cm="1">
        <f t="array" ref="F159">_xll.d.TestUtils_IsTrue(E164="WARNING")</f>
        <v>Ok</v>
      </c>
      <c r="J159" s="59" t="s">
        <v>130</v>
      </c>
      <c r="K159" s="178" t="str" cm="1">
        <f t="array" ref="K159">_xll.d.TestUtils_IsTrue(J164="WARNING")</f>
        <v>Ok</v>
      </c>
      <c r="O159" s="59" t="s">
        <v>130</v>
      </c>
      <c r="P159" s="178" t="str" cm="1">
        <f t="array" ref="P159">_xll.d.TestUtils_IsTrue(O164="WARNING")</f>
        <v>Ok</v>
      </c>
    </row>
    <row r="161" spans="2:23" x14ac:dyDescent="0.25">
      <c r="B161" s="195" t="s">
        <v>138</v>
      </c>
      <c r="C161" s="179" t="s">
        <v>181</v>
      </c>
      <c r="E161" s="195" t="s">
        <v>138</v>
      </c>
      <c r="F161" s="179" t="s">
        <v>181</v>
      </c>
      <c r="J161" s="195" t="s">
        <v>138</v>
      </c>
      <c r="K161" s="179" t="s">
        <v>181</v>
      </c>
      <c r="O161" s="195" t="s">
        <v>138</v>
      </c>
      <c r="P161" s="179" t="s">
        <v>181</v>
      </c>
    </row>
    <row r="162" spans="2:23" x14ac:dyDescent="0.25">
      <c r="B162" s="179"/>
    </row>
    <row r="163" spans="2:23" x14ac:dyDescent="0.25">
      <c r="B163" s="196" t="s">
        <v>136</v>
      </c>
      <c r="C163" s="196" t="s">
        <v>137</v>
      </c>
      <c r="E163" s="196" t="s">
        <v>137</v>
      </c>
      <c r="J163" s="196" t="s">
        <v>137</v>
      </c>
      <c r="O163" s="196" t="s">
        <v>137</v>
      </c>
    </row>
    <row r="164" spans="2:23" x14ac:dyDescent="0.25">
      <c r="B164" s="179" t="s">
        <v>142</v>
      </c>
      <c r="C164" s="179" t="str" cm="1">
        <f t="array" ref="C164">_xll.d.TestUtils_Or(B164:B167)</f>
        <v>Warning</v>
      </c>
      <c r="E164" s="179" t="str" cm="1">
        <f t="array" ref="E164">_xll.d.TestUtils_Or(E167:H167)</f>
        <v>Warning</v>
      </c>
      <c r="J164" s="179" t="str" cm="1">
        <f t="array" ref="J164">_xll.d.TestUtils_Or(J167:M170)</f>
        <v>Warning</v>
      </c>
      <c r="O164" s="179" t="str" cm="1">
        <f t="array" ref="O164">_xll.d.TestUtils_Or(O167,O169:Q169,S167:S170,U167:W170)</f>
        <v>Warning</v>
      </c>
    </row>
    <row r="165" spans="2:23" x14ac:dyDescent="0.25">
      <c r="B165" s="179" t="s">
        <v>146</v>
      </c>
    </row>
    <row r="166" spans="2:23" x14ac:dyDescent="0.25">
      <c r="B166" s="179" t="s">
        <v>142</v>
      </c>
      <c r="E166" s="196" t="s">
        <v>136</v>
      </c>
      <c r="J166" s="68" t="s">
        <v>136</v>
      </c>
      <c r="O166" s="68" t="s">
        <v>136</v>
      </c>
    </row>
    <row r="167" spans="2:23" x14ac:dyDescent="0.25">
      <c r="B167" s="179" t="s">
        <v>142</v>
      </c>
      <c r="E167" s="179" t="s">
        <v>142</v>
      </c>
      <c r="F167" s="179" t="s">
        <v>142</v>
      </c>
      <c r="G167" s="179" t="s">
        <v>142</v>
      </c>
      <c r="H167" s="179" t="s">
        <v>146</v>
      </c>
      <c r="J167" s="179" t="s">
        <v>142</v>
      </c>
      <c r="K167" s="179" t="s">
        <v>142</v>
      </c>
      <c r="L167" s="179" t="s">
        <v>142</v>
      </c>
      <c r="M167" s="179" t="s">
        <v>142</v>
      </c>
      <c r="O167" s="179" t="s">
        <v>142</v>
      </c>
      <c r="R167" s="179"/>
      <c r="S167" s="179" t="s">
        <v>142</v>
      </c>
      <c r="U167" s="179" t="s">
        <v>142</v>
      </c>
      <c r="V167" s="179" t="s">
        <v>142</v>
      </c>
      <c r="W167" s="179" t="s">
        <v>142</v>
      </c>
    </row>
    <row r="168" spans="2:23" x14ac:dyDescent="0.25">
      <c r="J168" s="179" t="s">
        <v>142</v>
      </c>
      <c r="K168" s="179" t="s">
        <v>142</v>
      </c>
      <c r="L168" s="179" t="s">
        <v>142</v>
      </c>
      <c r="M168" s="179" t="s">
        <v>142</v>
      </c>
      <c r="S168" s="179" t="s">
        <v>142</v>
      </c>
      <c r="U168" s="179" t="s">
        <v>142</v>
      </c>
      <c r="V168" s="179" t="s">
        <v>142</v>
      </c>
      <c r="W168" s="179" t="s">
        <v>142</v>
      </c>
    </row>
    <row r="169" spans="2:23" x14ac:dyDescent="0.25">
      <c r="J169" s="179" t="s">
        <v>142</v>
      </c>
      <c r="K169" s="179" t="s">
        <v>146</v>
      </c>
      <c r="L169" s="179" t="s">
        <v>142</v>
      </c>
      <c r="M169" s="179" t="s">
        <v>142</v>
      </c>
      <c r="O169" s="179" t="s">
        <v>142</v>
      </c>
      <c r="P169" s="179" t="s">
        <v>142</v>
      </c>
      <c r="Q169" s="179" t="s">
        <v>146</v>
      </c>
      <c r="S169" s="179" t="s">
        <v>142</v>
      </c>
      <c r="U169" s="179" t="s">
        <v>142</v>
      </c>
      <c r="V169" s="179" t="s">
        <v>142</v>
      </c>
      <c r="W169" s="179" t="s">
        <v>142</v>
      </c>
    </row>
    <row r="170" spans="2:23" x14ac:dyDescent="0.25">
      <c r="J170" s="179" t="s">
        <v>142</v>
      </c>
      <c r="K170" s="179" t="s">
        <v>142</v>
      </c>
      <c r="L170" s="179" t="s">
        <v>142</v>
      </c>
      <c r="M170" s="179" t="s">
        <v>142</v>
      </c>
      <c r="S170" s="179" t="s">
        <v>142</v>
      </c>
      <c r="U170" s="179" t="s">
        <v>142</v>
      </c>
      <c r="V170" s="179" t="s">
        <v>142</v>
      </c>
      <c r="W170" s="179" t="s">
        <v>142</v>
      </c>
    </row>
    <row r="173" spans="2:23" ht="18.75" x14ac:dyDescent="0.3">
      <c r="B173" s="3" t="s">
        <v>171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 x14ac:dyDescent="0.25">
      <c r="B175" s="59" t="s">
        <v>130</v>
      </c>
      <c r="C175" s="178" t="str" cm="1">
        <f t="array" ref="C175">_xll.d.TestUtils_And(C181,F181,K181,P181)</f>
        <v>Ok</v>
      </c>
    </row>
    <row r="177" spans="2:23" x14ac:dyDescent="0.25">
      <c r="B177" t="s">
        <v>193</v>
      </c>
    </row>
    <row r="179" spans="2:23" ht="15.75" x14ac:dyDescent="0.25">
      <c r="B179" s="4" t="s">
        <v>175</v>
      </c>
      <c r="C179" s="4"/>
      <c r="E179" s="4" t="s">
        <v>172</v>
      </c>
      <c r="F179" s="4"/>
      <c r="G179" s="4"/>
      <c r="H179" s="4"/>
      <c r="J179" s="4" t="s">
        <v>173</v>
      </c>
      <c r="K179" s="4"/>
      <c r="L179" s="4"/>
      <c r="M179" s="4"/>
      <c r="O179" s="4" t="s">
        <v>174</v>
      </c>
      <c r="P179" s="4"/>
      <c r="Q179" s="4"/>
      <c r="R179" s="4"/>
      <c r="S179" s="4"/>
      <c r="T179" s="4"/>
      <c r="U179" s="4"/>
      <c r="V179" s="4"/>
      <c r="W179" s="4"/>
    </row>
    <row r="181" spans="2:23" x14ac:dyDescent="0.25">
      <c r="B181" s="59" t="s">
        <v>130</v>
      </c>
      <c r="C181" s="178" t="str" cm="1">
        <f t="array" ref="C181">_xll.d.TestUtils_IsTrue(C186="OK")</f>
        <v>Ok</v>
      </c>
      <c r="E181" s="59" t="s">
        <v>130</v>
      </c>
      <c r="F181" s="178" t="str" cm="1">
        <f t="array" ref="F181">_xll.d.TestUtils_IsTrue(E186="OK")</f>
        <v>Ok</v>
      </c>
      <c r="J181" s="59" t="s">
        <v>130</v>
      </c>
      <c r="K181" s="178" t="str" cm="1">
        <f t="array" ref="K181">_xll.d.TestUtils_IsTrue(J186="OK")</f>
        <v>Ok</v>
      </c>
      <c r="O181" s="59" t="s">
        <v>130</v>
      </c>
      <c r="P181" s="178" t="str" cm="1">
        <f t="array" ref="P181">_xll.d.TestUtils_IsTrue(O186="OK")</f>
        <v>Ok</v>
      </c>
    </row>
    <row r="183" spans="2:23" x14ac:dyDescent="0.25">
      <c r="B183" s="195" t="s">
        <v>138</v>
      </c>
      <c r="C183" s="179" t="s">
        <v>181</v>
      </c>
      <c r="E183" s="195" t="s">
        <v>138</v>
      </c>
      <c r="F183" s="179" t="s">
        <v>181</v>
      </c>
      <c r="J183" s="195" t="s">
        <v>138</v>
      </c>
      <c r="K183" s="179" t="s">
        <v>181</v>
      </c>
      <c r="O183" s="195" t="s">
        <v>138</v>
      </c>
      <c r="P183" s="179" t="s">
        <v>181</v>
      </c>
    </row>
    <row r="184" spans="2:23" x14ac:dyDescent="0.25">
      <c r="B184" s="179"/>
    </row>
    <row r="185" spans="2:23" x14ac:dyDescent="0.25">
      <c r="B185" s="196" t="s">
        <v>136</v>
      </c>
      <c r="C185" s="196" t="s">
        <v>137</v>
      </c>
      <c r="E185" s="196" t="s">
        <v>137</v>
      </c>
      <c r="J185" s="196" t="s">
        <v>137</v>
      </c>
      <c r="O185" s="196" t="s">
        <v>137</v>
      </c>
    </row>
    <row r="186" spans="2:23" x14ac:dyDescent="0.25">
      <c r="B186" s="179" t="s">
        <v>142</v>
      </c>
      <c r="C186" s="179" t="str" cm="1">
        <f t="array" ref="C186">_xll.d.TestUtils_Or(B186:B189)</f>
        <v>Ok</v>
      </c>
      <c r="E186" s="179" t="str" cm="1">
        <f t="array" ref="E186">_xll.d.TestUtils_Or(E189:H189)</f>
        <v>Ok</v>
      </c>
      <c r="J186" s="179" t="str" cm="1">
        <f t="array" ref="J186">_xll.d.TestUtils_Or(J189:M192)</f>
        <v>Ok</v>
      </c>
      <c r="O186" s="179" t="str" cm="1">
        <f t="array" ref="O186">_xll.d.TestUtils_Or(O189,O191:Q191,S189:S192,U189:W192)</f>
        <v>Ok</v>
      </c>
    </row>
    <row r="187" spans="2:23" x14ac:dyDescent="0.25">
      <c r="B187" s="179" t="s">
        <v>146</v>
      </c>
    </row>
    <row r="188" spans="2:23" x14ac:dyDescent="0.25">
      <c r="B188" s="179" t="s">
        <v>142</v>
      </c>
      <c r="E188" s="196" t="s">
        <v>136</v>
      </c>
      <c r="J188" s="68" t="s">
        <v>136</v>
      </c>
      <c r="O188" s="68" t="s">
        <v>136</v>
      </c>
    </row>
    <row r="189" spans="2:23" x14ac:dyDescent="0.25">
      <c r="B189" s="179" t="s">
        <v>132</v>
      </c>
      <c r="E189" s="179" t="s">
        <v>142</v>
      </c>
      <c r="F189" s="179" t="s">
        <v>132</v>
      </c>
      <c r="G189" s="179" t="s">
        <v>142</v>
      </c>
      <c r="H189" s="179" t="s">
        <v>146</v>
      </c>
      <c r="J189" s="179" t="s">
        <v>142</v>
      </c>
      <c r="K189" s="179" t="s">
        <v>142</v>
      </c>
      <c r="L189" s="179" t="s">
        <v>142</v>
      </c>
      <c r="M189" s="179" t="s">
        <v>142</v>
      </c>
      <c r="O189" s="179" t="s">
        <v>142</v>
      </c>
      <c r="R189" s="179"/>
      <c r="S189" s="179" t="s">
        <v>142</v>
      </c>
      <c r="U189" s="179" t="s">
        <v>142</v>
      </c>
      <c r="V189" s="179" t="s">
        <v>142</v>
      </c>
      <c r="W189" s="179" t="s">
        <v>142</v>
      </c>
    </row>
    <row r="190" spans="2:23" x14ac:dyDescent="0.25">
      <c r="J190" s="179" t="s">
        <v>142</v>
      </c>
      <c r="K190" s="179" t="s">
        <v>142</v>
      </c>
      <c r="L190" s="179" t="s">
        <v>132</v>
      </c>
      <c r="M190" s="179" t="s">
        <v>142</v>
      </c>
      <c r="S190" s="179" t="s">
        <v>142</v>
      </c>
      <c r="U190" s="179" t="s">
        <v>142</v>
      </c>
      <c r="V190" s="179" t="s">
        <v>132</v>
      </c>
      <c r="W190" s="179" t="s">
        <v>142</v>
      </c>
    </row>
    <row r="191" spans="2:23" x14ac:dyDescent="0.25">
      <c r="J191" s="179" t="s">
        <v>142</v>
      </c>
      <c r="K191" s="179" t="s">
        <v>146</v>
      </c>
      <c r="L191" s="179" t="s">
        <v>142</v>
      </c>
      <c r="M191" s="179" t="s">
        <v>142</v>
      </c>
      <c r="O191" s="179" t="s">
        <v>142</v>
      </c>
      <c r="P191" s="179" t="s">
        <v>142</v>
      </c>
      <c r="Q191" s="179" t="s">
        <v>146</v>
      </c>
      <c r="S191" s="179" t="s">
        <v>142</v>
      </c>
      <c r="U191" s="179" t="s">
        <v>142</v>
      </c>
      <c r="V191" s="179" t="s">
        <v>142</v>
      </c>
      <c r="W191" s="179" t="s">
        <v>142</v>
      </c>
    </row>
    <row r="192" spans="2:23" x14ac:dyDescent="0.25">
      <c r="J192" s="179" t="s">
        <v>142</v>
      </c>
      <c r="K192" s="179" t="s">
        <v>142</v>
      </c>
      <c r="L192" s="179" t="s">
        <v>142</v>
      </c>
      <c r="M192" s="179" t="s">
        <v>142</v>
      </c>
      <c r="S192" s="179" t="s">
        <v>142</v>
      </c>
      <c r="U192" s="179" t="s">
        <v>142</v>
      </c>
      <c r="V192" s="179" t="s">
        <v>142</v>
      </c>
      <c r="W192" s="179" t="s">
        <v>142</v>
      </c>
    </row>
    <row r="195" spans="2:23" ht="18.75" x14ac:dyDescent="0.3">
      <c r="B195" s="3" t="s">
        <v>176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 x14ac:dyDescent="0.25">
      <c r="B197" s="59" t="s">
        <v>130</v>
      </c>
      <c r="C197" s="178" t="str" cm="1">
        <f t="array" ref="C197">_xll.d.TestUtils_And(C203,F203,K203,P203)</f>
        <v>Ok</v>
      </c>
    </row>
    <row r="199" spans="2:23" x14ac:dyDescent="0.25">
      <c r="B199" t="s">
        <v>194</v>
      </c>
    </row>
    <row r="201" spans="2:23" ht="15.75" x14ac:dyDescent="0.25">
      <c r="B201" s="4" t="s">
        <v>182</v>
      </c>
      <c r="C201" s="4"/>
      <c r="E201" s="4" t="s">
        <v>183</v>
      </c>
      <c r="F201" s="4"/>
      <c r="G201" s="4"/>
      <c r="H201" s="4"/>
      <c r="J201" s="4" t="s">
        <v>184</v>
      </c>
      <c r="K201" s="4"/>
      <c r="L201" s="4"/>
      <c r="M201" s="4"/>
      <c r="O201" s="4" t="s">
        <v>185</v>
      </c>
      <c r="P201" s="4"/>
      <c r="Q201" s="4"/>
      <c r="R201" s="4"/>
      <c r="S201" s="4"/>
      <c r="T201" s="4"/>
      <c r="U201" s="4"/>
      <c r="V201" s="4"/>
      <c r="W201" s="4"/>
    </row>
    <row r="203" spans="2:23" x14ac:dyDescent="0.25">
      <c r="B203" s="59" t="s">
        <v>130</v>
      </c>
      <c r="C203" s="178" t="str" cm="1">
        <f t="array" ref="C203">_xll.d.TestUtils_IsTrue(C208="OK")</f>
        <v>Ok</v>
      </c>
      <c r="E203" s="59" t="s">
        <v>130</v>
      </c>
      <c r="F203" s="178" t="str" cm="1">
        <f t="array" ref="F203">_xll.d.TestUtils_IsTrue(E208="OK")</f>
        <v>Ok</v>
      </c>
      <c r="J203" s="59" t="s">
        <v>130</v>
      </c>
      <c r="K203" s="178" t="str" cm="1">
        <f t="array" ref="K203">_xll.d.TestUtils_IsTrue(J208="OK")</f>
        <v>Ok</v>
      </c>
      <c r="O203" s="59" t="s">
        <v>130</v>
      </c>
      <c r="P203" s="178" t="str" cm="1">
        <f t="array" ref="P203">_xll.d.TestUtils_IsTrue(O208="OK")</f>
        <v>Ok</v>
      </c>
    </row>
    <row r="205" spans="2:23" x14ac:dyDescent="0.25">
      <c r="B205" s="195" t="s">
        <v>138</v>
      </c>
      <c r="C205" s="179" t="s">
        <v>181</v>
      </c>
      <c r="E205" s="195" t="s">
        <v>138</v>
      </c>
      <c r="F205" s="179" t="s">
        <v>181</v>
      </c>
      <c r="J205" s="195" t="s">
        <v>138</v>
      </c>
      <c r="K205" s="179" t="s">
        <v>181</v>
      </c>
      <c r="O205" s="195" t="s">
        <v>138</v>
      </c>
      <c r="P205" s="179" t="s">
        <v>181</v>
      </c>
    </row>
    <row r="206" spans="2:23" x14ac:dyDescent="0.25">
      <c r="B206" s="179"/>
    </row>
    <row r="207" spans="2:23" x14ac:dyDescent="0.25">
      <c r="B207" s="196" t="s">
        <v>136</v>
      </c>
      <c r="C207" s="196" t="s">
        <v>137</v>
      </c>
      <c r="E207" s="196" t="s">
        <v>137</v>
      </c>
      <c r="J207" s="196" t="s">
        <v>137</v>
      </c>
      <c r="O207" s="196" t="s">
        <v>137</v>
      </c>
    </row>
    <row r="208" spans="2:23" x14ac:dyDescent="0.25">
      <c r="B208" s="179" t="s">
        <v>142</v>
      </c>
      <c r="C208" s="179" t="str">
        <f t="array" ref="C208:C211">_xll.d.TestUtils_Not(B208:B211)</f>
        <v>Ok</v>
      </c>
      <c r="E208" s="179" t="str" cm="1">
        <f t="array" ref="E208">_xll.d.TestUtils_Or(E211:H211)</f>
        <v>Ok</v>
      </c>
      <c r="J208" s="179" t="str" cm="1">
        <f t="array" ref="J208">_xll.d.TestUtils_Or(J211:M214)</f>
        <v>Ok</v>
      </c>
      <c r="O208" s="179" t="str" cm="1">
        <f t="array" ref="O208">_xll.d.TestUtils_Or(O211,O213:Q213,S211:S214,U211:W214)</f>
        <v>Ok</v>
      </c>
    </row>
    <row r="209" spans="2:23" x14ac:dyDescent="0.25">
      <c r="B209" s="179" t="s">
        <v>146</v>
      </c>
      <c r="C209" t="str">
        <v>Warning</v>
      </c>
    </row>
    <row r="210" spans="2:23" x14ac:dyDescent="0.25">
      <c r="B210" s="179" t="s">
        <v>142</v>
      </c>
      <c r="C210" t="str">
        <v>Ok</v>
      </c>
      <c r="E210" s="196" t="s">
        <v>136</v>
      </c>
      <c r="J210" s="68" t="s">
        <v>136</v>
      </c>
      <c r="O210" s="68" t="s">
        <v>136</v>
      </c>
    </row>
    <row r="211" spans="2:23" x14ac:dyDescent="0.25">
      <c r="B211" s="179" t="s">
        <v>132</v>
      </c>
      <c r="C211" t="str">
        <v>Error</v>
      </c>
      <c r="E211" s="179" t="s">
        <v>142</v>
      </c>
      <c r="F211" s="179" t="s">
        <v>132</v>
      </c>
      <c r="G211" s="179" t="s">
        <v>142</v>
      </c>
      <c r="H211" s="179" t="s">
        <v>146</v>
      </c>
      <c r="J211" s="179" t="s">
        <v>142</v>
      </c>
      <c r="K211" s="179" t="s">
        <v>142</v>
      </c>
      <c r="L211" s="179" t="s">
        <v>142</v>
      </c>
      <c r="M211" s="179" t="s">
        <v>142</v>
      </c>
      <c r="O211" s="179" t="s">
        <v>142</v>
      </c>
      <c r="R211" s="179"/>
      <c r="S211" s="179" t="s">
        <v>142</v>
      </c>
      <c r="U211" s="179" t="s">
        <v>142</v>
      </c>
      <c r="V211" s="179" t="s">
        <v>142</v>
      </c>
      <c r="W211" s="179" t="s">
        <v>142</v>
      </c>
    </row>
    <row r="212" spans="2:23" x14ac:dyDescent="0.25">
      <c r="J212" s="179" t="s">
        <v>142</v>
      </c>
      <c r="K212" s="179" t="s">
        <v>142</v>
      </c>
      <c r="L212" s="179" t="s">
        <v>132</v>
      </c>
      <c r="M212" s="179" t="s">
        <v>142</v>
      </c>
      <c r="S212" s="179" t="s">
        <v>142</v>
      </c>
      <c r="U212" s="179" t="s">
        <v>142</v>
      </c>
      <c r="V212" s="179" t="s">
        <v>132</v>
      </c>
      <c r="W212" s="179" t="s">
        <v>142</v>
      </c>
    </row>
    <row r="213" spans="2:23" x14ac:dyDescent="0.25">
      <c r="J213" s="179" t="s">
        <v>142</v>
      </c>
      <c r="K213" s="179" t="s">
        <v>146</v>
      </c>
      <c r="L213" s="179" t="s">
        <v>142</v>
      </c>
      <c r="M213" s="179" t="s">
        <v>142</v>
      </c>
      <c r="O213" s="179" t="s">
        <v>142</v>
      </c>
      <c r="P213" s="179" t="s">
        <v>142</v>
      </c>
      <c r="Q213" s="179" t="s">
        <v>146</v>
      </c>
      <c r="S213" s="179" t="s">
        <v>142</v>
      </c>
      <c r="U213" s="179" t="s">
        <v>142</v>
      </c>
      <c r="V213" s="179" t="s">
        <v>142</v>
      </c>
      <c r="W213" s="179" t="s">
        <v>142</v>
      </c>
    </row>
    <row r="214" spans="2:23" x14ac:dyDescent="0.25">
      <c r="J214" s="179" t="s">
        <v>142</v>
      </c>
      <c r="K214" s="179" t="s">
        <v>142</v>
      </c>
      <c r="L214" s="179" t="s">
        <v>142</v>
      </c>
      <c r="M214" s="179" t="s">
        <v>142</v>
      </c>
      <c r="S214" s="179" t="s">
        <v>142</v>
      </c>
      <c r="U214" s="179" t="s">
        <v>142</v>
      </c>
      <c r="V214" s="179" t="s">
        <v>142</v>
      </c>
      <c r="W214" s="179" t="s">
        <v>142</v>
      </c>
    </row>
    <row r="217" spans="2:23" ht="18.75" x14ac:dyDescent="0.3">
      <c r="B217" s="3" t="s">
        <v>195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 x14ac:dyDescent="0.25">
      <c r="B219" s="59" t="s">
        <v>130</v>
      </c>
      <c r="C219" s="178" t="str" cm="1">
        <f t="array" ref="C219">_xll.d.TestUtils_And(C225,F225,I225,L225)</f>
        <v>Ok</v>
      </c>
    </row>
    <row r="221" spans="2:23" x14ac:dyDescent="0.25">
      <c r="B221" t="s">
        <v>200</v>
      </c>
    </row>
    <row r="223" spans="2:23" ht="15.75" x14ac:dyDescent="0.25">
      <c r="B223" s="4" t="s">
        <v>196</v>
      </c>
      <c r="C223" s="4"/>
      <c r="E223" s="4" t="s">
        <v>197</v>
      </c>
      <c r="F223" s="4"/>
      <c r="H223" s="4" t="s">
        <v>198</v>
      </c>
      <c r="I223" s="4"/>
      <c r="K223" s="4" t="s">
        <v>199</v>
      </c>
      <c r="L223" s="4"/>
      <c r="N223" s="4" t="s">
        <v>203</v>
      </c>
      <c r="O223" s="4"/>
      <c r="Q223" s="4" t="s">
        <v>205</v>
      </c>
      <c r="R223" s="4"/>
      <c r="T223" s="4" t="s">
        <v>205</v>
      </c>
      <c r="U223" s="4"/>
    </row>
    <row r="225" spans="2:21" x14ac:dyDescent="0.25">
      <c r="B225" s="59" t="s">
        <v>130</v>
      </c>
      <c r="C225" s="178" t="str" cm="1">
        <f t="array" ref="C225">_xll.d.TestUtils_IsTrue(C230="ERROR")</f>
        <v>Ok</v>
      </c>
      <c r="E225" s="59" t="s">
        <v>130</v>
      </c>
      <c r="F225" s="178" t="str" cm="1">
        <f t="array" ref="F225">_xll.d.TestUtils_IsTrue(F230="ERROR")</f>
        <v>Ok</v>
      </c>
      <c r="H225" s="59" t="s">
        <v>130</v>
      </c>
      <c r="I225" s="178" t="str" cm="1">
        <f t="array" ref="I225">_xll.d.TestUtils_IsTrue(_xll.d.TestUtils_Or(I230:I233)="ERROR")</f>
        <v>Ok</v>
      </c>
      <c r="K225" s="59" t="s">
        <v>130</v>
      </c>
      <c r="L225" s="178" t="str" cm="1">
        <f t="array" ref="L225">_xll.d.TestUtils_IsTrue(L230="ERROR")</f>
        <v>Ok</v>
      </c>
      <c r="N225" s="59" t="s">
        <v>130</v>
      </c>
      <c r="O225" s="178" t="str" cm="1">
        <f t="array" ref="O225">_xll.d.TestUtils_IsTrue(O230="ERROR")</f>
        <v>Ok</v>
      </c>
      <c r="Q225" s="59" t="s">
        <v>130</v>
      </c>
      <c r="R225" s="178" t="str" cm="1">
        <f t="array" ref="R225">_xll.d.TestUtils_IsTrue(R230="ERROR")</f>
        <v>Ok</v>
      </c>
      <c r="T225" s="59" t="s">
        <v>130</v>
      </c>
      <c r="U225" s="178" t="str" cm="1">
        <f t="array" ref="U225">_xll.d.TestUtils_IsTrue(U230="ERROR")</f>
        <v>Ok</v>
      </c>
    </row>
    <row r="227" spans="2:21" x14ac:dyDescent="0.25">
      <c r="B227" s="195" t="s">
        <v>138</v>
      </c>
      <c r="C227" s="179" t="s">
        <v>180</v>
      </c>
      <c r="E227" s="195" t="s">
        <v>138</v>
      </c>
      <c r="F227" s="179" t="s">
        <v>181</v>
      </c>
      <c r="H227" s="195" t="s">
        <v>138</v>
      </c>
      <c r="I227" s="179" t="s">
        <v>201</v>
      </c>
      <c r="K227" s="195" t="s">
        <v>138</v>
      </c>
      <c r="L227" s="179" t="s">
        <v>202</v>
      </c>
      <c r="N227" s="195" t="s">
        <v>138</v>
      </c>
      <c r="O227" s="179" t="s">
        <v>204</v>
      </c>
      <c r="Q227" s="195" t="s">
        <v>138</v>
      </c>
      <c r="R227" s="179" t="s">
        <v>206</v>
      </c>
      <c r="T227" s="195" t="s">
        <v>138</v>
      </c>
      <c r="U227" s="179" t="s">
        <v>207</v>
      </c>
    </row>
    <row r="228" spans="2:21" x14ac:dyDescent="0.25">
      <c r="B228" s="179"/>
    </row>
    <row r="229" spans="2:21" x14ac:dyDescent="0.25">
      <c r="B229" s="196" t="s">
        <v>136</v>
      </c>
      <c r="C229" s="196" t="s">
        <v>137</v>
      </c>
      <c r="E229" s="196" t="s">
        <v>136</v>
      </c>
      <c r="F229" s="196" t="s">
        <v>137</v>
      </c>
      <c r="H229" s="196" t="s">
        <v>136</v>
      </c>
      <c r="I229" s="196" t="s">
        <v>137</v>
      </c>
      <c r="K229" s="196" t="s">
        <v>136</v>
      </c>
      <c r="L229" s="196" t="s">
        <v>137</v>
      </c>
      <c r="N229" s="196" t="s">
        <v>136</v>
      </c>
      <c r="O229" s="196" t="s">
        <v>137</v>
      </c>
      <c r="Q229" s="196" t="s">
        <v>136</v>
      </c>
      <c r="R229" s="196" t="s">
        <v>137</v>
      </c>
      <c r="T229" s="196" t="s">
        <v>136</v>
      </c>
      <c r="U229" s="196" t="s">
        <v>137</v>
      </c>
    </row>
    <row r="230" spans="2:21" x14ac:dyDescent="0.25">
      <c r="B230" s="179" t="s">
        <v>132</v>
      </c>
      <c r="C230" s="179" t="str" cm="1">
        <f t="array" ref="C230">_xll.d.TestUtils_And(B230:B233)</f>
        <v>Error</v>
      </c>
      <c r="E230" s="179" t="s">
        <v>132</v>
      </c>
      <c r="F230" s="179" t="str" cm="1">
        <f t="array" ref="F230">_xll.d.TestUtils_Or(E230:E233)</f>
        <v>Error</v>
      </c>
      <c r="H230" s="179" t="s">
        <v>132</v>
      </c>
      <c r="I230" s="178" t="str">
        <f t="array" ref="I230:I233">_xll.d.TestUtils_Not(H230:H233)</f>
        <v>Error</v>
      </c>
      <c r="K230" s="179" t="e">
        <f>NA()</f>
        <v>#N/A</v>
      </c>
      <c r="L230" s="178" t="str" cm="1">
        <f t="array" ref="L230">_xll.d.TestUtils_IsTrue(K230)</f>
        <v>Error</v>
      </c>
      <c r="N230" s="179" t="e">
        <f>NA()</f>
        <v>#N/A</v>
      </c>
      <c r="O230" s="178" t="str" cm="1">
        <f t="array" ref="O230">_xll.d.TestUtils_IsFalse(N230)</f>
        <v>Error</v>
      </c>
      <c r="Q230" s="179">
        <v>10</v>
      </c>
      <c r="R230" s="178" t="str" cm="1">
        <f t="array" ref="R230">_xll.d.TestUtils_GreaterThan(Q230,Q231)</f>
        <v>Error</v>
      </c>
      <c r="T230" s="179">
        <v>10</v>
      </c>
      <c r="U230" s="178" t="str" cm="1">
        <f t="array" ref="U230">_xll.d.TestUtils_LessThan(T230,T231)</f>
        <v>Error</v>
      </c>
    </row>
    <row r="231" spans="2:21" x14ac:dyDescent="0.25">
      <c r="B231" s="179" t="s">
        <v>146</v>
      </c>
      <c r="E231" s="179" t="s">
        <v>146</v>
      </c>
      <c r="H231" s="179" t="s">
        <v>146</v>
      </c>
      <c r="I231" s="178" t="str">
        <v>Error</v>
      </c>
      <c r="K231" s="178"/>
      <c r="N231" s="178"/>
      <c r="Q231" t="e">
        <f>NA()</f>
        <v>#N/A</v>
      </c>
      <c r="T231" t="e">
        <f>NA()</f>
        <v>#N/A</v>
      </c>
    </row>
    <row r="232" spans="2:21" x14ac:dyDescent="0.25">
      <c r="B232" s="179" t="e">
        <f>NA()</f>
        <v>#N/A</v>
      </c>
      <c r="E232" s="179" t="e">
        <f>NA()</f>
        <v>#N/A</v>
      </c>
      <c r="H232" s="179" t="e">
        <f>NA()</f>
        <v>#N/A</v>
      </c>
      <c r="I232" s="178" t="str">
        <v>Error</v>
      </c>
      <c r="L232" s="178"/>
    </row>
    <row r="233" spans="2:21" x14ac:dyDescent="0.25">
      <c r="B233" s="179" t="s">
        <v>132</v>
      </c>
      <c r="E233" s="179" t="s">
        <v>132</v>
      </c>
      <c r="F233" s="179"/>
      <c r="H233" s="179" t="s">
        <v>132</v>
      </c>
      <c r="I233" s="178" t="str">
        <v>Error</v>
      </c>
      <c r="K233" s="179"/>
      <c r="L233" s="178"/>
    </row>
    <row r="234" spans="2:21" x14ac:dyDescent="0.25">
      <c r="H234" s="179"/>
      <c r="I234" s="179"/>
    </row>
    <row r="235" spans="2:21" x14ac:dyDescent="0.25">
      <c r="H235" s="179"/>
      <c r="I235" s="179"/>
      <c r="L235" s="179"/>
    </row>
    <row r="236" spans="2:21" x14ac:dyDescent="0.25">
      <c r="H236" s="179"/>
      <c r="I236" s="179"/>
    </row>
  </sheetData>
  <conditionalFormatting sqref="C4 C7:C12">
    <cfRule type="cellIs" dxfId="134" priority="52" stopIfTrue="1" operator="equal">
      <formula>"ERROR"</formula>
    </cfRule>
    <cfRule type="cellIs" dxfId="133" priority="53" stopIfTrue="1" operator="equal">
      <formula>"OK"</formula>
    </cfRule>
    <cfRule type="cellIs" dxfId="132" priority="54" stopIfTrue="1" operator="equal">
      <formula>"WARNING"</formula>
    </cfRule>
  </conditionalFormatting>
  <conditionalFormatting sqref="C27 F27 K27 P27">
    <cfRule type="cellIs" dxfId="131" priority="55" stopIfTrue="1" operator="equal">
      <formula>"ERROR"</formula>
    </cfRule>
    <cfRule type="cellIs" dxfId="130" priority="56" stopIfTrue="1" operator="equal">
      <formula>"OK"</formula>
    </cfRule>
    <cfRule type="cellIs" dxfId="129" priority="57" stopIfTrue="1" operator="equal">
      <formula>"WARNING"</formula>
    </cfRule>
  </conditionalFormatting>
  <conditionalFormatting sqref="C49 F49 K49 P49">
    <cfRule type="cellIs" dxfId="128" priority="58" stopIfTrue="1" operator="equal">
      <formula>"ERROR"</formula>
    </cfRule>
    <cfRule type="cellIs" dxfId="127" priority="59" stopIfTrue="1" operator="equal">
      <formula>"OK"</formula>
    </cfRule>
    <cfRule type="cellIs" dxfId="126" priority="60" stopIfTrue="1" operator="equal">
      <formula>"WARNING"</formula>
    </cfRule>
  </conditionalFormatting>
  <conditionalFormatting sqref="C71 F71 K71 P71">
    <cfRule type="cellIs" dxfId="125" priority="61" stopIfTrue="1" operator="equal">
      <formula>"ERROR"</formula>
    </cfRule>
    <cfRule type="cellIs" dxfId="124" priority="62" stopIfTrue="1" operator="equal">
      <formula>"OK"</formula>
    </cfRule>
    <cfRule type="cellIs" dxfId="123" priority="63" stopIfTrue="1" operator="equal">
      <formula>"WARNING"</formula>
    </cfRule>
  </conditionalFormatting>
  <conditionalFormatting sqref="C93 F93 K93 P93">
    <cfRule type="cellIs" dxfId="122" priority="64" stopIfTrue="1" operator="equal">
      <formula>"ERROR"</formula>
    </cfRule>
    <cfRule type="cellIs" dxfId="121" priority="65" stopIfTrue="1" operator="equal">
      <formula>"OK"</formula>
    </cfRule>
    <cfRule type="cellIs" dxfId="120" priority="66" stopIfTrue="1" operator="equal">
      <formula>"WARNING"</formula>
    </cfRule>
  </conditionalFormatting>
  <conditionalFormatting sqref="C115 F115 K115 P115">
    <cfRule type="cellIs" dxfId="119" priority="67" stopIfTrue="1" operator="equal">
      <formula>"ERROR"</formula>
    </cfRule>
  </conditionalFormatting>
  <conditionalFormatting sqref="C115 F115 K115 P115">
    <cfRule type="cellIs" dxfId="118" priority="68" stopIfTrue="1" operator="equal">
      <formula>"OK"</formula>
    </cfRule>
  </conditionalFormatting>
  <conditionalFormatting sqref="C115 F115 K115 P115">
    <cfRule type="cellIs" dxfId="117" priority="69" stopIfTrue="1" operator="equal">
      <formula>"WARNING"</formula>
    </cfRule>
  </conditionalFormatting>
  <conditionalFormatting sqref="C137 F137 K137 P137">
    <cfRule type="cellIs" dxfId="116" priority="70" stopIfTrue="1" operator="equal">
      <formula>"ERROR"</formula>
    </cfRule>
  </conditionalFormatting>
  <conditionalFormatting sqref="C137 F137 K137 P137">
    <cfRule type="cellIs" dxfId="115" priority="71" stopIfTrue="1" operator="equal">
      <formula>"OK"</formula>
    </cfRule>
  </conditionalFormatting>
  <conditionalFormatting sqref="C137 F137 K137 P137">
    <cfRule type="cellIs" dxfId="114" priority="72" stopIfTrue="1" operator="equal">
      <formula>"WARNING"</formula>
    </cfRule>
  </conditionalFormatting>
  <conditionalFormatting sqref="C159 F159 K159 P159">
    <cfRule type="cellIs" dxfId="113" priority="49" stopIfTrue="1" operator="equal">
      <formula>"ERROR"</formula>
    </cfRule>
  </conditionalFormatting>
  <conditionalFormatting sqref="C159 F159 K159 P159">
    <cfRule type="cellIs" dxfId="112" priority="50" stopIfTrue="1" operator="equal">
      <formula>"OK"</formula>
    </cfRule>
  </conditionalFormatting>
  <conditionalFormatting sqref="C159 F159 K159 P159">
    <cfRule type="cellIs" dxfId="111" priority="51" stopIfTrue="1" operator="equal">
      <formula>"WARNING"</formula>
    </cfRule>
  </conditionalFormatting>
  <conditionalFormatting sqref="C153">
    <cfRule type="cellIs" dxfId="110" priority="73" stopIfTrue="1" operator="equal">
      <formula>"ERROR"</formula>
    </cfRule>
  </conditionalFormatting>
  <conditionalFormatting sqref="C153">
    <cfRule type="cellIs" dxfId="109" priority="74" stopIfTrue="1" operator="equal">
      <formula>"OK"</formula>
    </cfRule>
  </conditionalFormatting>
  <conditionalFormatting sqref="C153">
    <cfRule type="cellIs" dxfId="108" priority="75" stopIfTrue="1" operator="equal">
      <formula>"WARNING"</formula>
    </cfRule>
  </conditionalFormatting>
  <conditionalFormatting sqref="C131">
    <cfRule type="cellIs" dxfId="107" priority="46" stopIfTrue="1" operator="equal">
      <formula>"ERROR"</formula>
    </cfRule>
  </conditionalFormatting>
  <conditionalFormatting sqref="C131">
    <cfRule type="cellIs" dxfId="106" priority="47" stopIfTrue="1" operator="equal">
      <formula>"OK"</formula>
    </cfRule>
  </conditionalFormatting>
  <conditionalFormatting sqref="C131">
    <cfRule type="cellIs" dxfId="105" priority="48" stopIfTrue="1" operator="equal">
      <formula>"WARNING"</formula>
    </cfRule>
  </conditionalFormatting>
  <conditionalFormatting sqref="C109">
    <cfRule type="cellIs" dxfId="104" priority="43" stopIfTrue="1" operator="equal">
      <formula>"ERROR"</formula>
    </cfRule>
  </conditionalFormatting>
  <conditionalFormatting sqref="C109">
    <cfRule type="cellIs" dxfId="103" priority="44" stopIfTrue="1" operator="equal">
      <formula>"OK"</formula>
    </cfRule>
  </conditionalFormatting>
  <conditionalFormatting sqref="C109">
    <cfRule type="cellIs" dxfId="102" priority="45" stopIfTrue="1" operator="equal">
      <formula>"WARNING"</formula>
    </cfRule>
  </conditionalFormatting>
  <conditionalFormatting sqref="C87">
    <cfRule type="cellIs" dxfId="101" priority="40" stopIfTrue="1" operator="equal">
      <formula>"ERROR"</formula>
    </cfRule>
  </conditionalFormatting>
  <conditionalFormatting sqref="C87">
    <cfRule type="cellIs" dxfId="100" priority="41" stopIfTrue="1" operator="equal">
      <formula>"OK"</formula>
    </cfRule>
  </conditionalFormatting>
  <conditionalFormatting sqref="C87">
    <cfRule type="cellIs" dxfId="99" priority="42" stopIfTrue="1" operator="equal">
      <formula>"WARNING"</formula>
    </cfRule>
  </conditionalFormatting>
  <conditionalFormatting sqref="C65">
    <cfRule type="cellIs" dxfId="98" priority="37" stopIfTrue="1" operator="equal">
      <formula>"ERROR"</formula>
    </cfRule>
  </conditionalFormatting>
  <conditionalFormatting sqref="C65">
    <cfRule type="cellIs" dxfId="97" priority="38" stopIfTrue="1" operator="equal">
      <formula>"OK"</formula>
    </cfRule>
  </conditionalFormatting>
  <conditionalFormatting sqref="C65">
    <cfRule type="cellIs" dxfId="96" priority="39" stopIfTrue="1" operator="equal">
      <formula>"WARNING"</formula>
    </cfRule>
  </conditionalFormatting>
  <conditionalFormatting sqref="C43">
    <cfRule type="cellIs" dxfId="95" priority="34" stopIfTrue="1" operator="equal">
      <formula>"ERROR"</formula>
    </cfRule>
  </conditionalFormatting>
  <conditionalFormatting sqref="C43">
    <cfRule type="cellIs" dxfId="94" priority="35" stopIfTrue="1" operator="equal">
      <formula>"OK"</formula>
    </cfRule>
  </conditionalFormatting>
  <conditionalFormatting sqref="C43">
    <cfRule type="cellIs" dxfId="93" priority="36" stopIfTrue="1" operator="equal">
      <formula>"WARNING"</formula>
    </cfRule>
  </conditionalFormatting>
  <conditionalFormatting sqref="C21">
    <cfRule type="cellIs" dxfId="92" priority="31" stopIfTrue="1" operator="equal">
      <formula>"ERROR"</formula>
    </cfRule>
  </conditionalFormatting>
  <conditionalFormatting sqref="C21">
    <cfRule type="cellIs" dxfId="91" priority="32" stopIfTrue="1" operator="equal">
      <formula>"OK"</formula>
    </cfRule>
  </conditionalFormatting>
  <conditionalFormatting sqref="C21">
    <cfRule type="cellIs" dxfId="90" priority="33" stopIfTrue="1" operator="equal">
      <formula>"WARNING"</formula>
    </cfRule>
  </conditionalFormatting>
  <conditionalFormatting sqref="C13:C15">
    <cfRule type="cellIs" dxfId="89" priority="76" stopIfTrue="1" operator="equal">
      <formula>"ERROR"</formula>
    </cfRule>
    <cfRule type="cellIs" dxfId="88" priority="77" stopIfTrue="1" operator="equal">
      <formula>"OK"</formula>
    </cfRule>
    <cfRule type="cellIs" dxfId="87" priority="78" stopIfTrue="1" operator="equal">
      <formula>"WARNING"</formula>
    </cfRule>
  </conditionalFormatting>
  <conditionalFormatting sqref="C181 F181 K181 P181">
    <cfRule type="cellIs" dxfId="86" priority="25" stopIfTrue="1" operator="equal">
      <formula>"ERROR"</formula>
    </cfRule>
  </conditionalFormatting>
  <conditionalFormatting sqref="C181 F181 K181 P181">
    <cfRule type="cellIs" dxfId="85" priority="26" stopIfTrue="1" operator="equal">
      <formula>"OK"</formula>
    </cfRule>
  </conditionalFormatting>
  <conditionalFormatting sqref="C181 F181 K181 P181">
    <cfRule type="cellIs" dxfId="84" priority="27" stopIfTrue="1" operator="equal">
      <formula>"WARNING"</formula>
    </cfRule>
  </conditionalFormatting>
  <conditionalFormatting sqref="C175">
    <cfRule type="cellIs" dxfId="83" priority="28" stopIfTrue="1" operator="equal">
      <formula>"ERROR"</formula>
    </cfRule>
  </conditionalFormatting>
  <conditionalFormatting sqref="C175">
    <cfRule type="cellIs" dxfId="82" priority="29" stopIfTrue="1" operator="equal">
      <formula>"OK"</formula>
    </cfRule>
  </conditionalFormatting>
  <conditionalFormatting sqref="C175">
    <cfRule type="cellIs" dxfId="81" priority="30" stopIfTrue="1" operator="equal">
      <formula>"WARNING"</formula>
    </cfRule>
  </conditionalFormatting>
  <conditionalFormatting sqref="C203 F203 K203 P203">
    <cfRule type="cellIs" dxfId="80" priority="19" stopIfTrue="1" operator="equal">
      <formula>"ERROR"</formula>
    </cfRule>
  </conditionalFormatting>
  <conditionalFormatting sqref="C203 F203 K203 P203">
    <cfRule type="cellIs" dxfId="79" priority="20" stopIfTrue="1" operator="equal">
      <formula>"OK"</formula>
    </cfRule>
  </conditionalFormatting>
  <conditionalFormatting sqref="C203 F203 K203 P203">
    <cfRule type="cellIs" dxfId="78" priority="21" stopIfTrue="1" operator="equal">
      <formula>"WARNING"</formula>
    </cfRule>
  </conditionalFormatting>
  <conditionalFormatting sqref="C197">
    <cfRule type="cellIs" dxfId="77" priority="22" stopIfTrue="1" operator="equal">
      <formula>"ERROR"</formula>
    </cfRule>
  </conditionalFormatting>
  <conditionalFormatting sqref="C197">
    <cfRule type="cellIs" dxfId="76" priority="23" stopIfTrue="1" operator="equal">
      <formula>"OK"</formula>
    </cfRule>
  </conditionalFormatting>
  <conditionalFormatting sqref="C197">
    <cfRule type="cellIs" dxfId="75" priority="24" stopIfTrue="1" operator="equal">
      <formula>"WARNING"</formula>
    </cfRule>
  </conditionalFormatting>
  <conditionalFormatting sqref="C225 F225 I225 L225">
    <cfRule type="cellIs" dxfId="74" priority="13" stopIfTrue="1" operator="equal">
      <formula>"ERROR"</formula>
    </cfRule>
  </conditionalFormatting>
  <conditionalFormatting sqref="C225 F225 I225 L225">
    <cfRule type="cellIs" dxfId="73" priority="14" stopIfTrue="1" operator="equal">
      <formula>"OK"</formula>
    </cfRule>
  </conditionalFormatting>
  <conditionalFormatting sqref="C225 F225 I225 L225">
    <cfRule type="cellIs" dxfId="72" priority="15" stopIfTrue="1" operator="equal">
      <formula>"WARNING"</formula>
    </cfRule>
  </conditionalFormatting>
  <conditionalFormatting sqref="C219">
    <cfRule type="cellIs" dxfId="71" priority="16" stopIfTrue="1" operator="equal">
      <formula>"ERROR"</formula>
    </cfRule>
  </conditionalFormatting>
  <conditionalFormatting sqref="C219">
    <cfRule type="cellIs" dxfId="70" priority="17" stopIfTrue="1" operator="equal">
      <formula>"OK"</formula>
    </cfRule>
  </conditionalFormatting>
  <conditionalFormatting sqref="C219">
    <cfRule type="cellIs" dxfId="69" priority="18" stopIfTrue="1" operator="equal">
      <formula>"WARNING"</formula>
    </cfRule>
  </conditionalFormatting>
  <conditionalFormatting sqref="O225">
    <cfRule type="cellIs" dxfId="68" priority="10" stopIfTrue="1" operator="equal">
      <formula>"ERROR"</formula>
    </cfRule>
  </conditionalFormatting>
  <conditionalFormatting sqref="O225">
    <cfRule type="cellIs" dxfId="67" priority="11" stopIfTrue="1" operator="equal">
      <formula>"OK"</formula>
    </cfRule>
  </conditionalFormatting>
  <conditionalFormatting sqref="O225">
    <cfRule type="cellIs" dxfId="66" priority="12" stopIfTrue="1" operator="equal">
      <formula>"WARNING"</formula>
    </cfRule>
  </conditionalFormatting>
  <conditionalFormatting sqref="C16">
    <cfRule type="cellIs" dxfId="65" priority="79" stopIfTrue="1" operator="equal">
      <formula>"ERROR"</formula>
    </cfRule>
    <cfRule type="cellIs" dxfId="64" priority="80" stopIfTrue="1" operator="equal">
      <formula>"OK"</formula>
    </cfRule>
    <cfRule type="cellIs" dxfId="63" priority="81" stopIfTrue="1" operator="equal">
      <formula>"WARNING"</formula>
    </cfRule>
  </conditionalFormatting>
  <conditionalFormatting sqref="R225">
    <cfRule type="cellIs" dxfId="62" priority="4" stopIfTrue="1" operator="equal">
      <formula>"ERROR"</formula>
    </cfRule>
  </conditionalFormatting>
  <conditionalFormatting sqref="R225">
    <cfRule type="cellIs" dxfId="61" priority="5" stopIfTrue="1" operator="equal">
      <formula>"OK"</formula>
    </cfRule>
  </conditionalFormatting>
  <conditionalFormatting sqref="R225">
    <cfRule type="cellIs" dxfId="60" priority="6" stopIfTrue="1" operator="equal">
      <formula>"WARNING"</formula>
    </cfRule>
  </conditionalFormatting>
  <conditionalFormatting sqref="U225">
    <cfRule type="cellIs" dxfId="59" priority="1" stopIfTrue="1" operator="equal">
      <formula>"ERROR"</formula>
    </cfRule>
  </conditionalFormatting>
  <conditionalFormatting sqref="U225">
    <cfRule type="cellIs" dxfId="58" priority="2" stopIfTrue="1" operator="equal">
      <formula>"OK"</formula>
    </cfRule>
  </conditionalFormatting>
  <conditionalFormatting sqref="U225">
    <cfRule type="cellIs" dxfId="57" priority="3" stopIfTrue="1" operator="equal">
      <formula>"WARNING"</formula>
    </cfRule>
  </conditionalFormatting>
  <hyperlinks>
    <hyperlink ref="B1" location="Summary!A1" display="Summary!A1" xr:uid="{02D63A7E-4C54-43F6-A744-22F0C34FEC50}"/>
  </hyperlink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Sheet7">
    <tabColor theme="4" tint="-0.499984740745262"/>
  </sheetPr>
  <dimension ref="B1:BT224"/>
  <sheetViews>
    <sheetView showGridLines="0" zoomScaleNormal="100" workbookViewId="0">
      <selection activeCell="G3" sqref="G3"/>
    </sheetView>
  </sheetViews>
  <sheetFormatPr defaultRowHeight="15" x14ac:dyDescent="0.25"/>
  <cols>
    <col min="1" max="1" width="3.75" customWidth="1"/>
    <col min="2" max="2" width="15.375" customWidth="1"/>
    <col min="3" max="3" width="13.125" customWidth="1"/>
    <col min="5" max="5" width="12.75" bestFit="1" customWidth="1"/>
    <col min="6" max="6" width="10.875" customWidth="1"/>
    <col min="8" max="8" width="13.75" customWidth="1"/>
    <col min="9" max="9" width="12.5" customWidth="1"/>
    <col min="10" max="10" width="9.875" customWidth="1"/>
    <col min="14" max="14" width="11.5" bestFit="1" customWidth="1"/>
    <col min="18" max="18" width="10.875" customWidth="1"/>
  </cols>
  <sheetData>
    <row r="1" spans="2:56" x14ac:dyDescent="0.25">
      <c r="B1" s="479" t="s">
        <v>429</v>
      </c>
    </row>
    <row r="2" spans="2:56" ht="26.25" x14ac:dyDescent="0.4">
      <c r="B2" s="2" t="s">
        <v>87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 x14ac:dyDescent="0.25">
      <c r="B4" s="218" t="s">
        <v>165</v>
      </c>
      <c r="C4" s="219" t="str" cm="1">
        <f t="array" aca="1" ref="C4" ca="1">_xll.d.TestUtils_And(C7:C14)</f>
        <v>Error</v>
      </c>
      <c r="E4" s="147" t="s">
        <v>120</v>
      </c>
      <c r="F4" s="59"/>
    </row>
    <row r="5" spans="2:56" x14ac:dyDescent="0.25">
      <c r="E5" s="480" t="s">
        <v>119</v>
      </c>
      <c r="F5" s="481"/>
    </row>
    <row r="6" spans="2:56" x14ac:dyDescent="0.25">
      <c r="B6" s="220" t="s">
        <v>9</v>
      </c>
      <c r="C6" s="221" t="s">
        <v>10</v>
      </c>
      <c r="E6" s="482" t="s">
        <v>118</v>
      </c>
      <c r="F6" s="144"/>
    </row>
    <row r="7" spans="2:56" x14ac:dyDescent="0.25">
      <c r="B7" s="217" t="s">
        <v>111</v>
      </c>
      <c r="C7" s="178" t="str">
        <f ca="1">C24</f>
        <v>Error</v>
      </c>
    </row>
    <row r="8" spans="2:56" x14ac:dyDescent="0.25">
      <c r="B8" s="217" t="s">
        <v>113</v>
      </c>
      <c r="C8" s="178" t="str">
        <f ca="1">C48</f>
        <v>Ok</v>
      </c>
    </row>
    <row r="9" spans="2:56" x14ac:dyDescent="0.25">
      <c r="B9" s="217" t="s">
        <v>114</v>
      </c>
      <c r="C9" s="178" t="str">
        <f ca="1">C72</f>
        <v>Ok</v>
      </c>
    </row>
    <row r="10" spans="2:56" x14ac:dyDescent="0.25">
      <c r="B10" s="217" t="s">
        <v>117</v>
      </c>
      <c r="C10" s="178" t="str">
        <f ca="1">C108</f>
        <v>Ok</v>
      </c>
    </row>
    <row r="11" spans="2:56" x14ac:dyDescent="0.25">
      <c r="B11" s="217" t="s">
        <v>122</v>
      </c>
      <c r="C11" s="178" t="str">
        <f ca="1">C144</f>
        <v>Ok</v>
      </c>
    </row>
    <row r="12" spans="2:56" x14ac:dyDescent="0.25">
      <c r="B12" s="217" t="s">
        <v>124</v>
      </c>
      <c r="C12" s="178" t="str">
        <f ca="1">C166</f>
        <v>Ok</v>
      </c>
    </row>
    <row r="13" spans="2:56" x14ac:dyDescent="0.25">
      <c r="B13" s="217" t="s">
        <v>166</v>
      </c>
      <c r="C13" s="178" t="str">
        <f ca="1">C186</f>
        <v>Ok</v>
      </c>
    </row>
    <row r="14" spans="2:56" x14ac:dyDescent="0.25">
      <c r="B14" s="217" t="s">
        <v>171</v>
      </c>
      <c r="C14" s="178" t="str">
        <f ca="1">C203</f>
        <v>Ok</v>
      </c>
    </row>
    <row r="17" spans="2:72" s="64" customFormat="1" x14ac:dyDescent="0.25">
      <c r="B17" s="64" t="s">
        <v>90</v>
      </c>
    </row>
    <row r="18" spans="2:72" x14ac:dyDescent="0.25">
      <c r="B18" t="s">
        <v>91</v>
      </c>
    </row>
    <row r="20" spans="2:72" x14ac:dyDescent="0.25">
      <c r="B20" t="s">
        <v>104</v>
      </c>
    </row>
    <row r="22" spans="2:72" ht="18.75" x14ac:dyDescent="0.3">
      <c r="B22" s="77" t="s">
        <v>111</v>
      </c>
      <c r="C22" s="75"/>
      <c r="D22" s="75"/>
      <c r="E22" s="75"/>
      <c r="F22" s="75"/>
      <c r="G22" s="75"/>
      <c r="H22" s="75"/>
      <c r="I22" s="75"/>
      <c r="J22" s="75"/>
      <c r="K22" s="75"/>
      <c r="L22" s="75"/>
      <c r="M22" s="75"/>
      <c r="N22" s="75"/>
      <c r="O22" s="75"/>
      <c r="P22" s="75"/>
      <c r="Q22" s="75"/>
      <c r="R22" s="75"/>
      <c r="S22" s="75"/>
      <c r="T22" s="75"/>
      <c r="U22" s="75"/>
      <c r="V22" s="75"/>
      <c r="W22" s="75"/>
      <c r="X22" s="75"/>
      <c r="Y22" s="75"/>
      <c r="Z22" s="75"/>
      <c r="AA22" s="75"/>
      <c r="AB22" s="75"/>
      <c r="AC22" s="75"/>
      <c r="AD22" s="75"/>
      <c r="AE22" s="75"/>
      <c r="AF22" s="75"/>
      <c r="AG22" s="75"/>
      <c r="AH22" s="75"/>
      <c r="AI22" s="75"/>
      <c r="AJ22" s="75"/>
      <c r="AK22" s="75"/>
      <c r="AL22" s="75"/>
      <c r="AM22" s="75"/>
      <c r="AN22" s="75"/>
      <c r="AO22" s="75"/>
      <c r="AP22" s="75"/>
      <c r="AQ22" s="75"/>
      <c r="AR22" s="75"/>
      <c r="AS22" s="75"/>
      <c r="AT22" s="75"/>
      <c r="AU22" s="75"/>
      <c r="AV22" s="75"/>
      <c r="AW22" s="75"/>
      <c r="AX22" s="75"/>
      <c r="AY22" s="75"/>
      <c r="AZ22" s="75"/>
      <c r="BA22" s="75"/>
      <c r="BB22" s="75"/>
      <c r="BC22" s="75"/>
      <c r="BD22" s="75"/>
      <c r="BE22" s="75"/>
      <c r="BF22" s="75"/>
      <c r="BG22" s="75"/>
      <c r="BH22" s="75"/>
      <c r="BI22" s="75"/>
      <c r="BJ22" s="75"/>
      <c r="BK22" s="75"/>
      <c r="BL22" s="75"/>
      <c r="BM22" s="75"/>
      <c r="BN22" s="75"/>
      <c r="BO22" s="75"/>
      <c r="BP22" s="75"/>
      <c r="BQ22" s="75"/>
      <c r="BR22" s="75"/>
      <c r="BS22" s="75"/>
      <c r="BT22" s="75"/>
    </row>
    <row r="24" spans="2:72" x14ac:dyDescent="0.25">
      <c r="B24" s="59" t="s">
        <v>130</v>
      </c>
      <c r="C24" s="178" t="str" cm="1">
        <f t="array" aca="1" ref="C24" ca="1">_xll.d.TestUtils_And(BD39:BT43)</f>
        <v>Error</v>
      </c>
    </row>
    <row r="26" spans="2:72" x14ac:dyDescent="0.25">
      <c r="B26" s="59" t="s">
        <v>112</v>
      </c>
      <c r="C26" s="59" t="s">
        <v>32</v>
      </c>
    </row>
    <row r="27" spans="2:72" x14ac:dyDescent="0.25">
      <c r="B27" s="94" t="s">
        <v>107</v>
      </c>
      <c r="C27" s="160" t="s">
        <v>126</v>
      </c>
    </row>
    <row r="28" spans="2:72" x14ac:dyDescent="0.25">
      <c r="B28" s="88" t="s">
        <v>108</v>
      </c>
      <c r="C28" s="161" t="s">
        <v>0</v>
      </c>
    </row>
    <row r="29" spans="2:72" x14ac:dyDescent="0.25">
      <c r="B29" s="90"/>
      <c r="C29" s="162" t="s">
        <v>109</v>
      </c>
    </row>
    <row r="30" spans="2:72" x14ac:dyDescent="0.25">
      <c r="B30" s="92"/>
      <c r="C30" s="163" t="s">
        <v>110</v>
      </c>
    </row>
    <row r="31" spans="2:72" x14ac:dyDescent="0.25">
      <c r="B31" s="159" t="s">
        <v>125</v>
      </c>
      <c r="C31" s="165">
        <v>2</v>
      </c>
    </row>
    <row r="32" spans="2:72" x14ac:dyDescent="0.25">
      <c r="B32" s="159" t="s">
        <v>126</v>
      </c>
      <c r="C32" s="165">
        <v>0</v>
      </c>
    </row>
    <row r="33" spans="2:72" x14ac:dyDescent="0.25">
      <c r="B33" s="142" t="s">
        <v>115</v>
      </c>
      <c r="C33" s="143"/>
    </row>
    <row r="35" spans="2:72" x14ac:dyDescent="0.25">
      <c r="B35" t="s">
        <v>92</v>
      </c>
    </row>
    <row r="37" spans="2:72" x14ac:dyDescent="0.25">
      <c r="B37" s="68" t="s">
        <v>89</v>
      </c>
      <c r="T37" s="68" t="s">
        <v>105</v>
      </c>
      <c r="AL37" s="68" t="s">
        <v>106</v>
      </c>
      <c r="BD37" s="68" t="s">
        <v>131</v>
      </c>
    </row>
    <row r="39" spans="2:72" x14ac:dyDescent="0.25">
      <c r="B39" s="12" t="s">
        <v>94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13"/>
      <c r="T39" s="87" t="s">
        <v>94</v>
      </c>
      <c r="U39" s="87"/>
      <c r="V39" s="87"/>
      <c r="W39" s="87"/>
      <c r="X39" s="87"/>
      <c r="Y39" s="87"/>
      <c r="Z39" s="87"/>
      <c r="AA39" s="87"/>
      <c r="AB39" s="87"/>
      <c r="AC39" s="87"/>
      <c r="AD39" s="87"/>
      <c r="AE39" s="87"/>
      <c r="AF39" s="87"/>
      <c r="AG39" s="87"/>
      <c r="AH39" s="87"/>
      <c r="AI39" s="87"/>
      <c r="AJ39" s="87"/>
      <c r="AL39" s="134" t="s">
        <v>94</v>
      </c>
      <c r="AM39" s="223"/>
      <c r="AN39" s="223"/>
      <c r="AO39" s="223"/>
      <c r="AP39" s="223"/>
      <c r="AQ39" s="223"/>
      <c r="AR39" s="223"/>
      <c r="AS39" s="223"/>
      <c r="AT39" s="223"/>
      <c r="AU39" s="223"/>
      <c r="AV39" s="223"/>
      <c r="AW39" s="223"/>
      <c r="AX39" s="223"/>
      <c r="AY39" s="223"/>
      <c r="AZ39" s="223"/>
      <c r="BA39" s="223"/>
      <c r="BB39" s="135"/>
      <c r="BD39" s="178" t="str" cm="1">
        <f t="array" aca="1" ref="BD39" ca="1">_xll.d.TestUtils_IsTrue(_xll.d.Formatting_Equal(B39,AL39))</f>
        <v>Ok</v>
      </c>
      <c r="BE39" s="178" t="str" cm="1">
        <f t="array" aca="1" ref="BE39" ca="1">_xll.d.TestUtils_IsTrue(_xll.d.Formatting_Equal(C39,AM39))</f>
        <v>Ok</v>
      </c>
      <c r="BF39" s="178" t="str" cm="1">
        <f t="array" aca="1" ref="BF39" ca="1">_xll.d.TestUtils_IsTrue(_xll.d.Formatting_Equal(D39,AN39))</f>
        <v>Ok</v>
      </c>
      <c r="BG39" s="178" t="str" cm="1">
        <f t="array" aca="1" ref="BG39" ca="1">_xll.d.TestUtils_IsTrue(_xll.d.Formatting_Equal(E39,AO39))</f>
        <v>Error</v>
      </c>
      <c r="BH39" s="178" t="str" cm="1">
        <f t="array" aca="1" ref="BH39" ca="1">_xll.d.TestUtils_IsTrue(_xll.d.Formatting_Equal(F39,AP39))</f>
        <v>Ok</v>
      </c>
      <c r="BI39" s="178" t="str" cm="1">
        <f t="array" aca="1" ref="BI39" ca="1">_xll.d.TestUtils_IsTrue(_xll.d.Formatting_Equal(G39,AQ39))</f>
        <v>Ok</v>
      </c>
      <c r="BJ39" s="178" t="str" cm="1">
        <f t="array" aca="1" ref="BJ39" ca="1">_xll.d.TestUtils_IsTrue(_xll.d.Formatting_Equal(H39,AR39))</f>
        <v>Error</v>
      </c>
      <c r="BK39" s="178" t="str" cm="1">
        <f t="array" aca="1" ref="BK39" ca="1">_xll.d.TestUtils_IsTrue(_xll.d.Formatting_Equal(I39,AS39))</f>
        <v>Ok</v>
      </c>
      <c r="BL39" s="178" t="str" cm="1">
        <f t="array" aca="1" ref="BL39" ca="1">_xll.d.TestUtils_IsTrue(_xll.d.Formatting_Equal(J39,AT39))</f>
        <v>Error</v>
      </c>
      <c r="BM39" s="178" t="str" cm="1">
        <f t="array" aca="1" ref="BM39" ca="1">_xll.d.TestUtils_IsTrue(_xll.d.Formatting_Equal(K39,AU39))</f>
        <v>Ok</v>
      </c>
      <c r="BN39" s="178" t="str" cm="1">
        <f t="array" aca="1" ref="BN39" ca="1">_xll.d.TestUtils_IsTrue(_xll.d.Formatting_Equal(L39,AV39))</f>
        <v>Ok</v>
      </c>
      <c r="BO39" s="178" t="str" cm="1">
        <f t="array" aca="1" ref="BO39" ca="1">_xll.d.TestUtils_IsTrue(_xll.d.Formatting_Equal(M39,AW39))</f>
        <v>Ok</v>
      </c>
      <c r="BP39" s="178" t="str" cm="1">
        <f t="array" aca="1" ref="BP39" ca="1">_xll.d.TestUtils_IsTrue(_xll.d.Formatting_Equal(N39,AX39))</f>
        <v>Ok</v>
      </c>
      <c r="BQ39" s="178" t="str" cm="1">
        <f t="array" aca="1" ref="BQ39" ca="1">_xll.d.TestUtils_IsTrue(_xll.d.Formatting_Equal(O39,AY39))</f>
        <v>Ok</v>
      </c>
      <c r="BR39" s="178" t="str" cm="1">
        <f t="array" aca="1" ref="BR39" ca="1">_xll.d.TestUtils_IsTrue(_xll.d.Formatting_Equal(P39,AZ39))</f>
        <v>Ok</v>
      </c>
      <c r="BS39" s="178" t="str" cm="1">
        <f t="array" aca="1" ref="BS39" ca="1">_xll.d.TestUtils_IsTrue(_xll.d.Formatting_Equal(Q39,BA39))</f>
        <v>Ok</v>
      </c>
      <c r="BT39" s="178" t="str" cm="1">
        <f t="array" aca="1" ref="BT39" ca="1">_xll.d.TestUtils_IsTrue(_xll.d.Formatting_Equal(R39,BB39))</f>
        <v>Ok</v>
      </c>
    </row>
    <row r="40" spans="2:72" x14ac:dyDescent="0.25">
      <c r="B40" s="72" t="s">
        <v>34</v>
      </c>
      <c r="C40" s="73" t="s">
        <v>0</v>
      </c>
      <c r="D40" s="73" t="s">
        <v>95</v>
      </c>
      <c r="E40" s="73" t="s">
        <v>96</v>
      </c>
      <c r="F40" s="73" t="s">
        <v>97</v>
      </c>
      <c r="G40" s="73" t="s">
        <v>98</v>
      </c>
      <c r="H40" s="73" t="s">
        <v>99</v>
      </c>
      <c r="I40" s="73" t="s">
        <v>79</v>
      </c>
      <c r="J40" s="73" t="s">
        <v>80</v>
      </c>
      <c r="K40" s="73" t="s">
        <v>81</v>
      </c>
      <c r="L40" s="73" t="s">
        <v>100</v>
      </c>
      <c r="M40" s="73" t="s">
        <v>24</v>
      </c>
      <c r="N40" s="73" t="s">
        <v>39</v>
      </c>
      <c r="O40" s="73" t="s">
        <v>101</v>
      </c>
      <c r="P40" s="73" t="s">
        <v>93</v>
      </c>
      <c r="Q40" s="73" t="s">
        <v>103</v>
      </c>
      <c r="R40" s="74" t="s">
        <v>102</v>
      </c>
      <c r="T40" s="87" t="s">
        <v>34</v>
      </c>
      <c r="U40" s="87" t="s">
        <v>0</v>
      </c>
      <c r="V40" s="87" t="s">
        <v>95</v>
      </c>
      <c r="W40" s="87" t="s">
        <v>96</v>
      </c>
      <c r="X40" s="87" t="s">
        <v>97</v>
      </c>
      <c r="Y40" s="87" t="s">
        <v>98</v>
      </c>
      <c r="Z40" s="87" t="s">
        <v>99</v>
      </c>
      <c r="AA40" s="87" t="s">
        <v>79</v>
      </c>
      <c r="AB40" s="87" t="s">
        <v>80</v>
      </c>
      <c r="AC40" s="87" t="s">
        <v>81</v>
      </c>
      <c r="AD40" s="87" t="s">
        <v>100</v>
      </c>
      <c r="AE40" s="87" t="s">
        <v>24</v>
      </c>
      <c r="AF40" s="87" t="s">
        <v>39</v>
      </c>
      <c r="AG40" s="87" t="s">
        <v>101</v>
      </c>
      <c r="AH40" s="87" t="s">
        <v>93</v>
      </c>
      <c r="AI40" s="87" t="s">
        <v>103</v>
      </c>
      <c r="AJ40" s="87" t="s">
        <v>102</v>
      </c>
      <c r="AL40" s="132" t="s">
        <v>34</v>
      </c>
      <c r="AM40" s="336" t="s">
        <v>0</v>
      </c>
      <c r="AN40" s="336" t="s">
        <v>95</v>
      </c>
      <c r="AO40" s="336" t="s">
        <v>96</v>
      </c>
      <c r="AP40" s="336" t="s">
        <v>97</v>
      </c>
      <c r="AQ40" s="336" t="s">
        <v>98</v>
      </c>
      <c r="AR40" s="336" t="s">
        <v>99</v>
      </c>
      <c r="AS40" s="336" t="s">
        <v>79</v>
      </c>
      <c r="AT40" s="336" t="s">
        <v>80</v>
      </c>
      <c r="AU40" s="336" t="s">
        <v>81</v>
      </c>
      <c r="AV40" s="336" t="s">
        <v>100</v>
      </c>
      <c r="AW40" s="336" t="s">
        <v>24</v>
      </c>
      <c r="AX40" s="336" t="s">
        <v>39</v>
      </c>
      <c r="AY40" s="336" t="s">
        <v>101</v>
      </c>
      <c r="AZ40" s="336" t="s">
        <v>93</v>
      </c>
      <c r="BA40" s="336" t="s">
        <v>103</v>
      </c>
      <c r="BB40" s="133" t="s">
        <v>102</v>
      </c>
      <c r="BD40" s="178" t="str" cm="1">
        <f t="array" aca="1" ref="BD40" ca="1">_xll.d.TestUtils_IsTrue(_xll.d.Formatting_Equal(B40,AL40))</f>
        <v>Ok</v>
      </c>
      <c r="BE40" s="178" t="str" cm="1">
        <f t="array" aca="1" ref="BE40" ca="1">_xll.d.TestUtils_IsTrue(_xll.d.Formatting_Equal(C40,AM40))</f>
        <v>Ok</v>
      </c>
      <c r="BF40" s="178" t="str" cm="1">
        <f t="array" aca="1" ref="BF40" ca="1">_xll.d.TestUtils_IsTrue(_xll.d.Formatting_Equal(D40,AN40))</f>
        <v>Ok</v>
      </c>
      <c r="BG40" s="178" t="str" cm="1">
        <f t="array" aca="1" ref="BG40" ca="1">_xll.d.TestUtils_IsTrue(_xll.d.Formatting_Equal(E40,AO40))</f>
        <v>Ok</v>
      </c>
      <c r="BH40" s="178" t="str" cm="1">
        <f t="array" aca="1" ref="BH40" ca="1">_xll.d.TestUtils_IsTrue(_xll.d.Formatting_Equal(F40,AP40))</f>
        <v>Ok</v>
      </c>
      <c r="BI40" s="178" t="str" cm="1">
        <f t="array" aca="1" ref="BI40" ca="1">_xll.d.TestUtils_IsTrue(_xll.d.Formatting_Equal(G40,AQ40))</f>
        <v>Error</v>
      </c>
      <c r="BJ40" s="178" t="str" cm="1">
        <f t="array" aca="1" ref="BJ40" ca="1">_xll.d.TestUtils_IsTrue(_xll.d.Formatting_Equal(H40,AR40))</f>
        <v>Error</v>
      </c>
      <c r="BK40" s="178" t="str" cm="1">
        <f t="array" aca="1" ref="BK40" ca="1">_xll.d.TestUtils_IsTrue(_xll.d.Formatting_Equal(I40,AS40))</f>
        <v>Error</v>
      </c>
      <c r="BL40" s="178" t="str" cm="1">
        <f t="array" aca="1" ref="BL40" ca="1">_xll.d.TestUtils_IsTrue(_xll.d.Formatting_Equal(J40,AT40))</f>
        <v>Ok</v>
      </c>
      <c r="BM40" s="178" t="str" cm="1">
        <f t="array" aca="1" ref="BM40" ca="1">_xll.d.TestUtils_IsTrue(_xll.d.Formatting_Equal(K40,AU40))</f>
        <v>Ok</v>
      </c>
      <c r="BN40" s="178" t="str" cm="1">
        <f t="array" aca="1" ref="BN40" ca="1">_xll.d.TestUtils_IsTrue(_xll.d.Formatting_Equal(L40,AV40))</f>
        <v>Ok</v>
      </c>
      <c r="BO40" s="178" t="str" cm="1">
        <f t="array" aca="1" ref="BO40" ca="1">_xll.d.TestUtils_IsTrue(_xll.d.Formatting_Equal(M40,AW40))</f>
        <v>Ok</v>
      </c>
      <c r="BP40" s="178" t="str" cm="1">
        <f t="array" aca="1" ref="BP40" ca="1">_xll.d.TestUtils_IsTrue(_xll.d.Formatting_Equal(N40,AX40))</f>
        <v>Ok</v>
      </c>
      <c r="BQ40" s="178" t="str" cm="1">
        <f t="array" aca="1" ref="BQ40" ca="1">_xll.d.TestUtils_IsTrue(_xll.d.Formatting_Equal(O40,AY40))</f>
        <v>Ok</v>
      </c>
      <c r="BR40" s="178" t="str" cm="1">
        <f t="array" aca="1" ref="BR40" ca="1">_xll.d.TestUtils_IsTrue(_xll.d.Formatting_Equal(P40,AZ40))</f>
        <v>Ok</v>
      </c>
      <c r="BS40" s="178" t="str" cm="1">
        <f t="array" aca="1" ref="BS40" ca="1">_xll.d.TestUtils_IsTrue(_xll.d.Formatting_Equal(Q40,BA40))</f>
        <v>Ok</v>
      </c>
      <c r="BT40" s="178" t="str" cm="1">
        <f t="array" aca="1" ref="BT40" ca="1">_xll.d.TestUtils_IsTrue(_xll.d.Formatting_Equal(R40,BB40))</f>
        <v>Ok</v>
      </c>
    </row>
    <row r="41" spans="2:72" x14ac:dyDescent="0.25">
      <c r="B41" s="124">
        <v>44562</v>
      </c>
      <c r="C41" s="127">
        <v>44562</v>
      </c>
      <c r="D41" s="106">
        <v>1000</v>
      </c>
      <c r="E41" s="109">
        <v>1000</v>
      </c>
      <c r="F41" s="112">
        <v>1000</v>
      </c>
      <c r="G41" s="115">
        <v>1000</v>
      </c>
      <c r="H41" s="118">
        <v>0.3</v>
      </c>
      <c r="I41" s="118">
        <v>0.3</v>
      </c>
      <c r="J41" s="118">
        <v>0.3</v>
      </c>
      <c r="K41" s="118">
        <v>0.3</v>
      </c>
      <c r="L41" s="118">
        <v>0.3</v>
      </c>
      <c r="M41" s="118">
        <v>0.3</v>
      </c>
      <c r="N41" s="118">
        <v>0.3</v>
      </c>
      <c r="O41" s="118">
        <v>0.3</v>
      </c>
      <c r="P41" s="118">
        <v>0.3</v>
      </c>
      <c r="Q41" s="118">
        <v>0.3</v>
      </c>
      <c r="R41" s="121">
        <v>0.3</v>
      </c>
      <c r="T41" s="87">
        <v>44562</v>
      </c>
      <c r="U41" s="87">
        <v>44562</v>
      </c>
      <c r="V41" s="87">
        <v>1000</v>
      </c>
      <c r="W41" s="87">
        <v>1000</v>
      </c>
      <c r="X41" s="87">
        <v>1000</v>
      </c>
      <c r="Y41" s="87">
        <v>1000</v>
      </c>
      <c r="Z41" s="87">
        <v>0.3</v>
      </c>
      <c r="AA41" s="87">
        <v>0.3</v>
      </c>
      <c r="AB41" s="87">
        <v>0.3</v>
      </c>
      <c r="AC41" s="87">
        <v>0.3</v>
      </c>
      <c r="AD41" s="87">
        <v>0.3</v>
      </c>
      <c r="AE41" s="87">
        <v>0.3</v>
      </c>
      <c r="AF41" s="87">
        <v>0.3</v>
      </c>
      <c r="AG41" s="87">
        <v>0.3</v>
      </c>
      <c r="AH41" s="87">
        <v>0.3</v>
      </c>
      <c r="AI41" s="87">
        <v>0.3</v>
      </c>
      <c r="AJ41" s="87">
        <v>0.3</v>
      </c>
      <c r="AL41" s="174">
        <v>44562</v>
      </c>
      <c r="AM41" s="176">
        <v>44562</v>
      </c>
      <c r="AN41" s="337">
        <v>1000</v>
      </c>
      <c r="AO41" s="339">
        <v>1000</v>
      </c>
      <c r="AP41" s="341">
        <v>1000</v>
      </c>
      <c r="AQ41" s="343">
        <v>1000</v>
      </c>
      <c r="AR41" s="345">
        <v>0.3</v>
      </c>
      <c r="AS41" s="345">
        <v>0.3</v>
      </c>
      <c r="AT41" s="345">
        <v>0.3</v>
      </c>
      <c r="AU41" s="345">
        <v>0.3</v>
      </c>
      <c r="AV41" s="345">
        <v>0.3</v>
      </c>
      <c r="AW41" s="345">
        <v>0.3</v>
      </c>
      <c r="AX41" s="345">
        <v>0.3</v>
      </c>
      <c r="AY41" s="345">
        <v>0.3</v>
      </c>
      <c r="AZ41" s="345">
        <v>0.3</v>
      </c>
      <c r="BA41" s="345">
        <v>0.3</v>
      </c>
      <c r="BB41" s="346">
        <v>0.3</v>
      </c>
      <c r="BD41" s="178" t="str" cm="1">
        <f t="array" aca="1" ref="BD41" ca="1">_xll.d.TestUtils_IsTrue(_xll.d.Formatting_Equal(B41,AL41))</f>
        <v>Ok</v>
      </c>
      <c r="BE41" s="178" t="str" cm="1">
        <f t="array" aca="1" ref="BE41" ca="1">_xll.d.TestUtils_IsTrue(_xll.d.Formatting_Equal(C41,AM41))</f>
        <v>Ok</v>
      </c>
      <c r="BF41" s="178" t="str" cm="1">
        <f t="array" aca="1" ref="BF41" ca="1">_xll.d.TestUtils_IsTrue(_xll.d.Formatting_Equal(D41,AN41))</f>
        <v>Ok</v>
      </c>
      <c r="BG41" s="178" t="str" cm="1">
        <f t="array" aca="1" ref="BG41" ca="1">_xll.d.TestUtils_IsTrue(_xll.d.Formatting_Equal(E41,AO41))</f>
        <v>Ok</v>
      </c>
      <c r="BH41" s="178" t="str" cm="1">
        <f t="array" aca="1" ref="BH41" ca="1">_xll.d.TestUtils_IsTrue(_xll.d.Formatting_Equal(F41,AP41))</f>
        <v>Ok</v>
      </c>
      <c r="BI41" s="178" t="str" cm="1">
        <f t="array" aca="1" ref="BI41" ca="1">_xll.d.TestUtils_IsTrue(_xll.d.Formatting_Equal(G41,AQ41))</f>
        <v>Ok</v>
      </c>
      <c r="BJ41" s="178" t="str" cm="1">
        <f t="array" aca="1" ref="BJ41" ca="1">_xll.d.TestUtils_IsTrue(_xll.d.Formatting_Equal(H41,AR41))</f>
        <v>Ok</v>
      </c>
      <c r="BK41" s="178" t="str" cm="1">
        <f t="array" aca="1" ref="BK41" ca="1">_xll.d.TestUtils_IsTrue(_xll.d.Formatting_Equal(I41,AS41))</f>
        <v>Ok</v>
      </c>
      <c r="BL41" s="178" t="str" cm="1">
        <f t="array" aca="1" ref="BL41" ca="1">_xll.d.TestUtils_IsTrue(_xll.d.Formatting_Equal(J41,AT41))</f>
        <v>Ok</v>
      </c>
      <c r="BM41" s="178" t="str" cm="1">
        <f t="array" aca="1" ref="BM41" ca="1">_xll.d.TestUtils_IsTrue(_xll.d.Formatting_Equal(K41,AU41))</f>
        <v>Ok</v>
      </c>
      <c r="BN41" s="178" t="str" cm="1">
        <f t="array" aca="1" ref="BN41" ca="1">_xll.d.TestUtils_IsTrue(_xll.d.Formatting_Equal(L41,AV41))</f>
        <v>Ok</v>
      </c>
      <c r="BO41" s="178" t="str" cm="1">
        <f t="array" aca="1" ref="BO41" ca="1">_xll.d.TestUtils_IsTrue(_xll.d.Formatting_Equal(M41,AW41))</f>
        <v>Ok</v>
      </c>
      <c r="BP41" s="178" t="str" cm="1">
        <f t="array" aca="1" ref="BP41" ca="1">_xll.d.TestUtils_IsTrue(_xll.d.Formatting_Equal(N41,AX41))</f>
        <v>Ok</v>
      </c>
      <c r="BQ41" s="178" t="str" cm="1">
        <f t="array" aca="1" ref="BQ41" ca="1">_xll.d.TestUtils_IsTrue(_xll.d.Formatting_Equal(O41,AY41))</f>
        <v>Ok</v>
      </c>
      <c r="BR41" s="178" t="str" cm="1">
        <f t="array" aca="1" ref="BR41" ca="1">_xll.d.TestUtils_IsTrue(_xll.d.Formatting_Equal(P41,AZ41))</f>
        <v>Ok</v>
      </c>
      <c r="BS41" s="178" t="str" cm="1">
        <f t="array" aca="1" ref="BS41" ca="1">_xll.d.TestUtils_IsTrue(_xll.d.Formatting_Equal(Q41,BA41))</f>
        <v>Ok</v>
      </c>
      <c r="BT41" s="178" t="str" cm="1">
        <f t="array" aca="1" ref="BT41" ca="1">_xll.d.TestUtils_IsTrue(_xll.d.Formatting_Equal(R41,BB41))</f>
        <v>Ok</v>
      </c>
    </row>
    <row r="42" spans="2:72" x14ac:dyDescent="0.25">
      <c r="B42" s="125">
        <v>44593</v>
      </c>
      <c r="C42" s="128">
        <v>44593</v>
      </c>
      <c r="D42" s="107">
        <v>2000</v>
      </c>
      <c r="E42" s="110">
        <v>2000</v>
      </c>
      <c r="F42" s="113">
        <v>2000</v>
      </c>
      <c r="G42" s="116">
        <v>2000</v>
      </c>
      <c r="H42" s="119">
        <v>0.4</v>
      </c>
      <c r="I42" s="119">
        <v>0.4</v>
      </c>
      <c r="J42" s="119">
        <v>0.4</v>
      </c>
      <c r="K42" s="119">
        <v>0.4</v>
      </c>
      <c r="L42" s="119">
        <v>0.4</v>
      </c>
      <c r="M42" s="119">
        <v>0.4</v>
      </c>
      <c r="N42" s="119">
        <v>0.4</v>
      </c>
      <c r="O42" s="119">
        <v>0.4</v>
      </c>
      <c r="P42" s="119">
        <v>0.4</v>
      </c>
      <c r="Q42" s="119">
        <v>0.4</v>
      </c>
      <c r="R42" s="122">
        <v>0.4</v>
      </c>
      <c r="T42" s="87">
        <v>44593</v>
      </c>
      <c r="U42" s="87">
        <v>44593</v>
      </c>
      <c r="V42" s="87">
        <v>2000</v>
      </c>
      <c r="W42" s="87">
        <v>2000</v>
      </c>
      <c r="X42" s="87">
        <v>2000</v>
      </c>
      <c r="Y42" s="87">
        <v>2000</v>
      </c>
      <c r="Z42" s="87">
        <v>0.4</v>
      </c>
      <c r="AA42" s="87">
        <v>0.4</v>
      </c>
      <c r="AB42" s="87">
        <v>0.4</v>
      </c>
      <c r="AC42" s="87">
        <v>0.4</v>
      </c>
      <c r="AD42" s="87">
        <v>0.4</v>
      </c>
      <c r="AE42" s="87">
        <v>0.4</v>
      </c>
      <c r="AF42" s="87">
        <v>0.4</v>
      </c>
      <c r="AG42" s="87">
        <v>0.4</v>
      </c>
      <c r="AH42" s="87">
        <v>0.4</v>
      </c>
      <c r="AI42" s="87">
        <v>0.4</v>
      </c>
      <c r="AJ42" s="87">
        <v>0.4</v>
      </c>
      <c r="AL42" s="175">
        <v>44593</v>
      </c>
      <c r="AM42" s="177">
        <v>44593</v>
      </c>
      <c r="AN42" s="166">
        <v>2000</v>
      </c>
      <c r="AO42" s="167">
        <v>2000</v>
      </c>
      <c r="AP42" s="168">
        <v>2000</v>
      </c>
      <c r="AQ42" s="169">
        <v>2000</v>
      </c>
      <c r="AR42" s="170">
        <v>0.4</v>
      </c>
      <c r="AS42" s="170">
        <v>0.4</v>
      </c>
      <c r="AT42" s="170">
        <v>0.4</v>
      </c>
      <c r="AU42" s="170">
        <v>0.4</v>
      </c>
      <c r="AV42" s="170">
        <v>0.4</v>
      </c>
      <c r="AW42" s="170">
        <v>0.4</v>
      </c>
      <c r="AX42" s="170">
        <v>0.4</v>
      </c>
      <c r="AY42" s="170">
        <v>0.4</v>
      </c>
      <c r="AZ42" s="170">
        <v>0.4</v>
      </c>
      <c r="BA42" s="170">
        <v>0.4</v>
      </c>
      <c r="BB42" s="172">
        <v>0.4</v>
      </c>
      <c r="BD42" s="178" t="str" cm="1">
        <f t="array" aca="1" ref="BD42" ca="1">_xll.d.TestUtils_IsTrue(_xll.d.Formatting_Equal(B42,AL42))</f>
        <v>Ok</v>
      </c>
      <c r="BE42" s="178" t="str" cm="1">
        <f t="array" aca="1" ref="BE42" ca="1">_xll.d.TestUtils_IsTrue(_xll.d.Formatting_Equal(C42,AM42))</f>
        <v>Ok</v>
      </c>
      <c r="BF42" s="178" t="str" cm="1">
        <f t="array" aca="1" ref="BF42" ca="1">_xll.d.TestUtils_IsTrue(_xll.d.Formatting_Equal(D42,AN42))</f>
        <v>Ok</v>
      </c>
      <c r="BG42" s="178" t="str" cm="1">
        <f t="array" aca="1" ref="BG42" ca="1">_xll.d.TestUtils_IsTrue(_xll.d.Formatting_Equal(E42,AO42))</f>
        <v>Ok</v>
      </c>
      <c r="BH42" s="178" t="str" cm="1">
        <f t="array" aca="1" ref="BH42" ca="1">_xll.d.TestUtils_IsTrue(_xll.d.Formatting_Equal(F42,AP42))</f>
        <v>Ok</v>
      </c>
      <c r="BI42" s="178" t="str" cm="1">
        <f t="array" aca="1" ref="BI42" ca="1">_xll.d.TestUtils_IsTrue(_xll.d.Formatting_Equal(G42,AQ42))</f>
        <v>Ok</v>
      </c>
      <c r="BJ42" s="178" t="str" cm="1">
        <f t="array" aca="1" ref="BJ42" ca="1">_xll.d.TestUtils_IsTrue(_xll.d.Formatting_Equal(H42,AR42))</f>
        <v>Ok</v>
      </c>
      <c r="BK42" s="178" t="str" cm="1">
        <f t="array" aca="1" ref="BK42" ca="1">_xll.d.TestUtils_IsTrue(_xll.d.Formatting_Equal(I42,AS42))</f>
        <v>Ok</v>
      </c>
      <c r="BL42" s="178" t="str" cm="1">
        <f t="array" aca="1" ref="BL42" ca="1">_xll.d.TestUtils_IsTrue(_xll.d.Formatting_Equal(J42,AT42))</f>
        <v>Ok</v>
      </c>
      <c r="BM42" s="178" t="str" cm="1">
        <f t="array" aca="1" ref="BM42" ca="1">_xll.d.TestUtils_IsTrue(_xll.d.Formatting_Equal(K42,AU42))</f>
        <v>Ok</v>
      </c>
      <c r="BN42" s="178" t="str" cm="1">
        <f t="array" aca="1" ref="BN42" ca="1">_xll.d.TestUtils_IsTrue(_xll.d.Formatting_Equal(L42,AV42))</f>
        <v>Ok</v>
      </c>
      <c r="BO42" s="178" t="str" cm="1">
        <f t="array" aca="1" ref="BO42" ca="1">_xll.d.TestUtils_IsTrue(_xll.d.Formatting_Equal(M42,AW42))</f>
        <v>Ok</v>
      </c>
      <c r="BP42" s="178" t="str" cm="1">
        <f t="array" aca="1" ref="BP42" ca="1">_xll.d.TestUtils_IsTrue(_xll.d.Formatting_Equal(N42,AX42))</f>
        <v>Ok</v>
      </c>
      <c r="BQ42" s="178" t="str" cm="1">
        <f t="array" aca="1" ref="BQ42" ca="1">_xll.d.TestUtils_IsTrue(_xll.d.Formatting_Equal(O42,AY42))</f>
        <v>Ok</v>
      </c>
      <c r="BR42" s="178" t="str" cm="1">
        <f t="array" aca="1" ref="BR42" ca="1">_xll.d.TestUtils_IsTrue(_xll.d.Formatting_Equal(P42,AZ42))</f>
        <v>Ok</v>
      </c>
      <c r="BS42" s="178" t="str" cm="1">
        <f t="array" aca="1" ref="BS42" ca="1">_xll.d.TestUtils_IsTrue(_xll.d.Formatting_Equal(Q42,BA42))</f>
        <v>Ok</v>
      </c>
      <c r="BT42" s="178" t="str" cm="1">
        <f t="array" aca="1" ref="BT42" ca="1">_xll.d.TestUtils_IsTrue(_xll.d.Formatting_Equal(R42,BB42))</f>
        <v>Ok</v>
      </c>
    </row>
    <row r="43" spans="2:72" x14ac:dyDescent="0.25">
      <c r="B43" s="126">
        <v>44621</v>
      </c>
      <c r="C43" s="129">
        <v>44621</v>
      </c>
      <c r="D43" s="108">
        <v>3000</v>
      </c>
      <c r="E43" s="111">
        <v>3000</v>
      </c>
      <c r="F43" s="114">
        <v>3000</v>
      </c>
      <c r="G43" s="117">
        <v>3000</v>
      </c>
      <c r="H43" s="120">
        <v>0.5</v>
      </c>
      <c r="I43" s="120">
        <v>0.5</v>
      </c>
      <c r="J43" s="120">
        <v>0.5</v>
      </c>
      <c r="K43" s="120">
        <v>0.5</v>
      </c>
      <c r="L43" s="120">
        <v>0.5</v>
      </c>
      <c r="M43" s="120">
        <v>0.5</v>
      </c>
      <c r="N43" s="120">
        <v>0.5</v>
      </c>
      <c r="O43" s="120">
        <v>0.5</v>
      </c>
      <c r="P43" s="120">
        <v>0.5</v>
      </c>
      <c r="Q43" s="120">
        <v>0.5</v>
      </c>
      <c r="R43" s="123">
        <v>0.5</v>
      </c>
      <c r="T43" s="87">
        <v>44621</v>
      </c>
      <c r="U43" s="87">
        <v>44621</v>
      </c>
      <c r="V43" s="87">
        <v>3000</v>
      </c>
      <c r="W43" s="87">
        <v>3000</v>
      </c>
      <c r="X43" s="87">
        <v>3000</v>
      </c>
      <c r="Y43" s="87">
        <v>3000</v>
      </c>
      <c r="Z43" s="87">
        <v>0.5</v>
      </c>
      <c r="AA43" s="87">
        <v>0.5</v>
      </c>
      <c r="AB43" s="87">
        <v>0.5</v>
      </c>
      <c r="AC43" s="87">
        <v>0.5</v>
      </c>
      <c r="AD43" s="87">
        <v>0.5</v>
      </c>
      <c r="AE43" s="87">
        <v>0.5</v>
      </c>
      <c r="AF43" s="87">
        <v>0.5</v>
      </c>
      <c r="AG43" s="87">
        <v>0.5</v>
      </c>
      <c r="AH43" s="87">
        <v>0.5</v>
      </c>
      <c r="AI43" s="87">
        <v>0.5</v>
      </c>
      <c r="AJ43" s="87">
        <v>0.5</v>
      </c>
      <c r="AL43" s="347">
        <v>44621</v>
      </c>
      <c r="AM43" s="348">
        <v>44621</v>
      </c>
      <c r="AN43" s="338">
        <v>3000</v>
      </c>
      <c r="AO43" s="340">
        <v>3000</v>
      </c>
      <c r="AP43" s="342">
        <v>3000</v>
      </c>
      <c r="AQ43" s="344">
        <v>3000</v>
      </c>
      <c r="AR43" s="171">
        <v>0.5</v>
      </c>
      <c r="AS43" s="171">
        <v>0.5</v>
      </c>
      <c r="AT43" s="171">
        <v>0.5</v>
      </c>
      <c r="AU43" s="171">
        <v>0.5</v>
      </c>
      <c r="AV43" s="171">
        <v>0.5</v>
      </c>
      <c r="AW43" s="171">
        <v>0.5</v>
      </c>
      <c r="AX43" s="171">
        <v>0.5</v>
      </c>
      <c r="AY43" s="171">
        <v>0.5</v>
      </c>
      <c r="AZ43" s="171">
        <v>0.5</v>
      </c>
      <c r="BA43" s="171">
        <v>0.5</v>
      </c>
      <c r="BB43" s="173">
        <v>0.5</v>
      </c>
      <c r="BD43" s="178" t="str" cm="1">
        <f t="array" aca="1" ref="BD43" ca="1">_xll.d.TestUtils_IsTrue(_xll.d.Formatting_Equal(B43,AL43))</f>
        <v>Ok</v>
      </c>
      <c r="BE43" s="178" t="str" cm="1">
        <f t="array" aca="1" ref="BE43" ca="1">_xll.d.TestUtils_IsTrue(_xll.d.Formatting_Equal(C43,AM43))</f>
        <v>Ok</v>
      </c>
      <c r="BF43" s="178" t="str" cm="1">
        <f t="array" aca="1" ref="BF43" ca="1">_xll.d.TestUtils_IsTrue(_xll.d.Formatting_Equal(D43,AN43))</f>
        <v>Ok</v>
      </c>
      <c r="BG43" s="178" t="str" cm="1">
        <f t="array" aca="1" ref="BG43" ca="1">_xll.d.TestUtils_IsTrue(_xll.d.Formatting_Equal(E43,AO43))</f>
        <v>Ok</v>
      </c>
      <c r="BH43" s="178" t="str" cm="1">
        <f t="array" aca="1" ref="BH43" ca="1">_xll.d.TestUtils_IsTrue(_xll.d.Formatting_Equal(F43,AP43))</f>
        <v>Ok</v>
      </c>
      <c r="BI43" s="178" t="str" cm="1">
        <f t="array" aca="1" ref="BI43" ca="1">_xll.d.TestUtils_IsTrue(_xll.d.Formatting_Equal(G43,AQ43))</f>
        <v>Ok</v>
      </c>
      <c r="BJ43" s="178" t="str" cm="1">
        <f t="array" aca="1" ref="BJ43" ca="1">_xll.d.TestUtils_IsTrue(_xll.d.Formatting_Equal(H43,AR43))</f>
        <v>Ok</v>
      </c>
      <c r="BK43" s="178" t="str" cm="1">
        <f t="array" aca="1" ref="BK43" ca="1">_xll.d.TestUtils_IsTrue(_xll.d.Formatting_Equal(I43,AS43))</f>
        <v>Ok</v>
      </c>
      <c r="BL43" s="178" t="str" cm="1">
        <f t="array" aca="1" ref="BL43" ca="1">_xll.d.TestUtils_IsTrue(_xll.d.Formatting_Equal(J43,AT43))</f>
        <v>Ok</v>
      </c>
      <c r="BM43" s="178" t="str" cm="1">
        <f t="array" aca="1" ref="BM43" ca="1">_xll.d.TestUtils_IsTrue(_xll.d.Formatting_Equal(K43,AU43))</f>
        <v>Ok</v>
      </c>
      <c r="BN43" s="178" t="str" cm="1">
        <f t="array" aca="1" ref="BN43" ca="1">_xll.d.TestUtils_IsTrue(_xll.d.Formatting_Equal(L43,AV43))</f>
        <v>Ok</v>
      </c>
      <c r="BO43" s="178" t="str" cm="1">
        <f t="array" aca="1" ref="BO43" ca="1">_xll.d.TestUtils_IsTrue(_xll.d.Formatting_Equal(M43,AW43))</f>
        <v>Ok</v>
      </c>
      <c r="BP43" s="178" t="str" cm="1">
        <f t="array" aca="1" ref="BP43" ca="1">_xll.d.TestUtils_IsTrue(_xll.d.Formatting_Equal(N43,AX43))</f>
        <v>Ok</v>
      </c>
      <c r="BQ43" s="178" t="str" cm="1">
        <f t="array" aca="1" ref="BQ43" ca="1">_xll.d.TestUtils_IsTrue(_xll.d.Formatting_Equal(O43,AY43))</f>
        <v>Ok</v>
      </c>
      <c r="BR43" s="178" t="str" cm="1">
        <f t="array" aca="1" ref="BR43" ca="1">_xll.d.TestUtils_IsTrue(_xll.d.Formatting_Equal(P43,AZ43))</f>
        <v>Ok</v>
      </c>
      <c r="BS43" s="178" t="str" cm="1">
        <f t="array" aca="1" ref="BS43" ca="1">_xll.d.TestUtils_IsTrue(_xll.d.Formatting_Equal(Q43,BA43))</f>
        <v>Ok</v>
      </c>
      <c r="BT43" s="178" t="str" cm="1">
        <f t="array" aca="1" ref="BT43" ca="1">_xll.d.TestUtils_IsTrue(_xll.d.Formatting_Equal(R43,BB43))</f>
        <v>Ok</v>
      </c>
    </row>
    <row r="44" spans="2:72" x14ac:dyDescent="0.25">
      <c r="AL44" s="149"/>
      <c r="AM44" s="149"/>
      <c r="AN44" s="149"/>
      <c r="AO44" s="149"/>
      <c r="AP44" s="149"/>
      <c r="AQ44" s="149"/>
      <c r="AR44" s="149"/>
      <c r="AS44" s="149"/>
      <c r="AT44" s="149"/>
      <c r="AU44" s="149"/>
      <c r="AV44" s="149"/>
      <c r="AW44" s="149"/>
      <c r="AX44" s="149"/>
      <c r="AY44" s="149"/>
      <c r="AZ44" s="149"/>
      <c r="BA44" s="149"/>
      <c r="BB44" s="149"/>
    </row>
    <row r="46" spans="2:72" ht="18.75" x14ac:dyDescent="0.3">
      <c r="B46" s="3" t="s">
        <v>113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</row>
    <row r="48" spans="2:72" x14ac:dyDescent="0.25">
      <c r="B48" s="59" t="s">
        <v>130</v>
      </c>
      <c r="C48" s="178" t="str" cm="1">
        <f t="array" aca="1" ref="C48" ca="1">_xll.d.TestUtils_And(BD63:BT67)</f>
        <v>Ok</v>
      </c>
    </row>
    <row r="50" spans="2:72" x14ac:dyDescent="0.25">
      <c r="B50" s="59" t="s">
        <v>112</v>
      </c>
      <c r="C50" s="59" t="s">
        <v>32</v>
      </c>
    </row>
    <row r="51" spans="2:72" x14ac:dyDescent="0.25">
      <c r="B51" s="94" t="s">
        <v>107</v>
      </c>
      <c r="C51" s="95" t="s">
        <v>125</v>
      </c>
    </row>
    <row r="52" spans="2:72" x14ac:dyDescent="0.25">
      <c r="B52" s="88" t="s">
        <v>108</v>
      </c>
      <c r="C52" s="89" t="s">
        <v>0</v>
      </c>
    </row>
    <row r="53" spans="2:72" x14ac:dyDescent="0.25">
      <c r="B53" s="90"/>
      <c r="C53" s="91" t="s">
        <v>109</v>
      </c>
    </row>
    <row r="54" spans="2:72" x14ac:dyDescent="0.25">
      <c r="B54" s="92"/>
      <c r="C54" s="93" t="s">
        <v>110</v>
      </c>
    </row>
    <row r="55" spans="2:72" x14ac:dyDescent="0.25">
      <c r="B55" s="159" t="s">
        <v>125</v>
      </c>
      <c r="C55" s="165">
        <v>2</v>
      </c>
    </row>
    <row r="56" spans="2:72" x14ac:dyDescent="0.25">
      <c r="B56" s="159" t="s">
        <v>126</v>
      </c>
      <c r="C56" s="165">
        <v>0</v>
      </c>
    </row>
    <row r="57" spans="2:72" x14ac:dyDescent="0.25">
      <c r="B57" s="142" t="s">
        <v>115</v>
      </c>
      <c r="C57" s="143"/>
    </row>
    <row r="58" spans="2:72" x14ac:dyDescent="0.25">
      <c r="B58" s="64"/>
      <c r="C58" s="64"/>
    </row>
    <row r="59" spans="2:72" x14ac:dyDescent="0.25">
      <c r="B59" t="s">
        <v>116</v>
      </c>
      <c r="C59" s="64"/>
    </row>
    <row r="60" spans="2:72" x14ac:dyDescent="0.25">
      <c r="B60" s="64"/>
      <c r="C60" s="64"/>
    </row>
    <row r="61" spans="2:72" x14ac:dyDescent="0.25">
      <c r="B61" s="68" t="s">
        <v>89</v>
      </c>
      <c r="T61" s="68" t="s">
        <v>105</v>
      </c>
      <c r="AL61" s="68" t="s">
        <v>106</v>
      </c>
      <c r="BD61" s="68" t="s">
        <v>131</v>
      </c>
    </row>
    <row r="63" spans="2:72" x14ac:dyDescent="0.25">
      <c r="B63" s="87" t="s">
        <v>94</v>
      </c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  <c r="P63" s="87"/>
      <c r="Q63" s="87"/>
      <c r="R63" s="87"/>
      <c r="T63" s="12" t="s">
        <v>94</v>
      </c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13"/>
      <c r="AL63" s="148" t="s">
        <v>94</v>
      </c>
      <c r="AM63" s="148"/>
      <c r="AN63" s="148"/>
      <c r="AO63" s="148"/>
      <c r="AP63" s="148"/>
      <c r="AQ63" s="148"/>
      <c r="AR63" s="148"/>
      <c r="AS63" s="148"/>
      <c r="AT63" s="148"/>
      <c r="AU63" s="148"/>
      <c r="AV63" s="148"/>
      <c r="AW63" s="148"/>
      <c r="AX63" s="148"/>
      <c r="AY63" s="148"/>
      <c r="AZ63" s="148"/>
      <c r="BA63" s="148"/>
      <c r="BB63" s="148"/>
      <c r="BD63" s="178" t="str" cm="1">
        <f t="array" aca="1" ref="BD63" ca="1">_xll.d.TestUtils_IsTrue(_xll.d.Formatting_Equal(B63,AL63))</f>
        <v>Ok</v>
      </c>
      <c r="BE63" s="178" t="str" cm="1">
        <f t="array" aca="1" ref="BE63" ca="1">_xll.d.TestUtils_IsTrue(_xll.d.Formatting_Equal(C63,AM63))</f>
        <v>Ok</v>
      </c>
      <c r="BF63" s="178" t="str" cm="1">
        <f t="array" aca="1" ref="BF63" ca="1">_xll.d.TestUtils_IsTrue(_xll.d.Formatting_Equal(D63,AN63))</f>
        <v>Ok</v>
      </c>
      <c r="BG63" s="178" t="str" cm="1">
        <f t="array" aca="1" ref="BG63" ca="1">_xll.d.TestUtils_IsTrue(_xll.d.Formatting_Equal(E63,AO63))</f>
        <v>Ok</v>
      </c>
      <c r="BH63" s="178" t="str" cm="1">
        <f t="array" aca="1" ref="BH63" ca="1">_xll.d.TestUtils_IsTrue(_xll.d.Formatting_Equal(F63,AP63))</f>
        <v>Ok</v>
      </c>
      <c r="BI63" s="178" t="str" cm="1">
        <f t="array" aca="1" ref="BI63" ca="1">_xll.d.TestUtils_IsTrue(_xll.d.Formatting_Equal(G63,AQ63))</f>
        <v>Ok</v>
      </c>
      <c r="BJ63" s="178" t="str" cm="1">
        <f t="array" aca="1" ref="BJ63" ca="1">_xll.d.TestUtils_IsTrue(_xll.d.Formatting_Equal(H63,AR63))</f>
        <v>Ok</v>
      </c>
      <c r="BK63" s="178" t="str" cm="1">
        <f t="array" aca="1" ref="BK63" ca="1">_xll.d.TestUtils_IsTrue(_xll.d.Formatting_Equal(I63,AS63))</f>
        <v>Ok</v>
      </c>
      <c r="BL63" s="178" t="str" cm="1">
        <f t="array" aca="1" ref="BL63" ca="1">_xll.d.TestUtils_IsTrue(_xll.d.Formatting_Equal(J63,AT63))</f>
        <v>Ok</v>
      </c>
      <c r="BM63" s="178" t="str" cm="1">
        <f t="array" aca="1" ref="BM63" ca="1">_xll.d.TestUtils_IsTrue(_xll.d.Formatting_Equal(K63,AU63))</f>
        <v>Ok</v>
      </c>
      <c r="BN63" s="178" t="str" cm="1">
        <f t="array" aca="1" ref="BN63" ca="1">_xll.d.TestUtils_IsTrue(_xll.d.Formatting_Equal(L63,AV63))</f>
        <v>Ok</v>
      </c>
      <c r="BO63" s="178" t="str" cm="1">
        <f t="array" aca="1" ref="BO63" ca="1">_xll.d.TestUtils_IsTrue(_xll.d.Formatting_Equal(M63,AW63))</f>
        <v>Ok</v>
      </c>
      <c r="BP63" s="178" t="str" cm="1">
        <f t="array" aca="1" ref="BP63" ca="1">_xll.d.TestUtils_IsTrue(_xll.d.Formatting_Equal(N63,AX63))</f>
        <v>Ok</v>
      </c>
      <c r="BQ63" s="178" t="str" cm="1">
        <f t="array" aca="1" ref="BQ63" ca="1">_xll.d.TestUtils_IsTrue(_xll.d.Formatting_Equal(O63,AY63))</f>
        <v>Ok</v>
      </c>
      <c r="BR63" s="178" t="str" cm="1">
        <f t="array" aca="1" ref="BR63" ca="1">_xll.d.TestUtils_IsTrue(_xll.d.Formatting_Equal(P63,AZ63))</f>
        <v>Ok</v>
      </c>
      <c r="BS63" s="178" t="str" cm="1">
        <f t="array" aca="1" ref="BS63" ca="1">_xll.d.TestUtils_IsTrue(_xll.d.Formatting_Equal(Q63,BA63))</f>
        <v>Ok</v>
      </c>
      <c r="BT63" s="178" t="str" cm="1">
        <f t="array" aca="1" ref="BT63" ca="1">_xll.d.TestUtils_IsTrue(_xll.d.Formatting_Equal(R63,BB63))</f>
        <v>Ok</v>
      </c>
    </row>
    <row r="64" spans="2:72" x14ac:dyDescent="0.25">
      <c r="B64" s="87" t="s">
        <v>34</v>
      </c>
      <c r="C64" s="87" t="s">
        <v>0</v>
      </c>
      <c r="D64" s="87" t="s">
        <v>95</v>
      </c>
      <c r="E64" s="87" t="s">
        <v>96</v>
      </c>
      <c r="F64" s="87" t="s">
        <v>97</v>
      </c>
      <c r="G64" s="87" t="s">
        <v>98</v>
      </c>
      <c r="H64" s="87" t="s">
        <v>99</v>
      </c>
      <c r="I64" s="87" t="s">
        <v>79</v>
      </c>
      <c r="J64" s="87" t="s">
        <v>80</v>
      </c>
      <c r="K64" s="87" t="s">
        <v>81</v>
      </c>
      <c r="L64" s="87" t="s">
        <v>100</v>
      </c>
      <c r="M64" s="87" t="s">
        <v>24</v>
      </c>
      <c r="N64" s="87" t="s">
        <v>39</v>
      </c>
      <c r="O64" s="87" t="s">
        <v>101</v>
      </c>
      <c r="P64" s="87" t="s">
        <v>93</v>
      </c>
      <c r="Q64" s="87" t="s">
        <v>103</v>
      </c>
      <c r="R64" s="87" t="s">
        <v>102</v>
      </c>
      <c r="T64" s="72" t="s">
        <v>34</v>
      </c>
      <c r="U64" s="73" t="s">
        <v>0</v>
      </c>
      <c r="V64" s="73" t="s">
        <v>95</v>
      </c>
      <c r="W64" s="73" t="s">
        <v>96</v>
      </c>
      <c r="X64" s="73" t="s">
        <v>97</v>
      </c>
      <c r="Y64" s="73" t="s">
        <v>98</v>
      </c>
      <c r="Z64" s="73" t="s">
        <v>99</v>
      </c>
      <c r="AA64" s="73" t="s">
        <v>79</v>
      </c>
      <c r="AB64" s="73" t="s">
        <v>80</v>
      </c>
      <c r="AC64" s="73" t="s">
        <v>81</v>
      </c>
      <c r="AD64" s="73" t="s">
        <v>100</v>
      </c>
      <c r="AE64" s="73" t="s">
        <v>24</v>
      </c>
      <c r="AF64" s="73" t="s">
        <v>39</v>
      </c>
      <c r="AG64" s="73" t="s">
        <v>101</v>
      </c>
      <c r="AH64" s="73" t="s">
        <v>93</v>
      </c>
      <c r="AI64" s="73" t="s">
        <v>103</v>
      </c>
      <c r="AJ64" s="74" t="s">
        <v>102</v>
      </c>
      <c r="AL64" s="148" t="s">
        <v>34</v>
      </c>
      <c r="AM64" s="148" t="s">
        <v>0</v>
      </c>
      <c r="AN64" s="148" t="s">
        <v>95</v>
      </c>
      <c r="AO64" s="148" t="s">
        <v>96</v>
      </c>
      <c r="AP64" s="148" t="s">
        <v>97</v>
      </c>
      <c r="AQ64" s="148" t="s">
        <v>98</v>
      </c>
      <c r="AR64" s="148" t="s">
        <v>99</v>
      </c>
      <c r="AS64" s="148" t="s">
        <v>79</v>
      </c>
      <c r="AT64" s="148" t="s">
        <v>80</v>
      </c>
      <c r="AU64" s="148" t="s">
        <v>81</v>
      </c>
      <c r="AV64" s="148" t="s">
        <v>100</v>
      </c>
      <c r="AW64" s="148" t="s">
        <v>24</v>
      </c>
      <c r="AX64" s="148" t="s">
        <v>39</v>
      </c>
      <c r="AY64" s="148" t="s">
        <v>101</v>
      </c>
      <c r="AZ64" s="148" t="s">
        <v>93</v>
      </c>
      <c r="BA64" s="148" t="s">
        <v>103</v>
      </c>
      <c r="BB64" s="148" t="s">
        <v>102</v>
      </c>
      <c r="BD64" s="178" t="str" cm="1">
        <f t="array" aca="1" ref="BD64" ca="1">_xll.d.TestUtils_IsTrue(_xll.d.Formatting_Equal(B64,AL64))</f>
        <v>Ok</v>
      </c>
      <c r="BE64" s="178" t="str" cm="1">
        <f t="array" aca="1" ref="BE64" ca="1">_xll.d.TestUtils_IsTrue(_xll.d.Formatting_Equal(C64,AM64))</f>
        <v>Ok</v>
      </c>
      <c r="BF64" s="178" t="str" cm="1">
        <f t="array" aca="1" ref="BF64" ca="1">_xll.d.TestUtils_IsTrue(_xll.d.Formatting_Equal(D64,AN64))</f>
        <v>Ok</v>
      </c>
      <c r="BG64" s="178" t="str" cm="1">
        <f t="array" aca="1" ref="BG64" ca="1">_xll.d.TestUtils_IsTrue(_xll.d.Formatting_Equal(E64,AO64))</f>
        <v>Ok</v>
      </c>
      <c r="BH64" s="178" t="str" cm="1">
        <f t="array" aca="1" ref="BH64" ca="1">_xll.d.TestUtils_IsTrue(_xll.d.Formatting_Equal(F64,AP64))</f>
        <v>Ok</v>
      </c>
      <c r="BI64" s="178" t="str" cm="1">
        <f t="array" aca="1" ref="BI64" ca="1">_xll.d.TestUtils_IsTrue(_xll.d.Formatting_Equal(G64,AQ64))</f>
        <v>Ok</v>
      </c>
      <c r="BJ64" s="178" t="str" cm="1">
        <f t="array" aca="1" ref="BJ64" ca="1">_xll.d.TestUtils_IsTrue(_xll.d.Formatting_Equal(H64,AR64))</f>
        <v>Ok</v>
      </c>
      <c r="BK64" s="178" t="str" cm="1">
        <f t="array" aca="1" ref="BK64" ca="1">_xll.d.TestUtils_IsTrue(_xll.d.Formatting_Equal(I64,AS64))</f>
        <v>Ok</v>
      </c>
      <c r="BL64" s="178" t="str" cm="1">
        <f t="array" aca="1" ref="BL64" ca="1">_xll.d.TestUtils_IsTrue(_xll.d.Formatting_Equal(J64,AT64))</f>
        <v>Ok</v>
      </c>
      <c r="BM64" s="178" t="str" cm="1">
        <f t="array" aca="1" ref="BM64" ca="1">_xll.d.TestUtils_IsTrue(_xll.d.Formatting_Equal(K64,AU64))</f>
        <v>Ok</v>
      </c>
      <c r="BN64" s="178" t="str" cm="1">
        <f t="array" aca="1" ref="BN64" ca="1">_xll.d.TestUtils_IsTrue(_xll.d.Formatting_Equal(L64,AV64))</f>
        <v>Ok</v>
      </c>
      <c r="BO64" s="178" t="str" cm="1">
        <f t="array" aca="1" ref="BO64" ca="1">_xll.d.TestUtils_IsTrue(_xll.d.Formatting_Equal(M64,AW64))</f>
        <v>Ok</v>
      </c>
      <c r="BP64" s="178" t="str" cm="1">
        <f t="array" aca="1" ref="BP64" ca="1">_xll.d.TestUtils_IsTrue(_xll.d.Formatting_Equal(N64,AX64))</f>
        <v>Ok</v>
      </c>
      <c r="BQ64" s="178" t="str" cm="1">
        <f t="array" aca="1" ref="BQ64" ca="1">_xll.d.TestUtils_IsTrue(_xll.d.Formatting_Equal(O64,AY64))</f>
        <v>Ok</v>
      </c>
      <c r="BR64" s="178" t="str" cm="1">
        <f t="array" aca="1" ref="BR64" ca="1">_xll.d.TestUtils_IsTrue(_xll.d.Formatting_Equal(P64,AZ64))</f>
        <v>Ok</v>
      </c>
      <c r="BS64" s="178" t="str" cm="1">
        <f t="array" aca="1" ref="BS64" ca="1">_xll.d.TestUtils_IsTrue(_xll.d.Formatting_Equal(Q64,BA64))</f>
        <v>Ok</v>
      </c>
      <c r="BT64" s="178" t="str" cm="1">
        <f t="array" aca="1" ref="BT64" ca="1">_xll.d.TestUtils_IsTrue(_xll.d.Formatting_Equal(R64,BB64))</f>
        <v>Ok</v>
      </c>
    </row>
    <row r="65" spans="2:72" x14ac:dyDescent="0.25">
      <c r="B65" s="87">
        <v>44562</v>
      </c>
      <c r="C65" s="87">
        <v>44562</v>
      </c>
      <c r="D65" s="87">
        <v>1000</v>
      </c>
      <c r="E65" s="87">
        <v>1000</v>
      </c>
      <c r="F65" s="87">
        <v>1000</v>
      </c>
      <c r="G65" s="87">
        <v>1000</v>
      </c>
      <c r="H65" s="87">
        <v>0.3</v>
      </c>
      <c r="I65" s="87">
        <v>0.3</v>
      </c>
      <c r="J65" s="87">
        <v>0.3</v>
      </c>
      <c r="K65" s="87">
        <v>0.3</v>
      </c>
      <c r="L65" s="87">
        <v>0.3</v>
      </c>
      <c r="M65" s="87">
        <v>0.3</v>
      </c>
      <c r="N65" s="87">
        <v>0.3</v>
      </c>
      <c r="O65" s="87">
        <v>0.3</v>
      </c>
      <c r="P65" s="87">
        <v>0.3</v>
      </c>
      <c r="Q65" s="87">
        <v>0.3</v>
      </c>
      <c r="R65" s="87">
        <v>0.3</v>
      </c>
      <c r="T65" s="124">
        <v>44562</v>
      </c>
      <c r="U65" s="127">
        <v>44562</v>
      </c>
      <c r="V65" s="106">
        <v>1000</v>
      </c>
      <c r="W65" s="109">
        <v>1000</v>
      </c>
      <c r="X65" s="112">
        <v>1000</v>
      </c>
      <c r="Y65" s="115">
        <v>1000</v>
      </c>
      <c r="Z65" s="118">
        <v>0.3</v>
      </c>
      <c r="AA65" s="118">
        <v>0.3</v>
      </c>
      <c r="AB65" s="118">
        <v>0.3</v>
      </c>
      <c r="AC65" s="118">
        <v>0.3</v>
      </c>
      <c r="AD65" s="118">
        <v>0.3</v>
      </c>
      <c r="AE65" s="118">
        <v>0.3</v>
      </c>
      <c r="AF65" s="118">
        <v>0.3</v>
      </c>
      <c r="AG65" s="118">
        <v>0.3</v>
      </c>
      <c r="AH65" s="118">
        <v>0.3</v>
      </c>
      <c r="AI65" s="118">
        <v>0.3</v>
      </c>
      <c r="AJ65" s="121">
        <v>0.3</v>
      </c>
      <c r="AL65" s="148">
        <v>44562</v>
      </c>
      <c r="AM65" s="148">
        <v>44562</v>
      </c>
      <c r="AN65" s="149">
        <v>1000</v>
      </c>
      <c r="AO65" s="149">
        <v>1000</v>
      </c>
      <c r="AP65" s="149">
        <v>1000</v>
      </c>
      <c r="AQ65" s="149">
        <v>1000</v>
      </c>
      <c r="AR65" s="148">
        <v>0.3</v>
      </c>
      <c r="AS65" s="148">
        <v>0.3</v>
      </c>
      <c r="AT65" s="148">
        <v>0.3</v>
      </c>
      <c r="AU65" s="148">
        <v>0.3</v>
      </c>
      <c r="AV65" s="148">
        <v>0.3</v>
      </c>
      <c r="AW65" s="148">
        <v>0.3</v>
      </c>
      <c r="AX65" s="148">
        <v>0.3</v>
      </c>
      <c r="AY65" s="148">
        <v>0.3</v>
      </c>
      <c r="AZ65" s="148">
        <v>0.3</v>
      </c>
      <c r="BA65" s="148">
        <v>0.3</v>
      </c>
      <c r="BB65" s="148">
        <v>0.3</v>
      </c>
      <c r="BD65" s="178" t="str" cm="1">
        <f t="array" aca="1" ref="BD65" ca="1">_xll.d.TestUtils_IsTrue(_xll.d.Formatting_Equal(B65,AL65))</f>
        <v>Ok</v>
      </c>
      <c r="BE65" s="178" t="str" cm="1">
        <f t="array" aca="1" ref="BE65" ca="1">_xll.d.TestUtils_IsTrue(_xll.d.Formatting_Equal(C65,AM65))</f>
        <v>Ok</v>
      </c>
      <c r="BF65" s="178" t="str" cm="1">
        <f t="array" aca="1" ref="BF65" ca="1">_xll.d.TestUtils_IsTrue(_xll.d.Formatting_Equal(D65,AN65))</f>
        <v>Ok</v>
      </c>
      <c r="BG65" s="178" t="str" cm="1">
        <f t="array" aca="1" ref="BG65" ca="1">_xll.d.TestUtils_IsTrue(_xll.d.Formatting_Equal(E65,AO65))</f>
        <v>Ok</v>
      </c>
      <c r="BH65" s="178" t="str" cm="1">
        <f t="array" aca="1" ref="BH65" ca="1">_xll.d.TestUtils_IsTrue(_xll.d.Formatting_Equal(F65,AP65))</f>
        <v>Ok</v>
      </c>
      <c r="BI65" s="178" t="str" cm="1">
        <f t="array" aca="1" ref="BI65" ca="1">_xll.d.TestUtils_IsTrue(_xll.d.Formatting_Equal(G65,AQ65))</f>
        <v>Ok</v>
      </c>
      <c r="BJ65" s="178" t="str" cm="1">
        <f t="array" aca="1" ref="BJ65" ca="1">_xll.d.TestUtils_IsTrue(_xll.d.Formatting_Equal(H65,AR65))</f>
        <v>Ok</v>
      </c>
      <c r="BK65" s="178" t="str" cm="1">
        <f t="array" aca="1" ref="BK65" ca="1">_xll.d.TestUtils_IsTrue(_xll.d.Formatting_Equal(I65,AS65))</f>
        <v>Ok</v>
      </c>
      <c r="BL65" s="178" t="str" cm="1">
        <f t="array" aca="1" ref="BL65" ca="1">_xll.d.TestUtils_IsTrue(_xll.d.Formatting_Equal(J65,AT65))</f>
        <v>Ok</v>
      </c>
      <c r="BM65" s="178" t="str" cm="1">
        <f t="array" aca="1" ref="BM65" ca="1">_xll.d.TestUtils_IsTrue(_xll.d.Formatting_Equal(K65,AU65))</f>
        <v>Ok</v>
      </c>
      <c r="BN65" s="178" t="str" cm="1">
        <f t="array" aca="1" ref="BN65" ca="1">_xll.d.TestUtils_IsTrue(_xll.d.Formatting_Equal(L65,AV65))</f>
        <v>Ok</v>
      </c>
      <c r="BO65" s="178" t="str" cm="1">
        <f t="array" aca="1" ref="BO65" ca="1">_xll.d.TestUtils_IsTrue(_xll.d.Formatting_Equal(M65,AW65))</f>
        <v>Ok</v>
      </c>
      <c r="BP65" s="178" t="str" cm="1">
        <f t="array" aca="1" ref="BP65" ca="1">_xll.d.TestUtils_IsTrue(_xll.d.Formatting_Equal(N65,AX65))</f>
        <v>Ok</v>
      </c>
      <c r="BQ65" s="178" t="str" cm="1">
        <f t="array" aca="1" ref="BQ65" ca="1">_xll.d.TestUtils_IsTrue(_xll.d.Formatting_Equal(O65,AY65))</f>
        <v>Ok</v>
      </c>
      <c r="BR65" s="178" t="str" cm="1">
        <f t="array" aca="1" ref="BR65" ca="1">_xll.d.TestUtils_IsTrue(_xll.d.Formatting_Equal(P65,AZ65))</f>
        <v>Ok</v>
      </c>
      <c r="BS65" s="178" t="str" cm="1">
        <f t="array" aca="1" ref="BS65" ca="1">_xll.d.TestUtils_IsTrue(_xll.d.Formatting_Equal(Q65,BA65))</f>
        <v>Ok</v>
      </c>
      <c r="BT65" s="178" t="str" cm="1">
        <f t="array" aca="1" ref="BT65" ca="1">_xll.d.TestUtils_IsTrue(_xll.d.Formatting_Equal(R65,BB65))</f>
        <v>Ok</v>
      </c>
    </row>
    <row r="66" spans="2:72" x14ac:dyDescent="0.25">
      <c r="B66" s="87">
        <v>44593</v>
      </c>
      <c r="C66" s="87">
        <v>44593</v>
      </c>
      <c r="D66" s="87">
        <v>2000</v>
      </c>
      <c r="E66" s="87">
        <v>2000</v>
      </c>
      <c r="F66" s="87">
        <v>2000</v>
      </c>
      <c r="G66" s="87">
        <v>2000</v>
      </c>
      <c r="H66" s="87">
        <v>0.4</v>
      </c>
      <c r="I66" s="87">
        <v>0.4</v>
      </c>
      <c r="J66" s="87">
        <v>0.4</v>
      </c>
      <c r="K66" s="87">
        <v>0.4</v>
      </c>
      <c r="L66" s="87">
        <v>0.4</v>
      </c>
      <c r="M66" s="87">
        <v>0.4</v>
      </c>
      <c r="N66" s="87">
        <v>0.4</v>
      </c>
      <c r="O66" s="87">
        <v>0.4</v>
      </c>
      <c r="P66" s="87">
        <v>0.4</v>
      </c>
      <c r="Q66" s="87">
        <v>0.4</v>
      </c>
      <c r="R66" s="87">
        <v>0.4</v>
      </c>
      <c r="T66" s="125">
        <v>44593</v>
      </c>
      <c r="U66" s="128">
        <v>44593</v>
      </c>
      <c r="V66" s="107">
        <v>2000</v>
      </c>
      <c r="W66" s="110">
        <v>2000</v>
      </c>
      <c r="X66" s="113">
        <v>2000</v>
      </c>
      <c r="Y66" s="116">
        <v>2000</v>
      </c>
      <c r="Z66" s="119">
        <v>0.4</v>
      </c>
      <c r="AA66" s="119">
        <v>0.4</v>
      </c>
      <c r="AB66" s="119">
        <v>0.4</v>
      </c>
      <c r="AC66" s="119">
        <v>0.4</v>
      </c>
      <c r="AD66" s="119">
        <v>0.4</v>
      </c>
      <c r="AE66" s="119">
        <v>0.4</v>
      </c>
      <c r="AF66" s="119">
        <v>0.4</v>
      </c>
      <c r="AG66" s="119">
        <v>0.4</v>
      </c>
      <c r="AH66" s="119">
        <v>0.4</v>
      </c>
      <c r="AI66" s="119">
        <v>0.4</v>
      </c>
      <c r="AJ66" s="122">
        <v>0.4</v>
      </c>
      <c r="AL66" s="148">
        <v>44593</v>
      </c>
      <c r="AM66" s="148">
        <v>44593</v>
      </c>
      <c r="AN66" s="149">
        <v>2000</v>
      </c>
      <c r="AO66" s="149">
        <v>2000</v>
      </c>
      <c r="AP66" s="149">
        <v>2000</v>
      </c>
      <c r="AQ66" s="149">
        <v>2000</v>
      </c>
      <c r="AR66" s="148">
        <v>0.4</v>
      </c>
      <c r="AS66" s="148">
        <v>0.4</v>
      </c>
      <c r="AT66" s="148">
        <v>0.4</v>
      </c>
      <c r="AU66" s="148">
        <v>0.4</v>
      </c>
      <c r="AV66" s="148">
        <v>0.4</v>
      </c>
      <c r="AW66" s="148">
        <v>0.4</v>
      </c>
      <c r="AX66" s="148">
        <v>0.4</v>
      </c>
      <c r="AY66" s="148">
        <v>0.4</v>
      </c>
      <c r="AZ66" s="148">
        <v>0.4</v>
      </c>
      <c r="BA66" s="148">
        <v>0.4</v>
      </c>
      <c r="BB66" s="148">
        <v>0.4</v>
      </c>
      <c r="BD66" s="178" t="str" cm="1">
        <f t="array" aca="1" ref="BD66" ca="1">_xll.d.TestUtils_IsTrue(_xll.d.Formatting_Equal(B66,AL66))</f>
        <v>Ok</v>
      </c>
      <c r="BE66" s="178" t="str" cm="1">
        <f t="array" aca="1" ref="BE66" ca="1">_xll.d.TestUtils_IsTrue(_xll.d.Formatting_Equal(C66,AM66))</f>
        <v>Ok</v>
      </c>
      <c r="BF66" s="178" t="str" cm="1">
        <f t="array" aca="1" ref="BF66" ca="1">_xll.d.TestUtils_IsTrue(_xll.d.Formatting_Equal(D66,AN66))</f>
        <v>Ok</v>
      </c>
      <c r="BG66" s="178" t="str" cm="1">
        <f t="array" aca="1" ref="BG66" ca="1">_xll.d.TestUtils_IsTrue(_xll.d.Formatting_Equal(E66,AO66))</f>
        <v>Ok</v>
      </c>
      <c r="BH66" s="178" t="str" cm="1">
        <f t="array" aca="1" ref="BH66" ca="1">_xll.d.TestUtils_IsTrue(_xll.d.Formatting_Equal(F66,AP66))</f>
        <v>Ok</v>
      </c>
      <c r="BI66" s="178" t="str" cm="1">
        <f t="array" aca="1" ref="BI66" ca="1">_xll.d.TestUtils_IsTrue(_xll.d.Formatting_Equal(G66,AQ66))</f>
        <v>Ok</v>
      </c>
      <c r="BJ66" s="178" t="str" cm="1">
        <f t="array" aca="1" ref="BJ66" ca="1">_xll.d.TestUtils_IsTrue(_xll.d.Formatting_Equal(H66,AR66))</f>
        <v>Ok</v>
      </c>
      <c r="BK66" s="178" t="str" cm="1">
        <f t="array" aca="1" ref="BK66" ca="1">_xll.d.TestUtils_IsTrue(_xll.d.Formatting_Equal(I66,AS66))</f>
        <v>Ok</v>
      </c>
      <c r="BL66" s="178" t="str" cm="1">
        <f t="array" aca="1" ref="BL66" ca="1">_xll.d.TestUtils_IsTrue(_xll.d.Formatting_Equal(J66,AT66))</f>
        <v>Ok</v>
      </c>
      <c r="BM66" s="178" t="str" cm="1">
        <f t="array" aca="1" ref="BM66" ca="1">_xll.d.TestUtils_IsTrue(_xll.d.Formatting_Equal(K66,AU66))</f>
        <v>Ok</v>
      </c>
      <c r="BN66" s="178" t="str" cm="1">
        <f t="array" aca="1" ref="BN66" ca="1">_xll.d.TestUtils_IsTrue(_xll.d.Formatting_Equal(L66,AV66))</f>
        <v>Ok</v>
      </c>
      <c r="BO66" s="178" t="str" cm="1">
        <f t="array" aca="1" ref="BO66" ca="1">_xll.d.TestUtils_IsTrue(_xll.d.Formatting_Equal(M66,AW66))</f>
        <v>Ok</v>
      </c>
      <c r="BP66" s="178" t="str" cm="1">
        <f t="array" aca="1" ref="BP66" ca="1">_xll.d.TestUtils_IsTrue(_xll.d.Formatting_Equal(N66,AX66))</f>
        <v>Ok</v>
      </c>
      <c r="BQ66" s="178" t="str" cm="1">
        <f t="array" aca="1" ref="BQ66" ca="1">_xll.d.TestUtils_IsTrue(_xll.d.Formatting_Equal(O66,AY66))</f>
        <v>Ok</v>
      </c>
      <c r="BR66" s="178" t="str" cm="1">
        <f t="array" aca="1" ref="BR66" ca="1">_xll.d.TestUtils_IsTrue(_xll.d.Formatting_Equal(P66,AZ66))</f>
        <v>Ok</v>
      </c>
      <c r="BS66" s="178" t="str" cm="1">
        <f t="array" aca="1" ref="BS66" ca="1">_xll.d.TestUtils_IsTrue(_xll.d.Formatting_Equal(Q66,BA66))</f>
        <v>Ok</v>
      </c>
      <c r="BT66" s="178" t="str" cm="1">
        <f t="array" aca="1" ref="BT66" ca="1">_xll.d.TestUtils_IsTrue(_xll.d.Formatting_Equal(R66,BB66))</f>
        <v>Ok</v>
      </c>
    </row>
    <row r="67" spans="2:72" x14ac:dyDescent="0.25">
      <c r="B67" s="87">
        <v>44621</v>
      </c>
      <c r="C67" s="87">
        <v>44621</v>
      </c>
      <c r="D67" s="87">
        <v>3000</v>
      </c>
      <c r="E67" s="87">
        <v>3000</v>
      </c>
      <c r="F67" s="87">
        <v>3000</v>
      </c>
      <c r="G67" s="87">
        <v>3000</v>
      </c>
      <c r="H67" s="87">
        <v>0.5</v>
      </c>
      <c r="I67" s="87">
        <v>0.5</v>
      </c>
      <c r="J67" s="87">
        <v>0.5</v>
      </c>
      <c r="K67" s="87">
        <v>0.5</v>
      </c>
      <c r="L67" s="87">
        <v>0.5</v>
      </c>
      <c r="M67" s="87">
        <v>0.5</v>
      </c>
      <c r="N67" s="87">
        <v>0.5</v>
      </c>
      <c r="O67" s="87">
        <v>0.5</v>
      </c>
      <c r="P67" s="87">
        <v>0.5</v>
      </c>
      <c r="Q67" s="87">
        <v>0.5</v>
      </c>
      <c r="R67" s="87">
        <v>0.5</v>
      </c>
      <c r="T67" s="126">
        <v>44621</v>
      </c>
      <c r="U67" s="129">
        <v>44621</v>
      </c>
      <c r="V67" s="108">
        <v>3000</v>
      </c>
      <c r="W67" s="111">
        <v>3000</v>
      </c>
      <c r="X67" s="114">
        <v>3000</v>
      </c>
      <c r="Y67" s="117">
        <v>3000</v>
      </c>
      <c r="Z67" s="120">
        <v>0.5</v>
      </c>
      <c r="AA67" s="120">
        <v>0.5</v>
      </c>
      <c r="AB67" s="120">
        <v>0.5</v>
      </c>
      <c r="AC67" s="120">
        <v>0.5</v>
      </c>
      <c r="AD67" s="120">
        <v>0.5</v>
      </c>
      <c r="AE67" s="120">
        <v>0.5</v>
      </c>
      <c r="AF67" s="120">
        <v>0.5</v>
      </c>
      <c r="AG67" s="120">
        <v>0.5</v>
      </c>
      <c r="AH67" s="120">
        <v>0.5</v>
      </c>
      <c r="AI67" s="120">
        <v>0.5</v>
      </c>
      <c r="AJ67" s="123">
        <v>0.5</v>
      </c>
      <c r="AL67" s="148">
        <v>44621</v>
      </c>
      <c r="AM67" s="148">
        <v>44621</v>
      </c>
      <c r="AN67" s="149">
        <v>3000</v>
      </c>
      <c r="AO67" s="149">
        <v>3000</v>
      </c>
      <c r="AP67" s="149">
        <v>3000</v>
      </c>
      <c r="AQ67" s="149">
        <v>3000</v>
      </c>
      <c r="AR67" s="148">
        <v>0.5</v>
      </c>
      <c r="AS67" s="148">
        <v>0.5</v>
      </c>
      <c r="AT67" s="148">
        <v>0.5</v>
      </c>
      <c r="AU67" s="148">
        <v>0.5</v>
      </c>
      <c r="AV67" s="148">
        <v>0.5</v>
      </c>
      <c r="AW67" s="148">
        <v>0.5</v>
      </c>
      <c r="AX67" s="148">
        <v>0.5</v>
      </c>
      <c r="AY67" s="148">
        <v>0.5</v>
      </c>
      <c r="AZ67" s="148">
        <v>0.5</v>
      </c>
      <c r="BA67" s="148">
        <v>0.5</v>
      </c>
      <c r="BB67" s="148">
        <v>0.5</v>
      </c>
      <c r="BD67" s="178" t="str" cm="1">
        <f t="array" aca="1" ref="BD67" ca="1">_xll.d.TestUtils_IsTrue(_xll.d.Formatting_Equal(B67,AL67))</f>
        <v>Ok</v>
      </c>
      <c r="BE67" s="178" t="str" cm="1">
        <f t="array" aca="1" ref="BE67" ca="1">_xll.d.TestUtils_IsTrue(_xll.d.Formatting_Equal(C67,AM67))</f>
        <v>Ok</v>
      </c>
      <c r="BF67" s="178" t="str" cm="1">
        <f t="array" aca="1" ref="BF67" ca="1">_xll.d.TestUtils_IsTrue(_xll.d.Formatting_Equal(D67,AN67))</f>
        <v>Ok</v>
      </c>
      <c r="BG67" s="178" t="str" cm="1">
        <f t="array" aca="1" ref="BG67" ca="1">_xll.d.TestUtils_IsTrue(_xll.d.Formatting_Equal(E67,AO67))</f>
        <v>Ok</v>
      </c>
      <c r="BH67" s="178" t="str" cm="1">
        <f t="array" aca="1" ref="BH67" ca="1">_xll.d.TestUtils_IsTrue(_xll.d.Formatting_Equal(F67,AP67))</f>
        <v>Ok</v>
      </c>
      <c r="BI67" s="178" t="str" cm="1">
        <f t="array" aca="1" ref="BI67" ca="1">_xll.d.TestUtils_IsTrue(_xll.d.Formatting_Equal(G67,AQ67))</f>
        <v>Ok</v>
      </c>
      <c r="BJ67" s="178" t="str" cm="1">
        <f t="array" aca="1" ref="BJ67" ca="1">_xll.d.TestUtils_IsTrue(_xll.d.Formatting_Equal(H67,AR67))</f>
        <v>Ok</v>
      </c>
      <c r="BK67" s="178" t="str" cm="1">
        <f t="array" aca="1" ref="BK67" ca="1">_xll.d.TestUtils_IsTrue(_xll.d.Formatting_Equal(I67,AS67))</f>
        <v>Ok</v>
      </c>
      <c r="BL67" s="178" t="str" cm="1">
        <f t="array" aca="1" ref="BL67" ca="1">_xll.d.TestUtils_IsTrue(_xll.d.Formatting_Equal(J67,AT67))</f>
        <v>Ok</v>
      </c>
      <c r="BM67" s="178" t="str" cm="1">
        <f t="array" aca="1" ref="BM67" ca="1">_xll.d.TestUtils_IsTrue(_xll.d.Formatting_Equal(K67,AU67))</f>
        <v>Ok</v>
      </c>
      <c r="BN67" s="178" t="str" cm="1">
        <f t="array" aca="1" ref="BN67" ca="1">_xll.d.TestUtils_IsTrue(_xll.d.Formatting_Equal(L67,AV67))</f>
        <v>Ok</v>
      </c>
      <c r="BO67" s="178" t="str" cm="1">
        <f t="array" aca="1" ref="BO67" ca="1">_xll.d.TestUtils_IsTrue(_xll.d.Formatting_Equal(M67,AW67))</f>
        <v>Ok</v>
      </c>
      <c r="BP67" s="178" t="str" cm="1">
        <f t="array" aca="1" ref="BP67" ca="1">_xll.d.TestUtils_IsTrue(_xll.d.Formatting_Equal(N67,AX67))</f>
        <v>Ok</v>
      </c>
      <c r="BQ67" s="178" t="str" cm="1">
        <f t="array" aca="1" ref="BQ67" ca="1">_xll.d.TestUtils_IsTrue(_xll.d.Formatting_Equal(O67,AY67))</f>
        <v>Ok</v>
      </c>
      <c r="BR67" s="178" t="str" cm="1">
        <f t="array" aca="1" ref="BR67" ca="1">_xll.d.TestUtils_IsTrue(_xll.d.Formatting_Equal(P67,AZ67))</f>
        <v>Ok</v>
      </c>
      <c r="BS67" s="178" t="str" cm="1">
        <f t="array" aca="1" ref="BS67" ca="1">_xll.d.TestUtils_IsTrue(_xll.d.Formatting_Equal(Q67,BA67))</f>
        <v>Ok</v>
      </c>
      <c r="BT67" s="178" t="str" cm="1">
        <f t="array" aca="1" ref="BT67" ca="1">_xll.d.TestUtils_IsTrue(_xll.d.Formatting_Equal(R67,BB67))</f>
        <v>Ok</v>
      </c>
    </row>
    <row r="68" spans="2:72" x14ac:dyDescent="0.25">
      <c r="B68" s="64"/>
      <c r="C68" s="64"/>
    </row>
    <row r="69" spans="2:72" x14ac:dyDescent="0.25">
      <c r="B69" s="64"/>
      <c r="C69" s="64"/>
    </row>
    <row r="70" spans="2:72" ht="18.75" x14ac:dyDescent="0.3">
      <c r="B70" s="3" t="s">
        <v>114</v>
      </c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</row>
    <row r="72" spans="2:72" ht="19.5" customHeight="1" x14ac:dyDescent="0.25">
      <c r="B72" s="59" t="s">
        <v>130</v>
      </c>
      <c r="C72" s="178" t="str" cm="1">
        <f t="array" aca="1" ref="C72" ca="1">_xll.d.TestUtils_And(T87:X103)</f>
        <v>Ok</v>
      </c>
    </row>
    <row r="74" spans="2:72" x14ac:dyDescent="0.25">
      <c r="B74" s="59" t="s">
        <v>112</v>
      </c>
      <c r="C74" s="59" t="s">
        <v>32</v>
      </c>
    </row>
    <row r="75" spans="2:72" x14ac:dyDescent="0.25">
      <c r="B75" s="94" t="s">
        <v>107</v>
      </c>
      <c r="C75" s="95" t="s">
        <v>126</v>
      </c>
    </row>
    <row r="76" spans="2:72" x14ac:dyDescent="0.25">
      <c r="B76" s="88" t="s">
        <v>108</v>
      </c>
      <c r="C76" s="89" t="s">
        <v>0</v>
      </c>
    </row>
    <row r="77" spans="2:72" x14ac:dyDescent="0.25">
      <c r="B77" s="90"/>
      <c r="C77" s="91" t="s">
        <v>109</v>
      </c>
    </row>
    <row r="78" spans="2:72" x14ac:dyDescent="0.25">
      <c r="B78" s="92"/>
      <c r="C78" s="93" t="s">
        <v>110</v>
      </c>
    </row>
    <row r="79" spans="2:72" x14ac:dyDescent="0.25">
      <c r="B79" s="159" t="s">
        <v>125</v>
      </c>
      <c r="C79" s="165">
        <v>0</v>
      </c>
    </row>
    <row r="80" spans="2:72" x14ac:dyDescent="0.25">
      <c r="B80" s="159" t="s">
        <v>126</v>
      </c>
      <c r="C80" s="165">
        <v>2</v>
      </c>
    </row>
    <row r="81" spans="2:24" x14ac:dyDescent="0.25">
      <c r="B81" s="145" t="s">
        <v>115</v>
      </c>
      <c r="C81" s="144"/>
    </row>
    <row r="83" spans="2:24" x14ac:dyDescent="0.25">
      <c r="B83" t="s">
        <v>92</v>
      </c>
    </row>
    <row r="85" spans="2:24" x14ac:dyDescent="0.25">
      <c r="B85" s="68" t="s">
        <v>89</v>
      </c>
      <c r="H85" s="68" t="s">
        <v>105</v>
      </c>
      <c r="N85" s="68" t="s">
        <v>106</v>
      </c>
      <c r="T85" s="68" t="s">
        <v>131</v>
      </c>
    </row>
    <row r="87" spans="2:24" ht="15" customHeight="1" x14ac:dyDescent="0.25">
      <c r="B87" s="583" t="s">
        <v>94</v>
      </c>
      <c r="C87" s="180" t="s">
        <v>34</v>
      </c>
      <c r="D87" s="174">
        <v>44562</v>
      </c>
      <c r="E87" s="176">
        <v>44593</v>
      </c>
      <c r="F87" s="193">
        <v>44621</v>
      </c>
      <c r="H87" s="96" t="s">
        <v>94</v>
      </c>
      <c r="I87" s="96" t="s">
        <v>34</v>
      </c>
      <c r="J87" s="131">
        <v>44562</v>
      </c>
      <c r="K87" s="131">
        <v>44593</v>
      </c>
      <c r="L87" s="131">
        <v>44621</v>
      </c>
      <c r="N87" s="583" t="s">
        <v>94</v>
      </c>
      <c r="O87" s="180" t="s">
        <v>34</v>
      </c>
      <c r="P87" s="174">
        <v>44562</v>
      </c>
      <c r="Q87" s="176">
        <v>44593</v>
      </c>
      <c r="R87" s="193">
        <v>44621</v>
      </c>
      <c r="T87" s="178" t="str" cm="1">
        <f t="array" aca="1" ref="T87" ca="1">_xll.d.TestUtils_IsTrue(_xll.d.Formatting_Equal(B87,N87))</f>
        <v>Ok</v>
      </c>
      <c r="U87" s="178" t="str" cm="1">
        <f t="array" aca="1" ref="U87" ca="1">_xll.d.TestUtils_IsTrue(_xll.d.Formatting_Equal(C87,O87))</f>
        <v>Ok</v>
      </c>
      <c r="V87" s="178" t="str" cm="1">
        <f t="array" aca="1" ref="V87" ca="1">_xll.d.TestUtils_IsTrue(_xll.d.Formatting_Equal(D87,P87))</f>
        <v>Ok</v>
      </c>
      <c r="W87" s="178" t="str" cm="1">
        <f t="array" aca="1" ref="W87" ca="1">_xll.d.TestUtils_IsTrue(_xll.d.Formatting_Equal(E87,Q87))</f>
        <v>Ok</v>
      </c>
      <c r="X87" s="178" t="str" cm="1">
        <f t="array" aca="1" ref="X87" ca="1">_xll.d.TestUtils_IsTrue(_xll.d.Formatting_Equal(F87,R87))</f>
        <v>Ok</v>
      </c>
    </row>
    <row r="88" spans="2:24" x14ac:dyDescent="0.25">
      <c r="B88" s="581"/>
      <c r="C88" s="181" t="s">
        <v>0</v>
      </c>
      <c r="D88" s="175">
        <v>44562</v>
      </c>
      <c r="E88" s="177">
        <v>44593</v>
      </c>
      <c r="F88" s="194">
        <v>44621</v>
      </c>
      <c r="H88" s="96"/>
      <c r="I88" s="96" t="s">
        <v>0</v>
      </c>
      <c r="J88" s="131">
        <v>44562</v>
      </c>
      <c r="K88" s="131">
        <v>44593</v>
      </c>
      <c r="L88" s="131">
        <v>44621</v>
      </c>
      <c r="N88" s="581"/>
      <c r="O88" s="181" t="s">
        <v>0</v>
      </c>
      <c r="P88" s="175">
        <v>44562</v>
      </c>
      <c r="Q88" s="177">
        <v>44593</v>
      </c>
      <c r="R88" s="194">
        <v>44621</v>
      </c>
      <c r="T88" s="178" t="str" cm="1">
        <f t="array" aca="1" ref="T88" ca="1">_xll.d.TestUtils_IsTrue(_xll.d.Formatting_Equal(B88,N88))</f>
        <v>Ok</v>
      </c>
      <c r="U88" s="178" t="str" cm="1">
        <f t="array" aca="1" ref="U88" ca="1">_xll.d.TestUtils_IsTrue(_xll.d.Formatting_Equal(C88,O88))</f>
        <v>Ok</v>
      </c>
      <c r="V88" s="178" t="str" cm="1">
        <f t="array" aca="1" ref="V88" ca="1">_xll.d.TestUtils_IsTrue(_xll.d.Formatting_Equal(D88,P88))</f>
        <v>Ok</v>
      </c>
      <c r="W88" s="178" t="str" cm="1">
        <f t="array" aca="1" ref="W88" ca="1">_xll.d.TestUtils_IsTrue(_xll.d.Formatting_Equal(E88,Q88))</f>
        <v>Ok</v>
      </c>
      <c r="X88" s="178" t="str" cm="1">
        <f t="array" aca="1" ref="X88" ca="1">_xll.d.TestUtils_IsTrue(_xll.d.Formatting_Equal(F88,R88))</f>
        <v>Ok</v>
      </c>
    </row>
    <row r="89" spans="2:24" x14ac:dyDescent="0.25">
      <c r="B89" s="581"/>
      <c r="C89" s="181" t="s">
        <v>95</v>
      </c>
      <c r="D89" s="183">
        <v>1000</v>
      </c>
      <c r="E89" s="166">
        <v>2000</v>
      </c>
      <c r="F89" s="184">
        <v>3000</v>
      </c>
      <c r="H89" s="96"/>
      <c r="I89" s="96" t="s">
        <v>95</v>
      </c>
      <c r="J89" s="131">
        <v>1000</v>
      </c>
      <c r="K89" s="131">
        <v>2000</v>
      </c>
      <c r="L89" s="131">
        <v>3000</v>
      </c>
      <c r="N89" s="581"/>
      <c r="O89" s="181" t="s">
        <v>95</v>
      </c>
      <c r="P89" s="183">
        <v>1000</v>
      </c>
      <c r="Q89" s="166">
        <v>2000</v>
      </c>
      <c r="R89" s="184">
        <v>3000</v>
      </c>
      <c r="T89" s="178" t="str" cm="1">
        <f t="array" aca="1" ref="T89" ca="1">_xll.d.TestUtils_IsTrue(_xll.d.Formatting_Equal(B89,N89))</f>
        <v>Ok</v>
      </c>
      <c r="U89" s="178" t="str" cm="1">
        <f t="array" aca="1" ref="U89" ca="1">_xll.d.TestUtils_IsTrue(_xll.d.Formatting_Equal(C89,O89))</f>
        <v>Ok</v>
      </c>
      <c r="V89" s="178" t="str" cm="1">
        <f t="array" aca="1" ref="V89" ca="1">_xll.d.TestUtils_IsTrue(_xll.d.Formatting_Equal(D89,P89))</f>
        <v>Ok</v>
      </c>
      <c r="W89" s="178" t="str" cm="1">
        <f t="array" aca="1" ref="W89" ca="1">_xll.d.TestUtils_IsTrue(_xll.d.Formatting_Equal(E89,Q89))</f>
        <v>Ok</v>
      </c>
      <c r="X89" s="178" t="str" cm="1">
        <f t="array" aca="1" ref="X89" ca="1">_xll.d.TestUtils_IsTrue(_xll.d.Formatting_Equal(F89,R89))</f>
        <v>Ok</v>
      </c>
    </row>
    <row r="90" spans="2:24" x14ac:dyDescent="0.25">
      <c r="B90" s="581"/>
      <c r="C90" s="181" t="s">
        <v>96</v>
      </c>
      <c r="D90" s="185">
        <v>1000</v>
      </c>
      <c r="E90" s="167">
        <v>2000</v>
      </c>
      <c r="F90" s="186">
        <v>3000</v>
      </c>
      <c r="H90" s="96"/>
      <c r="I90" s="96" t="s">
        <v>96</v>
      </c>
      <c r="J90" s="131">
        <v>1000</v>
      </c>
      <c r="K90" s="131">
        <v>2000</v>
      </c>
      <c r="L90" s="131">
        <v>3000</v>
      </c>
      <c r="N90" s="581"/>
      <c r="O90" s="181" t="s">
        <v>96</v>
      </c>
      <c r="P90" s="185">
        <v>1000</v>
      </c>
      <c r="Q90" s="167">
        <v>2000</v>
      </c>
      <c r="R90" s="186">
        <v>3000</v>
      </c>
      <c r="T90" s="178" t="str" cm="1">
        <f t="array" aca="1" ref="T90" ca="1">_xll.d.TestUtils_IsTrue(_xll.d.Formatting_Equal(B90,N90))</f>
        <v>Ok</v>
      </c>
      <c r="U90" s="178" t="str" cm="1">
        <f t="array" aca="1" ref="U90" ca="1">_xll.d.TestUtils_IsTrue(_xll.d.Formatting_Equal(C90,O90))</f>
        <v>Ok</v>
      </c>
      <c r="V90" s="178" t="str" cm="1">
        <f t="array" aca="1" ref="V90" ca="1">_xll.d.TestUtils_IsTrue(_xll.d.Formatting_Equal(D90,P90))</f>
        <v>Ok</v>
      </c>
      <c r="W90" s="178" t="str" cm="1">
        <f t="array" aca="1" ref="W90" ca="1">_xll.d.TestUtils_IsTrue(_xll.d.Formatting_Equal(E90,Q90))</f>
        <v>Ok</v>
      </c>
      <c r="X90" s="178" t="str" cm="1">
        <f t="array" aca="1" ref="X90" ca="1">_xll.d.TestUtils_IsTrue(_xll.d.Formatting_Equal(F90,R90))</f>
        <v>Ok</v>
      </c>
    </row>
    <row r="91" spans="2:24" x14ac:dyDescent="0.25">
      <c r="B91" s="581"/>
      <c r="C91" s="181" t="s">
        <v>97</v>
      </c>
      <c r="D91" s="187">
        <v>1000</v>
      </c>
      <c r="E91" s="168">
        <v>2000</v>
      </c>
      <c r="F91" s="188">
        <v>3000</v>
      </c>
      <c r="H91" s="96"/>
      <c r="I91" s="96" t="s">
        <v>97</v>
      </c>
      <c r="J91" s="131">
        <v>1000</v>
      </c>
      <c r="K91" s="131">
        <v>2000</v>
      </c>
      <c r="L91" s="131">
        <v>3000</v>
      </c>
      <c r="N91" s="581"/>
      <c r="O91" s="181" t="s">
        <v>97</v>
      </c>
      <c r="P91" s="187">
        <v>1000</v>
      </c>
      <c r="Q91" s="168">
        <v>2000</v>
      </c>
      <c r="R91" s="188">
        <v>3000</v>
      </c>
      <c r="T91" s="178" t="str" cm="1">
        <f t="array" aca="1" ref="T91" ca="1">_xll.d.TestUtils_IsTrue(_xll.d.Formatting_Equal(B91,N91))</f>
        <v>Ok</v>
      </c>
      <c r="U91" s="178" t="str" cm="1">
        <f t="array" aca="1" ref="U91" ca="1">_xll.d.TestUtils_IsTrue(_xll.d.Formatting_Equal(C91,O91))</f>
        <v>Ok</v>
      </c>
      <c r="V91" s="178" t="str" cm="1">
        <f t="array" aca="1" ref="V91" ca="1">_xll.d.TestUtils_IsTrue(_xll.d.Formatting_Equal(D91,P91))</f>
        <v>Ok</v>
      </c>
      <c r="W91" s="178" t="str" cm="1">
        <f t="array" aca="1" ref="W91" ca="1">_xll.d.TestUtils_IsTrue(_xll.d.Formatting_Equal(E91,Q91))</f>
        <v>Ok</v>
      </c>
      <c r="X91" s="178" t="str" cm="1">
        <f t="array" aca="1" ref="X91" ca="1">_xll.d.TestUtils_IsTrue(_xll.d.Formatting_Equal(F91,R91))</f>
        <v>Ok</v>
      </c>
    </row>
    <row r="92" spans="2:24" x14ac:dyDescent="0.25">
      <c r="B92" s="581"/>
      <c r="C92" s="181" t="s">
        <v>98</v>
      </c>
      <c r="D92" s="189">
        <v>1000</v>
      </c>
      <c r="E92" s="169">
        <v>2000</v>
      </c>
      <c r="F92" s="190">
        <v>3000</v>
      </c>
      <c r="H92" s="96"/>
      <c r="I92" s="96" t="s">
        <v>98</v>
      </c>
      <c r="J92" s="131">
        <v>1000</v>
      </c>
      <c r="K92" s="131">
        <v>2000</v>
      </c>
      <c r="L92" s="131">
        <v>3000</v>
      </c>
      <c r="N92" s="581"/>
      <c r="O92" s="181" t="s">
        <v>98</v>
      </c>
      <c r="P92" s="189">
        <v>1000</v>
      </c>
      <c r="Q92" s="169">
        <v>2000</v>
      </c>
      <c r="R92" s="190">
        <v>3000</v>
      </c>
      <c r="T92" s="178" t="str" cm="1">
        <f t="array" aca="1" ref="T92" ca="1">_xll.d.TestUtils_IsTrue(_xll.d.Formatting_Equal(B92,N92))</f>
        <v>Ok</v>
      </c>
      <c r="U92" s="178" t="str" cm="1">
        <f t="array" aca="1" ref="U92" ca="1">_xll.d.TestUtils_IsTrue(_xll.d.Formatting_Equal(C92,O92))</f>
        <v>Ok</v>
      </c>
      <c r="V92" s="178" t="str" cm="1">
        <f t="array" aca="1" ref="V92" ca="1">_xll.d.TestUtils_IsTrue(_xll.d.Formatting_Equal(D92,P92))</f>
        <v>Ok</v>
      </c>
      <c r="W92" s="178" t="str" cm="1">
        <f t="array" aca="1" ref="W92" ca="1">_xll.d.TestUtils_IsTrue(_xll.d.Formatting_Equal(E92,Q92))</f>
        <v>Ok</v>
      </c>
      <c r="X92" s="178" t="str" cm="1">
        <f t="array" aca="1" ref="X92" ca="1">_xll.d.TestUtils_IsTrue(_xll.d.Formatting_Equal(F92,R92))</f>
        <v>Ok</v>
      </c>
    </row>
    <row r="93" spans="2:24" x14ac:dyDescent="0.25">
      <c r="B93" s="581"/>
      <c r="C93" s="181" t="s">
        <v>99</v>
      </c>
      <c r="D93" s="191">
        <v>0.3</v>
      </c>
      <c r="E93" s="170">
        <v>0.4</v>
      </c>
      <c r="F93" s="172">
        <v>0.5</v>
      </c>
      <c r="H93" s="96"/>
      <c r="I93" s="96" t="s">
        <v>99</v>
      </c>
      <c r="J93" s="130">
        <v>0.3</v>
      </c>
      <c r="K93" s="130">
        <v>0.4</v>
      </c>
      <c r="L93" s="130">
        <v>0.5</v>
      </c>
      <c r="N93" s="581"/>
      <c r="O93" s="181" t="s">
        <v>99</v>
      </c>
      <c r="P93" s="191">
        <v>0.3</v>
      </c>
      <c r="Q93" s="170">
        <v>0.4</v>
      </c>
      <c r="R93" s="172">
        <v>0.5</v>
      </c>
      <c r="T93" s="178" t="str" cm="1">
        <f t="array" aca="1" ref="T93" ca="1">_xll.d.TestUtils_IsTrue(_xll.d.Formatting_Equal(B93,N93))</f>
        <v>Ok</v>
      </c>
      <c r="U93" s="178" t="str" cm="1">
        <f t="array" aca="1" ref="U93" ca="1">_xll.d.TestUtils_IsTrue(_xll.d.Formatting_Equal(C93,O93))</f>
        <v>Ok</v>
      </c>
      <c r="V93" s="178" t="str" cm="1">
        <f t="array" aca="1" ref="V93" ca="1">_xll.d.TestUtils_IsTrue(_xll.d.Formatting_Equal(D93,P93))</f>
        <v>Ok</v>
      </c>
      <c r="W93" s="178" t="str" cm="1">
        <f t="array" aca="1" ref="W93" ca="1">_xll.d.TestUtils_IsTrue(_xll.d.Formatting_Equal(E93,Q93))</f>
        <v>Ok</v>
      </c>
      <c r="X93" s="178" t="str" cm="1">
        <f t="array" aca="1" ref="X93" ca="1">_xll.d.TestUtils_IsTrue(_xll.d.Formatting_Equal(F93,R93))</f>
        <v>Ok</v>
      </c>
    </row>
    <row r="94" spans="2:24" x14ac:dyDescent="0.25">
      <c r="B94" s="581"/>
      <c r="C94" s="181" t="s">
        <v>79</v>
      </c>
      <c r="D94" s="191">
        <v>0.3</v>
      </c>
      <c r="E94" s="170">
        <v>0.4</v>
      </c>
      <c r="F94" s="172">
        <v>0.5</v>
      </c>
      <c r="H94" s="96"/>
      <c r="I94" s="96" t="s">
        <v>79</v>
      </c>
      <c r="J94" s="130">
        <v>0.3</v>
      </c>
      <c r="K94" s="130">
        <v>0.4</v>
      </c>
      <c r="L94" s="130">
        <v>0.5</v>
      </c>
      <c r="N94" s="581"/>
      <c r="O94" s="181" t="s">
        <v>79</v>
      </c>
      <c r="P94" s="191">
        <v>0.3</v>
      </c>
      <c r="Q94" s="170">
        <v>0.4</v>
      </c>
      <c r="R94" s="172">
        <v>0.5</v>
      </c>
      <c r="T94" s="178" t="str" cm="1">
        <f t="array" aca="1" ref="T94" ca="1">_xll.d.TestUtils_IsTrue(_xll.d.Formatting_Equal(B94,N94))</f>
        <v>Ok</v>
      </c>
      <c r="U94" s="178" t="str" cm="1">
        <f t="array" aca="1" ref="U94" ca="1">_xll.d.TestUtils_IsTrue(_xll.d.Formatting_Equal(C94,O94))</f>
        <v>Ok</v>
      </c>
      <c r="V94" s="178" t="str" cm="1">
        <f t="array" aca="1" ref="V94" ca="1">_xll.d.TestUtils_IsTrue(_xll.d.Formatting_Equal(D94,P94))</f>
        <v>Ok</v>
      </c>
      <c r="W94" s="178" t="str" cm="1">
        <f t="array" aca="1" ref="W94" ca="1">_xll.d.TestUtils_IsTrue(_xll.d.Formatting_Equal(E94,Q94))</f>
        <v>Ok</v>
      </c>
      <c r="X94" s="178" t="str" cm="1">
        <f t="array" aca="1" ref="X94" ca="1">_xll.d.TestUtils_IsTrue(_xll.d.Formatting_Equal(F94,R94))</f>
        <v>Ok</v>
      </c>
    </row>
    <row r="95" spans="2:24" x14ac:dyDescent="0.25">
      <c r="B95" s="581"/>
      <c r="C95" s="181" t="s">
        <v>80</v>
      </c>
      <c r="D95" s="191">
        <v>0.3</v>
      </c>
      <c r="E95" s="170">
        <v>0.4</v>
      </c>
      <c r="F95" s="172">
        <v>0.5</v>
      </c>
      <c r="H95" s="96"/>
      <c r="I95" s="96" t="s">
        <v>80</v>
      </c>
      <c r="J95" s="130">
        <v>0.3</v>
      </c>
      <c r="K95" s="130">
        <v>0.4</v>
      </c>
      <c r="L95" s="130">
        <v>0.5</v>
      </c>
      <c r="N95" s="581"/>
      <c r="O95" s="181" t="s">
        <v>80</v>
      </c>
      <c r="P95" s="191">
        <v>0.3</v>
      </c>
      <c r="Q95" s="170">
        <v>0.4</v>
      </c>
      <c r="R95" s="172">
        <v>0.5</v>
      </c>
      <c r="T95" s="178" t="str" cm="1">
        <f t="array" aca="1" ref="T95" ca="1">_xll.d.TestUtils_IsTrue(_xll.d.Formatting_Equal(B95,N95))</f>
        <v>Ok</v>
      </c>
      <c r="U95" s="178" t="str" cm="1">
        <f t="array" aca="1" ref="U95" ca="1">_xll.d.TestUtils_IsTrue(_xll.d.Formatting_Equal(C95,O95))</f>
        <v>Ok</v>
      </c>
      <c r="V95" s="178" t="str" cm="1">
        <f t="array" aca="1" ref="V95" ca="1">_xll.d.TestUtils_IsTrue(_xll.d.Formatting_Equal(D95,P95))</f>
        <v>Ok</v>
      </c>
      <c r="W95" s="178" t="str" cm="1">
        <f t="array" aca="1" ref="W95" ca="1">_xll.d.TestUtils_IsTrue(_xll.d.Formatting_Equal(E95,Q95))</f>
        <v>Ok</v>
      </c>
      <c r="X95" s="178" t="str" cm="1">
        <f t="array" aca="1" ref="X95" ca="1">_xll.d.TestUtils_IsTrue(_xll.d.Formatting_Equal(F95,R95))</f>
        <v>Ok</v>
      </c>
    </row>
    <row r="96" spans="2:24" x14ac:dyDescent="0.25">
      <c r="B96" s="581"/>
      <c r="C96" s="181" t="s">
        <v>81</v>
      </c>
      <c r="D96" s="191">
        <v>0.3</v>
      </c>
      <c r="E96" s="170">
        <v>0.4</v>
      </c>
      <c r="F96" s="172">
        <v>0.5</v>
      </c>
      <c r="H96" s="96"/>
      <c r="I96" s="96" t="s">
        <v>81</v>
      </c>
      <c r="J96" s="130">
        <v>0.3</v>
      </c>
      <c r="K96" s="130">
        <v>0.4</v>
      </c>
      <c r="L96" s="130">
        <v>0.5</v>
      </c>
      <c r="N96" s="581"/>
      <c r="O96" s="181" t="s">
        <v>81</v>
      </c>
      <c r="P96" s="191">
        <v>0.3</v>
      </c>
      <c r="Q96" s="170">
        <v>0.4</v>
      </c>
      <c r="R96" s="172">
        <v>0.5</v>
      </c>
      <c r="T96" s="178" t="str" cm="1">
        <f t="array" aca="1" ref="T96" ca="1">_xll.d.TestUtils_IsTrue(_xll.d.Formatting_Equal(B96,N96))</f>
        <v>Ok</v>
      </c>
      <c r="U96" s="178" t="str" cm="1">
        <f t="array" aca="1" ref="U96" ca="1">_xll.d.TestUtils_IsTrue(_xll.d.Formatting_Equal(C96,O96))</f>
        <v>Ok</v>
      </c>
      <c r="V96" s="178" t="str" cm="1">
        <f t="array" aca="1" ref="V96" ca="1">_xll.d.TestUtils_IsTrue(_xll.d.Formatting_Equal(D96,P96))</f>
        <v>Ok</v>
      </c>
      <c r="W96" s="178" t="str" cm="1">
        <f t="array" aca="1" ref="W96" ca="1">_xll.d.TestUtils_IsTrue(_xll.d.Formatting_Equal(E96,Q96))</f>
        <v>Ok</v>
      </c>
      <c r="X96" s="178" t="str" cm="1">
        <f t="array" aca="1" ref="X96" ca="1">_xll.d.TestUtils_IsTrue(_xll.d.Formatting_Equal(F96,R96))</f>
        <v>Ok</v>
      </c>
    </row>
    <row r="97" spans="2:55" x14ac:dyDescent="0.25">
      <c r="B97" s="581"/>
      <c r="C97" s="181" t="s">
        <v>100</v>
      </c>
      <c r="D97" s="191">
        <v>0.3</v>
      </c>
      <c r="E97" s="170">
        <v>0.4</v>
      </c>
      <c r="F97" s="172">
        <v>0.5</v>
      </c>
      <c r="H97" s="96"/>
      <c r="I97" s="96" t="s">
        <v>100</v>
      </c>
      <c r="J97" s="130">
        <v>0.3</v>
      </c>
      <c r="K97" s="130">
        <v>0.4</v>
      </c>
      <c r="L97" s="130">
        <v>0.5</v>
      </c>
      <c r="N97" s="581"/>
      <c r="O97" s="181" t="s">
        <v>100</v>
      </c>
      <c r="P97" s="191">
        <v>0.3</v>
      </c>
      <c r="Q97" s="170">
        <v>0.4</v>
      </c>
      <c r="R97" s="172">
        <v>0.5</v>
      </c>
      <c r="T97" s="178" t="str" cm="1">
        <f t="array" aca="1" ref="T97" ca="1">_xll.d.TestUtils_IsTrue(_xll.d.Formatting_Equal(B97,N97))</f>
        <v>Ok</v>
      </c>
      <c r="U97" s="178" t="str" cm="1">
        <f t="array" aca="1" ref="U97" ca="1">_xll.d.TestUtils_IsTrue(_xll.d.Formatting_Equal(C97,O97))</f>
        <v>Ok</v>
      </c>
      <c r="V97" s="178" t="str" cm="1">
        <f t="array" aca="1" ref="V97" ca="1">_xll.d.TestUtils_IsTrue(_xll.d.Formatting_Equal(D97,P97))</f>
        <v>Ok</v>
      </c>
      <c r="W97" s="178" t="str" cm="1">
        <f t="array" aca="1" ref="W97" ca="1">_xll.d.TestUtils_IsTrue(_xll.d.Formatting_Equal(E97,Q97))</f>
        <v>Ok</v>
      </c>
      <c r="X97" s="178" t="str" cm="1">
        <f t="array" aca="1" ref="X97" ca="1">_xll.d.TestUtils_IsTrue(_xll.d.Formatting_Equal(F97,R97))</f>
        <v>Ok</v>
      </c>
    </row>
    <row r="98" spans="2:55" x14ac:dyDescent="0.25">
      <c r="B98" s="581"/>
      <c r="C98" s="181" t="s">
        <v>24</v>
      </c>
      <c r="D98" s="191">
        <v>0.3</v>
      </c>
      <c r="E98" s="170">
        <v>0.4</v>
      </c>
      <c r="F98" s="172">
        <v>0.5</v>
      </c>
      <c r="H98" s="96"/>
      <c r="I98" s="96" t="s">
        <v>24</v>
      </c>
      <c r="J98" s="130">
        <v>0.3</v>
      </c>
      <c r="K98" s="130">
        <v>0.4</v>
      </c>
      <c r="L98" s="130">
        <v>0.5</v>
      </c>
      <c r="N98" s="581"/>
      <c r="O98" s="181" t="s">
        <v>24</v>
      </c>
      <c r="P98" s="191">
        <v>0.3</v>
      </c>
      <c r="Q98" s="170">
        <v>0.4</v>
      </c>
      <c r="R98" s="172">
        <v>0.5</v>
      </c>
      <c r="T98" s="178" t="str" cm="1">
        <f t="array" aca="1" ref="T98" ca="1">_xll.d.TestUtils_IsTrue(_xll.d.Formatting_Equal(B98,N98))</f>
        <v>Ok</v>
      </c>
      <c r="U98" s="178" t="str" cm="1">
        <f t="array" aca="1" ref="U98" ca="1">_xll.d.TestUtils_IsTrue(_xll.d.Formatting_Equal(C98,O98))</f>
        <v>Ok</v>
      </c>
      <c r="V98" s="178" t="str" cm="1">
        <f t="array" aca="1" ref="V98" ca="1">_xll.d.TestUtils_IsTrue(_xll.d.Formatting_Equal(D98,P98))</f>
        <v>Ok</v>
      </c>
      <c r="W98" s="178" t="str" cm="1">
        <f t="array" aca="1" ref="W98" ca="1">_xll.d.TestUtils_IsTrue(_xll.d.Formatting_Equal(E98,Q98))</f>
        <v>Ok</v>
      </c>
      <c r="X98" s="178" t="str" cm="1">
        <f t="array" aca="1" ref="X98" ca="1">_xll.d.TestUtils_IsTrue(_xll.d.Formatting_Equal(F98,R98))</f>
        <v>Ok</v>
      </c>
    </row>
    <row r="99" spans="2:55" x14ac:dyDescent="0.25">
      <c r="B99" s="581"/>
      <c r="C99" s="181" t="s">
        <v>39</v>
      </c>
      <c r="D99" s="191">
        <v>0.3</v>
      </c>
      <c r="E99" s="170">
        <v>0.4</v>
      </c>
      <c r="F99" s="172">
        <v>0.5</v>
      </c>
      <c r="H99" s="96"/>
      <c r="I99" s="96" t="s">
        <v>39</v>
      </c>
      <c r="J99" s="130">
        <v>0.3</v>
      </c>
      <c r="K99" s="130">
        <v>0.4</v>
      </c>
      <c r="L99" s="130">
        <v>0.5</v>
      </c>
      <c r="N99" s="581"/>
      <c r="O99" s="181" t="s">
        <v>39</v>
      </c>
      <c r="P99" s="191">
        <v>0.3</v>
      </c>
      <c r="Q99" s="170">
        <v>0.4</v>
      </c>
      <c r="R99" s="172">
        <v>0.5</v>
      </c>
      <c r="T99" s="178" t="str" cm="1">
        <f t="array" aca="1" ref="T99" ca="1">_xll.d.TestUtils_IsTrue(_xll.d.Formatting_Equal(B99,N99))</f>
        <v>Ok</v>
      </c>
      <c r="U99" s="178" t="str" cm="1">
        <f t="array" aca="1" ref="U99" ca="1">_xll.d.TestUtils_IsTrue(_xll.d.Formatting_Equal(C99,O99))</f>
        <v>Ok</v>
      </c>
      <c r="V99" s="178" t="str" cm="1">
        <f t="array" aca="1" ref="V99" ca="1">_xll.d.TestUtils_IsTrue(_xll.d.Formatting_Equal(D99,P99))</f>
        <v>Ok</v>
      </c>
      <c r="W99" s="178" t="str" cm="1">
        <f t="array" aca="1" ref="W99" ca="1">_xll.d.TestUtils_IsTrue(_xll.d.Formatting_Equal(E99,Q99))</f>
        <v>Ok</v>
      </c>
      <c r="X99" s="178" t="str" cm="1">
        <f t="array" aca="1" ref="X99" ca="1">_xll.d.TestUtils_IsTrue(_xll.d.Formatting_Equal(F99,R99))</f>
        <v>Ok</v>
      </c>
    </row>
    <row r="100" spans="2:55" x14ac:dyDescent="0.25">
      <c r="B100" s="581"/>
      <c r="C100" s="181" t="s">
        <v>101</v>
      </c>
      <c r="D100" s="191">
        <v>0.3</v>
      </c>
      <c r="E100" s="170">
        <v>0.4</v>
      </c>
      <c r="F100" s="172">
        <v>0.5</v>
      </c>
      <c r="H100" s="96"/>
      <c r="I100" s="96" t="s">
        <v>101</v>
      </c>
      <c r="J100" s="130">
        <v>0.3</v>
      </c>
      <c r="K100" s="130">
        <v>0.4</v>
      </c>
      <c r="L100" s="130">
        <v>0.5</v>
      </c>
      <c r="N100" s="581"/>
      <c r="O100" s="181" t="s">
        <v>101</v>
      </c>
      <c r="P100" s="191">
        <v>0.3</v>
      </c>
      <c r="Q100" s="170">
        <v>0.4</v>
      </c>
      <c r="R100" s="172">
        <v>0.5</v>
      </c>
      <c r="T100" s="178" t="str" cm="1">
        <f t="array" aca="1" ref="T100" ca="1">_xll.d.TestUtils_IsTrue(_xll.d.Formatting_Equal(B100,N100))</f>
        <v>Ok</v>
      </c>
      <c r="U100" s="178" t="str" cm="1">
        <f t="array" aca="1" ref="U100" ca="1">_xll.d.TestUtils_IsTrue(_xll.d.Formatting_Equal(C100,O100))</f>
        <v>Ok</v>
      </c>
      <c r="V100" s="178" t="str" cm="1">
        <f t="array" aca="1" ref="V100" ca="1">_xll.d.TestUtils_IsTrue(_xll.d.Formatting_Equal(D100,P100))</f>
        <v>Ok</v>
      </c>
      <c r="W100" s="178" t="str" cm="1">
        <f t="array" aca="1" ref="W100" ca="1">_xll.d.TestUtils_IsTrue(_xll.d.Formatting_Equal(E100,Q100))</f>
        <v>Ok</v>
      </c>
      <c r="X100" s="178" t="str" cm="1">
        <f t="array" aca="1" ref="X100" ca="1">_xll.d.TestUtils_IsTrue(_xll.d.Formatting_Equal(F100,R100))</f>
        <v>Ok</v>
      </c>
    </row>
    <row r="101" spans="2:55" x14ac:dyDescent="0.25">
      <c r="B101" s="581"/>
      <c r="C101" s="181" t="s">
        <v>93</v>
      </c>
      <c r="D101" s="191">
        <v>0.3</v>
      </c>
      <c r="E101" s="170">
        <v>0.4</v>
      </c>
      <c r="F101" s="172">
        <v>0.5</v>
      </c>
      <c r="H101" s="96"/>
      <c r="I101" s="96" t="s">
        <v>93</v>
      </c>
      <c r="J101" s="130">
        <v>0.3</v>
      </c>
      <c r="K101" s="130">
        <v>0.4</v>
      </c>
      <c r="L101" s="130">
        <v>0.5</v>
      </c>
      <c r="N101" s="581"/>
      <c r="O101" s="181" t="s">
        <v>93</v>
      </c>
      <c r="P101" s="191">
        <v>0.3</v>
      </c>
      <c r="Q101" s="170">
        <v>0.4</v>
      </c>
      <c r="R101" s="172">
        <v>0.5</v>
      </c>
      <c r="T101" s="178" t="str" cm="1">
        <f t="array" aca="1" ref="T101" ca="1">_xll.d.TestUtils_IsTrue(_xll.d.Formatting_Equal(B101,N101))</f>
        <v>Ok</v>
      </c>
      <c r="U101" s="178" t="str" cm="1">
        <f t="array" aca="1" ref="U101" ca="1">_xll.d.TestUtils_IsTrue(_xll.d.Formatting_Equal(C101,O101))</f>
        <v>Ok</v>
      </c>
      <c r="V101" s="178" t="str" cm="1">
        <f t="array" aca="1" ref="V101" ca="1">_xll.d.TestUtils_IsTrue(_xll.d.Formatting_Equal(D101,P101))</f>
        <v>Ok</v>
      </c>
      <c r="W101" s="178" t="str" cm="1">
        <f t="array" aca="1" ref="W101" ca="1">_xll.d.TestUtils_IsTrue(_xll.d.Formatting_Equal(E101,Q101))</f>
        <v>Ok</v>
      </c>
      <c r="X101" s="178" t="str" cm="1">
        <f t="array" aca="1" ref="X101" ca="1">_xll.d.TestUtils_IsTrue(_xll.d.Formatting_Equal(F101,R101))</f>
        <v>Ok</v>
      </c>
    </row>
    <row r="102" spans="2:55" x14ac:dyDescent="0.25">
      <c r="B102" s="581"/>
      <c r="C102" s="181" t="s">
        <v>103</v>
      </c>
      <c r="D102" s="191">
        <v>0.3</v>
      </c>
      <c r="E102" s="170">
        <v>0.4</v>
      </c>
      <c r="F102" s="172">
        <v>0.5</v>
      </c>
      <c r="H102" s="96"/>
      <c r="I102" s="96" t="s">
        <v>103</v>
      </c>
      <c r="J102" s="130">
        <v>0.3</v>
      </c>
      <c r="K102" s="130">
        <v>0.4</v>
      </c>
      <c r="L102" s="130">
        <v>0.5</v>
      </c>
      <c r="N102" s="581"/>
      <c r="O102" s="181" t="s">
        <v>103</v>
      </c>
      <c r="P102" s="191">
        <v>0.3</v>
      </c>
      <c r="Q102" s="170">
        <v>0.4</v>
      </c>
      <c r="R102" s="172">
        <v>0.5</v>
      </c>
      <c r="T102" s="178" t="str" cm="1">
        <f t="array" aca="1" ref="T102" ca="1">_xll.d.TestUtils_IsTrue(_xll.d.Formatting_Equal(B102,N102))</f>
        <v>Ok</v>
      </c>
      <c r="U102" s="178" t="str" cm="1">
        <f t="array" aca="1" ref="U102" ca="1">_xll.d.TestUtils_IsTrue(_xll.d.Formatting_Equal(C102,O102))</f>
        <v>Ok</v>
      </c>
      <c r="V102" s="178" t="str" cm="1">
        <f t="array" aca="1" ref="V102" ca="1">_xll.d.TestUtils_IsTrue(_xll.d.Formatting_Equal(D102,P102))</f>
        <v>Ok</v>
      </c>
      <c r="W102" s="178" t="str" cm="1">
        <f t="array" aca="1" ref="W102" ca="1">_xll.d.TestUtils_IsTrue(_xll.d.Formatting_Equal(E102,Q102))</f>
        <v>Ok</v>
      </c>
      <c r="X102" s="178" t="str" cm="1">
        <f t="array" aca="1" ref="X102" ca="1">_xll.d.TestUtils_IsTrue(_xll.d.Formatting_Equal(F102,R102))</f>
        <v>Ok</v>
      </c>
    </row>
    <row r="103" spans="2:55" x14ac:dyDescent="0.25">
      <c r="B103" s="582"/>
      <c r="C103" s="182" t="s">
        <v>102</v>
      </c>
      <c r="D103" s="192">
        <v>0.3</v>
      </c>
      <c r="E103" s="171">
        <v>0.4</v>
      </c>
      <c r="F103" s="173">
        <v>0.5</v>
      </c>
      <c r="H103" s="96"/>
      <c r="I103" s="96" t="s">
        <v>102</v>
      </c>
      <c r="J103" s="130">
        <v>0.3</v>
      </c>
      <c r="K103" s="130">
        <v>0.4</v>
      </c>
      <c r="L103" s="130">
        <v>0.5</v>
      </c>
      <c r="N103" s="582"/>
      <c r="O103" s="182" t="s">
        <v>102</v>
      </c>
      <c r="P103" s="192">
        <v>0.3</v>
      </c>
      <c r="Q103" s="171">
        <v>0.4</v>
      </c>
      <c r="R103" s="173">
        <v>0.5</v>
      </c>
      <c r="T103" s="178" t="str" cm="1">
        <f t="array" aca="1" ref="T103" ca="1">_xll.d.TestUtils_IsTrue(_xll.d.Formatting_Equal(B103,N103))</f>
        <v>Ok</v>
      </c>
      <c r="U103" s="178" t="str" cm="1">
        <f t="array" aca="1" ref="U103" ca="1">_xll.d.TestUtils_IsTrue(_xll.d.Formatting_Equal(C103,O103))</f>
        <v>Ok</v>
      </c>
      <c r="V103" s="178" t="str" cm="1">
        <f t="array" aca="1" ref="V103" ca="1">_xll.d.TestUtils_IsTrue(_xll.d.Formatting_Equal(D103,P103))</f>
        <v>Ok</v>
      </c>
      <c r="W103" s="178" t="str" cm="1">
        <f t="array" aca="1" ref="W103" ca="1">_xll.d.TestUtils_IsTrue(_xll.d.Formatting_Equal(E103,Q103))</f>
        <v>Ok</v>
      </c>
      <c r="X103" s="178" t="str" cm="1">
        <f t="array" aca="1" ref="X103" ca="1">_xll.d.TestUtils_IsTrue(_xll.d.Formatting_Equal(F103,R103))</f>
        <v>Ok</v>
      </c>
    </row>
    <row r="106" spans="2:55" ht="18.75" x14ac:dyDescent="0.3">
      <c r="B106" s="3" t="s">
        <v>117</v>
      </c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</row>
    <row r="108" spans="2:55" x14ac:dyDescent="0.25">
      <c r="B108" s="59" t="s">
        <v>130</v>
      </c>
      <c r="C108" s="178" t="str" cm="1">
        <f t="array" aca="1" ref="C108" ca="1">_xll.d.TestUtils_And(T123:X139)</f>
        <v>Ok</v>
      </c>
    </row>
    <row r="110" spans="2:55" x14ac:dyDescent="0.25">
      <c r="B110" s="59" t="s">
        <v>112</v>
      </c>
      <c r="C110" s="59" t="s">
        <v>32</v>
      </c>
    </row>
    <row r="111" spans="2:55" x14ac:dyDescent="0.25">
      <c r="B111" s="94" t="s">
        <v>107</v>
      </c>
      <c r="C111" s="95" t="s">
        <v>125</v>
      </c>
    </row>
    <row r="112" spans="2:55" x14ac:dyDescent="0.25">
      <c r="B112" s="88" t="s">
        <v>108</v>
      </c>
      <c r="C112" s="89" t="s">
        <v>0</v>
      </c>
    </row>
    <row r="113" spans="2:24" x14ac:dyDescent="0.25">
      <c r="B113" s="90"/>
      <c r="C113" s="91" t="s">
        <v>109</v>
      </c>
    </row>
    <row r="114" spans="2:24" x14ac:dyDescent="0.25">
      <c r="B114" s="92"/>
      <c r="C114" s="93" t="s">
        <v>110</v>
      </c>
    </row>
    <row r="115" spans="2:24" x14ac:dyDescent="0.25">
      <c r="B115" s="159" t="s">
        <v>125</v>
      </c>
      <c r="C115" s="165">
        <v>0</v>
      </c>
    </row>
    <row r="116" spans="2:24" x14ac:dyDescent="0.25">
      <c r="B116" s="159" t="s">
        <v>126</v>
      </c>
      <c r="C116" s="165">
        <v>2</v>
      </c>
    </row>
    <row r="117" spans="2:24" x14ac:dyDescent="0.25">
      <c r="B117" s="145" t="s">
        <v>115</v>
      </c>
      <c r="C117" s="146"/>
    </row>
    <row r="119" spans="2:24" x14ac:dyDescent="0.25">
      <c r="B119" t="s">
        <v>116</v>
      </c>
    </row>
    <row r="121" spans="2:24" x14ac:dyDescent="0.25">
      <c r="B121" s="68" t="s">
        <v>89</v>
      </c>
      <c r="H121" s="68" t="s">
        <v>105</v>
      </c>
      <c r="N121" s="68" t="s">
        <v>106</v>
      </c>
      <c r="T121" s="68" t="s">
        <v>131</v>
      </c>
    </row>
    <row r="123" spans="2:24" ht="15" customHeight="1" x14ac:dyDescent="0.25">
      <c r="B123" s="148" t="s">
        <v>94</v>
      </c>
      <c r="C123" s="148" t="s">
        <v>34</v>
      </c>
      <c r="D123" s="148">
        <v>44562</v>
      </c>
      <c r="E123" s="148">
        <v>44593</v>
      </c>
      <c r="F123" s="148">
        <v>44621</v>
      </c>
      <c r="H123" s="584" t="s">
        <v>94</v>
      </c>
      <c r="I123" s="97" t="s">
        <v>34</v>
      </c>
      <c r="J123" s="80">
        <v>44562</v>
      </c>
      <c r="K123" s="82">
        <v>44593</v>
      </c>
      <c r="L123" s="100">
        <v>44621</v>
      </c>
      <c r="N123" s="148" t="s">
        <v>94</v>
      </c>
      <c r="O123" s="148" t="s">
        <v>34</v>
      </c>
      <c r="P123" s="148">
        <v>44562</v>
      </c>
      <c r="Q123" s="148">
        <v>44593</v>
      </c>
      <c r="R123" s="148">
        <v>44621</v>
      </c>
      <c r="T123" s="178" t="str" cm="1">
        <f t="array" aca="1" ref="T123" ca="1">_xll.d.TestUtils_IsTrue(_xll.d.Formatting_Equal(B123,N123))</f>
        <v>Ok</v>
      </c>
      <c r="U123" s="178" t="str" cm="1">
        <f t="array" aca="1" ref="U123" ca="1">_xll.d.TestUtils_IsTrue(_xll.d.Formatting_Equal(C123,O123))</f>
        <v>Ok</v>
      </c>
      <c r="V123" s="178" t="str" cm="1">
        <f t="array" aca="1" ref="V123" ca="1">_xll.d.TestUtils_IsTrue(_xll.d.Formatting_Equal(D123,P123))</f>
        <v>Ok</v>
      </c>
      <c r="W123" s="178" t="str" cm="1">
        <f t="array" aca="1" ref="W123" ca="1">_xll.d.TestUtils_IsTrue(_xll.d.Formatting_Equal(E123,Q123))</f>
        <v>Ok</v>
      </c>
      <c r="X123" s="178" t="str" cm="1">
        <f t="array" aca="1" ref="X123" ca="1">_xll.d.TestUtils_IsTrue(_xll.d.Formatting_Equal(F123,R123))</f>
        <v>Ok</v>
      </c>
    </row>
    <row r="124" spans="2:24" x14ac:dyDescent="0.25">
      <c r="B124" s="149"/>
      <c r="C124" s="148" t="s">
        <v>0</v>
      </c>
      <c r="D124" s="148">
        <v>44562</v>
      </c>
      <c r="E124" s="148">
        <v>44593</v>
      </c>
      <c r="F124" s="148">
        <v>44621</v>
      </c>
      <c r="H124" s="585"/>
      <c r="I124" s="98" t="s">
        <v>0</v>
      </c>
      <c r="J124" s="81">
        <v>44562</v>
      </c>
      <c r="K124" s="83">
        <v>44593</v>
      </c>
      <c r="L124" s="101">
        <v>44621</v>
      </c>
      <c r="N124" s="149"/>
      <c r="O124" s="148" t="s">
        <v>0</v>
      </c>
      <c r="P124" s="148">
        <v>44562</v>
      </c>
      <c r="Q124" s="148">
        <v>44593</v>
      </c>
      <c r="R124" s="148">
        <v>44621</v>
      </c>
      <c r="T124" s="178" t="str" cm="1">
        <f t="array" aca="1" ref="T124" ca="1">_xll.d.TestUtils_IsTrue(_xll.d.Formatting_Equal(B124,N124))</f>
        <v>Ok</v>
      </c>
      <c r="U124" s="178" t="str" cm="1">
        <f t="array" aca="1" ref="U124" ca="1">_xll.d.TestUtils_IsTrue(_xll.d.Formatting_Equal(C124,O124))</f>
        <v>Ok</v>
      </c>
      <c r="V124" s="178" t="str" cm="1">
        <f t="array" aca="1" ref="V124" ca="1">_xll.d.TestUtils_IsTrue(_xll.d.Formatting_Equal(D124,P124))</f>
        <v>Ok</v>
      </c>
      <c r="W124" s="178" t="str" cm="1">
        <f t="array" aca="1" ref="W124" ca="1">_xll.d.TestUtils_IsTrue(_xll.d.Formatting_Equal(E124,Q124))</f>
        <v>Ok</v>
      </c>
      <c r="X124" s="178" t="str" cm="1">
        <f t="array" aca="1" ref="X124" ca="1">_xll.d.TestUtils_IsTrue(_xll.d.Formatting_Equal(F124,R124))</f>
        <v>Ok</v>
      </c>
    </row>
    <row r="125" spans="2:24" x14ac:dyDescent="0.25">
      <c r="B125" s="149"/>
      <c r="C125" s="148" t="s">
        <v>95</v>
      </c>
      <c r="D125" s="149">
        <v>1000</v>
      </c>
      <c r="E125" s="149">
        <v>2000</v>
      </c>
      <c r="F125" s="149">
        <v>3000</v>
      </c>
      <c r="H125" s="585"/>
      <c r="I125" s="98" t="s">
        <v>95</v>
      </c>
      <c r="J125" s="102">
        <v>1000</v>
      </c>
      <c r="K125" s="84">
        <v>2000</v>
      </c>
      <c r="L125" s="103">
        <v>3000</v>
      </c>
      <c r="N125" s="149"/>
      <c r="O125" s="148" t="s">
        <v>95</v>
      </c>
      <c r="P125" s="149">
        <v>1000</v>
      </c>
      <c r="Q125" s="149">
        <v>2000</v>
      </c>
      <c r="R125" s="149">
        <v>3000</v>
      </c>
      <c r="T125" s="178" t="str" cm="1">
        <f t="array" aca="1" ref="T125" ca="1">_xll.d.TestUtils_IsTrue(_xll.d.Formatting_Equal(B125,N125))</f>
        <v>Ok</v>
      </c>
      <c r="U125" s="178" t="str" cm="1">
        <f t="array" aca="1" ref="U125" ca="1">_xll.d.TestUtils_IsTrue(_xll.d.Formatting_Equal(C125,O125))</f>
        <v>Ok</v>
      </c>
      <c r="V125" s="178" t="str" cm="1">
        <f t="array" aca="1" ref="V125" ca="1">_xll.d.TestUtils_IsTrue(_xll.d.Formatting_Equal(D125,P125))</f>
        <v>Ok</v>
      </c>
      <c r="W125" s="178" t="str" cm="1">
        <f t="array" aca="1" ref="W125" ca="1">_xll.d.TestUtils_IsTrue(_xll.d.Formatting_Equal(E125,Q125))</f>
        <v>Ok</v>
      </c>
      <c r="X125" s="178" t="str" cm="1">
        <f t="array" aca="1" ref="X125" ca="1">_xll.d.TestUtils_IsTrue(_xll.d.Formatting_Equal(F125,R125))</f>
        <v>Ok</v>
      </c>
    </row>
    <row r="126" spans="2:24" x14ac:dyDescent="0.25">
      <c r="B126" s="149"/>
      <c r="C126" s="148" t="s">
        <v>96</v>
      </c>
      <c r="D126" s="149">
        <v>1000</v>
      </c>
      <c r="E126" s="149">
        <v>2000</v>
      </c>
      <c r="F126" s="149">
        <v>3000</v>
      </c>
      <c r="H126" s="585"/>
      <c r="I126" s="98" t="s">
        <v>96</v>
      </c>
      <c r="J126" s="102">
        <v>1000</v>
      </c>
      <c r="K126" s="84">
        <v>2000</v>
      </c>
      <c r="L126" s="103">
        <v>3000</v>
      </c>
      <c r="N126" s="149"/>
      <c r="O126" s="148" t="s">
        <v>96</v>
      </c>
      <c r="P126" s="149">
        <v>1000</v>
      </c>
      <c r="Q126" s="149">
        <v>2000</v>
      </c>
      <c r="R126" s="149">
        <v>3000</v>
      </c>
      <c r="T126" s="178" t="str" cm="1">
        <f t="array" aca="1" ref="T126" ca="1">_xll.d.TestUtils_IsTrue(_xll.d.Formatting_Equal(B126,N126))</f>
        <v>Ok</v>
      </c>
      <c r="U126" s="178" t="str" cm="1">
        <f t="array" aca="1" ref="U126" ca="1">_xll.d.TestUtils_IsTrue(_xll.d.Formatting_Equal(C126,O126))</f>
        <v>Ok</v>
      </c>
      <c r="V126" s="178" t="str" cm="1">
        <f t="array" aca="1" ref="V126" ca="1">_xll.d.TestUtils_IsTrue(_xll.d.Formatting_Equal(D126,P126))</f>
        <v>Ok</v>
      </c>
      <c r="W126" s="178" t="str" cm="1">
        <f t="array" aca="1" ref="W126" ca="1">_xll.d.TestUtils_IsTrue(_xll.d.Formatting_Equal(E126,Q126))</f>
        <v>Ok</v>
      </c>
      <c r="X126" s="178" t="str" cm="1">
        <f t="array" aca="1" ref="X126" ca="1">_xll.d.TestUtils_IsTrue(_xll.d.Formatting_Equal(F126,R126))</f>
        <v>Ok</v>
      </c>
    </row>
    <row r="127" spans="2:24" x14ac:dyDescent="0.25">
      <c r="B127" s="149"/>
      <c r="C127" s="148" t="s">
        <v>97</v>
      </c>
      <c r="D127" s="149">
        <v>1000</v>
      </c>
      <c r="E127" s="149">
        <v>2000</v>
      </c>
      <c r="F127" s="149">
        <v>3000</v>
      </c>
      <c r="H127" s="585"/>
      <c r="I127" s="98" t="s">
        <v>97</v>
      </c>
      <c r="J127" s="102">
        <v>1000</v>
      </c>
      <c r="K127" s="84">
        <v>2000</v>
      </c>
      <c r="L127" s="103">
        <v>3000</v>
      </c>
      <c r="N127" s="149"/>
      <c r="O127" s="148" t="s">
        <v>97</v>
      </c>
      <c r="P127" s="149">
        <v>1000</v>
      </c>
      <c r="Q127" s="149">
        <v>2000</v>
      </c>
      <c r="R127" s="149">
        <v>3000</v>
      </c>
      <c r="T127" s="178" t="str" cm="1">
        <f t="array" aca="1" ref="T127" ca="1">_xll.d.TestUtils_IsTrue(_xll.d.Formatting_Equal(B127,N127))</f>
        <v>Ok</v>
      </c>
      <c r="U127" s="178" t="str" cm="1">
        <f t="array" aca="1" ref="U127" ca="1">_xll.d.TestUtils_IsTrue(_xll.d.Formatting_Equal(C127,O127))</f>
        <v>Ok</v>
      </c>
      <c r="V127" s="178" t="str" cm="1">
        <f t="array" aca="1" ref="V127" ca="1">_xll.d.TestUtils_IsTrue(_xll.d.Formatting_Equal(D127,P127))</f>
        <v>Ok</v>
      </c>
      <c r="W127" s="178" t="str" cm="1">
        <f t="array" aca="1" ref="W127" ca="1">_xll.d.TestUtils_IsTrue(_xll.d.Formatting_Equal(E127,Q127))</f>
        <v>Ok</v>
      </c>
      <c r="X127" s="178" t="str" cm="1">
        <f t="array" aca="1" ref="X127" ca="1">_xll.d.TestUtils_IsTrue(_xll.d.Formatting_Equal(F127,R127))</f>
        <v>Ok</v>
      </c>
    </row>
    <row r="128" spans="2:24" x14ac:dyDescent="0.25">
      <c r="B128" s="149"/>
      <c r="C128" s="148" t="s">
        <v>98</v>
      </c>
      <c r="D128" s="149">
        <v>1000</v>
      </c>
      <c r="E128" s="149">
        <v>2000</v>
      </c>
      <c r="F128" s="149">
        <v>3000</v>
      </c>
      <c r="H128" s="585"/>
      <c r="I128" s="98" t="s">
        <v>98</v>
      </c>
      <c r="J128" s="102">
        <v>1000</v>
      </c>
      <c r="K128" s="84">
        <v>2000</v>
      </c>
      <c r="L128" s="103">
        <v>3000</v>
      </c>
      <c r="N128" s="149"/>
      <c r="O128" s="148" t="s">
        <v>98</v>
      </c>
      <c r="P128" s="149">
        <v>1000</v>
      </c>
      <c r="Q128" s="149">
        <v>2000</v>
      </c>
      <c r="R128" s="149">
        <v>3000</v>
      </c>
      <c r="T128" s="178" t="str" cm="1">
        <f t="array" aca="1" ref="T128" ca="1">_xll.d.TestUtils_IsTrue(_xll.d.Formatting_Equal(B128,N128))</f>
        <v>Ok</v>
      </c>
      <c r="U128" s="178" t="str" cm="1">
        <f t="array" aca="1" ref="U128" ca="1">_xll.d.TestUtils_IsTrue(_xll.d.Formatting_Equal(C128,O128))</f>
        <v>Ok</v>
      </c>
      <c r="V128" s="178" t="str" cm="1">
        <f t="array" aca="1" ref="V128" ca="1">_xll.d.TestUtils_IsTrue(_xll.d.Formatting_Equal(D128,P128))</f>
        <v>Ok</v>
      </c>
      <c r="W128" s="178" t="str" cm="1">
        <f t="array" aca="1" ref="W128" ca="1">_xll.d.TestUtils_IsTrue(_xll.d.Formatting_Equal(E128,Q128))</f>
        <v>Ok</v>
      </c>
      <c r="X128" s="178" t="str" cm="1">
        <f t="array" aca="1" ref="X128" ca="1">_xll.d.TestUtils_IsTrue(_xll.d.Formatting_Equal(F128,R128))</f>
        <v>Ok</v>
      </c>
    </row>
    <row r="129" spans="2:55" x14ac:dyDescent="0.25">
      <c r="B129" s="149"/>
      <c r="C129" s="148" t="s">
        <v>99</v>
      </c>
      <c r="D129" s="148">
        <v>0.3</v>
      </c>
      <c r="E129" s="148">
        <v>0.4</v>
      </c>
      <c r="F129" s="148">
        <v>0.5</v>
      </c>
      <c r="H129" s="585"/>
      <c r="I129" s="98" t="s">
        <v>99</v>
      </c>
      <c r="J129" s="104">
        <v>0.3</v>
      </c>
      <c r="K129" s="85">
        <v>0.4</v>
      </c>
      <c r="L129" s="78">
        <v>0.5</v>
      </c>
      <c r="N129" s="149"/>
      <c r="O129" s="148" t="s">
        <v>99</v>
      </c>
      <c r="P129" s="148">
        <v>0.3</v>
      </c>
      <c r="Q129" s="148">
        <v>0.4</v>
      </c>
      <c r="R129" s="148">
        <v>0.5</v>
      </c>
      <c r="T129" s="178" t="str" cm="1">
        <f t="array" aca="1" ref="T129" ca="1">_xll.d.TestUtils_IsTrue(_xll.d.Formatting_Equal(B129,N129))</f>
        <v>Ok</v>
      </c>
      <c r="U129" s="178" t="str" cm="1">
        <f t="array" aca="1" ref="U129" ca="1">_xll.d.TestUtils_IsTrue(_xll.d.Formatting_Equal(C129,O129))</f>
        <v>Ok</v>
      </c>
      <c r="V129" s="178" t="str" cm="1">
        <f t="array" aca="1" ref="V129" ca="1">_xll.d.TestUtils_IsTrue(_xll.d.Formatting_Equal(D129,P129))</f>
        <v>Ok</v>
      </c>
      <c r="W129" s="178" t="str" cm="1">
        <f t="array" aca="1" ref="W129" ca="1">_xll.d.TestUtils_IsTrue(_xll.d.Formatting_Equal(E129,Q129))</f>
        <v>Ok</v>
      </c>
      <c r="X129" s="178" t="str" cm="1">
        <f t="array" aca="1" ref="X129" ca="1">_xll.d.TestUtils_IsTrue(_xll.d.Formatting_Equal(F129,R129))</f>
        <v>Ok</v>
      </c>
    </row>
    <row r="130" spans="2:55" x14ac:dyDescent="0.25">
      <c r="B130" s="149"/>
      <c r="C130" s="148" t="s">
        <v>79</v>
      </c>
      <c r="D130" s="148">
        <v>0.3</v>
      </c>
      <c r="E130" s="148">
        <v>0.4</v>
      </c>
      <c r="F130" s="148">
        <v>0.5</v>
      </c>
      <c r="H130" s="585"/>
      <c r="I130" s="98" t="s">
        <v>79</v>
      </c>
      <c r="J130" s="104">
        <v>0.3</v>
      </c>
      <c r="K130" s="85">
        <v>0.4</v>
      </c>
      <c r="L130" s="78">
        <v>0.5</v>
      </c>
      <c r="N130" s="149"/>
      <c r="O130" s="148" t="s">
        <v>79</v>
      </c>
      <c r="P130" s="148">
        <v>0.3</v>
      </c>
      <c r="Q130" s="148">
        <v>0.4</v>
      </c>
      <c r="R130" s="148">
        <v>0.5</v>
      </c>
      <c r="T130" s="178" t="str" cm="1">
        <f t="array" aca="1" ref="T130" ca="1">_xll.d.TestUtils_IsTrue(_xll.d.Formatting_Equal(B130,N130))</f>
        <v>Ok</v>
      </c>
      <c r="U130" s="178" t="str" cm="1">
        <f t="array" aca="1" ref="U130" ca="1">_xll.d.TestUtils_IsTrue(_xll.d.Formatting_Equal(C130,O130))</f>
        <v>Ok</v>
      </c>
      <c r="V130" s="178" t="str" cm="1">
        <f t="array" aca="1" ref="V130" ca="1">_xll.d.TestUtils_IsTrue(_xll.d.Formatting_Equal(D130,P130))</f>
        <v>Ok</v>
      </c>
      <c r="W130" s="178" t="str" cm="1">
        <f t="array" aca="1" ref="W130" ca="1">_xll.d.TestUtils_IsTrue(_xll.d.Formatting_Equal(E130,Q130))</f>
        <v>Ok</v>
      </c>
      <c r="X130" s="178" t="str" cm="1">
        <f t="array" aca="1" ref="X130" ca="1">_xll.d.TestUtils_IsTrue(_xll.d.Formatting_Equal(F130,R130))</f>
        <v>Ok</v>
      </c>
    </row>
    <row r="131" spans="2:55" x14ac:dyDescent="0.25">
      <c r="B131" s="149"/>
      <c r="C131" s="148" t="s">
        <v>80</v>
      </c>
      <c r="D131" s="148">
        <v>0.3</v>
      </c>
      <c r="E131" s="148">
        <v>0.4</v>
      </c>
      <c r="F131" s="148">
        <v>0.5</v>
      </c>
      <c r="H131" s="585"/>
      <c r="I131" s="98" t="s">
        <v>80</v>
      </c>
      <c r="J131" s="104">
        <v>0.3</v>
      </c>
      <c r="K131" s="85">
        <v>0.4</v>
      </c>
      <c r="L131" s="78">
        <v>0.5</v>
      </c>
      <c r="N131" s="149"/>
      <c r="O131" s="148" t="s">
        <v>80</v>
      </c>
      <c r="P131" s="148">
        <v>0.3</v>
      </c>
      <c r="Q131" s="148">
        <v>0.4</v>
      </c>
      <c r="R131" s="148">
        <v>0.5</v>
      </c>
      <c r="T131" s="178" t="str" cm="1">
        <f t="array" aca="1" ref="T131" ca="1">_xll.d.TestUtils_IsTrue(_xll.d.Formatting_Equal(B131,N131))</f>
        <v>Ok</v>
      </c>
      <c r="U131" s="178" t="str" cm="1">
        <f t="array" aca="1" ref="U131" ca="1">_xll.d.TestUtils_IsTrue(_xll.d.Formatting_Equal(C131,O131))</f>
        <v>Ok</v>
      </c>
      <c r="V131" s="178" t="str" cm="1">
        <f t="array" aca="1" ref="V131" ca="1">_xll.d.TestUtils_IsTrue(_xll.d.Formatting_Equal(D131,P131))</f>
        <v>Ok</v>
      </c>
      <c r="W131" s="178" t="str" cm="1">
        <f t="array" aca="1" ref="W131" ca="1">_xll.d.TestUtils_IsTrue(_xll.d.Formatting_Equal(E131,Q131))</f>
        <v>Ok</v>
      </c>
      <c r="X131" s="178" t="str" cm="1">
        <f t="array" aca="1" ref="X131" ca="1">_xll.d.TestUtils_IsTrue(_xll.d.Formatting_Equal(F131,R131))</f>
        <v>Ok</v>
      </c>
    </row>
    <row r="132" spans="2:55" x14ac:dyDescent="0.25">
      <c r="B132" s="149"/>
      <c r="C132" s="148" t="s">
        <v>81</v>
      </c>
      <c r="D132" s="148">
        <v>0.3</v>
      </c>
      <c r="E132" s="148">
        <v>0.4</v>
      </c>
      <c r="F132" s="148">
        <v>0.5</v>
      </c>
      <c r="H132" s="585"/>
      <c r="I132" s="98" t="s">
        <v>81</v>
      </c>
      <c r="J132" s="104">
        <v>0.3</v>
      </c>
      <c r="K132" s="85">
        <v>0.4</v>
      </c>
      <c r="L132" s="78">
        <v>0.5</v>
      </c>
      <c r="N132" s="149"/>
      <c r="O132" s="148" t="s">
        <v>81</v>
      </c>
      <c r="P132" s="148">
        <v>0.3</v>
      </c>
      <c r="Q132" s="148">
        <v>0.4</v>
      </c>
      <c r="R132" s="148">
        <v>0.5</v>
      </c>
      <c r="T132" s="178" t="str" cm="1">
        <f t="array" aca="1" ref="T132" ca="1">_xll.d.TestUtils_IsTrue(_xll.d.Formatting_Equal(B132,N132))</f>
        <v>Ok</v>
      </c>
      <c r="U132" s="178" t="str" cm="1">
        <f t="array" aca="1" ref="U132" ca="1">_xll.d.TestUtils_IsTrue(_xll.d.Formatting_Equal(C132,O132))</f>
        <v>Ok</v>
      </c>
      <c r="V132" s="178" t="str" cm="1">
        <f t="array" aca="1" ref="V132" ca="1">_xll.d.TestUtils_IsTrue(_xll.d.Formatting_Equal(D132,P132))</f>
        <v>Ok</v>
      </c>
      <c r="W132" s="178" t="str" cm="1">
        <f t="array" aca="1" ref="W132" ca="1">_xll.d.TestUtils_IsTrue(_xll.d.Formatting_Equal(E132,Q132))</f>
        <v>Ok</v>
      </c>
      <c r="X132" s="178" t="str" cm="1">
        <f t="array" aca="1" ref="X132" ca="1">_xll.d.TestUtils_IsTrue(_xll.d.Formatting_Equal(F132,R132))</f>
        <v>Ok</v>
      </c>
    </row>
    <row r="133" spans="2:55" x14ac:dyDescent="0.25">
      <c r="B133" s="149"/>
      <c r="C133" s="148" t="s">
        <v>100</v>
      </c>
      <c r="D133" s="148">
        <v>0.3</v>
      </c>
      <c r="E133" s="148">
        <v>0.4</v>
      </c>
      <c r="F133" s="148">
        <v>0.5</v>
      </c>
      <c r="H133" s="585"/>
      <c r="I133" s="98" t="s">
        <v>100</v>
      </c>
      <c r="J133" s="104">
        <v>0.3</v>
      </c>
      <c r="K133" s="85">
        <v>0.4</v>
      </c>
      <c r="L133" s="78">
        <v>0.5</v>
      </c>
      <c r="N133" s="149"/>
      <c r="O133" s="148" t="s">
        <v>100</v>
      </c>
      <c r="P133" s="148">
        <v>0.3</v>
      </c>
      <c r="Q133" s="148">
        <v>0.4</v>
      </c>
      <c r="R133" s="148">
        <v>0.5</v>
      </c>
      <c r="T133" s="178" t="str" cm="1">
        <f t="array" aca="1" ref="T133" ca="1">_xll.d.TestUtils_IsTrue(_xll.d.Formatting_Equal(B133,N133))</f>
        <v>Ok</v>
      </c>
      <c r="U133" s="178" t="str" cm="1">
        <f t="array" aca="1" ref="U133" ca="1">_xll.d.TestUtils_IsTrue(_xll.d.Formatting_Equal(C133,O133))</f>
        <v>Ok</v>
      </c>
      <c r="V133" s="178" t="str" cm="1">
        <f t="array" aca="1" ref="V133" ca="1">_xll.d.TestUtils_IsTrue(_xll.d.Formatting_Equal(D133,P133))</f>
        <v>Ok</v>
      </c>
      <c r="W133" s="178" t="str" cm="1">
        <f t="array" aca="1" ref="W133" ca="1">_xll.d.TestUtils_IsTrue(_xll.d.Formatting_Equal(E133,Q133))</f>
        <v>Ok</v>
      </c>
      <c r="X133" s="178" t="str" cm="1">
        <f t="array" aca="1" ref="X133" ca="1">_xll.d.TestUtils_IsTrue(_xll.d.Formatting_Equal(F133,R133))</f>
        <v>Ok</v>
      </c>
    </row>
    <row r="134" spans="2:55" x14ac:dyDescent="0.25">
      <c r="B134" s="149"/>
      <c r="C134" s="148" t="s">
        <v>24</v>
      </c>
      <c r="D134" s="148">
        <v>0.3</v>
      </c>
      <c r="E134" s="148">
        <v>0.4</v>
      </c>
      <c r="F134" s="148">
        <v>0.5</v>
      </c>
      <c r="H134" s="585"/>
      <c r="I134" s="98" t="s">
        <v>24</v>
      </c>
      <c r="J134" s="104">
        <v>0.3</v>
      </c>
      <c r="K134" s="85">
        <v>0.4</v>
      </c>
      <c r="L134" s="78">
        <v>0.5</v>
      </c>
      <c r="N134" s="149"/>
      <c r="O134" s="148" t="s">
        <v>24</v>
      </c>
      <c r="P134" s="148">
        <v>0.3</v>
      </c>
      <c r="Q134" s="148">
        <v>0.4</v>
      </c>
      <c r="R134" s="148">
        <v>0.5</v>
      </c>
      <c r="T134" s="178" t="str" cm="1">
        <f t="array" aca="1" ref="T134" ca="1">_xll.d.TestUtils_IsTrue(_xll.d.Formatting_Equal(B134,N134))</f>
        <v>Ok</v>
      </c>
      <c r="U134" s="178" t="str" cm="1">
        <f t="array" aca="1" ref="U134" ca="1">_xll.d.TestUtils_IsTrue(_xll.d.Formatting_Equal(C134,O134))</f>
        <v>Ok</v>
      </c>
      <c r="V134" s="178" t="str" cm="1">
        <f t="array" aca="1" ref="V134" ca="1">_xll.d.TestUtils_IsTrue(_xll.d.Formatting_Equal(D134,P134))</f>
        <v>Ok</v>
      </c>
      <c r="W134" s="178" t="str" cm="1">
        <f t="array" aca="1" ref="W134" ca="1">_xll.d.TestUtils_IsTrue(_xll.d.Formatting_Equal(E134,Q134))</f>
        <v>Ok</v>
      </c>
      <c r="X134" s="178" t="str" cm="1">
        <f t="array" aca="1" ref="X134" ca="1">_xll.d.TestUtils_IsTrue(_xll.d.Formatting_Equal(F134,R134))</f>
        <v>Ok</v>
      </c>
    </row>
    <row r="135" spans="2:55" x14ac:dyDescent="0.25">
      <c r="B135" s="149"/>
      <c r="C135" s="148" t="s">
        <v>39</v>
      </c>
      <c r="D135" s="148">
        <v>0.3</v>
      </c>
      <c r="E135" s="148">
        <v>0.4</v>
      </c>
      <c r="F135" s="148">
        <v>0.5</v>
      </c>
      <c r="H135" s="585"/>
      <c r="I135" s="98" t="s">
        <v>39</v>
      </c>
      <c r="J135" s="104">
        <v>0.3</v>
      </c>
      <c r="K135" s="85">
        <v>0.4</v>
      </c>
      <c r="L135" s="78">
        <v>0.5</v>
      </c>
      <c r="N135" s="149"/>
      <c r="O135" s="148" t="s">
        <v>39</v>
      </c>
      <c r="P135" s="148">
        <v>0.3</v>
      </c>
      <c r="Q135" s="148">
        <v>0.4</v>
      </c>
      <c r="R135" s="148">
        <v>0.5</v>
      </c>
      <c r="T135" s="178" t="str" cm="1">
        <f t="array" aca="1" ref="T135" ca="1">_xll.d.TestUtils_IsTrue(_xll.d.Formatting_Equal(B135,N135))</f>
        <v>Ok</v>
      </c>
      <c r="U135" s="178" t="str" cm="1">
        <f t="array" aca="1" ref="U135" ca="1">_xll.d.TestUtils_IsTrue(_xll.d.Formatting_Equal(C135,O135))</f>
        <v>Ok</v>
      </c>
      <c r="V135" s="178" t="str" cm="1">
        <f t="array" aca="1" ref="V135" ca="1">_xll.d.TestUtils_IsTrue(_xll.d.Formatting_Equal(D135,P135))</f>
        <v>Ok</v>
      </c>
      <c r="W135" s="178" t="str" cm="1">
        <f t="array" aca="1" ref="W135" ca="1">_xll.d.TestUtils_IsTrue(_xll.d.Formatting_Equal(E135,Q135))</f>
        <v>Ok</v>
      </c>
      <c r="X135" s="178" t="str" cm="1">
        <f t="array" aca="1" ref="X135" ca="1">_xll.d.TestUtils_IsTrue(_xll.d.Formatting_Equal(F135,R135))</f>
        <v>Ok</v>
      </c>
    </row>
    <row r="136" spans="2:55" x14ac:dyDescent="0.25">
      <c r="B136" s="149"/>
      <c r="C136" s="148" t="s">
        <v>101</v>
      </c>
      <c r="D136" s="148">
        <v>0.3</v>
      </c>
      <c r="E136" s="148">
        <v>0.4</v>
      </c>
      <c r="F136" s="148">
        <v>0.5</v>
      </c>
      <c r="H136" s="585"/>
      <c r="I136" s="98" t="s">
        <v>101</v>
      </c>
      <c r="J136" s="104">
        <v>0.3</v>
      </c>
      <c r="K136" s="85">
        <v>0.4</v>
      </c>
      <c r="L136" s="78">
        <v>0.5</v>
      </c>
      <c r="N136" s="149"/>
      <c r="O136" s="148" t="s">
        <v>101</v>
      </c>
      <c r="P136" s="148">
        <v>0.3</v>
      </c>
      <c r="Q136" s="148">
        <v>0.4</v>
      </c>
      <c r="R136" s="148">
        <v>0.5</v>
      </c>
      <c r="T136" s="178" t="str" cm="1">
        <f t="array" aca="1" ref="T136" ca="1">_xll.d.TestUtils_IsTrue(_xll.d.Formatting_Equal(B136,N136))</f>
        <v>Ok</v>
      </c>
      <c r="U136" s="178" t="str" cm="1">
        <f t="array" aca="1" ref="U136" ca="1">_xll.d.TestUtils_IsTrue(_xll.d.Formatting_Equal(C136,O136))</f>
        <v>Ok</v>
      </c>
      <c r="V136" s="178" t="str" cm="1">
        <f t="array" aca="1" ref="V136" ca="1">_xll.d.TestUtils_IsTrue(_xll.d.Formatting_Equal(D136,P136))</f>
        <v>Ok</v>
      </c>
      <c r="W136" s="178" t="str" cm="1">
        <f t="array" aca="1" ref="W136" ca="1">_xll.d.TestUtils_IsTrue(_xll.d.Formatting_Equal(E136,Q136))</f>
        <v>Ok</v>
      </c>
      <c r="X136" s="178" t="str" cm="1">
        <f t="array" aca="1" ref="X136" ca="1">_xll.d.TestUtils_IsTrue(_xll.d.Formatting_Equal(F136,R136))</f>
        <v>Ok</v>
      </c>
    </row>
    <row r="137" spans="2:55" x14ac:dyDescent="0.25">
      <c r="B137" s="149"/>
      <c r="C137" s="148" t="s">
        <v>93</v>
      </c>
      <c r="D137" s="148">
        <v>0.3</v>
      </c>
      <c r="E137" s="148">
        <v>0.4</v>
      </c>
      <c r="F137" s="148">
        <v>0.5</v>
      </c>
      <c r="H137" s="585"/>
      <c r="I137" s="98" t="s">
        <v>93</v>
      </c>
      <c r="J137" s="104">
        <v>0.3</v>
      </c>
      <c r="K137" s="85">
        <v>0.4</v>
      </c>
      <c r="L137" s="78">
        <v>0.5</v>
      </c>
      <c r="N137" s="149"/>
      <c r="O137" s="148" t="s">
        <v>93</v>
      </c>
      <c r="P137" s="148">
        <v>0.3</v>
      </c>
      <c r="Q137" s="148">
        <v>0.4</v>
      </c>
      <c r="R137" s="148">
        <v>0.5</v>
      </c>
      <c r="T137" s="178" t="str" cm="1">
        <f t="array" aca="1" ref="T137" ca="1">_xll.d.TestUtils_IsTrue(_xll.d.Formatting_Equal(B137,N137))</f>
        <v>Ok</v>
      </c>
      <c r="U137" s="178" t="str" cm="1">
        <f t="array" aca="1" ref="U137" ca="1">_xll.d.TestUtils_IsTrue(_xll.d.Formatting_Equal(C137,O137))</f>
        <v>Ok</v>
      </c>
      <c r="V137" s="178" t="str" cm="1">
        <f t="array" aca="1" ref="V137" ca="1">_xll.d.TestUtils_IsTrue(_xll.d.Formatting_Equal(D137,P137))</f>
        <v>Ok</v>
      </c>
      <c r="W137" s="178" t="str" cm="1">
        <f t="array" aca="1" ref="W137" ca="1">_xll.d.TestUtils_IsTrue(_xll.d.Formatting_Equal(E137,Q137))</f>
        <v>Ok</v>
      </c>
      <c r="X137" s="178" t="str" cm="1">
        <f t="array" aca="1" ref="X137" ca="1">_xll.d.TestUtils_IsTrue(_xll.d.Formatting_Equal(F137,R137))</f>
        <v>Ok</v>
      </c>
    </row>
    <row r="138" spans="2:55" x14ac:dyDescent="0.25">
      <c r="B138" s="149"/>
      <c r="C138" s="148" t="s">
        <v>103</v>
      </c>
      <c r="D138" s="148">
        <v>0.3</v>
      </c>
      <c r="E138" s="148">
        <v>0.4</v>
      </c>
      <c r="F138" s="148">
        <v>0.5</v>
      </c>
      <c r="H138" s="585"/>
      <c r="I138" s="98" t="s">
        <v>103</v>
      </c>
      <c r="J138" s="104">
        <v>0.3</v>
      </c>
      <c r="K138" s="85">
        <v>0.4</v>
      </c>
      <c r="L138" s="78">
        <v>0.5</v>
      </c>
      <c r="N138" s="149"/>
      <c r="O138" s="148" t="s">
        <v>103</v>
      </c>
      <c r="P138" s="148">
        <v>0.3</v>
      </c>
      <c r="Q138" s="148">
        <v>0.4</v>
      </c>
      <c r="R138" s="148">
        <v>0.5</v>
      </c>
      <c r="T138" s="178" t="str" cm="1">
        <f t="array" aca="1" ref="T138" ca="1">_xll.d.TestUtils_IsTrue(_xll.d.Formatting_Equal(B138,N138))</f>
        <v>Ok</v>
      </c>
      <c r="U138" s="178" t="str" cm="1">
        <f t="array" aca="1" ref="U138" ca="1">_xll.d.TestUtils_IsTrue(_xll.d.Formatting_Equal(C138,O138))</f>
        <v>Ok</v>
      </c>
      <c r="V138" s="178" t="str" cm="1">
        <f t="array" aca="1" ref="V138" ca="1">_xll.d.TestUtils_IsTrue(_xll.d.Formatting_Equal(D138,P138))</f>
        <v>Ok</v>
      </c>
      <c r="W138" s="178" t="str" cm="1">
        <f t="array" aca="1" ref="W138" ca="1">_xll.d.TestUtils_IsTrue(_xll.d.Formatting_Equal(E138,Q138))</f>
        <v>Ok</v>
      </c>
      <c r="X138" s="178" t="str" cm="1">
        <f t="array" aca="1" ref="X138" ca="1">_xll.d.TestUtils_IsTrue(_xll.d.Formatting_Equal(F138,R138))</f>
        <v>Ok</v>
      </c>
    </row>
    <row r="139" spans="2:55" x14ac:dyDescent="0.25">
      <c r="B139" s="149"/>
      <c r="C139" s="148" t="s">
        <v>102</v>
      </c>
      <c r="D139" s="148">
        <v>0.3</v>
      </c>
      <c r="E139" s="148">
        <v>0.4</v>
      </c>
      <c r="F139" s="148">
        <v>0.5</v>
      </c>
      <c r="H139" s="585"/>
      <c r="I139" s="99" t="s">
        <v>102</v>
      </c>
      <c r="J139" s="105">
        <v>0.3</v>
      </c>
      <c r="K139" s="86">
        <v>0.4</v>
      </c>
      <c r="L139" s="79">
        <v>0.5</v>
      </c>
      <c r="N139" s="149"/>
      <c r="O139" s="148" t="s">
        <v>102</v>
      </c>
      <c r="P139" s="148">
        <v>0.3</v>
      </c>
      <c r="Q139" s="148">
        <v>0.4</v>
      </c>
      <c r="R139" s="148">
        <v>0.5</v>
      </c>
      <c r="T139" s="178" t="str" cm="1">
        <f t="array" aca="1" ref="T139" ca="1">_xll.d.TestUtils_IsTrue(_xll.d.Formatting_Equal(B139,N139))</f>
        <v>Ok</v>
      </c>
      <c r="U139" s="178" t="str" cm="1">
        <f t="array" aca="1" ref="U139" ca="1">_xll.d.TestUtils_IsTrue(_xll.d.Formatting_Equal(C139,O139))</f>
        <v>Ok</v>
      </c>
      <c r="V139" s="178" t="str" cm="1">
        <f t="array" aca="1" ref="V139" ca="1">_xll.d.TestUtils_IsTrue(_xll.d.Formatting_Equal(D139,P139))</f>
        <v>Ok</v>
      </c>
      <c r="W139" s="178" t="str" cm="1">
        <f t="array" aca="1" ref="W139" ca="1">_xll.d.TestUtils_IsTrue(_xll.d.Formatting_Equal(E139,Q139))</f>
        <v>Ok</v>
      </c>
      <c r="X139" s="178" t="str" cm="1">
        <f t="array" aca="1" ref="X139" ca="1">_xll.d.TestUtils_IsTrue(_xll.d.Formatting_Equal(F139,R139))</f>
        <v>Ok</v>
      </c>
    </row>
    <row r="142" spans="2:55" ht="18.75" x14ac:dyDescent="0.3">
      <c r="B142" s="3" t="s">
        <v>122</v>
      </c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</row>
    <row r="144" spans="2:55" x14ac:dyDescent="0.25">
      <c r="B144" s="59" t="s">
        <v>130</v>
      </c>
      <c r="C144" s="178" t="str" cm="1">
        <f t="array" aca="1" ref="C144" ca="1">_xll.d.TestUtils_And(K157:L160)</f>
        <v>Ok</v>
      </c>
    </row>
    <row r="146" spans="2:12" x14ac:dyDescent="0.25">
      <c r="B146" s="59" t="s">
        <v>112</v>
      </c>
      <c r="C146" s="59" t="s">
        <v>32</v>
      </c>
    </row>
    <row r="147" spans="2:12" x14ac:dyDescent="0.25">
      <c r="B147" s="94" t="s">
        <v>107</v>
      </c>
      <c r="C147" s="95" t="s">
        <v>126</v>
      </c>
    </row>
    <row r="148" spans="2:12" x14ac:dyDescent="0.25">
      <c r="B148" s="88" t="s">
        <v>108</v>
      </c>
      <c r="C148" s="89" t="s">
        <v>123</v>
      </c>
    </row>
    <row r="149" spans="2:12" x14ac:dyDescent="0.25">
      <c r="B149" s="94" t="s">
        <v>125</v>
      </c>
      <c r="C149" s="164">
        <v>2</v>
      </c>
    </row>
    <row r="150" spans="2:12" x14ac:dyDescent="0.25">
      <c r="B150" s="159" t="s">
        <v>126</v>
      </c>
      <c r="C150" s="165">
        <v>0</v>
      </c>
    </row>
    <row r="151" spans="2:12" x14ac:dyDescent="0.25">
      <c r="B151" s="145" t="s">
        <v>115</v>
      </c>
      <c r="C151" s="146"/>
    </row>
    <row r="153" spans="2:12" x14ac:dyDescent="0.25">
      <c r="B153" t="s">
        <v>164</v>
      </c>
    </row>
    <row r="155" spans="2:12" x14ac:dyDescent="0.25">
      <c r="B155" s="68" t="s">
        <v>89</v>
      </c>
      <c r="E155" s="68" t="s">
        <v>105</v>
      </c>
      <c r="H155" s="68" t="s">
        <v>106</v>
      </c>
      <c r="K155" s="68" t="s">
        <v>131</v>
      </c>
    </row>
    <row r="157" spans="2:12" x14ac:dyDescent="0.25">
      <c r="B157" s="134" t="s">
        <v>57</v>
      </c>
      <c r="C157" s="135"/>
      <c r="E157" t="s">
        <v>57</v>
      </c>
      <c r="H157" s="134" t="s">
        <v>57</v>
      </c>
      <c r="I157" s="135"/>
      <c r="K157" s="178" t="str" cm="1">
        <f t="array" aca="1" ref="K157" ca="1">_xll.d.TestUtils_IsTrue(_xll.d.Formatting_Equal(B157,H157))</f>
        <v>Ok</v>
      </c>
      <c r="L157" s="178" t="str" cm="1">
        <f t="array" aca="1" ref="L157" ca="1">_xll.d.TestUtils_IsTrue(_xll.d.Formatting_Equal(C157,I157))</f>
        <v>Ok</v>
      </c>
    </row>
    <row r="158" spans="2:12" x14ac:dyDescent="0.25">
      <c r="B158" s="132" t="s">
        <v>31</v>
      </c>
      <c r="C158" s="133" t="s">
        <v>32</v>
      </c>
      <c r="E158" t="s">
        <v>31</v>
      </c>
      <c r="F158" t="s">
        <v>32</v>
      </c>
      <c r="H158" s="132" t="s">
        <v>31</v>
      </c>
      <c r="I158" s="133" t="s">
        <v>32</v>
      </c>
      <c r="K158" s="178" t="str" cm="1">
        <f t="array" aca="1" ref="K158" ca="1">_xll.d.TestUtils_IsTrue(_xll.d.Formatting_Equal(B158,H158))</f>
        <v>Ok</v>
      </c>
      <c r="L158" s="178" t="str" cm="1">
        <f t="array" aca="1" ref="L158" ca="1">_xll.d.TestUtils_IsTrue(_xll.d.Formatting_Equal(C158,I158))</f>
        <v>Ok</v>
      </c>
    </row>
    <row r="159" spans="2:12" x14ac:dyDescent="0.25">
      <c r="B159" s="136" t="s">
        <v>12</v>
      </c>
      <c r="C159" s="137" t="s">
        <v>46</v>
      </c>
      <c r="E159" t="s">
        <v>12</v>
      </c>
      <c r="F159" t="s">
        <v>46</v>
      </c>
      <c r="H159" s="136" t="s">
        <v>12</v>
      </c>
      <c r="I159" s="137" t="s">
        <v>46</v>
      </c>
      <c r="K159" s="178" t="str" cm="1">
        <f t="array" aca="1" ref="K159" ca="1">_xll.d.TestUtils_IsTrue(_xll.d.Formatting_Equal(B159,H159))</f>
        <v>Ok</v>
      </c>
      <c r="L159" s="178" t="str" cm="1">
        <f t="array" aca="1" ref="L159" ca="1">_xll.d.TestUtils_IsTrue(_xll.d.Formatting_Equal(C159,I159))</f>
        <v>Ok</v>
      </c>
    </row>
    <row r="160" spans="2:12" x14ac:dyDescent="0.25">
      <c r="B160" s="138" t="s">
        <v>35</v>
      </c>
      <c r="C160" s="139" t="s">
        <v>36</v>
      </c>
      <c r="E160" t="s">
        <v>35</v>
      </c>
      <c r="F160" t="s">
        <v>36</v>
      </c>
      <c r="H160" s="138" t="s">
        <v>35</v>
      </c>
      <c r="I160" s="139" t="s">
        <v>36</v>
      </c>
      <c r="K160" s="178" t="str" cm="1">
        <f t="array" aca="1" ref="K160" ca="1">_xll.d.TestUtils_IsTrue(_xll.d.Formatting_Equal(B160,H160))</f>
        <v>Ok</v>
      </c>
      <c r="L160" s="178" t="str" cm="1">
        <f t="array" aca="1" ref="L160" ca="1">_xll.d.TestUtils_IsTrue(_xll.d.Formatting_Equal(C160,I160))</f>
        <v>Ok</v>
      </c>
    </row>
    <row r="161" spans="2:55" x14ac:dyDescent="0.25">
      <c r="B161" s="140" t="s">
        <v>56</v>
      </c>
      <c r="C161" s="141" t="s">
        <v>25</v>
      </c>
      <c r="E161" t="s">
        <v>56</v>
      </c>
      <c r="F161" t="s">
        <v>25</v>
      </c>
      <c r="H161" s="140" t="s">
        <v>56</v>
      </c>
      <c r="I161" s="141" t="s">
        <v>25</v>
      </c>
      <c r="K161" s="178" t="str" cm="1">
        <f t="array" aca="1" ref="K161" ca="1">_xll.d.TestUtils_IsTrue(_xll.d.Formatting_Equal(B161,H161))</f>
        <v>Ok</v>
      </c>
      <c r="L161" s="178" t="str" cm="1">
        <f t="array" aca="1" ref="L161" ca="1">_xll.d.TestUtils_IsTrue(_xll.d.Formatting_Equal(C161,I161))</f>
        <v>Ok</v>
      </c>
    </row>
    <row r="164" spans="2:55" ht="18.75" x14ac:dyDescent="0.3">
      <c r="B164" s="3" t="s">
        <v>124</v>
      </c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</row>
    <row r="166" spans="2:55" x14ac:dyDescent="0.25">
      <c r="B166" s="59" t="s">
        <v>130</v>
      </c>
      <c r="C166" s="178" t="str" cm="1">
        <f t="array" aca="1" ref="C166" ca="1">_xll.d.TestUtils_And(K177:L181)</f>
        <v>Ok</v>
      </c>
    </row>
    <row r="168" spans="2:55" x14ac:dyDescent="0.25">
      <c r="B168" s="59" t="s">
        <v>112</v>
      </c>
      <c r="C168" s="59" t="s">
        <v>32</v>
      </c>
    </row>
    <row r="169" spans="2:55" x14ac:dyDescent="0.25">
      <c r="B169" s="94" t="s">
        <v>107</v>
      </c>
      <c r="C169" s="95" t="s">
        <v>126</v>
      </c>
    </row>
    <row r="170" spans="2:55" x14ac:dyDescent="0.25">
      <c r="B170" s="88" t="s">
        <v>108</v>
      </c>
      <c r="C170" s="89" t="s">
        <v>123</v>
      </c>
    </row>
    <row r="171" spans="2:55" x14ac:dyDescent="0.25">
      <c r="B171" s="145" t="s">
        <v>115</v>
      </c>
      <c r="C171" s="146"/>
    </row>
    <row r="173" spans="2:55" x14ac:dyDescent="0.25">
      <c r="B173" t="s">
        <v>127</v>
      </c>
    </row>
    <row r="175" spans="2:55" x14ac:dyDescent="0.25">
      <c r="B175" s="68" t="s">
        <v>89</v>
      </c>
      <c r="E175" s="68" t="s">
        <v>105</v>
      </c>
      <c r="H175" s="68" t="s">
        <v>106</v>
      </c>
      <c r="K175" s="68" t="s">
        <v>131</v>
      </c>
    </row>
    <row r="177" spans="2:55" x14ac:dyDescent="0.25">
      <c r="B177" s="148" t="s">
        <v>57</v>
      </c>
      <c r="C177" s="148"/>
      <c r="E177" s="134" t="s">
        <v>57</v>
      </c>
      <c r="F177" s="135"/>
      <c r="H177" s="149" t="s">
        <v>57</v>
      </c>
      <c r="I177" s="149"/>
      <c r="K177" s="178" t="str" cm="1">
        <f t="array" aca="1" ref="K177" ca="1">_xll.d.TestUtils_IsTrue(_xll.d.Formatting_Equal(B177,H177))</f>
        <v>Ok</v>
      </c>
      <c r="L177" s="178" t="str" cm="1">
        <f t="array" aca="1" ref="L177" ca="1">_xll.d.TestUtils_IsTrue(_xll.d.Formatting_Equal(C177,I177))</f>
        <v>Ok</v>
      </c>
    </row>
    <row r="178" spans="2:55" x14ac:dyDescent="0.25">
      <c r="B178" s="148" t="s">
        <v>31</v>
      </c>
      <c r="C178" s="148" t="s">
        <v>32</v>
      </c>
      <c r="E178" s="132" t="s">
        <v>31</v>
      </c>
      <c r="F178" s="133" t="s">
        <v>32</v>
      </c>
      <c r="H178" s="149" t="s">
        <v>31</v>
      </c>
      <c r="I178" s="149" t="s">
        <v>32</v>
      </c>
      <c r="K178" s="178" t="str" cm="1">
        <f t="array" aca="1" ref="K178" ca="1">_xll.d.TestUtils_IsTrue(_xll.d.Formatting_Equal(B178,H178))</f>
        <v>Ok</v>
      </c>
      <c r="L178" s="178" t="str" cm="1">
        <f t="array" aca="1" ref="L178" ca="1">_xll.d.TestUtils_IsTrue(_xll.d.Formatting_Equal(C178,I178))</f>
        <v>Ok</v>
      </c>
    </row>
    <row r="179" spans="2:55" x14ac:dyDescent="0.25">
      <c r="B179" s="148" t="s">
        <v>12</v>
      </c>
      <c r="C179" s="148" t="s">
        <v>46</v>
      </c>
      <c r="E179" s="136" t="s">
        <v>12</v>
      </c>
      <c r="F179" s="137" t="s">
        <v>46</v>
      </c>
      <c r="H179" s="149" t="s">
        <v>12</v>
      </c>
      <c r="I179" s="149" t="s">
        <v>46</v>
      </c>
      <c r="K179" s="178" t="str" cm="1">
        <f t="array" aca="1" ref="K179" ca="1">_xll.d.TestUtils_IsTrue(_xll.d.Formatting_Equal(B179,H179))</f>
        <v>Ok</v>
      </c>
      <c r="L179" s="178" t="str" cm="1">
        <f t="array" aca="1" ref="L179" ca="1">_xll.d.TestUtils_IsTrue(_xll.d.Formatting_Equal(C179,I179))</f>
        <v>Ok</v>
      </c>
    </row>
    <row r="180" spans="2:55" x14ac:dyDescent="0.25">
      <c r="B180" s="148" t="s">
        <v>35</v>
      </c>
      <c r="C180" s="148" t="s">
        <v>36</v>
      </c>
      <c r="E180" s="138" t="s">
        <v>35</v>
      </c>
      <c r="F180" s="139" t="s">
        <v>36</v>
      </c>
      <c r="H180" s="149" t="s">
        <v>35</v>
      </c>
      <c r="I180" s="149" t="s">
        <v>36</v>
      </c>
      <c r="K180" s="178" t="str" cm="1">
        <f t="array" aca="1" ref="K180" ca="1">_xll.d.TestUtils_IsTrue(_xll.d.Formatting_Equal(B180,H180))</f>
        <v>Ok</v>
      </c>
      <c r="L180" s="178" t="str" cm="1">
        <f t="array" aca="1" ref="L180" ca="1">_xll.d.TestUtils_IsTrue(_xll.d.Formatting_Equal(C180,I180))</f>
        <v>Ok</v>
      </c>
    </row>
    <row r="181" spans="2:55" x14ac:dyDescent="0.25">
      <c r="B181" s="148" t="s">
        <v>56</v>
      </c>
      <c r="C181" s="148" t="s">
        <v>25</v>
      </c>
      <c r="E181" s="140" t="s">
        <v>56</v>
      </c>
      <c r="F181" s="141" t="s">
        <v>25</v>
      </c>
      <c r="H181" s="149" t="s">
        <v>56</v>
      </c>
      <c r="I181" s="149" t="s">
        <v>25</v>
      </c>
      <c r="K181" s="178" t="str" cm="1">
        <f t="array" aca="1" ref="K181" ca="1">_xll.d.TestUtils_IsTrue(_xll.d.Formatting_Equal(B181,H181))</f>
        <v>Ok</v>
      </c>
      <c r="L181" s="178" t="str" cm="1">
        <f t="array" aca="1" ref="L181" ca="1">_xll.d.TestUtils_IsTrue(_xll.d.Formatting_Equal(C181,I181))</f>
        <v>Ok</v>
      </c>
    </row>
    <row r="184" spans="2:55" ht="18.75" x14ac:dyDescent="0.3">
      <c r="B184" s="3" t="s">
        <v>166</v>
      </c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</row>
    <row r="186" spans="2:55" x14ac:dyDescent="0.25">
      <c r="B186" s="59" t="s">
        <v>130</v>
      </c>
      <c r="C186" s="178" t="str" cm="1">
        <f t="array" aca="1" ref="C186" ca="1">_xll.d.TestUtils_And(T197:X198)</f>
        <v>Ok</v>
      </c>
    </row>
    <row r="188" spans="2:55" x14ac:dyDescent="0.25">
      <c r="B188" s="59" t="s">
        <v>112</v>
      </c>
      <c r="C188" s="59" t="s">
        <v>32</v>
      </c>
    </row>
    <row r="189" spans="2:55" x14ac:dyDescent="0.25">
      <c r="B189" s="94" t="s">
        <v>107</v>
      </c>
      <c r="C189" s="95" t="s">
        <v>125</v>
      </c>
    </row>
    <row r="190" spans="2:55" x14ac:dyDescent="0.25">
      <c r="B190" s="88" t="s">
        <v>108</v>
      </c>
      <c r="C190" s="89" t="s">
        <v>123</v>
      </c>
    </row>
    <row r="191" spans="2:55" x14ac:dyDescent="0.25">
      <c r="B191" s="145" t="s">
        <v>115</v>
      </c>
      <c r="C191" s="146"/>
    </row>
    <row r="193" spans="2:55" x14ac:dyDescent="0.25">
      <c r="B193" t="s">
        <v>127</v>
      </c>
    </row>
    <row r="195" spans="2:55" x14ac:dyDescent="0.25">
      <c r="B195" s="68" t="s">
        <v>89</v>
      </c>
      <c r="H195" s="68" t="s">
        <v>105</v>
      </c>
      <c r="N195" s="68" t="s">
        <v>106</v>
      </c>
      <c r="T195" s="68" t="s">
        <v>131</v>
      </c>
    </row>
    <row r="196" spans="2:55" x14ac:dyDescent="0.25">
      <c r="B196" s="148"/>
      <c r="C196" s="148"/>
      <c r="L196" s="149"/>
      <c r="M196" s="149"/>
    </row>
    <row r="197" spans="2:55" ht="15" customHeight="1" x14ac:dyDescent="0.25">
      <c r="B197" s="583" t="s">
        <v>57</v>
      </c>
      <c r="C197" s="180" t="s">
        <v>31</v>
      </c>
      <c r="D197" s="224" t="s">
        <v>12</v>
      </c>
      <c r="E197" s="225" t="s">
        <v>35</v>
      </c>
      <c r="F197" s="226" t="s">
        <v>56</v>
      </c>
      <c r="H197" s="149" t="s">
        <v>57</v>
      </c>
      <c r="I197" s="149" t="s">
        <v>31</v>
      </c>
      <c r="J197" s="149" t="s">
        <v>12</v>
      </c>
      <c r="K197" s="149" t="s">
        <v>35</v>
      </c>
      <c r="L197" s="149" t="s">
        <v>56</v>
      </c>
      <c r="N197" s="583" t="s">
        <v>57</v>
      </c>
      <c r="O197" s="180" t="s">
        <v>31</v>
      </c>
      <c r="P197" s="224" t="s">
        <v>12</v>
      </c>
      <c r="Q197" s="225" t="s">
        <v>35</v>
      </c>
      <c r="R197" s="226" t="s">
        <v>56</v>
      </c>
      <c r="T197" s="178" t="str" cm="1">
        <f t="array" aca="1" ref="T197" ca="1">_xll.d.TestUtils_IsTrue(_xll.d.Formatting_Equal(B197,N197))</f>
        <v>Ok</v>
      </c>
      <c r="U197" s="178" t="str" cm="1">
        <f t="array" aca="1" ref="U197" ca="1">_xll.d.TestUtils_IsTrue(_xll.d.Formatting_Equal(C197,O197))</f>
        <v>Ok</v>
      </c>
      <c r="V197" s="178" t="str" cm="1">
        <f t="array" aca="1" ref="V197" ca="1">_xll.d.TestUtils_IsTrue(_xll.d.Formatting_Equal(D197,P197))</f>
        <v>Ok</v>
      </c>
      <c r="W197" s="178" t="str" cm="1">
        <f t="array" aca="1" ref="W197" ca="1">_xll.d.TestUtils_IsTrue(_xll.d.Formatting_Equal(E197,Q197))</f>
        <v>Ok</v>
      </c>
      <c r="X197" s="178" t="str" cm="1">
        <f t="array" aca="1" ref="X197" ca="1">_xll.d.TestUtils_IsTrue(_xll.d.Formatting_Equal(F197,R197))</f>
        <v>Ok</v>
      </c>
    </row>
    <row r="198" spans="2:55" x14ac:dyDescent="0.25">
      <c r="B198" s="582"/>
      <c r="C198" s="182" t="s">
        <v>32</v>
      </c>
      <c r="D198" s="227" t="s">
        <v>46</v>
      </c>
      <c r="E198" s="228" t="s">
        <v>36</v>
      </c>
      <c r="F198" s="229" t="s">
        <v>25</v>
      </c>
      <c r="H198" s="149"/>
      <c r="I198" s="149" t="s">
        <v>32</v>
      </c>
      <c r="J198" s="149" t="s">
        <v>46</v>
      </c>
      <c r="K198" s="149" t="s">
        <v>36</v>
      </c>
      <c r="L198" s="149" t="s">
        <v>25</v>
      </c>
      <c r="N198" s="582"/>
      <c r="O198" s="182" t="s">
        <v>32</v>
      </c>
      <c r="P198" s="227" t="s">
        <v>46</v>
      </c>
      <c r="Q198" s="228" t="s">
        <v>36</v>
      </c>
      <c r="R198" s="229" t="s">
        <v>25</v>
      </c>
      <c r="T198" s="178" t="str" cm="1">
        <f t="array" aca="1" ref="T198" ca="1">_xll.d.TestUtils_IsTrue(_xll.d.Formatting_Equal(B198,N198))</f>
        <v>Ok</v>
      </c>
      <c r="U198" s="178" t="str" cm="1">
        <f t="array" aca="1" ref="U198" ca="1">_xll.d.TestUtils_IsTrue(_xll.d.Formatting_Equal(C198,O198))</f>
        <v>Ok</v>
      </c>
      <c r="V198" s="178" t="str" cm="1">
        <f t="array" aca="1" ref="V198" ca="1">_xll.d.TestUtils_IsTrue(_xll.d.Formatting_Equal(D198,P198))</f>
        <v>Ok</v>
      </c>
      <c r="W198" s="178" t="str" cm="1">
        <f t="array" aca="1" ref="W198" ca="1">_xll.d.TestUtils_IsTrue(_xll.d.Formatting_Equal(E198,Q198))</f>
        <v>Ok</v>
      </c>
      <c r="X198" s="178" t="str" cm="1">
        <f t="array" aca="1" ref="X198" ca="1">_xll.d.TestUtils_IsTrue(_xll.d.Formatting_Equal(F198,R198))</f>
        <v>Ok</v>
      </c>
    </row>
    <row r="201" spans="2:55" ht="18.75" x14ac:dyDescent="0.3">
      <c r="B201" s="3" t="s">
        <v>171</v>
      </c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</row>
    <row r="203" spans="2:55" x14ac:dyDescent="0.25">
      <c r="B203" s="59" t="s">
        <v>130</v>
      </c>
      <c r="C203" s="178" t="str" cm="1">
        <f t="array" aca="1" ref="C203" ca="1">_xll.d.TestUtils_And(T217:X223)</f>
        <v>Ok</v>
      </c>
    </row>
    <row r="205" spans="2:55" x14ac:dyDescent="0.25">
      <c r="B205" s="59" t="s">
        <v>112</v>
      </c>
      <c r="C205" s="59" t="s">
        <v>32</v>
      </c>
    </row>
    <row r="206" spans="2:55" x14ac:dyDescent="0.25">
      <c r="B206" s="88" t="s">
        <v>107</v>
      </c>
      <c r="C206" s="89" t="s">
        <v>252</v>
      </c>
    </row>
    <row r="207" spans="2:55" x14ac:dyDescent="0.25">
      <c r="B207" s="90"/>
      <c r="C207" s="91" t="s">
        <v>125</v>
      </c>
    </row>
    <row r="208" spans="2:55" x14ac:dyDescent="0.25">
      <c r="B208" s="94" t="s">
        <v>108</v>
      </c>
      <c r="C208" s="95" t="s">
        <v>109</v>
      </c>
    </row>
    <row r="209" spans="2:24" x14ac:dyDescent="0.25">
      <c r="B209" s="159" t="s">
        <v>125</v>
      </c>
      <c r="C209" s="165">
        <v>2</v>
      </c>
    </row>
    <row r="210" spans="2:24" x14ac:dyDescent="0.25">
      <c r="B210" s="159" t="s">
        <v>126</v>
      </c>
      <c r="C210" s="165">
        <v>2</v>
      </c>
    </row>
    <row r="211" spans="2:24" x14ac:dyDescent="0.25">
      <c r="B211" s="145" t="s">
        <v>115</v>
      </c>
      <c r="C211" s="146"/>
    </row>
    <row r="213" spans="2:24" x14ac:dyDescent="0.25">
      <c r="B213" t="s">
        <v>253</v>
      </c>
    </row>
    <row r="215" spans="2:24" x14ac:dyDescent="0.25">
      <c r="B215" s="68" t="s">
        <v>89</v>
      </c>
      <c r="H215" s="68" t="s">
        <v>105</v>
      </c>
      <c r="N215" s="68" t="s">
        <v>106</v>
      </c>
      <c r="T215" s="68" t="s">
        <v>131</v>
      </c>
    </row>
    <row r="216" spans="2:24" x14ac:dyDescent="0.25">
      <c r="B216" s="148"/>
      <c r="C216" s="148"/>
      <c r="L216" s="149"/>
      <c r="M216" s="149"/>
    </row>
    <row r="217" spans="2:24" x14ac:dyDescent="0.25">
      <c r="B217" s="149" t="s">
        <v>250</v>
      </c>
      <c r="C217" s="149"/>
      <c r="D217" s="134" t="s">
        <v>251</v>
      </c>
      <c r="E217" s="223"/>
      <c r="F217" s="135"/>
      <c r="H217" s="149" t="s">
        <v>250</v>
      </c>
      <c r="I217" s="358" t="s">
        <v>254</v>
      </c>
      <c r="J217" s="149" t="s">
        <v>251</v>
      </c>
      <c r="K217" s="149"/>
      <c r="L217" s="149"/>
      <c r="M217" s="149"/>
      <c r="N217" s="149" t="s">
        <v>250</v>
      </c>
      <c r="O217" s="358" t="s">
        <v>254</v>
      </c>
      <c r="P217" s="359" t="s">
        <v>251</v>
      </c>
      <c r="Q217" s="360"/>
      <c r="R217" s="361"/>
      <c r="T217" s="178" t="str" cm="1">
        <f t="array" aca="1" ref="T217" ca="1">_xll.d.TestUtils_IsTrue(_xll.d.Formatting_Equal(B217,N217))</f>
        <v>Ok</v>
      </c>
      <c r="U217" s="178" t="str" cm="1">
        <f t="array" aca="1" ref="U217" ca="1">_xll.d.TestUtils_IsTrue(_xll.d.Formatting_Equal(C217,O217))</f>
        <v>Ok</v>
      </c>
      <c r="V217" s="178" t="str" cm="1">
        <f t="array" aca="1" ref="V217" ca="1">_xll.d.TestUtils_IsTrue(_xll.d.Formatting_Equal(D217,P217))</f>
        <v>Ok</v>
      </c>
      <c r="W217" s="178" t="str" cm="1">
        <f t="array" aca="1" ref="W217" ca="1">_xll.d.TestUtils_IsTrue(_xll.d.Formatting_Equal(E217,Q217))</f>
        <v>Ok</v>
      </c>
      <c r="X217" s="178" t="str" cm="1">
        <f t="array" aca="1" ref="X217" ca="1">_xll.d.TestUtils_IsTrue(_xll.d.Formatting_Equal(F217,R217))</f>
        <v>Ok</v>
      </c>
    </row>
    <row r="218" spans="2:24" x14ac:dyDescent="0.25">
      <c r="B218" s="149"/>
      <c r="C218" s="149"/>
      <c r="D218" s="327">
        <v>0.75</v>
      </c>
      <c r="E218" s="328">
        <v>1</v>
      </c>
      <c r="F218" s="329">
        <v>1.25</v>
      </c>
      <c r="H218" s="358" t="s">
        <v>254</v>
      </c>
      <c r="I218" s="358" t="s">
        <v>254</v>
      </c>
      <c r="J218" s="149">
        <v>0.75</v>
      </c>
      <c r="K218" s="149">
        <v>1</v>
      </c>
      <c r="L218" s="149">
        <v>1.25</v>
      </c>
      <c r="M218" s="149"/>
      <c r="N218" s="358" t="s">
        <v>254</v>
      </c>
      <c r="O218" s="358" t="s">
        <v>254</v>
      </c>
      <c r="P218" s="362">
        <v>0.75</v>
      </c>
      <c r="Q218" s="363">
        <v>1</v>
      </c>
      <c r="R218" s="364">
        <v>1.25</v>
      </c>
      <c r="T218" s="178" t="str" cm="1">
        <f t="array" aca="1" ref="T218" ca="1">_xll.d.TestUtils_IsTrue(_xll.d.Formatting_Equal(B218,N218))</f>
        <v>Ok</v>
      </c>
      <c r="U218" s="178" t="str" cm="1">
        <f t="array" aca="1" ref="U218" ca="1">_xll.d.TestUtils_IsTrue(_xll.d.Formatting_Equal(C218,O218))</f>
        <v>Ok</v>
      </c>
      <c r="V218" s="178" t="str" cm="1">
        <f t="array" aca="1" ref="V218" ca="1">_xll.d.TestUtils_IsTrue(_xll.d.Formatting_Equal(D218,P218))</f>
        <v>Ok</v>
      </c>
      <c r="W218" s="178" t="str" cm="1">
        <f t="array" aca="1" ref="W218" ca="1">_xll.d.TestUtils_IsTrue(_xll.d.Formatting_Equal(E218,Q218))</f>
        <v>Ok</v>
      </c>
      <c r="X218" s="178" t="str" cm="1">
        <f t="array" aca="1" ref="X218" ca="1">_xll.d.TestUtils_IsTrue(_xll.d.Formatting_Equal(F218,R218))</f>
        <v>Ok</v>
      </c>
    </row>
    <row r="219" spans="2:24" ht="15" customHeight="1" x14ac:dyDescent="0.25">
      <c r="B219" s="583" t="s">
        <v>38</v>
      </c>
      <c r="C219" s="333" t="s">
        <v>26</v>
      </c>
      <c r="D219" s="330">
        <v>0.25</v>
      </c>
      <c r="E219" s="325">
        <v>0.27</v>
      </c>
      <c r="F219" s="326">
        <v>0.28999999999999998</v>
      </c>
      <c r="H219" s="149" t="s">
        <v>38</v>
      </c>
      <c r="I219" s="149" t="s">
        <v>26</v>
      </c>
      <c r="J219" s="149">
        <v>0.25</v>
      </c>
      <c r="K219" s="149">
        <v>0.27</v>
      </c>
      <c r="L219" s="149">
        <v>0.28999999999999998</v>
      </c>
      <c r="M219" s="149"/>
      <c r="N219" s="583" t="s">
        <v>38</v>
      </c>
      <c r="O219" s="351" t="s">
        <v>26</v>
      </c>
      <c r="P219" s="365">
        <v>0.25</v>
      </c>
      <c r="Q219" s="354">
        <v>0.27</v>
      </c>
      <c r="R219" s="355">
        <v>0.28999999999999998</v>
      </c>
      <c r="T219" s="178" t="str" cm="1">
        <f t="array" aca="1" ref="T219" ca="1">_xll.d.TestUtils_IsTrue(_xll.d.Formatting_Equal(B219,N219))</f>
        <v>Ok</v>
      </c>
      <c r="U219" s="178" t="str" cm="1">
        <f t="array" aca="1" ref="U219" ca="1">_xll.d.TestUtils_IsTrue(_xll.d.Formatting_Equal(C219,O219))</f>
        <v>Ok</v>
      </c>
      <c r="V219" s="178" t="str" cm="1">
        <f t="array" aca="1" ref="V219" ca="1">_xll.d.TestUtils_IsTrue(_xll.d.Formatting_Equal(D219,P219))</f>
        <v>Ok</v>
      </c>
      <c r="W219" s="178" t="str" cm="1">
        <f t="array" aca="1" ref="W219" ca="1">_xll.d.TestUtils_IsTrue(_xll.d.Formatting_Equal(E219,Q219))</f>
        <v>Ok</v>
      </c>
      <c r="X219" s="178" t="str" cm="1">
        <f t="array" aca="1" ref="X219" ca="1">_xll.d.TestUtils_IsTrue(_xll.d.Formatting_Equal(F219,R219))</f>
        <v>Ok</v>
      </c>
    </row>
    <row r="220" spans="2:24" x14ac:dyDescent="0.25">
      <c r="B220" s="581"/>
      <c r="C220" s="334" t="s">
        <v>27</v>
      </c>
      <c r="D220" s="331">
        <v>0.27</v>
      </c>
      <c r="E220" s="324">
        <v>0.28999999999999998</v>
      </c>
      <c r="F220" s="139">
        <v>0.31</v>
      </c>
      <c r="H220" s="149"/>
      <c r="I220" s="149" t="s">
        <v>27</v>
      </c>
      <c r="J220" s="149">
        <v>0.27</v>
      </c>
      <c r="K220" s="149">
        <v>0.28999999999999998</v>
      </c>
      <c r="L220" s="149">
        <v>0.31</v>
      </c>
      <c r="M220" s="149"/>
      <c r="N220" s="581"/>
      <c r="O220" s="352" t="s">
        <v>27</v>
      </c>
      <c r="P220" s="356">
        <v>0.27</v>
      </c>
      <c r="Q220" s="349">
        <v>0.28999999999999998</v>
      </c>
      <c r="R220" s="350">
        <v>0.31</v>
      </c>
      <c r="T220" s="178" t="str" cm="1">
        <f t="array" aca="1" ref="T220" ca="1">_xll.d.TestUtils_IsTrue(_xll.d.Formatting_Equal(B220,N220))</f>
        <v>Ok</v>
      </c>
      <c r="U220" s="178" t="str" cm="1">
        <f t="array" aca="1" ref="U220" ca="1">_xll.d.TestUtils_IsTrue(_xll.d.Formatting_Equal(C220,O220))</f>
        <v>Ok</v>
      </c>
      <c r="V220" s="178" t="str" cm="1">
        <f t="array" aca="1" ref="V220" ca="1">_xll.d.TestUtils_IsTrue(_xll.d.Formatting_Equal(D220,P220))</f>
        <v>Ok</v>
      </c>
      <c r="W220" s="178" t="str" cm="1">
        <f t="array" aca="1" ref="W220" ca="1">_xll.d.TestUtils_IsTrue(_xll.d.Formatting_Equal(E220,Q220))</f>
        <v>Ok</v>
      </c>
      <c r="X220" s="178" t="str" cm="1">
        <f t="array" aca="1" ref="X220" ca="1">_xll.d.TestUtils_IsTrue(_xll.d.Formatting_Equal(F220,R220))</f>
        <v>Ok</v>
      </c>
    </row>
    <row r="221" spans="2:24" x14ac:dyDescent="0.25">
      <c r="B221" s="581"/>
      <c r="C221" s="334" t="s">
        <v>25</v>
      </c>
      <c r="D221" s="331">
        <v>0.28999999999999998</v>
      </c>
      <c r="E221" s="324">
        <v>0.31</v>
      </c>
      <c r="F221" s="139">
        <v>0.33</v>
      </c>
      <c r="H221" s="149"/>
      <c r="I221" s="149" t="s">
        <v>25</v>
      </c>
      <c r="J221" s="149">
        <v>0.28999999999999998</v>
      </c>
      <c r="K221" s="149">
        <v>0.31</v>
      </c>
      <c r="L221" s="149">
        <v>0.33</v>
      </c>
      <c r="M221" s="149"/>
      <c r="N221" s="581"/>
      <c r="O221" s="352" t="s">
        <v>25</v>
      </c>
      <c r="P221" s="356">
        <v>0.28999999999999998</v>
      </c>
      <c r="Q221" s="349">
        <v>0.31</v>
      </c>
      <c r="R221" s="350">
        <v>0.33</v>
      </c>
      <c r="T221" s="178" t="str" cm="1">
        <f t="array" aca="1" ref="T221" ca="1">_xll.d.TestUtils_IsTrue(_xll.d.Formatting_Equal(B221,N221))</f>
        <v>Ok</v>
      </c>
      <c r="U221" s="178" t="str" cm="1">
        <f t="array" aca="1" ref="U221" ca="1">_xll.d.TestUtils_IsTrue(_xll.d.Formatting_Equal(C221,O221))</f>
        <v>Ok</v>
      </c>
      <c r="V221" s="178" t="str" cm="1">
        <f t="array" aca="1" ref="V221" ca="1">_xll.d.TestUtils_IsTrue(_xll.d.Formatting_Equal(D221,P221))</f>
        <v>Ok</v>
      </c>
      <c r="W221" s="178" t="str" cm="1">
        <f t="array" aca="1" ref="W221" ca="1">_xll.d.TestUtils_IsTrue(_xll.d.Formatting_Equal(E221,Q221))</f>
        <v>Ok</v>
      </c>
      <c r="X221" s="178" t="str" cm="1">
        <f t="array" aca="1" ref="X221" ca="1">_xll.d.TestUtils_IsTrue(_xll.d.Formatting_Equal(F221,R221))</f>
        <v>Ok</v>
      </c>
    </row>
    <row r="222" spans="2:24" x14ac:dyDescent="0.25">
      <c r="B222" s="581"/>
      <c r="C222" s="334" t="s">
        <v>28</v>
      </c>
      <c r="D222" s="331">
        <v>0.31</v>
      </c>
      <c r="E222" s="324">
        <v>0.33</v>
      </c>
      <c r="F222" s="139">
        <v>0.35</v>
      </c>
      <c r="H222" s="149"/>
      <c r="I222" s="149" t="s">
        <v>28</v>
      </c>
      <c r="J222" s="149">
        <v>0.31</v>
      </c>
      <c r="K222" s="149">
        <v>0.33</v>
      </c>
      <c r="L222" s="149">
        <v>0.35</v>
      </c>
      <c r="M222" s="149"/>
      <c r="N222" s="581"/>
      <c r="O222" s="352" t="s">
        <v>28</v>
      </c>
      <c r="P222" s="356">
        <v>0.31</v>
      </c>
      <c r="Q222" s="349">
        <v>0.33</v>
      </c>
      <c r="R222" s="350">
        <v>0.35</v>
      </c>
      <c r="T222" s="178" t="str" cm="1">
        <f t="array" aca="1" ref="T222" ca="1">_xll.d.TestUtils_IsTrue(_xll.d.Formatting_Equal(B222,N222))</f>
        <v>Ok</v>
      </c>
      <c r="U222" s="178" t="str" cm="1">
        <f t="array" aca="1" ref="U222" ca="1">_xll.d.TestUtils_IsTrue(_xll.d.Formatting_Equal(C222,O222))</f>
        <v>Ok</v>
      </c>
      <c r="V222" s="178" t="str" cm="1">
        <f t="array" aca="1" ref="V222" ca="1">_xll.d.TestUtils_IsTrue(_xll.d.Formatting_Equal(D222,P222))</f>
        <v>Ok</v>
      </c>
      <c r="W222" s="178" t="str" cm="1">
        <f t="array" aca="1" ref="W222" ca="1">_xll.d.TestUtils_IsTrue(_xll.d.Formatting_Equal(E222,Q222))</f>
        <v>Ok</v>
      </c>
      <c r="X222" s="178" t="str" cm="1">
        <f t="array" aca="1" ref="X222" ca="1">_xll.d.TestUtils_IsTrue(_xll.d.Formatting_Equal(F222,R222))</f>
        <v>Ok</v>
      </c>
    </row>
    <row r="223" spans="2:24" x14ac:dyDescent="0.25">
      <c r="B223" s="582"/>
      <c r="C223" s="335" t="s">
        <v>61</v>
      </c>
      <c r="D223" s="332">
        <v>0.33</v>
      </c>
      <c r="E223" s="222">
        <v>0.35</v>
      </c>
      <c r="F223" s="141">
        <v>0.37</v>
      </c>
      <c r="H223" s="149"/>
      <c r="I223" s="149" t="s">
        <v>61</v>
      </c>
      <c r="J223" s="149">
        <v>0.33</v>
      </c>
      <c r="K223" s="149">
        <v>0.35</v>
      </c>
      <c r="L223" s="149">
        <v>0.37</v>
      </c>
      <c r="M223" s="149"/>
      <c r="N223" s="582"/>
      <c r="O223" s="353" t="s">
        <v>61</v>
      </c>
      <c r="P223" s="357">
        <v>0.33</v>
      </c>
      <c r="Q223" s="228">
        <v>0.35</v>
      </c>
      <c r="R223" s="229">
        <v>0.37</v>
      </c>
      <c r="T223" s="178" t="str" cm="1">
        <f t="array" aca="1" ref="T223" ca="1">_xll.d.TestUtils_IsTrue(_xll.d.Formatting_Equal(B223,N223))</f>
        <v>Ok</v>
      </c>
      <c r="U223" s="178" t="str" cm="1">
        <f t="array" aca="1" ref="U223" ca="1">_xll.d.TestUtils_IsTrue(_xll.d.Formatting_Equal(C223,O223))</f>
        <v>Ok</v>
      </c>
      <c r="V223" s="178" t="str" cm="1">
        <f t="array" aca="1" ref="V223" ca="1">_xll.d.TestUtils_IsTrue(_xll.d.Formatting_Equal(D223,P223))</f>
        <v>Ok</v>
      </c>
      <c r="W223" s="178" t="str" cm="1">
        <f t="array" aca="1" ref="W223" ca="1">_xll.d.TestUtils_IsTrue(_xll.d.Formatting_Equal(E223,Q223))</f>
        <v>Ok</v>
      </c>
      <c r="X223" s="178" t="str" cm="1">
        <f t="array" aca="1" ref="X223" ca="1">_xll.d.TestUtils_IsTrue(_xll.d.Formatting_Equal(F223,R223))</f>
        <v>Ok</v>
      </c>
    </row>
    <row r="224" spans="2:24" x14ac:dyDescent="0.25">
      <c r="H224" s="149"/>
      <c r="I224" s="149"/>
      <c r="J224" s="149"/>
      <c r="K224" s="149"/>
      <c r="L224" s="149"/>
      <c r="M224" s="149"/>
      <c r="N224" s="149"/>
      <c r="O224" s="149"/>
      <c r="P224" s="149"/>
      <c r="Q224" s="149"/>
      <c r="R224" s="149"/>
    </row>
  </sheetData>
  <mergeCells count="7">
    <mergeCell ref="B219:B223"/>
    <mergeCell ref="B87:B103"/>
    <mergeCell ref="H123:H139"/>
    <mergeCell ref="N87:N103"/>
    <mergeCell ref="B197:B198"/>
    <mergeCell ref="N197:N198"/>
    <mergeCell ref="N219:N223"/>
  </mergeCells>
  <conditionalFormatting sqref="C4">
    <cfRule type="cellIs" dxfId="56" priority="16" stopIfTrue="1" operator="equal">
      <formula>"ERROR"</formula>
    </cfRule>
    <cfRule type="cellIs" dxfId="55" priority="17" stopIfTrue="1" operator="equal">
      <formula>"OK"</formula>
    </cfRule>
    <cfRule type="cellIs" dxfId="54" priority="18" stopIfTrue="1" operator="equal">
      <formula>"WARNING"</formula>
    </cfRule>
  </conditionalFormatting>
  <conditionalFormatting sqref="C7:C12">
    <cfRule type="cellIs" dxfId="53" priority="19" stopIfTrue="1" operator="equal">
      <formula>"ERROR"</formula>
    </cfRule>
    <cfRule type="cellIs" dxfId="52" priority="20" stopIfTrue="1" operator="equal">
      <formula>"OK"</formula>
    </cfRule>
    <cfRule type="cellIs" dxfId="51" priority="21" stopIfTrue="1" operator="equal">
      <formula>"WARNING"</formula>
    </cfRule>
  </conditionalFormatting>
  <conditionalFormatting sqref="C24">
    <cfRule type="cellIs" dxfId="50" priority="22" stopIfTrue="1" operator="equal">
      <formula>"ERROR"</formula>
    </cfRule>
    <cfRule type="cellIs" dxfId="49" priority="23" stopIfTrue="1" operator="equal">
      <formula>"OK"</formula>
    </cfRule>
    <cfRule type="cellIs" dxfId="48" priority="24" stopIfTrue="1" operator="equal">
      <formula>"WARNING"</formula>
    </cfRule>
  </conditionalFormatting>
  <conditionalFormatting sqref="BD39:BT43">
    <cfRule type="cellIs" dxfId="47" priority="25" stopIfTrue="1" operator="equal">
      <formula>"ERROR"</formula>
    </cfRule>
    <cfRule type="cellIs" dxfId="46" priority="26" stopIfTrue="1" operator="equal">
      <formula>"OK"</formula>
    </cfRule>
    <cfRule type="cellIs" dxfId="45" priority="27" stopIfTrue="1" operator="equal">
      <formula>"WARNING"</formula>
    </cfRule>
  </conditionalFormatting>
  <conditionalFormatting sqref="C48">
    <cfRule type="cellIs" dxfId="44" priority="28" stopIfTrue="1" operator="equal">
      <formula>"ERROR"</formula>
    </cfRule>
    <cfRule type="cellIs" dxfId="43" priority="29" stopIfTrue="1" operator="equal">
      <formula>"OK"</formula>
    </cfRule>
    <cfRule type="cellIs" dxfId="42" priority="30" stopIfTrue="1" operator="equal">
      <formula>"WARNING"</formula>
    </cfRule>
  </conditionalFormatting>
  <conditionalFormatting sqref="BD63:BT67">
    <cfRule type="cellIs" dxfId="41" priority="31" stopIfTrue="1" operator="equal">
      <formula>"ERROR"</formula>
    </cfRule>
    <cfRule type="cellIs" dxfId="40" priority="32" stopIfTrue="1" operator="equal">
      <formula>"OK"</formula>
    </cfRule>
    <cfRule type="cellIs" dxfId="39" priority="33" stopIfTrue="1" operator="equal">
      <formula>"WARNING"</formula>
    </cfRule>
  </conditionalFormatting>
  <conditionalFormatting sqref="C72">
    <cfRule type="cellIs" dxfId="38" priority="34" stopIfTrue="1" operator="equal">
      <formula>"ERROR"</formula>
    </cfRule>
    <cfRule type="cellIs" dxfId="37" priority="35" stopIfTrue="1" operator="equal">
      <formula>"OK"</formula>
    </cfRule>
    <cfRule type="cellIs" dxfId="36" priority="36" stopIfTrue="1" operator="equal">
      <formula>"WARNING"</formula>
    </cfRule>
  </conditionalFormatting>
  <conditionalFormatting sqref="T87:X103">
    <cfRule type="cellIs" dxfId="35" priority="37" stopIfTrue="1" operator="equal">
      <formula>"ERROR"</formula>
    </cfRule>
    <cfRule type="cellIs" dxfId="34" priority="38" stopIfTrue="1" operator="equal">
      <formula>"OK"</formula>
    </cfRule>
    <cfRule type="cellIs" dxfId="33" priority="39" stopIfTrue="1" operator="equal">
      <formula>"WARNING"</formula>
    </cfRule>
  </conditionalFormatting>
  <conditionalFormatting sqref="C108">
    <cfRule type="cellIs" dxfId="32" priority="40" stopIfTrue="1" operator="equal">
      <formula>"ERROR"</formula>
    </cfRule>
    <cfRule type="cellIs" dxfId="31" priority="41" stopIfTrue="1" operator="equal">
      <formula>"OK"</formula>
    </cfRule>
    <cfRule type="cellIs" dxfId="30" priority="42" stopIfTrue="1" operator="equal">
      <formula>"WARNING"</formula>
    </cfRule>
  </conditionalFormatting>
  <conditionalFormatting sqref="T123:X139">
    <cfRule type="cellIs" dxfId="29" priority="43" stopIfTrue="1" operator="equal">
      <formula>"ERROR"</formula>
    </cfRule>
    <cfRule type="cellIs" dxfId="28" priority="44" stopIfTrue="1" operator="equal">
      <formula>"OK"</formula>
    </cfRule>
    <cfRule type="cellIs" dxfId="27" priority="45" stopIfTrue="1" operator="equal">
      <formula>"WARNING"</formula>
    </cfRule>
  </conditionalFormatting>
  <conditionalFormatting sqref="C144">
    <cfRule type="cellIs" dxfId="26" priority="46" stopIfTrue="1" operator="equal">
      <formula>"ERROR"</formula>
    </cfRule>
    <cfRule type="cellIs" dxfId="25" priority="47" stopIfTrue="1" operator="equal">
      <formula>"OK"</formula>
    </cfRule>
    <cfRule type="cellIs" dxfId="24" priority="48" stopIfTrue="1" operator="equal">
      <formula>"WARNING"</formula>
    </cfRule>
  </conditionalFormatting>
  <conditionalFormatting sqref="K157:L161">
    <cfRule type="cellIs" dxfId="23" priority="49" stopIfTrue="1" operator="equal">
      <formula>"ERROR"</formula>
    </cfRule>
    <cfRule type="cellIs" dxfId="22" priority="50" stopIfTrue="1" operator="equal">
      <formula>"OK"</formula>
    </cfRule>
    <cfRule type="cellIs" dxfId="21" priority="51" stopIfTrue="1" operator="equal">
      <formula>"WARNING"</formula>
    </cfRule>
  </conditionalFormatting>
  <conditionalFormatting sqref="K177:L181">
    <cfRule type="cellIs" dxfId="20" priority="52" stopIfTrue="1" operator="equal">
      <formula>"ERROR"</formula>
    </cfRule>
    <cfRule type="cellIs" dxfId="19" priority="53" stopIfTrue="1" operator="equal">
      <formula>"OK"</formula>
    </cfRule>
    <cfRule type="cellIs" dxfId="18" priority="54" stopIfTrue="1" operator="equal">
      <formula>"WARNING"</formula>
    </cfRule>
  </conditionalFormatting>
  <conditionalFormatting sqref="C166">
    <cfRule type="cellIs" dxfId="17" priority="55" stopIfTrue="1" operator="equal">
      <formula>"ERROR"</formula>
    </cfRule>
    <cfRule type="cellIs" dxfId="16" priority="56" stopIfTrue="1" operator="equal">
      <formula>"OK"</formula>
    </cfRule>
    <cfRule type="cellIs" dxfId="15" priority="57" stopIfTrue="1" operator="equal">
      <formula>"WARNING"</formula>
    </cfRule>
  </conditionalFormatting>
  <conditionalFormatting sqref="C186">
    <cfRule type="cellIs" dxfId="14" priority="13" stopIfTrue="1" operator="equal">
      <formula>"ERROR"</formula>
    </cfRule>
    <cfRule type="cellIs" dxfId="13" priority="14" stopIfTrue="1" operator="equal">
      <formula>"OK"</formula>
    </cfRule>
    <cfRule type="cellIs" dxfId="12" priority="15" stopIfTrue="1" operator="equal">
      <formula>"WARNING"</formula>
    </cfRule>
  </conditionalFormatting>
  <conditionalFormatting sqref="T197:X198">
    <cfRule type="cellIs" dxfId="11" priority="58" stopIfTrue="1" operator="equal">
      <formula>"ERROR"</formula>
    </cfRule>
    <cfRule type="cellIs" dxfId="10" priority="59" stopIfTrue="1" operator="equal">
      <formula>"OK"</formula>
    </cfRule>
    <cfRule type="cellIs" dxfId="9" priority="60" stopIfTrue="1" operator="equal">
      <formula>"WARNING"</formula>
    </cfRule>
  </conditionalFormatting>
  <conditionalFormatting sqref="C13:C14">
    <cfRule type="cellIs" dxfId="8" priority="61" stopIfTrue="1" operator="equal">
      <formula>"ERROR"</formula>
    </cfRule>
    <cfRule type="cellIs" dxfId="7" priority="62" stopIfTrue="1" operator="equal">
      <formula>"OK"</formula>
    </cfRule>
    <cfRule type="cellIs" dxfId="6" priority="63" stopIfTrue="1" operator="equal">
      <formula>"WARNING"</formula>
    </cfRule>
  </conditionalFormatting>
  <conditionalFormatting sqref="C203">
    <cfRule type="cellIs" dxfId="5" priority="4" stopIfTrue="1" operator="equal">
      <formula>"ERROR"</formula>
    </cfRule>
    <cfRule type="cellIs" dxfId="4" priority="5" stopIfTrue="1" operator="equal">
      <formula>"OK"</formula>
    </cfRule>
    <cfRule type="cellIs" dxfId="3" priority="6" stopIfTrue="1" operator="equal">
      <formula>"WARNING"</formula>
    </cfRule>
  </conditionalFormatting>
  <conditionalFormatting sqref="T217:X223">
    <cfRule type="cellIs" dxfId="2" priority="1" stopIfTrue="1" operator="equal">
      <formula>"ERROR"</formula>
    </cfRule>
    <cfRule type="cellIs" dxfId="1" priority="2" stopIfTrue="1" operator="equal">
      <formula>"OK"</formula>
    </cfRule>
    <cfRule type="cellIs" dxfId="0" priority="3" stopIfTrue="1" operator="equal">
      <formula>"WARNING"</formula>
    </cfRule>
  </conditionalFormatting>
  <hyperlinks>
    <hyperlink ref="B33:C33" location="TableFormatting.Test1.ResetTest" display="Reset Test" xr:uid="{C6E968F6-A89C-442F-A0AC-BA7ABF55F044}"/>
    <hyperlink ref="B57:C57" location="TableFormatting.Test2.ResetTest" display="Reset Test" xr:uid="{7E746732-EBEF-49E4-BE94-F57093061195}"/>
    <hyperlink ref="B81:C81" location="TableFormatting.Test3.ResetTest" display="Reset Test" xr:uid="{D41723A6-7013-49D9-B59B-B09BB98748D2}"/>
    <hyperlink ref="B117" location="TableFormatting.Test4.ResetTest" display="Reset Test" xr:uid="{917E8DDA-4904-498B-A095-7B7F3681FFF7}"/>
    <hyperlink ref="B117:C117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1" location="TableFormatting.Test4.ResetTest" display="Reset Test" xr:uid="{A346A7D6-BC13-45E1-A933-5844A359F14E}"/>
    <hyperlink ref="B151:C151" location="TableFormatting.Test5.ResetTest" display="Reset Test" xr:uid="{AE57B19C-0F52-459D-A81B-6B12F4B8A5E9}"/>
    <hyperlink ref="B171" location="TableFormatting.Test4.ResetTest" display="Reset Test" xr:uid="{3232C02B-4A1D-485A-87BF-BC3F4B1652B2}"/>
    <hyperlink ref="B171:C171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1" location="TableFormatting.Test4.ResetTest" display="Reset Test" xr:uid="{E26FBFB9-A010-4C10-8036-2BC9DCEE3656}"/>
    <hyperlink ref="B191:C191" location="TableFormatting.Test7.ResetTest" display="Reset Test" xr:uid="{43399926-4CAA-44F5-BF67-C9E249613C8F}"/>
    <hyperlink ref="B13" location="TableFormatting.Test7.Title" display="Test 7" xr:uid="{F44D0772-A61F-42EC-9F2A-28C3142F91BD}"/>
    <hyperlink ref="B211" location="TableFormatting.Test4.ResetTest" display="Reset Test" xr:uid="{0687D9AA-52F5-4468-BEBB-53A2F7C0B3E3}"/>
    <hyperlink ref="B211:C211" location="TableFormatting.Test8.ResetTest" display="Reset Test" xr:uid="{4F397E9B-F98D-45B9-B2DC-E9242F71AE6A}"/>
    <hyperlink ref="B14" location="TableFormatting.Test8.Title" display="Test 8" xr:uid="{9309526C-C1DD-4F6F-9A89-5FFF93DA589B}"/>
    <hyperlink ref="B1" location="Summary!A1" display="Summary!A1" xr:uid="{52489BD2-6C38-4D07-9C8C-2D9AC78D0255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51</vt:i4>
      </vt:variant>
    </vt:vector>
  </HeadingPairs>
  <TitlesOfParts>
    <vt:vector size="69" baseType="lpstr">
      <vt:lpstr>Summary</vt:lpstr>
      <vt:lpstr>Utilities</vt:lpstr>
      <vt:lpstr>Dates</vt:lpstr>
      <vt:lpstr>Mathematics</vt:lpstr>
      <vt:lpstr>Stats</vt:lpstr>
      <vt:lpstr>Equities</vt:lpstr>
      <vt:lpstr>Equity Utils</vt:lpstr>
      <vt:lpstr>Interest Rates</vt:lpstr>
      <vt:lpstr>Rate Utils</vt:lpstr>
      <vt:lpstr>Curves</vt:lpstr>
      <vt:lpstr>Sinlge Curve Bootstrapping</vt:lpstr>
      <vt:lpstr>Multi Curve Bootstrapping</vt:lpstr>
      <vt:lpstr>HullWhite</vt:lpstr>
      <vt:lpstr>Fixed Income Instruments</vt:lpstr>
      <vt:lpstr>Interest Rate Swaps</vt:lpstr>
      <vt:lpstr>Other</vt:lpstr>
      <vt:lpstr>Test Utils</vt:lpstr>
      <vt:lpstr>Table Formatting</vt:lpstr>
      <vt:lpstr>Dates!Curves.Title</vt:lpstr>
      <vt:lpstr>'Equity Utils'!Curves.Title</vt:lpstr>
      <vt:lpstr>Mathematics!Curves.Title</vt:lpstr>
      <vt:lpstr>'Rate Utils'!Curves.Title</vt:lpstr>
      <vt:lpstr>Stats!Curves.Title</vt:lpstr>
      <vt:lpstr>Curves.Title</vt:lpstr>
      <vt:lpstr>Logic.Title</vt:lpstr>
      <vt:lpstr>Summary.ResetTestsInAllSheets</vt:lpstr>
      <vt:lpstr>Summary.RunTestsInAllSheets</vt:lpstr>
      <vt:lpstr>Summary.WorkbookTestingResults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TableFormatting.Test3.Expected.PrimaryHeader</vt:lpstr>
      <vt:lpstr>TableFormatting.Test3.Input</vt:lpstr>
      <vt:lpstr>TableFormatting.Test3.Output</vt:lpstr>
      <vt:lpstr>TableFormatting.Test3.Output.PrimaryHeader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TableFormatting.Test7.Expected.PrimaryHeader</vt:lpstr>
      <vt:lpstr>TableFormatting.Test7.Input</vt:lpstr>
      <vt:lpstr>TableFormatting.Test7.Output</vt:lpstr>
      <vt:lpstr>TableFormatting.Test7.Output.PrimaryHeader</vt:lpstr>
      <vt:lpstr>TableFormatting.Test7.ResetTest</vt:lpstr>
      <vt:lpstr>TableFormatting.Test7.Title</vt:lpstr>
      <vt:lpstr>TableFormatting.Test8.Expected.PrimaryHeader</vt:lpstr>
      <vt:lpstr>TableFormatting.Test8.Input</vt:lpstr>
      <vt:lpstr>TableFormatting.Test8.Output</vt:lpstr>
      <vt:lpstr>TableFormatting.Test8.Output.PrimaryHeader</vt:lpstr>
      <vt:lpstr>TableFormatting.Test8.ResetTest</vt:lpstr>
      <vt:lpstr>TableFormatting.Test8.Title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2022-11-28T07:46:22Z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