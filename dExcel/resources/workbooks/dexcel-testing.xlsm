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9C756582-8C48-41BD-B5B6-DB5AF46A3FA2}" xr6:coauthVersionLast="47" xr6:coauthVersionMax="47" xr10:uidLastSave="{00000000-0000-0000-0000-000000000000}"/>
  <bookViews>
    <workbookView xWindow="-120" yWindow="-21720" windowWidth="51840" windowHeight="21240" tabRatio="721" activeTab="11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 Bootstrapping" sheetId="27" r:id="rId12"/>
    <sheet name="Interest Rate Curves" sheetId="6" r:id="rId13"/>
    <sheet name="Curves" sheetId="1" r:id="rId14"/>
    <sheet name="SOFR Bootstrapping" sheetId="29" r:id="rId15"/>
    <sheet name="Single Curve Bootstrapping" sheetId="3" r:id="rId16"/>
    <sheet name="Dual Curve Bootstrapping" sheetId="28" r:id="rId17"/>
    <sheet name="Interest Rate Pricers" sheetId="20" r:id="rId18"/>
    <sheet name="Rate Utils" sheetId="17" r:id="rId19"/>
    <sheet name="HullWhite" sheetId="2" r:id="rId20"/>
    <sheet name="Fixed Income Instruments" sheetId="30" r:id="rId21"/>
    <sheet name="Interest Rate Swaps" sheetId="31" r:id="rId22"/>
    <sheet name="Other" sheetId="7" r:id="rId23"/>
    <sheet name="Fix EMS Links Utils" sheetId="25" r:id="rId24"/>
    <sheet name="Hyperlink Utils" sheetId="24" r:id="rId25"/>
    <sheet name="Test Utils" sheetId="9" r:id="rId26"/>
    <sheet name="Table Formatting" sheetId="5" r:id="rId27"/>
  </sheets>
  <externalReferences>
    <externalReference r:id="rId28"/>
    <externalReference r:id="rId29"/>
    <externalReference r:id="rId30"/>
  </externalReferences>
  <definedNames>
    <definedName name="_xlpm.K" hidden="1" xlm="1">#NAME?</definedName>
    <definedName name="_xlpm.r" hidden="1" xlm="1">#NAME?</definedName>
    <definedName name="_xlpm.S" hidden="1" xlm="1">#NAME?</definedName>
    <definedName name="_xlpm.sigma" hidden="1" xlm="1">#NAME?</definedName>
    <definedName name="_xlpm.T" hidden="1" xlm="1">#NAME?</definedName>
    <definedName name="_xlpm.x" hidden="1" xlm="1">#NAME?</definedName>
    <definedName name="_xlpm.y" hidden="1" xlm="1">#NAME?</definedName>
    <definedName name="BlackScholes">_xlfn.LAMBDA(_xlpm.S,_xlpm.K,_xlpm.T, (_xlpm.S - _xlpm.K)*_xlpm.T)</definedName>
    <definedName name="CurveBootstrapping.Title.CurveBootstrapping" localSheetId="16">'Dual Curve Bootstrapping'!$B$2</definedName>
    <definedName name="CurveBootstrapping.Title.CurveBootstrapping">'Single Curve Bootstrapping'!$B$2</definedName>
    <definedName name="CurveBootstrapping.Title.CurveBootstrappingMethodologyTests" localSheetId="16">'Dual Curve Bootstrapping'!#REF!</definedName>
    <definedName name="CurveBootstrapping.Title.CurveBootstrappingMethodologyTests">'Single Curve Bootstrapping'!$F$8</definedName>
    <definedName name="CurveBootstrapping.Title.CurveBootstrappingTests" localSheetId="16">'Dual Curve Bootstrapping'!#REF!</definedName>
    <definedName name="CurveBootstrapping.Title.CurveBootstrappingTests">'Single Curve Bootstrapping'!$F$8</definedName>
    <definedName name="CurveBootstrapping.Title.d.Curve_Get" localSheetId="16">'Dual Curve Bootstrapping'!#REF!</definedName>
    <definedName name="CurveBootstrapping.Title.d.Curve_Get">'Single Curve Bootstrapping'!$B$73</definedName>
    <definedName name="CurveBootstrapping.Title.d.Curve_GetInstruments" localSheetId="16">'Dual Curve Bootstrapping'!#REF!</definedName>
    <definedName name="CurveBootstrapping.Title.d.Curve_GetInstruments">'Single Curve Bootstrapping'!$B$101</definedName>
    <definedName name="CurveBootstrapping.Title.DualBoostrappedRealCurveFEDFUND" localSheetId="16">'Dual Curve Bootstrapping'!$B$17</definedName>
    <definedName name="CurveBootstrapping.Title.DualBoostrappedRealCurveFEDFUND">'Single Curve Bootstrapping'!#REF!</definedName>
    <definedName name="CurveBootstrapping.Title.ExceptionTesting" localSheetId="16">'Dual Curve Bootstrapping'!#REF!</definedName>
    <definedName name="CurveBootstrapping.Title.ExceptionTesting">'Single Curve Bootstrapping'!$BH$21</definedName>
    <definedName name="CurveBootstrapping.Title.FlatCurve3mJIBAR" localSheetId="16">'Dual Curve Bootstrapping'!#REF!</definedName>
    <definedName name="CurveBootstrapping.Title.FlatCurve3mJIBAR">'Single Curve Bootstrapping'!$B$23</definedName>
    <definedName name="CurveBootstrapping.Title.FunctionTests" localSheetId="16">'Dual Curve Bootstrapping'!#REF!</definedName>
    <definedName name="CurveBootstrapping.Title.FunctionTests">'Single Curve Bootstrapping'!$B$8</definedName>
    <definedName name="CurveBootstrapping.Title.GeneralFunctionTests" localSheetId="16">'Dual Curve Bootstrapping'!#REF!</definedName>
    <definedName name="CurveBootstrapping.Title.GeneralFunctionTests">'Single Curve Bootstrapping'!$B$8</definedName>
    <definedName name="CurveBootstrapping.Title.ManualCalculations" localSheetId="16">'Dual Curve Bootstrapping'!$F$20</definedName>
    <definedName name="CurveBootstrapping.Title.ManualCalculations">'Single Curve Bootstrapping'!#REF!</definedName>
    <definedName name="CurveBootstrapping.Title.OldBootstrapperCalculations" localSheetId="16">'Dual Curve Bootstrapping'!$K$20</definedName>
    <definedName name="CurveBootstrapping.Title.OldBootstrapperCalculations">'Single Curve Bootstrapping'!#REF!</definedName>
    <definedName name="CurveBootstrapping.Title.RealCurve3mJIBAR" localSheetId="16">'Dual Curve Bootstrapping'!#REF!</definedName>
    <definedName name="CurveBootstrapping.Title.RealCurve3mJIBAR">'Single Curve Bootstrapping'!$L$23</definedName>
    <definedName name="CurveBootstrapping.Title.RealCurveFEDFUND" localSheetId="16">'Dual Curve Bootstrapping'!#REF!</definedName>
    <definedName name="CurveBootstrapping.Title.RealCurveFEDFUND">'Single Curve Bootstrapping'!$AB$23</definedName>
    <definedName name="CurveBootstrapping.Title.TestResults" localSheetId="16">'Dual Curve Bootstrapping'!$B$4</definedName>
    <definedName name="CurveBootstrapping.Title.TestResults">'Single Curve Bootstrapping'!$B$4</definedName>
    <definedName name="CurveBootstrapping.Title.Tests" localSheetId="16">'Dual Curve Bootstrapping'!#REF!</definedName>
    <definedName name="CurveBootstrapping.Title.Tests">'Single Curve Bootstrapping'!$Q$31</definedName>
    <definedName name="CurveBootstrapping.Title.USDOISCurveTesting" localSheetId="16">'Dual Curve Bootstrapping'!#REF!</definedName>
    <definedName name="CurveBootstrapping.Title.USDOISCurveTesting">'Single Curve Bootstrapping'!$AB$21</definedName>
    <definedName name="CurveBootstrapping.Title.USDSwapCurveDualBootstrappedTesting" localSheetId="16">'Dual Curve Bootstrapping'!$B$15</definedName>
    <definedName name="CurveBootstrapping.Title.USDSwapCurveDualBootstrappedTesting">'Single Curve Bootstrapping'!#REF!</definedName>
    <definedName name="CurveBootstrapping.Title.USDSwapCurveTesting" localSheetId="16">'Dual Curve Bootstrapping'!$B$15</definedName>
    <definedName name="CurveBootstrapping.Title.USDSwapCurveTesting">'Single Curve Bootstrapping'!#REF!</definedName>
    <definedName name="CurveBootstrapping.Title.ZARSwapCurveTesting" localSheetId="16">'Dual Curve Bootstrapping'!#REF!</definedName>
    <definedName name="CurveBootstrapping.Title.ZARSwapCurveTesting">'Single Curve Bootstrapping'!$L$21</definedName>
    <definedName name="Curves.Title" localSheetId="14">'SOFR Bootstrapping'!$B$2</definedName>
    <definedName name="Curves.Title">Curves!$B$2</definedName>
    <definedName name="Curves.Title.Curves" localSheetId="14">'SOFR Bootstrapping'!$B$2</definedName>
    <definedName name="Curves.Title.Curves">Curves!$B$2</definedName>
    <definedName name="Curves.Title.d.Curve_Create" localSheetId="14">'SOFR Bootstrapping'!#REF!</definedName>
    <definedName name="Curves.Title.d.Curve_Create">Curves!$B$18</definedName>
    <definedName name="Curves.Title.d.Curve_CreateFromDiscountFactors" localSheetId="14">'SOFR Bootstrapping'!#REF!</definedName>
    <definedName name="Curves.Title.d.Curve_CreateFromDiscountFactors">Curves!$B$18</definedName>
    <definedName name="Curves.Title.d.Curve_CreateFromZeroRates" localSheetId="14">'SOFR Bootstrapping'!$B$10</definedName>
    <definedName name="Curves.Title.d.Curve_CreateFromZeroRates">Curves!$B$43</definedName>
    <definedName name="Curves.Title.d.Curve_GetDiscountFactors" localSheetId="14">'SOFR Bootstrapping'!#REF!</definedName>
    <definedName name="Curves.Title.d.Curve_GetDiscountFactors">Curves!$B$67</definedName>
    <definedName name="Curves.Title.d.Curve_GetForwardRates" localSheetId="14">'SOFR Bootstrapping'!#REF!</definedName>
    <definedName name="Curves.Title.d.Curve_GetForwardRates">Curves!$B$105</definedName>
    <definedName name="Curves.Title.d.Curve_GetInstruments" localSheetId="14">'SOFR Bootstrapping'!#REF!</definedName>
    <definedName name="Curves.Title.d.Curve_GetInstruments">Curves!$B$119</definedName>
    <definedName name="Curves.Title.d.Curve_GetInterpolationMethodsForBootstrapping" localSheetId="14">'SOFR Bootstrapping'!#REF!</definedName>
    <definedName name="Curves.Title.d.Curve_GetInterpolationMethodsForBootstrapping">Curves!$B$159</definedName>
    <definedName name="Curves.Title.d.Curve_GetInterpolationMethodsForDiscountFactors" localSheetId="14">'SOFR Bootstrapping'!#REF!</definedName>
    <definedName name="Curves.Title.d.Curve_GetInterpolationMethodsForDiscountFactors">Curves!$B$172</definedName>
    <definedName name="Curves.Title.d.Curve_GetInterpolationMethodsForZeroRates" localSheetId="14">'SOFR Bootstrapping'!#REF!</definedName>
    <definedName name="Curves.Title.d.Curve_GetInterpolationMethodsForZeroRates">Curves!$B$185</definedName>
    <definedName name="Curves.Title.d.Curve_GetRateIndices" localSheetId="14">'SOFR Bootstrapping'!#REF!</definedName>
    <definedName name="Curves.Title.d.Curve_GetRateIndices">Curves!$B$128</definedName>
    <definedName name="Curves.Title.d.Curve_GetZeroRates" localSheetId="14">'SOFR Bootstrapping'!#REF!</definedName>
    <definedName name="Curves.Title.d.Curve_GetZeroRates">Curves!$B$90</definedName>
    <definedName name="Curves.Title.Setup" localSheetId="14">'SOFR Bootstrapping'!#REF!</definedName>
    <definedName name="Curves.Title.Setup">Curves!$B$22</definedName>
    <definedName name="Curves.Title.Test1" localSheetId="14">'SOFR Bootstrapping'!#REF!</definedName>
    <definedName name="Curves.Title.Test1">Curves!$B$71</definedName>
    <definedName name="Curves.Title.Test2" localSheetId="14">'SOFR Bootstrapping'!#REF!</definedName>
    <definedName name="Curves.Title.Test2">Curves!$X$92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Dates!$B$206</definedName>
    <definedName name="Dates.Title.d.Dates_GetAvailableBusinessDayConventions">Dates!$B$222</definedName>
    <definedName name="Dates.Title.d.Dates_GetAvailableDayCountConventions">Dates!$B$237</definedName>
    <definedName name="Dates.Title.d.Dates_GetListOfCalendars">Dates!$B$131</definedName>
    <definedName name="Dates.Title.d.Dates_GetListOfHolidays">Dates!$B$179</definedName>
    <definedName name="Dates.Title.d.Dates_GetWeekday">Dates!$B$251</definedName>
    <definedName name="Dates.Title.d.Dates_IsBusinessDay">Dates!$B$267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Dates!$B$271</definedName>
    <definedName name="Dates.Title.Test1BackwardRule">Dates!$B$210</definedName>
    <definedName name="Dates.Title.Test1CustomHolidays">Dates!$B$106</definedName>
    <definedName name="Dates.Title.Test1SingleCalendar">Dates!$B$183</definedName>
    <definedName name="Dates.Title.Test2ForwardRule">Dates!$I$210</definedName>
    <definedName name="Dates.Title.Test2IMMRule">Dates!$P$210</definedName>
    <definedName name="Dates.Title.Test2JointCalendar">Dates!$I$183</definedName>
    <definedName name="Dates.Title.Test2MultipleCustomHolidays">Dates!$I$76</definedName>
    <definedName name="Dates.Title.Test2SpecificCalendar">Dates!$I$106</definedName>
    <definedName name="Dates.Title.Test3InvalidCalendar">Dates!$W$210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dOne">_xlfn.LAMBDA(_xlpm.S,_xlpm.K,_xlpm.r,_xlpm.sigma,_xlpm.T, (LOG(_xlpm.S / _xlpm.K) + (_xlpm.r - 0.5*_xlpm.sigma^2) * _xlpm.T)/(_xlpm.sigma * SQRT(_xlpm.T)))</definedName>
    <definedName name="FixEMSLinks.File1.Array">'Fix EMS Links Utils'!$B$26:$D$28</definedName>
    <definedName name="FixEMSLinks.File1.Array.ActualPath" localSheetId="20">'[1]Fix EMS Links Utils'!$R$26</definedName>
    <definedName name="FixEMSLinks.File1.Array.ActualPath" localSheetId="21">'[1]Fix EMS Links Utils'!$R$26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 localSheetId="20">'[1]Fix EMS Links Utils'!$R$31</definedName>
    <definedName name="FixEMSLinks.File1.ArrayNamedRange.ActualPath" localSheetId="21">'[1]Fix EMS Links Utils'!$R$31</definedName>
    <definedName name="FixEMSLinks.File1.ArrayNamedRange.ActualPath">'Fix EMS Links Utils'!$R$31</definedName>
    <definedName name="FixEMSLinks.File1.SingleCell" localSheetId="20">'[1]Fix EMS Links Utils'!$D$20</definedName>
    <definedName name="FixEMSLinks.File1.SingleCell" localSheetId="21">'[1]Fix EMS Links Utils'!$D$20</definedName>
    <definedName name="FixEMSLinks.File1.SingleCell">'Fix EMS Links Utils'!$D$20</definedName>
    <definedName name="FixEMSLinks.File1.SingleCell.ActualPath" localSheetId="20">'[1]Fix EMS Links Utils'!$R$20</definedName>
    <definedName name="FixEMSLinks.File1.SingleCell.ActualPath" localSheetId="21">'[1]Fix EMS Links Utils'!$R$20</definedName>
    <definedName name="FixEMSLinks.File1.SingleCell.ActualPath">'Fix EMS Links Utils'!$R$20</definedName>
    <definedName name="FixEMSLinks.File1.SingleCellNamedRange" localSheetId="20">'[1]Fix EMS Links Utils'!$D$23</definedName>
    <definedName name="FixEMSLinks.File1.SingleCellNamedRange" localSheetId="21">'[1]Fix EMS Links Utils'!$D$23</definedName>
    <definedName name="FixEMSLinks.File1.SingleCellNamedRange">'Fix EMS Links Utils'!$D$23</definedName>
    <definedName name="FixEMSLinks.File1.SingleCellNamedRange.ActualPath" localSheetId="20">'[1]Fix EMS Links Utils'!$R$23</definedName>
    <definedName name="FixEMSLinks.File1.SingleCellNamedRange.ActualPath" localSheetId="21">'[1]Fix EMS Links Utils'!$R$23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 localSheetId="20">'[1]Fix EMS Links Utils'!$R$45</definedName>
    <definedName name="FixEMSLinks.File2.Array.ActualPath" localSheetId="21">'[1]Fix EMS Links Utils'!$R$45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 localSheetId="20">'[1]Fix EMS Links Utils'!$R$50</definedName>
    <definedName name="FixEMSLinks.File2.ArrayNamedRange.ActualPath" localSheetId="21">'[1]Fix EMS Links Utils'!$R$50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 localSheetId="20">'[1]Fix EMS Links Utils'!$R$39</definedName>
    <definedName name="FixEMSLinks.File2.SingleCell.ActualPath" localSheetId="21">'[1]Fix EMS Links Utils'!$R$39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 localSheetId="20">'[1]Fix EMS Links Utils'!$R$42</definedName>
    <definedName name="FixEMSLinks.File2.SingleCellNamedRange.ActualPath" localSheetId="21">'[1]Fix EMS Links Utils'!$R$42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 localSheetId="20">'[1]Fix EMS Links Utils'!#REF!</definedName>
    <definedName name="FixEMSLinkUtils.Test1.Run" localSheetId="21">'[1]Fix EMS Links Utils'!#REF!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 localSheetId="20">'[1]Fix EMS Links Utils'!#REF!</definedName>
    <definedName name="FixEMSLinkUtils.Title.Test1SingleCellHeadingwithSingleWord" localSheetId="21">'[1]Fix EMS Links Utils'!#REF!</definedName>
    <definedName name="FixEMSLinkUtils.Title.Test1SingleCellHeadingwithSingleWord">'Fix EMS Links Utils'!#REF!</definedName>
    <definedName name="FXCurveBootstrapping.Title.d.Curve_BootstrapFxBasisAdjustedCurve">'FX Curve Bootstrapping'!$B$10</definedName>
    <definedName name="FXCurveBootstrapping.Title.ExceptionHandling">'FX Curve Bootstrapping'!$AG$10</definedName>
    <definedName name="FXCurveBootstrapping.Title.FXCurveBootstrapping">'FX Curve Bootstrapping'!$B$2</definedName>
    <definedName name="FXCurveBootstrapping.Title.MissingBaseDateParameter">'FX Curve Bootstrapping'!$AG$14</definedName>
    <definedName name="FXCurveBootstrapping.Title.MissingSpotFxParameter">'FX Curve Bootstrapping'!$AO$14</definedName>
    <definedName name="FXCurveBootstrapping.Title.OldBootstrapperCalculations">'FX Curve Bootstrapping'!$U$118</definedName>
    <definedName name="FXCurveBootstrapping.Title.UnsupportedInstrument">'FX Curve Bootstrapping'!$AW$14</definedName>
    <definedName name="FXCurveBootstrapping.Title.USDZARFXBasisAdjustedCurveBootstrapping">'FX Curve Bootstrapping'!$B$10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 localSheetId="20">'[1]Hyperlink Utils'!$C$40</definedName>
    <definedName name="HyperlinkUtils.Test3.TestResult" localSheetId="21">'[1]Hyperlink Utils'!$C$40</definedName>
    <definedName name="HyperlinkUtils.Test3.TestResult">'Hyperlink Utils'!$C$40</definedName>
    <definedName name="HyperlinkUtils.Test4.ActionCheck" localSheetId="23">'Fix EMS Links Utils'!#REF!</definedName>
    <definedName name="HyperlinkUtils.Test4.ActionCheck">'Hyperlink Utils'!$E$59</definedName>
    <definedName name="HyperlinkUtils.Test4.Actual" localSheetId="23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 localSheetId="20">'[1]Hyperlink Utils'!$C$52</definedName>
    <definedName name="HyperlinkUtils.Test4.TestResult" localSheetId="21">'[1]Hyperlink Utils'!$C$52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 localSheetId="20">'[1]Hyperlink Utils'!$C$64</definedName>
    <definedName name="HyperlinkUtils.Test5.TestResult" localSheetId="21">'[1]Hyperlink Utils'!$C$64</definedName>
    <definedName name="HyperlinkUtils.Test5.TestResult">'Hyperlink Utils'!$C$64</definedName>
    <definedName name="HyperlinkUtils.Title.Heading1" localSheetId="23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3">'Fix EMS Links Utils'!$B$2</definedName>
    <definedName name="HyperlinkUtils.Title.HyperlinkUtils">'Hyperlink Utils'!$B$2</definedName>
    <definedName name="HyperlinkUtils.Title.MyHeading" localSheetId="23">'Fix EMS Links Utils'!#REF!</definedName>
    <definedName name="HyperlinkUtils.Title.MyHeading">'Hyperlink Utils'!$T$11</definedName>
    <definedName name="HyperlinkUtils.Title.Test" localSheetId="23">'Fix EMS Links Utils'!#REF!</definedName>
    <definedName name="HyperlinkUtils.Title.Test">'Hyperlink Utils'!$M$8</definedName>
    <definedName name="HyperlinkUtils.Title.Test1" localSheetId="23">'Fix EMS Links Utils'!#REF!</definedName>
    <definedName name="HyperlinkUtils.Title.Test1">'Hyperlink Utils'!$B$14</definedName>
    <definedName name="HyperlinkUtils.Title.Test1SingleCellHeadingwithSingleWord" localSheetId="23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InterestRateSwaps.Title.d.IR_CreateConstantNotionalCrossCurrencySwap">'Interest Rate Swaps'!$B$156</definedName>
    <definedName name="InterestRateSwaps.Title.d.IR_CreateConstantNotionalFloatingLeg">'Interest Rate Swaps'!$B$132</definedName>
    <definedName name="InterestRateSwaps.Title.d.IR_CreateFloatForFloatInterestRateSwap">'Interest Rate Swaps'!$B$108</definedName>
    <definedName name="InterestRateSwaps.Title.d.IR_CreateNonStandardInterestRateSwap">'Interest Rate Swaps'!$B$68</definedName>
    <definedName name="InterestRateSwaps.Title.d.IR_CreateReferenceRateIndex">'Interest Rate Swaps'!$B$26</definedName>
    <definedName name="InterestRateSwaps.Title.d.IR_CreateVanillaInterestRateSwap">'Interest Rate Swaps'!$B$40</definedName>
    <definedName name="InterestRateSwaps.Title.InterestRateSwaps">'Interest Rate Swaps'!$B$2</definedName>
    <definedName name="InterestRateSwaps.Title.SimplifiedTestInputs">'Interest Rate Swaps'!$B$16</definedName>
    <definedName name="InterestRateSwaps.Title.TestResults">'Interest Rate Swaps'!$B$4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Myadd">_xlfn.LAMBDA(_xlpm.x,_xlpm.y, _xlpm.x+_xlpm.y)</definedName>
    <definedName name="SinlgeCurveBootstrapping.Title.CurveBootstrappingTests" localSheetId="16">'Dual Curve Bootstrapping'!#REF!</definedName>
    <definedName name="SinlgeCurveBootstrapping.Title.CurveBootstrappingTests">'Single Curve Bootstrapping'!$F$8</definedName>
    <definedName name="SinlgeCurveBootstrapping.Title.d.Curve_GetInstruments" localSheetId="16">'Dual Curve Bootstrapping'!#REF!</definedName>
    <definedName name="SinlgeCurveBootstrapping.Title.d.Curve_GetInstruments">'Single Curve Bootstrapping'!$B$101</definedName>
    <definedName name="SinlgeCurveBootstrapping.Title.ExceptionTesting" localSheetId="16">'Dual Curve Bootstrapping'!#REF!</definedName>
    <definedName name="SinlgeCurveBootstrapping.Title.ExceptionTesting">'Single Curve Bootstrapping'!$BH$21</definedName>
    <definedName name="SinlgeCurveBootstrapping.Title.FlatCurve3mJIBAR" localSheetId="16">'Dual Curve Bootstrapping'!#REF!</definedName>
    <definedName name="SinlgeCurveBootstrapping.Title.FlatCurve3mJIBAR">'Single Curve Bootstrapping'!$B$23</definedName>
    <definedName name="SinlgeCurveBootstrapping.Title.FunctionTests" localSheetId="16">'Dual Curve Bootstrapping'!#REF!</definedName>
    <definedName name="SinlgeCurveBootstrapping.Title.FunctionTests">'Single Curve Bootstrapping'!$B$8</definedName>
    <definedName name="SinlgeCurveBootstrapping.Title.NonFlatCurveFEDFUND" localSheetId="16">'Dual Curve Bootstrapping'!#REF!</definedName>
    <definedName name="SinlgeCurveBootstrapping.Title.NonFlatCurveFEDFUND">'Single Curve Bootstrapping'!$AB$23</definedName>
    <definedName name="SinlgeCurveBootstrapping.Title.RealCurve3mJIBAR" localSheetId="16">'Dual Curve Bootstrapping'!#REF!</definedName>
    <definedName name="SinlgeCurveBootstrapping.Title.RealCurve3mJIBAR">'Single Curve Bootstrapping'!$L$23</definedName>
    <definedName name="SinlgeCurveBootstrapping.Title.RealCurveFEDFUND" localSheetId="16">'Dual Curve Bootstrapping'!$B$17</definedName>
    <definedName name="SinlgeCurveBootstrapping.Title.RealCurveFEDFUND">'Single Curve Bootstrapping'!#REF!</definedName>
    <definedName name="SinlgeCurveBootstrapping.Title.SingleCurveBootstrapping" localSheetId="16">'Dual Curve Bootstrapping'!$B$2</definedName>
    <definedName name="SinlgeCurveBootstrapping.Title.SingleCurveBootstrapping">'Single Curve Bootstrapping'!$B$2</definedName>
    <definedName name="SinlgeCurveBootstrapping.Title.TestResults" localSheetId="16">'Dual Curve Bootstrapping'!$B$4</definedName>
    <definedName name="SinlgeCurveBootstrapping.Title.TestResults">'Single Curve Bootstrapping'!$B$4</definedName>
    <definedName name="SinlgeCurveBootstrapping.Title.Tests" localSheetId="16">'Dual Curve Bootstrapping'!#REF!</definedName>
    <definedName name="SinlgeCurveBootstrapping.Title.Tests">'Single Curve Bootstrapping'!$Q$31</definedName>
    <definedName name="SinlgeCurveBootstrapping.Title.USDOISCurveTesting" localSheetId="16">'Dual Curve Bootstrapping'!#REF!</definedName>
    <definedName name="SinlgeCurveBootstrapping.Title.USDOISCurveTesting">'Single Curve Bootstrapping'!$AB$21</definedName>
    <definedName name="SinlgeCurveBootstrapping.Title.USDSwapCurveTesting" localSheetId="16">'Dual Curve Bootstrapping'!$B$15</definedName>
    <definedName name="SinlgeCurveBootstrapping.Title.USDSwapCurveTesting">'Single Curve Bootstrapping'!#REF!</definedName>
    <definedName name="SinlgeCurveBootstrapping.Title.ZARSwapCurveTesting" localSheetId="16">'Dual Curve Bootstrapping'!#REF!</definedName>
    <definedName name="SinlgeCurveBootstrapping.Title.ZARSwapCurveTesting">'Single Curve Bootstrapping'!$L$21</definedName>
    <definedName name="SOFRBootstrapping.Title.d.Curve_Bootstrap">'SOFR Bootstrapping'!$B$10</definedName>
    <definedName name="SOFRBootstrapping.Title.d.Curve_Get">'SOFR Bootstrapping'!$M$10</definedName>
    <definedName name="SOFRBootstrapping.Title.OldBootstrapperCalculations">'SOFR Bootstrapping'!$Q$19</definedName>
    <definedName name="SOFRBootstrapping.Title.SOFRBootstrapping">'SOFR Bootstrapping'!$B$2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  <definedName name="ValuationDate" localSheetId="21">'Interest Rate Swaps'!$C$19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9" i="27" l="1" a="1"/>
  <c r="E69" i="27"/>
  <c r="B69" i="27" a="1"/>
  <c r="B69" i="27"/>
  <c r="N69" i="27" a="1"/>
  <c r="N69" i="27"/>
  <c r="O76" i="27"/>
  <c r="O75" i="27"/>
  <c r="O74" i="27"/>
  <c r="J16" i="27" a="1"/>
  <c r="J16" i="27"/>
  <c r="F16" i="27" a="1"/>
  <c r="F16" i="27"/>
  <c r="B16" i="27" a="1"/>
  <c r="B16" i="27"/>
  <c r="O119" i="27"/>
  <c r="O117" i="27"/>
  <c r="C72" i="27" a="1"/>
  <c r="C72" i="27"/>
  <c r="AW44" i="3" a="1"/>
  <c r="AW44" i="3"/>
  <c r="AW45" i="3"/>
  <c r="AW46" i="3"/>
  <c r="AW47" i="3"/>
  <c r="AW48" i="3"/>
  <c r="AW49" i="3"/>
  <c r="AW50" i="3"/>
  <c r="AW51" i="3"/>
  <c r="AW52" i="3"/>
  <c r="AW53" i="3"/>
  <c r="AW54" i="3"/>
  <c r="AW55" i="3"/>
  <c r="AW38" i="3" a="1"/>
  <c r="AW38" i="3"/>
  <c r="AW37" i="3" a="1"/>
  <c r="AW37" i="3"/>
  <c r="AW36" i="3" a="1"/>
  <c r="AW36" i="3"/>
  <c r="AW35" i="3" a="1"/>
  <c r="AW35" i="3"/>
  <c r="AW34" i="3" a="1"/>
  <c r="AW34" i="3"/>
  <c r="AW33" i="3" a="1"/>
  <c r="AW33" i="3"/>
  <c r="AQ29" i="3" a="1"/>
  <c r="AQ29" i="3"/>
  <c r="AX60" i="3"/>
  <c r="AX60" i="3" a="1"/>
  <c r="AW60" i="3"/>
  <c r="AV60" i="3"/>
  <c r="AX59" i="3"/>
  <c r="AX59" i="3" a="1"/>
  <c r="AW59" i="3"/>
  <c r="AV59" i="3"/>
  <c r="AV55" i="3"/>
  <c r="AV55" i="3" a="1"/>
  <c r="AV54" i="3"/>
  <c r="AV54" i="3" a="1"/>
  <c r="AV53" i="3"/>
  <c r="AV53" i="3" a="1"/>
  <c r="AV52" i="3"/>
  <c r="AV52" i="3" a="1"/>
  <c r="AV51" i="3"/>
  <c r="AV51" i="3" a="1"/>
  <c r="AV50" i="3"/>
  <c r="AV50" i="3" a="1"/>
  <c r="AV49" i="3"/>
  <c r="AV49" i="3" a="1"/>
  <c r="AV48" i="3"/>
  <c r="AV48" i="3" a="1"/>
  <c r="AV47" i="3"/>
  <c r="AV47" i="3" a="1"/>
  <c r="AV46" i="3"/>
  <c r="AV46" i="3" a="1"/>
  <c r="AV45" i="3"/>
  <c r="AV45" i="3" a="1"/>
  <c r="AX44" i="3"/>
  <c r="AX44" i="3" a="1"/>
  <c r="AV44" i="3"/>
  <c r="AV44" i="3" a="1"/>
  <c r="AU55" i="3"/>
  <c r="AU54" i="3"/>
  <c r="AU53" i="3"/>
  <c r="AU52" i="3"/>
  <c r="AU51" i="3"/>
  <c r="AU50" i="3"/>
  <c r="AU49" i="3"/>
  <c r="AU48" i="3"/>
  <c r="AU47" i="3"/>
  <c r="AU46" i="3"/>
  <c r="AU45" i="3"/>
  <c r="AU44" i="3"/>
  <c r="AU43" i="3"/>
  <c r="AU43" i="3" a="1"/>
  <c r="AX38" i="3"/>
  <c r="AX38" i="3" a="1"/>
  <c r="AV38" i="3"/>
  <c r="AU38" i="3"/>
  <c r="AX37" i="3"/>
  <c r="AX37" i="3" a="1"/>
  <c r="AV37" i="3"/>
  <c r="AU37" i="3"/>
  <c r="AX36" i="3"/>
  <c r="AX36" i="3" a="1"/>
  <c r="AV36" i="3"/>
  <c r="AU36" i="3"/>
  <c r="AX35" i="3"/>
  <c r="AX35" i="3" a="1"/>
  <c r="AV35" i="3"/>
  <c r="AU35" i="3"/>
  <c r="AX34" i="3"/>
  <c r="AX34" i="3" a="1"/>
  <c r="AV34" i="3"/>
  <c r="AU34" i="3"/>
  <c r="AX33" i="3"/>
  <c r="AX33" i="3" a="1"/>
  <c r="AU33" i="3"/>
  <c r="AR25" i="3"/>
  <c r="AR25" i="3" a="1"/>
  <c r="C65" i="27"/>
  <c r="C65" i="27" a="1"/>
  <c r="D6" i="8" a="1"/>
  <c r="D6" i="8"/>
  <c r="D5" i="8" a="1"/>
  <c r="D5" i="8"/>
  <c r="C4" i="15" a="1"/>
  <c r="C4" i="15"/>
  <c r="C46" i="15" a="1"/>
  <c r="C46" i="15"/>
  <c r="C62" i="15" a="1"/>
  <c r="C62" i="15"/>
  <c r="E10" i="15"/>
  <c r="E9" i="15"/>
  <c r="B66" i="15" a="1"/>
  <c r="B66" i="15"/>
  <c r="B49" i="15" a="1"/>
  <c r="B49" i="15"/>
  <c r="C43" i="8"/>
  <c r="C42" i="8"/>
  <c r="C35" i="8"/>
  <c r="C4" i="29" a="1"/>
  <c r="C4" i="29"/>
  <c r="D8" i="29"/>
  <c r="M15" i="29" a="1"/>
  <c r="M15" i="29"/>
  <c r="C163" i="31"/>
  <c r="C138" i="31"/>
  <c r="C126" i="31"/>
  <c r="C148" i="31" s="1"/>
  <c r="C116" i="31"/>
  <c r="C114" i="31"/>
  <c r="C79" i="31"/>
  <c r="C74" i="31"/>
  <c r="C58" i="31"/>
  <c r="C48" i="31"/>
  <c r="C46" i="31"/>
  <c r="B13" i="31"/>
  <c r="B12" i="31"/>
  <c r="B11" i="31"/>
  <c r="B10" i="31"/>
  <c r="B9" i="31"/>
  <c r="C23" i="31" a="1"/>
  <c r="B83" i="31" a="1"/>
  <c r="C22" i="31" a="1"/>
  <c r="C21" i="31" a="1"/>
  <c r="C24" i="31" a="1"/>
  <c r="C20" i="31" a="1"/>
  <c r="C20" i="31" l="1"/>
  <c r="C32" i="31" s="1"/>
  <c r="C24" i="31"/>
  <c r="C21" i="31"/>
  <c r="F32" i="31" s="1"/>
  <c r="C22" i="31"/>
  <c r="I32" i="31" s="1"/>
  <c r="B83" i="31"/>
  <c r="C23" i="31"/>
  <c r="F38" i="31" a="1"/>
  <c r="I38" i="31" a="1"/>
  <c r="C38" i="31" a="1"/>
  <c r="C38" i="31" l="1"/>
  <c r="I38" i="31"/>
  <c r="F38" i="31"/>
  <c r="C127" i="31"/>
  <c r="C80" i="31"/>
  <c r="C179" i="31"/>
  <c r="C59" i="31"/>
  <c r="D179" i="31"/>
  <c r="C149" i="31"/>
  <c r="C124" i="31" l="1"/>
  <c r="C57" i="31"/>
  <c r="C78" i="31"/>
  <c r="C177" i="31"/>
  <c r="C125" i="31"/>
  <c r="C147" i="31"/>
  <c r="D177" i="31"/>
  <c r="C61" i="31" a="1"/>
  <c r="C105" i="31" a="1"/>
  <c r="C181" i="31" a="1"/>
  <c r="C152" i="31" a="1"/>
  <c r="C129" i="31" a="1"/>
  <c r="C129" i="31" l="1"/>
  <c r="C152" i="31"/>
  <c r="C181" i="31"/>
  <c r="C105" i="31"/>
  <c r="C61" i="31"/>
  <c r="F137" i="31" a="1"/>
  <c r="C153" i="31" a="1"/>
  <c r="F161" i="31" a="1"/>
  <c r="C182" i="31" a="1"/>
  <c r="F83" i="31" a="1"/>
  <c r="C106" i="31" a="1"/>
  <c r="C62" i="31" a="1"/>
  <c r="F46" i="31" a="1"/>
  <c r="F113" i="31" a="1"/>
  <c r="C130" i="31" a="1"/>
  <c r="Y143" i="31" a="1"/>
  <c r="Y138" i="31" a="1"/>
  <c r="Y145" i="31" a="1"/>
  <c r="Y140" i="31" a="1"/>
  <c r="Y147" i="31" a="1"/>
  <c r="Y142" i="31" a="1"/>
  <c r="Y146" i="31" a="1"/>
  <c r="Y144" i="31" a="1"/>
  <c r="Y137" i="31" a="1"/>
  <c r="Y139" i="31" a="1"/>
  <c r="Y141" i="31" a="1"/>
  <c r="Y148" i="31" a="1"/>
  <c r="X141" i="31" a="1"/>
  <c r="X143" i="31" a="1"/>
  <c r="X138" i="31" a="1"/>
  <c r="X145" i="31" a="1"/>
  <c r="X140" i="31" a="1"/>
  <c r="X142" i="31" a="1"/>
  <c r="X144" i="31" a="1"/>
  <c r="X137" i="31" a="1"/>
  <c r="X139" i="31" a="1"/>
  <c r="X146" i="31" a="1"/>
  <c r="Z162" i="31" a="1"/>
  <c r="Z172" i="31" a="1"/>
  <c r="Z169" i="31" a="1"/>
  <c r="Z167" i="31" a="1"/>
  <c r="Z165" i="31" a="1"/>
  <c r="Z163" i="31" a="1"/>
  <c r="Z171" i="31" a="1"/>
  <c r="Z161" i="31" a="1"/>
  <c r="Z170" i="31" a="1"/>
  <c r="Z168" i="31" a="1"/>
  <c r="Z166" i="31" a="1"/>
  <c r="Z164" i="31" a="1"/>
  <c r="Z183" i="31" a="1"/>
  <c r="Z181" i="31" a="1"/>
  <c r="Z176" i="31" a="1"/>
  <c r="Z174" i="31" a="1"/>
  <c r="Z179" i="31" a="1"/>
  <c r="Z182" i="31" a="1"/>
  <c r="Z177" i="31" a="1"/>
  <c r="Z184" i="31" a="1"/>
  <c r="Z175" i="31" a="1"/>
  <c r="Z173" i="31" a="1"/>
  <c r="Z180" i="31" a="1"/>
  <c r="Z178" i="31" a="1"/>
  <c r="Y178" i="31" a="1"/>
  <c r="Y181" i="31" a="1"/>
  <c r="Y176" i="31" a="1"/>
  <c r="Y174" i="31" a="1"/>
  <c r="Y179" i="31" a="1"/>
  <c r="Y182" i="31" a="1"/>
  <c r="Y177" i="31" a="1"/>
  <c r="Y175" i="31" a="1"/>
  <c r="Y173" i="31" a="1"/>
  <c r="Y180" i="31" a="1"/>
  <c r="Y170" i="31" a="1"/>
  <c r="Y168" i="31" a="1"/>
  <c r="Y166" i="31" a="1"/>
  <c r="Y164" i="31" a="1"/>
  <c r="Y162" i="31" a="1"/>
  <c r="Y169" i="31" a="1"/>
  <c r="Y167" i="31" a="1"/>
  <c r="Y165" i="31" a="1"/>
  <c r="Y163" i="31" a="1"/>
  <c r="Y161" i="31" a="1"/>
  <c r="AC102" i="31" a="1"/>
  <c r="AC100" i="31" a="1"/>
  <c r="AC98" i="31" a="1"/>
  <c r="AC96" i="31" a="1"/>
  <c r="AC94" i="31" a="1"/>
  <c r="AC92" i="31" a="1"/>
  <c r="AC90" i="31" a="1"/>
  <c r="AC88" i="31" a="1"/>
  <c r="AC86" i="31" a="1"/>
  <c r="AC84" i="31" a="1"/>
  <c r="AC93" i="31" a="1"/>
  <c r="AC83" i="31" a="1"/>
  <c r="AC91" i="31" a="1"/>
  <c r="AC85" i="31" a="1"/>
  <c r="AC101" i="31" a="1"/>
  <c r="AC99" i="31" a="1"/>
  <c r="AC97" i="31" a="1"/>
  <c r="AC95" i="31" a="1"/>
  <c r="AC89" i="31" a="1"/>
  <c r="AC87" i="31" a="1"/>
  <c r="AA101" i="31" a="1"/>
  <c r="AA99" i="31" a="1"/>
  <c r="AA97" i="31" a="1"/>
  <c r="AA95" i="31" a="1"/>
  <c r="AA93" i="31" a="1"/>
  <c r="AA91" i="31" a="1"/>
  <c r="AA89" i="31" a="1"/>
  <c r="AA87" i="31" a="1"/>
  <c r="AA85" i="31" a="1"/>
  <c r="AA83" i="31" a="1"/>
  <c r="AA84" i="31" a="1"/>
  <c r="AA102" i="31" a="1"/>
  <c r="AA100" i="31" a="1"/>
  <c r="AA98" i="31" a="1"/>
  <c r="AA96" i="31" a="1"/>
  <c r="AA94" i="31" a="1"/>
  <c r="AA92" i="31" a="1"/>
  <c r="AA90" i="31" a="1"/>
  <c r="AA88" i="31" a="1"/>
  <c r="AA86" i="31" a="1"/>
  <c r="AC59" i="31" a="1"/>
  <c r="AC57" i="31" a="1"/>
  <c r="AC55" i="31" a="1"/>
  <c r="AC53" i="31" a="1"/>
  <c r="AC51" i="31" a="1"/>
  <c r="AC64" i="31" a="1"/>
  <c r="AC49" i="31" a="1"/>
  <c r="AC62" i="31" a="1"/>
  <c r="AC65" i="31" a="1"/>
  <c r="AC60" i="31" a="1"/>
  <c r="AC56" i="31" a="1"/>
  <c r="AC52" i="31" a="1"/>
  <c r="AC58" i="31" a="1"/>
  <c r="AC54" i="31" a="1"/>
  <c r="AC50" i="31" a="1"/>
  <c r="AC48" i="31" a="1"/>
  <c r="AC46" i="31" a="1"/>
  <c r="AC47" i="31" a="1"/>
  <c r="AC63" i="31" a="1"/>
  <c r="AC61" i="31" a="1"/>
  <c r="AA48" i="31" a="1"/>
  <c r="AA46" i="31" a="1"/>
  <c r="AA49" i="31" a="1"/>
  <c r="AA63" i="31" a="1"/>
  <c r="AA61" i="31" a="1"/>
  <c r="AA59" i="31" a="1"/>
  <c r="AA57" i="31" a="1"/>
  <c r="AA55" i="31" a="1"/>
  <c r="AA53" i="31" a="1"/>
  <c r="AA51" i="31" a="1"/>
  <c r="AA64" i="31" a="1"/>
  <c r="AA47" i="31" a="1"/>
  <c r="AA62" i="31" a="1"/>
  <c r="AA56" i="31" a="1"/>
  <c r="AA60" i="31" a="1"/>
  <c r="AA65" i="31" a="1"/>
  <c r="AA58" i="31" a="1"/>
  <c r="AA52" i="31" a="1"/>
  <c r="AA54" i="31" a="1"/>
  <c r="AA50" i="31" a="1"/>
  <c r="AM119" i="31" a="1"/>
  <c r="AM114" i="31" a="1"/>
  <c r="AM117" i="31" a="1"/>
  <c r="AM122" i="31" a="1"/>
  <c r="AM120" i="31" a="1"/>
  <c r="AM115" i="31" a="1"/>
  <c r="AM118" i="31" a="1"/>
  <c r="AM113" i="31" a="1"/>
  <c r="AM116" i="31" a="1"/>
  <c r="AM121" i="31" a="1"/>
  <c r="AK118" i="31" a="1"/>
  <c r="AK113" i="31" a="1"/>
  <c r="AK116" i="31" a="1"/>
  <c r="AK121" i="31" a="1"/>
  <c r="AK119" i="31" a="1"/>
  <c r="AK114" i="31" a="1"/>
  <c r="AK117" i="31" a="1"/>
  <c r="AK122" i="31" a="1"/>
  <c r="AK120" i="31" a="1"/>
  <c r="AK115" i="31" a="1"/>
  <c r="AL116" i="31" a="1"/>
  <c r="AL121" i="31" a="1"/>
  <c r="AL119" i="31" a="1"/>
  <c r="AL117" i="31" a="1"/>
  <c r="AL122" i="31" a="1"/>
  <c r="AL120" i="31" a="1"/>
  <c r="AL115" i="31" a="1"/>
  <c r="AL114" i="31" a="1"/>
  <c r="AL118" i="31" a="1"/>
  <c r="AL113" i="31" a="1"/>
  <c r="AL113" i="31" l="1"/>
  <c r="AL118" i="31"/>
  <c r="AN118" i="31" s="1"/>
  <c r="AL114" i="31"/>
  <c r="AL115" i="31"/>
  <c r="AN115" i="31" s="1"/>
  <c r="AL120" i="31"/>
  <c r="AL122" i="31"/>
  <c r="AL117" i="31"/>
  <c r="AL119" i="31"/>
  <c r="AL121" i="31"/>
  <c r="AL116" i="31"/>
  <c r="AK115" i="31"/>
  <c r="AK120" i="31"/>
  <c r="AK122" i="31"/>
  <c r="AK117" i="31"/>
  <c r="AK114" i="31"/>
  <c r="AK119" i="31"/>
  <c r="AK121" i="31"/>
  <c r="AK116" i="31"/>
  <c r="AK113" i="31"/>
  <c r="AK118" i="31"/>
  <c r="AM121" i="31"/>
  <c r="AM116" i="31"/>
  <c r="AM113" i="31"/>
  <c r="AM118" i="31"/>
  <c r="AM115" i="31"/>
  <c r="AM120" i="31"/>
  <c r="AM122" i="31"/>
  <c r="AM117" i="31"/>
  <c r="AM114" i="31"/>
  <c r="AM119" i="31"/>
  <c r="AA50" i="31"/>
  <c r="AA54" i="31"/>
  <c r="AA52" i="31"/>
  <c r="AA58" i="31"/>
  <c r="AA65" i="31"/>
  <c r="AD65" i="31" s="1"/>
  <c r="AA60" i="31"/>
  <c r="AA56" i="31"/>
  <c r="AA62" i="31"/>
  <c r="AA47" i="31"/>
  <c r="AA64" i="31"/>
  <c r="AA51" i="31"/>
  <c r="AA53" i="31"/>
  <c r="AA55" i="31"/>
  <c r="AA57" i="31"/>
  <c r="AA59" i="31"/>
  <c r="AA61" i="31"/>
  <c r="AA63" i="31"/>
  <c r="AA49" i="31"/>
  <c r="AA46" i="31"/>
  <c r="AA48" i="31"/>
  <c r="AC61" i="31"/>
  <c r="AC63" i="31"/>
  <c r="AC47" i="31"/>
  <c r="AC46" i="31"/>
  <c r="AC48" i="31"/>
  <c r="AC50" i="31"/>
  <c r="AC54" i="31"/>
  <c r="AC58" i="31"/>
  <c r="AC52" i="31"/>
  <c r="AC56" i="31"/>
  <c r="AC60" i="31"/>
  <c r="AC65" i="31"/>
  <c r="AC62" i="31"/>
  <c r="AC49" i="31"/>
  <c r="AC64" i="31"/>
  <c r="AC51" i="31"/>
  <c r="AC53" i="31"/>
  <c r="AC55" i="31"/>
  <c r="AC57" i="31"/>
  <c r="AC59" i="31"/>
  <c r="AA86" i="31"/>
  <c r="AA88" i="31"/>
  <c r="AA90" i="31"/>
  <c r="AA92" i="31"/>
  <c r="AA94" i="31"/>
  <c r="AA96" i="31"/>
  <c r="AA98" i="31"/>
  <c r="AD98" i="31" s="1"/>
  <c r="AA100" i="31"/>
  <c r="AD100" i="31" s="1"/>
  <c r="AA102" i="31"/>
  <c r="AA84" i="31"/>
  <c r="AA83" i="31"/>
  <c r="AA85" i="31"/>
  <c r="AA87" i="31"/>
  <c r="AA89" i="31"/>
  <c r="AA91" i="31"/>
  <c r="AA93" i="31"/>
  <c r="AA95" i="31"/>
  <c r="AD95" i="31" s="1"/>
  <c r="AA97" i="31"/>
  <c r="AA99" i="31"/>
  <c r="AA101" i="31"/>
  <c r="AD101" i="31" s="1"/>
  <c r="AC87" i="31"/>
  <c r="AC89" i="31"/>
  <c r="AC95" i="31"/>
  <c r="AC97" i="31"/>
  <c r="AC99" i="31"/>
  <c r="AC101" i="31"/>
  <c r="AC85" i="31"/>
  <c r="AC91" i="31"/>
  <c r="AC83" i="31"/>
  <c r="AC93" i="31"/>
  <c r="AC84" i="31"/>
  <c r="AC86" i="31"/>
  <c r="AC88" i="31"/>
  <c r="AC90" i="31"/>
  <c r="AC92" i="31"/>
  <c r="AC94" i="31"/>
  <c r="AC96" i="31"/>
  <c r="AC98" i="31"/>
  <c r="AC100" i="31"/>
  <c r="AC102" i="31"/>
  <c r="Y161" i="31"/>
  <c r="Y163" i="31"/>
  <c r="Y165" i="31"/>
  <c r="Y167" i="31"/>
  <c r="AA167" i="31" s="1"/>
  <c r="AB167" i="31" s="1"/>
  <c r="Y169" i="31"/>
  <c r="Y162" i="31"/>
  <c r="Y164" i="31"/>
  <c r="Y166" i="31"/>
  <c r="AA166" i="31" s="1"/>
  <c r="AB166" i="31" s="1"/>
  <c r="Y168" i="31"/>
  <c r="AA168" i="31" s="1"/>
  <c r="AB168" i="31" s="1"/>
  <c r="Y170" i="31"/>
  <c r="Y180" i="31"/>
  <c r="AA180" i="31" s="1"/>
  <c r="AB180" i="31" s="1"/>
  <c r="Y173" i="31"/>
  <c r="AA173" i="31" s="1"/>
  <c r="AB173" i="31" s="1"/>
  <c r="Y175" i="31"/>
  <c r="AA175" i="31" s="1"/>
  <c r="AB175" i="31" s="1"/>
  <c r="Y177" i="31"/>
  <c r="Y182" i="31"/>
  <c r="Y179" i="31"/>
  <c r="Y174" i="31"/>
  <c r="Y176" i="31"/>
  <c r="Y181" i="31"/>
  <c r="Y178" i="31"/>
  <c r="Z178" i="31"/>
  <c r="Z180" i="31"/>
  <c r="Z173" i="31"/>
  <c r="Z175" i="31"/>
  <c r="Z184" i="31"/>
  <c r="Z177" i="31"/>
  <c r="Z182" i="31"/>
  <c r="Z179" i="31"/>
  <c r="Z174" i="31"/>
  <c r="Z176" i="31"/>
  <c r="Z181" i="31"/>
  <c r="Z183" i="31"/>
  <c r="Z164" i="31"/>
  <c r="Z166" i="31"/>
  <c r="Z168" i="31"/>
  <c r="Z170" i="31"/>
  <c r="Z161" i="31"/>
  <c r="Z171" i="31"/>
  <c r="Z163" i="31"/>
  <c r="Z165" i="31"/>
  <c r="Z167" i="31"/>
  <c r="Z169" i="31"/>
  <c r="Z172" i="31"/>
  <c r="Z162" i="31"/>
  <c r="X146" i="31"/>
  <c r="Z146" i="31" s="1"/>
  <c r="X139" i="31"/>
  <c r="X137" i="31"/>
  <c r="Z137" i="31" s="1"/>
  <c r="X144" i="31"/>
  <c r="Z144" i="31" s="1"/>
  <c r="X142" i="31"/>
  <c r="X140" i="31"/>
  <c r="X145" i="31"/>
  <c r="X138" i="31"/>
  <c r="Z138" i="31" s="1"/>
  <c r="X143" i="31"/>
  <c r="X141" i="31"/>
  <c r="Y148" i="31"/>
  <c r="Y141" i="31"/>
  <c r="Y139" i="31"/>
  <c r="Y137" i="31"/>
  <c r="Y144" i="31"/>
  <c r="Y146" i="31"/>
  <c r="Y142" i="31"/>
  <c r="Y147" i="31"/>
  <c r="Y140" i="31"/>
  <c r="Y145" i="31"/>
  <c r="Y138" i="31"/>
  <c r="Y143" i="31"/>
  <c r="C130" i="31"/>
  <c r="F113" i="31"/>
  <c r="AB61" i="31"/>
  <c r="F46" i="31"/>
  <c r="AB59" i="31"/>
  <c r="AB57" i="31"/>
  <c r="AB55" i="31"/>
  <c r="AB53" i="31"/>
  <c r="AB51" i="31"/>
  <c r="AB47" i="31"/>
  <c r="AB62" i="31"/>
  <c r="AB60" i="31"/>
  <c r="AB50" i="31"/>
  <c r="AB48" i="31"/>
  <c r="AB46" i="31"/>
  <c r="AB65" i="31"/>
  <c r="AB58" i="31"/>
  <c r="AB56" i="31"/>
  <c r="AB54" i="31"/>
  <c r="AB52" i="31"/>
  <c r="AB64" i="31"/>
  <c r="AB49" i="31"/>
  <c r="AB63" i="31"/>
  <c r="C62" i="31"/>
  <c r="C106" i="31"/>
  <c r="F83" i="31"/>
  <c r="AB102" i="31"/>
  <c r="AB100" i="31"/>
  <c r="AB98" i="31"/>
  <c r="AB96" i="31"/>
  <c r="AB94" i="31"/>
  <c r="AB92" i="31"/>
  <c r="AB90" i="31"/>
  <c r="AB88" i="31"/>
  <c r="AB86" i="31"/>
  <c r="AB84" i="31"/>
  <c r="AB101" i="31"/>
  <c r="AB99" i="31"/>
  <c r="AB97" i="31"/>
  <c r="AB95" i="31"/>
  <c r="AB93" i="31"/>
  <c r="AB91" i="31"/>
  <c r="AB89" i="31"/>
  <c r="AB87" i="31"/>
  <c r="AB85" i="31"/>
  <c r="AB83" i="31"/>
  <c r="C182" i="31"/>
  <c r="Y183" i="31"/>
  <c r="Y172" i="31"/>
  <c r="AA172" i="31" s="1"/>
  <c r="AB172" i="31" s="1"/>
  <c r="Y171" i="31"/>
  <c r="Y184" i="31"/>
  <c r="AA184" i="31" s="1"/>
  <c r="AB184" i="31" s="1"/>
  <c r="F161" i="31"/>
  <c r="C153" i="31"/>
  <c r="X148" i="31"/>
  <c r="Z148" i="31" s="1"/>
  <c r="X147" i="31"/>
  <c r="F137" i="31"/>
  <c r="Z140" i="31" l="1"/>
  <c r="Z147" i="31"/>
  <c r="AA171" i="31"/>
  <c r="AB171" i="31" s="1"/>
  <c r="AA181" i="31"/>
  <c r="AB181" i="31" s="1"/>
  <c r="Z143" i="31"/>
  <c r="AA169" i="31"/>
  <c r="AB169" i="31" s="1"/>
  <c r="Z139" i="31"/>
  <c r="AA170" i="31"/>
  <c r="AB170" i="31" s="1"/>
  <c r="AD89" i="31"/>
  <c r="AD88" i="31"/>
  <c r="AD49" i="31"/>
  <c r="AD60" i="31"/>
  <c r="AD87" i="31"/>
  <c r="AD86" i="31"/>
  <c r="AD63" i="31"/>
  <c r="AA178" i="31"/>
  <c r="AB178" i="31" s="1"/>
  <c r="AD85" i="31"/>
  <c r="AD61" i="31"/>
  <c r="AD58" i="31"/>
  <c r="AN116" i="31"/>
  <c r="AD52" i="31"/>
  <c r="AA164" i="31"/>
  <c r="AB164" i="31" s="1"/>
  <c r="AD83" i="31"/>
  <c r="AD59" i="31"/>
  <c r="AN121" i="31"/>
  <c r="AA183" i="31"/>
  <c r="AB183" i="31" s="1"/>
  <c r="Z141" i="31"/>
  <c r="AA176" i="31"/>
  <c r="AB176" i="31" s="1"/>
  <c r="AA162" i="31"/>
  <c r="AB162" i="31" s="1"/>
  <c r="AD84" i="31"/>
  <c r="AD57" i="31"/>
  <c r="AD54" i="31"/>
  <c r="AN119" i="31"/>
  <c r="AA174" i="31"/>
  <c r="AB174" i="31" s="1"/>
  <c r="AD102" i="31"/>
  <c r="AD55" i="31"/>
  <c r="AD50" i="31"/>
  <c r="AN117" i="31"/>
  <c r="AA179" i="31"/>
  <c r="AB179" i="31" s="1"/>
  <c r="AD53" i="31"/>
  <c r="AN122" i="31"/>
  <c r="Z145" i="31"/>
  <c r="AA182" i="31"/>
  <c r="AB182" i="31" s="1"/>
  <c r="AA165" i="31"/>
  <c r="AB165" i="31" s="1"/>
  <c r="AD99" i="31"/>
  <c r="AD51" i="31"/>
  <c r="AN120" i="31"/>
  <c r="AA177" i="31"/>
  <c r="AB177" i="31" s="1"/>
  <c r="AA163" i="31"/>
  <c r="AB163" i="31" s="1"/>
  <c r="AD97" i="31"/>
  <c r="AD96" i="31"/>
  <c r="AD64" i="31"/>
  <c r="Z142" i="31"/>
  <c r="AA161" i="31"/>
  <c r="AB161" i="31" s="1"/>
  <c r="AD94" i="31"/>
  <c r="AD47" i="31"/>
  <c r="AN114" i="31"/>
  <c r="AD93" i="31"/>
  <c r="AD92" i="31"/>
  <c r="AD48" i="31"/>
  <c r="AD62" i="31"/>
  <c r="AD91" i="31"/>
  <c r="AD90" i="31"/>
  <c r="AD46" i="31"/>
  <c r="AD56" i="31"/>
  <c r="AN113" i="31"/>
  <c r="Z150" i="31" l="1"/>
  <c r="AN124" i="31"/>
  <c r="AB186" i="31"/>
  <c r="AD43" i="31"/>
  <c r="AD104" i="31"/>
  <c r="Z151" i="31" a="1"/>
  <c r="AD42" i="31" a="1"/>
  <c r="AD105" i="31" a="1"/>
  <c r="AN125" i="31" a="1"/>
  <c r="AB187" i="31" a="1"/>
  <c r="Z151" i="31" l="1"/>
  <c r="AB187" i="31"/>
  <c r="AN125" i="31"/>
  <c r="AD105" i="31"/>
  <c r="AD42" i="31"/>
  <c r="AC186" i="31"/>
  <c r="AO125" i="31"/>
  <c r="AE104" i="31"/>
  <c r="C134" i="31" a="1"/>
  <c r="C70" i="31" a="1"/>
  <c r="C42" i="31" a="1"/>
  <c r="C110" i="31" a="1"/>
  <c r="C158" i="31" a="1"/>
  <c r="C134" i="31" l="1"/>
  <c r="D12" i="31" s="1"/>
  <c r="C158" i="31"/>
  <c r="D13" i="31" s="1"/>
  <c r="C110" i="31"/>
  <c r="D11" i="31" s="1"/>
  <c r="C42" i="31"/>
  <c r="D9" i="31" s="1"/>
  <c r="C70" i="31"/>
  <c r="D10" i="31" s="1"/>
  <c r="C6" i="31" a="1"/>
  <c r="C6" i="31" l="1"/>
  <c r="B50" i="25" l="1" a="1"/>
  <c r="B50" i="25" s="1"/>
  <c r="B45" i="25" a="1"/>
  <c r="C45" i="25" s="1"/>
  <c r="D42" i="25" a="1"/>
  <c r="D42" i="25" s="1"/>
  <c r="D39" i="25" a="1"/>
  <c r="D39" i="25" s="1"/>
  <c r="AF31" i="25" a="1"/>
  <c r="AF31" i="25" s="1"/>
  <c r="AF26" i="25" a="1"/>
  <c r="AG26" i="25" s="1"/>
  <c r="AH23" i="25" a="1"/>
  <c r="AH23" i="25" s="1"/>
  <c r="AH20" i="25" a="1"/>
  <c r="AH20" i="25" s="1"/>
  <c r="B31" i="25" a="1"/>
  <c r="B31" i="25" s="1"/>
  <c r="B26" i="25" a="1"/>
  <c r="D26" i="25" s="1"/>
  <c r="D23" i="25" a="1"/>
  <c r="D23" i="25" s="1"/>
  <c r="D20" i="25" a="1"/>
  <c r="D20" i="25" s="1"/>
  <c r="E275" i="13" a="1"/>
  <c r="D275" i="13" a="1"/>
  <c r="E274" i="13" a="1"/>
  <c r="E277" i="13" a="1"/>
  <c r="D277" i="13" a="1"/>
  <c r="E276" i="13" a="1"/>
  <c r="D274" i="13" a="1"/>
  <c r="D72" i="24" a="1"/>
  <c r="D71" i="24" a="1"/>
  <c r="D276" i="13" a="1"/>
  <c r="D59" i="24" a="1"/>
  <c r="D47" i="24" a="1"/>
  <c r="D35" i="24" a="1"/>
  <c r="D23" i="24" a="1"/>
  <c r="D23" i="24" l="1"/>
  <c r="D35" i="24"/>
  <c r="D47" i="24"/>
  <c r="D59" i="24"/>
  <c r="D276" i="13"/>
  <c r="D71" i="24"/>
  <c r="D72" i="24"/>
  <c r="D274" i="13"/>
  <c r="E276" i="13"/>
  <c r="D277" i="13"/>
  <c r="E277" i="13"/>
  <c r="E274" i="13"/>
  <c r="D275" i="13"/>
  <c r="E275" i="13"/>
  <c r="B45" i="25"/>
  <c r="C26" i="25"/>
  <c r="B26" i="25"/>
  <c r="AF26" i="25"/>
  <c r="D33" i="25"/>
  <c r="AH33" i="25"/>
  <c r="D52" i="25"/>
  <c r="C33" i="25"/>
  <c r="AG33" i="25"/>
  <c r="D28" i="25"/>
  <c r="AF33" i="25"/>
  <c r="C47" i="25"/>
  <c r="B51" i="25"/>
  <c r="C52" i="25"/>
  <c r="AH28" i="25"/>
  <c r="AG28" i="25"/>
  <c r="D50" i="25"/>
  <c r="B33" i="25"/>
  <c r="B52" i="25"/>
  <c r="D32" i="25"/>
  <c r="D51" i="25"/>
  <c r="C32" i="25"/>
  <c r="AG32" i="25"/>
  <c r="C51" i="25"/>
  <c r="AH27" i="25"/>
  <c r="D46" i="25"/>
  <c r="D31" i="25"/>
  <c r="AH31" i="25"/>
  <c r="C31" i="25"/>
  <c r="AF27" i="25"/>
  <c r="AG31" i="25"/>
  <c r="B46" i="25"/>
  <c r="C50" i="25"/>
  <c r="D47" i="25"/>
  <c r="C28" i="25"/>
  <c r="AH32" i="25"/>
  <c r="B28" i="25"/>
  <c r="AF28" i="25"/>
  <c r="B47" i="25"/>
  <c r="D27" i="25"/>
  <c r="B32" i="25"/>
  <c r="AF32" i="25"/>
  <c r="C27" i="25"/>
  <c r="AG27" i="25"/>
  <c r="C46" i="25"/>
  <c r="B27" i="25"/>
  <c r="AH26" i="25"/>
  <c r="D45" i="25"/>
  <c r="S54" i="29"/>
  <c r="S53" i="29"/>
  <c r="S52" i="29"/>
  <c r="S51" i="29"/>
  <c r="S50" i="29"/>
  <c r="S49" i="29"/>
  <c r="S48" i="29"/>
  <c r="S47" i="29"/>
  <c r="S46" i="29"/>
  <c r="S45" i="29"/>
  <c r="S44" i="29"/>
  <c r="S43" i="29"/>
  <c r="S42" i="29"/>
  <c r="S41" i="29"/>
  <c r="S40" i="29"/>
  <c r="S39" i="29"/>
  <c r="S38" i="29"/>
  <c r="S37" i="29"/>
  <c r="S36" i="29"/>
  <c r="S35" i="29"/>
  <c r="S34" i="29"/>
  <c r="S33" i="29"/>
  <c r="S32" i="29"/>
  <c r="S31" i="29"/>
  <c r="S30" i="29"/>
  <c r="S29" i="29"/>
  <c r="S28" i="29"/>
  <c r="S27" i="29"/>
  <c r="C28" i="24" a="1"/>
  <c r="C16" i="24" a="1"/>
  <c r="C40" i="24" a="1"/>
  <c r="G275" i="13" a="1"/>
  <c r="C52" i="24" a="1"/>
  <c r="L94" i="13" a="1"/>
  <c r="B15" i="29" a="1"/>
  <c r="C82" i="3" a="1"/>
  <c r="C64" i="24" a="1"/>
  <c r="I82" i="3" a="1"/>
  <c r="G276" i="13" a="1"/>
  <c r="G277" i="13" a="1"/>
  <c r="G274" i="13" a="1"/>
  <c r="R16" i="27" a="1"/>
  <c r="G274" i="13" l="1"/>
  <c r="G277" i="13"/>
  <c r="G276" i="13"/>
  <c r="C64" i="24"/>
  <c r="C52" i="24"/>
  <c r="G275" i="13"/>
  <c r="C40" i="24"/>
  <c r="C16" i="24"/>
  <c r="C28" i="24"/>
  <c r="I82" i="3"/>
  <c r="B15" i="29"/>
  <c r="L94" i="13"/>
  <c r="R16" i="27"/>
  <c r="C82" i="3"/>
  <c r="Z21" i="27" a="1"/>
  <c r="C269" i="13" a="1"/>
  <c r="T27" i="29" a="1"/>
  <c r="U39" i="29" a="1"/>
  <c r="U33" i="29" a="1"/>
  <c r="U46" i="29" a="1"/>
  <c r="U52" i="29" a="1"/>
  <c r="U38" i="29" a="1"/>
  <c r="U28" i="29" a="1"/>
  <c r="U31" i="29" a="1"/>
  <c r="U41" i="29" a="1"/>
  <c r="U35" i="29" a="1"/>
  <c r="U50" i="29" a="1"/>
  <c r="U34" i="29" a="1"/>
  <c r="U44" i="29" a="1"/>
  <c r="U30" i="29" a="1"/>
  <c r="U43" i="29" a="1"/>
  <c r="U54" i="29" a="1"/>
  <c r="U45" i="29" a="1"/>
  <c r="U48" i="29" a="1"/>
  <c r="U42" i="29" a="1"/>
  <c r="U53" i="29" a="1"/>
  <c r="U40" i="29" a="1"/>
  <c r="U49" i="29" a="1"/>
  <c r="U51" i="29" a="1"/>
  <c r="U29" i="29" a="1"/>
  <c r="U36" i="29" a="1"/>
  <c r="U37" i="29" a="1"/>
  <c r="U32" i="29" a="1"/>
  <c r="U47" i="29" a="1"/>
  <c r="C269" i="13" l="1"/>
  <c r="D21" i="13" s="1"/>
  <c r="U42" i="29"/>
  <c r="U53" i="29"/>
  <c r="U29" i="29"/>
  <c r="U32" i="29"/>
  <c r="U28" i="29"/>
  <c r="U51" i="29"/>
  <c r="U43" i="29"/>
  <c r="U35" i="29"/>
  <c r="U45" i="29"/>
  <c r="U33" i="29"/>
  <c r="U52" i="29"/>
  <c r="U48" i="29"/>
  <c r="U44" i="29"/>
  <c r="U40" i="29"/>
  <c r="U36" i="29"/>
  <c r="U47" i="29"/>
  <c r="U39" i="29"/>
  <c r="U31" i="29"/>
  <c r="U41" i="29"/>
  <c r="U54" i="29"/>
  <c r="U50" i="29"/>
  <c r="U46" i="29"/>
  <c r="U38" i="29"/>
  <c r="U34" i="29"/>
  <c r="U30" i="29"/>
  <c r="U49" i="29"/>
  <c r="U37" i="29"/>
  <c r="Z21" i="27"/>
  <c r="T27" i="29"/>
  <c r="U27" i="29" a="1"/>
  <c r="U27" i="29" l="1"/>
  <c r="N12" i="29" a="1"/>
  <c r="N12" i="29" l="1"/>
  <c r="AH55" i="3" l="1"/>
  <c r="AH56" i="3"/>
  <c r="AH57" i="3"/>
  <c r="AH58" i="3"/>
  <c r="AH59" i="3"/>
  <c r="AH60" i="3"/>
  <c r="E106" i="3"/>
  <c r="F106" i="3"/>
  <c r="G106" i="3"/>
  <c r="E107" i="3"/>
  <c r="F107" i="3"/>
  <c r="G107" i="3"/>
  <c r="E108" i="3"/>
  <c r="F108" i="3"/>
  <c r="G108" i="3"/>
  <c r="E109" i="3"/>
  <c r="F109" i="3"/>
  <c r="G109" i="3"/>
  <c r="E110" i="3"/>
  <c r="F110" i="3"/>
  <c r="G110" i="3"/>
  <c r="E111" i="3"/>
  <c r="F111" i="3"/>
  <c r="G111" i="3"/>
  <c r="E112" i="3"/>
  <c r="F112" i="3"/>
  <c r="G112" i="3"/>
  <c r="E113" i="3"/>
  <c r="F113" i="3"/>
  <c r="G113" i="3"/>
  <c r="E114" i="3"/>
  <c r="F114" i="3"/>
  <c r="G114" i="3"/>
  <c r="E115" i="3"/>
  <c r="F115" i="3"/>
  <c r="G115" i="3"/>
  <c r="E116" i="3"/>
  <c r="F116" i="3"/>
  <c r="G116" i="3"/>
  <c r="E117" i="3"/>
  <c r="F117" i="3"/>
  <c r="G117" i="3"/>
  <c r="E118" i="3"/>
  <c r="F118" i="3"/>
  <c r="G118" i="3"/>
  <c r="E119" i="3"/>
  <c r="F119" i="3"/>
  <c r="G119" i="3"/>
  <c r="E120" i="3"/>
  <c r="F120" i="3"/>
  <c r="G120" i="3"/>
  <c r="E121" i="3"/>
  <c r="F121" i="3"/>
  <c r="G121" i="3"/>
  <c r="AB29" i="3" a="1"/>
  <c r="AB29" i="3" l="1"/>
  <c r="H86" i="3" l="1"/>
  <c r="H87" i="3" s="1"/>
  <c r="J87" i="3" s="1"/>
  <c r="B86" i="3"/>
  <c r="B25" i="1" a="1"/>
  <c r="B87" i="3" l="1"/>
  <c r="B88" i="3" s="1"/>
  <c r="J86" i="3"/>
  <c r="B25" i="1"/>
  <c r="H88" i="3"/>
  <c r="D86" i="3"/>
  <c r="H27" i="29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B126" i="3" a="1"/>
  <c r="J129" i="3" a="1"/>
  <c r="L144" i="3" a="1"/>
  <c r="M126" i="3" a="1"/>
  <c r="J148" i="3" a="1"/>
  <c r="L129" i="3" a="1"/>
  <c r="L138" i="3" a="1"/>
  <c r="L136" i="3" a="1"/>
  <c r="K148" i="3" a="1"/>
  <c r="L128" i="3" a="1"/>
  <c r="L127" i="3" a="1"/>
  <c r="J153" i="3" a="1"/>
  <c r="M147" i="3" a="1"/>
  <c r="M134" i="3" a="1"/>
  <c r="M154" i="3" a="1"/>
  <c r="L140" i="3" a="1"/>
  <c r="M148" i="3" a="1"/>
  <c r="L148" i="3" a="1"/>
  <c r="K150" i="3" a="1"/>
  <c r="K156" i="3" a="1"/>
  <c r="L142" i="3" a="1"/>
  <c r="L143" i="3" a="1"/>
  <c r="L135" i="3" a="1"/>
  <c r="L130" i="3" a="1"/>
  <c r="L153" i="3" a="1"/>
  <c r="L137" i="3" a="1"/>
  <c r="K130" i="3" a="1"/>
  <c r="M141" i="3" a="1"/>
  <c r="L139" i="3" a="1"/>
  <c r="J130" i="3" a="1"/>
  <c r="L131" i="3" a="1"/>
  <c r="K147" i="3" a="1"/>
  <c r="M136" i="3" a="1"/>
  <c r="M153" i="3" a="1"/>
  <c r="M132" i="3" a="1"/>
  <c r="J150" i="3" a="1"/>
  <c r="M138" i="3" a="1"/>
  <c r="M135" i="3" a="1"/>
  <c r="J140" i="3" a="1"/>
  <c r="L154" i="3" a="1"/>
  <c r="K132" i="3" a="1"/>
  <c r="K142" i="3" a="1"/>
  <c r="J149" i="3" a="1"/>
  <c r="L147" i="3" a="1"/>
  <c r="M152" i="3" a="1"/>
  <c r="K152" i="3" a="1"/>
  <c r="L145" i="3" a="1"/>
  <c r="K141" i="3" a="1"/>
  <c r="J154" i="3" a="1"/>
  <c r="M130" i="3" a="1"/>
  <c r="J143" i="3" a="1"/>
  <c r="L133" i="3" a="1"/>
  <c r="J131" i="3" a="1"/>
  <c r="K146" i="3" a="1"/>
  <c r="M140" i="3" a="1"/>
  <c r="J145" i="3" a="1"/>
  <c r="K155" i="3" a="1"/>
  <c r="J134" i="3" a="1"/>
  <c r="M139" i="3" a="1"/>
  <c r="L155" i="3" a="1"/>
  <c r="M144" i="3" a="1"/>
  <c r="K144" i="3" a="1"/>
  <c r="K151" i="3" a="1"/>
  <c r="M128" i="3" a="1"/>
  <c r="L134" i="3" a="1"/>
  <c r="L141" i="3" a="1"/>
  <c r="K134" i="3" a="1"/>
  <c r="J142" i="3" a="1"/>
  <c r="J127" i="3" a="1"/>
  <c r="J135" i="3" a="1"/>
  <c r="M150" i="3" a="1"/>
  <c r="J132" i="3" a="1"/>
  <c r="K149" i="3" a="1"/>
  <c r="J139" i="3" a="1"/>
  <c r="L151" i="3" a="1"/>
  <c r="K126" i="3" a="1"/>
  <c r="J156" i="3" a="1"/>
  <c r="L146" i="3" a="1"/>
  <c r="K154" i="3" a="1"/>
  <c r="L126" i="3" a="1"/>
  <c r="M127" i="3" a="1"/>
  <c r="M149" i="3" a="1"/>
  <c r="J146" i="3" a="1"/>
  <c r="L150" i="3" a="1"/>
  <c r="L149" i="3" a="1"/>
  <c r="M155" i="3" a="1"/>
  <c r="L152" i="3" a="1"/>
  <c r="K143" i="3" a="1"/>
  <c r="M142" i="3" a="1"/>
  <c r="K139" i="3" a="1"/>
  <c r="J141" i="3" a="1"/>
  <c r="M137" i="3" a="1"/>
  <c r="K138" i="3" a="1"/>
  <c r="K136" i="3" a="1"/>
  <c r="J152" i="3" a="1"/>
  <c r="M133" i="3" a="1"/>
  <c r="K131" i="3" a="1"/>
  <c r="K127" i="3" a="1"/>
  <c r="J136" i="3" a="1"/>
  <c r="J147" i="3" a="1"/>
  <c r="M156" i="3" a="1"/>
  <c r="J155" i="3" a="1"/>
  <c r="M145" i="3" a="1"/>
  <c r="M146" i="3" a="1"/>
  <c r="K153" i="3" a="1"/>
  <c r="M143" i="3" a="1"/>
  <c r="L156" i="3" a="1"/>
  <c r="K140" i="3" a="1"/>
  <c r="J133" i="3" a="1"/>
  <c r="M129" i="3" a="1"/>
  <c r="J128" i="3" a="1"/>
  <c r="J144" i="3" a="1"/>
  <c r="K135" i="3" a="1"/>
  <c r="K133" i="3" a="1"/>
  <c r="M131" i="3" a="1"/>
  <c r="K137" i="3" a="1"/>
  <c r="K128" i="3" a="1"/>
  <c r="K145" i="3" a="1"/>
  <c r="J151" i="3" a="1"/>
  <c r="K129" i="3" a="1"/>
  <c r="L132" i="3" a="1"/>
  <c r="J138" i="3" a="1"/>
  <c r="M151" i="3" a="1"/>
  <c r="J137" i="3" a="1"/>
  <c r="D87" i="3" l="1"/>
  <c r="L127" i="3"/>
  <c r="J129" i="3"/>
  <c r="L130" i="3"/>
  <c r="J132" i="3"/>
  <c r="L133" i="3"/>
  <c r="J135" i="3"/>
  <c r="L136" i="3"/>
  <c r="J138" i="3"/>
  <c r="L139" i="3"/>
  <c r="J141" i="3"/>
  <c r="L142" i="3"/>
  <c r="J144" i="3"/>
  <c r="L145" i="3"/>
  <c r="J147" i="3"/>
  <c r="L148" i="3"/>
  <c r="J150" i="3"/>
  <c r="L151" i="3"/>
  <c r="J153" i="3"/>
  <c r="L154" i="3"/>
  <c r="J156" i="3"/>
  <c r="K126" i="3"/>
  <c r="M127" i="3"/>
  <c r="K129" i="3"/>
  <c r="M130" i="3"/>
  <c r="K132" i="3"/>
  <c r="M133" i="3"/>
  <c r="K135" i="3"/>
  <c r="M136" i="3"/>
  <c r="K138" i="3"/>
  <c r="M139" i="3"/>
  <c r="K141" i="3"/>
  <c r="M142" i="3"/>
  <c r="K144" i="3"/>
  <c r="M145" i="3"/>
  <c r="K147" i="3"/>
  <c r="M148" i="3"/>
  <c r="K150" i="3"/>
  <c r="M151" i="3"/>
  <c r="K153" i="3"/>
  <c r="M154" i="3"/>
  <c r="K156" i="3"/>
  <c r="J152" i="3"/>
  <c r="L126" i="3"/>
  <c r="J128" i="3"/>
  <c r="L129" i="3"/>
  <c r="J131" i="3"/>
  <c r="L132" i="3"/>
  <c r="J134" i="3"/>
  <c r="L135" i="3"/>
  <c r="J137" i="3"/>
  <c r="L138" i="3"/>
  <c r="J140" i="3"/>
  <c r="L141" i="3"/>
  <c r="J143" i="3"/>
  <c r="L144" i="3"/>
  <c r="J146" i="3"/>
  <c r="L147" i="3"/>
  <c r="J149" i="3"/>
  <c r="L150" i="3"/>
  <c r="L153" i="3"/>
  <c r="J155" i="3"/>
  <c r="L156" i="3"/>
  <c r="M126" i="3"/>
  <c r="K128" i="3"/>
  <c r="M129" i="3"/>
  <c r="K131" i="3"/>
  <c r="M132" i="3"/>
  <c r="K134" i="3"/>
  <c r="M135" i="3"/>
  <c r="K137" i="3"/>
  <c r="M138" i="3"/>
  <c r="K140" i="3"/>
  <c r="M141" i="3"/>
  <c r="K143" i="3"/>
  <c r="M144" i="3"/>
  <c r="K146" i="3"/>
  <c r="M147" i="3"/>
  <c r="K149" i="3"/>
  <c r="M150" i="3"/>
  <c r="K152" i="3"/>
  <c r="M153" i="3"/>
  <c r="K155" i="3"/>
  <c r="M156" i="3"/>
  <c r="J127" i="3"/>
  <c r="L128" i="3"/>
  <c r="J130" i="3"/>
  <c r="L131" i="3"/>
  <c r="J133" i="3"/>
  <c r="L134" i="3"/>
  <c r="J136" i="3"/>
  <c r="L137" i="3"/>
  <c r="J139" i="3"/>
  <c r="L140" i="3"/>
  <c r="J142" i="3"/>
  <c r="L143" i="3"/>
  <c r="J145" i="3"/>
  <c r="L146" i="3"/>
  <c r="J148" i="3"/>
  <c r="L149" i="3"/>
  <c r="J151" i="3"/>
  <c r="L152" i="3"/>
  <c r="J154" i="3"/>
  <c r="L155" i="3"/>
  <c r="K127" i="3"/>
  <c r="M128" i="3"/>
  <c r="K130" i="3"/>
  <c r="M131" i="3"/>
  <c r="K133" i="3"/>
  <c r="M134" i="3"/>
  <c r="K136" i="3"/>
  <c r="M137" i="3"/>
  <c r="K139" i="3"/>
  <c r="M140" i="3"/>
  <c r="K142" i="3"/>
  <c r="M143" i="3"/>
  <c r="K145" i="3"/>
  <c r="M146" i="3"/>
  <c r="K148" i="3"/>
  <c r="M149" i="3"/>
  <c r="K151" i="3"/>
  <c r="M152" i="3"/>
  <c r="K154" i="3"/>
  <c r="M155" i="3"/>
  <c r="B126" i="3"/>
  <c r="J88" i="3"/>
  <c r="H89" i="3"/>
  <c r="B89" i="3"/>
  <c r="D88" i="3"/>
  <c r="J126" i="3" a="1"/>
  <c r="J126" i="3" l="1"/>
  <c r="O23" i="27"/>
  <c r="O27" i="27"/>
  <c r="D89" i="3"/>
  <c r="B90" i="3"/>
  <c r="J89" i="3"/>
  <c r="H90" i="3"/>
  <c r="O24" i="27"/>
  <c r="J90" i="3" l="1"/>
  <c r="H91" i="3"/>
  <c r="D90" i="3"/>
  <c r="B91" i="3"/>
  <c r="J91" i="3" l="1"/>
  <c r="H92" i="3"/>
  <c r="B92" i="3"/>
  <c r="D91" i="3"/>
  <c r="B93" i="3" l="1"/>
  <c r="D92" i="3"/>
  <c r="J92" i="3"/>
  <c r="H93" i="3"/>
  <c r="D93" i="3" l="1"/>
  <c r="B94" i="3"/>
  <c r="H94" i="3"/>
  <c r="J93" i="3"/>
  <c r="D94" i="3" l="1"/>
  <c r="B95" i="3"/>
  <c r="H95" i="3"/>
  <c r="J94" i="3"/>
  <c r="I27" i="29" a="1"/>
  <c r="J44" i="29" a="1"/>
  <c r="J30" i="29" a="1"/>
  <c r="J29" i="29" a="1"/>
  <c r="J42" i="29" a="1"/>
  <c r="J51" i="29" a="1"/>
  <c r="J43" i="29" a="1"/>
  <c r="J32" i="29" a="1"/>
  <c r="J53" i="29" a="1"/>
  <c r="J46" i="29" a="1"/>
  <c r="J45" i="29" a="1"/>
  <c r="J36" i="29" a="1"/>
  <c r="J40" i="29" a="1"/>
  <c r="J39" i="29" a="1"/>
  <c r="J35" i="29" a="1"/>
  <c r="J33" i="29" a="1"/>
  <c r="J28" i="29" a="1"/>
  <c r="J41" i="29" a="1"/>
  <c r="J34" i="29" a="1"/>
  <c r="J31" i="29" a="1"/>
  <c r="J52" i="29" a="1"/>
  <c r="J54" i="29" a="1"/>
  <c r="J47" i="29" a="1"/>
  <c r="J38" i="29" a="1"/>
  <c r="J48" i="29" a="1"/>
  <c r="J37" i="29" a="1"/>
  <c r="J50" i="29" a="1"/>
  <c r="J49" i="29" a="1"/>
  <c r="J49" i="29" l="1"/>
  <c r="J52" i="29"/>
  <c r="J43" i="29"/>
  <c r="J45" i="29"/>
  <c r="J47" i="29"/>
  <c r="J35" i="29"/>
  <c r="J54" i="29"/>
  <c r="J30" i="29"/>
  <c r="J28" i="29"/>
  <c r="J39" i="29"/>
  <c r="J32" i="29"/>
  <c r="J38" i="29"/>
  <c r="J46" i="29"/>
  <c r="J44" i="29"/>
  <c r="J36" i="29"/>
  <c r="J37" i="29"/>
  <c r="J41" i="29"/>
  <c r="J53" i="29"/>
  <c r="J31" i="29"/>
  <c r="J40" i="29"/>
  <c r="J51" i="29"/>
  <c r="J48" i="29"/>
  <c r="J34" i="29"/>
  <c r="J29" i="29"/>
  <c r="J42" i="29"/>
  <c r="J33" i="29"/>
  <c r="J50" i="29"/>
  <c r="H96" i="3"/>
  <c r="J95" i="3"/>
  <c r="D95" i="3"/>
  <c r="B96" i="3"/>
  <c r="I27" i="29"/>
  <c r="J27" i="29" a="1"/>
  <c r="J27" i="29" l="1"/>
  <c r="D96" i="3"/>
  <c r="B97" i="3"/>
  <c r="H97" i="3"/>
  <c r="J96" i="3"/>
  <c r="F59" i="1" a="1"/>
  <c r="F59" i="1" s="1"/>
  <c r="V80" i="28"/>
  <c r="V81" i="28"/>
  <c r="V82" i="28"/>
  <c r="V83" i="28"/>
  <c r="V84" i="28"/>
  <c r="V85" i="28"/>
  <c r="B48" i="1" a="1"/>
  <c r="E25" i="1" a="1"/>
  <c r="C12" i="29" a="1"/>
  <c r="C12" i="29" l="1"/>
  <c r="D7" i="29" s="1"/>
  <c r="B98" i="3"/>
  <c r="D97" i="3"/>
  <c r="H98" i="3"/>
  <c r="J97" i="3"/>
  <c r="B48" i="1"/>
  <c r="E25" i="1"/>
  <c r="E59" i="1" a="1"/>
  <c r="C86" i="3" a="1"/>
  <c r="F92" i="3" a="1"/>
  <c r="F95" i="3" a="1"/>
  <c r="F97" i="3" a="1"/>
  <c r="F91" i="3" a="1"/>
  <c r="I86" i="3" a="1"/>
  <c r="F89" i="3" a="1"/>
  <c r="L95" i="3" a="1"/>
  <c r="F96" i="3" a="1"/>
  <c r="L92" i="3" a="1"/>
  <c r="L93" i="3" a="1"/>
  <c r="L94" i="3" a="1"/>
  <c r="F88" i="3" a="1"/>
  <c r="F87" i="3" a="1"/>
  <c r="F98" i="3" a="1"/>
  <c r="F90" i="3" a="1"/>
  <c r="F93" i="3" a="1"/>
  <c r="F94" i="3" a="1"/>
  <c r="L90" i="3" a="1"/>
  <c r="L91" i="3" a="1"/>
  <c r="L88" i="3" a="1"/>
  <c r="L96" i="3" a="1"/>
  <c r="L89" i="3" a="1"/>
  <c r="L87" i="3" a="1"/>
  <c r="L97" i="3" a="1"/>
  <c r="L98" i="3" a="1"/>
  <c r="C86" i="3" l="1"/>
  <c r="L89" i="3"/>
  <c r="L90" i="3"/>
  <c r="L91" i="3"/>
  <c r="L92" i="3"/>
  <c r="L93" i="3"/>
  <c r="L94" i="3"/>
  <c r="L95" i="3"/>
  <c r="L96" i="3"/>
  <c r="L98" i="3"/>
  <c r="L97" i="3"/>
  <c r="L87" i="3"/>
  <c r="L88" i="3"/>
  <c r="F89" i="3"/>
  <c r="F93" i="3"/>
  <c r="F97" i="3"/>
  <c r="F94" i="3"/>
  <c r="F98" i="3"/>
  <c r="F90" i="3"/>
  <c r="F87" i="3"/>
  <c r="F91" i="3"/>
  <c r="F95" i="3"/>
  <c r="F88" i="3"/>
  <c r="F92" i="3"/>
  <c r="F96" i="3"/>
  <c r="I86" i="3"/>
  <c r="J98" i="3"/>
  <c r="D98" i="3"/>
  <c r="E60" i="1"/>
  <c r="E61" i="1"/>
  <c r="E62" i="1"/>
  <c r="E64" i="1"/>
  <c r="E63" i="1"/>
  <c r="E59" i="1"/>
  <c r="L86" i="3" a="1"/>
  <c r="F86" i="3" a="1"/>
  <c r="F86" i="3" l="1"/>
  <c r="L86" i="3"/>
  <c r="B29" i="3" a="1"/>
  <c r="C75" i="3" a="1"/>
  <c r="L29" i="3" a="1"/>
  <c r="I75" i="3" a="1"/>
  <c r="I75" i="3" l="1"/>
  <c r="C75" i="3"/>
  <c r="D11" i="3" s="1"/>
  <c r="L29" i="3"/>
  <c r="B29" i="3"/>
  <c r="B106" i="3" a="1"/>
  <c r="J114" i="3" a="1"/>
  <c r="H120" i="3" a="1"/>
  <c r="I121" i="3" a="1"/>
  <c r="J117" i="3" a="1"/>
  <c r="I106" i="3" a="1"/>
  <c r="J110" i="3" a="1"/>
  <c r="H116" i="3" a="1"/>
  <c r="J109" i="3" a="1"/>
  <c r="H113" i="3" a="1"/>
  <c r="I120" i="3" a="1"/>
  <c r="J108" i="3" a="1"/>
  <c r="I115" i="3" a="1"/>
  <c r="J118" i="3" a="1"/>
  <c r="J106" i="3" a="1"/>
  <c r="H115" i="3" a="1"/>
  <c r="I117" i="3" a="1"/>
  <c r="H110" i="3" a="1"/>
  <c r="J121" i="3" a="1"/>
  <c r="J112" i="3" a="1"/>
  <c r="J119" i="3" a="1"/>
  <c r="H118" i="3" a="1"/>
  <c r="I119" i="3" a="1"/>
  <c r="I111" i="3" a="1"/>
  <c r="H108" i="3" a="1"/>
  <c r="J120" i="3" a="1"/>
  <c r="I118" i="3" a="1"/>
  <c r="J111" i="3" a="1"/>
  <c r="H119" i="3" a="1"/>
  <c r="H109" i="3" a="1"/>
  <c r="J107" i="3" a="1"/>
  <c r="J116" i="3" a="1"/>
  <c r="I110" i="3" a="1"/>
  <c r="H111" i="3" a="1"/>
  <c r="I108" i="3" a="1"/>
  <c r="I116" i="3" a="1"/>
  <c r="H117" i="3" a="1"/>
  <c r="I114" i="3" a="1"/>
  <c r="H121" i="3" a="1"/>
  <c r="H114" i="3" a="1"/>
  <c r="I107" i="3" a="1"/>
  <c r="I109" i="3" a="1"/>
  <c r="J115" i="3" a="1"/>
  <c r="H107" i="3" a="1"/>
  <c r="J113" i="3" a="1"/>
  <c r="H112" i="3" a="1"/>
  <c r="I113" i="3" a="1"/>
  <c r="I112" i="3" a="1"/>
  <c r="I106" i="3" l="1"/>
  <c r="J106" i="3"/>
  <c r="H107" i="3"/>
  <c r="I107" i="3"/>
  <c r="J107" i="3"/>
  <c r="H108" i="3"/>
  <c r="I108" i="3"/>
  <c r="J108" i="3"/>
  <c r="H109" i="3"/>
  <c r="I109" i="3"/>
  <c r="J109" i="3"/>
  <c r="H110" i="3"/>
  <c r="I110" i="3"/>
  <c r="J110" i="3"/>
  <c r="H111" i="3"/>
  <c r="I111" i="3"/>
  <c r="J111" i="3"/>
  <c r="H112" i="3"/>
  <c r="I112" i="3"/>
  <c r="J112" i="3"/>
  <c r="H113" i="3"/>
  <c r="I113" i="3"/>
  <c r="J113" i="3"/>
  <c r="H114" i="3"/>
  <c r="I114" i="3"/>
  <c r="J114" i="3"/>
  <c r="H115" i="3"/>
  <c r="I115" i="3"/>
  <c r="J115" i="3"/>
  <c r="H116" i="3"/>
  <c r="I116" i="3"/>
  <c r="J116" i="3"/>
  <c r="H117" i="3"/>
  <c r="I117" i="3"/>
  <c r="J117" i="3"/>
  <c r="H118" i="3"/>
  <c r="I118" i="3"/>
  <c r="J118" i="3"/>
  <c r="H119" i="3"/>
  <c r="I119" i="3"/>
  <c r="J119" i="3"/>
  <c r="H120" i="3"/>
  <c r="I120" i="3"/>
  <c r="J120" i="3"/>
  <c r="H121" i="3"/>
  <c r="I121" i="3"/>
  <c r="J121" i="3"/>
  <c r="B106" i="3"/>
  <c r="O46" i="27"/>
  <c r="O48" i="27"/>
  <c r="N16" i="27" a="1"/>
  <c r="H106" i="3" a="1"/>
  <c r="N16" i="27" l="1"/>
  <c r="H106" i="3"/>
  <c r="BG31" i="27"/>
  <c r="BG28" i="27"/>
  <c r="X20" i="27" a="1"/>
  <c r="AA21" i="27" a="1"/>
  <c r="C103" i="3" a="1"/>
  <c r="AA21" i="27" l="1"/>
  <c r="X20" i="27"/>
  <c r="C103" i="3"/>
  <c r="BG27" i="27"/>
  <c r="Y41" i="27" a="1"/>
  <c r="Y28" i="27" a="1"/>
  <c r="BF20" i="27" a="1"/>
  <c r="Y24" i="27" a="1"/>
  <c r="Y29" i="27" a="1"/>
  <c r="Y32" i="27" a="1"/>
  <c r="Y30" i="27" a="1"/>
  <c r="Y35" i="27" a="1"/>
  <c r="Y22" i="27" a="1"/>
  <c r="Y21" i="27" a="1"/>
  <c r="Y38" i="27" a="1"/>
  <c r="Y33" i="27" a="1"/>
  <c r="Y36" i="27" a="1"/>
  <c r="Y20" i="27" a="1"/>
  <c r="Y39" i="27" a="1"/>
  <c r="Y40" i="27" a="1"/>
  <c r="Y23" i="27" a="1"/>
  <c r="Y27" i="27" a="1"/>
  <c r="Y25" i="27" a="1"/>
  <c r="Y42" i="27" a="1"/>
  <c r="Y45" i="27" a="1"/>
  <c r="Y31" i="27" a="1"/>
  <c r="Y44" i="27" a="1"/>
  <c r="Y34" i="27" a="1"/>
  <c r="Y37" i="27" a="1"/>
  <c r="Y43" i="27" a="1"/>
  <c r="Y26" i="27" a="1"/>
  <c r="Y28" i="27" l="1"/>
  <c r="Y29" i="27"/>
  <c r="Y35" i="27"/>
  <c r="Y23" i="27"/>
  <c r="Y27" i="27"/>
  <c r="Y39" i="27"/>
  <c r="Y36" i="27"/>
  <c r="Y34" i="27"/>
  <c r="Y33" i="27"/>
  <c r="Y38" i="27"/>
  <c r="Y24" i="27"/>
  <c r="Y22" i="27"/>
  <c r="Y26" i="27"/>
  <c r="Y31" i="27"/>
  <c r="Y32" i="27"/>
  <c r="Y37" i="27"/>
  <c r="Y25" i="27"/>
  <c r="Y43" i="27"/>
  <c r="Y21" i="27"/>
  <c r="Y44" i="27"/>
  <c r="Y42" i="27"/>
  <c r="Y20" i="27"/>
  <c r="Y30" i="27"/>
  <c r="Y40" i="27"/>
  <c r="Y45" i="27"/>
  <c r="Y41" i="27"/>
  <c r="BF20" i="27"/>
  <c r="BL20" i="27" a="1"/>
  <c r="BL20" i="27" l="1"/>
  <c r="AX49" i="27" l="1"/>
  <c r="AX47" i="27"/>
  <c r="AP48" i="27"/>
  <c r="AP46" i="27"/>
  <c r="AH48" i="27"/>
  <c r="AH46" i="27"/>
  <c r="S34" i="3" a="1"/>
  <c r="S34" i="3" l="1"/>
  <c r="F11" i="3" l="1"/>
  <c r="F12" i="3"/>
  <c r="F16" i="3"/>
  <c r="AX24" i="27" l="1"/>
  <c r="AH23" i="27"/>
  <c r="AP24" i="27"/>
  <c r="AH27" i="27"/>
  <c r="AX28" i="27"/>
  <c r="AP28" i="27"/>
  <c r="AH24" i="27"/>
  <c r="AX25" i="27"/>
  <c r="AP25" i="27"/>
  <c r="AO17" i="27" a="1"/>
  <c r="AW17" i="27" a="1"/>
  <c r="AG17" i="27" a="1"/>
  <c r="AG17" i="27" l="1"/>
  <c r="AW17" i="27"/>
  <c r="AO17" i="27"/>
  <c r="BC17" i="27" a="1"/>
  <c r="AM17" i="27" a="1"/>
  <c r="AU17" i="27" a="1"/>
  <c r="BC17" i="27" l="1"/>
  <c r="AU17" i="27"/>
  <c r="AM17" i="27"/>
  <c r="AH12" i="27" a="1"/>
  <c r="AH12" i="27" l="1"/>
  <c r="F64" i="1" l="1"/>
  <c r="F63" i="1"/>
  <c r="F62" i="1"/>
  <c r="F61" i="1"/>
  <c r="F60" i="1"/>
  <c r="B134" i="1" a="1"/>
  <c r="B191" i="1" a="1"/>
  <c r="B148" i="1" a="1"/>
  <c r="F151" i="1" s="1" a="1"/>
  <c r="F192" i="1" a="1"/>
  <c r="D137" i="1" a="1"/>
  <c r="F194" i="1" a="1"/>
  <c r="D138" i="1" a="1"/>
  <c r="F152" i="1" a="1"/>
  <c r="F149" i="1" a="1"/>
  <c r="F154" i="1" a="1"/>
  <c r="F153" i="1" a="1"/>
  <c r="D139" i="1" a="1"/>
  <c r="F156" i="1" a="1"/>
  <c r="F155" i="1" a="1"/>
  <c r="D136" i="1" a="1"/>
  <c r="B178" i="1" a="1"/>
  <c r="F150" i="1" a="1"/>
  <c r="B165" i="1" a="1"/>
  <c r="F182" i="1" a="1"/>
  <c r="F180" i="1" a="1"/>
  <c r="F179" i="1" a="1"/>
  <c r="F181" i="1" a="1"/>
  <c r="F166" i="1" a="1"/>
  <c r="F168" i="1" a="1"/>
  <c r="D139" i="1" l="1"/>
  <c r="D138" i="1"/>
  <c r="F194" i="1"/>
  <c r="F155" i="1"/>
  <c r="F151" i="1"/>
  <c r="F153" i="1"/>
  <c r="F181" i="1"/>
  <c r="F156" i="1"/>
  <c r="F166" i="1"/>
  <c r="F182" i="1"/>
  <c r="F150" i="1"/>
  <c r="F192" i="1"/>
  <c r="F152" i="1"/>
  <c r="F149" i="1"/>
  <c r="F154" i="1"/>
  <c r="F168" i="1"/>
  <c r="F180" i="1"/>
  <c r="F179" i="1"/>
  <c r="B178" i="1"/>
  <c r="D136" i="1"/>
  <c r="D137" i="1"/>
  <c r="B134" i="1"/>
  <c r="B165" i="1"/>
  <c r="B191" i="1"/>
  <c r="B148" i="1"/>
  <c r="H57" i="28"/>
  <c r="H56" i="28"/>
  <c r="H55" i="28"/>
  <c r="H54" i="28"/>
  <c r="H53" i="28"/>
  <c r="H52" i="28"/>
  <c r="Q29" i="28"/>
  <c r="F29" i="28"/>
  <c r="T43" i="28" a="1"/>
  <c r="F169" i="1" a="1"/>
  <c r="F165" i="1" a="1"/>
  <c r="T34" i="28" a="1"/>
  <c r="F148" i="1" a="1"/>
  <c r="D135" i="1" a="1"/>
  <c r="D134" i="1" a="1"/>
  <c r="T35" i="28" a="1"/>
  <c r="F178" i="1" a="1"/>
  <c r="T37" i="28" a="1"/>
  <c r="B25" i="28" a="1"/>
  <c r="F191" i="1" a="1"/>
  <c r="T30" i="28" a="1"/>
  <c r="T32" i="28" a="1"/>
  <c r="T33" i="28" a="1"/>
  <c r="T36" i="28" a="1"/>
  <c r="H22" i="28" a="1"/>
  <c r="F193" i="1" a="1"/>
  <c r="T31" i="28" a="1"/>
  <c r="F167" i="1" a="1"/>
  <c r="T38" i="28" a="1"/>
  <c r="F193" i="1" l="1"/>
  <c r="F167" i="1"/>
  <c r="D135" i="1"/>
  <c r="T32" i="28"/>
  <c r="T30" i="28"/>
  <c r="T35" i="28"/>
  <c r="T38" i="28"/>
  <c r="T31" i="28"/>
  <c r="T36" i="28"/>
  <c r="T37" i="28"/>
  <c r="T34" i="28"/>
  <c r="T56" i="28"/>
  <c r="T60" i="28"/>
  <c r="T68" i="28"/>
  <c r="T50" i="28"/>
  <c r="T53" i="28"/>
  <c r="T51" i="28"/>
  <c r="T62" i="28"/>
  <c r="T65" i="28"/>
  <c r="T57" i="28"/>
  <c r="T74" i="28"/>
  <c r="T43" i="28"/>
  <c r="T58" i="28"/>
  <c r="T61" i="28"/>
  <c r="T44" i="28"/>
  <c r="T64" i="28"/>
  <c r="T45" i="28"/>
  <c r="T71" i="28"/>
  <c r="T54" i="28"/>
  <c r="T48" i="28"/>
  <c r="T55" i="28"/>
  <c r="T70" i="28"/>
  <c r="T73" i="28"/>
  <c r="T59" i="28"/>
  <c r="T69" i="28"/>
  <c r="T49" i="28"/>
  <c r="T67" i="28"/>
  <c r="T47" i="28"/>
  <c r="T52" i="28"/>
  <c r="T66" i="28"/>
  <c r="T46" i="28"/>
  <c r="T63" i="28"/>
  <c r="T72" i="28"/>
  <c r="T75" i="28"/>
  <c r="T33" i="28"/>
  <c r="T29" i="28"/>
  <c r="F169" i="1"/>
  <c r="F165" i="1"/>
  <c r="F178" i="1"/>
  <c r="F191" i="1"/>
  <c r="F148" i="1"/>
  <c r="H22" i="28"/>
  <c r="B25" i="28"/>
  <c r="D134" i="1"/>
  <c r="U63" i="28" a="1"/>
  <c r="N41" i="28" a="1"/>
  <c r="U66" i="28" a="1"/>
  <c r="U53" i="28" a="1"/>
  <c r="N37" i="28" a="1"/>
  <c r="F40" i="28" a="1"/>
  <c r="N48" i="28" a="1"/>
  <c r="G60" i="1" a="1"/>
  <c r="N44" i="28" a="1"/>
  <c r="U51" i="28" a="1"/>
  <c r="U49" i="28" a="1"/>
  <c r="U54" i="28" a="1"/>
  <c r="U30" i="28" a="1"/>
  <c r="U44" i="28" a="1"/>
  <c r="N34" i="28" a="1"/>
  <c r="U52" i="28" a="1"/>
  <c r="N42" i="28" a="1"/>
  <c r="U70" i="28" a="1"/>
  <c r="U65" i="28" a="1"/>
  <c r="U32" i="28" a="1"/>
  <c r="U74" i="28" a="1"/>
  <c r="U50" i="28" a="1"/>
  <c r="N33" i="28" a="1"/>
  <c r="U47" i="28" a="1"/>
  <c r="N38" i="28" a="1"/>
  <c r="G63" i="1" a="1"/>
  <c r="G62" i="1" a="1"/>
  <c r="M29" i="28" a="1"/>
  <c r="U58" i="28" a="1"/>
  <c r="U56" i="28" a="1"/>
  <c r="C161" i="1" a="1"/>
  <c r="U68" i="28" a="1"/>
  <c r="N50" i="28" a="1"/>
  <c r="U48" i="28" a="1"/>
  <c r="U73" i="28" a="1"/>
  <c r="U55" i="28" a="1"/>
  <c r="G64" i="1" a="1"/>
  <c r="N47" i="28" a="1"/>
  <c r="N45" i="28" a="1"/>
  <c r="U69" i="28" a="1"/>
  <c r="N49" i="28" a="1"/>
  <c r="U71" i="28" a="1"/>
  <c r="N31" i="28" a="1"/>
  <c r="N35" i="28" a="1"/>
  <c r="C130" i="1" a="1"/>
  <c r="U57" i="28" a="1"/>
  <c r="U46" i="28" a="1"/>
  <c r="C174" i="1" a="1"/>
  <c r="N39" i="28" a="1"/>
  <c r="C144" i="1" a="1"/>
  <c r="N32" i="28" a="1"/>
  <c r="U62" i="28" a="1"/>
  <c r="G61" i="1" a="1"/>
  <c r="U67" i="28" a="1"/>
  <c r="N43" i="28" a="1"/>
  <c r="N40" i="28" a="1"/>
  <c r="N46" i="28" a="1"/>
  <c r="U72" i="28" a="1"/>
  <c r="G59" i="1" a="1"/>
  <c r="U64" i="28" a="1"/>
  <c r="N30" i="28" a="1"/>
  <c r="U31" i="28" a="1"/>
  <c r="U60" i="28" a="1"/>
  <c r="C187" i="1" a="1"/>
  <c r="U75" i="28" a="1"/>
  <c r="N36" i="28" a="1"/>
  <c r="U59" i="28" a="1"/>
  <c r="U61" i="28" a="1"/>
  <c r="U45" i="28" a="1"/>
  <c r="C130" i="1" l="1"/>
  <c r="D12" i="1" s="1"/>
  <c r="U67" i="28"/>
  <c r="U72" i="28"/>
  <c r="U54" i="28"/>
  <c r="U53" i="28"/>
  <c r="U46" i="28"/>
  <c r="U51" i="28"/>
  <c r="U48" i="28"/>
  <c r="U65" i="28"/>
  <c r="U68" i="28"/>
  <c r="U45" i="28"/>
  <c r="U61" i="28"/>
  <c r="U50" i="28"/>
  <c r="U62" i="28"/>
  <c r="U57" i="28"/>
  <c r="U69" i="28"/>
  <c r="U32" i="28"/>
  <c r="U30" i="28"/>
  <c r="U31" i="28"/>
  <c r="U70" i="28"/>
  <c r="U59" i="28"/>
  <c r="U60" i="28"/>
  <c r="U44" i="28"/>
  <c r="U74" i="28"/>
  <c r="U71" i="28"/>
  <c r="U58" i="28"/>
  <c r="U73" i="28"/>
  <c r="U56" i="28"/>
  <c r="U66" i="28"/>
  <c r="U64" i="28"/>
  <c r="U49" i="28"/>
  <c r="U63" i="28"/>
  <c r="U75" i="28"/>
  <c r="U47" i="28"/>
  <c r="U55" i="28"/>
  <c r="U52" i="28"/>
  <c r="C144" i="1"/>
  <c r="D13" i="1" s="1"/>
  <c r="C187" i="1"/>
  <c r="D15" i="1" s="1"/>
  <c r="C174" i="1"/>
  <c r="D14" i="1" s="1"/>
  <c r="C161" i="1"/>
  <c r="G61" i="1"/>
  <c r="G62" i="1"/>
  <c r="G60" i="1"/>
  <c r="G59" i="1"/>
  <c r="G64" i="1"/>
  <c r="G63" i="1"/>
  <c r="N48" i="28"/>
  <c r="N46" i="28"/>
  <c r="N42" i="28"/>
  <c r="N33" i="28"/>
  <c r="N30" i="28"/>
  <c r="N40" i="28"/>
  <c r="N39" i="28"/>
  <c r="N36" i="28"/>
  <c r="N50" i="28"/>
  <c r="N41" i="28"/>
  <c r="N32" i="28"/>
  <c r="N35" i="28"/>
  <c r="N31" i="28"/>
  <c r="N47" i="28"/>
  <c r="N45" i="28"/>
  <c r="N44" i="28"/>
  <c r="N49" i="28"/>
  <c r="N43" i="28"/>
  <c r="N37" i="28"/>
  <c r="N34" i="28"/>
  <c r="N38" i="28"/>
  <c r="F48" i="28"/>
  <c r="F47" i="28"/>
  <c r="F46" i="28"/>
  <c r="F44" i="28"/>
  <c r="F43" i="28"/>
  <c r="F45" i="28"/>
  <c r="F42" i="28"/>
  <c r="F41" i="28"/>
  <c r="F40" i="28"/>
  <c r="M29" i="28"/>
  <c r="F30" i="28"/>
  <c r="Q33" i="28"/>
  <c r="G45" i="28" a="1"/>
  <c r="U33" i="28" a="1"/>
  <c r="G41" i="28" a="1"/>
  <c r="G48" i="28" a="1"/>
  <c r="G46" i="28" a="1"/>
  <c r="P23" i="28" a="1"/>
  <c r="N29" i="28" a="1"/>
  <c r="G30" i="28" a="1"/>
  <c r="G43" i="28" a="1"/>
  <c r="C45" i="1" a="1"/>
  <c r="G47" i="28" a="1"/>
  <c r="G44" i="28" a="1"/>
  <c r="G42" i="28" a="1"/>
  <c r="C12" i="27" a="1"/>
  <c r="P23" i="28" l="1"/>
  <c r="U33" i="28"/>
  <c r="C12" i="27"/>
  <c r="E7" i="27" s="1"/>
  <c r="C45" i="1"/>
  <c r="D8" i="1" s="1"/>
  <c r="G42" i="28"/>
  <c r="G43" i="28"/>
  <c r="G45" i="28"/>
  <c r="G41" i="28"/>
  <c r="G47" i="28"/>
  <c r="G48" i="28"/>
  <c r="G30" i="28"/>
  <c r="N29" i="28"/>
  <c r="G46" i="28"/>
  <c r="G44" i="28"/>
  <c r="F31" i="28"/>
  <c r="V44" i="28" a="1"/>
  <c r="W44" i="28" a="1"/>
  <c r="V36" i="28" a="1"/>
  <c r="G31" i="28" a="1"/>
  <c r="V34" i="28" a="1"/>
  <c r="U34" i="28" a="1"/>
  <c r="V38" i="28" a="1"/>
  <c r="V29" i="28" a="1"/>
  <c r="V30" i="28" a="1"/>
  <c r="V35" i="28" a="1"/>
  <c r="V32" i="28" a="1"/>
  <c r="V37" i="28" a="1"/>
  <c r="V33" i="28" a="1"/>
  <c r="C4" i="27" a="1"/>
  <c r="V31" i="28" a="1"/>
  <c r="U34" i="28" l="1"/>
  <c r="W57" i="28"/>
  <c r="W46" i="28"/>
  <c r="W58" i="28"/>
  <c r="W70" i="28"/>
  <c r="W49" i="28"/>
  <c r="W67" i="28"/>
  <c r="W47" i="28"/>
  <c r="W59" i="28"/>
  <c r="W71" i="28"/>
  <c r="W60" i="28"/>
  <c r="W61" i="28"/>
  <c r="W48" i="28"/>
  <c r="W72" i="28"/>
  <c r="W55" i="28"/>
  <c r="W50" i="28"/>
  <c r="W62" i="28"/>
  <c r="W74" i="28"/>
  <c r="W51" i="28"/>
  <c r="W63" i="28"/>
  <c r="W75" i="28"/>
  <c r="W52" i="28"/>
  <c r="W64" i="28"/>
  <c r="W66" i="28"/>
  <c r="W54" i="28"/>
  <c r="W53" i="28"/>
  <c r="W65" i="28"/>
  <c r="W44" i="28"/>
  <c r="W56" i="28"/>
  <c r="W68" i="28"/>
  <c r="W45" i="28"/>
  <c r="W69" i="28"/>
  <c r="W73" i="28"/>
  <c r="V31" i="28"/>
  <c r="V37" i="28"/>
  <c r="V30" i="28"/>
  <c r="V33" i="28"/>
  <c r="V36" i="28"/>
  <c r="V35" i="28"/>
  <c r="V38" i="28"/>
  <c r="V29" i="28"/>
  <c r="V32" i="28"/>
  <c r="V34" i="28"/>
  <c r="V66" i="28"/>
  <c r="V55" i="28"/>
  <c r="V67" i="28"/>
  <c r="V46" i="28"/>
  <c r="V44" i="28"/>
  <c r="V56" i="28"/>
  <c r="V68" i="28"/>
  <c r="V45" i="28"/>
  <c r="V69" i="28"/>
  <c r="V58" i="28"/>
  <c r="V70" i="28"/>
  <c r="V52" i="28"/>
  <c r="V57" i="28"/>
  <c r="V47" i="28"/>
  <c r="V59" i="28"/>
  <c r="V71" i="28"/>
  <c r="V48" i="28"/>
  <c r="V60" i="28"/>
  <c r="V72" i="28"/>
  <c r="V49" i="28"/>
  <c r="V61" i="28"/>
  <c r="V63" i="28"/>
  <c r="V73" i="28"/>
  <c r="V51" i="28"/>
  <c r="V75" i="28"/>
  <c r="V50" i="28"/>
  <c r="V62" i="28"/>
  <c r="V74" i="28"/>
  <c r="V53" i="28"/>
  <c r="V65" i="28"/>
  <c r="V54" i="28"/>
  <c r="V64" i="28"/>
  <c r="C4" i="27"/>
  <c r="G31" i="28"/>
  <c r="F32" i="28"/>
  <c r="B22" i="28"/>
  <c r="W33" i="28" a="1"/>
  <c r="W30" i="28" a="1"/>
  <c r="U35" i="28" a="1"/>
  <c r="W34" i="28" a="1"/>
  <c r="W31" i="28" a="1"/>
  <c r="G32" i="28" a="1"/>
  <c r="W29" i="28" a="1"/>
  <c r="W32" i="28" a="1"/>
  <c r="U35" i="28" l="1"/>
  <c r="W34" i="28"/>
  <c r="W29" i="28"/>
  <c r="W33" i="28"/>
  <c r="W32" i="28"/>
  <c r="W30" i="28"/>
  <c r="W31" i="28"/>
  <c r="U80" i="28"/>
  <c r="U83" i="28"/>
  <c r="U81" i="28"/>
  <c r="U84" i="28"/>
  <c r="U82" i="28"/>
  <c r="U85" i="28"/>
  <c r="G32" i="28"/>
  <c r="F33" i="28"/>
  <c r="W85" i="28" a="1"/>
  <c r="G33" i="28" a="1"/>
  <c r="W81" i="28" a="1"/>
  <c r="U36" i="28" a="1"/>
  <c r="W35" i="28" a="1"/>
  <c r="W82" i="28" a="1"/>
  <c r="W84" i="28" a="1"/>
  <c r="W80" i="28" a="1"/>
  <c r="W83" i="28" a="1"/>
  <c r="U36" i="28" l="1"/>
  <c r="W35" i="28"/>
  <c r="W83" i="28"/>
  <c r="W85" i="28"/>
  <c r="W81" i="28"/>
  <c r="W80" i="28"/>
  <c r="W82" i="28"/>
  <c r="W84" i="28"/>
  <c r="G33" i="28"/>
  <c r="F34" i="28"/>
  <c r="W36" i="28" a="1"/>
  <c r="G34" i="28" a="1"/>
  <c r="U37" i="28" a="1"/>
  <c r="U37" i="28" l="1"/>
  <c r="W36" i="28"/>
  <c r="G34" i="28"/>
  <c r="F35" i="28"/>
  <c r="U38" i="28" a="1"/>
  <c r="X33" i="3" a="1"/>
  <c r="G35" i="28" a="1"/>
  <c r="H29" i="28" a="1"/>
  <c r="I34" i="28" a="1"/>
  <c r="W37" i="28" a="1"/>
  <c r="I31" i="28" a="1"/>
  <c r="I30" i="28" a="1"/>
  <c r="I32" i="28" a="1"/>
  <c r="I33" i="28" a="1"/>
  <c r="U38" i="28" l="1"/>
  <c r="W37" i="28"/>
  <c r="I30" i="28"/>
  <c r="I31" i="28"/>
  <c r="I32" i="28"/>
  <c r="I33" i="28"/>
  <c r="I34" i="28"/>
  <c r="G35" i="28"/>
  <c r="H29" i="28"/>
  <c r="X33" i="3"/>
  <c r="I29" i="28" a="1"/>
  <c r="W38" i="28" a="1"/>
  <c r="I35" i="28" a="1"/>
  <c r="W38" i="28" l="1"/>
  <c r="I35" i="28"/>
  <c r="I29" i="28"/>
  <c r="C116" i="1" l="1"/>
  <c r="B98" i="1"/>
  <c r="B99" i="1"/>
  <c r="B113" i="1" s="1"/>
  <c r="B100" i="1"/>
  <c r="B114" i="1" s="1"/>
  <c r="B101" i="1"/>
  <c r="B115" i="1" s="1"/>
  <c r="B102" i="1"/>
  <c r="C102" i="1" s="1"/>
  <c r="B138" i="13" a="1"/>
  <c r="M160" i="13" a="1"/>
  <c r="O150" i="13" a="1"/>
  <c r="N159" i="13" a="1"/>
  <c r="O169" i="13" a="1"/>
  <c r="L153" i="13" a="1"/>
  <c r="N166" i="13" a="1"/>
  <c r="O155" i="13" a="1"/>
  <c r="L167" i="13" a="1"/>
  <c r="O173" i="13" a="1"/>
  <c r="N156" i="13" a="1"/>
  <c r="L169" i="13" a="1"/>
  <c r="L156" i="13" a="1"/>
  <c r="G77" i="1" a="1"/>
  <c r="N163" i="13" a="1"/>
  <c r="N165" i="13" a="1"/>
  <c r="L152" i="13" a="1"/>
  <c r="M159" i="13" a="1"/>
  <c r="N154" i="13" a="1"/>
  <c r="N153" i="13" a="1"/>
  <c r="L172" i="13" a="1"/>
  <c r="O168" i="13" a="1"/>
  <c r="O157" i="13" a="1"/>
  <c r="O138" i="13" a="1"/>
  <c r="L144" i="13" a="1"/>
  <c r="O148" i="13" a="1"/>
  <c r="M149" i="13" a="1"/>
  <c r="N145" i="13" a="1"/>
  <c r="L139" i="13" a="1"/>
  <c r="N169" i="13" a="1"/>
  <c r="M147" i="13" a="1"/>
  <c r="M155" i="13" a="1"/>
  <c r="L155" i="13" a="1"/>
  <c r="O171" i="13" a="1"/>
  <c r="M174" i="13" a="1"/>
  <c r="M156" i="13" a="1"/>
  <c r="L161" i="13" a="1"/>
  <c r="O158" i="13" a="1"/>
  <c r="N164" i="13" a="1"/>
  <c r="O160" i="13" a="1"/>
  <c r="M158" i="13" a="1"/>
  <c r="O162" i="13" a="1"/>
  <c r="M144" i="13" a="1"/>
  <c r="N144" i="13" a="1"/>
  <c r="O146" i="13" a="1"/>
  <c r="N157" i="13" a="1"/>
  <c r="L150" i="13" a="1"/>
  <c r="L174" i="13" a="1"/>
  <c r="N142" i="13" a="1"/>
  <c r="L176" i="13" a="1"/>
  <c r="O144" i="13" a="1"/>
  <c r="L158" i="13" a="1"/>
  <c r="M165" i="13" a="1"/>
  <c r="N143" i="13" a="1"/>
  <c r="N138" i="13" a="1"/>
  <c r="M154" i="13" a="1"/>
  <c r="N139" i="13" a="1"/>
  <c r="L147" i="13" a="1"/>
  <c r="L173" i="13" a="1"/>
  <c r="L149" i="13" a="1"/>
  <c r="N141" i="13" a="1"/>
  <c r="N148" i="13" a="1"/>
  <c r="N167" i="13" a="1"/>
  <c r="M166" i="13" a="1"/>
  <c r="O165" i="13" a="1"/>
  <c r="N158" i="13" a="1"/>
  <c r="L148" i="13" a="1"/>
  <c r="N176" i="13" a="1"/>
  <c r="L163" i="13" a="1"/>
  <c r="N146" i="13" a="1"/>
  <c r="L171" i="13" a="1"/>
  <c r="O141" i="13" a="1"/>
  <c r="N150" i="13" a="1"/>
  <c r="M140" i="13" a="1"/>
  <c r="O153" i="13" a="1"/>
  <c r="O176" i="13" a="1"/>
  <c r="M161" i="13" a="1"/>
  <c r="M175" i="13" a="1"/>
  <c r="M150" i="13" a="1"/>
  <c r="M145" i="13" a="1"/>
  <c r="O163" i="13" a="1"/>
  <c r="L157" i="13" a="1"/>
  <c r="M169" i="13" a="1"/>
  <c r="M167" i="13" a="1"/>
  <c r="N170" i="13" a="1"/>
  <c r="O166" i="13" a="1"/>
  <c r="M172" i="13" a="1"/>
  <c r="O154" i="13" a="1"/>
  <c r="M139" i="13" a="1"/>
  <c r="N161" i="13" a="1"/>
  <c r="M173" i="13" a="1"/>
  <c r="M141" i="13" a="1"/>
  <c r="M138" i="13" a="1"/>
  <c r="N147" i="13" a="1"/>
  <c r="L164" i="13" a="1"/>
  <c r="O174" i="13" a="1"/>
  <c r="O170" i="13" a="1"/>
  <c r="M168" i="13" a="1"/>
  <c r="O139" i="13" a="1"/>
  <c r="O161" i="13" a="1"/>
  <c r="L168" i="13" a="1"/>
  <c r="O147" i="13" a="1"/>
  <c r="N171" i="13" a="1"/>
  <c r="L141" i="13" a="1"/>
  <c r="L140" i="13" a="1"/>
  <c r="L146" i="13" a="1"/>
  <c r="O151" i="13" a="1"/>
  <c r="M163" i="13" a="1"/>
  <c r="N168" i="13" a="1"/>
  <c r="M176" i="13" a="1"/>
  <c r="L170" i="13" a="1"/>
  <c r="N151" i="13" a="1"/>
  <c r="M153" i="13" a="1"/>
  <c r="M171" i="13" a="1"/>
  <c r="N140" i="13" a="1"/>
  <c r="N152" i="13" a="1"/>
  <c r="M157" i="13" a="1"/>
  <c r="N174" i="13" a="1"/>
  <c r="M152" i="13" a="1"/>
  <c r="L151" i="13" a="1"/>
  <c r="O164" i="13" a="1"/>
  <c r="M164" i="13" a="1"/>
  <c r="N160" i="13" a="1"/>
  <c r="L159" i="13" a="1"/>
  <c r="N172" i="13" a="1"/>
  <c r="O152" i="13" a="1"/>
  <c r="O172" i="13" a="1"/>
  <c r="L160" i="13" a="1"/>
  <c r="O156" i="13" a="1"/>
  <c r="L143" i="13" a="1"/>
  <c r="M162" i="13" a="1"/>
  <c r="L162" i="13" a="1"/>
  <c r="M146" i="13" a="1"/>
  <c r="L142" i="13" a="1"/>
  <c r="O142" i="13" a="1"/>
  <c r="N149" i="13" a="1"/>
  <c r="N162" i="13" a="1"/>
  <c r="O175" i="13" a="1"/>
  <c r="N155" i="13" a="1"/>
  <c r="O145" i="13" a="1"/>
  <c r="O143" i="13" a="1"/>
  <c r="N175" i="13" a="1"/>
  <c r="L145" i="13" a="1"/>
  <c r="O167" i="13" a="1"/>
  <c r="L165" i="13" a="1"/>
  <c r="M148" i="13" a="1"/>
  <c r="L154" i="13" a="1"/>
  <c r="M142" i="13" a="1"/>
  <c r="L166" i="13" a="1"/>
  <c r="O140" i="13" a="1"/>
  <c r="L175" i="13" a="1"/>
  <c r="O159" i="13" a="1"/>
  <c r="O149" i="13" a="1"/>
  <c r="M143" i="13" a="1"/>
  <c r="M151" i="13" a="1"/>
  <c r="N173" i="13" a="1"/>
  <c r="M170" i="13" a="1"/>
  <c r="G77" i="1" l="1"/>
  <c r="F98" i="1"/>
  <c r="N102" i="1"/>
  <c r="C101" i="1"/>
  <c r="C100" i="1"/>
  <c r="T99" i="1"/>
  <c r="F100" i="1"/>
  <c r="T98" i="1"/>
  <c r="N98" i="1"/>
  <c r="J100" i="1"/>
  <c r="C99" i="1"/>
  <c r="J98" i="1"/>
  <c r="C98" i="1"/>
  <c r="F102" i="1"/>
  <c r="F101" i="1"/>
  <c r="F99" i="1"/>
  <c r="T100" i="1"/>
  <c r="J102" i="1"/>
  <c r="T102" i="1"/>
  <c r="Q100" i="1"/>
  <c r="Q102" i="1"/>
  <c r="N100" i="1"/>
  <c r="T101" i="1"/>
  <c r="Q99" i="1"/>
  <c r="N101" i="1"/>
  <c r="N99" i="1"/>
  <c r="J101" i="1"/>
  <c r="J99" i="1"/>
  <c r="N168" i="13"/>
  <c r="L173" i="13"/>
  <c r="N174" i="13"/>
  <c r="L176" i="13"/>
  <c r="N138" i="13"/>
  <c r="L140" i="13"/>
  <c r="N141" i="13"/>
  <c r="L143" i="13"/>
  <c r="N144" i="13"/>
  <c r="L146" i="13"/>
  <c r="N147" i="13"/>
  <c r="L149" i="13"/>
  <c r="N150" i="13"/>
  <c r="L152" i="13"/>
  <c r="N153" i="13"/>
  <c r="L155" i="13"/>
  <c r="N156" i="13"/>
  <c r="L158" i="13"/>
  <c r="N159" i="13"/>
  <c r="L161" i="13"/>
  <c r="N162" i="13"/>
  <c r="L164" i="13"/>
  <c r="N165" i="13"/>
  <c r="L167" i="13"/>
  <c r="M169" i="13"/>
  <c r="M160" i="13"/>
  <c r="M172" i="13"/>
  <c r="M163" i="13"/>
  <c r="O155" i="13"/>
  <c r="O164" i="13"/>
  <c r="O167" i="13"/>
  <c r="O158" i="13"/>
  <c r="O170" i="13"/>
  <c r="M166" i="13"/>
  <c r="O161" i="13"/>
  <c r="M157" i="13"/>
  <c r="L170" i="13"/>
  <c r="M171" i="13"/>
  <c r="M168" i="13"/>
  <c r="M165" i="13"/>
  <c r="M159" i="13"/>
  <c r="M144" i="13"/>
  <c r="N171" i="13"/>
  <c r="O172" i="13"/>
  <c r="O169" i="13"/>
  <c r="O166" i="13"/>
  <c r="O163" i="13"/>
  <c r="M162" i="13"/>
  <c r="O160" i="13"/>
  <c r="O157" i="13"/>
  <c r="M156" i="13"/>
  <c r="O154" i="13"/>
  <c r="M153" i="13"/>
  <c r="O151" i="13"/>
  <c r="M150" i="13"/>
  <c r="O148" i="13"/>
  <c r="M147" i="13"/>
  <c r="O145" i="13"/>
  <c r="O142" i="13"/>
  <c r="M141" i="13"/>
  <c r="O139" i="13"/>
  <c r="M138" i="13"/>
  <c r="O175" i="13"/>
  <c r="M174" i="13"/>
  <c r="L171" i="13"/>
  <c r="N169" i="13"/>
  <c r="L168" i="13"/>
  <c r="N166" i="13"/>
  <c r="L165" i="13"/>
  <c r="N163" i="13"/>
  <c r="L162" i="13"/>
  <c r="N160" i="13"/>
  <c r="L159" i="13"/>
  <c r="N157" i="13"/>
  <c r="L156" i="13"/>
  <c r="N154" i="13"/>
  <c r="L153" i="13"/>
  <c r="N151" i="13"/>
  <c r="L150" i="13"/>
  <c r="N148" i="13"/>
  <c r="L147" i="13"/>
  <c r="N145" i="13"/>
  <c r="L144" i="13"/>
  <c r="N142" i="13"/>
  <c r="L141" i="13"/>
  <c r="N139" i="13"/>
  <c r="N175" i="13"/>
  <c r="L174" i="13"/>
  <c r="N172" i="13"/>
  <c r="M154" i="13"/>
  <c r="O152" i="13"/>
  <c r="M151" i="13"/>
  <c r="O149" i="13"/>
  <c r="M148" i="13"/>
  <c r="O146" i="13"/>
  <c r="M145" i="13"/>
  <c r="O143" i="13"/>
  <c r="M142" i="13"/>
  <c r="O140" i="13"/>
  <c r="M139" i="13"/>
  <c r="O176" i="13"/>
  <c r="M175" i="13"/>
  <c r="O173" i="13"/>
  <c r="L172" i="13"/>
  <c r="N170" i="13"/>
  <c r="L169" i="13"/>
  <c r="N167" i="13"/>
  <c r="L166" i="13"/>
  <c r="N164" i="13"/>
  <c r="L163" i="13"/>
  <c r="N161" i="13"/>
  <c r="L160" i="13"/>
  <c r="N158" i="13"/>
  <c r="L157" i="13"/>
  <c r="N155" i="13"/>
  <c r="L154" i="13"/>
  <c r="N152" i="13"/>
  <c r="L151" i="13"/>
  <c r="N149" i="13"/>
  <c r="L148" i="13"/>
  <c r="N146" i="13"/>
  <c r="L145" i="13"/>
  <c r="N143" i="13"/>
  <c r="L142" i="13"/>
  <c r="N140" i="13"/>
  <c r="L139" i="13"/>
  <c r="N176" i="13"/>
  <c r="L175" i="13"/>
  <c r="N173" i="13"/>
  <c r="O171" i="13"/>
  <c r="M170" i="13"/>
  <c r="O168" i="13"/>
  <c r="M167" i="13"/>
  <c r="O165" i="13"/>
  <c r="M164" i="13"/>
  <c r="O162" i="13"/>
  <c r="M161" i="13"/>
  <c r="O159" i="13"/>
  <c r="M158" i="13"/>
  <c r="O156" i="13"/>
  <c r="M155" i="13"/>
  <c r="O153" i="13"/>
  <c r="M152" i="13"/>
  <c r="O150" i="13"/>
  <c r="M149" i="13"/>
  <c r="O147" i="13"/>
  <c r="M146" i="13"/>
  <c r="O144" i="13"/>
  <c r="M143" i="13"/>
  <c r="O141" i="13"/>
  <c r="M140" i="13"/>
  <c r="O138" i="13"/>
  <c r="M176" i="13"/>
  <c r="O174" i="13"/>
  <c r="M173" i="13"/>
  <c r="B138" i="13"/>
  <c r="C113" i="1"/>
  <c r="C115" i="1"/>
  <c r="C114" i="1"/>
  <c r="B112" i="1"/>
  <c r="Q101" i="1"/>
  <c r="Q98" i="1"/>
  <c r="K102" i="1" a="1"/>
  <c r="R101" i="1" a="1"/>
  <c r="O101" i="1" a="1"/>
  <c r="D112" i="1" a="1"/>
  <c r="E113" i="1" a="1"/>
  <c r="D115" i="1" a="1"/>
  <c r="M77" i="1" a="1"/>
  <c r="O100" i="1" a="1"/>
  <c r="E116" i="1" a="1"/>
  <c r="G98" i="1" a="1"/>
  <c r="R100" i="1" a="1"/>
  <c r="D114" i="1" a="1"/>
  <c r="D86" i="1" a="1"/>
  <c r="U99" i="1" a="1"/>
  <c r="U98" i="1" a="1"/>
  <c r="D84" i="1" a="1"/>
  <c r="G100" i="1" a="1"/>
  <c r="O99" i="1" a="1"/>
  <c r="D82" i="1" a="1"/>
  <c r="E114" i="1" a="1"/>
  <c r="D116" i="1" a="1"/>
  <c r="K101" i="1" a="1"/>
  <c r="D80" i="1" a="1"/>
  <c r="X99" i="1" a="1"/>
  <c r="L138" i="13" a="1"/>
  <c r="O98" i="1" a="1"/>
  <c r="O102" i="1" a="1"/>
  <c r="G99" i="1" a="1"/>
  <c r="D113" i="1" a="1"/>
  <c r="G102" i="1" a="1"/>
  <c r="U101" i="1" a="1"/>
  <c r="R99" i="1" a="1"/>
  <c r="K100" i="1" a="1"/>
  <c r="G101" i="1" a="1"/>
  <c r="B125" i="1" a="1"/>
  <c r="R98" i="1" a="1"/>
  <c r="U100" i="1" a="1"/>
  <c r="K99" i="1" a="1"/>
  <c r="D78" i="1" a="1"/>
  <c r="U102" i="1" a="1"/>
  <c r="D98" i="1" a="1"/>
  <c r="K98" i="1" a="1"/>
  <c r="R102" i="1" a="1"/>
  <c r="E115" i="1" a="1"/>
  <c r="M77" i="1" l="1"/>
  <c r="H73" i="1" s="1"/>
  <c r="L138" i="13"/>
  <c r="G99" i="1"/>
  <c r="U100" i="1"/>
  <c r="G102" i="1"/>
  <c r="D112" i="1"/>
  <c r="D114" i="1"/>
  <c r="K98" i="1"/>
  <c r="K101" i="1"/>
  <c r="E114" i="1"/>
  <c r="R99" i="1"/>
  <c r="R102" i="1"/>
  <c r="D78" i="1"/>
  <c r="D84" i="1"/>
  <c r="U98" i="1"/>
  <c r="G100" i="1"/>
  <c r="D116" i="1"/>
  <c r="K99" i="1"/>
  <c r="K102" i="1"/>
  <c r="B125" i="1"/>
  <c r="O98" i="1"/>
  <c r="O101" i="1"/>
  <c r="X99" i="1"/>
  <c r="D113" i="1"/>
  <c r="E116" i="1"/>
  <c r="R100" i="1"/>
  <c r="D82" i="1"/>
  <c r="G98" i="1"/>
  <c r="U99" i="1"/>
  <c r="G101" i="1"/>
  <c r="U102" i="1"/>
  <c r="E113" i="1"/>
  <c r="D115" i="1"/>
  <c r="K100" i="1"/>
  <c r="O99" i="1"/>
  <c r="O102" i="1"/>
  <c r="R101" i="1"/>
  <c r="D80" i="1"/>
  <c r="D86" i="1"/>
  <c r="O100" i="1"/>
  <c r="E115" i="1"/>
  <c r="D98" i="1"/>
  <c r="D99" i="1"/>
  <c r="D101" i="1"/>
  <c r="D102" i="1"/>
  <c r="D100" i="1"/>
  <c r="R98" i="1"/>
  <c r="U101" i="1"/>
  <c r="C112" i="1"/>
  <c r="F114" i="1" a="1"/>
  <c r="G112" i="1" a="1"/>
  <c r="P100" i="1" a="1"/>
  <c r="W113" i="1" a="1"/>
  <c r="I98" i="1" a="1"/>
  <c r="I99" i="1" a="1"/>
  <c r="P99" i="1" a="1"/>
  <c r="P98" i="1" a="1"/>
  <c r="C133" i="13" a="1"/>
  <c r="Q113" i="1" a="1"/>
  <c r="V98" i="1" a="1"/>
  <c r="W115" i="1" a="1"/>
  <c r="T113" i="1" a="1"/>
  <c r="X112" i="1" a="1"/>
  <c r="Q116" i="1" a="1"/>
  <c r="N113" i="1" a="1"/>
  <c r="S102" i="1" a="1"/>
  <c r="E112" i="1" a="1"/>
  <c r="Q114" i="1" a="1"/>
  <c r="AD99" i="1" a="1"/>
  <c r="R112" i="1" a="1"/>
  <c r="Q115" i="1" a="1"/>
  <c r="M101" i="1" a="1"/>
  <c r="P102" i="1" a="1"/>
  <c r="S98" i="1" a="1"/>
  <c r="I100" i="1" a="1"/>
  <c r="U112" i="1" a="1"/>
  <c r="J114" i="1" a="1"/>
  <c r="N114" i="1" a="1"/>
  <c r="O112" i="1" a="1"/>
  <c r="W116" i="1" a="1"/>
  <c r="E98" i="1" a="1"/>
  <c r="J113" i="1" a="1"/>
  <c r="T114" i="1" a="1"/>
  <c r="M99" i="1" a="1"/>
  <c r="K125" i="1" a="1"/>
  <c r="F116" i="1" a="1"/>
  <c r="I101" i="1" a="1"/>
  <c r="V100" i="1" a="1"/>
  <c r="W114" i="1" a="1"/>
  <c r="I102" i="1" a="1"/>
  <c r="S99" i="1" a="1"/>
  <c r="M102" i="1" a="1"/>
  <c r="V99" i="1" a="1"/>
  <c r="S101" i="1" a="1"/>
  <c r="E102" i="1" a="1"/>
  <c r="E101" i="1" a="1"/>
  <c r="J116" i="1" a="1"/>
  <c r="N115" i="1" a="1"/>
  <c r="J115" i="1" a="1"/>
  <c r="V102" i="1" a="1"/>
  <c r="P101" i="1" a="1"/>
  <c r="E100" i="1" a="1"/>
  <c r="F113" i="1" a="1"/>
  <c r="E99" i="1" a="1"/>
  <c r="V101" i="1" a="1"/>
  <c r="T116" i="1" a="1"/>
  <c r="M98" i="1" a="1"/>
  <c r="M100" i="1" a="1"/>
  <c r="N116" i="1" a="1"/>
  <c r="F115" i="1" a="1"/>
  <c r="T115" i="1" a="1"/>
  <c r="K112" i="1" a="1"/>
  <c r="S100" i="1" a="1"/>
  <c r="P98" i="1" l="1"/>
  <c r="S99" i="1"/>
  <c r="V101" i="1"/>
  <c r="I100" i="1"/>
  <c r="S98" i="1"/>
  <c r="S101" i="1"/>
  <c r="V98" i="1"/>
  <c r="I102" i="1"/>
  <c r="E100" i="1"/>
  <c r="P102" i="1"/>
  <c r="S100" i="1"/>
  <c r="V100" i="1"/>
  <c r="W113" i="1"/>
  <c r="E102" i="1"/>
  <c r="P99" i="1"/>
  <c r="I99" i="1"/>
  <c r="E101" i="1"/>
  <c r="M100" i="1"/>
  <c r="Q113" i="1"/>
  <c r="T113" i="1"/>
  <c r="F113" i="1"/>
  <c r="N113" i="1"/>
  <c r="J113" i="1"/>
  <c r="E99" i="1"/>
  <c r="T115" i="1"/>
  <c r="W115" i="1"/>
  <c r="N115" i="1"/>
  <c r="Q115" i="1"/>
  <c r="J115" i="1"/>
  <c r="F115" i="1"/>
  <c r="AD99" i="1"/>
  <c r="Y94" i="1" s="1"/>
  <c r="C133" i="13"/>
  <c r="D15" i="13" s="1"/>
  <c r="E98" i="1"/>
  <c r="P101" i="1"/>
  <c r="S102" i="1"/>
  <c r="V102" i="1"/>
  <c r="P100" i="1"/>
  <c r="I101" i="1"/>
  <c r="K125" i="1"/>
  <c r="C121" i="1" s="1"/>
  <c r="D11" i="1" s="1"/>
  <c r="V99" i="1"/>
  <c r="M102" i="1"/>
  <c r="M101" i="1"/>
  <c r="R112" i="1"/>
  <c r="X112" i="1"/>
  <c r="K115" i="1"/>
  <c r="K112" i="1"/>
  <c r="K114" i="1"/>
  <c r="K113" i="1"/>
  <c r="K116" i="1"/>
  <c r="O112" i="1"/>
  <c r="G113" i="1"/>
  <c r="G115" i="1"/>
  <c r="G112" i="1"/>
  <c r="G116" i="1"/>
  <c r="G114" i="1"/>
  <c r="E112" i="1"/>
  <c r="U112" i="1"/>
  <c r="I98" i="1"/>
  <c r="M99" i="1"/>
  <c r="M98" i="1"/>
  <c r="T116" i="1"/>
  <c r="W116" i="1"/>
  <c r="F116" i="1"/>
  <c r="J116" i="1"/>
  <c r="Q116" i="1"/>
  <c r="N116" i="1"/>
  <c r="N114" i="1"/>
  <c r="W114" i="1"/>
  <c r="T114" i="1"/>
  <c r="J114" i="1"/>
  <c r="Q114" i="1"/>
  <c r="F114" i="1"/>
  <c r="P114" i="1" a="1"/>
  <c r="S113" i="1" a="1"/>
  <c r="P116" i="1" a="1"/>
  <c r="M116" i="1" a="1"/>
  <c r="M114" i="1" a="1"/>
  <c r="Y113" i="1" a="1"/>
  <c r="S116" i="1" a="1"/>
  <c r="M113" i="1" a="1"/>
  <c r="I116" i="1" a="1"/>
  <c r="J112" i="1" a="1"/>
  <c r="P115" i="1" a="1"/>
  <c r="S115" i="1" a="1"/>
  <c r="Y116" i="1" a="1"/>
  <c r="V113" i="1" a="1"/>
  <c r="Q112" i="1" a="1"/>
  <c r="P113" i="1" a="1"/>
  <c r="N112" i="1" a="1"/>
  <c r="V115" i="1" a="1"/>
  <c r="I114" i="1" a="1"/>
  <c r="Y114" i="1" a="1"/>
  <c r="T112" i="1" a="1"/>
  <c r="I115" i="1" a="1"/>
  <c r="I113" i="1" a="1"/>
  <c r="Y115" i="1" a="1"/>
  <c r="V116" i="1" a="1"/>
  <c r="V114" i="1" a="1"/>
  <c r="C92" i="1" a="1"/>
  <c r="M115" i="1" a="1"/>
  <c r="F112" i="1" a="1"/>
  <c r="S114" i="1" a="1"/>
  <c r="W112" i="1" a="1"/>
  <c r="P113" i="1" l="1"/>
  <c r="Q112" i="1"/>
  <c r="Y116" i="1"/>
  <c r="I113" i="1"/>
  <c r="V116" i="1"/>
  <c r="S115" i="1"/>
  <c r="V114" i="1"/>
  <c r="P115" i="1"/>
  <c r="Y115" i="1"/>
  <c r="P114" i="1"/>
  <c r="V115" i="1"/>
  <c r="T112" i="1"/>
  <c r="P116" i="1"/>
  <c r="V113" i="1"/>
  <c r="I114" i="1"/>
  <c r="I115" i="1"/>
  <c r="S113" i="1"/>
  <c r="S114" i="1"/>
  <c r="M115" i="1"/>
  <c r="M114" i="1"/>
  <c r="Y114" i="1"/>
  <c r="S116" i="1"/>
  <c r="Y113" i="1"/>
  <c r="M116" i="1"/>
  <c r="N112" i="1"/>
  <c r="J112" i="1"/>
  <c r="W112" i="1"/>
  <c r="F112" i="1"/>
  <c r="C92" i="1"/>
  <c r="D9" i="1" s="1"/>
  <c r="M113" i="1"/>
  <c r="I116" i="1"/>
  <c r="Y112" i="1" a="1"/>
  <c r="I112" i="1" a="1"/>
  <c r="V112" i="1" a="1"/>
  <c r="S112" i="1" a="1"/>
  <c r="M112" i="1" a="1"/>
  <c r="P112" i="1" a="1"/>
  <c r="P112" i="1" l="1"/>
  <c r="V112" i="1"/>
  <c r="Y112" i="1"/>
  <c r="M112" i="1"/>
  <c r="S112" i="1"/>
  <c r="I112" i="1"/>
  <c r="AF33" i="3"/>
  <c r="Q33" i="3"/>
  <c r="S84" i="3"/>
  <c r="S85" i="3"/>
  <c r="S86" i="3"/>
  <c r="S87" i="3"/>
  <c r="S88" i="3"/>
  <c r="S89" i="3"/>
  <c r="Q38" i="3" a="1"/>
  <c r="Q36" i="3" a="1"/>
  <c r="Q42" i="3" a="1"/>
  <c r="AH33" i="3" a="1"/>
  <c r="Q41" i="3" a="1"/>
  <c r="Q40" i="3" a="1"/>
  <c r="Q37" i="3" a="1"/>
  <c r="Q48" i="3" a="1"/>
  <c r="Q39" i="3" a="1"/>
  <c r="Q43" i="3" a="1"/>
  <c r="C107" i="1" a="1"/>
  <c r="Q35" i="3" a="1"/>
  <c r="R34" i="3" a="1"/>
  <c r="AH33" i="3" l="1"/>
  <c r="C107" i="1"/>
  <c r="D10" i="1" s="1"/>
  <c r="Q35" i="3"/>
  <c r="Q51" i="3"/>
  <c r="R34" i="3"/>
  <c r="Q42" i="3"/>
  <c r="Q39" i="3"/>
  <c r="Q38" i="3"/>
  <c r="Q37" i="3"/>
  <c r="Q41" i="3"/>
  <c r="Q43" i="3"/>
  <c r="Q36" i="3"/>
  <c r="Q40" i="3"/>
  <c r="Q69" i="3"/>
  <c r="Q65" i="3"/>
  <c r="Q77" i="3"/>
  <c r="Q57" i="3"/>
  <c r="Q53" i="3"/>
  <c r="Q74" i="3"/>
  <c r="Q62" i="3"/>
  <c r="Q50" i="3"/>
  <c r="Q72" i="3"/>
  <c r="Q60" i="3"/>
  <c r="Q48" i="3"/>
  <c r="Q73" i="3"/>
  <c r="Q61" i="3"/>
  <c r="Q49" i="3"/>
  <c r="Q71" i="3"/>
  <c r="Q59" i="3"/>
  <c r="Q70" i="3"/>
  <c r="Q58" i="3"/>
  <c r="Q80" i="3"/>
  <c r="Q68" i="3"/>
  <c r="Q56" i="3"/>
  <c r="Q67" i="3"/>
  <c r="Q79" i="3"/>
  <c r="Q55" i="3"/>
  <c r="Q78" i="3"/>
  <c r="Q66" i="3"/>
  <c r="Q54" i="3"/>
  <c r="Q76" i="3"/>
  <c r="Q64" i="3"/>
  <c r="Q52" i="3"/>
  <c r="Q75" i="3"/>
  <c r="Q63" i="3"/>
  <c r="R65" i="3" a="1"/>
  <c r="R57" i="3" a="1"/>
  <c r="R80" i="3" a="1"/>
  <c r="S39" i="3" a="1"/>
  <c r="R56" i="3" a="1"/>
  <c r="R62" i="3" a="1"/>
  <c r="R59" i="3" a="1"/>
  <c r="S37" i="3" a="1"/>
  <c r="R71" i="3" a="1"/>
  <c r="R53" i="3" a="1"/>
  <c r="R61" i="3" a="1"/>
  <c r="T49" i="3" a="1"/>
  <c r="R68" i="3" a="1"/>
  <c r="R74" i="3" a="1"/>
  <c r="R52" i="3" a="1"/>
  <c r="R55" i="3" a="1"/>
  <c r="R49" i="3" a="1"/>
  <c r="S49" i="3" a="1"/>
  <c r="R76" i="3" a="1"/>
  <c r="R77" i="3" a="1"/>
  <c r="S35" i="3" a="1"/>
  <c r="R79" i="3" a="1"/>
  <c r="R35" i="3" a="1"/>
  <c r="R78" i="3" a="1"/>
  <c r="S40" i="3" a="1"/>
  <c r="R51" i="3" a="1"/>
  <c r="R66" i="3" a="1"/>
  <c r="S41" i="3" a="1"/>
  <c r="R67" i="3" a="1"/>
  <c r="R54" i="3" a="1"/>
  <c r="R70" i="3" a="1"/>
  <c r="S38" i="3" a="1"/>
  <c r="R75" i="3" a="1"/>
  <c r="S43" i="3" a="1"/>
  <c r="S42" i="3" a="1"/>
  <c r="R64" i="3" a="1"/>
  <c r="R69" i="3" a="1"/>
  <c r="R36" i="3" a="1"/>
  <c r="R50" i="3" a="1"/>
  <c r="R60" i="3" a="1"/>
  <c r="S33" i="3" a="1"/>
  <c r="R58" i="3" a="1"/>
  <c r="R72" i="3" a="1"/>
  <c r="R73" i="3" a="1"/>
  <c r="S36" i="3" a="1"/>
  <c r="R63" i="3" a="1"/>
  <c r="S36" i="3" l="1"/>
  <c r="S37" i="3"/>
  <c r="S35" i="3"/>
  <c r="R55" i="3"/>
  <c r="R66" i="3"/>
  <c r="R56" i="3"/>
  <c r="R74" i="3"/>
  <c r="R80" i="3"/>
  <c r="R49" i="3"/>
  <c r="R70" i="3"/>
  <c r="R68" i="3"/>
  <c r="R61" i="3"/>
  <c r="R78" i="3"/>
  <c r="R50" i="3"/>
  <c r="R79" i="3"/>
  <c r="R62" i="3"/>
  <c r="R57" i="3"/>
  <c r="R73" i="3"/>
  <c r="R72" i="3"/>
  <c r="R67" i="3"/>
  <c r="R64" i="3"/>
  <c r="R69" i="3"/>
  <c r="R51" i="3"/>
  <c r="R76" i="3"/>
  <c r="R63" i="3"/>
  <c r="R53" i="3"/>
  <c r="R59" i="3"/>
  <c r="R75" i="3"/>
  <c r="R36" i="3"/>
  <c r="R65" i="3"/>
  <c r="R71" i="3"/>
  <c r="R54" i="3"/>
  <c r="S33" i="3"/>
  <c r="S40" i="3"/>
  <c r="T49" i="3"/>
  <c r="T53" i="3"/>
  <c r="T69" i="3"/>
  <c r="T61" i="3"/>
  <c r="T65" i="3"/>
  <c r="T58" i="3"/>
  <c r="T66" i="3"/>
  <c r="T56" i="3"/>
  <c r="T57" i="3"/>
  <c r="T73" i="3"/>
  <c r="T77" i="3"/>
  <c r="T59" i="3"/>
  <c r="T50" i="3"/>
  <c r="T54" i="3"/>
  <c r="T60" i="3"/>
  <c r="T62" i="3"/>
  <c r="T55" i="3"/>
  <c r="T74" i="3"/>
  <c r="T78" i="3"/>
  <c r="T70" i="3"/>
  <c r="T71" i="3"/>
  <c r="T72" i="3"/>
  <c r="T75" i="3"/>
  <c r="T52" i="3"/>
  <c r="T76" i="3"/>
  <c r="T51" i="3"/>
  <c r="T67" i="3"/>
  <c r="T68" i="3"/>
  <c r="T64" i="3"/>
  <c r="T63" i="3"/>
  <c r="T79" i="3"/>
  <c r="T80" i="3"/>
  <c r="S38" i="3"/>
  <c r="S75" i="3"/>
  <c r="S56" i="3"/>
  <c r="S52" i="3"/>
  <c r="S69" i="3"/>
  <c r="S53" i="3"/>
  <c r="S78" i="3"/>
  <c r="S74" i="3"/>
  <c r="S79" i="3"/>
  <c r="S64" i="3"/>
  <c r="S71" i="3"/>
  <c r="S76" i="3"/>
  <c r="S72" i="3"/>
  <c r="S49" i="3"/>
  <c r="S66" i="3"/>
  <c r="S58" i="3"/>
  <c r="S70" i="3"/>
  <c r="S67" i="3"/>
  <c r="S60" i="3"/>
  <c r="S61" i="3"/>
  <c r="S65" i="3"/>
  <c r="S68" i="3"/>
  <c r="S59" i="3"/>
  <c r="S73" i="3"/>
  <c r="S77" i="3"/>
  <c r="S80" i="3"/>
  <c r="S55" i="3"/>
  <c r="S51" i="3"/>
  <c r="S63" i="3"/>
  <c r="S50" i="3"/>
  <c r="S54" i="3"/>
  <c r="S57" i="3"/>
  <c r="S62" i="3"/>
  <c r="S41" i="3"/>
  <c r="S43" i="3"/>
  <c r="S42" i="3"/>
  <c r="S39" i="3"/>
  <c r="R52" i="3"/>
  <c r="R77" i="3"/>
  <c r="R60" i="3"/>
  <c r="R58" i="3"/>
  <c r="R35" i="3"/>
  <c r="T33" i="3" a="1"/>
  <c r="T36" i="3" a="1"/>
  <c r="T34" i="3" a="1"/>
  <c r="Y33" i="3" a="1"/>
  <c r="Y34" i="3" a="1"/>
  <c r="T35" i="3" a="1"/>
  <c r="R88" i="3" l="1"/>
  <c r="R87" i="3"/>
  <c r="R84" i="3"/>
  <c r="T36" i="3"/>
  <c r="T35" i="3"/>
  <c r="Y33" i="3"/>
  <c r="T34" i="3"/>
  <c r="T33" i="3"/>
  <c r="R89" i="3"/>
  <c r="R85" i="3"/>
  <c r="R86" i="3"/>
  <c r="Y34" i="3"/>
  <c r="T85" i="3" a="1"/>
  <c r="T87" i="3" a="1"/>
  <c r="Y35" i="3" a="1"/>
  <c r="T89" i="3" a="1"/>
  <c r="T88" i="3" a="1"/>
  <c r="T86" i="3" a="1"/>
  <c r="R37" i="3" a="1"/>
  <c r="T84" i="3" a="1"/>
  <c r="T88" i="3" l="1"/>
  <c r="T84" i="3"/>
  <c r="T87" i="3"/>
  <c r="T85" i="3"/>
  <c r="T86" i="3"/>
  <c r="T89" i="3"/>
  <c r="R37" i="3"/>
  <c r="Y35" i="3"/>
  <c r="T37" i="3" a="1"/>
  <c r="Y36" i="3" a="1"/>
  <c r="T37" i="3" l="1"/>
  <c r="Y36" i="3"/>
  <c r="R38" i="3" a="1"/>
  <c r="Y37" i="3" a="1"/>
  <c r="R38" i="3" l="1"/>
  <c r="Y37" i="3"/>
  <c r="Y38" i="3" a="1"/>
  <c r="T38" i="3" a="1"/>
  <c r="T38" i="3" l="1"/>
  <c r="Y38" i="3"/>
  <c r="R39" i="3" a="1"/>
  <c r="Y39" i="3" a="1"/>
  <c r="R39" i="3" l="1"/>
  <c r="Y39" i="3"/>
  <c r="Y40" i="3" a="1"/>
  <c r="T39" i="3" a="1"/>
  <c r="T39" i="3" l="1"/>
  <c r="Y40" i="3"/>
  <c r="R40" i="3" a="1"/>
  <c r="Y41" i="3" a="1"/>
  <c r="R40" i="3" l="1"/>
  <c r="Y41" i="3"/>
  <c r="Y42" i="3" a="1"/>
  <c r="T40" i="3" a="1"/>
  <c r="T40" i="3" l="1"/>
  <c r="Y42" i="3"/>
  <c r="R41" i="3" a="1"/>
  <c r="Y43" i="3" a="1"/>
  <c r="R41" i="3" l="1"/>
  <c r="Y43" i="3"/>
  <c r="T41" i="3" a="1"/>
  <c r="Y44" i="3" a="1"/>
  <c r="T41" i="3" l="1"/>
  <c r="Y44" i="3"/>
  <c r="Y45" i="3" a="1"/>
  <c r="R42" i="3" a="1"/>
  <c r="R42" i="3" l="1"/>
  <c r="Y45" i="3"/>
  <c r="T42" i="3" a="1"/>
  <c r="Y46" i="3" a="1"/>
  <c r="T42" i="3" l="1"/>
  <c r="Y46" i="3"/>
  <c r="R43" i="3" a="1"/>
  <c r="Y47" i="3" a="1"/>
  <c r="R43" i="3" l="1"/>
  <c r="Y47" i="3"/>
  <c r="Y48" i="3" a="1"/>
  <c r="T43" i="3" a="1"/>
  <c r="T43" i="3" l="1"/>
  <c r="Y48" i="3"/>
  <c r="Y49" i="3" a="1"/>
  <c r="Y49" i="3" l="1"/>
  <c r="H59" i="3"/>
  <c r="H60" i="3"/>
  <c r="F33" i="3"/>
  <c r="H33" i="3" a="1"/>
  <c r="M25" i="3" a="1"/>
  <c r="F43" i="3" a="1"/>
  <c r="H33" i="3" l="1"/>
  <c r="F35" i="3"/>
  <c r="G35" i="3" s="1"/>
  <c r="F34" i="3"/>
  <c r="M25" i="3"/>
  <c r="H13" i="3" s="1"/>
  <c r="F38" i="3"/>
  <c r="F37" i="3"/>
  <c r="F36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H37" i="3" a="1"/>
  <c r="H34" i="3" a="1"/>
  <c r="I44" i="3" a="1"/>
  <c r="H35" i="3" a="1"/>
  <c r="H36" i="3" a="1"/>
  <c r="H38" i="3" a="1"/>
  <c r="G44" i="3" a="1"/>
  <c r="H37" i="3" l="1"/>
  <c r="H35" i="3"/>
  <c r="H34" i="3"/>
  <c r="H36" i="3"/>
  <c r="H38" i="3"/>
  <c r="I44" i="3"/>
  <c r="G36" i="3"/>
  <c r="G34" i="3"/>
  <c r="G37" i="3"/>
  <c r="G38" i="3" s="1"/>
  <c r="G44" i="3"/>
  <c r="I35" i="3" a="1"/>
  <c r="I37" i="3" a="1"/>
  <c r="I36" i="3" a="1"/>
  <c r="I34" i="3" a="1"/>
  <c r="I38" i="3" a="1"/>
  <c r="I33" i="3" a="1"/>
  <c r="I38" i="3" l="1"/>
  <c r="I37" i="3"/>
  <c r="I36" i="3"/>
  <c r="I35" i="3"/>
  <c r="I34" i="3"/>
  <c r="I33" i="3"/>
  <c r="B29" i="20" l="1"/>
  <c r="C33" i="21"/>
  <c r="F32" i="21"/>
  <c r="G32" i="21" s="1"/>
  <c r="E32" i="21" a="1"/>
  <c r="G47" i="3" a="1"/>
  <c r="S79" i="13" a="1"/>
  <c r="G46" i="3" a="1"/>
  <c r="G55" i="3" a="1"/>
  <c r="G49" i="3" a="1"/>
  <c r="E213" i="13" a="1"/>
  <c r="G53" i="3" a="1"/>
  <c r="G52" i="3" a="1"/>
  <c r="G54" i="3" a="1"/>
  <c r="L109" i="13" a="1"/>
  <c r="E109" i="13" a="1"/>
  <c r="E36" i="21" a="1"/>
  <c r="E79" i="13" a="1"/>
  <c r="S109" i="13" a="1"/>
  <c r="G45" i="3" a="1"/>
  <c r="G50" i="3" a="1"/>
  <c r="D27" i="20" a="1"/>
  <c r="Z79" i="13" a="1"/>
  <c r="G51" i="3" a="1"/>
  <c r="G48" i="3" a="1"/>
  <c r="E94" i="13" a="1"/>
  <c r="L79" i="13" a="1"/>
  <c r="G49" i="3" l="1"/>
  <c r="G51" i="3"/>
  <c r="G48" i="3"/>
  <c r="G52" i="3"/>
  <c r="G50" i="3"/>
  <c r="G47" i="3"/>
  <c r="G46" i="3"/>
  <c r="G45" i="3"/>
  <c r="D27" i="20"/>
  <c r="E36" i="21"/>
  <c r="G55" i="3"/>
  <c r="G53" i="3"/>
  <c r="G54" i="3"/>
  <c r="E32" i="21"/>
  <c r="H32" i="21"/>
  <c r="E213" i="13"/>
  <c r="E214" i="13"/>
  <c r="E215" i="13"/>
  <c r="E216" i="13"/>
  <c r="E217" i="13"/>
  <c r="S109" i="13"/>
  <c r="L109" i="13"/>
  <c r="E109" i="13"/>
  <c r="E94" i="13"/>
  <c r="Z79" i="13"/>
  <c r="S79" i="13"/>
  <c r="L79" i="13"/>
  <c r="E79" i="13"/>
  <c r="E39" i="21" a="1"/>
  <c r="AD79" i="13" a="1"/>
  <c r="N94" i="13" a="1"/>
  <c r="I32" i="21" a="1"/>
  <c r="G79" i="13" a="1"/>
  <c r="E39" i="21" l="1"/>
  <c r="I32" i="21"/>
  <c r="N94" i="13"/>
  <c r="AD79" i="13"/>
  <c r="G79" i="13"/>
  <c r="AI33" i="3" a="1"/>
  <c r="AI33" i="3" l="1"/>
  <c r="F17" i="26" l="1"/>
  <c r="G17" i="26" s="1"/>
  <c r="H17" i="26" s="1"/>
  <c r="B239" i="3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C32" i="26" a="1"/>
  <c r="C40" i="26" a="1"/>
  <c r="C42" i="26" a="1"/>
  <c r="C37" i="26" a="1"/>
  <c r="C35" i="26" a="1"/>
  <c r="C34" i="26" a="1"/>
  <c r="E17" i="26" a="1"/>
  <c r="C38" i="26" a="1"/>
  <c r="AG17" i="26" a="1"/>
  <c r="C41" i="26" a="1"/>
  <c r="N17" i="26" a="1"/>
  <c r="B235" i="3" a="1"/>
  <c r="C43" i="26" a="1"/>
  <c r="C31" i="26" a="1"/>
  <c r="R18" i="26" a="1"/>
  <c r="X17" i="26" a="1"/>
  <c r="C33" i="26" a="1"/>
  <c r="C39" i="26" a="1"/>
  <c r="C36" i="26" a="1"/>
  <c r="S21" i="26" a="1"/>
  <c r="B273" i="3" a="1"/>
  <c r="S17" i="26" a="1"/>
  <c r="S19" i="26" a="1"/>
  <c r="C44" i="26" a="1"/>
  <c r="R19" i="26" a="1"/>
  <c r="S20" i="26" a="1"/>
  <c r="S18" i="26" a="1"/>
  <c r="R20" i="26" a="1"/>
  <c r="S20" i="26" l="1"/>
  <c r="S21" i="26"/>
  <c r="R20" i="26"/>
  <c r="R18" i="26"/>
  <c r="R19" i="26"/>
  <c r="S18" i="26"/>
  <c r="S19" i="26"/>
  <c r="C36" i="26"/>
  <c r="C34" i="26"/>
  <c r="C44" i="26"/>
  <c r="C42" i="26"/>
  <c r="C37" i="26"/>
  <c r="S17" i="26"/>
  <c r="C33" i="26"/>
  <c r="C43" i="26"/>
  <c r="N17" i="26"/>
  <c r="C32" i="26"/>
  <c r="X17" i="26"/>
  <c r="C40" i="26"/>
  <c r="E17" i="26"/>
  <c r="C39" i="26"/>
  <c r="C31" i="26"/>
  <c r="C38" i="26"/>
  <c r="AG17" i="26"/>
  <c r="C41" i="26"/>
  <c r="C35" i="26"/>
  <c r="B235" i="3"/>
  <c r="B273" i="3"/>
  <c r="D36" i="26" a="1"/>
  <c r="AK17" i="26" a="1"/>
  <c r="D40" i="26" a="1"/>
  <c r="D33" i="26" a="1"/>
  <c r="D41" i="26" a="1"/>
  <c r="R21" i="26" a="1"/>
  <c r="D38" i="26" a="1"/>
  <c r="D34" i="26" a="1"/>
  <c r="D37" i="26" a="1"/>
  <c r="R17" i="26" a="1"/>
  <c r="I17" i="26" a="1"/>
  <c r="D43" i="26" a="1"/>
  <c r="E239" i="3" a="1"/>
  <c r="D35" i="26" a="1"/>
  <c r="F275" i="3" a="1"/>
  <c r="D44" i="26" a="1"/>
  <c r="D32" i="26" a="1"/>
  <c r="D39" i="26" a="1"/>
  <c r="D31" i="26" a="1"/>
  <c r="AB17" i="26" a="1"/>
  <c r="D42" i="26" a="1"/>
  <c r="C275" i="3" a="1"/>
  <c r="C239" i="3" a="1"/>
  <c r="R21" i="26" l="1"/>
  <c r="AK17" i="26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E239" i="3"/>
  <c r="C239" i="3"/>
  <c r="F275" i="3"/>
  <c r="C275" i="3"/>
  <c r="C12" i="26" a="1"/>
  <c r="C12" i="26" l="1"/>
  <c r="E7" i="26" s="1"/>
  <c r="C4" i="26" a="1"/>
  <c r="C4" i="26" l="1"/>
  <c r="BT34" i="3" l="1"/>
  <c r="AH28" i="3" a="1"/>
  <c r="E67" i="23" a="1"/>
  <c r="AM35" i="3" a="1"/>
  <c r="AM37" i="3" a="1"/>
  <c r="AM45" i="3" a="1"/>
  <c r="AM46" i="3" a="1"/>
  <c r="AM39" i="3" a="1"/>
  <c r="AM48" i="3" a="1"/>
  <c r="AM49" i="3" a="1"/>
  <c r="AM47" i="3" a="1"/>
  <c r="BV34" i="3" a="1"/>
  <c r="AM53" i="3" a="1"/>
  <c r="AM36" i="3" a="1"/>
  <c r="AM40" i="3" a="1"/>
  <c r="AM34" i="3" a="1"/>
  <c r="AM43" i="3" a="1"/>
  <c r="AM44" i="3" a="1"/>
  <c r="AM42" i="3" a="1"/>
  <c r="AM41" i="3" a="1"/>
  <c r="AM33" i="3" a="1"/>
  <c r="AM52" i="3" a="1"/>
  <c r="AM38" i="3" a="1"/>
  <c r="AM50" i="3" a="1"/>
  <c r="AM51" i="3" a="1"/>
  <c r="D12" i="3" l="1"/>
  <c r="AM33" i="3"/>
  <c r="AM49" i="3"/>
  <c r="AM47" i="3"/>
  <c r="AM39" i="3"/>
  <c r="AM35" i="3"/>
  <c r="AM40" i="3"/>
  <c r="AM48" i="3"/>
  <c r="AM45" i="3"/>
  <c r="AM41" i="3"/>
  <c r="AM43" i="3"/>
  <c r="AM37" i="3"/>
  <c r="AM42" i="3"/>
  <c r="AM38" i="3"/>
  <c r="AM46" i="3"/>
  <c r="AM44" i="3"/>
  <c r="AM34" i="3"/>
  <c r="AM36" i="3"/>
  <c r="AH28" i="3"/>
  <c r="AF43" i="3" s="1" a="1"/>
  <c r="E67" i="23"/>
  <c r="AM51" i="3"/>
  <c r="AM50" i="3"/>
  <c r="AM53" i="3"/>
  <c r="AM52" i="3"/>
  <c r="BU34" i="3"/>
  <c r="BV34" i="3"/>
  <c r="AN36" i="3" a="1"/>
  <c r="AN38" i="3" a="1"/>
  <c r="AN51" i="3" a="1"/>
  <c r="AN39" i="3" a="1"/>
  <c r="AN50" i="3" a="1"/>
  <c r="AN40" i="3" a="1"/>
  <c r="AN37" i="3" a="1"/>
  <c r="AN42" i="3" a="1"/>
  <c r="AN45" i="3" a="1"/>
  <c r="AN49" i="3" a="1"/>
  <c r="AN44" i="3" a="1"/>
  <c r="AN34" i="3" a="1"/>
  <c r="BW34" i="3" a="1"/>
  <c r="AN47" i="3" a="1"/>
  <c r="AN53" i="3" a="1"/>
  <c r="AN33" i="3" a="1"/>
  <c r="AN48" i="3" a="1"/>
  <c r="AN35" i="3" a="1"/>
  <c r="AN46" i="3" a="1"/>
  <c r="AN52" i="3" a="1"/>
  <c r="AN43" i="3" a="1"/>
  <c r="AN41" i="3" a="1"/>
  <c r="AF46" i="3" l="1"/>
  <c r="AG47" i="3" s="1" a="1"/>
  <c r="AG47" i="3" s="1"/>
  <c r="AF50" i="3"/>
  <c r="AG51" i="3" s="1" a="1"/>
  <c r="AG51" i="3" s="1"/>
  <c r="AF43" i="3"/>
  <c r="AG44" i="3" s="1" a="1"/>
  <c r="AG44" i="3" s="1"/>
  <c r="AF45" i="3"/>
  <c r="AG46" i="3" s="1" a="1"/>
  <c r="AG46" i="3" s="1"/>
  <c r="AF47" i="3"/>
  <c r="AG48" i="3" s="1" a="1"/>
  <c r="AG48" i="3" s="1"/>
  <c r="AF48" i="3"/>
  <c r="AG49" i="3" s="1" a="1"/>
  <c r="AG49" i="3" s="1"/>
  <c r="AF49" i="3"/>
  <c r="AG50" i="3" s="1" a="1"/>
  <c r="AG50" i="3" s="1"/>
  <c r="AF51" i="3"/>
  <c r="AF44" i="3"/>
  <c r="AG45" i="3" s="1" a="1"/>
  <c r="AG45" i="3" s="1"/>
  <c r="AN36" i="3"/>
  <c r="AN35" i="3"/>
  <c r="AN34" i="3"/>
  <c r="AN44" i="3"/>
  <c r="AN47" i="3"/>
  <c r="AN46" i="3"/>
  <c r="AN49" i="3"/>
  <c r="AN38" i="3"/>
  <c r="AN33" i="3"/>
  <c r="AN52" i="3"/>
  <c r="AN42" i="3"/>
  <c r="AN48" i="3"/>
  <c r="AN40" i="3"/>
  <c r="AN39" i="3"/>
  <c r="AN53" i="3"/>
  <c r="AN37" i="3"/>
  <c r="AN50" i="3"/>
  <c r="AN43" i="3"/>
  <c r="AN51" i="3"/>
  <c r="AN41" i="3"/>
  <c r="AN45" i="3"/>
  <c r="AF34" i="3"/>
  <c r="BW34" i="3"/>
  <c r="AG34" i="3" a="1"/>
  <c r="R31" i="14" a="1"/>
  <c r="AF31" i="14" a="1"/>
  <c r="AH34" i="3" a="1"/>
  <c r="AG58" i="3" l="1"/>
  <c r="AI58" i="3" s="1" a="1"/>
  <c r="AI58" i="3" s="1"/>
  <c r="AG57" i="3"/>
  <c r="AI57" i="3" s="1" a="1"/>
  <c r="AI57" i="3" s="1"/>
  <c r="AG55" i="3"/>
  <c r="AI55" i="3" s="1" a="1"/>
  <c r="AI55" i="3" s="1"/>
  <c r="AG59" i="3"/>
  <c r="AI59" i="3" s="1" a="1"/>
  <c r="AI59" i="3" s="1"/>
  <c r="AG56" i="3" a="1"/>
  <c r="AG56" i="3" s="1"/>
  <c r="AI56" i="3" s="1" a="1"/>
  <c r="AI56" i="3" s="1"/>
  <c r="AG60" i="3"/>
  <c r="AI60" i="3" s="1" a="1"/>
  <c r="AI60" i="3" s="1"/>
  <c r="AH34" i="3"/>
  <c r="AG34" i="3"/>
  <c r="AF35" i="3"/>
  <c r="R31" i="14"/>
  <c r="AF31" i="14"/>
  <c r="AL31" i="14" a="1"/>
  <c r="X31" i="14" a="1"/>
  <c r="AG35" i="3" a="1"/>
  <c r="AI34" i="3" a="1"/>
  <c r="AH35" i="3" a="1"/>
  <c r="AH35" i="3" l="1"/>
  <c r="AI34" i="3"/>
  <c r="AG35" i="3"/>
  <c r="AF36" i="3"/>
  <c r="AL31" i="14"/>
  <c r="X31" i="14"/>
  <c r="AG36" i="3" a="1"/>
  <c r="AI35" i="3" a="1"/>
  <c r="J39" i="25" a="1"/>
  <c r="AH36" i="3" a="1"/>
  <c r="Y23" i="25" a="1"/>
  <c r="J42" i="25" a="1"/>
  <c r="J20" i="25" a="1"/>
  <c r="Y20" i="25" a="1"/>
  <c r="Y42" i="25" a="1"/>
  <c r="Y50" i="25" a="1"/>
  <c r="Y45" i="25" a="1"/>
  <c r="Y26" i="25" a="1"/>
  <c r="J23" i="25" a="1"/>
  <c r="Y31" i="25" a="1"/>
  <c r="Y39" i="25" a="1"/>
  <c r="AH36" i="3" l="1"/>
  <c r="AG36" i="3"/>
  <c r="AI35" i="3"/>
  <c r="AF37" i="3"/>
  <c r="AF38" i="3" s="1"/>
  <c r="Y50" i="25"/>
  <c r="J42" i="25"/>
  <c r="J39" i="25"/>
  <c r="Y39" i="25"/>
  <c r="Y45" i="25"/>
  <c r="Y42" i="25"/>
  <c r="J23" i="25"/>
  <c r="J20" i="25"/>
  <c r="Y20" i="25"/>
  <c r="Y23" i="25"/>
  <c r="Y26" i="25"/>
  <c r="Y31" i="25"/>
  <c r="AG37" i="3" a="1"/>
  <c r="H50" i="25" a="1"/>
  <c r="J46" i="25" a="1"/>
  <c r="I50" i="25" a="1"/>
  <c r="I32" i="25" a="1"/>
  <c r="J52" i="25" a="1"/>
  <c r="H52" i="25" a="1"/>
  <c r="J32" i="25" a="1"/>
  <c r="I51" i="25" a="1"/>
  <c r="H46" i="25" a="1"/>
  <c r="J33" i="25" a="1"/>
  <c r="H47" i="25" a="1"/>
  <c r="I33" i="25" a="1"/>
  <c r="I46" i="25" a="1"/>
  <c r="H28" i="25" a="1"/>
  <c r="J31" i="25" a="1"/>
  <c r="J27" i="25" a="1"/>
  <c r="I45" i="25" a="1"/>
  <c r="AH37" i="3" a="1"/>
  <c r="I28" i="25" a="1"/>
  <c r="I31" i="25" a="1"/>
  <c r="H26" i="25" a="1"/>
  <c r="H45" i="25" a="1"/>
  <c r="H32" i="25" a="1"/>
  <c r="AI36" i="3" a="1"/>
  <c r="I26" i="25" a="1"/>
  <c r="J26" i="25" a="1"/>
  <c r="J45" i="25" a="1"/>
  <c r="H31" i="25" a="1"/>
  <c r="J28" i="25" a="1"/>
  <c r="I27" i="25" a="1"/>
  <c r="I52" i="25" a="1"/>
  <c r="I47" i="25" a="1"/>
  <c r="H33" i="25" a="1"/>
  <c r="H27" i="25" a="1"/>
  <c r="J47" i="25" a="1"/>
  <c r="H51" i="25" a="1"/>
  <c r="J51" i="25" a="1"/>
  <c r="J50" i="25" a="1"/>
  <c r="AG38" i="3" a="1"/>
  <c r="AH38" i="3" a="1"/>
  <c r="AH38" i="3" l="1"/>
  <c r="AG38" i="3"/>
  <c r="AI38" i="3" s="1" a="1"/>
  <c r="AI38" i="3" s="1"/>
  <c r="AF39" i="3"/>
  <c r="AH37" i="3"/>
  <c r="AI36" i="3"/>
  <c r="AG37" i="3"/>
  <c r="H31" i="25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C8" i="25" a="1"/>
  <c r="C9" i="25" a="1"/>
  <c r="AI37" i="3" a="1"/>
  <c r="AG39" i="3" a="1"/>
  <c r="AH39" i="3" a="1"/>
  <c r="AH39" i="3" l="1"/>
  <c r="AG39" i="3"/>
  <c r="AI39" i="3" s="1" a="1"/>
  <c r="AI39" i="3" s="1"/>
  <c r="AI37" i="3"/>
  <c r="C9" i="25"/>
  <c r="C8" i="25"/>
  <c r="I31" i="14"/>
  <c r="H31" i="14" a="1"/>
  <c r="C4" i="25" a="1"/>
  <c r="AC25" i="3" a="1"/>
  <c r="AC25" i="3" l="1"/>
  <c r="C4" i="25"/>
  <c r="C46" i="8" s="1"/>
  <c r="H31" i="14"/>
  <c r="J31" i="14" a="1"/>
  <c r="J31" i="14" l="1"/>
  <c r="C26" i="14" a="1"/>
  <c r="C26" i="14" l="1"/>
  <c r="D8" i="14" s="1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S21" i="17" a="1"/>
  <c r="C263" i="13" a="1"/>
  <c r="E342" i="15" a="1"/>
  <c r="E31" i="13" a="1"/>
  <c r="F41" i="17" a="1"/>
  <c r="E17" i="21" a="1"/>
  <c r="P24" i="17" a="1"/>
  <c r="D262" i="13" a="1"/>
  <c r="Q26" i="17" a="1"/>
  <c r="T22" i="17" a="1"/>
  <c r="U24" i="17" a="1"/>
  <c r="X17" i="23" a="1"/>
  <c r="F39" i="17" a="1"/>
  <c r="D258" i="13" a="1"/>
  <c r="R25" i="17" a="1"/>
  <c r="C262" i="13" a="1"/>
  <c r="U22" i="17" a="1"/>
  <c r="AG17" i="23" a="1"/>
  <c r="E186" i="13" a="1"/>
  <c r="G195" i="13" s="1" a="1"/>
  <c r="G195" i="13" s="1"/>
  <c r="AI79" i="13" a="1"/>
  <c r="R23" i="17" a="1"/>
  <c r="S25" i="17" a="1"/>
  <c r="BA19" i="14" a="1"/>
  <c r="AG17" i="20" a="1"/>
  <c r="R21" i="17" a="1"/>
  <c r="P26" i="17" a="1"/>
  <c r="R26" i="17" a="1"/>
  <c r="AV20" i="17" a="1"/>
  <c r="Q23" i="17" a="1"/>
  <c r="P22" i="17" a="1"/>
  <c r="E55" i="13" a="1"/>
  <c r="C259" i="13" a="1"/>
  <c r="F43" i="17" a="1"/>
  <c r="F38" i="17" a="1"/>
  <c r="P21" i="17" a="1"/>
  <c r="O17" i="20" a="1"/>
  <c r="U23" i="17" a="1"/>
  <c r="E67" i="13" a="1"/>
  <c r="D259" i="13" a="1"/>
  <c r="R22" i="17" a="1"/>
  <c r="AG17" i="21" a="1"/>
  <c r="Q25" i="17" a="1"/>
  <c r="S24" i="17" a="1"/>
  <c r="AJ20" i="17" a="1"/>
  <c r="N17" i="23" a="1"/>
  <c r="E124" i="13" a="1"/>
  <c r="T25" i="17" a="1"/>
  <c r="T26" i="17" a="1"/>
  <c r="R342" i="15" a="1"/>
  <c r="X17" i="21" a="1"/>
  <c r="S26" i="17" a="1"/>
  <c r="F42" i="17" a="1"/>
  <c r="Q24" i="17" a="1"/>
  <c r="N17" i="21" a="1"/>
  <c r="S19" i="21" s="1" a="1"/>
  <c r="P23" i="17" a="1"/>
  <c r="U25" i="17" a="1"/>
  <c r="C264" i="13" a="1"/>
  <c r="S23" i="17" a="1"/>
  <c r="C50" i="13" a="1"/>
  <c r="C38" i="13" a="1"/>
  <c r="Q22" i="17" a="1"/>
  <c r="T23" i="17" a="1"/>
  <c r="AE342" i="15" a="1"/>
  <c r="T21" i="17" a="1"/>
  <c r="P25" i="17" a="1"/>
  <c r="E17" i="20" a="1"/>
  <c r="U21" i="17" a="1"/>
  <c r="C260" i="13" a="1"/>
  <c r="S20" i="21" a="1"/>
  <c r="Q21" i="17" a="1"/>
  <c r="V17" i="20" a="1"/>
  <c r="D261" i="13" a="1"/>
  <c r="U26" i="17" a="1"/>
  <c r="D260" i="13" a="1"/>
  <c r="E43" i="13" a="1"/>
  <c r="T24" i="17" a="1"/>
  <c r="S22" i="17" a="1"/>
  <c r="S17" i="21" a="1"/>
  <c r="M38" i="17" a="1"/>
  <c r="BO19" i="14" a="1"/>
  <c r="E17" i="23" a="1"/>
  <c r="C261" i="13" a="1"/>
  <c r="R24" i="17" a="1"/>
  <c r="D264" i="13" a="1"/>
  <c r="D263" i="13" a="1"/>
  <c r="C258" i="13" a="1"/>
  <c r="S19" i="23" a="1"/>
  <c r="F40" i="17" a="1"/>
  <c r="R20" i="23" a="1"/>
  <c r="S21" i="23" a="1"/>
  <c r="R21" i="23" a="1"/>
  <c r="S17" i="23" a="1"/>
  <c r="R18" i="23" a="1"/>
  <c r="S20" i="23" a="1"/>
  <c r="R19" i="23" a="1"/>
  <c r="BT25" i="3" a="1"/>
  <c r="X292" i="15" a="1"/>
  <c r="BJ25" i="3" a="1"/>
  <c r="BG40" i="5" a="1"/>
  <c r="D292" i="15" a="1"/>
  <c r="BD63" i="5" a="1"/>
  <c r="E304" i="15" l="1"/>
  <c r="F292" i="15"/>
  <c r="E321" i="15"/>
  <c r="F309" i="15"/>
  <c r="G297" i="15"/>
  <c r="D315" i="15"/>
  <c r="E301" i="15"/>
  <c r="F301" i="15"/>
  <c r="G301" i="15"/>
  <c r="G302" i="15"/>
  <c r="G319" i="15"/>
  <c r="D303" i="15"/>
  <c r="D296" i="15"/>
  <c r="E296" i="15"/>
  <c r="E293" i="15"/>
  <c r="G314" i="15"/>
  <c r="F327" i="15"/>
  <c r="G306" i="15"/>
  <c r="H294" i="15"/>
  <c r="G323" i="15"/>
  <c r="H311" i="15"/>
  <c r="D300" i="15"/>
  <c r="D318" i="15"/>
  <c r="E305" i="15"/>
  <c r="F305" i="15"/>
  <c r="G305" i="15"/>
  <c r="H305" i="15"/>
  <c r="E329" i="15"/>
  <c r="E306" i="15"/>
  <c r="E299" i="15"/>
  <c r="E300" i="15"/>
  <c r="F296" i="15"/>
  <c r="H307" i="15"/>
  <c r="F330" i="15"/>
  <c r="D309" i="15"/>
  <c r="E297" i="15"/>
  <c r="D326" i="15"/>
  <c r="E314" i="15"/>
  <c r="F302" i="15"/>
  <c r="G321" i="15"/>
  <c r="F308" i="15"/>
  <c r="G308" i="15"/>
  <c r="H308" i="15"/>
  <c r="H309" i="15"/>
  <c r="H329" i="15"/>
  <c r="E310" i="15"/>
  <c r="E303" i="15"/>
  <c r="F303" i="15"/>
  <c r="F300" i="15"/>
  <c r="G293" i="15"/>
  <c r="G320" i="15"/>
  <c r="F311" i="15"/>
  <c r="G299" i="15"/>
  <c r="F328" i="15"/>
  <c r="G316" i="15"/>
  <c r="H304" i="15"/>
  <c r="G324" i="15"/>
  <c r="E312" i="15"/>
  <c r="F312" i="15"/>
  <c r="G312" i="15"/>
  <c r="H312" i="15"/>
  <c r="G296" i="15"/>
  <c r="E313" i="15"/>
  <c r="F306" i="15"/>
  <c r="F307" i="15"/>
  <c r="G303" i="15"/>
  <c r="H296" i="15"/>
  <c r="H313" i="15"/>
  <c r="D302" i="15"/>
  <c r="H330" i="15"/>
  <c r="D319" i="15"/>
  <c r="E307" i="15"/>
  <c r="G327" i="15"/>
  <c r="E315" i="15"/>
  <c r="F315" i="15"/>
  <c r="G315" i="15"/>
  <c r="E316" i="15"/>
  <c r="F304" i="15"/>
  <c r="G292" i="15"/>
  <c r="F321" i="15"/>
  <c r="G309" i="15"/>
  <c r="E331" i="15"/>
  <c r="E318" i="15"/>
  <c r="F318" i="15"/>
  <c r="E319" i="15"/>
  <c r="F319" i="15"/>
  <c r="D310" i="15"/>
  <c r="H319" i="15"/>
  <c r="F313" i="15"/>
  <c r="E317" i="15"/>
  <c r="H310" i="15"/>
  <c r="D304" i="15"/>
  <c r="G318" i="15"/>
  <c r="H306" i="15"/>
  <c r="D295" i="15"/>
  <c r="H323" i="15"/>
  <c r="H293" i="15"/>
  <c r="H302" i="15"/>
  <c r="H321" i="15"/>
  <c r="D322" i="15"/>
  <c r="E322" i="15"/>
  <c r="F322" i="15"/>
  <c r="G325" i="15"/>
  <c r="H322" i="15"/>
  <c r="D317" i="15"/>
  <c r="E320" i="15"/>
  <c r="F314" i="15"/>
  <c r="D308" i="15"/>
  <c r="E292" i="15"/>
  <c r="D321" i="15"/>
  <c r="E309" i="15"/>
  <c r="F297" i="15"/>
  <c r="E326" i="15"/>
  <c r="H297" i="15"/>
  <c r="D316" i="15"/>
  <c r="H324" i="15"/>
  <c r="D325" i="15"/>
  <c r="E325" i="15"/>
  <c r="F325" i="15"/>
  <c r="F293" i="15"/>
  <c r="F326" i="15"/>
  <c r="D320" i="15"/>
  <c r="E323" i="15"/>
  <c r="F317" i="15"/>
  <c r="E311" i="15"/>
  <c r="G294" i="15"/>
  <c r="F323" i="15"/>
  <c r="G311" i="15"/>
  <c r="H299" i="15"/>
  <c r="G328" i="15"/>
  <c r="D301" i="15"/>
  <c r="G322" i="15"/>
  <c r="H327" i="15"/>
  <c r="D328" i="15"/>
  <c r="H328" i="15"/>
  <c r="D329" i="15"/>
  <c r="D311" i="15"/>
  <c r="F329" i="15"/>
  <c r="D323" i="15"/>
  <c r="H326" i="15"/>
  <c r="F320" i="15"/>
  <c r="H314" i="15"/>
  <c r="D314" i="15"/>
  <c r="E327" i="15"/>
  <c r="H315" i="15"/>
  <c r="F310" i="15"/>
  <c r="H300" i="15"/>
  <c r="F316" i="15"/>
  <c r="D294" i="15"/>
  <c r="G295" i="15"/>
  <c r="G326" i="15"/>
  <c r="H317" i="15"/>
  <c r="H318" i="15"/>
  <c r="D298" i="15"/>
  <c r="D306" i="15"/>
  <c r="G329" i="15"/>
  <c r="H320" i="15"/>
  <c r="E302" i="15"/>
  <c r="F331" i="15"/>
  <c r="D313" i="15"/>
  <c r="D293" i="15"/>
  <c r="F324" i="15"/>
  <c r="G304" i="15"/>
  <c r="E294" i="15"/>
  <c r="G317" i="15"/>
  <c r="G313" i="15"/>
  <c r="D307" i="15"/>
  <c r="H298" i="15"/>
  <c r="G310" i="15"/>
  <c r="D297" i="15"/>
  <c r="D331" i="15"/>
  <c r="H295" i="15"/>
  <c r="H292" i="15"/>
  <c r="F294" i="15"/>
  <c r="E324" i="15"/>
  <c r="H301" i="15"/>
  <c r="F298" i="15"/>
  <c r="G307" i="15"/>
  <c r="H325" i="15"/>
  <c r="G300" i="15"/>
  <c r="E328" i="15"/>
  <c r="E330" i="15"/>
  <c r="D312" i="15"/>
  <c r="D292" i="15"/>
  <c r="D330" i="15"/>
  <c r="E298" i="15"/>
  <c r="G331" i="15"/>
  <c r="H303" i="15"/>
  <c r="F299" i="15"/>
  <c r="D299" i="15"/>
  <c r="E295" i="15"/>
  <c r="H316" i="15"/>
  <c r="D305" i="15"/>
  <c r="H331" i="15"/>
  <c r="D324" i="15"/>
  <c r="E308" i="15"/>
  <c r="F295" i="15"/>
  <c r="D327" i="15"/>
  <c r="G330" i="15"/>
  <c r="G298" i="15"/>
  <c r="E124" i="13"/>
  <c r="BJ25" i="3"/>
  <c r="BT25" i="3"/>
  <c r="Q23" i="17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S17" i="21"/>
  <c r="S20" i="21"/>
  <c r="S19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342" i="15"/>
  <c r="E342" i="15"/>
  <c r="I342" i="15" s="1"/>
  <c r="AE342" i="15"/>
  <c r="X292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3" i="13"/>
  <c r="G25" i="17"/>
  <c r="D261" i="13"/>
  <c r="D260" i="13"/>
  <c r="D262" i="13"/>
  <c r="D264" i="13"/>
  <c r="D258" i="13"/>
  <c r="D259" i="13"/>
  <c r="G22" i="17"/>
  <c r="G23" i="17"/>
  <c r="G26" i="17"/>
  <c r="C261" i="13"/>
  <c r="C259" i="13"/>
  <c r="C260" i="13"/>
  <c r="C258" i="13"/>
  <c r="C264" i="13"/>
  <c r="C263" i="13"/>
  <c r="C262" i="13"/>
  <c r="L21" i="17"/>
  <c r="H21" i="17"/>
  <c r="K21" i="17"/>
  <c r="J21" i="17"/>
  <c r="AI79" i="13"/>
  <c r="E186" i="13"/>
  <c r="M38" i="17"/>
  <c r="F38" i="17"/>
  <c r="F39" i="17"/>
  <c r="F40" i="17"/>
  <c r="F41" i="17"/>
  <c r="F42" i="17"/>
  <c r="F43" i="17"/>
  <c r="AA22" i="17" a="1"/>
  <c r="AA26" i="17" a="1"/>
  <c r="AB21" i="17" a="1"/>
  <c r="AC26" i="17" a="1"/>
  <c r="I17" i="23" a="1"/>
  <c r="R19" i="21" a="1"/>
  <c r="H42" i="17" a="1"/>
  <c r="AB23" i="17" a="1"/>
  <c r="Z22" i="17" a="1"/>
  <c r="AB17" i="23" a="1"/>
  <c r="AD24" i="17" a="1"/>
  <c r="BB20" i="17" a="1"/>
  <c r="AJ342" i="15" a="1"/>
  <c r="G43" i="13" a="1"/>
  <c r="AB17" i="20" a="1"/>
  <c r="AB22" i="17" a="1"/>
  <c r="Y25" i="17" a="1"/>
  <c r="Z21" i="17" a="1"/>
  <c r="Y23" i="17" a="1"/>
  <c r="Y24" i="17" a="1"/>
  <c r="BW19" i="14" a="1"/>
  <c r="AA25" i="17" a="1"/>
  <c r="H39" i="17" a="1"/>
  <c r="AC22" i="17" a="1"/>
  <c r="I18" i="20" a="1"/>
  <c r="AC21" i="17" a="1"/>
  <c r="AB17" i="21" a="1"/>
  <c r="AP20" i="17" a="1"/>
  <c r="AB24" i="17" a="1"/>
  <c r="H41" i="17" a="1"/>
  <c r="R20" i="21" a="1"/>
  <c r="H38" i="17" a="1"/>
  <c r="AA24" i="17" a="1"/>
  <c r="AC23" i="17" a="1"/>
  <c r="BI19" i="14" a="1"/>
  <c r="AC24" i="17" a="1"/>
  <c r="AD25" i="17" a="1"/>
  <c r="J18" i="20" a="1"/>
  <c r="I20" i="20" a="1"/>
  <c r="G67" i="13" a="1"/>
  <c r="AC25" i="17" a="1"/>
  <c r="S18" i="23" a="1"/>
  <c r="AD21" i="17" a="1"/>
  <c r="AK17" i="21" a="1"/>
  <c r="R18" i="21" a="1"/>
  <c r="J19" i="20" a="1"/>
  <c r="AD26" i="17" a="1"/>
  <c r="Z26" i="17" a="1"/>
  <c r="Y21" i="17" a="1"/>
  <c r="I17" i="20" a="1"/>
  <c r="Y22" i="17" a="1"/>
  <c r="I19" i="20" a="1"/>
  <c r="AQ79" i="13" a="1"/>
  <c r="Y26" i="17" a="1"/>
  <c r="Z25" i="17" a="1"/>
  <c r="AB25" i="17" a="1"/>
  <c r="R17" i="21" a="1"/>
  <c r="AM17" i="20" a="1"/>
  <c r="AD23" i="17" a="1"/>
  <c r="G55" i="13" a="1"/>
  <c r="AB26" i="17" a="1"/>
  <c r="H43" i="17" a="1"/>
  <c r="H40" i="17" a="1"/>
  <c r="R17" i="23" a="1"/>
  <c r="AA21" i="17" a="1"/>
  <c r="AD22" i="17" a="1"/>
  <c r="U342" i="15" a="1"/>
  <c r="AA23" i="17" a="1"/>
  <c r="I17" i="21" a="1"/>
  <c r="AK17" i="23" a="1"/>
  <c r="J20" i="20" a="1"/>
  <c r="S18" i="21" a="1"/>
  <c r="G31" i="13" a="1"/>
  <c r="S38" i="17" a="1"/>
  <c r="Z24" i="17" a="1"/>
  <c r="J342" i="15" a="1"/>
  <c r="N79" i="13" a="1"/>
  <c r="Z23" i="17" a="1"/>
  <c r="R18" i="21" l="1"/>
  <c r="R19" i="21"/>
  <c r="S18" i="23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342" i="15"/>
  <c r="AJ342" i="15"/>
  <c r="J342" i="15"/>
  <c r="J292" i="15"/>
  <c r="AD292" i="15"/>
  <c r="AE292" i="15"/>
  <c r="BW19" i="14"/>
  <c r="N79" i="13"/>
  <c r="BI19" i="14"/>
  <c r="G67" i="13"/>
  <c r="G55" i="13"/>
  <c r="G43" i="13"/>
  <c r="AQ79" i="13"/>
  <c r="Z26" i="17"/>
  <c r="AA26" i="17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E261" i="13" a="1"/>
  <c r="C337" i="15" a="1"/>
  <c r="C62" i="13" a="1"/>
  <c r="C26" i="13" a="1"/>
  <c r="E263" i="13" a="1"/>
  <c r="C35" i="17" a="1"/>
  <c r="C12" i="21" a="1"/>
  <c r="E264" i="13" a="1"/>
  <c r="E260" i="13" a="1"/>
  <c r="E258" i="13" a="1"/>
  <c r="J17" i="20" a="1"/>
  <c r="E259" i="13" a="1"/>
  <c r="E262" i="13" a="1"/>
  <c r="C12" i="23" a="1"/>
  <c r="AD295" i="15" a="1"/>
  <c r="AE295" i="15" a="1"/>
  <c r="C8" i="24" l="1"/>
  <c r="C9" i="24"/>
  <c r="C12" i="23"/>
  <c r="E7" i="23" s="1"/>
  <c r="C12" i="21"/>
  <c r="D7" i="21" s="1"/>
  <c r="J17" i="20"/>
  <c r="P17" i="20"/>
  <c r="C26" i="13"/>
  <c r="D7" i="13" s="1"/>
  <c r="C4" i="13" s="1" a="1"/>
  <c r="C4" i="13" s="1"/>
  <c r="C337" i="15"/>
  <c r="E12" i="15" s="1"/>
  <c r="AE295" i="15"/>
  <c r="AD295" i="15"/>
  <c r="C62" i="13"/>
  <c r="D10" i="13" s="1"/>
  <c r="E260" i="13"/>
  <c r="E263" i="13"/>
  <c r="E262" i="13"/>
  <c r="E261" i="13"/>
  <c r="E259" i="13"/>
  <c r="E258" i="13"/>
  <c r="E264" i="13"/>
  <c r="C35" i="17"/>
  <c r="C253" i="13" a="1"/>
  <c r="C4" i="21" a="1"/>
  <c r="C31" i="17" a="1"/>
  <c r="C4" i="23" a="1"/>
  <c r="Q17" i="20" a="1"/>
  <c r="C4" i="24" a="1"/>
  <c r="C4" i="24" l="1"/>
  <c r="C47" i="8" s="1"/>
  <c r="C4" i="23"/>
  <c r="C28" i="8" s="1"/>
  <c r="C4" i="21"/>
  <c r="C24" i="8" s="1"/>
  <c r="Q17" i="20"/>
  <c r="C253" i="13"/>
  <c r="D20" i="13" s="1"/>
  <c r="C31" i="17"/>
  <c r="D8" i="17" s="1"/>
  <c r="C12" i="20" a="1"/>
  <c r="C12" i="20" l="1"/>
  <c r="E7" i="20" s="1"/>
  <c r="C19" i="19"/>
  <c r="G17" i="19" s="1"/>
  <c r="Y38" i="15"/>
  <c r="Z38" i="15"/>
  <c r="X38" i="15"/>
  <c r="Y37" i="15"/>
  <c r="Z37" i="15"/>
  <c r="X37" i="15"/>
  <c r="Y36" i="15"/>
  <c r="Z36" i="15"/>
  <c r="X36" i="15"/>
  <c r="J37" i="15"/>
  <c r="I37" i="15"/>
  <c r="J36" i="15"/>
  <c r="I36" i="15"/>
  <c r="AF19" i="14"/>
  <c r="T21" i="14"/>
  <c r="T20" i="14"/>
  <c r="O19" i="14"/>
  <c r="G19" i="14"/>
  <c r="AM19" i="14" a="1"/>
  <c r="F19" i="14" a="1"/>
  <c r="CC19" i="14" a="1"/>
  <c r="AI124" i="13" a="1"/>
  <c r="BM43" i="14" a="1"/>
  <c r="G187" i="13" a="1"/>
  <c r="AB109" i="13" a="1"/>
  <c r="AF22" i="15" a="1"/>
  <c r="AE19" i="14" a="1"/>
  <c r="AU43" i="14" a="1"/>
  <c r="W43" i="14" a="1"/>
  <c r="L186" i="13" a="1"/>
  <c r="N204" i="13" s="1" a="1"/>
  <c r="N204" i="13" s="1"/>
  <c r="G192" i="13" a="1"/>
  <c r="U124" i="13" a="1"/>
  <c r="AR22" i="15" a="1"/>
  <c r="AA213" i="13" a="1"/>
  <c r="S186" i="13" a="1"/>
  <c r="AB94" i="13" a="1"/>
  <c r="M124" i="13" a="1"/>
  <c r="G193" i="13" a="1"/>
  <c r="G190" i="13" a="1"/>
  <c r="J43" i="14" a="1"/>
  <c r="AI43" i="14" a="1"/>
  <c r="T22" i="15" a="1"/>
  <c r="E17" i="19" a="1"/>
  <c r="G188" i="13" a="1"/>
  <c r="B244" i="13" a="1"/>
  <c r="M248" i="13" a="1"/>
  <c r="B229" i="13" a="1"/>
  <c r="W19" i="14" a="1"/>
  <c r="C4" i="20" a="1"/>
  <c r="O246" i="13" a="1"/>
  <c r="L247" i="13" a="1"/>
  <c r="F22" i="15" a="1"/>
  <c r="E35" i="9" a="1"/>
  <c r="F36" i="15" a="1"/>
  <c r="M245" i="13" a="1"/>
  <c r="L248" i="13" a="1"/>
  <c r="S94" i="13" a="1"/>
  <c r="G191" i="13" a="1"/>
  <c r="L213" i="13" a="1"/>
  <c r="O247" i="13" a="1"/>
  <c r="O244" i="13" a="1"/>
  <c r="T36" i="15" a="1"/>
  <c r="S213" i="13" a="1"/>
  <c r="N19" i="14" a="1"/>
  <c r="N246" i="13" a="1"/>
  <c r="O245" i="13" a="1"/>
  <c r="L246" i="13" a="1"/>
  <c r="M247" i="13" a="1"/>
  <c r="N247" i="13" a="1"/>
  <c r="N245" i="13" a="1"/>
  <c r="M244" i="13" a="1"/>
  <c r="M246" i="13" a="1"/>
  <c r="O248" i="13" a="1"/>
  <c r="N248" i="13" a="1"/>
  <c r="T102" i="5" a="1"/>
  <c r="U217" i="5" a="1"/>
  <c r="T101" i="5" a="1"/>
  <c r="V222" i="5" a="1"/>
  <c r="M292" i="15" a="1"/>
  <c r="U222" i="5" a="1"/>
  <c r="V219" i="5" a="1"/>
  <c r="T90" i="5" a="1"/>
  <c r="W217" i="5" a="1"/>
  <c r="T92" i="5" a="1"/>
  <c r="T103" i="5" a="1"/>
  <c r="T95" i="5" a="1"/>
  <c r="U218" i="5" a="1"/>
  <c r="V218" i="5" a="1"/>
  <c r="T217" i="5" a="1"/>
  <c r="V220" i="5" a="1"/>
  <c r="X222" i="5" a="1"/>
  <c r="T219" i="5" a="1"/>
  <c r="X221" i="5" a="1"/>
  <c r="X217" i="5" a="1"/>
  <c r="T223" i="5" a="1"/>
  <c r="U220" i="5" a="1"/>
  <c r="X223" i="5" a="1"/>
  <c r="W220" i="5" a="1"/>
  <c r="T220" i="5" a="1"/>
  <c r="U223" i="5" a="1"/>
  <c r="T96" i="5" a="1"/>
  <c r="W221" i="5" a="1"/>
  <c r="W218" i="5" a="1"/>
  <c r="V223" i="5" a="1"/>
  <c r="W222" i="5" a="1"/>
  <c r="T88" i="5" a="1"/>
  <c r="T99" i="5" a="1"/>
  <c r="X219" i="5" a="1"/>
  <c r="W223" i="5" a="1"/>
  <c r="T87" i="5" a="1"/>
  <c r="G194" i="13" a="1"/>
  <c r="V217" i="5" a="1"/>
  <c r="X218" i="5" a="1"/>
  <c r="U221" i="5" a="1"/>
  <c r="T100" i="5" a="1"/>
  <c r="T222" i="5" a="1"/>
  <c r="T97" i="5" a="1"/>
  <c r="V221" i="5" a="1"/>
  <c r="T91" i="5" a="1"/>
  <c r="X220" i="5" a="1"/>
  <c r="W219" i="5" a="1"/>
  <c r="T221" i="5" a="1"/>
  <c r="U219" i="5" a="1"/>
  <c r="T218" i="5" a="1"/>
  <c r="T89" i="5" a="1"/>
  <c r="T98" i="5" a="1"/>
  <c r="T93" i="5" a="1"/>
  <c r="T94" i="5" a="1"/>
  <c r="C4" i="20" l="1"/>
  <c r="C37" i="8" s="1"/>
  <c r="O19" i="19"/>
  <c r="V19" i="19"/>
  <c r="E17" i="19"/>
  <c r="W43" i="14"/>
  <c r="AI124" i="13"/>
  <c r="S215" i="13"/>
  <c r="S213" i="13"/>
  <c r="S216" i="13"/>
  <c r="S217" i="13"/>
  <c r="S214" i="13"/>
  <c r="U124" i="13"/>
  <c r="AB109" i="13"/>
  <c r="AA213" i="13"/>
  <c r="AI213" i="13" s="1" a="1"/>
  <c r="AI213" i="13" s="1"/>
  <c r="S94" i="13"/>
  <c r="L186" i="13"/>
  <c r="B229" i="13"/>
  <c r="AB94" i="13"/>
  <c r="M124" i="13"/>
  <c r="S186" i="13"/>
  <c r="L213" i="13"/>
  <c r="L216" i="13"/>
  <c r="L214" i="13"/>
  <c r="L215" i="13"/>
  <c r="L217" i="13"/>
  <c r="B244" i="13"/>
  <c r="N292" i="15"/>
  <c r="Q293" i="15"/>
  <c r="O295" i="15"/>
  <c r="M297" i="15"/>
  <c r="P298" i="15"/>
  <c r="N300" i="15"/>
  <c r="Q301" i="15"/>
  <c r="O303" i="15"/>
  <c r="M305" i="15"/>
  <c r="P306" i="15"/>
  <c r="N308" i="15"/>
  <c r="O292" i="15"/>
  <c r="M294" i="15"/>
  <c r="P295" i="15"/>
  <c r="N297" i="15"/>
  <c r="Q298" i="15"/>
  <c r="O300" i="15"/>
  <c r="M302" i="15"/>
  <c r="P303" i="15"/>
  <c r="N305" i="15"/>
  <c r="Q306" i="15"/>
  <c r="O308" i="15"/>
  <c r="M310" i="15"/>
  <c r="P311" i="15"/>
  <c r="N313" i="15"/>
  <c r="Q314" i="15"/>
  <c r="O316" i="15"/>
  <c r="M318" i="15"/>
  <c r="P319" i="15"/>
  <c r="N321" i="15"/>
  <c r="Q322" i="15"/>
  <c r="O324" i="15"/>
  <c r="M326" i="15"/>
  <c r="P327" i="15"/>
  <c r="N329" i="15"/>
  <c r="Q330" i="15"/>
  <c r="P292" i="15"/>
  <c r="N294" i="15"/>
  <c r="Q295" i="15"/>
  <c r="O297" i="15"/>
  <c r="M299" i="15"/>
  <c r="P300" i="15"/>
  <c r="N302" i="15"/>
  <c r="Q303" i="15"/>
  <c r="O305" i="15"/>
  <c r="M307" i="15"/>
  <c r="P308" i="15"/>
  <c r="N310" i="15"/>
  <c r="Q311" i="15"/>
  <c r="O313" i="15"/>
  <c r="M315" i="15"/>
  <c r="P316" i="15"/>
  <c r="N318" i="15"/>
  <c r="Q319" i="15"/>
  <c r="O321" i="15"/>
  <c r="M323" i="15"/>
  <c r="P324" i="15"/>
  <c r="N326" i="15"/>
  <c r="Q327" i="15"/>
  <c r="O329" i="15"/>
  <c r="M331" i="15"/>
  <c r="Q292" i="15"/>
  <c r="O294" i="15"/>
  <c r="M296" i="15"/>
  <c r="P297" i="15"/>
  <c r="N299" i="15"/>
  <c r="Q300" i="15"/>
  <c r="O302" i="15"/>
  <c r="M304" i="15"/>
  <c r="P305" i="15"/>
  <c r="N307" i="15"/>
  <c r="Q308" i="15"/>
  <c r="O310" i="15"/>
  <c r="M312" i="15"/>
  <c r="P313" i="15"/>
  <c r="N315" i="15"/>
  <c r="Q316" i="15"/>
  <c r="O318" i="15"/>
  <c r="M320" i="15"/>
  <c r="P321" i="15"/>
  <c r="N323" i="15"/>
  <c r="Q324" i="15"/>
  <c r="O326" i="15"/>
  <c r="M328" i="15"/>
  <c r="P329" i="15"/>
  <c r="N331" i="15"/>
  <c r="M293" i="15"/>
  <c r="P294" i="15"/>
  <c r="N296" i="15"/>
  <c r="Q297" i="15"/>
  <c r="O299" i="15"/>
  <c r="M301" i="15"/>
  <c r="P302" i="15"/>
  <c r="N304" i="15"/>
  <c r="Q305" i="15"/>
  <c r="O307" i="15"/>
  <c r="N293" i="15"/>
  <c r="Q294" i="15"/>
  <c r="O296" i="15"/>
  <c r="M298" i="15"/>
  <c r="P299" i="15"/>
  <c r="N301" i="15"/>
  <c r="Q302" i="15"/>
  <c r="O304" i="15"/>
  <c r="M306" i="15"/>
  <c r="P307" i="15"/>
  <c r="N309" i="15"/>
  <c r="Q310" i="15"/>
  <c r="O312" i="15"/>
  <c r="M314" i="15"/>
  <c r="P315" i="15"/>
  <c r="N317" i="15"/>
  <c r="Q318" i="15"/>
  <c r="O320" i="15"/>
  <c r="M322" i="15"/>
  <c r="P323" i="15"/>
  <c r="N325" i="15"/>
  <c r="Q326" i="15"/>
  <c r="O328" i="15"/>
  <c r="M330" i="15"/>
  <c r="P331" i="15"/>
  <c r="O293" i="15"/>
  <c r="M295" i="15"/>
  <c r="P296" i="15"/>
  <c r="N298" i="15"/>
  <c r="Q299" i="15"/>
  <c r="O301" i="15"/>
  <c r="M303" i="15"/>
  <c r="P304" i="15"/>
  <c r="N306" i="15"/>
  <c r="Q307" i="15"/>
  <c r="O309" i="15"/>
  <c r="M311" i="15"/>
  <c r="P312" i="15"/>
  <c r="N314" i="15"/>
  <c r="Q315" i="15"/>
  <c r="O317" i="15"/>
  <c r="M319" i="15"/>
  <c r="P320" i="15"/>
  <c r="N322" i="15"/>
  <c r="Q323" i="15"/>
  <c r="M292" i="15"/>
  <c r="Q304" i="15"/>
  <c r="O311" i="15"/>
  <c r="M316" i="15"/>
  <c r="N320" i="15"/>
  <c r="N324" i="15"/>
  <c r="O327" i="15"/>
  <c r="P330" i="15"/>
  <c r="M327" i="15"/>
  <c r="N295" i="15"/>
  <c r="M308" i="15"/>
  <c r="Q312" i="15"/>
  <c r="M317" i="15"/>
  <c r="M321" i="15"/>
  <c r="O325" i="15"/>
  <c r="P328" i="15"/>
  <c r="Q331" i="15"/>
  <c r="M300" i="15"/>
  <c r="P326" i="15"/>
  <c r="P314" i="15"/>
  <c r="Q296" i="15"/>
  <c r="M309" i="15"/>
  <c r="M313" i="15"/>
  <c r="P317" i="15"/>
  <c r="Q321" i="15"/>
  <c r="P325" i="15"/>
  <c r="Q328" i="15"/>
  <c r="Q309" i="15"/>
  <c r="O314" i="15"/>
  <c r="P318" i="15"/>
  <c r="P322" i="15"/>
  <c r="Q329" i="15"/>
  <c r="P301" i="15"/>
  <c r="O323" i="15"/>
  <c r="N330" i="15"/>
  <c r="O298" i="15"/>
  <c r="P309" i="15"/>
  <c r="Q313" i="15"/>
  <c r="Q317" i="15"/>
  <c r="O322" i="15"/>
  <c r="Q325" i="15"/>
  <c r="M329" i="15"/>
  <c r="P310" i="15"/>
  <c r="N303" i="15"/>
  <c r="N311" i="15"/>
  <c r="O315" i="15"/>
  <c r="O319" i="15"/>
  <c r="M324" i="15"/>
  <c r="N327" i="15"/>
  <c r="O330" i="15"/>
  <c r="P293" i="15"/>
  <c r="O306" i="15"/>
  <c r="N312" i="15"/>
  <c r="N316" i="15"/>
  <c r="Q320" i="15"/>
  <c r="M325" i="15"/>
  <c r="N328" i="15"/>
  <c r="O331" i="15"/>
  <c r="N319" i="15"/>
  <c r="T36" i="15"/>
  <c r="F36" i="15"/>
  <c r="AF22" i="15"/>
  <c r="AR22" i="15"/>
  <c r="T22" i="15"/>
  <c r="G24" i="15"/>
  <c r="F24" i="15"/>
  <c r="F22" i="15"/>
  <c r="H24" i="15"/>
  <c r="G22" i="15"/>
  <c r="H22" i="15"/>
  <c r="F23" i="15"/>
  <c r="G23" i="15"/>
  <c r="H23" i="15"/>
  <c r="AU43" i="14"/>
  <c r="BM43" i="14"/>
  <c r="AI43" i="14"/>
  <c r="J43" i="14"/>
  <c r="N19" i="14"/>
  <c r="CC19" i="14"/>
  <c r="AM19" i="14"/>
  <c r="AE19" i="14"/>
  <c r="W19" i="14"/>
  <c r="F19" i="14"/>
  <c r="E35" i="9"/>
  <c r="L247" i="13"/>
  <c r="L246" i="13"/>
  <c r="O246" i="13"/>
  <c r="O248" i="13"/>
  <c r="M244" i="13"/>
  <c r="O247" i="13"/>
  <c r="M245" i="13"/>
  <c r="M247" i="13"/>
  <c r="N248" i="13"/>
  <c r="M246" i="13"/>
  <c r="N246" i="13"/>
  <c r="M248" i="13"/>
  <c r="L248" i="13"/>
  <c r="O245" i="13"/>
  <c r="O244" i="13"/>
  <c r="N247" i="13"/>
  <c r="N245" i="13"/>
  <c r="G194" i="13"/>
  <c r="G188" i="13"/>
  <c r="G193" i="13"/>
  <c r="G187" i="13"/>
  <c r="G192" i="13"/>
  <c r="G191" i="13"/>
  <c r="G190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AU19" i="14" a="1"/>
  <c r="O124" i="13" a="1"/>
  <c r="W109" i="13" a="1"/>
  <c r="AC124" i="13" a="1"/>
  <c r="G217" i="13" a="1"/>
  <c r="Q17" i="19" a="1"/>
  <c r="H233" i="13" a="1"/>
  <c r="L43" i="14" a="1"/>
  <c r="Z22" i="15" a="1"/>
  <c r="G109" i="13" a="1"/>
  <c r="AC37" i="15" a="1"/>
  <c r="H17" i="19" a="1"/>
  <c r="I229" i="13" a="1"/>
  <c r="L36" i="15" a="1"/>
  <c r="N190" i="13" a="1"/>
  <c r="AC38" i="15" a="1"/>
  <c r="N199" i="13" a="1"/>
  <c r="I233" i="13" a="1"/>
  <c r="G189" i="13" a="1"/>
  <c r="N215" i="13" a="1"/>
  <c r="N191" i="13" a="1"/>
  <c r="L37" i="15" a="1"/>
  <c r="N24" i="15" a="1"/>
  <c r="H229" i="13" a="1"/>
  <c r="N216" i="13" a="1"/>
  <c r="AG19" i="14" a="1"/>
  <c r="N109" i="13" a="1"/>
  <c r="M23" i="15" a="1"/>
  <c r="AB38" i="15" a="1"/>
  <c r="N194" i="13" a="1"/>
  <c r="X17" i="19" a="1"/>
  <c r="H231" i="13" a="1"/>
  <c r="BU43" i="14" a="1"/>
  <c r="AD38" i="15" a="1"/>
  <c r="U215" i="13" a="1"/>
  <c r="N22" i="15" a="1"/>
  <c r="N195" i="13" a="1"/>
  <c r="CI19" i="14" a="1"/>
  <c r="U79" i="13" a="1"/>
  <c r="AS124" i="13" a="1"/>
  <c r="AB37" i="15" a="1"/>
  <c r="AB36" i="15" a="1"/>
  <c r="N192" i="13" a="1"/>
  <c r="L245" i="13" a="1"/>
  <c r="I232" i="13" a="1"/>
  <c r="N200" i="13" a="1"/>
  <c r="AK43" i="14" a="1"/>
  <c r="N197" i="13" a="1"/>
  <c r="N198" i="13" a="1"/>
  <c r="M24" i="15" a="1"/>
  <c r="G215" i="13" a="1"/>
  <c r="H19" i="14" a="1"/>
  <c r="U217" i="13" a="1"/>
  <c r="G186" i="13" a="1"/>
  <c r="N188" i="13" a="1"/>
  <c r="N244" i="13" a="1"/>
  <c r="W94" i="13" a="1"/>
  <c r="AL22" i="15" a="1"/>
  <c r="L24" i="15" a="1"/>
  <c r="AJ94" i="13" a="1"/>
  <c r="AD36" i="15" a="1"/>
  <c r="U214" i="13" a="1"/>
  <c r="N217" i="13" a="1"/>
  <c r="AA186" i="13" a="1"/>
  <c r="N213" i="13" a="1"/>
  <c r="L23" i="15" a="1"/>
  <c r="Y19" i="14" a="1"/>
  <c r="M36" i="15" a="1"/>
  <c r="Y43" i="14" a="1"/>
  <c r="AC36" i="15" a="1"/>
  <c r="G213" i="13" a="1"/>
  <c r="L22" i="15" a="1"/>
  <c r="AD37" i="15" a="1"/>
  <c r="BC43" i="14" a="1"/>
  <c r="H232" i="13" a="1"/>
  <c r="N187" i="13" a="1"/>
  <c r="N23" i="15" a="1"/>
  <c r="G214" i="13" a="1"/>
  <c r="N186" i="13" a="1"/>
  <c r="U216" i="13" a="1"/>
  <c r="I230" i="13" a="1"/>
  <c r="AJ109" i="13" a="1"/>
  <c r="G94" i="13" a="1"/>
  <c r="N214" i="13" a="1"/>
  <c r="U213" i="13" a="1"/>
  <c r="P19" i="14" a="1"/>
  <c r="N202" i="13" a="1"/>
  <c r="M37" i="15" a="1"/>
  <c r="H230" i="13" a="1"/>
  <c r="L244" i="13" a="1"/>
  <c r="AZ22" i="15" a="1"/>
  <c r="G216" i="13" a="1"/>
  <c r="N189" i="13" a="1"/>
  <c r="N201" i="13" a="1"/>
  <c r="M22" i="15" a="1"/>
  <c r="N193" i="13" a="1"/>
  <c r="G124" i="13" a="1"/>
  <c r="N196" i="13" a="1"/>
  <c r="I231" i="13" a="1"/>
  <c r="N203" i="13" a="1"/>
  <c r="C203" i="5" a="1"/>
  <c r="AC37" i="15" l="1"/>
  <c r="L245" i="13"/>
  <c r="AD38" i="15"/>
  <c r="AC36" i="15"/>
  <c r="I231" i="13"/>
  <c r="AB37" i="15"/>
  <c r="I230" i="13"/>
  <c r="N244" i="13"/>
  <c r="AD36" i="15"/>
  <c r="I233" i="13"/>
  <c r="H230" i="13"/>
  <c r="H232" i="13"/>
  <c r="I232" i="13"/>
  <c r="AD37" i="15"/>
  <c r="I229" i="13"/>
  <c r="AB38" i="15"/>
  <c r="M37" i="15"/>
  <c r="BU43" i="14"/>
  <c r="Z22" i="15"/>
  <c r="AZ22" i="15"/>
  <c r="AL22" i="15"/>
  <c r="AC124" i="13"/>
  <c r="AA186" i="13"/>
  <c r="M36" i="15"/>
  <c r="H231" i="13"/>
  <c r="L37" i="15"/>
  <c r="AC38" i="15"/>
  <c r="B3" i="8"/>
  <c r="X17" i="19"/>
  <c r="Q17" i="19"/>
  <c r="H17" i="19"/>
  <c r="Y43" i="14"/>
  <c r="K292" i="15"/>
  <c r="T292" i="15"/>
  <c r="S292" i="15"/>
  <c r="AB36" i="15"/>
  <c r="L36" i="15"/>
  <c r="M23" i="15"/>
  <c r="N22" i="15"/>
  <c r="M22" i="15"/>
  <c r="L23" i="15"/>
  <c r="N24" i="15"/>
  <c r="L24" i="15"/>
  <c r="M24" i="15"/>
  <c r="L22" i="15"/>
  <c r="N23" i="15"/>
  <c r="BC43" i="14"/>
  <c r="AK43" i="14"/>
  <c r="L43" i="14"/>
  <c r="CI19" i="14"/>
  <c r="AU19" i="14"/>
  <c r="AG19" i="14"/>
  <c r="Y19" i="14"/>
  <c r="P19" i="14"/>
  <c r="H19" i="14"/>
  <c r="C14" i="14" s="1" a="1"/>
  <c r="C14" i="14" s="1"/>
  <c r="H233" i="13"/>
  <c r="N217" i="13"/>
  <c r="U217" i="13"/>
  <c r="N213" i="13"/>
  <c r="N215" i="13"/>
  <c r="U216" i="13"/>
  <c r="N214" i="13"/>
  <c r="U215" i="13"/>
  <c r="U214" i="13"/>
  <c r="G215" i="13"/>
  <c r="U213" i="13"/>
  <c r="G214" i="13"/>
  <c r="G213" i="13"/>
  <c r="C208" i="13" s="1" a="1"/>
  <c r="C208" i="13" s="1"/>
  <c r="G217" i="13"/>
  <c r="G216" i="13"/>
  <c r="L244" i="13"/>
  <c r="N216" i="13"/>
  <c r="O124" i="13"/>
  <c r="H229" i="13"/>
  <c r="AS124" i="13"/>
  <c r="G189" i="13"/>
  <c r="G124" i="13"/>
  <c r="G109" i="13"/>
  <c r="N109" i="13"/>
  <c r="W94" i="13"/>
  <c r="AJ109" i="13"/>
  <c r="AJ94" i="13"/>
  <c r="W109" i="13"/>
  <c r="G94" i="13"/>
  <c r="N197" i="13"/>
  <c r="N192" i="13"/>
  <c r="N200" i="13"/>
  <c r="G186" i="13"/>
  <c r="N194" i="13"/>
  <c r="N198" i="13"/>
  <c r="N199" i="13"/>
  <c r="N202" i="13"/>
  <c r="N196" i="13"/>
  <c r="N186" i="13"/>
  <c r="N201" i="13"/>
  <c r="N190" i="13"/>
  <c r="N195" i="13"/>
  <c r="N189" i="13"/>
  <c r="N203" i="13"/>
  <c r="N188" i="13"/>
  <c r="N193" i="13"/>
  <c r="N187" i="13"/>
  <c r="N191" i="13"/>
  <c r="U79" i="13"/>
  <c r="C203" i="5"/>
  <c r="C14" i="5" s="1"/>
  <c r="C17" i="15" a="1"/>
  <c r="C239" i="13" a="1"/>
  <c r="S17" i="19" a="1"/>
  <c r="C17" i="17" a="1"/>
  <c r="C30" i="15" a="1"/>
  <c r="C38" i="14" a="1"/>
  <c r="Z17" i="19" a="1"/>
  <c r="C104" i="13" a="1"/>
  <c r="C74" i="13" a="1"/>
  <c r="C224" i="13" a="1"/>
  <c r="C119" i="13" a="1"/>
  <c r="C181" i="13" a="1"/>
  <c r="C89" i="13" a="1"/>
  <c r="J295" i="15" a="1"/>
  <c r="K295" i="15" a="1"/>
  <c r="T295" i="15" a="1"/>
  <c r="S295" i="15" a="1"/>
  <c r="C181" i="13" l="1"/>
  <c r="D7" i="14"/>
  <c r="C38" i="14"/>
  <c r="D9" i="14" s="1"/>
  <c r="C74" i="13"/>
  <c r="D11" i="13" s="1"/>
  <c r="C17" i="17"/>
  <c r="S17" i="19"/>
  <c r="Z17" i="19"/>
  <c r="K295" i="15"/>
  <c r="T295" i="15"/>
  <c r="J295" i="15"/>
  <c r="S295" i="15"/>
  <c r="C30" i="15"/>
  <c r="E8" i="15" s="1"/>
  <c r="C17" i="15"/>
  <c r="E7" i="15" s="1"/>
  <c r="D17" i="13"/>
  <c r="C239" i="13"/>
  <c r="D19" i="13" s="1"/>
  <c r="C224" i="13"/>
  <c r="D18" i="13" s="1"/>
  <c r="D16" i="13"/>
  <c r="C119" i="13"/>
  <c r="D14" i="13" s="1"/>
  <c r="C104" i="13"/>
  <c r="D13" i="13" s="1"/>
  <c r="C89" i="13"/>
  <c r="D12" i="13" s="1"/>
  <c r="C4" i="14" a="1"/>
  <c r="C12" i="19" a="1"/>
  <c r="C13" i="17" a="1"/>
  <c r="C286" i="15" a="1"/>
  <c r="C19" i="8" l="1"/>
  <c r="C13" i="17"/>
  <c r="D7" i="17" s="1"/>
  <c r="C4" i="14"/>
  <c r="C20" i="8" s="1"/>
  <c r="C286" i="15"/>
  <c r="E11" i="15" s="1"/>
  <c r="C12" i="19"/>
  <c r="D7" i="19" s="1"/>
  <c r="C4" i="19" a="1"/>
  <c r="C4" i="17" a="1"/>
  <c r="C21" i="8" l="1"/>
  <c r="C4" i="17"/>
  <c r="C38" i="8" s="1"/>
  <c r="C4" i="19"/>
  <c r="C25" i="8" s="1"/>
  <c r="T231" i="9"/>
  <c r="Q231" i="9"/>
  <c r="N230" i="9"/>
  <c r="K230" i="9"/>
  <c r="H232" i="9"/>
  <c r="E232" i="9"/>
  <c r="B232" i="9"/>
  <c r="C86" i="1"/>
  <c r="B87" i="1"/>
  <c r="C78" i="1"/>
  <c r="C84" i="1"/>
  <c r="C82" i="1"/>
  <c r="C80" i="1"/>
  <c r="B85" i="1"/>
  <c r="B83" i="1"/>
  <c r="B81" i="1"/>
  <c r="B79" i="1"/>
  <c r="B77" i="1"/>
  <c r="C62" i="2"/>
  <c r="E64" i="2"/>
  <c r="J186" i="9" a="1"/>
  <c r="J54" i="9" a="1"/>
  <c r="E208" i="9" a="1"/>
  <c r="C76" i="9" a="1"/>
  <c r="O164" i="9" a="1"/>
  <c r="E54" i="9" a="1"/>
  <c r="C32" i="9" a="1"/>
  <c r="O142" i="9" a="1"/>
  <c r="C164" i="9" a="1"/>
  <c r="I230" i="9" a="1"/>
  <c r="J120" i="9" a="1"/>
  <c r="C230" i="9" a="1"/>
  <c r="J32" i="9" a="1"/>
  <c r="R230" i="9" a="1"/>
  <c r="C142" i="9" a="1"/>
  <c r="E76" i="9" a="1"/>
  <c r="E120" i="9" a="1"/>
  <c r="C54" i="9" a="1"/>
  <c r="O208" i="9" a="1"/>
  <c r="F230" i="9" a="1"/>
  <c r="J208" i="9" a="1"/>
  <c r="E186" i="9" a="1"/>
  <c r="J98" i="9" a="1"/>
  <c r="O54" i="9" a="1"/>
  <c r="C98" i="9" a="1"/>
  <c r="O32" i="9" a="1"/>
  <c r="C208" i="9" a="1"/>
  <c r="J164" i="9" a="1"/>
  <c r="C120" i="9" a="1"/>
  <c r="O76" i="9" a="1"/>
  <c r="E98" i="9" a="1"/>
  <c r="L230" i="9" a="1"/>
  <c r="U230" i="9" a="1"/>
  <c r="E164" i="9" a="1"/>
  <c r="C186" i="9" a="1"/>
  <c r="O230" i="9" a="1"/>
  <c r="E142" i="9" a="1"/>
  <c r="O186" i="9" a="1"/>
  <c r="O98" i="9" a="1"/>
  <c r="J142" i="9" a="1"/>
  <c r="O120" i="9" a="1"/>
  <c r="J76" i="9" a="1"/>
  <c r="W103" i="5" a="1"/>
  <c r="BO43" i="5" a="1"/>
  <c r="BK64" i="5" a="1"/>
  <c r="BL65" i="5" a="1"/>
  <c r="W93" i="5" a="1"/>
  <c r="U124" i="5" a="1"/>
  <c r="BT39" i="5" a="1"/>
  <c r="X127" i="5" a="1"/>
  <c r="BM65" i="5" a="1"/>
  <c r="BT40" i="5" a="1"/>
  <c r="W96" i="5" a="1"/>
  <c r="K180" i="5" a="1"/>
  <c r="BN42" i="5" a="1"/>
  <c r="X130" i="5" a="1"/>
  <c r="BG67" i="5" a="1"/>
  <c r="V197" i="5" a="1"/>
  <c r="U95" i="5" a="1"/>
  <c r="BS39" i="5" a="1"/>
  <c r="X87" i="5" a="1"/>
  <c r="D83" i="1" a="1"/>
  <c r="T123" i="5" a="1"/>
  <c r="BF67" i="5" a="1"/>
  <c r="V133" i="5" a="1"/>
  <c r="L159" i="5" a="1"/>
  <c r="V138" i="5" a="1"/>
  <c r="X131" i="5" a="1"/>
  <c r="BE67" i="5" a="1"/>
  <c r="T124" i="5" a="1"/>
  <c r="U99" i="5" a="1"/>
  <c r="U198" i="5" a="1"/>
  <c r="X90" i="5" a="1"/>
  <c r="K160" i="5" a="1"/>
  <c r="U129" i="5" a="1"/>
  <c r="U131" i="5" a="1"/>
  <c r="BI64" i="5" a="1"/>
  <c r="BO64" i="5" a="1"/>
  <c r="BQ39" i="5" a="1"/>
  <c r="BR66" i="5" a="1"/>
  <c r="U102" i="5" a="1"/>
  <c r="W136" i="5" a="1"/>
  <c r="T127" i="5" a="1"/>
  <c r="BI39" i="5" a="1"/>
  <c r="V124" i="5" a="1"/>
  <c r="W129" i="5" a="1"/>
  <c r="V198" i="5" a="1"/>
  <c r="X98" i="5" a="1"/>
  <c r="BM39" i="5" a="1"/>
  <c r="BE39" i="5" a="1"/>
  <c r="U93" i="5" a="1"/>
  <c r="X93" i="5" a="1"/>
  <c r="BJ42" i="5" a="1"/>
  <c r="V131" i="5" a="1"/>
  <c r="K161" i="5" a="1"/>
  <c r="BG41" i="5" a="1"/>
  <c r="BP40" i="5" a="1"/>
  <c r="X128" i="5" a="1"/>
  <c r="W139" i="5" a="1"/>
  <c r="W100" i="5" a="1"/>
  <c r="X124" i="5" a="1"/>
  <c r="T126" i="5" a="1"/>
  <c r="BM40" i="5" a="1"/>
  <c r="BK40" i="5" a="1"/>
  <c r="U126" i="5" a="1"/>
  <c r="X136" i="5" a="1"/>
  <c r="BO63" i="5" a="1"/>
  <c r="BO66" i="5" a="1"/>
  <c r="X132" i="5" a="1"/>
  <c r="BH66" i="5" a="1"/>
  <c r="W126" i="5" a="1"/>
  <c r="BP65" i="5" a="1"/>
  <c r="E84" i="1" a="1"/>
  <c r="W123" i="5" a="1"/>
  <c r="BF65" i="5" a="1"/>
  <c r="BN64" i="5" a="1"/>
  <c r="BS65" i="5" a="1"/>
  <c r="BF64" i="5" a="1"/>
  <c r="BK39" i="5" a="1"/>
  <c r="V135" i="5" a="1"/>
  <c r="BP63" i="5" a="1"/>
  <c r="C6" i="2" a="1"/>
  <c r="BO40" i="5" a="1"/>
  <c r="BI43" i="5" a="1"/>
  <c r="BM41" i="5" a="1"/>
  <c r="V98" i="5" a="1"/>
  <c r="BN67" i="5" a="1"/>
  <c r="X103" i="5" a="1"/>
  <c r="U101" i="5" a="1"/>
  <c r="BP66" i="5" a="1"/>
  <c r="BP67" i="5" a="1"/>
  <c r="BF41" i="5" a="1"/>
  <c r="L157" i="5" a="1"/>
  <c r="X100" i="5" a="1"/>
  <c r="L181" i="5" a="1"/>
  <c r="X198" i="5" a="1"/>
  <c r="BR41" i="5" a="1"/>
  <c r="BS64" i="5" a="1"/>
  <c r="BL66" i="5" a="1"/>
  <c r="X126" i="5" a="1"/>
  <c r="BG66" i="5" a="1"/>
  <c r="BK42" i="5" a="1"/>
  <c r="BN41" i="5" a="1"/>
  <c r="BT63" i="5" a="1"/>
  <c r="E82" i="1" a="1"/>
  <c r="W101" i="5" a="1"/>
  <c r="L158" i="5" a="1"/>
  <c r="W133" i="5" a="1"/>
  <c r="BD43" i="5" a="1"/>
  <c r="U90" i="5" a="1"/>
  <c r="U98" i="5" a="1"/>
  <c r="BS41" i="5" a="1"/>
  <c r="BH67" i="5" a="1"/>
  <c r="X101" i="5" a="1"/>
  <c r="L179" i="5" a="1"/>
  <c r="BL41" i="5" a="1"/>
  <c r="W99" i="5" a="1"/>
  <c r="BI42" i="5" a="1"/>
  <c r="E78" i="1" a="1"/>
  <c r="W132" i="5" a="1"/>
  <c r="U137" i="5" a="1"/>
  <c r="W89" i="5" a="1"/>
  <c r="BF40" i="5" a="1"/>
  <c r="U136" i="5" a="1"/>
  <c r="BI67" i="5" a="1"/>
  <c r="V90" i="5" a="1"/>
  <c r="V129" i="5" a="1"/>
  <c r="BM66" i="5" a="1"/>
  <c r="BF42" i="5" a="1"/>
  <c r="BR40" i="5" a="1"/>
  <c r="W135" i="5" a="1"/>
  <c r="X102" i="5" a="1"/>
  <c r="BI65" i="5" a="1"/>
  <c r="U138" i="5" a="1"/>
  <c r="BR63" i="5" a="1"/>
  <c r="BS43" i="5" a="1"/>
  <c r="W102" i="5" a="1"/>
  <c r="BN39" i="5" a="1"/>
  <c r="W94" i="5" a="1"/>
  <c r="BG64" i="5" a="1"/>
  <c r="BQ64" i="5" a="1"/>
  <c r="BR39" i="5" a="1"/>
  <c r="X94" i="5" a="1"/>
  <c r="W134" i="5" a="1"/>
  <c r="D81" i="1" a="1"/>
  <c r="BJ65" i="5" a="1"/>
  <c r="BQ67" i="5" a="1"/>
  <c r="X91" i="5" a="1"/>
  <c r="BG65" i="5" a="1"/>
  <c r="V94" i="5" a="1"/>
  <c r="W91" i="5" a="1"/>
  <c r="L177" i="5" a="1"/>
  <c r="BJ39" i="5" a="1"/>
  <c r="BD67" i="5" a="1"/>
  <c r="L161" i="5" a="1"/>
  <c r="X197" i="5" a="1"/>
  <c r="BL64" i="5" a="1"/>
  <c r="U103" i="5" a="1"/>
  <c r="T129" i="5" a="1"/>
  <c r="V100" i="5" a="1"/>
  <c r="BF66" i="5" a="1"/>
  <c r="V103" i="5" a="1"/>
  <c r="BK41" i="5" a="1"/>
  <c r="BK67" i="5" a="1"/>
  <c r="BR67" i="5" a="1"/>
  <c r="L180" i="5" a="1"/>
  <c r="X89" i="5" a="1"/>
  <c r="BQ43" i="5" a="1"/>
  <c r="T133" i="5" a="1"/>
  <c r="D79" i="1" a="1"/>
  <c r="V127" i="5" a="1"/>
  <c r="V88" i="5" a="1"/>
  <c r="BI40" i="5" a="1"/>
  <c r="U197" i="5" a="1"/>
  <c r="BH65" i="5" a="1"/>
  <c r="L160" i="5" a="1"/>
  <c r="V101" i="5" a="1"/>
  <c r="V89" i="5" a="1"/>
  <c r="U127" i="5" a="1"/>
  <c r="BG43" i="5" a="1"/>
  <c r="BQ63" i="5" a="1"/>
  <c r="V132" i="5" a="1"/>
  <c r="X139" i="5" a="1"/>
  <c r="V92" i="5" a="1"/>
  <c r="BE41" i="5" a="1"/>
  <c r="T132" i="5" a="1"/>
  <c r="X99" i="5" a="1"/>
  <c r="BM67" i="5" a="1"/>
  <c r="U97" i="5" a="1"/>
  <c r="BS63" i="5" a="1"/>
  <c r="W128" i="5" a="1"/>
  <c r="BR43" i="5" a="1"/>
  <c r="W131" i="5" a="1"/>
  <c r="BD41" i="5" a="1"/>
  <c r="X96" i="5" a="1"/>
  <c r="X133" i="5" a="1"/>
  <c r="BK65" i="5" a="1"/>
  <c r="U92" i="5" a="1"/>
  <c r="BD39" i="5" a="1"/>
  <c r="BM64" i="5" a="1"/>
  <c r="BD65" i="5" a="1"/>
  <c r="BT66" i="5" a="1"/>
  <c r="W88" i="5" a="1"/>
  <c r="V136" i="5" a="1"/>
  <c r="W87" i="5" a="1"/>
  <c r="U133" i="5" a="1"/>
  <c r="V139" i="5" a="1"/>
  <c r="W98" i="5" a="1"/>
  <c r="T197" i="5" a="1"/>
  <c r="K177" i="5" a="1"/>
  <c r="BT67" i="5" a="1"/>
  <c r="BG63" i="5" a="1"/>
  <c r="BR64" i="5" a="1"/>
  <c r="BJ66" i="5" a="1"/>
  <c r="BN65" i="5" a="1"/>
  <c r="BL42" i="5" a="1"/>
  <c r="BQ42" i="5" a="1"/>
  <c r="BP43" i="5" a="1"/>
  <c r="BS40" i="5" a="1"/>
  <c r="BG39" i="5" a="1"/>
  <c r="V97" i="5" a="1"/>
  <c r="U96" i="5" a="1"/>
  <c r="V130" i="5" a="1"/>
  <c r="E80" i="1" a="1"/>
  <c r="K178" i="5" a="1"/>
  <c r="BG42" i="5" a="1"/>
  <c r="BP42" i="5" a="1"/>
  <c r="BE66" i="5" a="1"/>
  <c r="W130" i="5" a="1"/>
  <c r="BD42" i="5" a="1"/>
  <c r="T131" i="5" a="1"/>
  <c r="X123" i="5" a="1"/>
  <c r="U125" i="5" a="1"/>
  <c r="T137" i="5" a="1"/>
  <c r="BF63" i="5" a="1"/>
  <c r="BM42" i="5" a="1"/>
  <c r="U128" i="5" a="1"/>
  <c r="BQ41" i="5" a="1"/>
  <c r="V125" i="5" a="1"/>
  <c r="V123" i="5" a="1"/>
  <c r="BS67" i="5" a="1"/>
  <c r="X129" i="5" a="1"/>
  <c r="T138" i="5" a="1"/>
  <c r="U130" i="5" a="1"/>
  <c r="BL63" i="5" a="1"/>
  <c r="W124" i="5" a="1"/>
  <c r="V134" i="5" a="1"/>
  <c r="BI63" i="5" a="1"/>
  <c r="BJ43" i="5" a="1"/>
  <c r="X88" i="5" a="1"/>
  <c r="U91" i="5" a="1"/>
  <c r="V102" i="5" a="1"/>
  <c r="BS42" i="5" a="1"/>
  <c r="BQ66" i="5" a="1"/>
  <c r="BL43" i="5" a="1"/>
  <c r="V126" i="5" a="1"/>
  <c r="BE40" i="5" a="1"/>
  <c r="BH39" i="5" a="1"/>
  <c r="BQ40" i="5" a="1"/>
  <c r="BF43" i="5" a="1"/>
  <c r="U132" i="5" a="1"/>
  <c r="U123" i="5" a="1"/>
  <c r="BD40" i="5" a="1"/>
  <c r="U88" i="5" a="1"/>
  <c r="X135" i="5" a="1"/>
  <c r="T128" i="5" a="1"/>
  <c r="BP39" i="5" a="1"/>
  <c r="BL40" i="5" a="1"/>
  <c r="D77" i="1" a="1"/>
  <c r="BH63" i="5" a="1"/>
  <c r="T130" i="5" a="1"/>
  <c r="BO67" i="5" a="1"/>
  <c r="BT43" i="5" a="1"/>
  <c r="BE63" i="5" a="1"/>
  <c r="K157" i="5" a="1"/>
  <c r="BE65" i="5" a="1"/>
  <c r="BL39" i="5" a="1"/>
  <c r="W197" i="5" a="1"/>
  <c r="BO42" i="5" a="1"/>
  <c r="BJ63" i="5" a="1"/>
  <c r="BJ41" i="5" a="1"/>
  <c r="BK43" i="5" a="1"/>
  <c r="V87" i="5" a="1"/>
  <c r="K159" i="5" a="1"/>
  <c r="BT41" i="5" a="1"/>
  <c r="X95" i="5" a="1"/>
  <c r="W92" i="5" a="1"/>
  <c r="T125" i="5" a="1"/>
  <c r="BH42" i="5" a="1"/>
  <c r="K181" i="5" a="1"/>
  <c r="W90" i="5" a="1"/>
  <c r="BE43" i="5" a="1"/>
  <c r="X134" i="5" a="1"/>
  <c r="V91" i="5" a="1"/>
  <c r="BI66" i="5" a="1"/>
  <c r="BT64" i="5" a="1"/>
  <c r="BS66" i="5" a="1"/>
  <c r="X125" i="5" a="1"/>
  <c r="U100" i="5" a="1"/>
  <c r="U134" i="5" a="1"/>
  <c r="X97" i="5" a="1"/>
  <c r="BQ65" i="5" a="1"/>
  <c r="V137" i="5" a="1"/>
  <c r="BO39" i="5" a="1"/>
  <c r="BN40" i="5" a="1"/>
  <c r="U87" i="5" a="1"/>
  <c r="V96" i="5" a="1"/>
  <c r="X137" i="5" a="1"/>
  <c r="D87" i="1" a="1"/>
  <c r="U94" i="5" a="1"/>
  <c r="K179" i="5" a="1"/>
  <c r="U135" i="5" a="1"/>
  <c r="BL67" i="5" a="1"/>
  <c r="BT65" i="5" a="1"/>
  <c r="BN43" i="5" a="1"/>
  <c r="BF39" i="5" a="1"/>
  <c r="BP41" i="5" a="1"/>
  <c r="BP64" i="5" a="1"/>
  <c r="U139" i="5" a="1"/>
  <c r="BR65" i="5" a="1"/>
  <c r="BT42" i="5" a="1"/>
  <c r="W127" i="5" a="1"/>
  <c r="BR42" i="5" a="1"/>
  <c r="BK66" i="5" a="1"/>
  <c r="W125" i="5" a="1"/>
  <c r="BD64" i="5" a="1"/>
  <c r="V128" i="5" a="1"/>
  <c r="BJ40" i="5" a="1"/>
  <c r="BD66" i="5" a="1"/>
  <c r="T135" i="5" a="1"/>
  <c r="BH40" i="5" a="1"/>
  <c r="BO41" i="5" a="1"/>
  <c r="BN63" i="5" a="1"/>
  <c r="BH43" i="5" a="1"/>
  <c r="BO65" i="5" a="1"/>
  <c r="X138" i="5" a="1"/>
  <c r="BE42" i="5" a="1"/>
  <c r="W137" i="5" a="1"/>
  <c r="D85" i="1" a="1"/>
  <c r="BI41" i="5" a="1"/>
  <c r="BM43" i="5" a="1"/>
  <c r="BJ67" i="5" a="1"/>
  <c r="V99" i="5" a="1"/>
  <c r="BJ64" i="5" a="1"/>
  <c r="T139" i="5" a="1"/>
  <c r="W95" i="5" a="1"/>
  <c r="X92" i="5" a="1"/>
  <c r="BK63" i="5" a="1"/>
  <c r="BH41" i="5" a="1"/>
  <c r="BE64" i="5" a="1"/>
  <c r="BM63" i="5" a="1"/>
  <c r="E86" i="1" a="1"/>
  <c r="V95" i="5" a="1"/>
  <c r="T198" i="5" a="1"/>
  <c r="L178" i="5" a="1"/>
  <c r="T134" i="5" a="1"/>
  <c r="K158" i="5" a="1"/>
  <c r="W97" i="5" a="1"/>
  <c r="V93" i="5" a="1"/>
  <c r="W198" i="5" a="1"/>
  <c r="U89" i="5" a="1"/>
  <c r="BN66" i="5" a="1"/>
  <c r="T136" i="5" a="1"/>
  <c r="W138" i="5" a="1"/>
  <c r="BH64" i="5" a="1"/>
  <c r="E80" i="1" l="1"/>
  <c r="E82" i="1"/>
  <c r="E78" i="1"/>
  <c r="E84" i="1"/>
  <c r="E86" i="1"/>
  <c r="D77" i="1"/>
  <c r="D79" i="1"/>
  <c r="D81" i="1"/>
  <c r="D83" i="1"/>
  <c r="D85" i="1"/>
  <c r="D87" i="1"/>
  <c r="C83" i="1"/>
  <c r="C85" i="1"/>
  <c r="C87" i="1"/>
  <c r="C81" i="1"/>
  <c r="C6" i="2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C79" i="1"/>
  <c r="E62" i="2"/>
  <c r="K49" i="9" a="1"/>
  <c r="C49" i="9" a="1"/>
  <c r="K137" i="9" a="1"/>
  <c r="F115" i="9" a="1"/>
  <c r="K181" i="9" a="1"/>
  <c r="P71" i="9" a="1"/>
  <c r="F93" i="9" a="1"/>
  <c r="I225" i="9" a="1"/>
  <c r="K93" i="9" a="1"/>
  <c r="F203" i="9" a="1"/>
  <c r="F27" i="9" a="1"/>
  <c r="P115" i="9" a="1"/>
  <c r="F71" i="9" a="1"/>
  <c r="K115" i="9" a="1"/>
  <c r="K27" i="9" a="1"/>
  <c r="C71" i="9" a="1"/>
  <c r="C93" i="9" a="1"/>
  <c r="F225" i="9" a="1"/>
  <c r="F159" i="9" a="1"/>
  <c r="F181" i="9" a="1"/>
  <c r="C159" i="9" a="1"/>
  <c r="C115" i="9" a="1"/>
  <c r="F49" i="9" a="1"/>
  <c r="K71" i="9" a="1"/>
  <c r="F137" i="9" a="1"/>
  <c r="O225" i="9" a="1"/>
  <c r="C225" i="9" a="1"/>
  <c r="P49" i="9" a="1"/>
  <c r="C203" i="9" a="1"/>
  <c r="P93" i="9" a="1"/>
  <c r="P27" i="9" a="1"/>
  <c r="C137" i="9" a="1"/>
  <c r="P203" i="9" a="1"/>
  <c r="K203" i="9" a="1"/>
  <c r="R225" i="9" a="1"/>
  <c r="L225" i="9" a="1"/>
  <c r="C27" i="9" a="1"/>
  <c r="P137" i="9" a="1"/>
  <c r="P159" i="9" a="1"/>
  <c r="K159" i="9" a="1"/>
  <c r="U225" i="9" a="1"/>
  <c r="C181" i="9" a="1"/>
  <c r="P181" i="9" a="1"/>
  <c r="E81" i="1" a="1"/>
  <c r="E85" i="1" a="1"/>
  <c r="D64" i="2" a="1"/>
  <c r="E79" i="1" a="1"/>
  <c r="E83" i="1" a="1"/>
  <c r="E87" i="1" a="1"/>
  <c r="E77" i="1" a="1"/>
  <c r="H17" i="2" a="1"/>
  <c r="D62" i="2" a="1"/>
  <c r="C144" i="5" a="1"/>
  <c r="C24" i="5" a="1"/>
  <c r="C186" i="5" a="1"/>
  <c r="C166" i="5" a="1"/>
  <c r="C108" i="5" a="1"/>
  <c r="C48" i="5" a="1"/>
  <c r="C72" i="5" a="1"/>
  <c r="E77" i="1" l="1"/>
  <c r="E81" i="1"/>
  <c r="E79" i="1"/>
  <c r="E87" i="1"/>
  <c r="E85" i="1"/>
  <c r="E83" i="1"/>
  <c r="C24" i="5"/>
  <c r="C7" i="5" s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17" i="2"/>
  <c r="D64" i="2"/>
  <c r="D62" i="2"/>
  <c r="C109" i="9" a="1"/>
  <c r="C21" i="9" a="1"/>
  <c r="C197" i="9" a="1"/>
  <c r="C65" i="9" a="1"/>
  <c r="C43" i="9" a="1"/>
  <c r="C131" i="9" a="1"/>
  <c r="C175" i="9" a="1"/>
  <c r="C153" i="9" a="1"/>
  <c r="C87" i="9" a="1"/>
  <c r="C219" i="9" a="1"/>
  <c r="C73" i="1" a="1"/>
  <c r="G21" i="2" a="1"/>
  <c r="F64" i="2" a="1"/>
  <c r="F62" i="2" a="1"/>
  <c r="C4" i="5" a="1"/>
  <c r="C73" i="1" l="1"/>
  <c r="C4" i="5"/>
  <c r="C48" i="8" s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4" i="9" a="1"/>
  <c r="C58" i="2" a="1"/>
  <c r="C20" i="1" a="1"/>
  <c r="C69" i="1" a="1"/>
  <c r="C69" i="1" l="1"/>
  <c r="C20" i="1"/>
  <c r="D7" i="1" s="1"/>
  <c r="C4" i="9"/>
  <c r="C49" i="8" s="1"/>
  <c r="C58" i="2"/>
  <c r="C4" i="1" a="1"/>
  <c r="C4" i="1" l="1"/>
  <c r="C34" i="8" s="1"/>
  <c r="D46" i="26" a="1"/>
  <c r="BH60" i="26" l="1"/>
  <c r="BS47" i="26"/>
  <c r="P53" i="26"/>
  <c r="W54" i="26"/>
  <c r="BV59" i="26"/>
  <c r="I59" i="26"/>
  <c r="BL50" i="26"/>
  <c r="AM59" i="26"/>
  <c r="AM50" i="26"/>
  <c r="AL47" i="26"/>
  <c r="BU58" i="26"/>
  <c r="E46" i="26"/>
  <c r="AV46" i="26"/>
  <c r="E51" i="26"/>
  <c r="AP48" i="26"/>
  <c r="BC58" i="26"/>
  <c r="BT56" i="26"/>
  <c r="X50" i="26"/>
  <c r="AK53" i="26"/>
  <c r="AW48" i="26"/>
  <c r="BU57" i="26"/>
  <c r="BJ56" i="26"/>
  <c r="AD49" i="26"/>
  <c r="AP59" i="26"/>
  <c r="AD50" i="26"/>
  <c r="BH47" i="26"/>
  <c r="BD47" i="26"/>
  <c r="AL51" i="26"/>
  <c r="AA57" i="26"/>
  <c r="M57" i="26"/>
  <c r="AB50" i="26"/>
  <c r="BC46" i="26"/>
  <c r="U52" i="26"/>
  <c r="AG49" i="26"/>
  <c r="AO55" i="26"/>
  <c r="AW59" i="26"/>
  <c r="BW60" i="26"/>
  <c r="BF46" i="26"/>
  <c r="Y55" i="26"/>
  <c r="BJ46" i="26"/>
  <c r="BV46" i="26"/>
  <c r="AL54" i="26"/>
  <c r="BV48" i="26"/>
  <c r="AY57" i="26"/>
  <c r="BD59" i="26"/>
  <c r="AN50" i="26"/>
  <c r="BW51" i="26"/>
  <c r="R56" i="26"/>
  <c r="AY54" i="26"/>
  <c r="AJ49" i="26"/>
  <c r="BO57" i="26"/>
  <c r="BR59" i="26"/>
  <c r="AZ51" i="26"/>
  <c r="AH53" i="26"/>
  <c r="AO47" i="26"/>
  <c r="AD60" i="26"/>
  <c r="AT49" i="26"/>
  <c r="AW51" i="26"/>
  <c r="M58" i="26"/>
  <c r="E55" i="26"/>
  <c r="AG50" i="26"/>
  <c r="V58" i="26"/>
  <c r="W60" i="26"/>
  <c r="O52" i="26"/>
  <c r="Z55" i="26"/>
  <c r="BQ50" i="26"/>
  <c r="AS57" i="26"/>
  <c r="I53" i="26"/>
  <c r="AT55" i="26"/>
  <c r="BO60" i="26"/>
  <c r="BB59" i="26"/>
  <c r="AK50" i="26"/>
  <c r="BS48" i="26"/>
  <c r="M55" i="26"/>
  <c r="AI50" i="26"/>
  <c r="BT52" i="26"/>
  <c r="W53" i="26"/>
  <c r="AM54" i="26"/>
  <c r="AM48" i="26"/>
  <c r="BM53" i="26"/>
  <c r="AP50" i="26"/>
  <c r="P48" i="26"/>
  <c r="BA53" i="26"/>
  <c r="H59" i="26"/>
  <c r="T46" i="26"/>
  <c r="E50" i="26"/>
  <c r="Z56" i="26"/>
  <c r="BW52" i="26"/>
  <c r="AQ47" i="26"/>
  <c r="AD53" i="26"/>
  <c r="AP52" i="26"/>
  <c r="AM47" i="26"/>
  <c r="I58" i="26"/>
  <c r="AK51" i="26"/>
  <c r="X58" i="26"/>
  <c r="O48" i="26"/>
  <c r="M60" i="26"/>
  <c r="M53" i="26"/>
  <c r="AR49" i="26"/>
  <c r="BX50" i="26"/>
  <c r="BC53" i="26"/>
  <c r="Y49" i="26"/>
  <c r="Z50" i="26"/>
  <c r="AX57" i="26"/>
  <c r="BB54" i="26"/>
  <c r="BP52" i="26"/>
  <c r="L47" i="26"/>
  <c r="AC51" i="26"/>
  <c r="I56" i="26"/>
  <c r="AX55" i="26"/>
  <c r="BQ46" i="26"/>
  <c r="AA55" i="26"/>
  <c r="Y54" i="26"/>
  <c r="N54" i="26"/>
  <c r="BC51" i="26"/>
  <c r="AU47" i="26"/>
  <c r="AX52" i="26"/>
  <c r="BN51" i="26"/>
  <c r="BP46" i="26"/>
  <c r="BE52" i="26"/>
  <c r="BG52" i="26"/>
  <c r="AJ50" i="26"/>
  <c r="F60" i="26"/>
  <c r="W48" i="26"/>
  <c r="M59" i="26"/>
  <c r="AZ50" i="26"/>
  <c r="BU52" i="26"/>
  <c r="D53" i="26"/>
  <c r="BB50" i="26"/>
  <c r="AF60" i="26"/>
  <c r="BK48" i="26"/>
  <c r="BQ59" i="26"/>
  <c r="J56" i="26"/>
  <c r="BJ53" i="26"/>
  <c r="AS52" i="26"/>
  <c r="BG55" i="26"/>
  <c r="AK54" i="26"/>
  <c r="AJ53" i="26"/>
  <c r="AL53" i="26"/>
  <c r="O51" i="26"/>
  <c r="S46" i="26"/>
  <c r="D50" i="26"/>
  <c r="AU57" i="26"/>
  <c r="BT47" i="26"/>
  <c r="BX47" i="26"/>
  <c r="BD60" i="26"/>
  <c r="BG50" i="26"/>
  <c r="BH53" i="26"/>
  <c r="O47" i="26"/>
  <c r="BR56" i="26"/>
  <c r="AE55" i="26"/>
  <c r="AU51" i="26"/>
  <c r="AY58" i="26"/>
  <c r="AW60" i="26"/>
  <c r="AP56" i="26"/>
  <c r="I57" i="26"/>
  <c r="BT54" i="26"/>
  <c r="BG59" i="26"/>
  <c r="BE59" i="26"/>
  <c r="BV55" i="26"/>
  <c r="AK56" i="26"/>
  <c r="BX52" i="26"/>
  <c r="K57" i="26"/>
  <c r="AF58" i="26"/>
  <c r="BJ47" i="26"/>
  <c r="BH59" i="26"/>
  <c r="AQ50" i="26"/>
  <c r="AW47" i="26"/>
  <c r="AJ58" i="26"/>
  <c r="K55" i="26"/>
  <c r="BO58" i="26"/>
  <c r="AO57" i="26"/>
  <c r="BD50" i="26"/>
  <c r="AE58" i="26"/>
  <c r="BW49" i="26"/>
  <c r="AP57" i="26"/>
  <c r="BO46" i="26"/>
  <c r="AB48" i="26"/>
  <c r="AA60" i="26"/>
  <c r="Z54" i="26"/>
  <c r="BW58" i="26"/>
  <c r="N55" i="26"/>
  <c r="T59" i="26"/>
  <c r="AO59" i="26"/>
  <c r="BT55" i="26"/>
  <c r="BO48" i="26"/>
  <c r="BF47" i="26"/>
  <c r="R57" i="26"/>
  <c r="T50" i="26"/>
  <c r="M48" i="26"/>
  <c r="BA48" i="26"/>
  <c r="AY52" i="26"/>
  <c r="BL49" i="26"/>
  <c r="AO53" i="26"/>
  <c r="BK49" i="26"/>
  <c r="BE60" i="26"/>
  <c r="BH56" i="26"/>
  <c r="AK60" i="26"/>
  <c r="AN60" i="26"/>
  <c r="AZ58" i="26"/>
  <c r="BR46" i="26"/>
  <c r="V55" i="26"/>
  <c r="BS54" i="26"/>
  <c r="L57" i="26"/>
  <c r="AY60" i="26"/>
  <c r="BA60" i="26"/>
  <c r="BN58" i="26"/>
  <c r="AH47" i="26"/>
  <c r="P56" i="26"/>
  <c r="BQ55" i="26"/>
  <c r="BA49" i="26"/>
  <c r="AM46" i="26"/>
  <c r="AU54" i="26"/>
  <c r="T51" i="26"/>
  <c r="BA47" i="26"/>
  <c r="H46" i="26"/>
  <c r="J46" i="26"/>
  <c r="U59" i="26"/>
  <c r="AV48" i="26"/>
  <c r="BQ57" i="26"/>
  <c r="AH58" i="26"/>
  <c r="AM56" i="26"/>
  <c r="AO56" i="26"/>
  <c r="X54" i="26"/>
  <c r="AV53" i="26"/>
  <c r="AW56" i="26"/>
  <c r="AA56" i="26"/>
  <c r="AF51" i="26"/>
  <c r="BS53" i="26"/>
  <c r="BV53" i="26"/>
  <c r="AY51" i="26"/>
  <c r="AE47" i="26"/>
  <c r="M51" i="26"/>
  <c r="S59" i="26"/>
  <c r="AH49" i="26"/>
  <c r="R49" i="26"/>
  <c r="AU50" i="26"/>
  <c r="BE57" i="26"/>
  <c r="AI52" i="26"/>
  <c r="E54" i="26"/>
  <c r="AQ54" i="26"/>
  <c r="Z58" i="26"/>
  <c r="BM50" i="26"/>
  <c r="X48" i="26"/>
  <c r="BS57" i="26"/>
  <c r="BI51" i="26"/>
  <c r="G47" i="26"/>
  <c r="BL60" i="26"/>
  <c r="BG60" i="26"/>
  <c r="F52" i="26"/>
  <c r="BB52" i="26"/>
  <c r="AZ47" i="26"/>
  <c r="W58" i="26"/>
  <c r="BR52" i="26"/>
  <c r="BT46" i="26"/>
  <c r="BS51" i="26"/>
  <c r="BX48" i="26"/>
  <c r="U60" i="26"/>
  <c r="K47" i="26"/>
  <c r="BE58" i="26"/>
  <c r="AE52" i="26"/>
  <c r="AZ46" i="26"/>
  <c r="W47" i="26"/>
  <c r="X52" i="26"/>
  <c r="AG51" i="26"/>
  <c r="AV59" i="26"/>
  <c r="E56" i="26"/>
  <c r="AP51" i="26"/>
  <c r="X56" i="26"/>
  <c r="K56" i="26"/>
  <c r="AO46" i="26"/>
  <c r="AM55" i="26"/>
  <c r="BM54" i="26"/>
  <c r="AE54" i="26"/>
  <c r="J59" i="26"/>
  <c r="S48" i="26"/>
  <c r="BD48" i="26"/>
  <c r="BR60" i="26"/>
  <c r="AX53" i="26"/>
  <c r="AI56" i="26"/>
  <c r="AI58" i="26"/>
  <c r="X59" i="26"/>
  <c r="AJ48" i="26"/>
  <c r="Q49" i="26"/>
  <c r="V46" i="26"/>
  <c r="M54" i="26"/>
  <c r="BQ58" i="26"/>
  <c r="BC60" i="26"/>
  <c r="BM46" i="26"/>
  <c r="AC49" i="26"/>
  <c r="BC59" i="26"/>
  <c r="BR51" i="26"/>
  <c r="AX59" i="26"/>
  <c r="BT48" i="26"/>
  <c r="AL55" i="26"/>
  <c r="AZ55" i="26"/>
  <c r="P49" i="26"/>
  <c r="U58" i="26"/>
  <c r="N58" i="26"/>
  <c r="L46" i="26"/>
  <c r="AP58" i="26"/>
  <c r="AN46" i="26"/>
  <c r="Z57" i="26"/>
  <c r="AN49" i="26"/>
  <c r="BI55" i="26"/>
  <c r="AJ46" i="26"/>
  <c r="AN53" i="26"/>
  <c r="BM60" i="26"/>
  <c r="H47" i="26"/>
  <c r="BS59" i="26"/>
  <c r="AX56" i="26"/>
  <c r="N49" i="26"/>
  <c r="AB59" i="26"/>
  <c r="AX60" i="26"/>
  <c r="BP50" i="26"/>
  <c r="AR58" i="26"/>
  <c r="S50" i="26"/>
  <c r="AB58" i="26"/>
  <c r="BX54" i="26"/>
  <c r="BT53" i="26"/>
  <c r="AY53" i="26"/>
  <c r="AW57" i="26"/>
  <c r="S51" i="26"/>
  <c r="BR58" i="26"/>
  <c r="AU52" i="26"/>
  <c r="F48" i="26"/>
  <c r="AX48" i="26"/>
  <c r="D46" i="26"/>
  <c r="P55" i="26"/>
  <c r="BL53" i="26"/>
  <c r="BP56" i="26"/>
  <c r="AI59" i="26"/>
  <c r="BW57" i="26"/>
  <c r="BH50" i="26"/>
  <c r="E48" i="26"/>
  <c r="BU53" i="26"/>
  <c r="V49" i="26"/>
  <c r="BG51" i="26"/>
  <c r="BJ49" i="26"/>
  <c r="BU60" i="26"/>
  <c r="BF49" i="26"/>
  <c r="R48" i="26"/>
  <c r="Q54" i="26"/>
  <c r="AM49" i="26"/>
  <c r="BX51" i="26"/>
  <c r="AH50" i="26"/>
  <c r="AP49" i="26"/>
  <c r="O57" i="26"/>
  <c r="AT52" i="26"/>
  <c r="J55" i="26"/>
  <c r="AF59" i="26"/>
  <c r="AS54" i="26"/>
  <c r="AR48" i="26"/>
  <c r="BA54" i="26"/>
  <c r="BV49" i="26"/>
  <c r="AL52" i="26"/>
  <c r="AM51" i="26"/>
  <c r="AF52" i="26"/>
  <c r="BK59" i="26"/>
  <c r="O49" i="26"/>
  <c r="AW50" i="26"/>
  <c r="BW46" i="26"/>
  <c r="AS55" i="26"/>
  <c r="Y58" i="26"/>
  <c r="H55" i="26"/>
  <c r="BM57" i="26"/>
  <c r="AP46" i="26"/>
  <c r="BK46" i="26"/>
  <c r="AY59" i="26"/>
  <c r="BI49" i="26"/>
  <c r="AL59" i="26"/>
  <c r="BB60" i="26"/>
  <c r="BO55" i="26"/>
  <c r="AT59" i="26"/>
  <c r="AT58" i="26"/>
  <c r="AG56" i="26"/>
  <c r="F53" i="26"/>
  <c r="H54" i="26"/>
  <c r="BK51" i="26"/>
  <c r="AP55" i="26"/>
  <c r="BW47" i="26"/>
  <c r="K48" i="26"/>
  <c r="BH46" i="26"/>
  <c r="AA46" i="26"/>
  <c r="BR47" i="26"/>
  <c r="AJ57" i="26"/>
  <c r="AC46" i="26"/>
  <c r="BT58" i="26"/>
  <c r="R60" i="26"/>
  <c r="X46" i="26"/>
  <c r="AR57" i="26"/>
  <c r="BX53" i="26"/>
  <c r="W59" i="26"/>
  <c r="AR60" i="26"/>
  <c r="N53" i="26"/>
  <c r="D52" i="26"/>
  <c r="AA48" i="26"/>
  <c r="E47" i="26"/>
  <c r="AW54" i="26"/>
  <c r="BO59" i="26"/>
  <c r="AO48" i="26"/>
  <c r="AD59" i="26"/>
  <c r="M49" i="26"/>
  <c r="W55" i="26"/>
  <c r="AE50" i="26"/>
  <c r="BF57" i="26"/>
  <c r="F57" i="26"/>
  <c r="AT50" i="26"/>
  <c r="BL52" i="26"/>
  <c r="L53" i="26"/>
  <c r="X57" i="26"/>
  <c r="BJ50" i="26"/>
  <c r="AB47" i="26"/>
  <c r="BL56" i="26"/>
  <c r="AC54" i="26"/>
  <c r="I47" i="26"/>
  <c r="AF49" i="26"/>
  <c r="BQ60" i="26"/>
  <c r="D56" i="26"/>
  <c r="AD48" i="26"/>
  <c r="E58" i="26"/>
  <c r="BI46" i="26"/>
  <c r="F47" i="26"/>
  <c r="BM59" i="26"/>
  <c r="Y50" i="26"/>
  <c r="S60" i="26"/>
  <c r="AF47" i="26"/>
  <c r="R58" i="26"/>
  <c r="D47" i="26"/>
  <c r="Y47" i="26"/>
  <c r="E60" i="26"/>
  <c r="BU50" i="26"/>
  <c r="BS60" i="26"/>
  <c r="Q50" i="26"/>
  <c r="BQ49" i="26"/>
  <c r="AT57" i="26"/>
  <c r="AE57" i="26"/>
  <c r="BB46" i="26"/>
  <c r="R52" i="26"/>
  <c r="BI56" i="26"/>
  <c r="AH56" i="26"/>
  <c r="AI54" i="26"/>
  <c r="AL46" i="26"/>
  <c r="BF48" i="26"/>
  <c r="Y52" i="26"/>
  <c r="BH54" i="26"/>
  <c r="BI54" i="26"/>
  <c r="AA49" i="26"/>
  <c r="P51" i="26"/>
  <c r="R46" i="26"/>
  <c r="I54" i="26"/>
  <c r="BV47" i="26"/>
  <c r="AY55" i="26"/>
  <c r="AT54" i="26"/>
  <c r="AD47" i="26"/>
  <c r="AC47" i="26"/>
  <c r="L50" i="26"/>
  <c r="BF50" i="26"/>
  <c r="BP49" i="26"/>
  <c r="AB57" i="26"/>
  <c r="L49" i="26"/>
  <c r="BK52" i="26"/>
  <c r="X47" i="26"/>
  <c r="BO54" i="26"/>
  <c r="T60" i="26"/>
  <c r="V53" i="26"/>
  <c r="J60" i="26"/>
  <c r="BR50" i="26"/>
  <c r="W56" i="26"/>
  <c r="BC55" i="26"/>
  <c r="AN58" i="26"/>
  <c r="H53" i="26"/>
  <c r="AZ53" i="26"/>
  <c r="R50" i="26"/>
  <c r="BL46" i="26"/>
  <c r="AP53" i="26"/>
  <c r="T49" i="26"/>
  <c r="W52" i="26"/>
  <c r="BI48" i="26"/>
  <c r="BI60" i="26"/>
  <c r="W51" i="26"/>
  <c r="N60" i="26"/>
  <c r="BK55" i="26"/>
  <c r="BN46" i="26"/>
  <c r="P52" i="26"/>
  <c r="BE54" i="26"/>
  <c r="AF50" i="26"/>
  <c r="BI50" i="26"/>
  <c r="D58" i="26"/>
  <c r="N52" i="26"/>
  <c r="BO47" i="26"/>
  <c r="AV58" i="26"/>
  <c r="S57" i="26"/>
  <c r="AO54" i="26"/>
  <c r="BG53" i="26"/>
  <c r="BE50" i="26"/>
  <c r="BB48" i="26"/>
  <c r="BC54" i="26"/>
  <c r="Q53" i="26"/>
  <c r="BR54" i="26"/>
  <c r="J48" i="26"/>
  <c r="AK52" i="26"/>
  <c r="AO60" i="26"/>
  <c r="AS49" i="26"/>
  <c r="AG55" i="26"/>
  <c r="P50" i="26"/>
  <c r="S58" i="26"/>
  <c r="F55" i="26"/>
  <c r="AV57" i="26"/>
  <c r="G46" i="26"/>
  <c r="BP55" i="26"/>
  <c r="H49" i="26"/>
  <c r="AG52" i="26"/>
  <c r="BN60" i="26"/>
  <c r="BF60" i="26"/>
  <c r="AD54" i="26"/>
  <c r="BJ51" i="26"/>
  <c r="Y48" i="26"/>
  <c r="I60" i="26"/>
  <c r="AU48" i="26"/>
  <c r="Y46" i="26"/>
  <c r="AK58" i="26"/>
  <c r="S49" i="26"/>
  <c r="U56" i="26"/>
  <c r="BB55" i="26"/>
  <c r="L60" i="26"/>
  <c r="T57" i="26"/>
  <c r="AX58" i="26"/>
  <c r="BP59" i="26"/>
  <c r="K49" i="26"/>
  <c r="AF55" i="26"/>
  <c r="BA50" i="26"/>
  <c r="R53" i="26"/>
  <c r="BF53" i="26"/>
  <c r="AI55" i="26"/>
  <c r="BK50" i="26"/>
  <c r="X49" i="26"/>
  <c r="AV55" i="26"/>
  <c r="BS50" i="26"/>
  <c r="AI53" i="26"/>
  <c r="S54" i="26"/>
  <c r="AB56" i="26"/>
  <c r="BI57" i="26"/>
  <c r="AK55" i="26"/>
  <c r="E59" i="26"/>
  <c r="BM56" i="26"/>
  <c r="BS49" i="26"/>
  <c r="AM58" i="26"/>
  <c r="AB54" i="26"/>
  <c r="BQ48" i="26"/>
  <c r="AZ56" i="26"/>
  <c r="T47" i="26"/>
  <c r="X51" i="26"/>
  <c r="AZ49" i="26"/>
  <c r="H56" i="26"/>
  <c r="BW53" i="26"/>
  <c r="BD46" i="26"/>
  <c r="AU53" i="26"/>
  <c r="BN48" i="26"/>
  <c r="BJ59" i="26"/>
  <c r="V54" i="26"/>
  <c r="BP60" i="26"/>
  <c r="AT48" i="26"/>
  <c r="G52" i="26"/>
  <c r="AS58" i="26"/>
  <c r="BE56" i="26"/>
  <c r="U46" i="26"/>
  <c r="BR48" i="26"/>
  <c r="D48" i="26"/>
  <c r="K53" i="26"/>
  <c r="AW49" i="26"/>
  <c r="G58" i="26"/>
  <c r="BU47" i="26"/>
  <c r="BR53" i="26"/>
  <c r="AX54" i="26"/>
  <c r="BH51" i="26"/>
  <c r="AO49" i="26"/>
  <c r="BM48" i="26"/>
  <c r="J53" i="26"/>
  <c r="BN49" i="26"/>
  <c r="BW54" i="26"/>
  <c r="BS58" i="26"/>
  <c r="AB52" i="26"/>
  <c r="S47" i="26"/>
  <c r="AC52" i="26"/>
  <c r="BC57" i="26"/>
  <c r="AU60" i="26"/>
  <c r="H58" i="26"/>
  <c r="BV50" i="26"/>
  <c r="BN53" i="26"/>
  <c r="BE47" i="26"/>
  <c r="BE46" i="26"/>
  <c r="BC52" i="26"/>
  <c r="BE51" i="26"/>
  <c r="BT59" i="26"/>
  <c r="E57" i="26"/>
  <c r="BN57" i="26"/>
  <c r="AA58" i="26"/>
  <c r="I51" i="26"/>
  <c r="BD56" i="26"/>
  <c r="BJ55" i="26"/>
  <c r="G57" i="26"/>
  <c r="AX50" i="26"/>
  <c r="AR55" i="26"/>
  <c r="Z52" i="26"/>
  <c r="BM58" i="26"/>
  <c r="BK60" i="26"/>
  <c r="AF57" i="26"/>
  <c r="BT57" i="26"/>
  <c r="W57" i="26"/>
  <c r="BE55" i="26"/>
  <c r="BH52" i="26"/>
  <c r="F59" i="26"/>
  <c r="BX60" i="26"/>
  <c r="T58" i="26"/>
  <c r="BD58" i="26"/>
  <c r="M50" i="26"/>
  <c r="BW50" i="26"/>
  <c r="AQ55" i="26"/>
  <c r="BN47" i="26"/>
  <c r="Z47" i="26"/>
  <c r="AK46" i="26"/>
  <c r="AR50" i="26"/>
  <c r="BU59" i="26"/>
  <c r="BM55" i="26"/>
  <c r="R51" i="26"/>
  <c r="N48" i="26"/>
  <c r="BN52" i="26"/>
  <c r="AQ52" i="26"/>
  <c r="H50" i="26"/>
  <c r="AC57" i="26"/>
  <c r="BS52" i="26"/>
  <c r="AG54" i="26"/>
  <c r="AT56" i="26"/>
  <c r="BB58" i="26"/>
  <c r="BE49" i="26"/>
  <c r="BU54" i="26"/>
  <c r="BV51" i="26"/>
  <c r="AY46" i="26"/>
  <c r="AN54" i="26"/>
  <c r="D57" i="26"/>
  <c r="BD55" i="26"/>
  <c r="AV54" i="26"/>
  <c r="N47" i="26"/>
  <c r="BL54" i="26"/>
  <c r="AH57" i="26"/>
  <c r="AI49" i="26"/>
  <c r="BN55" i="26"/>
  <c r="BX49" i="26"/>
  <c r="BK57" i="26"/>
  <c r="J52" i="26"/>
  <c r="AI47" i="26"/>
  <c r="AR46" i="26"/>
  <c r="BJ60" i="26"/>
  <c r="L59" i="26"/>
  <c r="BN54" i="26"/>
  <c r="P47" i="26"/>
  <c r="BP54" i="26"/>
  <c r="G50" i="26"/>
  <c r="AL56" i="26"/>
  <c r="BD49" i="26"/>
  <c r="L58" i="26"/>
  <c r="BA52" i="26"/>
  <c r="AN59" i="26"/>
  <c r="BH58" i="26"/>
  <c r="AL58" i="26"/>
  <c r="N56" i="26"/>
  <c r="I46" i="26"/>
  <c r="AX46" i="26"/>
  <c r="AB55" i="26"/>
  <c r="BI59" i="26"/>
  <c r="AE51" i="26"/>
  <c r="U48" i="26"/>
  <c r="H52" i="26"/>
  <c r="AM52" i="26"/>
  <c r="AB60" i="26"/>
  <c r="BG56" i="26"/>
  <c r="BW55" i="26"/>
  <c r="AZ60" i="26"/>
  <c r="U55" i="26"/>
  <c r="AR56" i="26"/>
  <c r="N59" i="26"/>
  <c r="AD52" i="26"/>
  <c r="U47" i="26"/>
  <c r="BG47" i="26"/>
  <c r="BO53" i="26"/>
  <c r="AZ59" i="26"/>
  <c r="BV56" i="26"/>
  <c r="N51" i="26"/>
  <c r="BV60" i="26"/>
  <c r="L54" i="26"/>
  <c r="V60" i="26"/>
  <c r="Y57" i="26"/>
  <c r="BM52" i="26"/>
  <c r="V48" i="26"/>
  <c r="AL60" i="26"/>
  <c r="AW53" i="26"/>
  <c r="P59" i="26"/>
  <c r="BP48" i="26"/>
  <c r="BJ54" i="26"/>
  <c r="AD46" i="26"/>
  <c r="BS56" i="26"/>
  <c r="AD56" i="26"/>
  <c r="AX47" i="26"/>
  <c r="BR49" i="26"/>
  <c r="T52" i="26"/>
  <c r="AT60" i="26"/>
  <c r="BC47" i="26"/>
  <c r="J47" i="26"/>
  <c r="AF56" i="26"/>
  <c r="AF53" i="26"/>
  <c r="R55" i="26"/>
  <c r="AS46" i="26"/>
  <c r="AJ60" i="26"/>
  <c r="BA58" i="26"/>
  <c r="BG54" i="26"/>
  <c r="O59" i="26"/>
  <c r="M56" i="26"/>
  <c r="Y59" i="26"/>
  <c r="BX55" i="26"/>
  <c r="BD53" i="26"/>
  <c r="AC59" i="26"/>
  <c r="AE59" i="26"/>
  <c r="AI57" i="26"/>
  <c r="BA59" i="26"/>
  <c r="BI47" i="26"/>
  <c r="AA47" i="26"/>
  <c r="G56" i="26"/>
  <c r="AQ59" i="26"/>
  <c r="AS59" i="26"/>
  <c r="BA57" i="26"/>
  <c r="G60" i="26"/>
  <c r="F49" i="26"/>
  <c r="AR52" i="26"/>
  <c r="BP57" i="26"/>
  <c r="AZ54" i="26"/>
  <c r="AY47" i="26"/>
  <c r="O55" i="26"/>
  <c r="AC53" i="26"/>
  <c r="S53" i="26"/>
  <c r="O53" i="26"/>
  <c r="L52" i="26"/>
  <c r="Q51" i="26"/>
  <c r="AD58" i="26"/>
  <c r="AA59" i="26"/>
  <c r="BC49" i="26"/>
  <c r="AB49" i="26"/>
  <c r="Y56" i="26"/>
  <c r="BX56" i="26"/>
  <c r="BV58" i="26"/>
  <c r="BD52" i="26"/>
  <c r="R59" i="26"/>
  <c r="T48" i="26"/>
  <c r="J54" i="26"/>
  <c r="J57" i="26"/>
  <c r="BX57" i="26"/>
  <c r="BP51" i="26"/>
  <c r="L48" i="26"/>
  <c r="W50" i="26"/>
  <c r="AI51" i="26"/>
  <c r="AJ54" i="26"/>
  <c r="V56" i="26"/>
  <c r="S52" i="26"/>
  <c r="BA56" i="26"/>
  <c r="AG60" i="26"/>
  <c r="BB53" i="26"/>
  <c r="AQ46" i="26"/>
  <c r="K59" i="26"/>
  <c r="G49" i="26"/>
  <c r="G51" i="26"/>
  <c r="BW56" i="26"/>
  <c r="D60" i="26"/>
  <c r="BL58" i="26"/>
  <c r="Z51" i="26"/>
  <c r="AW58" i="26"/>
  <c r="AJ55" i="26"/>
  <c r="BW48" i="26"/>
  <c r="BJ58" i="26"/>
  <c r="BT49" i="26"/>
  <c r="E52" i="26"/>
  <c r="O58" i="26"/>
  <c r="O46" i="26"/>
  <c r="K51" i="26"/>
  <c r="AV47" i="26"/>
  <c r="V47" i="26"/>
  <c r="Y60" i="26"/>
  <c r="BF54" i="26"/>
  <c r="AG59" i="26"/>
  <c r="F58" i="26"/>
  <c r="AT53" i="26"/>
  <c r="P57" i="26"/>
  <c r="BF58" i="26"/>
  <c r="BR57" i="26"/>
  <c r="AV56" i="26"/>
  <c r="I52" i="26"/>
  <c r="AD55" i="26"/>
  <c r="E53" i="26"/>
  <c r="AK49" i="26"/>
  <c r="AK59" i="26"/>
  <c r="AQ51" i="26"/>
  <c r="AA54" i="26"/>
  <c r="AS47" i="26"/>
  <c r="AY56" i="26"/>
  <c r="N50" i="26"/>
  <c r="S55" i="26"/>
  <c r="H48" i="26"/>
  <c r="Q47" i="26"/>
  <c r="O50" i="26"/>
  <c r="Q56" i="26"/>
  <c r="BQ54" i="26"/>
  <c r="BP58" i="26"/>
  <c r="Z48" i="26"/>
  <c r="Q59" i="26"/>
  <c r="BD54" i="26"/>
  <c r="AS51" i="26"/>
  <c r="P46" i="26"/>
  <c r="AA53" i="26"/>
  <c r="V59" i="26"/>
  <c r="K52" i="26"/>
  <c r="AH59" i="26"/>
  <c r="BG57" i="26"/>
  <c r="BD51" i="26"/>
  <c r="AA52" i="26"/>
  <c r="O56" i="26"/>
  <c r="AT47" i="26"/>
  <c r="AW46" i="26"/>
  <c r="AE49" i="26"/>
  <c r="BM51" i="26"/>
  <c r="AE48" i="26"/>
  <c r="BI58" i="26"/>
  <c r="Q46" i="26"/>
  <c r="BC56" i="26"/>
  <c r="BQ51" i="26"/>
  <c r="AQ57" i="26"/>
  <c r="BT50" i="26"/>
  <c r="BC50" i="26"/>
  <c r="U50" i="26"/>
  <c r="BO50" i="26"/>
  <c r="D51" i="26"/>
  <c r="H51" i="26"/>
  <c r="Q52" i="26"/>
  <c r="AI48" i="26"/>
  <c r="AR53" i="26"/>
  <c r="AJ56" i="26"/>
  <c r="AO58" i="26"/>
  <c r="AF54" i="26"/>
  <c r="AF46" i="26"/>
  <c r="Z49" i="26"/>
  <c r="BL48" i="26"/>
  <c r="Y51" i="26"/>
  <c r="AH46" i="26"/>
  <c r="AZ48" i="26"/>
  <c r="N57" i="26"/>
  <c r="W49" i="26"/>
  <c r="X53" i="26"/>
  <c r="J49" i="26"/>
  <c r="I49" i="26"/>
  <c r="T56" i="26"/>
  <c r="AE46" i="26"/>
  <c r="BV54" i="26"/>
  <c r="BU51" i="26"/>
  <c r="G59" i="26"/>
  <c r="BG58" i="26"/>
  <c r="BE53" i="26"/>
  <c r="AU46" i="26"/>
  <c r="BH57" i="26"/>
  <c r="O54" i="26"/>
  <c r="BA55" i="26"/>
  <c r="BO49" i="26"/>
  <c r="AQ56" i="26"/>
  <c r="BH48" i="26"/>
  <c r="AN56" i="26"/>
  <c r="AC50" i="26"/>
  <c r="AL50" i="26"/>
  <c r="AD57" i="26"/>
  <c r="K54" i="26"/>
  <c r="L51" i="26"/>
  <c r="BQ56" i="26"/>
  <c r="AB53" i="26"/>
  <c r="L55" i="26"/>
  <c r="D55" i="26"/>
  <c r="AI46" i="26"/>
  <c r="BF55" i="26"/>
  <c r="AR47" i="26"/>
  <c r="BG49" i="26"/>
  <c r="AK47" i="26"/>
  <c r="BA51" i="26"/>
  <c r="BB47" i="26"/>
  <c r="AV51" i="26"/>
  <c r="D54" i="26"/>
  <c r="BL59" i="26"/>
  <c r="BX59" i="26"/>
  <c r="AV50" i="26"/>
  <c r="AQ48" i="26"/>
  <c r="Y53" i="26"/>
  <c r="AO52" i="26"/>
  <c r="AU49" i="26"/>
  <c r="H57" i="26"/>
  <c r="X60" i="26"/>
  <c r="U49" i="26"/>
  <c r="BP47" i="26"/>
  <c r="V57" i="26"/>
  <c r="AQ49" i="26"/>
  <c r="AQ60" i="26"/>
  <c r="AH55" i="26"/>
  <c r="AV52" i="26"/>
  <c r="AP54" i="26"/>
  <c r="BN56" i="26"/>
  <c r="AK48" i="26"/>
  <c r="AF48" i="26"/>
  <c r="BC48" i="26"/>
  <c r="BN59" i="26"/>
  <c r="AG47" i="26"/>
  <c r="F46" i="26"/>
  <c r="AG58" i="26"/>
  <c r="BJ52" i="26"/>
  <c r="BH55" i="26"/>
  <c r="AQ53" i="26"/>
  <c r="AB46" i="26"/>
  <c r="AQ58" i="26"/>
  <c r="S56" i="26"/>
  <c r="AT51" i="26"/>
  <c r="H60" i="26"/>
  <c r="BO51" i="26"/>
  <c r="BM47" i="26"/>
  <c r="BR55" i="26"/>
  <c r="U54" i="26"/>
  <c r="AW52" i="26"/>
  <c r="BK56" i="26"/>
  <c r="BM49" i="26"/>
  <c r="I50" i="26"/>
  <c r="R54" i="26"/>
  <c r="AL57" i="26"/>
  <c r="AS48" i="26"/>
  <c r="V52" i="26"/>
  <c r="AN47" i="26"/>
  <c r="BU49" i="26"/>
  <c r="K60" i="26"/>
  <c r="AU59" i="26"/>
  <c r="AP47" i="26"/>
  <c r="AG48" i="26"/>
  <c r="BH49" i="26"/>
  <c r="AW55" i="26"/>
  <c r="G54" i="26"/>
  <c r="AN55" i="26"/>
  <c r="AU56" i="26"/>
  <c r="BO52" i="26"/>
  <c r="I55" i="26"/>
  <c r="BN50" i="26"/>
  <c r="AO50" i="26"/>
  <c r="BB56" i="26"/>
  <c r="K46" i="26"/>
  <c r="AC56" i="26"/>
  <c r="P60" i="26"/>
  <c r="M46" i="26"/>
  <c r="O60" i="26"/>
  <c r="AS60" i="26"/>
  <c r="N46" i="26"/>
  <c r="BV52" i="26"/>
  <c r="M52" i="26"/>
  <c r="D59" i="26"/>
  <c r="Z53" i="26"/>
  <c r="BU55" i="26"/>
  <c r="BX58" i="26"/>
  <c r="X55" i="26"/>
  <c r="D49" i="26"/>
  <c r="BF52" i="26"/>
  <c r="BS55" i="26"/>
  <c r="AY49" i="26"/>
  <c r="AJ47" i="26"/>
  <c r="BK54" i="26"/>
  <c r="AE56" i="26"/>
  <c r="V50" i="26"/>
  <c r="J50" i="26"/>
  <c r="I48" i="26"/>
  <c r="AH60" i="26"/>
  <c r="Q57" i="26"/>
  <c r="AN57" i="26"/>
  <c r="AS50" i="26"/>
  <c r="AH48" i="26"/>
  <c r="AC48" i="26"/>
  <c r="BL55" i="26"/>
  <c r="L56" i="26"/>
  <c r="AH51" i="26"/>
  <c r="F56" i="26"/>
  <c r="BF51" i="26"/>
  <c r="AJ52" i="26"/>
  <c r="P54" i="26"/>
  <c r="Z46" i="26"/>
  <c r="AC60" i="26"/>
  <c r="BL57" i="26"/>
  <c r="AM53" i="26"/>
  <c r="F54" i="26"/>
  <c r="AJ59" i="26"/>
  <c r="R47" i="26"/>
  <c r="AA51" i="26"/>
  <c r="BQ53" i="26"/>
  <c r="J58" i="26"/>
  <c r="K50" i="26"/>
  <c r="AE60" i="26"/>
  <c r="BX46" i="26"/>
  <c r="T55" i="26"/>
  <c r="BJ48" i="26"/>
  <c r="AZ57" i="26"/>
  <c r="BW59" i="26"/>
  <c r="BI52" i="26"/>
  <c r="BT51" i="26"/>
  <c r="Z60" i="26"/>
  <c r="BK53" i="26"/>
  <c r="AM57" i="26"/>
  <c r="BB49" i="26"/>
  <c r="AU55" i="26"/>
  <c r="BG48" i="26"/>
  <c r="Q60" i="26"/>
  <c r="AH54" i="26"/>
  <c r="AV60" i="26"/>
  <c r="AV49" i="26"/>
  <c r="AT46" i="26"/>
  <c r="AI60" i="26"/>
  <c r="BG46" i="26"/>
  <c r="BU46" i="26"/>
  <c r="BL51" i="26"/>
  <c r="AC58" i="26"/>
  <c r="E49" i="26"/>
  <c r="AX49" i="26"/>
  <c r="BT60" i="26"/>
  <c r="AR51" i="26"/>
  <c r="AL49" i="26"/>
  <c r="BA46" i="26"/>
  <c r="AX51" i="26"/>
  <c r="AL48" i="26"/>
  <c r="AN48" i="26"/>
  <c r="AN52" i="26"/>
  <c r="AY50" i="26"/>
  <c r="K58" i="26"/>
  <c r="BF59" i="26"/>
  <c r="F50" i="26"/>
  <c r="Q58" i="26"/>
  <c r="AJ51" i="26"/>
  <c r="BB51" i="26"/>
  <c r="AA50" i="26"/>
  <c r="AM60" i="26"/>
  <c r="J51" i="26"/>
  <c r="W46" i="26"/>
  <c r="AP60" i="26"/>
  <c r="AZ52" i="26"/>
  <c r="BQ47" i="26"/>
  <c r="BO56" i="26"/>
  <c r="BL47" i="26"/>
  <c r="BP53" i="26"/>
  <c r="F51" i="26"/>
  <c r="Q48" i="26"/>
  <c r="Z59" i="26"/>
  <c r="AR59" i="26"/>
  <c r="BQ52" i="26"/>
  <c r="AU58" i="26"/>
  <c r="M47" i="26"/>
  <c r="V51" i="26"/>
  <c r="AG53" i="26"/>
  <c r="BU48" i="26"/>
  <c r="BU56" i="26"/>
  <c r="BV57" i="26"/>
  <c r="BI53" i="26"/>
  <c r="BE48" i="26"/>
  <c r="G53" i="26"/>
  <c r="BJ57" i="26"/>
  <c r="U51" i="26"/>
  <c r="Q55" i="26"/>
  <c r="AR54" i="26"/>
  <c r="BS46" i="26"/>
  <c r="U53" i="26"/>
  <c r="T53" i="26"/>
  <c r="BD57" i="26"/>
  <c r="AS53" i="26"/>
  <c r="AH52" i="26"/>
  <c r="AN51" i="26"/>
  <c r="AD51" i="26"/>
  <c r="BK58" i="26"/>
  <c r="T54" i="26"/>
  <c r="U57" i="26"/>
  <c r="AE53" i="26"/>
  <c r="BF56" i="26"/>
  <c r="AY48" i="26"/>
  <c r="AG57" i="26"/>
  <c r="AG46" i="26"/>
  <c r="AO51" i="26"/>
  <c r="AC55" i="26"/>
  <c r="G48" i="26"/>
  <c r="AK57" i="26"/>
  <c r="AB51" i="26"/>
  <c r="P58" i="26"/>
  <c r="AS56" i="26"/>
  <c r="BB57" i="26"/>
  <c r="G55" i="26"/>
  <c r="BK47" i="26"/>
  <c r="H16" i="3" l="1"/>
  <c r="H44" i="3" a="1"/>
  <c r="H47" i="3" l="1"/>
  <c r="H49" i="3"/>
  <c r="H48" i="3"/>
  <c r="H50" i="3"/>
  <c r="H51" i="3"/>
  <c r="H54" i="3"/>
  <c r="H44" i="3"/>
  <c r="H45" i="3"/>
  <c r="H46" i="3"/>
  <c r="H52" i="3"/>
  <c r="H53" i="3"/>
  <c r="H55" i="3"/>
  <c r="G59" i="3" l="1"/>
  <c r="G60" i="3"/>
  <c r="I59" i="3" a="1"/>
  <c r="I60" i="3" a="1"/>
  <c r="I59" i="3" l="1"/>
  <c r="I60" i="3"/>
  <c r="C25" i="3" a="1"/>
  <c r="C25" i="3" l="1"/>
  <c r="H12" i="3" s="1"/>
  <c r="C6" i="3" a="1"/>
  <c r="C6" i="3" l="1"/>
  <c r="C36" i="8" s="1"/>
  <c r="I41" i="28" a="1"/>
  <c r="H41" i="28" a="1"/>
  <c r="B10" i="8" a="1"/>
  <c r="B10" i="8" l="1"/>
  <c r="I45" i="28"/>
  <c r="I48" i="28"/>
  <c r="I43" i="28"/>
  <c r="I46" i="28"/>
  <c r="I47" i="28"/>
  <c r="I41" i="28"/>
  <c r="I42" i="28"/>
  <c r="I44" i="28"/>
  <c r="H41" i="28"/>
  <c r="H47" i="28"/>
  <c r="H48" i="28"/>
  <c r="H43" i="28"/>
  <c r="H44" i="28"/>
  <c r="H42" i="28"/>
  <c r="H45" i="28"/>
  <c r="H46" i="28"/>
  <c r="G52" i="28" l="1"/>
  <c r="G56" i="28"/>
  <c r="G57" i="28"/>
  <c r="G54" i="28"/>
  <c r="G55" i="28"/>
  <c r="G53" i="28" a="1"/>
  <c r="G53" i="28" s="1"/>
  <c r="I55" i="28" a="1"/>
  <c r="I56" i="28" a="1"/>
  <c r="I52" i="28" a="1"/>
  <c r="I53" i="28" a="1"/>
  <c r="I57" i="28" a="1"/>
  <c r="I54" i="28" a="1"/>
  <c r="I56" i="28" l="1"/>
  <c r="I52" i="28"/>
  <c r="I53" i="28"/>
  <c r="I55" i="28"/>
  <c r="I57" i="28"/>
  <c r="I54" i="28"/>
  <c r="C19" i="28" a="1"/>
  <c r="C19" i="28" l="1"/>
  <c r="D10" i="28" s="1"/>
  <c r="C6" i="28" a="1"/>
  <c r="C6" i="28" l="1"/>
  <c r="AH44" i="3" a="1"/>
  <c r="AI44" i="3" a="1"/>
  <c r="AH50" i="3"/>
  <c r="AI45" i="3"/>
  <c r="AI46" i="3"/>
  <c r="AI47" i="3"/>
  <c r="AI48" i="3"/>
  <c r="AH51" i="3"/>
  <c r="AI49" i="3"/>
  <c r="AH44" i="3"/>
  <c r="AI50" i="3"/>
  <c r="AH45" i="3"/>
  <c r="AH46" i="3"/>
  <c r="AI44" i="3"/>
  <c r="AH48" i="3"/>
  <c r="AI51" i="3"/>
  <c r="AH47" i="3"/>
  <c r="AH4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8EFD3B-9A7F-4594-A0B5-701C21DB31CB}" keepAlive="1" name="Query - Page065" description="Connection to the 'Page065' query in the workbook." type="5" refreshedVersion="7" background="1" saveData="1">
    <dbPr connection="Provider=Microsoft.Mashup.OleDb.1;Data Source=$Workbook$;Location=Page065;Extended Properties=&quot;&quot;" command="SELECT * FROM [Page065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<sst xmlns="http://schemas.openxmlformats.org/spreadsheetml/2006/main" count="5842" uniqueCount="888">
  <si>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</si>
  <si>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</si>
  <si>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</si>
  <si>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</si>
  <si>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</si>
  <si>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</si>
  <si>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</si>
  <si>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</si>
  <si>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</si>
  <si>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</si>
  <si>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</si>
  <si>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</si>
  <si>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</si>
  <si>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</si>
  <si>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</si>
  <si>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</si>
  <si>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</si>
  <si>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</si>
  <si>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</si>
  <si>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</si>
  <si>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</si>
  <si>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</si>
  <si>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</si>
  <si>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</si>
  <si>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</si>
  <si>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</si>
  <si>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</si>
  <si>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</si>
  <si>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</si>
  <si>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</si>
  <si>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</si>
  <si>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</si>
  <si>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</si>
  <si>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</si>
  <si>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</si>
  <si>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</si>
  <si>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</si>
  <si>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</si>
  <si>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</si>
  <si>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</si>
  <si>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</si>
  <si>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</si>
  <si>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</si>
  <si>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</si>
  <si>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</si>
  <si>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</si>
  <si>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</si>
  <si>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</si>
  <si>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</si>
  <si>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</si>
  <si>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</si>
  <si>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</si>
  <si>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</si>
  <si>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</si>
  <si>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</si>
  <si>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</si>
  <si>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</si>
  <si>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</si>
  <si>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</si>
  <si>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</si>
  <si>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</si>
  <si>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</si>
  <si>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</si>
  <si>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</si>
  <si>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</si>
  <si>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</si>
  <si>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</si>
  <si>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</si>
  <si>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</si>
  <si>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</si>
  <si>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</si>
  <si>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</si>
  <si>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</si>
  <si>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</si>
  <si>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</si>
  <si>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</si>
  <si>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</si>
  <si>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</si>
  <si>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</si>
  <si>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</si>
  <si>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</si>
  <si>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</si>
  <si>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</si>
  <si>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</si>
  <si>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</si>
  <si>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</si>
  <si>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</si>
  <si>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</si>
  <si>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</si>
  <si>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</si>
  <si>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</si>
  <si>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</si>
  <si>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</si>
  <si>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</si>
  <si>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</si>
  <si>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</si>
  <si>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</si>
  <si>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</si>
  <si>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</si>
  <si>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</si>
  <si>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</si>
  <si>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</si>
  <si>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</si>
  <si>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</si>
  <si>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</si>
  <si>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</si>
  <si>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</si>
  <si>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</si>
  <si>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</si>
  <si>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</si>
  <si>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</si>
  <si>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</si>
  <si>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</si>
  <si>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</si>
  <si>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</si>
  <si>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</si>
  <si>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</si>
  <si>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</si>
  <si>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</si>
  <si>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</si>
  <si>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</si>
  <si>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</si>
  <si>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</si>
  <si>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</si>
  <si>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</si>
  <si>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</si>
  <si>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</si>
  <si>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</si>
  <si>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</si>
  <si>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</si>
  <si>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</si>
  <si>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</si>
  <si>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</si>
  <si>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</si>
  <si>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</si>
  <si>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</si>
  <si>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</si>
  <si>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</si>
  <si>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</si>
  <si>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</si>
  <si>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</si>
  <si>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</si>
  <si>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</si>
  <si>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</si>
  <si>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</si>
  <si>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</si>
  <si>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</si>
  <si>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</si>
  <si>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</si>
  <si>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</si>
  <si>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</si>
  <si>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</si>
  <si>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</si>
  <si>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</si>
  <si>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</si>
  <si>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</si>
  <si>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</si>
  <si>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</si>
  <si>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</si>
  <si>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</si>
  <si>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</si>
  <si>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</si>
  <si>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</si>
  <si>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</si>
  <si>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</si>
  <si>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</si>
  <si>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</si>
  <si>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</si>
  <si>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</si>
  <si>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</si>
  <si>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</si>
  <si>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</si>
  <si>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</si>
  <si>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</si>
  <si>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</si>
  <si>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</si>
  <si>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</si>
  <si>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</si>
  <si>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</si>
  <si>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</si>
  <si>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</si>
  <si>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</si>
  <si>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</si>
  <si>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</si>
  <si>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</si>
  <si>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</si>
  <si>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</si>
  <si>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</si>
  <si>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</si>
  <si>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USD OIS Testing</t>
  </si>
  <si>
    <t>Flat Curve, 3m JIBAR</t>
  </si>
  <si>
    <t>FraTenors</t>
  </si>
  <si>
    <t>3x6</t>
  </si>
  <si>
    <t>6x9</t>
  </si>
  <si>
    <t>9x12</t>
  </si>
  <si>
    <t>Payer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</si>
  <si>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</si>
  <si>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</si>
  <si>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</si>
  <si>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</si>
  <si>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</si>
  <si>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</si>
  <si>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</si>
  <si>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</si>
  <si>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</si>
  <si>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</si>
  <si>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</si>
  <si>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</si>
  <si>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</si>
  <si>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</si>
  <si>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</si>
  <si>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</si>
  <si>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</si>
  <si>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</si>
  <si>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</si>
  <si>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</si>
  <si>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</si>
  <si>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</si>
  <si>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</si>
  <si>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</si>
  <si>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</si>
  <si>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</si>
  <si>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</si>
  <si>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</si>
  <si>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</si>
  <si>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</si>
  <si>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</si>
  <si>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</si>
  <si>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</si>
  <si>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</si>
  <si>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</si>
  <si>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</si>
  <si>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</si>
  <si>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</si>
  <si>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</si>
  <si>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</si>
  <si>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</si>
  <si>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</si>
  <si>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</si>
  <si>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</si>
  <si>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</si>
  <si>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</si>
  <si>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</si>
  <si>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</si>
  <si>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</si>
  <si>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</si>
  <si>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</si>
  <si>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</si>
  <si>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</si>
  <si>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</si>
  <si>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</si>
  <si>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</si>
  <si>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</si>
  <si>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</si>
  <si>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</si>
  <si>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</si>
  <si>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</si>
  <si>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</si>
  <si>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</si>
  <si>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</si>
  <si>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</si>
  <si>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</si>
  <si>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</si>
  <si>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</si>
  <si>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</si>
  <si>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</si>
  <si>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</si>
  <si>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</si>
  <si>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</si>
  <si>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</si>
  <si>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</si>
  <si>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</si>
  <si>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</si>
  <si>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</si>
  <si>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</si>
  <si>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</si>
  <si>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</si>
  <si>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</si>
  <si>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</si>
  <si>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</si>
  <si>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</si>
  <si>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</si>
  <si>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</si>
  <si>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</si>
  <si>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</si>
  <si>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</si>
  <si>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</si>
  <si>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</si>
  <si>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</si>
  <si>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</si>
  <si>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</si>
  <si>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</si>
  <si>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</si>
  <si>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</si>
  <si>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</si>
  <si>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</si>
  <si>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</si>
  <si>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</si>
  <si>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</si>
  <si>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</si>
  <si>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</si>
  <si>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</si>
  <si>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</si>
  <si>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</si>
  <si>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</si>
  <si>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</si>
  <si>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</si>
  <si>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</si>
  <si>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</si>
  <si>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</si>
  <si>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</si>
  <si>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</si>
  <si>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</si>
  <si>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</si>
  <si>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</si>
  <si>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</si>
  <si>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</si>
  <si>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</si>
  <si>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</si>
  <si>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</si>
  <si>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</si>
  <si>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</si>
  <si>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</si>
  <si>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</si>
  <si>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</si>
  <si>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</si>
  <si>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</si>
  <si>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</si>
  <si>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</si>
  <si>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</si>
  <si>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</si>
  <si>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</si>
  <si>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</si>
  <si>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</si>
  <si>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</si>
  <si>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</si>
  <si>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</si>
  <si>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</si>
  <si>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</si>
  <si>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</si>
  <si>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</si>
  <si>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</si>
  <si>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</si>
  <si>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</si>
  <si>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</si>
  <si>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</si>
  <si>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</si>
  <si>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</si>
  <si>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</si>
  <si>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</si>
  <si>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</si>
  <si>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</si>
  <si>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</si>
  <si>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</si>
  <si>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</si>
  <si>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</si>
  <si>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</si>
  <si>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</si>
  <si>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</si>
  <si>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</si>
  <si>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</si>
  <si>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</si>
  <si>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</si>
  <si>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</si>
  <si>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</si>
  <si>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</si>
  <si>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</si>
  <si>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</si>
  <si>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</si>
  <si>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</si>
  <si>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</si>
  <si>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</si>
  <si>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</si>
  <si>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</si>
  <si>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</si>
  <si>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</si>
  <si>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</si>
  <si>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</si>
  <si>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</si>
  <si>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</si>
  <si>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</si>
  <si>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</si>
  <si>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</si>
  <si>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</si>
  <si>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</si>
  <si>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</si>
  <si>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</si>
  <si>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</si>
  <si>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</si>
  <si>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</si>
  <si>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</si>
  <si>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</si>
  <si>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</si>
  <si>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</si>
  <si>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</si>
  <si>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</si>
  <si>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</si>
  <si>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</si>
  <si>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</si>
  <si>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</si>
  <si>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</si>
  <si>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</si>
  <si>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</si>
  <si>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</si>
  <si>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</si>
  <si>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</si>
  <si>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</si>
  <si>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</si>
  <si>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</si>
  <si>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</si>
  <si>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</si>
  <si>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</si>
  <si>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</si>
  <si>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</si>
  <si>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</si>
  <si>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</si>
  <si>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</si>
  <si>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</si>
  <si>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</si>
  <si>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</si>
  <si>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</si>
  <si>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</si>
  <si>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</si>
  <si>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</si>
  <si>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</si>
  <si>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</si>
  <si>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</si>
  <si>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</si>
  <si>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</si>
  <si>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</si>
  <si>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</si>
  <si>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</si>
  <si>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d.Curve_GetZeroRates</t>
  </si>
  <si>
    <t>Rate Tenor</t>
  </si>
  <si>
    <t>Reset All Tests in Sheet</t>
  </si>
  <si>
    <t>Run All Tests in Sheet</t>
  </si>
  <si>
    <t>d.Dates_GetWeekday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</si>
  <si>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</si>
  <si>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</si>
  <si>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</si>
  <si>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</si>
  <si>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</si>
  <si>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</si>
  <si>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</si>
  <si>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</si>
  <si>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</si>
  <si>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</si>
  <si>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</si>
  <si>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</si>
  <si>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</si>
  <si>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</si>
  <si>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</si>
  <si>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</si>
  <si>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</si>
  <si>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</si>
  <si>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</si>
  <si>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</si>
  <si>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</si>
  <si>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</si>
  <si>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</si>
  <si>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</si>
  <si>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</si>
  <si>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</si>
  <si>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</si>
  <si>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</si>
  <si>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</si>
  <si>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</si>
  <si>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</si>
  <si>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</si>
  <si>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</si>
  <si>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</si>
  <si>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</si>
  <si>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</si>
  <si>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</si>
  <si>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</si>
  <si>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</si>
  <si>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</si>
  <si>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</si>
  <si>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</si>
  <si>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</si>
  <si>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</si>
  <si>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</si>
  <si>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</si>
  <si>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</si>
  <si>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</si>
  <si>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</si>
  <si>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</si>
  <si>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</si>
  <si>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</si>
  <si>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</si>
  <si>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</si>
  <si>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</si>
  <si>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</si>
  <si>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</si>
  <si>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</si>
  <si>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</si>
  <si>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</si>
  <si>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</si>
  <si>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</si>
  <si>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</si>
  <si>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</si>
  <si>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</si>
  <si>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</si>
  <si>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</si>
  <si>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</si>
  <si>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</si>
  <si>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</si>
  <si>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</si>
  <si>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</si>
  <si>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</si>
  <si>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</si>
  <si>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</si>
  <si>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</si>
  <si>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</si>
  <si>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</si>
  <si>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</si>
  <si>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</si>
  <si>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</si>
  <si>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</si>
  <si>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</si>
  <si>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</si>
  <si>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</si>
  <si>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</si>
  <si>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</si>
  <si>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</si>
  <si>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</si>
  <si>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</si>
  <si>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</si>
  <si>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</si>
  <si>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</si>
  <si>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</si>
  <si>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</si>
  <si>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</si>
  <si>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</si>
  <si>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</si>
  <si>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</si>
  <si>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</si>
  <si>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</si>
  <si>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</si>
  <si>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</si>
  <si>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</si>
  <si>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</si>
  <si>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</si>
  <si>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</si>
  <si>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</si>
  <si>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</si>
  <si>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</si>
  <si>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</si>
  <si>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</si>
  <si>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</si>
  <si>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</si>
  <si>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</si>
  <si>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</si>
  <si>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</si>
  <si>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</si>
  <si>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</si>
  <si>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</si>
  <si>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</si>
  <si>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</si>
  <si>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</si>
  <si>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</si>
  <si>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</si>
  <si>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</si>
  <si>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</si>
  <si>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</si>
  <si>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</si>
  <si>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</si>
  <si>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</si>
  <si>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</si>
  <si>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</si>
  <si>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</si>
  <si>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</si>
  <si>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</si>
  <si>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</si>
  <si>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</si>
  <si>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</si>
  <si>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</si>
  <si>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</si>
  <si>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</si>
  <si>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</si>
  <si>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</si>
  <si>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</si>
  <si>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</si>
  <si>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</si>
  <si>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</si>
  <si>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</si>
  <si>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</si>
  <si>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</si>
  <si>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</si>
  <si>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</si>
  <si>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</si>
  <si>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</si>
  <si>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</si>
  <si>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</si>
  <si>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</si>
  <si>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</si>
  <si>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</si>
  <si>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</si>
  <si>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</si>
  <si>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</si>
  <si>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</si>
  <si>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</si>
  <si>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</si>
  <si>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</si>
  <si>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</si>
  <si>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</si>
  <si>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</si>
  <si>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</si>
  <si>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</si>
  <si>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</si>
  <si>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</si>
  <si>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</si>
  <si>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</si>
  <si>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</si>
  <si>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</si>
  <si>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</si>
  <si>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</si>
  <si>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9y</t>
  </si>
  <si>
    <t>40y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</si>
  <si>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</si>
  <si>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</si>
  <si>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</si>
  <si>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t>d.Curve_Get</t>
  </si>
  <si>
    <t>ZAR-SWAP</t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</si>
  <si>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</si>
  <si>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</si>
  <si>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</si>
  <si>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</si>
  <si>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</si>
  <si>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</si>
  <si>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</si>
  <si>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</si>
  <si>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</si>
  <si>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</si>
  <si>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</si>
  <si>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</si>
  <si>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</si>
  <si>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</si>
  <si>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</si>
  <si>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</si>
  <si>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</si>
  <si>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</si>
  <si>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</si>
  <si>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</si>
  <si>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</si>
  <si>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</si>
  <si>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t>FX Utils</t>
  </si>
  <si>
    <t>9M</t>
  </si>
  <si>
    <t>FX Curves</t>
  </si>
  <si>
    <t>Curve Object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</si>
  <si>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</si>
  <si>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d.Equity_CreateEuropeanOption</t>
  </si>
  <si>
    <t>TradeDate</t>
  </si>
  <si>
    <t>Day Count Convention</t>
  </si>
  <si>
    <t>USD Swap Curve Dual Bootstrapped Testing</t>
  </si>
  <si>
    <t>OmicronZARSwapCurve</t>
  </si>
  <si>
    <t>Old Bootstrapper Calculations</t>
  </si>
  <si>
    <t>Manual Calculations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</si>
  <si>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manually check the bootstrapped discount factors and par rates generated by ∂Excel.</t>
    </r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</si>
  <si>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 xml:space="preserve">Here we compare discount factors and par rates generated by the  'old' vals </t>
    </r>
  </si>
  <si>
    <t xml:space="preserve">               bootstrapper vs. those generated by ∂Excel.</t>
  </si>
  <si>
    <t>CubicSpline_On_DiscountFactors</t>
  </si>
  <si>
    <t>Exponential_On_DiscountFactors</t>
  </si>
  <si>
    <t>Austria</t>
  </si>
  <si>
    <t>CLP</t>
  </si>
  <si>
    <t>Chile</t>
  </si>
  <si>
    <t>Finland</t>
  </si>
  <si>
    <t>France</t>
  </si>
  <si>
    <t>Slovakia</t>
  </si>
  <si>
    <t>USD_LIBOR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</si>
  <si>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</si>
  <si>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Dual Boostrapped, Real Curve</t>
  </si>
  <si>
    <t>USD Swap Curve</t>
  </si>
  <si>
    <t>Dual Bootstrapped Curve</t>
  </si>
  <si>
    <t>Actual Dual Bootstrapping</t>
  </si>
  <si>
    <t>Dual Bootstrapping Tests</t>
  </si>
  <si>
    <t>Single Curve Bootstrapping</t>
  </si>
  <si>
    <t>Old Vals USD OIS Curve</t>
  </si>
  <si>
    <t>Old Vals USD OIS Curve Parameters</t>
  </si>
  <si>
    <t>Old Vals USD Swap Curve</t>
  </si>
  <si>
    <t>Old Vals USD Swap Curve Parameters</t>
  </si>
  <si>
    <t>Old Vals ZAR Swap Curve Parameters</t>
  </si>
  <si>
    <t>Old Vals ZAR Swap Curve</t>
  </si>
  <si>
    <t>Cross Currency Swaps</t>
  </si>
  <si>
    <t>BasisSpreads</t>
  </si>
  <si>
    <t>FixingDays</t>
  </si>
  <si>
    <t>d.Curve_CreateFromDiscountFactors</t>
  </si>
  <si>
    <t>d.Curve_CreateFromZeroRates</t>
  </si>
  <si>
    <t>CompoundingConvention</t>
  </si>
  <si>
    <t>Zero Rates</t>
  </si>
  <si>
    <t>Linear_On_ZeroRates</t>
  </si>
  <si>
    <r>
      <rPr>
        <b/>
        <i/>
        <sz val="11"/>
        <color theme="8"/>
        <rFont val="Calibri Light"/>
        <family val="2"/>
        <scheme val="minor"/>
      </rPr>
      <t xml:space="preserve">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</si>
  <si>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d.Curve_GetRateIndices</t>
  </si>
  <si>
    <t>Rate Indices</t>
  </si>
  <si>
    <t>EURIBOR</t>
  </si>
  <si>
    <t>IR Bootstrapping Interpolation Methods</t>
  </si>
  <si>
    <t>Flat_On_ForwardRates</t>
  </si>
  <si>
    <t>LogCubic_On_DiscountFactors</t>
  </si>
  <si>
    <t>NaturalLogCubic_On_DiscountFactors</t>
  </si>
  <si>
    <t>Cubic_On_ZeroRates</t>
  </si>
  <si>
    <t>NaturalCubic_On_ZeroRates</t>
  </si>
  <si>
    <t>d.Curve_GetInterpolationMethodsForBootstrapping</t>
  </si>
  <si>
    <t>Interpolation Methods for Discount Factors</t>
  </si>
  <si>
    <t>d.Curve_GetInterpolationMethodsForDiscountFactors</t>
  </si>
  <si>
    <t>Interpolation Methods for Zero Rates</t>
  </si>
  <si>
    <t>d.Curve_GetInterpolationMethodsForZeroRates</t>
  </si>
  <si>
    <t>SOFR Bootstrapping</t>
  </si>
  <si>
    <t>ForwardPoints</t>
  </si>
  <si>
    <t>4M</t>
  </si>
  <si>
    <t>5M</t>
  </si>
  <si>
    <t>FECs</t>
  </si>
  <si>
    <t>Old Vals Bootstrapper Calculations</t>
  </si>
  <si>
    <t>Base Currency Index Name</t>
  </si>
  <si>
    <t>Base Currency Index Tenor</t>
  </si>
  <si>
    <t>Base Currency Forecast Curve</t>
  </si>
  <si>
    <t>Quote Currency Index Name</t>
  </si>
  <si>
    <t>Quote Currency Index Tenor</t>
  </si>
  <si>
    <t>Quote Currency Forecast Curve</t>
  </si>
  <si>
    <t>Spot Fx</t>
  </si>
  <si>
    <t>Base Currency Discount Curve</t>
  </si>
  <si>
    <t>FX Curve Bootstrapping</t>
  </si>
  <si>
    <t>Exception Handling</t>
  </si>
  <si>
    <t>Base Date</t>
  </si>
  <si>
    <t>Missing Base Date Parameter</t>
  </si>
  <si>
    <t>#∂Excel Error: Missing curve parameter: 'Base Date'.</t>
  </si>
  <si>
    <t>Missing Spot Fx Parameter</t>
  </si>
  <si>
    <t>#∂Excel Error: Missing curve parameter: 'Spot Fx'.</t>
  </si>
  <si>
    <t>Forwards</t>
  </si>
  <si>
    <t>Unsupported Instrument</t>
  </si>
  <si>
    <r>
      <t xml:space="preserve">   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</si>
  <si>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#∂Excel Error: Invalid instrument type: 'Forwards'</t>
  </si>
  <si>
    <t>Fra Tenors</t>
  </si>
  <si>
    <t>Rate Index</t>
  </si>
  <si>
    <t>FX Forwards</t>
  </si>
  <si>
    <r>
      <t xml:space="preserve">Setup </t>
    </r>
    <r>
      <rPr>
        <b/>
        <i/>
        <sz val="12"/>
        <color theme="4" tint="-0.24994659260841701"/>
        <rFont val="Calibri Light"/>
        <family val="2"/>
        <scheme val="minor"/>
      </rPr>
      <t>With</t>
    </r>
    <r>
      <rPr>
        <b/>
        <sz val="12"/>
        <color theme="4" tint="-0.24994659260841701"/>
        <rFont val="Calibri Light"/>
        <family val="2"/>
        <scheme val="minor"/>
      </rPr>
      <t xml:space="preserve"> Extrapolation</t>
    </r>
  </si>
  <si>
    <r>
      <t xml:space="preserve">Setup </t>
    </r>
    <r>
      <rPr>
        <b/>
        <i/>
        <sz val="12"/>
        <color theme="4" tint="-0.24994659260841701"/>
        <rFont val="Calibri Light"/>
        <family val="2"/>
        <scheme val="minor"/>
      </rPr>
      <t xml:space="preserve">Without </t>
    </r>
    <r>
      <rPr>
        <b/>
        <sz val="12"/>
        <color theme="4" tint="-0.24994659260841701"/>
        <rFont val="Calibri Light"/>
        <family val="2"/>
        <scheme val="minor"/>
      </rPr>
      <t>Extrapolation</t>
    </r>
  </si>
  <si>
    <r>
      <rPr>
        <b/>
        <i/>
        <sz val="10"/>
        <color theme="8"/>
        <rFont val="Calibri Light"/>
        <family val="2"/>
        <scheme val="minor"/>
      </rPr>
      <t xml:space="preserve">← *Note: </t>
    </r>
    <r>
      <rPr>
        <i/>
        <sz val="10"/>
        <color theme="8"/>
        <rFont val="Calibri Light"/>
        <family val="2"/>
        <scheme val="minor"/>
      </rPr>
      <t>First rate is irrelevant.</t>
    </r>
  </si>
  <si>
    <t>Comparison to Discount Factors</t>
  </si>
  <si>
    <t>Test 1: Discount Factors without Extrapolation</t>
  </si>
  <si>
    <t xml:space="preserve">Test 2: Invalid Compounding Convention </t>
  </si>
  <si>
    <t>Test 2:</t>
  </si>
  <si>
    <t>d.Curve_Bootstrap</t>
  </si>
  <si>
    <t>SOFR</t>
  </si>
  <si>
    <t>OIS</t>
  </si>
  <si>
    <t>Settlement Days</t>
  </si>
  <si>
    <t>Payment Lag Days</t>
  </si>
  <si>
    <t>1w</t>
  </si>
  <si>
    <t>2w</t>
  </si>
  <si>
    <t>7m</t>
  </si>
  <si>
    <t>8m</t>
  </si>
  <si>
    <t>10m</t>
  </si>
  <si>
    <t>11m</t>
  </si>
  <si>
    <t>Discount Curve Handle</t>
  </si>
  <si>
    <t>Rate Index Tenor</t>
  </si>
  <si>
    <t>Rate Index Name</t>
  </si>
  <si>
    <t>RT (NACC)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</si>
  <si>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compare discount factors and par rates generated by the  'old' vals bootstrapper vs. ∂Excel.</t>
    </r>
  </si>
  <si>
    <t xml:space="preserve">               The workbook can be found at: </t>
  </si>
  <si>
    <t xml:space="preserve">               \\ZAJNB010\Capital Markets 2\AQS Quants\dExcelTools\ModelValidation\Bootstrapping\sofr-ois-curve-2022-07-25.xlsm</t>
  </si>
  <si>
    <t>Forward Points</t>
  </si>
  <si>
    <t>Fixing Days</t>
  </si>
  <si>
    <t>Basis Spreads</t>
  </si>
  <si>
    <t>OmicronUsdSwapCurve</t>
  </si>
  <si>
    <t>USD-Swap</t>
  </si>
  <si>
    <t>d.Curve_BootstrapFxBasisAdjustedCurve</t>
  </si>
  <si>
    <t>Discount Factor Tolerance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</si>
  <si>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This is the main curve we're interested in.</t>
    </r>
  </si>
  <si>
    <t>0.2.3</t>
  </si>
  <si>
    <t>d.Dates_IsBusinessDay</t>
  </si>
  <si>
    <t>Actual Output</t>
  </si>
  <si>
    <t>USD, ZAR</t>
  </si>
  <si>
    <t>Weekday</t>
  </si>
  <si>
    <t>Drift</t>
  </si>
  <si>
    <t>Initial Value</t>
  </si>
  <si>
    <t>Standard Deviation</t>
  </si>
  <si>
    <t>Number of Time Steps</t>
  </si>
  <si>
    <t>Time to Maturity</t>
  </si>
  <si>
    <t>GBM Object</t>
  </si>
  <si>
    <t>Simplified Test Inputs</t>
  </si>
  <si>
    <t>Input Name</t>
  </si>
  <si>
    <t>Forecast Curve USD 3m</t>
  </si>
  <si>
    <t>Forecast Curve USD 6m</t>
  </si>
  <si>
    <t>Forecast Curve ZAR 6m</t>
  </si>
  <si>
    <t>Discount Curve USD</t>
  </si>
  <si>
    <t>Discount Curve ZAR</t>
  </si>
  <si>
    <t>d.IR_CreateReferenceRateIndex</t>
  </si>
  <si>
    <t>Index Handle</t>
  </si>
  <si>
    <t>USDLibor3mIndex</t>
  </si>
  <si>
    <t>USDLibor6mIndex</t>
  </si>
  <si>
    <t>ZARJibarr6mIndex</t>
  </si>
  <si>
    <t>Reference Rate Index</t>
  </si>
  <si>
    <t>USD-Libor</t>
  </si>
  <si>
    <t>Jibar</t>
  </si>
  <si>
    <t>Forecast Curve</t>
  </si>
  <si>
    <t>Fixing Dates</t>
  </si>
  <si>
    <t>Fixing Values</t>
  </si>
  <si>
    <t>Resultant Object</t>
  </si>
  <si>
    <t>d.IR_CreateVanillaInterestRateSwap</t>
  </si>
  <si>
    <t>Acc Start Date</t>
  </si>
  <si>
    <t>Acc End Date</t>
  </si>
  <si>
    <t>Acc Days</t>
  </si>
  <si>
    <t>Fixing Date</t>
  </si>
  <si>
    <t>NCD Start Date</t>
  </si>
  <si>
    <t>NCD End Date</t>
  </si>
  <si>
    <t>Forec Start Date</t>
  </si>
  <si>
    <t>Forec End Date</t>
  </si>
  <si>
    <t>Payment Date</t>
  </si>
  <si>
    <t>Fixed Leg Nominal</t>
  </si>
  <si>
    <t>Fixed Rate</t>
  </si>
  <si>
    <t>Fixed Proj CF</t>
  </si>
  <si>
    <t>Float Leg Nominal</t>
  </si>
  <si>
    <t>Index Forecast</t>
  </si>
  <si>
    <t>Adjusted Forecast</t>
  </si>
  <si>
    <t>Float Spread</t>
  </si>
  <si>
    <t>Gearing</t>
  </si>
  <si>
    <t>Convexity Adj</t>
  </si>
  <si>
    <t>Total Float Rate</t>
  </si>
  <si>
    <t>Float Proj CF</t>
  </si>
  <si>
    <t>Manual Float Proj CF</t>
  </si>
  <si>
    <t>Manual Fixed Proj CF</t>
  </si>
  <si>
    <t>Manual DF</t>
  </si>
  <si>
    <t>Manual PV</t>
  </si>
  <si>
    <t>Swap Handle</t>
  </si>
  <si>
    <t>TestVanillaIRS</t>
  </si>
  <si>
    <t>Termination Date</t>
  </si>
  <si>
    <t>Date Generation Rule</t>
  </si>
  <si>
    <t>Swap Type</t>
  </si>
  <si>
    <t>Nominal</t>
  </si>
  <si>
    <t>Reference Rate Object</t>
  </si>
  <si>
    <t>Spread</t>
  </si>
  <si>
    <t>Discount Curve Object</t>
  </si>
  <si>
    <t>Swap Object</t>
  </si>
  <si>
    <t>NPV</t>
  </si>
  <si>
    <t>PV</t>
  </si>
  <si>
    <t>d.IR_CreateNonStandardInterestRateSwap</t>
  </si>
  <si>
    <t>TestNonStandardIRS</t>
  </si>
  <si>
    <t>Cash Flow Dates</t>
  </si>
  <si>
    <t>Nominals Float Leg</t>
  </si>
  <si>
    <t>Nominals Fixed Leg</t>
  </si>
  <si>
    <t>d.IR_CreateFloatForFloatInterestRateSwap</t>
  </si>
  <si>
    <t>Acc Start</t>
  </si>
  <si>
    <t>Acc End</t>
  </si>
  <si>
    <t>Leg 1 Nominal</t>
  </si>
  <si>
    <t>Leg 2 Nominal</t>
  </si>
  <si>
    <t>Manual Float1  Proj CF</t>
  </si>
  <si>
    <t>Manual Float 2 Proj CF</t>
  </si>
  <si>
    <t>TestFloatFloatIRS</t>
  </si>
  <si>
    <t>Swap Type (Relative to 1st leg)</t>
  </si>
  <si>
    <t>Reference Rate Object Leg 1</t>
  </si>
  <si>
    <t>Reference Rate Object Leg 2</t>
  </si>
  <si>
    <t>Spread Leg 1</t>
  </si>
  <si>
    <t>d.IR_CreateConstantNotionalFloatingLeg</t>
  </si>
  <si>
    <t>Proj CF</t>
  </si>
  <si>
    <t>Leg Handle</t>
  </si>
  <si>
    <t>TestConstantNotionalFloatingLeg</t>
  </si>
  <si>
    <t>Include Notional Exchange</t>
  </si>
  <si>
    <t>Leg Object</t>
  </si>
  <si>
    <t>d.IR_CreateConstantNotionalCrossCurrencySwap</t>
  </si>
  <si>
    <t>General Swap Inputs</t>
  </si>
  <si>
    <t>Leg</t>
  </si>
  <si>
    <t>ZAR PV</t>
  </si>
  <si>
    <t>Xccy Swap Handle</t>
  </si>
  <si>
    <t>Xccy Swap</t>
  </si>
  <si>
    <t>FXSpot</t>
  </si>
  <si>
    <t>Leg Inputs</t>
  </si>
  <si>
    <t>Base Ccy Inputs</t>
  </si>
  <si>
    <t>Quote Ccy Inputs</t>
  </si>
  <si>
    <t>Currency</t>
  </si>
  <si>
    <t>Xccy Swap Object</t>
  </si>
  <si>
    <r>
      <rPr>
        <b/>
        <i/>
        <sz val="10"/>
        <color theme="8" tint="-0.249977111117893"/>
        <rFont val="Calibri Light"/>
        <family val="2"/>
      </rPr>
      <t>←*Note: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>This Created a named variable for this sheet.</t>
    </r>
  </si>
  <si>
    <t>SOFR Curve Bootstrapping</t>
  </si>
  <si>
    <t>Fixed Income Instruments</t>
  </si>
  <si>
    <t>d.Stats_GBM_GetPaths</t>
  </si>
  <si>
    <t>Time</t>
  </si>
  <si>
    <r>
      <rPr>
        <b/>
        <i/>
        <sz val="11"/>
        <color theme="8" tint="-0.249977111117893"/>
        <rFont val="Calibri Light"/>
        <family val="2"/>
        <scheme val="minor"/>
      </rPr>
      <t xml:space="preserve">*Note: </t>
    </r>
    <r>
      <rPr>
        <sz val="11"/>
        <color theme="8" tint="-0.249977111117893"/>
        <rFont val="Calibri Light"/>
        <family val="2"/>
        <scheme val="minor"/>
      </rPr>
      <t>To force the same seed one needs to recalculate cell the GBM object above.</t>
    </r>
  </si>
  <si>
    <t>d.Stats_GBM_Create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</si>
  <si>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Differences are due to two main thing:.</t>
    </r>
  </si>
  <si>
    <t>1.The old Vals template did not appropriately adjuste for the two day lag in USDOIS.</t>
  </si>
  <si>
    <t>2.The above USDOIS is used in bootstrapping the USD-Swap curve,</t>
  </si>
  <si>
    <t>Hence, the differences in the USDOIS and USD-Swap curve lead to differences here.</t>
  </si>
  <si>
    <t>Custom Rate Index</t>
  </si>
  <si>
    <t>Name</t>
  </si>
  <si>
    <t>ExampleIndex</t>
  </si>
  <si>
    <t>Custom Quote Currency Rate Index</t>
  </si>
  <si>
    <t>Custom Base Currency Rate Index</t>
  </si>
  <si>
    <t>ExampleQuoteIndex</t>
  </si>
  <si>
    <t>ExampleBaseIndex</t>
  </si>
  <si>
    <t>Custom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</si>
</sst>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8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_(* #,##0.00_);_(* \(#,##0.00\);_(* &quot;-&quot;??_);_(@_)"/>
    <numFmt numFmtId="186" formatCode="#,##0.0000000000"/>
    <numFmt numFmtId="187" formatCode="0.0000000000"/>
    <numFmt numFmtId="188" formatCode="_-* #,##0.0000000000000_-;\-* #,##0.0000000000000_-;_-* &quot;-&quot;??_-;_-@_-"/>
    <numFmt numFmtId="189" formatCode="_-* #,##0.000000000_-;\-* #,##0.000000000_-;_-* &quot;-&quot;??_-;_-@_-"/>
    <numFmt numFmtId="190" formatCode="_-* #,##0.00000000_-;\-* #,##0.00000000_-;_-* &quot;-&quot;??_-;_-@_-"/>
  </numFmts>
  <fonts count="13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  <font>
      <b/>
      <sz val="11"/>
      <color theme="4" tint="-0.24994659260841701"/>
      <name val="Calibri Light"/>
      <family val="2"/>
    </font>
    <font>
      <i/>
      <sz val="10"/>
      <color theme="8"/>
      <name val="Calibri Light"/>
      <family val="2"/>
      <scheme val="minor"/>
    </font>
    <font>
      <b/>
      <i/>
      <sz val="12"/>
      <color theme="4" tint="-0.24994659260841701"/>
      <name val="Calibri Light"/>
      <family val="2"/>
      <scheme val="minor"/>
    </font>
    <font>
      <b/>
      <sz val="8"/>
      <color theme="0"/>
      <name val="Verdana"/>
      <family val="2"/>
    </font>
    <font>
      <sz val="8"/>
      <name val="Verdana"/>
      <family val="2"/>
    </font>
    <font>
      <u/>
      <sz val="10"/>
      <color theme="8" tint="-0.24994659260841701"/>
      <name val="Calibri"/>
      <family val="2"/>
      <scheme val="major"/>
    </font>
    <font>
      <sz val="11"/>
      <color theme="8" tint="-0.249977111117893"/>
      <name val="Calibri Light"/>
      <family val="2"/>
      <scheme val="minor"/>
    </font>
    <font>
      <b/>
      <i/>
      <sz val="11"/>
      <color theme="8" tint="-0.249977111117893"/>
      <name val="Calibri Light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Down">
        <fgColor theme="4" tint="-0.499984740745262"/>
        <bgColor theme="4"/>
      </patternFill>
    </fill>
    <fill>
      <patternFill patternType="solid">
        <fgColor theme="4" tint="0.59996337778862885"/>
        <bgColor theme="4" tint="0.79992065187536243"/>
      </patternFill>
    </fill>
    <fill>
      <patternFill patternType="solid">
        <fgColor theme="8"/>
        <bgColor indexed="64"/>
      </patternFill>
    </fill>
  </fills>
  <borders count="210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/>
      <bottom style="hair">
        <color theme="4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/>
      <bottom style="dotted">
        <color theme="3" tint="-0.24994659260841701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7">
    <xf numFmtId="0" fontId="0" fillId="0" borderId="0"/>
    <xf numFmtId="0" fontId="47" fillId="0" borderId="1" applyNumberFormat="0" applyFill="0" applyAlignment="0" applyProtection="0"/>
    <xf numFmtId="0" fontId="61" fillId="0" borderId="83" applyNumberFormat="0" applyFill="0" applyAlignment="0" applyProtection="0"/>
    <xf numFmtId="0" fontId="62" fillId="0" borderId="84" applyNumberFormat="0" applyFill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9" fillId="0" borderId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0" fontId="94" fillId="0" borderId="0"/>
    <xf numFmtId="0" fontId="94" fillId="17" borderId="0" applyNumberFormat="0" applyBorder="0" applyAlignment="0" applyProtection="0"/>
    <xf numFmtId="0" fontId="94" fillId="19" borderId="0" applyNumberFormat="0" applyBorder="0" applyAlignment="0" applyProtection="0"/>
    <xf numFmtId="0" fontId="94" fillId="21" borderId="0" applyNumberFormat="0" applyBorder="0" applyAlignment="0" applyProtection="0"/>
    <xf numFmtId="0" fontId="94" fillId="23" borderId="0" applyNumberFormat="0" applyBorder="0" applyAlignment="0" applyProtection="0"/>
    <xf numFmtId="0" fontId="94" fillId="25" borderId="0" applyNumberFormat="0" applyBorder="0" applyAlignment="0" applyProtection="0"/>
    <xf numFmtId="0" fontId="94" fillId="27" borderId="0" applyNumberFormat="0" applyBorder="0" applyAlignment="0" applyProtection="0"/>
    <xf numFmtId="0" fontId="95" fillId="28" borderId="0" applyNumberFormat="0" applyBorder="0" applyProtection="0">
      <alignment horizontal="center"/>
    </xf>
    <xf numFmtId="0" fontId="95" fillId="29" borderId="0" applyNumberFormat="0" applyBorder="0" applyProtection="0">
      <alignment horizontal="center"/>
    </xf>
    <xf numFmtId="0" fontId="95" fillId="30" borderId="0" applyNumberFormat="0" applyBorder="0" applyProtection="0">
      <alignment horizontal="center"/>
    </xf>
    <xf numFmtId="0" fontId="95" fillId="31" borderId="0" applyNumberFormat="0" applyBorder="0" applyProtection="0">
      <alignment horizontal="center"/>
    </xf>
    <xf numFmtId="0" fontId="95" fillId="32" borderId="0" applyNumberFormat="0" applyBorder="0" applyProtection="0">
      <alignment horizontal="center"/>
    </xf>
    <xf numFmtId="0" fontId="95" fillId="33" borderId="0" applyNumberFormat="0" applyBorder="0" applyProtection="0">
      <alignment horizontal="center"/>
    </xf>
    <xf numFmtId="0" fontId="95" fillId="34" borderId="0" applyNumberFormat="0" applyBorder="0" applyProtection="0">
      <alignment horizontal="center"/>
    </xf>
    <xf numFmtId="0" fontId="95" fillId="35" borderId="0" applyNumberFormat="0" applyBorder="0" applyProtection="0">
      <alignment horizontal="center"/>
    </xf>
    <xf numFmtId="0" fontId="95" fillId="36" borderId="0" applyNumberFormat="0" applyBorder="0" applyProtection="0">
      <alignment horizontal="center"/>
    </xf>
    <xf numFmtId="0" fontId="95" fillId="37" borderId="0" applyNumberFormat="0" applyBorder="0" applyProtection="0">
      <alignment horizontal="center"/>
    </xf>
    <xf numFmtId="0" fontId="95" fillId="38" borderId="0" applyNumberFormat="0" applyBorder="0" applyProtection="0">
      <alignment horizontal="center"/>
    </xf>
    <xf numFmtId="0" fontId="95" fillId="39" borderId="0" applyNumberFormat="0" applyBorder="0" applyProtection="0">
      <alignment horizontal="center"/>
    </xf>
    <xf numFmtId="0" fontId="95" fillId="16" borderId="0" applyNumberFormat="0" applyBorder="0" applyProtection="0">
      <alignment horizontal="center"/>
    </xf>
    <xf numFmtId="0" fontId="95" fillId="18" borderId="0" applyNumberFormat="0" applyBorder="0" applyProtection="0">
      <alignment horizontal="center"/>
    </xf>
    <xf numFmtId="0" fontId="95" fillId="20" borderId="0" applyNumberFormat="0" applyBorder="0" applyProtection="0">
      <alignment horizontal="center"/>
    </xf>
    <xf numFmtId="0" fontId="95" fillId="22" borderId="0" applyNumberFormat="0" applyBorder="0" applyProtection="0">
      <alignment horizontal="center"/>
    </xf>
    <xf numFmtId="0" fontId="95" fillId="24" borderId="0" applyNumberFormat="0" applyBorder="0" applyProtection="0">
      <alignment horizontal="center"/>
    </xf>
    <xf numFmtId="0" fontId="95" fillId="26" borderId="0" applyNumberFormat="0" applyBorder="0" applyProtection="0">
      <alignment horizontal="center"/>
    </xf>
    <xf numFmtId="0" fontId="96" fillId="11" borderId="0" applyNumberFormat="0" applyBorder="0" applyAlignment="0" applyProtection="0"/>
    <xf numFmtId="0" fontId="97" fillId="14" borderId="170" applyNumberFormat="0" applyAlignment="0" applyProtection="0"/>
    <xf numFmtId="0" fontId="95" fillId="15" borderId="173" applyNumberFormat="0" applyAlignment="0" applyProtection="0"/>
    <xf numFmtId="43" fontId="69" fillId="0" borderId="0" applyFont="0" applyFill="0" applyBorder="0" applyAlignment="0" applyProtection="0"/>
    <xf numFmtId="165" fontId="94" fillId="0" borderId="0" applyFont="0" applyFill="0" applyBorder="0" applyAlignment="0" applyProtection="0"/>
    <xf numFmtId="164" fontId="94" fillId="0" borderId="0" applyFont="0" applyFill="0" applyBorder="0" applyAlignment="0" applyProtection="0"/>
    <xf numFmtId="0" fontId="98" fillId="0" borderId="0" applyNumberFormat="0" applyFill="0" applyBorder="0" applyAlignment="0" applyProtection="0"/>
    <xf numFmtId="0" fontId="99" fillId="10" borderId="0" applyNumberFormat="0" applyBorder="0" applyAlignment="0" applyProtection="0"/>
    <xf numFmtId="0" fontId="100" fillId="0" borderId="0" applyNumberFormat="0" applyFill="0" applyAlignment="0" applyProtection="0"/>
    <xf numFmtId="0" fontId="101" fillId="0" borderId="0" applyFill="0" applyAlignment="0" applyProtection="0"/>
    <xf numFmtId="0" fontId="102" fillId="0" borderId="0" applyFill="0" applyAlignment="0" applyProtection="0"/>
    <xf numFmtId="0" fontId="103" fillId="0" borderId="0" applyFill="0" applyAlignment="0" applyProtection="0"/>
    <xf numFmtId="0" fontId="104" fillId="0" borderId="0" applyFill="0" applyAlignment="0" applyProtection="0"/>
    <xf numFmtId="0" fontId="105" fillId="0" borderId="0" applyNumberFormat="0" applyFill="0" applyAlignment="0" applyProtection="0"/>
    <xf numFmtId="0" fontId="106" fillId="0" borderId="0" applyNumberFormat="0" applyFill="0" applyAlignment="0" applyProtection="0"/>
    <xf numFmtId="0" fontId="107" fillId="0" borderId="0" applyNumberFormat="0" applyFill="0" applyAlignment="0" applyProtection="0"/>
    <xf numFmtId="0" fontId="108" fillId="13" borderId="170" applyNumberFormat="0" applyAlignment="0" applyProtection="0"/>
    <xf numFmtId="0" fontId="109" fillId="0" borderId="172" applyNumberFormat="0" applyFill="0" applyAlignment="0" applyProtection="0"/>
    <xf numFmtId="0" fontId="110" fillId="12" borderId="0" applyNumberFormat="0" applyBorder="0" applyAlignment="0" applyProtection="0"/>
    <xf numFmtId="0" fontId="111" fillId="14" borderId="171" applyNumberFormat="0" applyAlignment="0" applyProtection="0"/>
    <xf numFmtId="10" fontId="58" fillId="0" borderId="0" applyFont="0" applyFill="0" applyBorder="0" applyAlignment="0" applyProtection="0"/>
    <xf numFmtId="0" fontId="112" fillId="0" borderId="0" applyNumberFormat="0" applyFill="0" applyBorder="0" applyProtection="0">
      <alignment horizontal="center"/>
    </xf>
    <xf numFmtId="0" fontId="113" fillId="0" borderId="0" applyNumberFormat="0" applyFill="0" applyBorder="0" applyAlignment="0" applyProtection="0"/>
    <xf numFmtId="0" fontId="105" fillId="0" borderId="174" applyNumberFormat="0" applyFill="0" applyAlignment="0" applyProtection="0"/>
    <xf numFmtId="0" fontId="114" fillId="0" borderId="0" applyNumberFormat="0" applyFill="0" applyBorder="0" applyAlignment="0" applyProtection="0"/>
    <xf numFmtId="0" fontId="68" fillId="0" borderId="0"/>
    <xf numFmtId="0" fontId="115" fillId="12" borderId="0" applyNumberFormat="0" applyBorder="0" applyAlignment="0" applyProtection="0"/>
    <xf numFmtId="9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0" fontId="68" fillId="0" borderId="0"/>
    <xf numFmtId="0" fontId="123" fillId="0" borderId="206" applyNumberFormat="0" applyFill="0" applyAlignment="0" applyProtection="0"/>
    <xf numFmtId="0" fontId="126" fillId="44" borderId="205">
      <alignment horizontal="centerContinuous" vertical="center"/>
    </xf>
    <xf numFmtId="185" fontId="127" fillId="45" borderId="0">
      <alignment vertical="center"/>
    </xf>
  </cellStyleXfs>
  <cellXfs count="1127">
    <xf numFmtId="0" fontId="0" fillId="0" borderId="0" xfId="0"/>
    <xf numFmtId="14" fontId="0" fillId="0" borderId="0" xfId="0" applyNumberFormat="1"/>
    <xf numFmtId="0" fontId="47" fillId="0" borderId="1" xfId="1"/>
    <xf numFmtId="0" fontId="61" fillId="0" borderId="83" xfId="2"/>
    <xf numFmtId="0" fontId="62" fillId="0" borderId="84" xfId="3"/>
    <xf numFmtId="166" fontId="0" fillId="0" borderId="0" xfId="0" applyNumberFormat="1"/>
    <xf numFmtId="167" fontId="0" fillId="0" borderId="0" xfId="0" applyNumberFormat="1"/>
    <xf numFmtId="0" fontId="48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50" fillId="3" borderId="4" xfId="0" applyFont="1" applyFill="1" applyBorder="1" applyAlignment="1">
      <alignment horizontal="centerContinuous" vertical="center"/>
    </xf>
    <xf numFmtId="0" fontId="50" fillId="3" borderId="5" xfId="0" applyFont="1" applyFill="1" applyBorder="1" applyAlignment="1">
      <alignment horizontal="centerContinuous" vertical="center"/>
    </xf>
    <xf numFmtId="4" fontId="49" fillId="0" borderId="9" xfId="0" applyNumberFormat="1" applyFont="1" applyBorder="1" applyAlignment="1">
      <alignment horizontal="right" vertical="center"/>
    </xf>
    <xf numFmtId="4" fontId="49" fillId="0" borderId="11" xfId="0" applyNumberFormat="1" applyFont="1" applyBorder="1" applyAlignment="1">
      <alignment horizontal="right" vertical="center"/>
    </xf>
    <xf numFmtId="4" fontId="49" fillId="0" borderId="13" xfId="0" applyNumberFormat="1" applyFont="1" applyBorder="1" applyAlignment="1">
      <alignment horizontal="right" vertical="center"/>
    </xf>
    <xf numFmtId="168" fontId="49" fillId="0" borderId="9" xfId="0" applyNumberFormat="1" applyFont="1" applyBorder="1" applyAlignment="1">
      <alignment horizontal="right" vertical="center"/>
    </xf>
    <xf numFmtId="168" fontId="49" fillId="0" borderId="11" xfId="0" applyNumberFormat="1" applyFont="1" applyBorder="1" applyAlignment="1">
      <alignment horizontal="right" vertical="center"/>
    </xf>
    <xf numFmtId="168" fontId="49" fillId="0" borderId="13" xfId="0" applyNumberFormat="1" applyFont="1" applyBorder="1" applyAlignment="1">
      <alignment horizontal="right" vertical="center"/>
    </xf>
    <xf numFmtId="169" fontId="49" fillId="0" borderId="10" xfId="0" applyNumberFormat="1" applyFont="1" applyBorder="1" applyAlignment="1">
      <alignment horizontal="right" vertical="center"/>
    </xf>
    <xf numFmtId="169" fontId="49" fillId="0" borderId="12" xfId="0" applyNumberFormat="1" applyFont="1" applyBorder="1" applyAlignment="1">
      <alignment horizontal="right" vertical="center"/>
    </xf>
    <xf numFmtId="169" fontId="49" fillId="0" borderId="14" xfId="0" applyNumberFormat="1" applyFont="1" applyBorder="1" applyAlignment="1">
      <alignment horizontal="right" vertical="center"/>
    </xf>
    <xf numFmtId="0" fontId="50" fillId="3" borderId="7" xfId="0" applyFont="1" applyFill="1" applyBorder="1" applyAlignment="1">
      <alignment horizontal="centerContinuous" vertical="center"/>
    </xf>
    <xf numFmtId="0" fontId="50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50" fillId="3" borderId="6" xfId="0" applyFont="1" applyFill="1" applyBorder="1" applyAlignment="1">
      <alignment horizontal="centerContinuous" vertical="center"/>
    </xf>
    <xf numFmtId="4" fontId="49" fillId="0" borderId="15" xfId="0" applyNumberFormat="1" applyFont="1" applyBorder="1" applyAlignment="1">
      <alignment horizontal="right" vertical="center"/>
    </xf>
    <xf numFmtId="4" fontId="49" fillId="0" borderId="16" xfId="0" applyNumberFormat="1" applyFont="1" applyBorder="1" applyAlignment="1">
      <alignment horizontal="right" vertical="center"/>
    </xf>
    <xf numFmtId="4" fontId="49" fillId="0" borderId="17" xfId="0" applyNumberFormat="1" applyFont="1" applyBorder="1" applyAlignment="1">
      <alignment horizontal="right" vertical="center"/>
    </xf>
    <xf numFmtId="10" fontId="49" fillId="0" borderId="15" xfId="0" applyNumberFormat="1" applyFont="1" applyBorder="1" applyAlignment="1">
      <alignment horizontal="right" vertical="center"/>
    </xf>
    <xf numFmtId="10" fontId="49" fillId="0" borderId="16" xfId="0" applyNumberFormat="1" applyFont="1" applyBorder="1" applyAlignment="1">
      <alignment horizontal="right" vertical="center"/>
    </xf>
    <xf numFmtId="10" fontId="49" fillId="0" borderId="17" xfId="0" applyNumberFormat="1" applyFont="1" applyBorder="1" applyAlignment="1">
      <alignment horizontal="right" vertical="center"/>
    </xf>
    <xf numFmtId="10" fontId="49" fillId="0" borderId="10" xfId="0" applyNumberFormat="1" applyFont="1" applyBorder="1" applyAlignment="1">
      <alignment horizontal="right" vertical="center"/>
    </xf>
    <xf numFmtId="10" fontId="49" fillId="0" borderId="12" xfId="0" applyNumberFormat="1" applyFont="1" applyBorder="1" applyAlignment="1">
      <alignment horizontal="right" vertical="center"/>
    </xf>
    <xf numFmtId="10" fontId="49" fillId="0" borderId="14" xfId="0" applyNumberFormat="1" applyFont="1" applyBorder="1" applyAlignment="1">
      <alignment horizontal="right" vertical="center"/>
    </xf>
    <xf numFmtId="0" fontId="50" fillId="3" borderId="18" xfId="0" applyFont="1" applyFill="1" applyBorder="1" applyAlignment="1">
      <alignment horizontal="centerContinuous" vertical="center"/>
    </xf>
    <xf numFmtId="0" fontId="50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50" fillId="3" borderId="0" xfId="0" applyFont="1" applyFill="1" applyBorder="1" applyAlignment="1">
      <alignment horizontal="centerContinuous" vertical="center"/>
    </xf>
    <xf numFmtId="0" fontId="49" fillId="0" borderId="0" xfId="0" applyFont="1"/>
    <xf numFmtId="0" fontId="50" fillId="4" borderId="20" xfId="0" applyFont="1" applyFill="1" applyBorder="1" applyAlignment="1">
      <alignment horizontal="center" vertical="center"/>
    </xf>
    <xf numFmtId="0" fontId="50" fillId="4" borderId="21" xfId="0" applyFont="1" applyFill="1" applyBorder="1" applyAlignment="1">
      <alignment horizontal="center" vertical="center"/>
    </xf>
    <xf numFmtId="0" fontId="50" fillId="4" borderId="22" xfId="0" applyFont="1" applyFill="1" applyBorder="1" applyAlignment="1">
      <alignment horizontal="center" vertical="center"/>
    </xf>
    <xf numFmtId="168" fontId="49" fillId="0" borderId="0" xfId="0" applyNumberFormat="1" applyFont="1"/>
    <xf numFmtId="169" fontId="49" fillId="0" borderId="15" xfId="0" applyNumberFormat="1" applyFont="1" applyBorder="1" applyAlignment="1">
      <alignment horizontal="right" vertical="center"/>
    </xf>
    <xf numFmtId="169" fontId="49" fillId="0" borderId="16" xfId="0" applyNumberFormat="1" applyFont="1" applyBorder="1" applyAlignment="1">
      <alignment horizontal="right" vertical="center"/>
    </xf>
    <xf numFmtId="0" fontId="50" fillId="3" borderId="23" xfId="0" applyFont="1" applyFill="1" applyBorder="1" applyAlignment="1">
      <alignment horizontal="centerContinuous" vertical="center"/>
    </xf>
    <xf numFmtId="0" fontId="50" fillId="3" borderId="24" xfId="0" applyFont="1" applyFill="1" applyBorder="1" applyAlignment="1">
      <alignment horizontal="centerContinuous" vertical="center"/>
    </xf>
    <xf numFmtId="0" fontId="50" fillId="4" borderId="25" xfId="0" applyFont="1" applyFill="1" applyBorder="1" applyAlignment="1">
      <alignment horizontal="center" vertical="center"/>
    </xf>
    <xf numFmtId="0" fontId="50" fillId="4" borderId="26" xfId="0" applyFont="1" applyFill="1" applyBorder="1" applyAlignment="1">
      <alignment horizontal="center" vertical="center"/>
    </xf>
    <xf numFmtId="4" fontId="49" fillId="0" borderId="0" xfId="0" applyNumberFormat="1" applyFont="1"/>
    <xf numFmtId="0" fontId="0" fillId="0" borderId="0" xfId="0" applyBorder="1"/>
    <xf numFmtId="0" fontId="51" fillId="2" borderId="0" xfId="0" applyFont="1" applyFill="1" applyAlignment="1">
      <alignment horizontal="centerContinuous" vertical="center"/>
    </xf>
    <xf numFmtId="0" fontId="54" fillId="0" borderId="0" xfId="0" applyFont="1"/>
    <xf numFmtId="0" fontId="55" fillId="0" borderId="0" xfId="0" applyFont="1"/>
    <xf numFmtId="4" fontId="49" fillId="0" borderId="10" xfId="0" applyNumberFormat="1" applyFont="1" applyBorder="1" applyAlignment="1">
      <alignment horizontal="right" vertical="center"/>
    </xf>
    <xf numFmtId="4" fontId="49" fillId="0" borderId="12" xfId="0" applyNumberFormat="1" applyFont="1" applyBorder="1" applyAlignment="1">
      <alignment horizontal="right" vertical="center"/>
    </xf>
    <xf numFmtId="4" fontId="49" fillId="0" borderId="14" xfId="0" applyNumberFormat="1" applyFont="1" applyBorder="1" applyAlignment="1">
      <alignment horizontal="right" vertical="center"/>
    </xf>
    <xf numFmtId="0" fontId="50" fillId="4" borderId="28" xfId="0" applyFont="1" applyFill="1" applyBorder="1" applyAlignment="1">
      <alignment horizontal="center" vertical="center"/>
    </xf>
    <xf numFmtId="0" fontId="50" fillId="4" borderId="29" xfId="0" applyFont="1" applyFill="1" applyBorder="1" applyAlignment="1">
      <alignment horizontal="center" vertical="center"/>
    </xf>
    <xf numFmtId="0" fontId="50" fillId="4" borderId="30" xfId="0" applyFont="1" applyFill="1" applyBorder="1" applyAlignment="1">
      <alignment horizontal="center" vertical="center"/>
    </xf>
    <xf numFmtId="0" fontId="47" fillId="0" borderId="1" xfId="1" applyFont="1"/>
    <xf numFmtId="9" fontId="49" fillId="0" borderId="34" xfId="0" applyNumberFormat="1" applyFont="1" applyBorder="1" applyAlignment="1">
      <alignment horizontal="right"/>
    </xf>
    <xf numFmtId="9" fontId="49" fillId="0" borderId="36" xfId="0" applyNumberFormat="1" applyFont="1" applyBorder="1" applyAlignment="1">
      <alignment horizontal="right"/>
    </xf>
    <xf numFmtId="168" fontId="49" fillId="0" borderId="31" xfId="0" applyNumberFormat="1" applyFont="1" applyBorder="1"/>
    <xf numFmtId="168" fontId="49" fillId="0" borderId="33" xfId="0" applyNumberFormat="1" applyFont="1" applyBorder="1"/>
    <xf numFmtId="168" fontId="49" fillId="0" borderId="37" xfId="0" applyNumberFormat="1" applyFont="1" applyBorder="1"/>
    <xf numFmtId="168" fontId="49" fillId="0" borderId="38" xfId="0" applyNumberFormat="1" applyFont="1" applyBorder="1"/>
    <xf numFmtId="0" fontId="0" fillId="0" borderId="38" xfId="0" applyBorder="1"/>
    <xf numFmtId="9" fontId="49" fillId="0" borderId="38" xfId="0" applyNumberFormat="1" applyFont="1" applyBorder="1" applyAlignment="1">
      <alignment horizontal="right"/>
    </xf>
    <xf numFmtId="9" fontId="49" fillId="0" borderId="39" xfId="0" applyNumberFormat="1" applyFont="1" applyBorder="1" applyAlignment="1">
      <alignment horizontal="right"/>
    </xf>
    <xf numFmtId="0" fontId="55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55" fillId="0" borderId="44" xfId="0" applyFont="1" applyBorder="1"/>
    <xf numFmtId="0" fontId="0" fillId="0" borderId="45" xfId="0" applyBorder="1"/>
    <xf numFmtId="4" fontId="57" fillId="5" borderId="0" xfId="0" applyNumberFormat="1" applyFont="1" applyFill="1" applyBorder="1" applyAlignment="1">
      <alignment horizontal="left" vertical="center"/>
    </xf>
    <xf numFmtId="0" fontId="50" fillId="4" borderId="46" xfId="0" applyFont="1" applyFill="1" applyBorder="1" applyAlignment="1">
      <alignment horizontal="center" vertical="center"/>
    </xf>
    <xf numFmtId="0" fontId="50" fillId="4" borderId="47" xfId="0" applyFont="1" applyFill="1" applyBorder="1" applyAlignment="1">
      <alignment horizontal="center" vertical="center"/>
    </xf>
    <xf numFmtId="0" fontId="50" fillId="4" borderId="48" xfId="0" applyFont="1" applyFill="1" applyBorder="1" applyAlignment="1">
      <alignment horizontal="center" vertical="center"/>
    </xf>
    <xf numFmtId="168" fontId="49" fillId="0" borderId="32" xfId="0" applyNumberFormat="1" applyFont="1" applyBorder="1"/>
    <xf numFmtId="168" fontId="49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49" fillId="0" borderId="33" xfId="0" applyNumberFormat="1" applyFont="1" applyBorder="1" applyAlignment="1">
      <alignment horizontal="right"/>
    </xf>
    <xf numFmtId="9" fontId="49" fillId="0" borderId="35" xfId="0" applyNumberFormat="1" applyFont="1" applyBorder="1" applyAlignment="1">
      <alignment horizontal="right"/>
    </xf>
    <xf numFmtId="171" fontId="58" fillId="0" borderId="15" xfId="0" applyNumberFormat="1" applyFont="1" applyBorder="1" applyAlignment="1">
      <alignment horizontal="right" vertical="center"/>
    </xf>
    <xf numFmtId="171" fontId="58" fillId="0" borderId="16" xfId="0" applyNumberFormat="1" applyFont="1" applyBorder="1" applyAlignment="1">
      <alignment horizontal="right" vertical="center"/>
    </xf>
    <xf numFmtId="171" fontId="58" fillId="0" borderId="17" xfId="0" applyNumberFormat="1" applyFont="1" applyBorder="1" applyAlignment="1">
      <alignment horizontal="right" vertical="center"/>
    </xf>
    <xf numFmtId="172" fontId="58" fillId="0" borderId="15" xfId="0" applyNumberFormat="1" applyFont="1" applyBorder="1" applyAlignment="1">
      <alignment horizontal="right" vertical="center"/>
    </xf>
    <xf numFmtId="172" fontId="58" fillId="0" borderId="16" xfId="0" applyNumberFormat="1" applyFont="1" applyBorder="1" applyAlignment="1">
      <alignment horizontal="right" vertical="center"/>
    </xf>
    <xf numFmtId="172" fontId="58" fillId="0" borderId="17" xfId="0" applyNumberFormat="1" applyFont="1" applyBorder="1" applyAlignment="1">
      <alignment horizontal="right" vertical="center"/>
    </xf>
    <xf numFmtId="173" fontId="58" fillId="0" borderId="15" xfId="0" applyNumberFormat="1" applyFont="1" applyBorder="1" applyAlignment="1">
      <alignment horizontal="right" vertical="center"/>
    </xf>
    <xf numFmtId="173" fontId="58" fillId="0" borderId="16" xfId="0" applyNumberFormat="1" applyFont="1" applyBorder="1" applyAlignment="1">
      <alignment horizontal="right" vertical="center"/>
    </xf>
    <xf numFmtId="173" fontId="58" fillId="0" borderId="17" xfId="0" applyNumberFormat="1" applyFont="1" applyBorder="1" applyAlignment="1">
      <alignment horizontal="right" vertical="center"/>
    </xf>
    <xf numFmtId="174" fontId="58" fillId="0" borderId="15" xfId="0" applyNumberFormat="1" applyFont="1" applyBorder="1" applyAlignment="1">
      <alignment horizontal="right" vertical="center"/>
    </xf>
    <xf numFmtId="174" fontId="58" fillId="0" borderId="16" xfId="0" applyNumberFormat="1" applyFont="1" applyBorder="1" applyAlignment="1">
      <alignment horizontal="right" vertical="center"/>
    </xf>
    <xf numFmtId="174" fontId="58" fillId="0" borderId="17" xfId="0" applyNumberFormat="1" applyFont="1" applyBorder="1" applyAlignment="1">
      <alignment horizontal="right" vertical="center"/>
    </xf>
    <xf numFmtId="10" fontId="46" fillId="0" borderId="15" xfId="0" applyNumberFormat="1" applyFont="1" applyBorder="1" applyAlignment="1">
      <alignment horizontal="right" vertical="center"/>
    </xf>
    <xf numFmtId="10" fontId="46" fillId="0" borderId="16" xfId="0" applyNumberFormat="1" applyFont="1" applyBorder="1" applyAlignment="1">
      <alignment horizontal="right" vertical="center"/>
    </xf>
    <xf numFmtId="10" fontId="46" fillId="0" borderId="17" xfId="0" applyNumberFormat="1" applyFont="1" applyBorder="1" applyAlignment="1">
      <alignment horizontal="right" vertical="center"/>
    </xf>
    <xf numFmtId="10" fontId="46" fillId="0" borderId="10" xfId="0" applyNumberFormat="1" applyFont="1" applyBorder="1" applyAlignment="1">
      <alignment horizontal="right" vertical="center"/>
    </xf>
    <xf numFmtId="10" fontId="46" fillId="0" borderId="12" xfId="0" applyNumberFormat="1" applyFont="1" applyBorder="1" applyAlignment="1">
      <alignment horizontal="right" vertical="center"/>
    </xf>
    <xf numFmtId="10" fontId="46" fillId="0" borderId="14" xfId="0" applyNumberFormat="1" applyFont="1" applyBorder="1" applyAlignment="1">
      <alignment horizontal="right" vertical="center"/>
    </xf>
    <xf numFmtId="168" fontId="46" fillId="0" borderId="9" xfId="0" applyNumberFormat="1" applyFont="1" applyBorder="1" applyAlignment="1">
      <alignment horizontal="right" vertical="center"/>
    </xf>
    <xf numFmtId="168" fontId="46" fillId="0" borderId="11" xfId="0" applyNumberFormat="1" applyFont="1" applyBorder="1" applyAlignment="1">
      <alignment horizontal="right" vertical="center"/>
    </xf>
    <xf numFmtId="168" fontId="46" fillId="0" borderId="13" xfId="0" applyNumberFormat="1" applyFont="1" applyBorder="1" applyAlignment="1">
      <alignment horizontal="right" vertical="center"/>
    </xf>
    <xf numFmtId="168" fontId="46" fillId="0" borderId="15" xfId="0" applyNumberFormat="1" applyFont="1" applyBorder="1" applyAlignment="1">
      <alignment horizontal="right" vertical="center"/>
    </xf>
    <xf numFmtId="168" fontId="46" fillId="0" borderId="16" xfId="0" applyNumberFormat="1" applyFont="1" applyBorder="1" applyAlignment="1">
      <alignment horizontal="right" vertical="center"/>
    </xf>
    <xf numFmtId="168" fontId="46" fillId="0" borderId="17" xfId="0" applyNumberFormat="1" applyFont="1" applyBorder="1" applyAlignment="1">
      <alignment horizontal="right" vertical="center"/>
    </xf>
    <xf numFmtId="4" fontId="57" fillId="5" borderId="0" xfId="0" applyNumberFormat="1" applyFont="1" applyFill="1" applyBorder="1" applyAlignment="1">
      <alignment vertical="center"/>
    </xf>
    <xf numFmtId="3" fontId="57" fillId="5" borderId="0" xfId="0" applyNumberFormat="1" applyFont="1" applyFill="1" applyBorder="1" applyAlignment="1">
      <alignment vertical="center"/>
    </xf>
    <xf numFmtId="0" fontId="59" fillId="4" borderId="28" xfId="0" applyFont="1" applyFill="1" applyBorder="1" applyAlignment="1">
      <alignment horizontal="center" vertical="center"/>
    </xf>
    <xf numFmtId="0" fontId="59" fillId="4" borderId="30" xfId="0" applyFont="1" applyFill="1" applyBorder="1" applyAlignment="1">
      <alignment horizontal="center" vertical="center"/>
    </xf>
    <xf numFmtId="0" fontId="59" fillId="3" borderId="4" xfId="0" applyFont="1" applyFill="1" applyBorder="1" applyAlignment="1">
      <alignment horizontal="centerContinuous" vertical="center"/>
    </xf>
    <xf numFmtId="0" fontId="59" fillId="3" borderId="5" xfId="0" applyFont="1" applyFill="1" applyBorder="1" applyAlignment="1">
      <alignment horizontal="centerContinuous" vertical="center"/>
    </xf>
    <xf numFmtId="4" fontId="58" fillId="0" borderId="9" xfId="0" applyNumberFormat="1" applyFont="1" applyBorder="1" applyAlignment="1">
      <alignment horizontal="center" vertical="center"/>
    </xf>
    <xf numFmtId="4" fontId="58" fillId="0" borderId="10" xfId="0" applyNumberFormat="1" applyFont="1" applyBorder="1" applyAlignment="1">
      <alignment horizontal="center" vertical="center"/>
    </xf>
    <xf numFmtId="4" fontId="58" fillId="0" borderId="11" xfId="0" applyNumberFormat="1" applyFont="1" applyBorder="1" applyAlignment="1">
      <alignment horizontal="center" vertical="center"/>
    </xf>
    <xf numFmtId="4" fontId="58" fillId="0" borderId="12" xfId="0" applyNumberFormat="1" applyFont="1" applyBorder="1" applyAlignment="1">
      <alignment horizontal="center" vertical="center"/>
    </xf>
    <xf numFmtId="4" fontId="58" fillId="0" borderId="13" xfId="0" applyNumberFormat="1" applyFont="1" applyBorder="1" applyAlignment="1">
      <alignment horizontal="center" vertical="center"/>
    </xf>
    <xf numFmtId="4" fontId="58" fillId="0" borderId="14" xfId="0" applyNumberFormat="1" applyFont="1" applyBorder="1" applyAlignment="1">
      <alignment horizontal="center" vertical="center"/>
    </xf>
    <xf numFmtId="0" fontId="66" fillId="0" borderId="42" xfId="4" applyBorder="1" applyAlignment="1">
      <alignment horizontal="centerContinuous" vertical="center"/>
    </xf>
    <xf numFmtId="0" fontId="66" fillId="0" borderId="43" xfId="4" applyBorder="1" applyAlignment="1">
      <alignment horizontal="centerContinuous" vertical="center"/>
    </xf>
    <xf numFmtId="0" fontId="66" fillId="0" borderId="45" xfId="4" applyBorder="1" applyAlignment="1">
      <alignment horizontal="centerContinuous" vertical="center"/>
    </xf>
    <xf numFmtId="0" fontId="66" fillId="0" borderId="44" xfId="4" applyFill="1" applyBorder="1" applyAlignment="1">
      <alignment horizontal="centerContinuous"/>
    </xf>
    <xf numFmtId="0" fontId="66" fillId="0" borderId="45" xfId="4" applyFill="1" applyBorder="1" applyAlignment="1">
      <alignment horizontal="centerContinuous"/>
    </xf>
    <xf numFmtId="0" fontId="50" fillId="3" borderId="49" xfId="0" applyFont="1" applyFill="1" applyBorder="1" applyAlignment="1">
      <alignment horizontal="centerContinuous" vertical="center"/>
    </xf>
    <xf numFmtId="4" fontId="56" fillId="5" borderId="0" xfId="0" applyNumberFormat="1" applyFont="1" applyFill="1" applyBorder="1" applyAlignment="1">
      <alignment horizontal="left" vertical="center"/>
    </xf>
    <xf numFmtId="4" fontId="57" fillId="5" borderId="0" xfId="0" applyNumberFormat="1" applyFont="1" applyFill="1" applyBorder="1" applyAlignment="1">
      <alignment horizontal="left" vertical="center"/>
    </xf>
    <xf numFmtId="4" fontId="50" fillId="3" borderId="5" xfId="0" applyNumberFormat="1" applyFont="1" applyFill="1" applyBorder="1" applyAlignment="1">
      <alignment horizontal="centerContinuous" vertical="center"/>
    </xf>
    <xf numFmtId="4" fontId="50" fillId="4" borderId="30" xfId="0" applyNumberFormat="1" applyFont="1" applyFill="1" applyBorder="1" applyAlignment="1">
      <alignment horizontal="center" vertical="center"/>
    </xf>
    <xf numFmtId="4" fontId="45" fillId="0" borderId="9" xfId="0" applyNumberFormat="1" applyFont="1" applyBorder="1" applyAlignment="1">
      <alignment horizontal="center" vertical="center"/>
    </xf>
    <xf numFmtId="4" fontId="45" fillId="0" borderId="10" xfId="0" applyNumberFormat="1" applyFont="1" applyBorder="1" applyAlignment="1">
      <alignment horizontal="center" vertical="center"/>
    </xf>
    <xf numFmtId="4" fontId="45" fillId="0" borderId="11" xfId="0" applyNumberFormat="1" applyFont="1" applyBorder="1" applyAlignment="1">
      <alignment horizontal="center" vertical="center"/>
    </xf>
    <xf numFmtId="4" fontId="45" fillId="0" borderId="12" xfId="0" applyNumberFormat="1" applyFont="1" applyBorder="1" applyAlignment="1">
      <alignment horizontal="center" vertical="center"/>
    </xf>
    <xf numFmtId="4" fontId="45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55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57" fillId="5" borderId="16" xfId="0" applyNumberFormat="1" applyFont="1" applyFill="1" applyBorder="1" applyAlignment="1">
      <alignment horizontal="right" vertical="center"/>
    </xf>
    <xf numFmtId="172" fontId="57" fillId="5" borderId="16" xfId="0" applyNumberFormat="1" applyFont="1" applyFill="1" applyBorder="1" applyAlignment="1">
      <alignment horizontal="right" vertical="center"/>
    </xf>
    <xf numFmtId="173" fontId="57" fillId="5" borderId="16" xfId="0" applyNumberFormat="1" applyFont="1" applyFill="1" applyBorder="1" applyAlignment="1">
      <alignment horizontal="right" vertical="center"/>
    </xf>
    <xf numFmtId="174" fontId="57" fillId="5" borderId="16" xfId="0" applyNumberFormat="1" applyFont="1" applyFill="1" applyBorder="1" applyAlignment="1">
      <alignment horizontal="right" vertical="center"/>
    </xf>
    <xf numFmtId="10" fontId="57" fillId="5" borderId="16" xfId="0" applyNumberFormat="1" applyFont="1" applyFill="1" applyBorder="1" applyAlignment="1">
      <alignment horizontal="right" vertical="center"/>
    </xf>
    <xf numFmtId="10" fontId="57" fillId="5" borderId="17" xfId="0" applyNumberFormat="1" applyFont="1" applyFill="1" applyBorder="1" applyAlignment="1">
      <alignment horizontal="right" vertical="center"/>
    </xf>
    <xf numFmtId="10" fontId="57" fillId="5" borderId="12" xfId="0" applyNumberFormat="1" applyFont="1" applyFill="1" applyBorder="1" applyAlignment="1">
      <alignment horizontal="right" vertical="center"/>
    </xf>
    <xf numFmtId="10" fontId="57" fillId="5" borderId="14" xfId="0" applyNumberFormat="1" applyFont="1" applyFill="1" applyBorder="1" applyAlignment="1">
      <alignment horizontal="right" vertical="center"/>
    </xf>
    <xf numFmtId="168" fontId="57" fillId="5" borderId="9" xfId="0" applyNumberFormat="1" applyFont="1" applyFill="1" applyBorder="1" applyAlignment="1">
      <alignment horizontal="right" vertical="center"/>
    </xf>
    <xf numFmtId="168" fontId="57" fillId="5" borderId="11" xfId="0" applyNumberFormat="1" applyFont="1" applyFill="1" applyBorder="1" applyAlignment="1">
      <alignment horizontal="right" vertical="center"/>
    </xf>
    <xf numFmtId="168" fontId="57" fillId="5" borderId="15" xfId="0" applyNumberFormat="1" applyFont="1" applyFill="1" applyBorder="1" applyAlignment="1">
      <alignment horizontal="right" vertical="center"/>
    </xf>
    <xf numFmtId="168" fontId="57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59" fillId="4" borderId="52" xfId="0" applyNumberFormat="1" applyFont="1" applyFill="1" applyBorder="1" applyAlignment="1">
      <alignment horizontal="center" vertical="center"/>
    </xf>
    <xf numFmtId="4" fontId="59" fillId="4" borderId="53" xfId="0" applyNumberFormat="1" applyFont="1" applyFill="1" applyBorder="1" applyAlignment="1">
      <alignment horizontal="center" vertical="center"/>
    </xf>
    <xf numFmtId="4" fontId="59" fillId="4" borderId="54" xfId="0" applyNumberFormat="1" applyFont="1" applyFill="1" applyBorder="1" applyAlignment="1">
      <alignment horizontal="center" vertical="center"/>
    </xf>
    <xf numFmtId="171" fontId="57" fillId="5" borderId="11" xfId="0" applyNumberFormat="1" applyFont="1" applyFill="1" applyBorder="1" applyAlignment="1">
      <alignment horizontal="right" vertical="center"/>
    </xf>
    <xf numFmtId="171" fontId="57" fillId="5" borderId="12" xfId="0" applyNumberFormat="1" applyFont="1" applyFill="1" applyBorder="1" applyAlignment="1">
      <alignment horizontal="right" vertical="center"/>
    </xf>
    <xf numFmtId="172" fontId="57" fillId="5" borderId="11" xfId="0" applyNumberFormat="1" applyFont="1" applyFill="1" applyBorder="1" applyAlignment="1">
      <alignment horizontal="right" vertical="center"/>
    </xf>
    <xf numFmtId="172" fontId="57" fillId="5" borderId="12" xfId="0" applyNumberFormat="1" applyFont="1" applyFill="1" applyBorder="1" applyAlignment="1">
      <alignment horizontal="right" vertical="center"/>
    </xf>
    <xf numFmtId="173" fontId="57" fillId="5" borderId="11" xfId="0" applyNumberFormat="1" applyFont="1" applyFill="1" applyBorder="1" applyAlignment="1">
      <alignment horizontal="right" vertical="center"/>
    </xf>
    <xf numFmtId="173" fontId="57" fillId="5" borderId="12" xfId="0" applyNumberFormat="1" applyFont="1" applyFill="1" applyBorder="1" applyAlignment="1">
      <alignment horizontal="right" vertical="center"/>
    </xf>
    <xf numFmtId="174" fontId="57" fillId="5" borderId="11" xfId="0" applyNumberFormat="1" applyFont="1" applyFill="1" applyBorder="1" applyAlignment="1">
      <alignment horizontal="right" vertical="center"/>
    </xf>
    <xf numFmtId="174" fontId="57" fillId="5" borderId="12" xfId="0" applyNumberFormat="1" applyFont="1" applyFill="1" applyBorder="1" applyAlignment="1">
      <alignment horizontal="right" vertical="center"/>
    </xf>
    <xf numFmtId="10" fontId="57" fillId="5" borderId="11" xfId="0" applyNumberFormat="1" applyFont="1" applyFill="1" applyBorder="1" applyAlignment="1">
      <alignment horizontal="right" vertical="center"/>
    </xf>
    <xf numFmtId="10" fontId="57" fillId="5" borderId="13" xfId="0" applyNumberFormat="1" applyFont="1" applyFill="1" applyBorder="1" applyAlignment="1">
      <alignment horizontal="right" vertical="center"/>
    </xf>
    <xf numFmtId="168" fontId="57" fillId="5" borderId="10" xfId="0" applyNumberFormat="1" applyFont="1" applyFill="1" applyBorder="1" applyAlignment="1">
      <alignment horizontal="right" vertical="center"/>
    </xf>
    <xf numFmtId="168" fontId="57" fillId="5" borderId="12" xfId="0" applyNumberFormat="1" applyFont="1" applyFill="1" applyBorder="1" applyAlignment="1">
      <alignment horizontal="right" vertical="center"/>
    </xf>
    <xf numFmtId="0" fontId="55" fillId="0" borderId="0" xfId="0" applyFont="1" applyAlignment="1">
      <alignment horizontal="center"/>
    </xf>
    <xf numFmtId="0" fontId="55" fillId="0" borderId="0" xfId="0" applyFont="1" applyAlignment="1">
      <alignment horizontal="center" vertical="center"/>
    </xf>
    <xf numFmtId="169" fontId="49" fillId="6" borderId="16" xfId="0" applyNumberFormat="1" applyFont="1" applyFill="1" applyBorder="1" applyAlignment="1">
      <alignment horizontal="right" vertical="center"/>
    </xf>
    <xf numFmtId="169" fontId="49" fillId="0" borderId="15" xfId="0" applyNumberFormat="1" applyFont="1" applyBorder="1" applyAlignment="1">
      <alignment horizontal="center" vertical="center"/>
    </xf>
    <xf numFmtId="4" fontId="50" fillId="4" borderId="22" xfId="0" applyNumberFormat="1" applyFont="1" applyFill="1" applyBorder="1" applyAlignment="1">
      <alignment horizontal="center" vertical="center"/>
    </xf>
    <xf numFmtId="0" fontId="66" fillId="8" borderId="0" xfId="4" applyFill="1" applyBorder="1" applyAlignment="1">
      <alignment horizontal="centerContinuous" vertical="center"/>
    </xf>
    <xf numFmtId="0" fontId="50" fillId="3" borderId="56" xfId="0" applyFont="1" applyFill="1" applyBorder="1" applyAlignment="1">
      <alignment horizontal="centerContinuous" vertical="center"/>
    </xf>
    <xf numFmtId="0" fontId="60" fillId="3" borderId="57" xfId="0" applyFont="1" applyFill="1" applyBorder="1" applyAlignment="1">
      <alignment horizontal="center" vertical="center"/>
    </xf>
    <xf numFmtId="0" fontId="50" fillId="3" borderId="58" xfId="0" applyFont="1" applyFill="1" applyBorder="1" applyAlignment="1">
      <alignment horizontal="centerContinuous" vertical="center"/>
    </xf>
    <xf numFmtId="0" fontId="50" fillId="3" borderId="45" xfId="0" applyFont="1" applyFill="1" applyBorder="1" applyAlignment="1">
      <alignment horizontal="centerContinuous" vertical="center"/>
    </xf>
    <xf numFmtId="4" fontId="58" fillId="0" borderId="17" xfId="0" applyNumberFormat="1" applyFont="1" applyBorder="1" applyAlignment="1">
      <alignment horizontal="center" vertical="center"/>
    </xf>
    <xf numFmtId="0" fontId="59" fillId="3" borderId="6" xfId="0" applyFont="1" applyFill="1" applyBorder="1" applyAlignment="1">
      <alignment horizontal="centerContinuous" vertical="center"/>
    </xf>
    <xf numFmtId="4" fontId="57" fillId="5" borderId="9" xfId="0" applyNumberFormat="1" applyFont="1" applyFill="1" applyBorder="1" applyAlignment="1">
      <alignment horizontal="center" vertical="center"/>
    </xf>
    <xf numFmtId="4" fontId="57" fillId="5" borderId="15" xfId="0" applyNumberFormat="1" applyFont="1" applyFill="1" applyBorder="1" applyAlignment="1">
      <alignment horizontal="center" vertical="center"/>
    </xf>
    <xf numFmtId="4" fontId="57" fillId="5" borderId="10" xfId="0" applyNumberFormat="1" applyFont="1" applyFill="1" applyBorder="1" applyAlignment="1">
      <alignment horizontal="center" vertical="center"/>
    </xf>
    <xf numFmtId="4" fontId="57" fillId="5" borderId="13" xfId="0" applyNumberFormat="1" applyFont="1" applyFill="1" applyBorder="1" applyAlignment="1">
      <alignment horizontal="center" vertical="center"/>
    </xf>
    <xf numFmtId="4" fontId="57" fillId="5" borderId="17" xfId="0" applyNumberFormat="1" applyFont="1" applyFill="1" applyBorder="1" applyAlignment="1">
      <alignment horizontal="center" vertical="center"/>
    </xf>
    <xf numFmtId="4" fontId="57" fillId="5" borderId="14" xfId="0" applyNumberFormat="1" applyFont="1" applyFill="1" applyBorder="1" applyAlignment="1">
      <alignment horizontal="center" vertical="center"/>
    </xf>
    <xf numFmtId="0" fontId="63" fillId="0" borderId="0" xfId="0" applyFont="1" applyFill="1" applyBorder="1" applyAlignment="1">
      <alignment horizontal="centerContinuous" vertical="center"/>
    </xf>
    <xf numFmtId="0" fontId="60" fillId="3" borderId="18" xfId="0" applyFont="1" applyFill="1" applyBorder="1" applyAlignment="1">
      <alignment horizontal="centerContinuous" vertical="center"/>
    </xf>
    <xf numFmtId="0" fontId="60" fillId="3" borderId="19" xfId="0" applyFont="1" applyFill="1" applyBorder="1" applyAlignment="1">
      <alignment horizontal="centerContinuous" vertical="center"/>
    </xf>
    <xf numFmtId="0" fontId="66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44" fillId="0" borderId="10" xfId="0" applyNumberFormat="1" applyFont="1" applyBorder="1" applyAlignment="1">
      <alignment horizontal="center" vertical="center"/>
    </xf>
    <xf numFmtId="4" fontId="44" fillId="0" borderId="12" xfId="0" applyNumberFormat="1" applyFont="1" applyBorder="1" applyAlignment="1">
      <alignment horizontal="center" vertical="center"/>
    </xf>
    <xf numFmtId="4" fontId="44" fillId="0" borderId="14" xfId="0" applyNumberFormat="1" applyFont="1" applyBorder="1" applyAlignment="1">
      <alignment horizontal="center" vertical="center"/>
    </xf>
    <xf numFmtId="0" fontId="52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43" fillId="0" borderId="0" xfId="0" applyFont="1"/>
    <xf numFmtId="0" fontId="42" fillId="0" borderId="0" xfId="0" applyFont="1"/>
    <xf numFmtId="168" fontId="42" fillId="0" borderId="0" xfId="0" applyNumberFormat="1" applyFont="1" applyAlignment="1">
      <alignment horizontal="right"/>
    </xf>
    <xf numFmtId="168" fontId="41" fillId="0" borderId="0" xfId="0" applyNumberFormat="1" applyFont="1" applyAlignment="1">
      <alignment horizontal="right"/>
    </xf>
    <xf numFmtId="0" fontId="40" fillId="0" borderId="0" xfId="0" applyFont="1"/>
    <xf numFmtId="168" fontId="40" fillId="0" borderId="0" xfId="0" applyNumberFormat="1" applyFont="1" applyAlignment="1">
      <alignment horizontal="right"/>
    </xf>
    <xf numFmtId="4" fontId="39" fillId="0" borderId="9" xfId="0" applyNumberFormat="1" applyFont="1" applyBorder="1" applyAlignment="1">
      <alignment horizontal="center" vertical="center"/>
    </xf>
    <xf numFmtId="4" fontId="39" fillId="0" borderId="10" xfId="0" applyNumberFormat="1" applyFont="1" applyBorder="1" applyAlignment="1">
      <alignment horizontal="center" vertical="center"/>
    </xf>
    <xf numFmtId="4" fontId="39" fillId="0" borderId="13" xfId="0" applyNumberFormat="1" applyFont="1" applyBorder="1" applyAlignment="1">
      <alignment horizontal="center" vertical="center"/>
    </xf>
    <xf numFmtId="4" fontId="39" fillId="0" borderId="14" xfId="0" applyNumberFormat="1" applyFont="1" applyBorder="1" applyAlignment="1">
      <alignment horizontal="center" vertical="center"/>
    </xf>
    <xf numFmtId="4" fontId="39" fillId="0" borderId="12" xfId="0" applyNumberFormat="1" applyFont="1" applyBorder="1" applyAlignment="1">
      <alignment horizontal="center" vertical="center"/>
    </xf>
    <xf numFmtId="10" fontId="39" fillId="0" borderId="15" xfId="0" applyNumberFormat="1" applyFont="1" applyBorder="1" applyAlignment="1">
      <alignment horizontal="right" vertical="center"/>
    </xf>
    <xf numFmtId="10" fontId="39" fillId="0" borderId="16" xfId="0" applyNumberFormat="1" applyFont="1" applyBorder="1" applyAlignment="1">
      <alignment horizontal="right" vertical="center"/>
    </xf>
    <xf numFmtId="10" fontId="39" fillId="0" borderId="17" xfId="0" applyNumberFormat="1" applyFont="1" applyBorder="1" applyAlignment="1">
      <alignment horizontal="right" vertical="center"/>
    </xf>
    <xf numFmtId="4" fontId="39" fillId="0" borderId="20" xfId="0" applyNumberFormat="1" applyFont="1" applyBorder="1" applyAlignment="1">
      <alignment horizontal="center" vertical="center"/>
    </xf>
    <xf numFmtId="4" fontId="39" fillId="0" borderId="22" xfId="0" applyNumberFormat="1" applyFont="1" applyBorder="1" applyAlignment="1">
      <alignment horizontal="center" vertical="center"/>
    </xf>
    <xf numFmtId="10" fontId="39" fillId="0" borderId="21" xfId="0" applyNumberFormat="1" applyFont="1" applyBorder="1" applyAlignment="1">
      <alignment horizontal="right" vertical="center"/>
    </xf>
    <xf numFmtId="168" fontId="39" fillId="0" borderId="9" xfId="0" applyNumberFormat="1" applyFont="1" applyBorder="1" applyAlignment="1">
      <alignment horizontal="right" vertical="center"/>
    </xf>
    <xf numFmtId="168" fontId="39" fillId="0" borderId="11" xfId="0" applyNumberFormat="1" applyFont="1" applyBorder="1" applyAlignment="1">
      <alignment horizontal="right" vertical="center"/>
    </xf>
    <xf numFmtId="168" fontId="39" fillId="0" borderId="13" xfId="0" applyNumberFormat="1" applyFont="1" applyBorder="1" applyAlignment="1">
      <alignment horizontal="right" vertical="center"/>
    </xf>
    <xf numFmtId="0" fontId="59" fillId="3" borderId="4" xfId="2" applyFont="1" applyFill="1" applyBorder="1" applyAlignment="1">
      <alignment horizontal="centerContinuous" vertical="center"/>
    </xf>
    <xf numFmtId="0" fontId="59" fillId="3" borderId="6" xfId="2" applyFont="1" applyFill="1" applyBorder="1" applyAlignment="1">
      <alignment horizontal="centerContinuous" vertical="center"/>
    </xf>
    <xf numFmtId="0" fontId="59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50" fillId="4" borderId="61" xfId="0" applyFont="1" applyFill="1" applyBorder="1" applyAlignment="1">
      <alignment horizontal="centerContinuous" vertical="center"/>
    </xf>
    <xf numFmtId="0" fontId="50" fillId="4" borderId="62" xfId="0" applyFont="1" applyFill="1" applyBorder="1" applyAlignment="1">
      <alignment horizontal="centerContinuous" vertical="center"/>
    </xf>
    <xf numFmtId="0" fontId="50" fillId="4" borderId="63" xfId="0" applyFont="1" applyFill="1" applyBorder="1" applyAlignment="1">
      <alignment horizontal="centerContinuous" vertical="center"/>
    </xf>
    <xf numFmtId="169" fontId="39" fillId="0" borderId="15" xfId="0" applyNumberFormat="1" applyFont="1" applyBorder="1" applyAlignment="1">
      <alignment horizontal="center" vertical="center"/>
    </xf>
    <xf numFmtId="169" fontId="39" fillId="0" borderId="16" xfId="0" applyNumberFormat="1" applyFont="1" applyBorder="1" applyAlignment="1">
      <alignment horizontal="center" vertical="center"/>
    </xf>
    <xf numFmtId="169" fontId="39" fillId="0" borderId="17" xfId="0" applyNumberFormat="1" applyFont="1" applyBorder="1" applyAlignment="1">
      <alignment horizontal="center" vertical="center"/>
    </xf>
    <xf numFmtId="10" fontId="38" fillId="0" borderId="16" xfId="0" applyNumberFormat="1" applyFont="1" applyBorder="1" applyAlignment="1">
      <alignment horizontal="right" vertical="center"/>
    </xf>
    <xf numFmtId="4" fontId="38" fillId="0" borderId="12" xfId="0" applyNumberFormat="1" applyFont="1" applyBorder="1" applyAlignment="1">
      <alignment horizontal="center" vertical="center"/>
    </xf>
    <xf numFmtId="10" fontId="38" fillId="0" borderId="17" xfId="0" applyNumberFormat="1" applyFont="1" applyBorder="1" applyAlignment="1">
      <alignment horizontal="right" vertical="center"/>
    </xf>
    <xf numFmtId="4" fontId="38" fillId="0" borderId="14" xfId="0" applyNumberFormat="1" applyFont="1" applyBorder="1" applyAlignment="1">
      <alignment horizontal="center" vertical="center"/>
    </xf>
    <xf numFmtId="4" fontId="38" fillId="0" borderId="10" xfId="0" applyNumberFormat="1" applyFont="1" applyBorder="1" applyAlignment="1">
      <alignment horizontal="center" vertical="center"/>
    </xf>
    <xf numFmtId="10" fontId="38" fillId="0" borderId="15" xfId="0" applyNumberFormat="1" applyFont="1" applyBorder="1" applyAlignment="1">
      <alignment horizontal="right" vertical="center"/>
    </xf>
    <xf numFmtId="4" fontId="39" fillId="0" borderId="64" xfId="0" applyNumberFormat="1" applyFont="1" applyBorder="1" applyAlignment="1">
      <alignment horizontal="center" vertical="center"/>
    </xf>
    <xf numFmtId="10" fontId="39" fillId="0" borderId="65" xfId="0" applyNumberFormat="1" applyFont="1" applyBorder="1" applyAlignment="1">
      <alignment horizontal="right" vertical="center"/>
    </xf>
    <xf numFmtId="4" fontId="39" fillId="0" borderId="66" xfId="0" applyNumberFormat="1" applyFont="1" applyBorder="1" applyAlignment="1">
      <alignment horizontal="center" vertical="center"/>
    </xf>
    <xf numFmtId="4" fontId="39" fillId="0" borderId="67" xfId="0" applyNumberFormat="1" applyFont="1" applyBorder="1" applyAlignment="1">
      <alignment horizontal="center" vertical="center"/>
    </xf>
    <xf numFmtId="4" fontId="39" fillId="0" borderId="68" xfId="0" applyNumberFormat="1" applyFont="1" applyBorder="1" applyAlignment="1">
      <alignment horizontal="center" vertical="center"/>
    </xf>
    <xf numFmtId="4" fontId="39" fillId="0" borderId="69" xfId="0" applyNumberFormat="1" applyFont="1" applyBorder="1" applyAlignment="1">
      <alignment horizontal="center" vertical="center"/>
    </xf>
    <xf numFmtId="10" fontId="39" fillId="0" borderId="70" xfId="0" applyNumberFormat="1" applyFont="1" applyBorder="1" applyAlignment="1">
      <alignment horizontal="right" vertical="center"/>
    </xf>
    <xf numFmtId="4" fontId="39" fillId="0" borderId="71" xfId="0" applyNumberFormat="1" applyFont="1" applyBorder="1" applyAlignment="1">
      <alignment horizontal="center" vertical="center"/>
    </xf>
    <xf numFmtId="4" fontId="37" fillId="0" borderId="9" xfId="0" applyNumberFormat="1" applyFont="1" applyBorder="1" applyAlignment="1">
      <alignment horizontal="center" vertical="center"/>
    </xf>
    <xf numFmtId="4" fontId="37" fillId="0" borderId="11" xfId="0" applyNumberFormat="1" applyFont="1" applyBorder="1" applyAlignment="1">
      <alignment horizontal="center" vertical="center"/>
    </xf>
    <xf numFmtId="4" fontId="37" fillId="0" borderId="1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36" fillId="0" borderId="11" xfId="0" applyNumberFormat="1" applyFont="1" applyBorder="1" applyAlignment="1">
      <alignment horizontal="right" vertical="center"/>
    </xf>
    <xf numFmtId="4" fontId="36" fillId="0" borderId="14" xfId="0" applyNumberFormat="1" applyFont="1" applyBorder="1" applyAlignment="1">
      <alignment horizontal="center" vertical="center"/>
    </xf>
    <xf numFmtId="175" fontId="66" fillId="0" borderId="0" xfId="4" applyNumberFormat="1"/>
    <xf numFmtId="4" fontId="35" fillId="0" borderId="11" xfId="0" applyNumberFormat="1" applyFont="1" applyBorder="1" applyAlignment="1">
      <alignment horizontal="center" vertical="center"/>
    </xf>
    <xf numFmtId="4" fontId="35" fillId="0" borderId="9" xfId="0" applyNumberFormat="1" applyFont="1" applyBorder="1" applyAlignment="1">
      <alignment horizontal="center" vertical="center"/>
    </xf>
    <xf numFmtId="4" fontId="35" fillId="0" borderId="12" xfId="0" applyNumberFormat="1" applyFont="1" applyBorder="1" applyAlignment="1">
      <alignment horizontal="center" vertical="center"/>
    </xf>
    <xf numFmtId="176" fontId="36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44" fillId="0" borderId="15" xfId="0" applyNumberFormat="1" applyFont="1" applyBorder="1" applyAlignment="1">
      <alignment horizontal="right" vertical="center"/>
    </xf>
    <xf numFmtId="170" fontId="44" fillId="0" borderId="16" xfId="0" applyNumberFormat="1" applyFont="1" applyBorder="1" applyAlignment="1">
      <alignment horizontal="right" vertical="center"/>
    </xf>
    <xf numFmtId="170" fontId="44" fillId="0" borderId="17" xfId="0" applyNumberFormat="1" applyFont="1" applyBorder="1" applyAlignment="1">
      <alignment horizontal="right" vertical="center"/>
    </xf>
    <xf numFmtId="178" fontId="36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58" fillId="0" borderId="16" xfId="0" applyNumberFormat="1" applyFont="1" applyBorder="1" applyAlignment="1">
      <alignment horizontal="center" vertical="center"/>
    </xf>
    <xf numFmtId="4" fontId="58" fillId="0" borderId="55" xfId="0" applyNumberFormat="1" applyFont="1" applyBorder="1" applyAlignment="1">
      <alignment horizontal="center" vertical="center"/>
    </xf>
    <xf numFmtId="4" fontId="58" fillId="0" borderId="75" xfId="0" applyNumberFormat="1" applyFont="1" applyBorder="1" applyAlignment="1">
      <alignment horizontal="center" vertical="center"/>
    </xf>
    <xf numFmtId="0" fontId="59" fillId="4" borderId="20" xfId="0" applyFont="1" applyFill="1" applyBorder="1" applyAlignment="1">
      <alignment horizontal="center" vertical="center"/>
    </xf>
    <xf numFmtId="0" fontId="59" fillId="4" borderId="21" xfId="0" applyFont="1" applyFill="1" applyBorder="1" applyAlignment="1">
      <alignment horizontal="center" vertical="center"/>
    </xf>
    <xf numFmtId="0" fontId="59" fillId="4" borderId="22" xfId="0" applyFont="1" applyFill="1" applyBorder="1" applyAlignment="1">
      <alignment horizontal="center" vertical="center"/>
    </xf>
    <xf numFmtId="4" fontId="58" fillId="0" borderId="76" xfId="0" applyNumberFormat="1" applyFont="1" applyBorder="1" applyAlignment="1">
      <alignment horizontal="center" vertical="center"/>
    </xf>
    <xf numFmtId="4" fontId="58" fillId="0" borderId="77" xfId="0" applyNumberFormat="1" applyFont="1" applyBorder="1" applyAlignment="1">
      <alignment horizontal="center" vertical="center"/>
    </xf>
    <xf numFmtId="4" fontId="58" fillId="0" borderId="78" xfId="0" applyNumberFormat="1" applyFont="1" applyBorder="1" applyAlignment="1">
      <alignment horizontal="center" vertical="center"/>
    </xf>
    <xf numFmtId="0" fontId="59" fillId="4" borderId="72" xfId="0" applyFont="1" applyFill="1" applyBorder="1" applyAlignment="1">
      <alignment horizontal="center" vertical="center"/>
    </xf>
    <xf numFmtId="0" fontId="59" fillId="4" borderId="73" xfId="0" applyFont="1" applyFill="1" applyBorder="1" applyAlignment="1">
      <alignment horizontal="center" vertical="center"/>
    </xf>
    <xf numFmtId="0" fontId="59" fillId="4" borderId="74" xfId="0" applyFont="1" applyFill="1" applyBorder="1" applyAlignment="1">
      <alignment horizontal="center" vertical="center"/>
    </xf>
    <xf numFmtId="0" fontId="59" fillId="4" borderId="29" xfId="0" applyFont="1" applyFill="1" applyBorder="1" applyAlignment="1">
      <alignment horizontal="center" vertical="center"/>
    </xf>
    <xf numFmtId="4" fontId="59" fillId="4" borderId="74" xfId="0" applyNumberFormat="1" applyFont="1" applyFill="1" applyBorder="1" applyAlignment="1">
      <alignment horizontal="center" vertical="center"/>
    </xf>
    <xf numFmtId="4" fontId="57" fillId="5" borderId="0" xfId="0" quotePrefix="1" applyNumberFormat="1" applyFont="1" applyFill="1" applyBorder="1" applyAlignment="1">
      <alignment horizontal="left" vertical="center"/>
    </xf>
    <xf numFmtId="4" fontId="59" fillId="3" borderId="4" xfId="0" applyNumberFormat="1" applyFont="1" applyFill="1" applyBorder="1" applyAlignment="1">
      <alignment horizontal="centerContinuous" vertical="center"/>
    </xf>
    <xf numFmtId="4" fontId="59" fillId="3" borderId="6" xfId="0" applyNumberFormat="1" applyFont="1" applyFill="1" applyBorder="1" applyAlignment="1">
      <alignment horizontal="centerContinuous" vertical="center"/>
    </xf>
    <xf numFmtId="4" fontId="59" fillId="3" borderId="5" xfId="0" applyNumberFormat="1" applyFont="1" applyFill="1" applyBorder="1" applyAlignment="1">
      <alignment horizontal="centerContinuous" vertical="center"/>
    </xf>
    <xf numFmtId="4" fontId="59" fillId="4" borderId="22" xfId="0" applyNumberFormat="1" applyFont="1" applyFill="1" applyBorder="1" applyAlignment="1">
      <alignment horizontal="center" vertical="center"/>
    </xf>
    <xf numFmtId="0" fontId="58" fillId="0" borderId="0" xfId="0" applyFont="1"/>
    <xf numFmtId="168" fontId="58" fillId="0" borderId="0" xfId="0" applyNumberFormat="1" applyFont="1" applyAlignment="1">
      <alignment horizontal="center"/>
    </xf>
    <xf numFmtId="0" fontId="58" fillId="0" borderId="0" xfId="0" applyFont="1" applyAlignment="1">
      <alignment horizontal="center" vertical="center"/>
    </xf>
    <xf numFmtId="168" fontId="58" fillId="0" borderId="10" xfId="0" applyNumberFormat="1" applyFont="1" applyBorder="1" applyAlignment="1">
      <alignment horizontal="center" vertical="center"/>
    </xf>
    <xf numFmtId="0" fontId="50" fillId="4" borderId="79" xfId="0" applyFont="1" applyFill="1" applyBorder="1" applyAlignment="1">
      <alignment horizontal="center" vertical="center"/>
    </xf>
    <xf numFmtId="4" fontId="58" fillId="0" borderId="61" xfId="0" applyNumberFormat="1" applyFont="1" applyBorder="1" applyAlignment="1">
      <alignment horizontal="center" vertical="center"/>
    </xf>
    <xf numFmtId="168" fontId="58" fillId="0" borderId="63" xfId="0" applyNumberFormat="1" applyFont="1" applyBorder="1" applyAlignment="1">
      <alignment horizontal="center" vertical="center"/>
    </xf>
    <xf numFmtId="0" fontId="64" fillId="0" borderId="1" xfId="1" applyFont="1"/>
    <xf numFmtId="0" fontId="65" fillId="0" borderId="83" xfId="2" applyFont="1"/>
    <xf numFmtId="0" fontId="65" fillId="0" borderId="84" xfId="3" applyFont="1"/>
    <xf numFmtId="168" fontId="58" fillId="0" borderId="44" xfId="0" applyNumberFormat="1" applyFont="1" applyBorder="1" applyAlignment="1">
      <alignment horizontal="center"/>
    </xf>
    <xf numFmtId="168" fontId="58" fillId="0" borderId="82" xfId="0" applyNumberFormat="1" applyFont="1" applyBorder="1" applyAlignment="1">
      <alignment horizontal="center"/>
    </xf>
    <xf numFmtId="0" fontId="58" fillId="0" borderId="45" xfId="0" applyFont="1" applyBorder="1" applyAlignment="1">
      <alignment horizontal="center" vertical="center"/>
    </xf>
    <xf numFmtId="168" fontId="34" fillId="0" borderId="80" xfId="0" applyNumberFormat="1" applyFont="1" applyBorder="1" applyAlignment="1">
      <alignment horizontal="center" vertical="center"/>
    </xf>
    <xf numFmtId="168" fontId="34" fillId="0" borderId="81" xfId="0" applyNumberFormat="1" applyFont="1" applyBorder="1" applyAlignment="1">
      <alignment horizontal="center" vertical="center"/>
    </xf>
    <xf numFmtId="168" fontId="58" fillId="0" borderId="12" xfId="0" applyNumberFormat="1" applyFont="1" applyBorder="1" applyAlignment="1">
      <alignment horizontal="center" vertical="center"/>
    </xf>
    <xf numFmtId="168" fontId="58" fillId="0" borderId="9" xfId="0" applyNumberFormat="1" applyFont="1" applyBorder="1" applyAlignment="1">
      <alignment horizontal="center" vertical="center"/>
    </xf>
    <xf numFmtId="168" fontId="58" fillId="0" borderId="15" xfId="0" applyNumberFormat="1" applyFont="1" applyBorder="1" applyAlignment="1">
      <alignment horizontal="center" vertical="center"/>
    </xf>
    <xf numFmtId="168" fontId="58" fillId="0" borderId="11" xfId="0" applyNumberFormat="1" applyFont="1" applyBorder="1" applyAlignment="1">
      <alignment horizontal="center" vertical="center"/>
    </xf>
    <xf numFmtId="168" fontId="58" fillId="0" borderId="16" xfId="0" applyNumberFormat="1" applyFont="1" applyBorder="1" applyAlignment="1">
      <alignment horizontal="center" vertical="center"/>
    </xf>
    <xf numFmtId="168" fontId="58" fillId="0" borderId="13" xfId="0" applyNumberFormat="1" applyFont="1" applyBorder="1" applyAlignment="1">
      <alignment horizontal="center" vertical="center"/>
    </xf>
    <xf numFmtId="168" fontId="58" fillId="0" borderId="17" xfId="0" applyNumberFormat="1" applyFont="1" applyBorder="1" applyAlignment="1">
      <alignment horizontal="center" vertical="center"/>
    </xf>
    <xf numFmtId="4" fontId="58" fillId="0" borderId="15" xfId="0" applyNumberFormat="1" applyFont="1" applyBorder="1" applyAlignment="1">
      <alignment horizontal="center" vertical="center"/>
    </xf>
    <xf numFmtId="168" fontId="58" fillId="0" borderId="14" xfId="0" applyNumberFormat="1" applyFont="1" applyBorder="1" applyAlignment="1">
      <alignment horizontal="center" vertical="center"/>
    </xf>
    <xf numFmtId="4" fontId="59" fillId="4" borderId="28" xfId="0" applyNumberFormat="1" applyFont="1" applyFill="1" applyBorder="1" applyAlignment="1">
      <alignment horizontal="center" vertical="center"/>
    </xf>
    <xf numFmtId="168" fontId="59" fillId="4" borderId="29" xfId="0" applyNumberFormat="1" applyFont="1" applyFill="1" applyBorder="1" applyAlignment="1">
      <alignment horizontal="center" vertical="center"/>
    </xf>
    <xf numFmtId="4" fontId="58" fillId="0" borderId="85" xfId="0" applyNumberFormat="1" applyFont="1" applyBorder="1" applyAlignment="1">
      <alignment horizontal="center" vertical="center"/>
    </xf>
    <xf numFmtId="2" fontId="58" fillId="0" borderId="44" xfId="0" applyNumberFormat="1" applyFont="1" applyBorder="1" applyAlignment="1">
      <alignment horizontal="center"/>
    </xf>
    <xf numFmtId="2" fontId="58" fillId="0" borderId="82" xfId="0" applyNumberFormat="1" applyFont="1" applyBorder="1" applyAlignment="1">
      <alignment horizontal="center"/>
    </xf>
    <xf numFmtId="4" fontId="58" fillId="0" borderId="86" xfId="0" applyNumberFormat="1" applyFont="1" applyBorder="1" applyAlignment="1">
      <alignment horizontal="center" vertical="center"/>
    </xf>
    <xf numFmtId="4" fontId="58" fillId="0" borderId="71" xfId="0" applyNumberFormat="1" applyFont="1" applyBorder="1" applyAlignment="1">
      <alignment horizontal="center" vertical="center"/>
    </xf>
    <xf numFmtId="4" fontId="58" fillId="0" borderId="88" xfId="0" applyNumberFormat="1" applyFont="1" applyBorder="1" applyAlignment="1">
      <alignment horizontal="center" vertical="center"/>
    </xf>
    <xf numFmtId="4" fontId="58" fillId="0" borderId="87" xfId="0" applyNumberFormat="1" applyFont="1" applyBorder="1" applyAlignment="1">
      <alignment horizontal="center" vertical="center"/>
    </xf>
    <xf numFmtId="2" fontId="60" fillId="4" borderId="52" xfId="0" applyNumberFormat="1" applyFont="1" applyFill="1" applyBorder="1" applyAlignment="1">
      <alignment horizontal="center" vertical="center"/>
    </xf>
    <xf numFmtId="0" fontId="59" fillId="3" borderId="18" xfId="0" applyFont="1" applyFill="1" applyBorder="1" applyAlignment="1">
      <alignment horizontal="centerContinuous" vertical="center"/>
    </xf>
    <xf numFmtId="0" fontId="60" fillId="3" borderId="89" xfId="0" applyFont="1" applyFill="1" applyBorder="1" applyAlignment="1">
      <alignment horizontal="centerContinuous" vertical="center"/>
    </xf>
    <xf numFmtId="0" fontId="60" fillId="3" borderId="51" xfId="0" applyFont="1" applyFill="1" applyBorder="1" applyAlignment="1">
      <alignment horizontal="centerContinuous" vertical="center"/>
    </xf>
    <xf numFmtId="0" fontId="60" fillId="3" borderId="7" xfId="0" applyFont="1" applyFill="1" applyBorder="1" applyAlignment="1">
      <alignment horizontal="centerContinuous" vertical="center"/>
    </xf>
    <xf numFmtId="0" fontId="60" fillId="3" borderId="4" xfId="0" applyFont="1" applyFill="1" applyBorder="1" applyAlignment="1">
      <alignment horizontal="centerContinuous" vertical="center"/>
    </xf>
    <xf numFmtId="0" fontId="60" fillId="3" borderId="5" xfId="0" applyFont="1" applyFill="1" applyBorder="1" applyAlignment="1">
      <alignment horizontal="centerContinuous" vertical="center"/>
    </xf>
    <xf numFmtId="4" fontId="58" fillId="0" borderId="22" xfId="0" applyNumberFormat="1" applyFont="1" applyBorder="1" applyAlignment="1">
      <alignment horizontal="center" vertical="center"/>
    </xf>
    <xf numFmtId="0" fontId="60" fillId="3" borderId="6" xfId="0" applyFont="1" applyFill="1" applyBorder="1" applyAlignment="1">
      <alignment horizontal="centerContinuous" vertical="center"/>
    </xf>
    <xf numFmtId="0" fontId="59" fillId="3" borderId="8" xfId="0" applyFont="1" applyFill="1" applyBorder="1" applyAlignment="1">
      <alignment horizontal="centerContinuous" vertical="center"/>
    </xf>
    <xf numFmtId="0" fontId="59" fillId="3" borderId="0" xfId="0" applyFont="1" applyFill="1" applyBorder="1" applyAlignment="1">
      <alignment horizontal="centerContinuous" vertical="center"/>
    </xf>
    <xf numFmtId="0" fontId="59" fillId="4" borderId="90" xfId="0" applyFont="1" applyFill="1" applyBorder="1" applyAlignment="1">
      <alignment horizontal="center" vertical="center"/>
    </xf>
    <xf numFmtId="4" fontId="58" fillId="0" borderId="91" xfId="0" applyNumberFormat="1" applyFont="1" applyBorder="1" applyAlignment="1">
      <alignment horizontal="center" vertical="center"/>
    </xf>
    <xf numFmtId="2" fontId="60" fillId="4" borderId="28" xfId="0" applyNumberFormat="1" applyFont="1" applyFill="1" applyBorder="1" applyAlignment="1">
      <alignment horizontal="center" vertical="center"/>
    </xf>
    <xf numFmtId="2" fontId="60" fillId="4" borderId="29" xfId="0" applyNumberFormat="1" applyFont="1" applyFill="1" applyBorder="1" applyAlignment="1">
      <alignment horizontal="center" vertical="center"/>
    </xf>
    <xf numFmtId="2" fontId="60" fillId="4" borderId="30" xfId="0" applyNumberFormat="1" applyFont="1" applyFill="1" applyBorder="1" applyAlignment="1">
      <alignment horizontal="center" vertical="center"/>
    </xf>
    <xf numFmtId="2" fontId="58" fillId="0" borderId="31" xfId="0" applyNumberFormat="1" applyFont="1" applyBorder="1" applyAlignment="1">
      <alignment horizontal="center"/>
    </xf>
    <xf numFmtId="2" fontId="58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60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60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60" fillId="4" borderId="96" xfId="0" applyNumberFormat="1" applyFont="1" applyFill="1" applyBorder="1" applyAlignment="1">
      <alignment horizontal="center" vertical="center"/>
    </xf>
    <xf numFmtId="4" fontId="58" fillId="0" borderId="97" xfId="0" applyNumberFormat="1" applyFont="1" applyBorder="1" applyAlignment="1">
      <alignment horizontal="center" vertical="center"/>
    </xf>
    <xf numFmtId="4" fontId="59" fillId="4" borderId="20" xfId="0" applyNumberFormat="1" applyFont="1" applyFill="1" applyBorder="1" applyAlignment="1">
      <alignment horizontal="centerContinuous" vertical="center"/>
    </xf>
    <xf numFmtId="4" fontId="59" fillId="4" borderId="21" xfId="0" applyNumberFormat="1" applyFont="1" applyFill="1" applyBorder="1" applyAlignment="1">
      <alignment horizontal="centerContinuous" vertical="center"/>
    </xf>
    <xf numFmtId="4" fontId="59" fillId="4" borderId="22" xfId="0" applyNumberFormat="1" applyFont="1" applyFill="1" applyBorder="1" applyAlignment="1">
      <alignment horizontal="centerContinuous" vertical="center"/>
    </xf>
    <xf numFmtId="4" fontId="58" fillId="0" borderId="98" xfId="0" applyNumberFormat="1" applyFont="1" applyBorder="1" applyAlignment="1">
      <alignment horizontal="center" vertical="center"/>
    </xf>
    <xf numFmtId="4" fontId="58" fillId="0" borderId="99" xfId="0" applyNumberFormat="1" applyFont="1" applyBorder="1" applyAlignment="1">
      <alignment horizontal="center" vertical="center"/>
    </xf>
    <xf numFmtId="4" fontId="58" fillId="0" borderId="100" xfId="0" applyNumberFormat="1" applyFont="1" applyBorder="1" applyAlignment="1">
      <alignment horizontal="center" vertical="center"/>
    </xf>
    <xf numFmtId="4" fontId="58" fillId="0" borderId="101" xfId="0" applyNumberFormat="1" applyFont="1" applyBorder="1" applyAlignment="1">
      <alignment horizontal="center" vertical="center"/>
    </xf>
    <xf numFmtId="4" fontId="58" fillId="0" borderId="102" xfId="0" applyNumberFormat="1" applyFont="1" applyBorder="1" applyAlignment="1">
      <alignment horizontal="center" vertical="center"/>
    </xf>
    <xf numFmtId="4" fontId="58" fillId="0" borderId="103" xfId="0" applyNumberFormat="1" applyFont="1" applyBorder="1" applyAlignment="1">
      <alignment horizontal="center" vertical="center"/>
    </xf>
    <xf numFmtId="0" fontId="60" fillId="4" borderId="28" xfId="0" applyFont="1" applyFill="1" applyBorder="1" applyAlignment="1">
      <alignment horizontal="center" vertical="center"/>
    </xf>
    <xf numFmtId="0" fontId="60" fillId="4" borderId="30" xfId="0" applyFont="1" applyFill="1" applyBorder="1" applyAlignment="1">
      <alignment horizontal="center" vertical="center"/>
    </xf>
    <xf numFmtId="4" fontId="58" fillId="0" borderId="64" xfId="0" applyNumberFormat="1" applyFont="1" applyBorder="1" applyAlignment="1">
      <alignment horizontal="center" vertical="center"/>
    </xf>
    <xf numFmtId="4" fontId="58" fillId="0" borderId="66" xfId="0" applyNumberFormat="1" applyFont="1" applyBorder="1" applyAlignment="1">
      <alignment horizontal="center" vertical="center"/>
    </xf>
    <xf numFmtId="4" fontId="58" fillId="0" borderId="107" xfId="0" applyNumberFormat="1" applyFont="1" applyBorder="1" applyAlignment="1">
      <alignment horizontal="center" vertical="center"/>
    </xf>
    <xf numFmtId="4" fontId="58" fillId="0" borderId="108" xfId="0" applyNumberFormat="1" applyFont="1" applyBorder="1" applyAlignment="1">
      <alignment horizontal="center" vertical="center"/>
    </xf>
    <xf numFmtId="4" fontId="58" fillId="0" borderId="109" xfId="0" applyNumberFormat="1" applyFont="1" applyBorder="1" applyAlignment="1">
      <alignment horizontal="center" vertical="center"/>
    </xf>
    <xf numFmtId="4" fontId="58" fillId="0" borderId="110" xfId="0" applyNumberFormat="1" applyFont="1" applyBorder="1" applyAlignment="1">
      <alignment horizontal="center" vertical="center"/>
    </xf>
    <xf numFmtId="4" fontId="58" fillId="0" borderId="111" xfId="0" applyNumberFormat="1" applyFont="1" applyBorder="1" applyAlignment="1">
      <alignment horizontal="center" vertical="center"/>
    </xf>
    <xf numFmtId="4" fontId="58" fillId="0" borderId="112" xfId="0" applyNumberFormat="1" applyFont="1" applyBorder="1" applyAlignment="1">
      <alignment horizontal="center" vertical="center"/>
    </xf>
    <xf numFmtId="4" fontId="58" fillId="0" borderId="113" xfId="0" applyNumberFormat="1" applyFont="1" applyBorder="1" applyAlignment="1">
      <alignment horizontal="center" vertical="center"/>
    </xf>
    <xf numFmtId="4" fontId="59" fillId="4" borderId="114" xfId="0" applyNumberFormat="1" applyFont="1" applyFill="1" applyBorder="1" applyAlignment="1">
      <alignment horizontal="center" vertical="center"/>
    </xf>
    <xf numFmtId="4" fontId="59" fillId="4" borderId="106" xfId="0" applyNumberFormat="1" applyFont="1" applyFill="1" applyBorder="1" applyAlignment="1">
      <alignment horizontal="center" vertical="center"/>
    </xf>
    <xf numFmtId="4" fontId="59" fillId="4" borderId="91" xfId="0" applyNumberFormat="1" applyFont="1" applyFill="1" applyBorder="1" applyAlignment="1">
      <alignment horizontal="center" vertical="center"/>
    </xf>
    <xf numFmtId="4" fontId="59" fillId="4" borderId="115" xfId="0" applyNumberFormat="1" applyFont="1" applyFill="1" applyBorder="1" applyAlignment="1">
      <alignment horizontal="center" vertical="center"/>
    </xf>
    <xf numFmtId="4" fontId="59" fillId="4" borderId="57" xfId="0" applyNumberFormat="1" applyFont="1" applyFill="1" applyBorder="1" applyAlignment="1">
      <alignment horizontal="center" vertical="center"/>
    </xf>
    <xf numFmtId="4" fontId="58" fillId="0" borderId="116" xfId="0" applyNumberFormat="1" applyFont="1" applyBorder="1" applyAlignment="1">
      <alignment horizontal="center" vertical="center"/>
    </xf>
    <xf numFmtId="4" fontId="58" fillId="0" borderId="117" xfId="0" applyNumberFormat="1" applyFont="1" applyBorder="1" applyAlignment="1">
      <alignment horizontal="center" vertical="center"/>
    </xf>
    <xf numFmtId="4" fontId="58" fillId="0" borderId="43" xfId="0" applyNumberFormat="1" applyFont="1" applyBorder="1" applyAlignment="1">
      <alignment horizontal="center" vertical="center"/>
    </xf>
    <xf numFmtId="4" fontId="58" fillId="0" borderId="118" xfId="0" applyNumberFormat="1" applyFont="1" applyBorder="1" applyAlignment="1">
      <alignment horizontal="center" vertical="center"/>
    </xf>
    <xf numFmtId="4" fontId="58" fillId="0" borderId="119" xfId="0" applyNumberFormat="1" applyFont="1" applyBorder="1" applyAlignment="1">
      <alignment horizontal="center" vertical="center"/>
    </xf>
    <xf numFmtId="4" fontId="58" fillId="0" borderId="120" xfId="0" applyNumberFormat="1" applyFont="1" applyBorder="1" applyAlignment="1">
      <alignment horizontal="center" vertical="center"/>
    </xf>
    <xf numFmtId="0" fontId="60" fillId="4" borderId="5" xfId="0" applyFont="1" applyFill="1" applyBorder="1" applyAlignment="1">
      <alignment horizontal="center" vertical="center"/>
    </xf>
    <xf numFmtId="0" fontId="60" fillId="4" borderId="121" xfId="0" applyFont="1" applyFill="1" applyBorder="1" applyAlignment="1">
      <alignment horizontal="center" vertical="center"/>
    </xf>
    <xf numFmtId="4" fontId="59" fillId="4" borderId="19" xfId="0" applyNumberFormat="1" applyFont="1" applyFill="1" applyBorder="1" applyAlignment="1">
      <alignment horizontal="center" vertical="center"/>
    </xf>
    <xf numFmtId="4" fontId="58" fillId="0" borderId="105" xfId="0" applyNumberFormat="1" applyFont="1" applyBorder="1" applyAlignment="1">
      <alignment horizontal="center" vertical="center"/>
    </xf>
    <xf numFmtId="4" fontId="59" fillId="4" borderId="122" xfId="0" applyNumberFormat="1" applyFont="1" applyFill="1" applyBorder="1" applyAlignment="1">
      <alignment horizontal="center" vertical="center"/>
    </xf>
    <xf numFmtId="4" fontId="58" fillId="0" borderId="124" xfId="0" applyNumberFormat="1" applyFont="1" applyBorder="1" applyAlignment="1">
      <alignment horizontal="center" vertical="center"/>
    </xf>
    <xf numFmtId="4" fontId="58" fillId="0" borderId="123" xfId="0" applyNumberFormat="1" applyFont="1" applyBorder="1" applyAlignment="1">
      <alignment horizontal="center" vertical="center"/>
    </xf>
    <xf numFmtId="4" fontId="58" fillId="0" borderId="125" xfId="0" applyNumberFormat="1" applyFont="1" applyBorder="1" applyAlignment="1">
      <alignment horizontal="center" vertical="center"/>
    </xf>
    <xf numFmtId="4" fontId="58" fillId="0" borderId="127" xfId="0" applyNumberFormat="1" applyFont="1" applyBorder="1" applyAlignment="1">
      <alignment horizontal="center" vertical="center"/>
    </xf>
    <xf numFmtId="4" fontId="58" fillId="0" borderId="126" xfId="0" applyNumberFormat="1" applyFont="1" applyBorder="1" applyAlignment="1">
      <alignment horizontal="center" vertical="center"/>
    </xf>
    <xf numFmtId="4" fontId="58" fillId="0" borderId="128" xfId="0" applyNumberFormat="1" applyFont="1" applyBorder="1" applyAlignment="1">
      <alignment horizontal="center" vertical="center"/>
    </xf>
    <xf numFmtId="0" fontId="59" fillId="3" borderId="49" xfId="0" applyFont="1" applyFill="1" applyBorder="1" applyAlignment="1">
      <alignment horizontal="centerContinuous" vertical="center"/>
    </xf>
    <xf numFmtId="0" fontId="59" fillId="4" borderId="49" xfId="0" applyFont="1" applyFill="1" applyBorder="1" applyAlignment="1">
      <alignment horizontal="center" vertical="center"/>
    </xf>
    <xf numFmtId="4" fontId="58" fillId="0" borderId="20" xfId="0" applyNumberFormat="1" applyFont="1" applyBorder="1" applyAlignment="1">
      <alignment horizontal="center" vertical="center"/>
    </xf>
    <xf numFmtId="3" fontId="58" fillId="0" borderId="57" xfId="0" applyNumberFormat="1" applyFont="1" applyBorder="1" applyAlignment="1">
      <alignment horizontal="center" vertical="center"/>
    </xf>
    <xf numFmtId="0" fontId="66" fillId="0" borderId="0" xfId="4" applyFill="1" applyBorder="1" applyAlignment="1">
      <alignment horizontal="centerContinuous" vertical="center"/>
    </xf>
    <xf numFmtId="0" fontId="66" fillId="0" borderId="0" xfId="4"/>
    <xf numFmtId="0" fontId="66" fillId="0" borderId="44" xfId="4" applyFill="1" applyBorder="1" applyAlignment="1">
      <alignment horizontal="centerContinuous" vertical="center"/>
    </xf>
    <xf numFmtId="0" fontId="66" fillId="0" borderId="45" xfId="4" applyFill="1" applyBorder="1" applyAlignment="1">
      <alignment horizontal="centerContinuous" vertical="center"/>
    </xf>
    <xf numFmtId="4" fontId="66" fillId="0" borderId="50" xfId="4" applyNumberFormat="1" applyBorder="1" applyAlignment="1">
      <alignment horizontal="centerContinuous" vertical="center"/>
    </xf>
    <xf numFmtId="4" fontId="67" fillId="0" borderId="9" xfId="4" applyNumberFormat="1" applyFont="1" applyBorder="1" applyAlignment="1">
      <alignment horizontal="center" vertical="center"/>
    </xf>
    <xf numFmtId="4" fontId="67" fillId="0" borderId="11" xfId="4" applyNumberFormat="1" applyFont="1" applyBorder="1" applyAlignment="1">
      <alignment horizontal="center" vertical="center"/>
    </xf>
    <xf numFmtId="4" fontId="67" fillId="0" borderId="13" xfId="4" applyNumberFormat="1" applyFont="1" applyBorder="1" applyAlignment="1">
      <alignment horizontal="center" vertical="center"/>
    </xf>
    <xf numFmtId="0" fontId="66" fillId="0" borderId="0" xfId="4" applyFill="1" applyAlignment="1">
      <alignment horizontal="centerContinuous"/>
    </xf>
    <xf numFmtId="168" fontId="71" fillId="0" borderId="0" xfId="0" applyNumberFormat="1" applyFont="1" applyAlignment="1">
      <alignment horizontal="left"/>
    </xf>
    <xf numFmtId="0" fontId="0" fillId="0" borderId="0" xfId="0"/>
    <xf numFmtId="0" fontId="59" fillId="3" borderId="4" xfId="6" applyFont="1" applyFill="1" applyBorder="1" applyAlignment="1">
      <alignment horizontal="centerContinuous" vertical="center"/>
    </xf>
    <xf numFmtId="0" fontId="59" fillId="3" borderId="6" xfId="6" applyFont="1" applyFill="1" applyBorder="1" applyAlignment="1">
      <alignment horizontal="centerContinuous" vertical="center"/>
    </xf>
    <xf numFmtId="4" fontId="70" fillId="0" borderId="11" xfId="6" applyNumberFormat="1" applyFont="1" applyBorder="1" applyAlignment="1">
      <alignment horizontal="center" vertical="center"/>
    </xf>
    <xf numFmtId="4" fontId="70" fillId="0" borderId="16" xfId="6" applyNumberFormat="1" applyFont="1" applyBorder="1" applyAlignment="1">
      <alignment horizontal="center" vertical="center"/>
    </xf>
    <xf numFmtId="4" fontId="70" fillId="0" borderId="13" xfId="6" applyNumberFormat="1" applyFont="1" applyBorder="1" applyAlignment="1">
      <alignment horizontal="center" vertical="center"/>
    </xf>
    <xf numFmtId="4" fontId="70" fillId="0" borderId="17" xfId="6" applyNumberFormat="1" applyFont="1" applyBorder="1" applyAlignment="1">
      <alignment horizontal="center" vertical="center"/>
    </xf>
    <xf numFmtId="168" fontId="70" fillId="0" borderId="16" xfId="6" applyNumberFormat="1" applyFont="1" applyBorder="1" applyAlignment="1">
      <alignment horizontal="right" vertical="center"/>
    </xf>
    <xf numFmtId="168" fontId="70" fillId="0" borderId="17" xfId="6" applyNumberFormat="1" applyFont="1" applyBorder="1" applyAlignment="1">
      <alignment horizontal="right" vertical="center"/>
    </xf>
    <xf numFmtId="3" fontId="70" fillId="0" borderId="16" xfId="6" applyNumberFormat="1" applyFont="1" applyBorder="1" applyAlignment="1">
      <alignment horizontal="right" vertical="center"/>
    </xf>
    <xf numFmtId="3" fontId="70" fillId="0" borderId="17" xfId="6" applyNumberFormat="1" applyFont="1" applyBorder="1" applyAlignment="1">
      <alignment horizontal="right" vertical="center"/>
    </xf>
    <xf numFmtId="0" fontId="59" fillId="3" borderId="50" xfId="0" applyFont="1" applyFill="1" applyBorder="1" applyAlignment="1">
      <alignment horizontal="centerContinuous" vertical="center"/>
    </xf>
    <xf numFmtId="0" fontId="60" fillId="3" borderId="45" xfId="0" applyFont="1" applyFill="1" applyBorder="1" applyAlignment="1">
      <alignment horizontal="centerContinuous" vertical="center"/>
    </xf>
    <xf numFmtId="180" fontId="58" fillId="0" borderId="44" xfId="0" applyNumberFormat="1" applyFont="1" applyBorder="1" applyAlignment="1">
      <alignment horizontal="center"/>
    </xf>
    <xf numFmtId="180" fontId="58" fillId="0" borderId="82" xfId="0" applyNumberFormat="1" applyFont="1" applyBorder="1" applyAlignment="1">
      <alignment horizontal="center"/>
    </xf>
    <xf numFmtId="4" fontId="58" fillId="0" borderId="13" xfId="0" applyNumberFormat="1" applyFont="1" applyFill="1" applyBorder="1" applyAlignment="1">
      <alignment horizontal="center" vertical="center"/>
    </xf>
    <xf numFmtId="0" fontId="58" fillId="0" borderId="14" xfId="0" applyNumberFormat="1" applyFont="1" applyBorder="1" applyAlignment="1">
      <alignment horizontal="center" vertical="center"/>
    </xf>
    <xf numFmtId="179" fontId="58" fillId="0" borderId="12" xfId="0" applyNumberFormat="1" applyFont="1" applyBorder="1" applyAlignment="1">
      <alignment horizontal="center" vertical="center"/>
    </xf>
    <xf numFmtId="179" fontId="58" fillId="0" borderId="14" xfId="0" applyNumberFormat="1" applyFont="1" applyBorder="1" applyAlignment="1">
      <alignment horizontal="center" vertical="center"/>
    </xf>
    <xf numFmtId="0" fontId="58" fillId="0" borderId="12" xfId="0" applyNumberFormat="1" applyFont="1" applyBorder="1" applyAlignment="1">
      <alignment horizontal="center" vertical="center"/>
    </xf>
    <xf numFmtId="0" fontId="72" fillId="0" borderId="0" xfId="0" applyFont="1"/>
    <xf numFmtId="0" fontId="73" fillId="0" borderId="0" xfId="0" applyFont="1"/>
    <xf numFmtId="0" fontId="0" fillId="0" borderId="0" xfId="0"/>
    <xf numFmtId="9" fontId="0" fillId="0" borderId="0" xfId="0" applyNumberFormat="1"/>
    <xf numFmtId="4" fontId="63" fillId="8" borderId="9" xfId="6" applyNumberFormat="1" applyFont="1" applyFill="1" applyBorder="1" applyAlignment="1">
      <alignment horizontal="center" vertical="center"/>
    </xf>
    <xf numFmtId="4" fontId="63" fillId="8" borderId="11" xfId="6" applyNumberFormat="1" applyFont="1" applyFill="1" applyBorder="1" applyAlignment="1">
      <alignment horizontal="center" vertical="center"/>
    </xf>
    <xf numFmtId="4" fontId="63" fillId="8" borderId="13" xfId="6" applyNumberFormat="1" applyFont="1" applyFill="1" applyBorder="1" applyAlignment="1">
      <alignment horizontal="center" vertical="center"/>
    </xf>
    <xf numFmtId="4" fontId="58" fillId="0" borderId="21" xfId="0" applyNumberFormat="1" applyFont="1" applyBorder="1" applyAlignment="1">
      <alignment horizontal="center" vertical="center"/>
    </xf>
    <xf numFmtId="0" fontId="33" fillId="0" borderId="0" xfId="0" applyFont="1"/>
    <xf numFmtId="10" fontId="58" fillId="0" borderId="0" xfId="0" applyNumberFormat="1" applyFont="1" applyAlignment="1">
      <alignment horizontal="center"/>
    </xf>
    <xf numFmtId="0" fontId="58" fillId="0" borderId="0" xfId="0" applyFont="1" applyAlignment="1">
      <alignment horizontal="center"/>
    </xf>
    <xf numFmtId="0" fontId="75" fillId="0" borderId="0" xfId="0" applyFont="1"/>
    <xf numFmtId="168" fontId="59" fillId="4" borderId="21" xfId="0" applyNumberFormat="1" applyFont="1" applyFill="1" applyBorder="1" applyAlignment="1">
      <alignment horizontal="center" vertical="center"/>
    </xf>
    <xf numFmtId="0" fontId="76" fillId="0" borderId="0" xfId="0" applyFont="1"/>
    <xf numFmtId="170" fontId="58" fillId="0" borderId="76" xfId="0" applyNumberFormat="1" applyFont="1" applyBorder="1" applyAlignment="1">
      <alignment horizontal="center" vertical="center"/>
    </xf>
    <xf numFmtId="170" fontId="58" fillId="0" borderId="77" xfId="0" applyNumberFormat="1" applyFont="1" applyBorder="1" applyAlignment="1">
      <alignment horizontal="center" vertical="center"/>
    </xf>
    <xf numFmtId="170" fontId="58" fillId="0" borderId="78" xfId="0" applyNumberFormat="1" applyFont="1" applyBorder="1" applyAlignment="1">
      <alignment horizontal="center" vertical="center"/>
    </xf>
    <xf numFmtId="0" fontId="59" fillId="3" borderId="19" xfId="0" applyFont="1" applyFill="1" applyBorder="1" applyAlignment="1">
      <alignment horizontal="centerContinuous" vertical="center"/>
    </xf>
    <xf numFmtId="4" fontId="58" fillId="0" borderId="0" xfId="0" applyNumberFormat="1" applyFont="1" applyAlignment="1">
      <alignment horizontal="center" vertical="center"/>
    </xf>
    <xf numFmtId="4" fontId="58" fillId="0" borderId="9" xfId="0" applyNumberFormat="1" applyFont="1" applyBorder="1" applyAlignment="1">
      <alignment horizontal="centerContinuous" vertical="center"/>
    </xf>
    <xf numFmtId="4" fontId="58" fillId="0" borderId="11" xfId="0" applyNumberFormat="1" applyFont="1" applyBorder="1" applyAlignment="1">
      <alignment horizontal="centerContinuous" vertical="center"/>
    </xf>
    <xf numFmtId="4" fontId="58" fillId="0" borderId="13" xfId="0" applyNumberFormat="1" applyFont="1" applyBorder="1" applyAlignment="1">
      <alignment horizontal="centerContinuous" vertical="center"/>
    </xf>
    <xf numFmtId="4" fontId="58" fillId="0" borderId="20" xfId="0" applyNumberFormat="1" applyFont="1" applyBorder="1" applyAlignment="1">
      <alignment horizontal="centerContinuous" vertical="center"/>
    </xf>
    <xf numFmtId="4" fontId="58" fillId="0" borderId="91" xfId="0" applyNumberFormat="1" applyFont="1" applyBorder="1" applyAlignment="1">
      <alignment horizontal="centerContinuous" vertical="center"/>
    </xf>
    <xf numFmtId="4" fontId="58" fillId="0" borderId="21" xfId="0" applyNumberFormat="1" applyFont="1" applyBorder="1" applyAlignment="1">
      <alignment horizontal="centerContinuous" vertical="center"/>
    </xf>
    <xf numFmtId="4" fontId="58" fillId="0" borderId="27" xfId="0" applyNumberFormat="1" applyFont="1" applyBorder="1" applyAlignment="1">
      <alignment horizontal="centerContinuous" vertical="center"/>
    </xf>
    <xf numFmtId="180" fontId="58" fillId="0" borderId="10" xfId="0" applyNumberFormat="1" applyFont="1" applyBorder="1" applyAlignment="1">
      <alignment horizontal="center" vertical="center"/>
    </xf>
    <xf numFmtId="169" fontId="58" fillId="0" borderId="10" xfId="0" applyNumberFormat="1" applyFont="1" applyBorder="1" applyAlignment="1">
      <alignment horizontal="center" vertical="center"/>
    </xf>
    <xf numFmtId="169" fontId="58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59" fillId="3" borderId="89" xfId="0" applyFont="1" applyFill="1" applyBorder="1" applyAlignment="1">
      <alignment horizontal="centerContinuous" vertical="center"/>
    </xf>
    <xf numFmtId="0" fontId="59" fillId="3" borderId="130" xfId="0" applyFont="1" applyFill="1" applyBorder="1" applyAlignment="1">
      <alignment horizontal="centerContinuous" vertical="center"/>
    </xf>
    <xf numFmtId="0" fontId="59" fillId="3" borderId="106" xfId="0" applyFont="1" applyFill="1" applyBorder="1" applyAlignment="1">
      <alignment horizontal="centerContinuous" vertical="center"/>
    </xf>
    <xf numFmtId="170" fontId="70" fillId="0" borderId="9" xfId="0" applyNumberFormat="1" applyFont="1" applyFill="1" applyBorder="1" applyAlignment="1">
      <alignment horizontal="center" vertical="center"/>
    </xf>
    <xf numFmtId="170" fontId="70" fillId="0" borderId="15" xfId="0" applyNumberFormat="1" applyFont="1" applyFill="1" applyBorder="1" applyAlignment="1">
      <alignment horizontal="center" vertical="center"/>
    </xf>
    <xf numFmtId="170" fontId="70" fillId="0" borderId="10" xfId="0" applyNumberFormat="1" applyFont="1" applyFill="1" applyBorder="1" applyAlignment="1">
      <alignment horizontal="center" vertical="center"/>
    </xf>
    <xf numFmtId="170" fontId="70" fillId="0" borderId="11" xfId="0" applyNumberFormat="1" applyFont="1" applyFill="1" applyBorder="1" applyAlignment="1">
      <alignment horizontal="center" vertical="center"/>
    </xf>
    <xf numFmtId="170" fontId="70" fillId="0" borderId="16" xfId="0" applyNumberFormat="1" applyFont="1" applyFill="1" applyBorder="1" applyAlignment="1">
      <alignment horizontal="center" vertical="center"/>
    </xf>
    <xf numFmtId="170" fontId="70" fillId="0" borderId="12" xfId="0" applyNumberFormat="1" applyFont="1" applyFill="1" applyBorder="1" applyAlignment="1">
      <alignment horizontal="center" vertical="center"/>
    </xf>
    <xf numFmtId="170" fontId="70" fillId="0" borderId="13" xfId="0" applyNumberFormat="1" applyFont="1" applyFill="1" applyBorder="1" applyAlignment="1">
      <alignment horizontal="center" vertical="center"/>
    </xf>
    <xf numFmtId="170" fontId="70" fillId="0" borderId="17" xfId="0" applyNumberFormat="1" applyFont="1" applyFill="1" applyBorder="1" applyAlignment="1">
      <alignment horizontal="center" vertical="center"/>
    </xf>
    <xf numFmtId="170" fontId="70" fillId="0" borderId="14" xfId="0" applyNumberFormat="1" applyFont="1" applyFill="1" applyBorder="1" applyAlignment="1">
      <alignment horizontal="center" vertical="center"/>
    </xf>
    <xf numFmtId="0" fontId="78" fillId="0" borderId="0" xfId="0" applyFont="1"/>
    <xf numFmtId="0" fontId="66" fillId="0" borderId="0" xfId="4" applyAlignment="1">
      <alignment horizontal="center"/>
    </xf>
    <xf numFmtId="0" fontId="79" fillId="0" borderId="0" xfId="0" applyFont="1"/>
    <xf numFmtId="4" fontId="66" fillId="0" borderId="11" xfId="4" applyNumberFormat="1" applyBorder="1" applyAlignment="1">
      <alignment horizontal="center" vertical="center"/>
    </xf>
    <xf numFmtId="4" fontId="66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58" fillId="0" borderId="28" xfId="0" applyNumberFormat="1" applyFont="1" applyBorder="1" applyAlignment="1">
      <alignment horizontal="center" vertical="center"/>
    </xf>
    <xf numFmtId="4" fontId="58" fillId="0" borderId="131" xfId="0" applyNumberFormat="1" applyFont="1" applyBorder="1" applyAlignment="1">
      <alignment horizontal="center" vertical="center"/>
    </xf>
    <xf numFmtId="170" fontId="58" fillId="0" borderId="30" xfId="0" applyNumberFormat="1" applyFont="1" applyBorder="1" applyAlignment="1">
      <alignment horizontal="center" vertical="center"/>
    </xf>
    <xf numFmtId="2" fontId="58" fillId="0" borderId="132" xfId="0" applyNumberFormat="1" applyFont="1" applyBorder="1" applyAlignment="1">
      <alignment horizontal="center" vertical="center"/>
    </xf>
    <xf numFmtId="170" fontId="58" fillId="0" borderId="55" xfId="0" applyNumberFormat="1" applyFont="1" applyBorder="1" applyAlignment="1">
      <alignment horizontal="center" vertical="center"/>
    </xf>
    <xf numFmtId="170" fontId="58" fillId="0" borderId="75" xfId="0" applyNumberFormat="1" applyFont="1" applyBorder="1" applyAlignment="1">
      <alignment horizontal="center" vertical="center"/>
    </xf>
    <xf numFmtId="170" fontId="58" fillId="0" borderId="16" xfId="0" applyNumberFormat="1" applyFont="1" applyBorder="1" applyAlignment="1">
      <alignment horizontal="center" vertical="center"/>
    </xf>
    <xf numFmtId="170" fontId="58" fillId="0" borderId="12" xfId="0" applyNumberFormat="1" applyFont="1" applyBorder="1" applyAlignment="1">
      <alignment horizontal="center" vertical="center"/>
    </xf>
    <xf numFmtId="170" fontId="58" fillId="0" borderId="17" xfId="0" applyNumberFormat="1" applyFont="1" applyBorder="1" applyAlignment="1">
      <alignment horizontal="center" vertical="center"/>
    </xf>
    <xf numFmtId="170" fontId="58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2" fillId="0" borderId="14" xfId="0" applyNumberFormat="1" applyFont="1" applyBorder="1" applyAlignment="1">
      <alignment horizontal="center" vertical="center"/>
    </xf>
    <xf numFmtId="182" fontId="32" fillId="0" borderId="0" xfId="0" applyNumberFormat="1" applyFont="1" applyFill="1" applyBorder="1" applyAlignment="1">
      <alignment horizontal="right" vertical="center"/>
    </xf>
    <xf numFmtId="168" fontId="32" fillId="0" borderId="11" xfId="0" applyNumberFormat="1" applyFont="1" applyBorder="1" applyAlignment="1">
      <alignment horizontal="right" vertical="center"/>
    </xf>
    <xf numFmtId="168" fontId="32" fillId="0" borderId="13" xfId="0" applyNumberFormat="1" applyFont="1" applyBorder="1" applyAlignment="1">
      <alignment horizontal="right" vertical="center"/>
    </xf>
    <xf numFmtId="4" fontId="32" fillId="0" borderId="16" xfId="0" applyNumberFormat="1" applyFont="1" applyBorder="1" applyAlignment="1">
      <alignment horizontal="center" vertical="center"/>
    </xf>
    <xf numFmtId="4" fontId="32" fillId="0" borderId="15" xfId="0" applyNumberFormat="1" applyFont="1" applyBorder="1" applyAlignment="1">
      <alignment horizontal="center" vertical="center"/>
    </xf>
    <xf numFmtId="4" fontId="32" fillId="0" borderId="17" xfId="0" applyNumberFormat="1" applyFont="1" applyBorder="1" applyAlignment="1">
      <alignment horizontal="center" vertical="center"/>
    </xf>
    <xf numFmtId="4" fontId="50" fillId="4" borderId="28" xfId="0" applyNumberFormat="1" applyFont="1" applyFill="1" applyBorder="1" applyAlignment="1">
      <alignment horizontal="center" vertical="center"/>
    </xf>
    <xf numFmtId="4" fontId="50" fillId="4" borderId="29" xfId="0" applyNumberFormat="1" applyFont="1" applyFill="1" applyBorder="1" applyAlignment="1">
      <alignment horizontal="center" vertical="center"/>
    </xf>
    <xf numFmtId="4" fontId="32" fillId="0" borderId="10" xfId="0" applyNumberFormat="1" applyFont="1" applyBorder="1" applyAlignment="1">
      <alignment horizontal="center" vertical="center"/>
    </xf>
    <xf numFmtId="4" fontId="32" fillId="0" borderId="12" xfId="0" applyNumberFormat="1" applyFont="1" applyBorder="1" applyAlignment="1">
      <alignment horizontal="center" vertical="center"/>
    </xf>
    <xf numFmtId="10" fontId="32" fillId="0" borderId="15" xfId="0" applyNumberFormat="1" applyFont="1" applyBorder="1" applyAlignment="1">
      <alignment horizontal="right" vertical="center"/>
    </xf>
    <xf numFmtId="10" fontId="32" fillId="0" borderId="16" xfId="0" applyNumberFormat="1" applyFont="1" applyBorder="1" applyAlignment="1">
      <alignment horizontal="right" vertical="center"/>
    </xf>
    <xf numFmtId="10" fontId="32" fillId="0" borderId="17" xfId="0" applyNumberFormat="1" applyFont="1" applyBorder="1" applyAlignment="1">
      <alignment horizontal="right" vertical="center"/>
    </xf>
    <xf numFmtId="168" fontId="32" fillId="0" borderId="9" xfId="0" applyNumberFormat="1" applyFont="1" applyBorder="1" applyAlignment="1">
      <alignment horizontal="right" vertical="center"/>
    </xf>
    <xf numFmtId="168" fontId="32" fillId="0" borderId="15" xfId="0" applyNumberFormat="1" applyFont="1" applyBorder="1" applyAlignment="1">
      <alignment horizontal="right" vertical="center"/>
    </xf>
    <xf numFmtId="168" fontId="32" fillId="0" borderId="16" xfId="0" applyNumberFormat="1" applyFont="1" applyBorder="1" applyAlignment="1">
      <alignment horizontal="right" vertical="center"/>
    </xf>
    <xf numFmtId="168" fontId="32" fillId="0" borderId="17" xfId="0" applyNumberFormat="1" applyFont="1" applyBorder="1" applyAlignment="1">
      <alignment horizontal="right" vertical="center"/>
    </xf>
    <xf numFmtId="169" fontId="32" fillId="0" borderId="15" xfId="0" applyNumberFormat="1" applyFont="1" applyBorder="1" applyAlignment="1">
      <alignment horizontal="right" vertical="center"/>
    </xf>
    <xf numFmtId="169" fontId="32" fillId="0" borderId="16" xfId="0" applyNumberFormat="1" applyFont="1" applyBorder="1" applyAlignment="1">
      <alignment horizontal="right" vertical="center"/>
    </xf>
    <xf numFmtId="169" fontId="32" fillId="0" borderId="17" xfId="0" applyNumberFormat="1" applyFont="1" applyBorder="1" applyAlignment="1">
      <alignment horizontal="right" vertical="center"/>
    </xf>
    <xf numFmtId="168" fontId="31" fillId="0" borderId="11" xfId="0" applyNumberFormat="1" applyFont="1" applyBorder="1" applyAlignment="1">
      <alignment horizontal="right" vertical="center"/>
    </xf>
    <xf numFmtId="168" fontId="31" fillId="0" borderId="13" xfId="0" applyNumberFormat="1" applyFont="1" applyBorder="1" applyAlignment="1">
      <alignment horizontal="right" vertical="center"/>
    </xf>
    <xf numFmtId="4" fontId="31" fillId="0" borderId="16" xfId="0" applyNumberFormat="1" applyFont="1" applyBorder="1" applyAlignment="1">
      <alignment horizontal="center" vertical="center"/>
    </xf>
    <xf numFmtId="4" fontId="31" fillId="0" borderId="15" xfId="0" applyNumberFormat="1" applyFont="1" applyBorder="1" applyAlignment="1">
      <alignment horizontal="center" vertical="center"/>
    </xf>
    <xf numFmtId="4" fontId="31" fillId="0" borderId="17" xfId="0" applyNumberFormat="1" applyFont="1" applyBorder="1" applyAlignment="1">
      <alignment horizontal="center" vertical="center"/>
    </xf>
    <xf numFmtId="4" fontId="31" fillId="0" borderId="10" xfId="0" applyNumberFormat="1" applyFont="1" applyBorder="1" applyAlignment="1">
      <alignment horizontal="center" vertical="center"/>
    </xf>
    <xf numFmtId="4" fontId="31" fillId="0" borderId="12" xfId="0" applyNumberFormat="1" applyFont="1" applyBorder="1" applyAlignment="1">
      <alignment horizontal="center" vertical="center"/>
    </xf>
    <xf numFmtId="4" fontId="31" fillId="0" borderId="14" xfId="0" applyNumberFormat="1" applyFont="1" applyBorder="1" applyAlignment="1">
      <alignment horizontal="center" vertical="center"/>
    </xf>
    <xf numFmtId="10" fontId="31" fillId="0" borderId="15" xfId="0" applyNumberFormat="1" applyFont="1" applyBorder="1" applyAlignment="1">
      <alignment horizontal="right" vertical="center"/>
    </xf>
    <xf numFmtId="10" fontId="31" fillId="0" borderId="16" xfId="0" applyNumberFormat="1" applyFont="1" applyBorder="1" applyAlignment="1">
      <alignment horizontal="right" vertical="center"/>
    </xf>
    <xf numFmtId="10" fontId="31" fillId="0" borderId="17" xfId="0" applyNumberFormat="1" applyFont="1" applyBorder="1" applyAlignment="1">
      <alignment horizontal="right" vertical="center"/>
    </xf>
    <xf numFmtId="168" fontId="31" fillId="0" borderId="9" xfId="0" applyNumberFormat="1" applyFont="1" applyBorder="1" applyAlignment="1">
      <alignment horizontal="right" vertical="center"/>
    </xf>
    <xf numFmtId="4" fontId="50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58" fillId="0" borderId="44" xfId="0" applyNumberFormat="1" applyFont="1" applyBorder="1" applyAlignment="1">
      <alignment horizontal="center"/>
    </xf>
    <xf numFmtId="169" fontId="58" fillId="0" borderId="82" xfId="0" applyNumberFormat="1" applyFont="1" applyBorder="1" applyAlignment="1">
      <alignment horizontal="center"/>
    </xf>
    <xf numFmtId="168" fontId="58" fillId="0" borderId="44" xfId="0" applyNumberFormat="1" applyFont="1" applyBorder="1" applyAlignment="1">
      <alignment horizontal="centerContinuous"/>
    </xf>
    <xf numFmtId="168" fontId="58" fillId="0" borderId="82" xfId="0" applyNumberFormat="1" applyFont="1" applyBorder="1" applyAlignment="1">
      <alignment horizontal="centerContinuous"/>
    </xf>
    <xf numFmtId="4" fontId="58" fillId="0" borderId="133" xfId="0" applyNumberFormat="1" applyFont="1" applyBorder="1" applyAlignment="1">
      <alignment horizontal="centerContinuous" vertical="center"/>
    </xf>
    <xf numFmtId="4" fontId="58" fillId="0" borderId="134" xfId="0" applyNumberFormat="1" applyFont="1" applyBorder="1" applyAlignment="1">
      <alignment horizontal="centerContinuous" vertical="center"/>
    </xf>
    <xf numFmtId="4" fontId="58" fillId="0" borderId="135" xfId="0" applyNumberFormat="1" applyFont="1" applyBorder="1" applyAlignment="1">
      <alignment horizontal="centerContinuous" vertical="center"/>
    </xf>
    <xf numFmtId="168" fontId="58" fillId="0" borderId="61" xfId="0" applyNumberFormat="1" applyFont="1" applyBorder="1" applyAlignment="1">
      <alignment horizontal="centerContinuous" vertical="center"/>
    </xf>
    <xf numFmtId="168" fontId="58" fillId="0" borderId="82" xfId="0" applyNumberFormat="1" applyFont="1" applyBorder="1" applyAlignment="1">
      <alignment horizontal="centerContinuous" vertical="center"/>
    </xf>
    <xf numFmtId="168" fontId="58" fillId="0" borderId="63" xfId="0" applyNumberFormat="1" applyFont="1" applyBorder="1" applyAlignment="1">
      <alignment horizontal="centerContinuous" vertical="center"/>
    </xf>
    <xf numFmtId="168" fontId="58" fillId="0" borderId="45" xfId="0" applyNumberFormat="1" applyFont="1" applyBorder="1" applyAlignment="1">
      <alignment horizontal="centerContinuous" vertical="center"/>
    </xf>
    <xf numFmtId="4" fontId="58" fillId="0" borderId="104" xfId="0" applyNumberFormat="1" applyFont="1" applyBorder="1" applyAlignment="1">
      <alignment horizontal="centerContinuous" vertical="center"/>
    </xf>
    <xf numFmtId="4" fontId="58" fillId="0" borderId="129" xfId="0" applyNumberFormat="1" applyFont="1" applyBorder="1" applyAlignment="1">
      <alignment horizontal="centerContinuous" vertical="center"/>
    </xf>
    <xf numFmtId="4" fontId="58" fillId="0" borderId="136" xfId="0" applyNumberFormat="1" applyFont="1" applyBorder="1" applyAlignment="1">
      <alignment horizontal="centerContinuous" vertical="center"/>
    </xf>
    <xf numFmtId="4" fontId="58" fillId="0" borderId="61" xfId="0" applyNumberFormat="1" applyFont="1" applyBorder="1" applyAlignment="1">
      <alignment horizontal="centerContinuous" vertical="center"/>
    </xf>
    <xf numFmtId="4" fontId="58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58" fillId="0" borderId="138" xfId="0" applyNumberFormat="1" applyFont="1" applyBorder="1" applyAlignment="1">
      <alignment horizontal="centerContinuous" vertical="center"/>
    </xf>
    <xf numFmtId="168" fontId="58" fillId="0" borderId="0" xfId="0" applyNumberFormat="1" applyFont="1"/>
    <xf numFmtId="168" fontId="34" fillId="0" borderId="139" xfId="0" applyNumberFormat="1" applyFont="1" applyBorder="1" applyAlignment="1">
      <alignment horizontal="center" vertical="center"/>
    </xf>
    <xf numFmtId="168" fontId="34" fillId="0" borderId="140" xfId="0" applyNumberFormat="1" applyFont="1" applyBorder="1" applyAlignment="1">
      <alignment horizontal="center" vertical="center"/>
    </xf>
    <xf numFmtId="168" fontId="34" fillId="0" borderId="141" xfId="0" applyNumberFormat="1" applyFont="1" applyBorder="1" applyAlignment="1">
      <alignment horizontal="center" vertical="center"/>
    </xf>
    <xf numFmtId="168" fontId="34" fillId="0" borderId="142" xfId="0" applyNumberFormat="1" applyFont="1" applyBorder="1" applyAlignment="1">
      <alignment horizontal="center" vertical="center"/>
    </xf>
    <xf numFmtId="0" fontId="50" fillId="4" borderId="143" xfId="0" applyFont="1" applyFill="1" applyBorder="1" applyAlignment="1">
      <alignment horizontal="center" vertical="center"/>
    </xf>
    <xf numFmtId="0" fontId="50" fillId="4" borderId="144" xfId="0" applyFont="1" applyFill="1" applyBorder="1" applyAlignment="1">
      <alignment horizontal="center" vertical="center"/>
    </xf>
    <xf numFmtId="4" fontId="58" fillId="0" borderId="145" xfId="0" applyNumberFormat="1" applyFont="1" applyBorder="1" applyAlignment="1">
      <alignment horizontal="center" vertical="center"/>
    </xf>
    <xf numFmtId="2" fontId="58" fillId="0" borderId="44" xfId="0" applyNumberFormat="1" applyFont="1" applyBorder="1" applyAlignment="1">
      <alignment horizontal="centerContinuous"/>
    </xf>
    <xf numFmtId="2" fontId="58" fillId="0" borderId="82" xfId="0" applyNumberFormat="1" applyFont="1" applyBorder="1" applyAlignment="1">
      <alignment horizontal="centerContinuous"/>
    </xf>
    <xf numFmtId="0" fontId="59" fillId="4" borderId="50" xfId="0" applyFont="1" applyFill="1" applyBorder="1" applyAlignment="1">
      <alignment horizontal="centerContinuous" vertical="center"/>
    </xf>
    <xf numFmtId="0" fontId="59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58" fillId="0" borderId="147" xfId="0" applyNumberFormat="1" applyFont="1" applyBorder="1" applyAlignment="1">
      <alignment horizontal="centerContinuous" vertical="center"/>
    </xf>
    <xf numFmtId="4" fontId="58" fillId="0" borderId="62" xfId="0" applyNumberFormat="1" applyFont="1" applyBorder="1" applyAlignment="1">
      <alignment horizontal="centerContinuous" vertical="center"/>
    </xf>
    <xf numFmtId="9" fontId="58" fillId="0" borderId="10" xfId="0" applyNumberFormat="1" applyFont="1" applyBorder="1" applyAlignment="1">
      <alignment horizontal="center" vertical="center"/>
    </xf>
    <xf numFmtId="9" fontId="58" fillId="0" borderId="12" xfId="0" applyNumberFormat="1" applyFont="1" applyBorder="1" applyAlignment="1">
      <alignment horizontal="center" vertical="center"/>
    </xf>
    <xf numFmtId="4" fontId="66" fillId="0" borderId="97" xfId="4" applyNumberFormat="1" applyBorder="1" applyAlignment="1">
      <alignment horizontal="center" vertical="center"/>
    </xf>
    <xf numFmtId="175" fontId="58" fillId="0" borderId="14" xfId="0" applyNumberFormat="1" applyFont="1" applyBorder="1" applyAlignment="1">
      <alignment horizontal="center" vertical="center"/>
    </xf>
    <xf numFmtId="176" fontId="58" fillId="0" borderId="10" xfId="0" applyNumberFormat="1" applyFont="1" applyBorder="1" applyAlignment="1">
      <alignment horizontal="center" vertical="center"/>
    </xf>
    <xf numFmtId="176" fontId="58" fillId="0" borderId="12" xfId="0" applyNumberFormat="1" applyFont="1" applyBorder="1" applyAlignment="1">
      <alignment horizontal="center" vertical="center"/>
    </xf>
    <xf numFmtId="176" fontId="58" fillId="0" borderId="14" xfId="0" applyNumberFormat="1" applyFont="1" applyBorder="1" applyAlignment="1">
      <alignment horizontal="center" vertical="center"/>
    </xf>
    <xf numFmtId="0" fontId="80" fillId="0" borderId="0" xfId="0" applyFont="1" applyAlignment="1">
      <alignment horizontal="center" vertical="center"/>
    </xf>
    <xf numFmtId="175" fontId="58" fillId="0" borderId="13" xfId="0" applyNumberFormat="1" applyFont="1" applyBorder="1" applyAlignment="1">
      <alignment horizontal="center" vertical="center"/>
    </xf>
    <xf numFmtId="0" fontId="59" fillId="3" borderId="44" xfId="0" applyFont="1" applyFill="1" applyBorder="1" applyAlignment="1">
      <alignment horizontal="centerContinuous" vertical="center"/>
    </xf>
    <xf numFmtId="0" fontId="59" fillId="3" borderId="148" xfId="0" applyFont="1" applyFill="1" applyBorder="1" applyAlignment="1">
      <alignment horizontal="centerContinuous" vertical="center"/>
    </xf>
    <xf numFmtId="0" fontId="59" fillId="3" borderId="146" xfId="0" applyFont="1" applyFill="1" applyBorder="1" applyAlignment="1">
      <alignment horizontal="centerContinuous" vertical="center"/>
    </xf>
    <xf numFmtId="0" fontId="59" fillId="3" borderId="82" xfId="0" applyFont="1" applyFill="1" applyBorder="1" applyAlignment="1">
      <alignment horizontal="centerContinuous" vertical="center"/>
    </xf>
    <xf numFmtId="175" fontId="58" fillId="0" borderId="13" xfId="0" applyNumberFormat="1" applyFont="1" applyBorder="1" applyAlignment="1">
      <alignment horizontal="centerContinuous" vertical="center"/>
    </xf>
    <xf numFmtId="175" fontId="58" fillId="0" borderId="135" xfId="0" applyNumberFormat="1" applyFont="1" applyBorder="1" applyAlignment="1">
      <alignment horizontal="centerContinuous" vertical="center"/>
    </xf>
    <xf numFmtId="175" fontId="58" fillId="0" borderId="149" xfId="0" applyNumberFormat="1" applyFont="1" applyBorder="1" applyAlignment="1">
      <alignment horizontal="centerContinuous" vertical="center"/>
    </xf>
    <xf numFmtId="175" fontId="58" fillId="0" borderId="150" xfId="0" applyNumberFormat="1" applyFont="1" applyBorder="1" applyAlignment="1">
      <alignment horizontal="centerContinuous" vertical="center"/>
    </xf>
    <xf numFmtId="4" fontId="58" fillId="0" borderId="19" xfId="0" applyNumberFormat="1" applyFont="1" applyBorder="1" applyAlignment="1">
      <alignment horizontal="center" vertical="center"/>
    </xf>
    <xf numFmtId="0" fontId="82" fillId="0" borderId="0" xfId="0" applyFont="1" applyBorder="1"/>
    <xf numFmtId="0" fontId="82" fillId="0" borderId="0" xfId="0" applyFont="1"/>
    <xf numFmtId="0" fontId="0" fillId="0" borderId="0" xfId="0" applyBorder="1" applyAlignment="1">
      <alignment horizontal="left"/>
    </xf>
    <xf numFmtId="0" fontId="84" fillId="0" borderId="0" xfId="0" applyFont="1" applyFill="1" applyBorder="1" applyAlignment="1">
      <alignment horizontal="left" vertical="center"/>
    </xf>
    <xf numFmtId="0" fontId="66" fillId="0" borderId="0" xfId="4" applyFill="1" applyAlignment="1">
      <alignment horizontal="center"/>
    </xf>
    <xf numFmtId="4" fontId="66" fillId="0" borderId="151" xfId="4" applyNumberFormat="1" applyBorder="1" applyAlignment="1">
      <alignment horizontal="center" vertical="center"/>
    </xf>
    <xf numFmtId="0" fontId="66" fillId="0" borderId="152" xfId="4" applyFill="1" applyBorder="1" applyAlignment="1">
      <alignment horizontal="centerContinuous" vertical="center"/>
    </xf>
    <xf numFmtId="0" fontId="66" fillId="0" borderId="153" xfId="4" applyFill="1" applyBorder="1" applyAlignment="1">
      <alignment horizontal="centerContinuous" vertical="center"/>
    </xf>
    <xf numFmtId="4" fontId="66" fillId="0" borderId="154" xfId="4" applyNumberFormat="1" applyBorder="1" applyAlignment="1">
      <alignment horizontal="centerContinuous" vertical="center"/>
    </xf>
    <xf numFmtId="0" fontId="66" fillId="0" borderId="155" xfId="4" applyBorder="1" applyAlignment="1">
      <alignment horizontal="centerContinuous" vertical="center"/>
    </xf>
    <xf numFmtId="0" fontId="66" fillId="0" borderId="46" xfId="4" applyFill="1" applyBorder="1" applyAlignment="1">
      <alignment horizontal="center"/>
    </xf>
    <xf numFmtId="0" fontId="66" fillId="0" borderId="48" xfId="4" applyFill="1" applyBorder="1" applyAlignment="1">
      <alignment horizontal="center"/>
    </xf>
    <xf numFmtId="3" fontId="0" fillId="0" borderId="0" xfId="0" applyNumberFormat="1"/>
    <xf numFmtId="0" fontId="66" fillId="0" borderId="156" xfId="4" applyBorder="1" applyAlignment="1">
      <alignment horizontal="centerContinuous"/>
    </xf>
    <xf numFmtId="0" fontId="66" fillId="0" borderId="157" xfId="4" applyBorder="1" applyAlignment="1">
      <alignment horizontal="centerContinuous"/>
    </xf>
    <xf numFmtId="0" fontId="66" fillId="0" borderId="158" xfId="4" applyBorder="1" applyAlignment="1">
      <alignment horizontal="centerContinuous"/>
    </xf>
    <xf numFmtId="0" fontId="66" fillId="0" borderId="155" xfId="4" applyBorder="1" applyAlignment="1">
      <alignment horizontal="centerContinuous"/>
    </xf>
    <xf numFmtId="10" fontId="58" fillId="0" borderId="16" xfId="0" applyNumberFormat="1" applyFont="1" applyBorder="1" applyAlignment="1">
      <alignment horizontal="right" vertical="center"/>
    </xf>
    <xf numFmtId="10" fontId="58" fillId="0" borderId="17" xfId="0" applyNumberFormat="1" applyFont="1" applyBorder="1" applyAlignment="1">
      <alignment horizontal="right" vertical="center"/>
    </xf>
    <xf numFmtId="168" fontId="58" fillId="0" borderId="9" xfId="0" applyNumberFormat="1" applyFont="1" applyBorder="1" applyAlignment="1">
      <alignment horizontal="right" vertical="center"/>
    </xf>
    <xf numFmtId="168" fontId="58" fillId="0" borderId="11" xfId="0" applyNumberFormat="1" applyFont="1" applyBorder="1" applyAlignment="1">
      <alignment horizontal="right" vertical="center"/>
    </xf>
    <xf numFmtId="168" fontId="58" fillId="0" borderId="13" xfId="0" applyNumberFormat="1" applyFont="1" applyBorder="1" applyAlignment="1">
      <alignment horizontal="right" vertical="center"/>
    </xf>
    <xf numFmtId="0" fontId="89" fillId="0" borderId="0" xfId="0" applyFont="1"/>
    <xf numFmtId="0" fontId="90" fillId="0" borderId="0" xfId="0" applyFont="1"/>
    <xf numFmtId="0" fontId="90" fillId="0" borderId="0" xfId="0" applyFont="1" applyAlignment="1">
      <alignment horizontal="center"/>
    </xf>
    <xf numFmtId="0" fontId="83" fillId="0" borderId="0" xfId="0" applyFont="1"/>
    <xf numFmtId="0" fontId="91" fillId="0" borderId="0" xfId="0" applyFont="1"/>
    <xf numFmtId="168" fontId="49" fillId="0" borderId="159" xfId="0" applyNumberFormat="1" applyFont="1" applyBorder="1" applyAlignment="1">
      <alignment horizontal="right" vertical="center"/>
    </xf>
    <xf numFmtId="169" fontId="49" fillId="0" borderId="160" xfId="0" applyNumberFormat="1" applyFont="1" applyBorder="1" applyAlignment="1">
      <alignment horizontal="center" vertical="center"/>
    </xf>
    <xf numFmtId="168" fontId="49" fillId="6" borderId="67" xfId="0" applyNumberFormat="1" applyFont="1" applyFill="1" applyBorder="1" applyAlignment="1">
      <alignment horizontal="right" vertical="center"/>
    </xf>
    <xf numFmtId="168" fontId="49" fillId="0" borderId="67" xfId="0" applyNumberFormat="1" applyFont="1" applyBorder="1" applyAlignment="1">
      <alignment horizontal="right" vertical="center"/>
    </xf>
    <xf numFmtId="168" fontId="49" fillId="0" borderId="69" xfId="0" applyNumberFormat="1" applyFont="1" applyBorder="1" applyAlignment="1">
      <alignment horizontal="right" vertical="center"/>
    </xf>
    <xf numFmtId="169" fontId="49" fillId="0" borderId="70" xfId="0" applyNumberFormat="1" applyFont="1" applyBorder="1" applyAlignment="1">
      <alignment horizontal="right" vertical="center"/>
    </xf>
    <xf numFmtId="169" fontId="49" fillId="0" borderId="26" xfId="0" applyNumberFormat="1" applyFont="1" applyBorder="1" applyAlignment="1">
      <alignment horizontal="center" vertical="center"/>
    </xf>
    <xf numFmtId="4" fontId="59" fillId="4" borderId="29" xfId="0" applyNumberFormat="1" applyFont="1" applyFill="1" applyBorder="1" applyAlignment="1">
      <alignment horizontal="center" vertical="center"/>
    </xf>
    <xf numFmtId="4" fontId="59" fillId="4" borderId="30" xfId="0" applyNumberFormat="1" applyFont="1" applyFill="1" applyBorder="1" applyAlignment="1">
      <alignment horizontal="center" vertical="center"/>
    </xf>
    <xf numFmtId="4" fontId="56" fillId="5" borderId="9" xfId="0" applyNumberFormat="1" applyFont="1" applyFill="1" applyBorder="1" applyAlignment="1">
      <alignment horizontal="center" vertical="center"/>
    </xf>
    <xf numFmtId="4" fontId="57" fillId="5" borderId="13" xfId="0" applyNumberFormat="1" applyFont="1" applyFill="1" applyBorder="1" applyAlignment="1">
      <alignment horizontal="centerContinuous" vertical="center"/>
    </xf>
    <xf numFmtId="4" fontId="57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50" fillId="4" borderId="89" xfId="0" applyNumberFormat="1" applyFont="1" applyFill="1" applyBorder="1" applyAlignment="1">
      <alignment horizontal="centerContinuous" vertical="center"/>
    </xf>
    <xf numFmtId="0" fontId="58" fillId="0" borderId="134" xfId="0" applyFont="1" applyBorder="1" applyAlignment="1">
      <alignment horizontal="center" vertical="center"/>
    </xf>
    <xf numFmtId="0" fontId="58" fillId="0" borderId="161" xfId="0" applyFont="1" applyBorder="1" applyAlignment="1">
      <alignment horizontal="center" vertical="center"/>
    </xf>
    <xf numFmtId="0" fontId="50" fillId="4" borderId="58" xfId="0" applyFont="1" applyFill="1" applyBorder="1" applyAlignment="1">
      <alignment horizontal="centerContinuous" vertical="center"/>
    </xf>
    <xf numFmtId="0" fontId="58" fillId="0" borderId="162" xfId="0" applyFont="1" applyBorder="1" applyAlignment="1">
      <alignment horizontal="centerContinuous"/>
    </xf>
    <xf numFmtId="0" fontId="58" fillId="0" borderId="153" xfId="0" applyFont="1" applyBorder="1" applyAlignment="1">
      <alignment horizontal="centerContinuous"/>
    </xf>
    <xf numFmtId="0" fontId="58" fillId="0" borderId="163" xfId="0" applyFont="1" applyBorder="1" applyAlignment="1">
      <alignment horizontal="centerContinuous"/>
    </xf>
    <xf numFmtId="0" fontId="58" fillId="0" borderId="155" xfId="0" applyFont="1" applyBorder="1" applyAlignment="1">
      <alignment horizontal="centerContinuous"/>
    </xf>
    <xf numFmtId="168" fontId="59" fillId="4" borderId="29" xfId="0" applyNumberFormat="1" applyFont="1" applyFill="1" applyBorder="1" applyAlignment="1">
      <alignment horizontal="centerContinuous" vertical="center"/>
    </xf>
    <xf numFmtId="168" fontId="59" fillId="4" borderId="164" xfId="0" applyNumberFormat="1" applyFont="1" applyFill="1" applyBorder="1" applyAlignment="1">
      <alignment horizontal="centerContinuous" vertical="center"/>
    </xf>
    <xf numFmtId="4" fontId="58" fillId="0" borderId="70" xfId="0" applyNumberFormat="1" applyFont="1" applyBorder="1" applyAlignment="1">
      <alignment horizontal="center" vertical="center"/>
    </xf>
    <xf numFmtId="170" fontId="58" fillId="0" borderId="9" xfId="0" applyNumberFormat="1" applyFont="1" applyBorder="1" applyAlignment="1">
      <alignment horizontal="center" vertical="center"/>
    </xf>
    <xf numFmtId="170" fontId="58" fillId="0" borderId="15" xfId="0" applyNumberFormat="1" applyFont="1" applyBorder="1" applyAlignment="1">
      <alignment horizontal="center" vertical="center"/>
    </xf>
    <xf numFmtId="170" fontId="58" fillId="0" borderId="11" xfId="0" applyNumberFormat="1" applyFont="1" applyBorder="1" applyAlignment="1">
      <alignment horizontal="center" vertical="center"/>
    </xf>
    <xf numFmtId="184" fontId="33" fillId="0" borderId="0" xfId="0" applyNumberFormat="1" applyFont="1"/>
    <xf numFmtId="170" fontId="58" fillId="0" borderId="160" xfId="0" applyNumberFormat="1" applyFont="1" applyBorder="1" applyAlignment="1">
      <alignment horizontal="center" vertical="center"/>
    </xf>
    <xf numFmtId="170" fontId="58" fillId="0" borderId="68" xfId="0" applyNumberFormat="1" applyFont="1" applyBorder="1" applyAlignment="1">
      <alignment horizontal="center" vertical="center"/>
    </xf>
    <xf numFmtId="170" fontId="58" fillId="0" borderId="86" xfId="0" applyNumberFormat="1" applyFont="1" applyBorder="1" applyAlignment="1">
      <alignment horizontal="center" vertical="center"/>
    </xf>
    <xf numFmtId="170" fontId="58" fillId="0" borderId="70" xfId="0" applyNumberFormat="1" applyFont="1" applyBorder="1" applyAlignment="1">
      <alignment horizontal="center" vertical="center"/>
    </xf>
    <xf numFmtId="170" fontId="58" fillId="0" borderId="71" xfId="0" applyNumberFormat="1" applyFont="1" applyBorder="1" applyAlignment="1">
      <alignment horizontal="center" vertical="center"/>
    </xf>
    <xf numFmtId="4" fontId="66" fillId="0" borderId="9" xfId="4" applyNumberFormat="1" applyBorder="1" applyAlignment="1">
      <alignment horizontal="center" vertical="center"/>
    </xf>
    <xf numFmtId="4" fontId="58" fillId="0" borderId="0" xfId="0" applyNumberFormat="1" applyFont="1"/>
    <xf numFmtId="3" fontId="58" fillId="0" borderId="0" xfId="0" applyNumberFormat="1" applyFont="1"/>
    <xf numFmtId="0" fontId="58" fillId="0" borderId="31" xfId="0" applyFont="1" applyBorder="1" applyAlignment="1">
      <alignment horizontal="centerContinuous"/>
    </xf>
    <xf numFmtId="0" fontId="58" fillId="0" borderId="165" xfId="0" applyFont="1" applyBorder="1" applyAlignment="1">
      <alignment horizontal="centerContinuous"/>
    </xf>
    <xf numFmtId="0" fontId="58" fillId="0" borderId="35" xfId="0" applyFont="1" applyBorder="1" applyAlignment="1">
      <alignment horizontal="centerContinuous"/>
    </xf>
    <xf numFmtId="0" fontId="58" fillId="0" borderId="166" xfId="0" applyFont="1" applyBorder="1" applyAlignment="1">
      <alignment horizontal="centerContinuous"/>
    </xf>
    <xf numFmtId="3" fontId="58" fillId="0" borderId="23" xfId="0" applyNumberFormat="1" applyFont="1" applyBorder="1"/>
    <xf numFmtId="3" fontId="58" fillId="0" borderId="56" xfId="0" applyNumberFormat="1" applyFont="1" applyBorder="1"/>
    <xf numFmtId="3" fontId="58" fillId="0" borderId="24" xfId="0" applyNumberFormat="1" applyFont="1" applyBorder="1"/>
    <xf numFmtId="3" fontId="58" fillId="0" borderId="40" xfId="0" applyNumberFormat="1" applyFont="1" applyBorder="1"/>
    <xf numFmtId="3" fontId="58" fillId="0" borderId="0" xfId="0" applyNumberFormat="1" applyFont="1" applyBorder="1"/>
    <xf numFmtId="3" fontId="58" fillId="0" borderId="41" xfId="0" applyNumberFormat="1" applyFont="1" applyBorder="1"/>
    <xf numFmtId="3" fontId="58" fillId="0" borderId="42" xfId="0" applyNumberFormat="1" applyFont="1" applyBorder="1"/>
    <xf numFmtId="3" fontId="58" fillId="0" borderId="129" xfId="0" applyNumberFormat="1" applyFont="1" applyBorder="1"/>
    <xf numFmtId="3" fontId="58" fillId="0" borderId="43" xfId="0" applyNumberFormat="1" applyFont="1" applyBorder="1"/>
    <xf numFmtId="3" fontId="58" fillId="0" borderId="44" xfId="0" applyNumberFormat="1" applyFont="1" applyBorder="1"/>
    <xf numFmtId="3" fontId="58" fillId="0" borderId="82" xfId="0" applyNumberFormat="1" applyFont="1" applyBorder="1"/>
    <xf numFmtId="3" fontId="58" fillId="0" borderId="45" xfId="0" applyNumberFormat="1" applyFont="1" applyBorder="1"/>
    <xf numFmtId="4" fontId="58" fillId="9" borderId="44" xfId="0" applyNumberFormat="1" applyFont="1" applyFill="1" applyBorder="1" applyAlignment="1">
      <alignment horizontal="center" vertical="center"/>
    </xf>
    <xf numFmtId="4" fontId="58" fillId="9" borderId="45" xfId="0" applyNumberFormat="1" applyFont="1" applyFill="1" applyBorder="1" applyAlignment="1">
      <alignment horizontal="center" vertical="center"/>
    </xf>
    <xf numFmtId="0" fontId="58" fillId="0" borderId="44" xfId="0" applyFont="1" applyBorder="1"/>
    <xf numFmtId="0" fontId="58" fillId="0" borderId="82" xfId="0" applyFont="1" applyBorder="1"/>
    <xf numFmtId="0" fontId="58" fillId="0" borderId="45" xfId="0" applyFont="1" applyBorder="1"/>
    <xf numFmtId="0" fontId="58" fillId="0" borderId="56" xfId="0" applyFont="1" applyBorder="1"/>
    <xf numFmtId="0" fontId="58" fillId="0" borderId="24" xfId="0" applyFont="1" applyBorder="1"/>
    <xf numFmtId="0" fontId="58" fillId="0" borderId="0" xfId="0" applyFont="1" applyBorder="1"/>
    <xf numFmtId="0" fontId="58" fillId="0" borderId="41" xfId="0" applyFont="1" applyBorder="1"/>
    <xf numFmtId="0" fontId="58" fillId="0" borderId="129" xfId="0" applyFont="1" applyBorder="1"/>
    <xf numFmtId="0" fontId="58" fillId="0" borderId="43" xfId="0" applyFont="1" applyBorder="1"/>
    <xf numFmtId="0" fontId="58" fillId="0" borderId="23" xfId="0" applyFont="1" applyBorder="1"/>
    <xf numFmtId="0" fontId="58" fillId="0" borderId="40" xfId="0" applyFont="1" applyBorder="1"/>
    <xf numFmtId="0" fontId="58" fillId="0" borderId="42" xfId="0" applyFont="1" applyBorder="1"/>
    <xf numFmtId="4" fontId="59" fillId="4" borderId="20" xfId="0" applyNumberFormat="1" applyFont="1" applyFill="1" applyBorder="1" applyAlignment="1">
      <alignment horizontal="center" vertical="center"/>
    </xf>
    <xf numFmtId="4" fontId="59" fillId="4" borderId="21" xfId="0" applyNumberFormat="1" applyFont="1" applyFill="1" applyBorder="1" applyAlignment="1">
      <alignment horizontal="center" vertical="center"/>
    </xf>
    <xf numFmtId="4" fontId="57" fillId="5" borderId="16" xfId="0" applyNumberFormat="1" applyFont="1" applyFill="1" applyBorder="1" applyAlignment="1">
      <alignment horizontal="center" vertical="center"/>
    </xf>
    <xf numFmtId="4" fontId="57" fillId="5" borderId="12" xfId="0" applyNumberFormat="1" applyFont="1" applyFill="1" applyBorder="1" applyAlignment="1">
      <alignment horizontal="center" vertical="center"/>
    </xf>
    <xf numFmtId="171" fontId="57" fillId="5" borderId="15" xfId="0" applyNumberFormat="1" applyFont="1" applyFill="1" applyBorder="1" applyAlignment="1">
      <alignment horizontal="right" vertical="center"/>
    </xf>
    <xf numFmtId="171" fontId="57" fillId="5" borderId="17" xfId="0" applyNumberFormat="1" applyFont="1" applyFill="1" applyBorder="1" applyAlignment="1">
      <alignment horizontal="right" vertical="center"/>
    </xf>
    <xf numFmtId="172" fontId="57" fillId="5" borderId="15" xfId="0" applyNumberFormat="1" applyFont="1" applyFill="1" applyBorder="1" applyAlignment="1">
      <alignment horizontal="right" vertical="center"/>
    </xf>
    <xf numFmtId="172" fontId="57" fillId="5" borderId="17" xfId="0" applyNumberFormat="1" applyFont="1" applyFill="1" applyBorder="1" applyAlignment="1">
      <alignment horizontal="right" vertical="center"/>
    </xf>
    <xf numFmtId="173" fontId="57" fillId="5" borderId="15" xfId="0" applyNumberFormat="1" applyFont="1" applyFill="1" applyBorder="1" applyAlignment="1">
      <alignment horizontal="right" vertical="center"/>
    </xf>
    <xf numFmtId="173" fontId="57" fillId="5" borderId="17" xfId="0" applyNumberFormat="1" applyFont="1" applyFill="1" applyBorder="1" applyAlignment="1">
      <alignment horizontal="right" vertical="center"/>
    </xf>
    <xf numFmtId="174" fontId="57" fillId="5" borderId="15" xfId="0" applyNumberFormat="1" applyFont="1" applyFill="1" applyBorder="1" applyAlignment="1">
      <alignment horizontal="right" vertical="center"/>
    </xf>
    <xf numFmtId="174" fontId="57" fillId="5" borderId="17" xfId="0" applyNumberFormat="1" applyFont="1" applyFill="1" applyBorder="1" applyAlignment="1">
      <alignment horizontal="right" vertical="center"/>
    </xf>
    <xf numFmtId="10" fontId="57" fillId="5" borderId="15" xfId="0" applyNumberFormat="1" applyFont="1" applyFill="1" applyBorder="1" applyAlignment="1">
      <alignment horizontal="right" vertical="center"/>
    </xf>
    <xf numFmtId="10" fontId="57" fillId="5" borderId="10" xfId="0" applyNumberFormat="1" applyFont="1" applyFill="1" applyBorder="1" applyAlignment="1">
      <alignment horizontal="right" vertical="center"/>
    </xf>
    <xf numFmtId="168" fontId="57" fillId="5" borderId="13" xfId="0" applyNumberFormat="1" applyFont="1" applyFill="1" applyBorder="1" applyAlignment="1">
      <alignment horizontal="right" vertical="center"/>
    </xf>
    <xf numFmtId="168" fontId="57" fillId="5" borderId="17" xfId="0" applyNumberFormat="1" applyFont="1" applyFill="1" applyBorder="1" applyAlignment="1">
      <alignment horizontal="right" vertical="center"/>
    </xf>
    <xf numFmtId="4" fontId="59" fillId="4" borderId="72" xfId="0" applyNumberFormat="1" applyFont="1" applyFill="1" applyBorder="1" applyAlignment="1">
      <alignment horizontal="center" vertical="center"/>
    </xf>
    <xf numFmtId="4" fontId="59" fillId="4" borderId="73" xfId="0" applyNumberFormat="1" applyFont="1" applyFill="1" applyBorder="1" applyAlignment="1">
      <alignment horizontal="center" vertical="center"/>
    </xf>
    <xf numFmtId="4" fontId="57" fillId="5" borderId="55" xfId="0" applyNumberFormat="1" applyFont="1" applyFill="1" applyBorder="1" applyAlignment="1">
      <alignment horizontal="center" vertical="center"/>
    </xf>
    <xf numFmtId="4" fontId="57" fillId="5" borderId="75" xfId="0" applyNumberFormat="1" applyFont="1" applyFill="1" applyBorder="1" applyAlignment="1">
      <alignment horizontal="center" vertical="center"/>
    </xf>
    <xf numFmtId="4" fontId="57" fillId="5" borderId="76" xfId="0" applyNumberFormat="1" applyFont="1" applyFill="1" applyBorder="1" applyAlignment="1">
      <alignment horizontal="center" vertical="center"/>
    </xf>
    <xf numFmtId="4" fontId="57" fillId="5" borderId="77" xfId="0" applyNumberFormat="1" applyFont="1" applyFill="1" applyBorder="1" applyAlignment="1">
      <alignment horizontal="center" vertical="center"/>
    </xf>
    <xf numFmtId="4" fontId="57" fillId="5" borderId="78" xfId="0" applyNumberFormat="1" applyFont="1" applyFill="1" applyBorder="1" applyAlignment="1">
      <alignment horizontal="center" vertical="center"/>
    </xf>
    <xf numFmtId="4" fontId="30" fillId="0" borderId="64" xfId="0" applyNumberFormat="1" applyFont="1" applyBorder="1" applyAlignment="1">
      <alignment horizontal="center" vertical="center"/>
    </xf>
    <xf numFmtId="180" fontId="39" fillId="0" borderId="65" xfId="0" applyNumberFormat="1" applyFont="1" applyBorder="1" applyAlignment="1">
      <alignment horizontal="right" vertical="center"/>
    </xf>
    <xf numFmtId="180" fontId="39" fillId="0" borderId="16" xfId="0" applyNumberFormat="1" applyFont="1" applyBorder="1" applyAlignment="1">
      <alignment horizontal="right" vertical="center"/>
    </xf>
    <xf numFmtId="180" fontId="39" fillId="0" borderId="70" xfId="0" applyNumberFormat="1" applyFont="1" applyBorder="1" applyAlignment="1">
      <alignment horizontal="right" vertical="center"/>
    </xf>
    <xf numFmtId="4" fontId="37" fillId="0" borderId="0" xfId="0" applyNumberFormat="1" applyFont="1" applyBorder="1" applyAlignment="1">
      <alignment horizontal="center" vertical="center"/>
    </xf>
    <xf numFmtId="10" fontId="38" fillId="0" borderId="0" xfId="0" applyNumberFormat="1" applyFont="1" applyBorder="1" applyAlignment="1">
      <alignment horizontal="right" vertical="center"/>
    </xf>
    <xf numFmtId="4" fontId="38" fillId="0" borderId="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180" fontId="38" fillId="0" borderId="15" xfId="0" applyNumberFormat="1" applyFont="1" applyBorder="1" applyAlignment="1">
      <alignment horizontal="right" vertical="center"/>
    </xf>
    <xf numFmtId="180" fontId="38" fillId="0" borderId="16" xfId="0" applyNumberFormat="1" applyFont="1" applyBorder="1" applyAlignment="1">
      <alignment horizontal="right" vertical="center"/>
    </xf>
    <xf numFmtId="180" fontId="38" fillId="0" borderId="17" xfId="0" applyNumberFormat="1" applyFont="1" applyBorder="1" applyAlignment="1">
      <alignment horizontal="right" vertical="center"/>
    </xf>
    <xf numFmtId="4" fontId="30" fillId="0" borderId="9" xfId="0" applyNumberFormat="1" applyFont="1" applyBorder="1" applyAlignment="1">
      <alignment horizontal="center" vertical="center"/>
    </xf>
    <xf numFmtId="180" fontId="39" fillId="0" borderId="15" xfId="0" applyNumberFormat="1" applyFont="1" applyBorder="1" applyAlignment="1">
      <alignment horizontal="right" vertical="center"/>
    </xf>
    <xf numFmtId="180" fontId="39" fillId="0" borderId="17" xfId="0" applyNumberFormat="1" applyFont="1" applyBorder="1" applyAlignment="1">
      <alignment horizontal="right" vertical="center"/>
    </xf>
    <xf numFmtId="10" fontId="58" fillId="0" borderId="55" xfId="0" applyNumberFormat="1" applyFont="1" applyBorder="1" applyAlignment="1">
      <alignment horizontal="right" vertical="center"/>
    </xf>
    <xf numFmtId="4" fontId="58" fillId="9" borderId="167" xfId="0" applyNumberFormat="1" applyFont="1" applyFill="1" applyBorder="1" applyAlignment="1">
      <alignment horizontal="center" vertical="center"/>
    </xf>
    <xf numFmtId="168" fontId="58" fillId="0" borderId="64" xfId="0" applyNumberFormat="1" applyFont="1" applyBorder="1" applyAlignment="1">
      <alignment horizontal="right" vertical="center"/>
    </xf>
    <xf numFmtId="4" fontId="58" fillId="9" borderId="168" xfId="0" applyNumberFormat="1" applyFont="1" applyFill="1" applyBorder="1" applyAlignment="1">
      <alignment horizontal="center" vertical="center"/>
    </xf>
    <xf numFmtId="168" fontId="58" fillId="0" borderId="67" xfId="0" applyNumberFormat="1" applyFont="1" applyBorder="1" applyAlignment="1">
      <alignment horizontal="right" vertical="center"/>
    </xf>
    <xf numFmtId="4" fontId="58" fillId="0" borderId="169" xfId="0" applyNumberFormat="1" applyFont="1" applyBorder="1" applyAlignment="1">
      <alignment horizontal="center" vertical="center"/>
    </xf>
    <xf numFmtId="4" fontId="58" fillId="0" borderId="68" xfId="0" applyNumberFormat="1" applyFont="1" applyBorder="1" applyAlignment="1">
      <alignment horizontal="center" vertical="center"/>
    </xf>
    <xf numFmtId="168" fontId="58" fillId="0" borderId="69" xfId="0" applyNumberFormat="1" applyFont="1" applyBorder="1" applyAlignment="1">
      <alignment horizontal="right" vertical="center"/>
    </xf>
    <xf numFmtId="10" fontId="58" fillId="0" borderId="70" xfId="0" applyNumberFormat="1" applyFont="1" applyBorder="1" applyAlignment="1">
      <alignment horizontal="right" vertical="center"/>
    </xf>
    <xf numFmtId="175" fontId="39" fillId="0" borderId="16" xfId="0" applyNumberFormat="1" applyFont="1" applyBorder="1" applyAlignment="1">
      <alignment horizontal="center" vertical="center"/>
    </xf>
    <xf numFmtId="175" fontId="39" fillId="0" borderId="17" xfId="0" applyNumberFormat="1" applyFont="1" applyBorder="1" applyAlignment="1">
      <alignment horizontal="center" vertical="center"/>
    </xf>
    <xf numFmtId="175" fontId="39" fillId="0" borderId="15" xfId="0" applyNumberFormat="1" applyFont="1" applyBorder="1" applyAlignment="1">
      <alignment horizontal="center" vertical="center"/>
    </xf>
    <xf numFmtId="0" fontId="92" fillId="0" borderId="0" xfId="0" applyFont="1"/>
    <xf numFmtId="0" fontId="92" fillId="0" borderId="0" xfId="0" applyFont="1" applyAlignment="1">
      <alignment horizontal="right"/>
    </xf>
    <xf numFmtId="170" fontId="57" fillId="5" borderId="15" xfId="0" applyNumberFormat="1" applyFont="1" applyFill="1" applyBorder="1" applyAlignment="1">
      <alignment horizontal="center" vertical="center"/>
    </xf>
    <xf numFmtId="170" fontId="57" fillId="5" borderId="17" xfId="0" applyNumberFormat="1" applyFont="1" applyFill="1" applyBorder="1" applyAlignment="1">
      <alignment horizontal="centerContinuous" vertical="center"/>
    </xf>
    <xf numFmtId="175" fontId="36" fillId="0" borderId="15" xfId="0" applyNumberFormat="1" applyFont="1" applyBorder="1" applyAlignment="1">
      <alignment horizontal="center" vertical="center"/>
    </xf>
    <xf numFmtId="175" fontId="36" fillId="0" borderId="16" xfId="0" applyNumberFormat="1" applyFont="1" applyBorder="1" applyAlignment="1">
      <alignment horizontal="center" vertical="center"/>
    </xf>
    <xf numFmtId="4" fontId="39" fillId="0" borderId="0" xfId="0" applyNumberFormat="1" applyFont="1" applyBorder="1" applyAlignment="1">
      <alignment horizontal="center" vertical="center"/>
    </xf>
    <xf numFmtId="4" fontId="29" fillId="0" borderId="11" xfId="0" applyNumberFormat="1" applyFont="1" applyBorder="1" applyAlignment="1">
      <alignment horizontal="center" vertical="center"/>
    </xf>
    <xf numFmtId="4" fontId="29" fillId="0" borderId="13" xfId="0" applyNumberFormat="1" applyFont="1" applyBorder="1" applyAlignment="1">
      <alignment horizontal="center" vertical="center"/>
    </xf>
    <xf numFmtId="4" fontId="57" fillId="5" borderId="11" xfId="0" applyNumberFormat="1" applyFont="1" applyFill="1" applyBorder="1" applyAlignment="1">
      <alignment horizontal="centerContinuous" vertical="center"/>
    </xf>
    <xf numFmtId="170" fontId="57" fillId="5" borderId="16" xfId="0" applyNumberFormat="1" applyFont="1" applyFill="1" applyBorder="1" applyAlignment="1">
      <alignment horizontal="centerContinuous" vertical="center"/>
    </xf>
    <xf numFmtId="4" fontId="56" fillId="5" borderId="11" xfId="0" applyNumberFormat="1" applyFont="1" applyFill="1" applyBorder="1" applyAlignment="1">
      <alignment horizontal="center" vertical="center"/>
    </xf>
    <xf numFmtId="170" fontId="57" fillId="5" borderId="16" xfId="0" applyNumberFormat="1" applyFont="1" applyFill="1" applyBorder="1" applyAlignment="1">
      <alignment horizontal="center" vertical="center"/>
    </xf>
    <xf numFmtId="4" fontId="29" fillId="0" borderId="10" xfId="0" applyNumberFormat="1" applyFont="1" applyBorder="1" applyAlignment="1">
      <alignment horizontal="center" vertical="center"/>
    </xf>
    <xf numFmtId="0" fontId="50" fillId="4" borderId="21" xfId="9" applyFont="1" applyFill="1" applyBorder="1" applyAlignment="1" applyProtection="1">
      <alignment horizontal="center" vertical="center"/>
      <protection hidden="1"/>
    </xf>
    <xf numFmtId="168" fontId="29" fillId="0" borderId="9" xfId="9" applyNumberFormat="1" applyFont="1" applyBorder="1" applyAlignment="1" applyProtection="1">
      <alignment horizontal="right" vertical="center"/>
      <protection hidden="1"/>
    </xf>
    <xf numFmtId="168" fontId="29" fillId="0" borderId="11" xfId="9" applyNumberFormat="1" applyFont="1" applyBorder="1" applyAlignment="1" applyProtection="1">
      <alignment horizontal="right" vertical="center"/>
      <protection hidden="1"/>
    </xf>
    <xf numFmtId="168" fontId="29" fillId="0" borderId="13" xfId="9" applyNumberFormat="1" applyFont="1" applyBorder="1" applyAlignment="1" applyProtection="1">
      <alignment horizontal="right" vertical="center"/>
      <protection hidden="1"/>
    </xf>
    <xf numFmtId="0" fontId="50" fillId="4" borderId="4" xfId="9" applyFont="1" applyFill="1" applyBorder="1" applyAlignment="1" applyProtection="1">
      <alignment horizontal="center" vertical="center"/>
      <protection hidden="1"/>
    </xf>
    <xf numFmtId="0" fontId="50" fillId="4" borderId="5" xfId="0" applyFont="1" applyFill="1" applyBorder="1" applyAlignment="1">
      <alignment horizontal="center" vertical="center"/>
    </xf>
    <xf numFmtId="0" fontId="59" fillId="3" borderId="164" xfId="0" applyFont="1" applyFill="1" applyBorder="1" applyAlignment="1">
      <alignment horizontal="centerContinuous" vertical="center"/>
    </xf>
    <xf numFmtId="0" fontId="59" fillId="3" borderId="90" xfId="0" applyFont="1" applyFill="1" applyBorder="1" applyAlignment="1">
      <alignment horizontal="centerContinuous" vertical="center"/>
    </xf>
    <xf numFmtId="169" fontId="29" fillId="0" borderId="15" xfId="37" applyNumberFormat="1" applyFont="1" applyBorder="1" applyAlignment="1" applyProtection="1">
      <alignment horizontal="center" vertical="center"/>
      <protection hidden="1"/>
    </xf>
    <xf numFmtId="169" fontId="29" fillId="0" borderId="15" xfId="0" applyNumberFormat="1" applyFont="1" applyBorder="1" applyAlignment="1">
      <alignment horizontal="center" vertical="center"/>
    </xf>
    <xf numFmtId="169" fontId="29" fillId="0" borderId="16" xfId="37" applyNumberFormat="1" applyFont="1" applyBorder="1" applyAlignment="1" applyProtection="1">
      <alignment horizontal="center" vertical="center"/>
      <protection hidden="1"/>
    </xf>
    <xf numFmtId="169" fontId="29" fillId="0" borderId="16" xfId="0" applyNumberFormat="1" applyFont="1" applyBorder="1" applyAlignment="1">
      <alignment horizontal="center" vertical="center"/>
    </xf>
    <xf numFmtId="169" fontId="29" fillId="0" borderId="17" xfId="37" applyNumberFormat="1" applyFont="1" applyBorder="1" applyAlignment="1" applyProtection="1">
      <alignment horizontal="center" vertical="center"/>
      <protection hidden="1"/>
    </xf>
    <xf numFmtId="169" fontId="29" fillId="0" borderId="17" xfId="0" applyNumberFormat="1" applyFont="1" applyBorder="1" applyAlignment="1">
      <alignment horizontal="center" vertical="center"/>
    </xf>
    <xf numFmtId="0" fontId="50" fillId="4" borderId="175" xfId="0" applyFont="1" applyFill="1" applyBorder="1" applyAlignment="1">
      <alignment horizontal="center" vertical="center"/>
    </xf>
    <xf numFmtId="0" fontId="50" fillId="4" borderId="176" xfId="0" applyFont="1" applyFill="1" applyBorder="1" applyAlignment="1">
      <alignment horizontal="center" vertical="center"/>
    </xf>
    <xf numFmtId="0" fontId="50" fillId="4" borderId="177" xfId="0" applyFont="1" applyFill="1" applyBorder="1" applyAlignment="1">
      <alignment horizontal="center" vertical="center"/>
    </xf>
    <xf numFmtId="168" fontId="36" fillId="0" borderId="159" xfId="0" applyNumberFormat="1" applyFont="1" applyBorder="1" applyAlignment="1">
      <alignment horizontal="right" vertical="center"/>
    </xf>
    <xf numFmtId="4" fontId="36" fillId="0" borderId="160" xfId="0" applyNumberFormat="1" applyFont="1" applyBorder="1" applyAlignment="1">
      <alignment horizontal="center" vertical="center"/>
    </xf>
    <xf numFmtId="168" fontId="36" fillId="0" borderId="67" xfId="0" applyNumberFormat="1" applyFont="1" applyBorder="1" applyAlignment="1">
      <alignment horizontal="right" vertical="center"/>
    </xf>
    <xf numFmtId="168" fontId="36" fillId="0" borderId="69" xfId="0" applyNumberFormat="1" applyFont="1" applyBorder="1" applyAlignment="1">
      <alignment horizontal="right" vertical="center"/>
    </xf>
    <xf numFmtId="175" fontId="36" fillId="0" borderId="70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28" fillId="0" borderId="9" xfId="0" applyNumberFormat="1" applyFont="1" applyBorder="1" applyAlignment="1">
      <alignment horizontal="right" vertical="center"/>
    </xf>
    <xf numFmtId="168" fontId="28" fillId="0" borderId="11" xfId="0" applyNumberFormat="1" applyFont="1" applyBorder="1" applyAlignment="1">
      <alignment horizontal="right" vertical="center"/>
    </xf>
    <xf numFmtId="168" fontId="28" fillId="0" borderId="13" xfId="0" applyNumberFormat="1" applyFont="1" applyBorder="1" applyAlignment="1">
      <alignment horizontal="right" vertical="center"/>
    </xf>
    <xf numFmtId="168" fontId="29" fillId="0" borderId="64" xfId="9" applyNumberFormat="1" applyFont="1" applyBorder="1" applyAlignment="1" applyProtection="1">
      <alignment horizontal="right" vertical="center"/>
      <protection hidden="1"/>
    </xf>
    <xf numFmtId="169" fontId="29" fillId="0" borderId="65" xfId="0" applyNumberFormat="1" applyFont="1" applyBorder="1" applyAlignment="1">
      <alignment horizontal="center" vertical="center"/>
    </xf>
    <xf numFmtId="169" fontId="29" fillId="0" borderId="66" xfId="0" applyNumberFormat="1" applyFont="1" applyBorder="1" applyAlignment="1">
      <alignment horizontal="center" vertical="center"/>
    </xf>
    <xf numFmtId="168" fontId="29" fillId="0" borderId="67" xfId="9" applyNumberFormat="1" applyFont="1" applyBorder="1" applyAlignment="1" applyProtection="1">
      <alignment horizontal="right" vertical="center"/>
      <protection hidden="1"/>
    </xf>
    <xf numFmtId="169" fontId="29" fillId="0" borderId="68" xfId="0" applyNumberFormat="1" applyFont="1" applyBorder="1" applyAlignment="1">
      <alignment horizontal="center" vertical="center"/>
    </xf>
    <xf numFmtId="168" fontId="29" fillId="0" borderId="69" xfId="9" applyNumberFormat="1" applyFont="1" applyBorder="1" applyAlignment="1" applyProtection="1">
      <alignment horizontal="right" vertical="center"/>
      <protection hidden="1"/>
    </xf>
    <xf numFmtId="169" fontId="29" fillId="0" borderId="70" xfId="0" applyNumberFormat="1" applyFont="1" applyBorder="1" applyAlignment="1">
      <alignment horizontal="center" vertical="center"/>
    </xf>
    <xf numFmtId="169" fontId="29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39" fillId="0" borderId="2" xfId="0" applyNumberFormat="1" applyFont="1" applyBorder="1" applyAlignment="1">
      <alignment horizontal="center" vertical="center"/>
    </xf>
    <xf numFmtId="0" fontId="116" fillId="0" borderId="23" xfId="6" applyFont="1" applyBorder="1" applyAlignment="1">
      <alignment horizontal="centerContinuous" vertical="center"/>
    </xf>
    <xf numFmtId="0" fontId="116" fillId="0" borderId="24" xfId="6" applyFont="1" applyBorder="1" applyAlignment="1">
      <alignment horizontal="centerContinuous" vertical="center"/>
    </xf>
    <xf numFmtId="0" fontId="116" fillId="0" borderId="42" xfId="6" applyFont="1" applyBorder="1" applyAlignment="1">
      <alignment horizontal="centerContinuous" vertical="center"/>
    </xf>
    <xf numFmtId="0" fontId="118" fillId="0" borderId="0" xfId="6" applyFont="1" applyAlignment="1">
      <alignment horizontal="center" wrapText="1"/>
    </xf>
    <xf numFmtId="43" fontId="117" fillId="40" borderId="58" xfId="7" applyFont="1" applyFill="1" applyBorder="1" applyProtection="1">
      <protection hidden="1"/>
    </xf>
    <xf numFmtId="43" fontId="117" fillId="40" borderId="46" xfId="7" applyFont="1" applyFill="1" applyBorder="1" applyProtection="1">
      <protection hidden="1"/>
    </xf>
    <xf numFmtId="0" fontId="119" fillId="0" borderId="40" xfId="6" applyFont="1" applyBorder="1" applyAlignment="1">
      <alignment wrapText="1"/>
    </xf>
    <xf numFmtId="0" fontId="119" fillId="0" borderId="0" xfId="6" applyFont="1" applyAlignment="1">
      <alignment wrapText="1"/>
    </xf>
    <xf numFmtId="15" fontId="120" fillId="0" borderId="0" xfId="6" applyNumberFormat="1" applyFont="1" applyProtection="1">
      <protection hidden="1"/>
    </xf>
    <xf numFmtId="43" fontId="120" fillId="0" borderId="0" xfId="62" applyFont="1" applyBorder="1" applyProtection="1">
      <protection hidden="1"/>
    </xf>
    <xf numFmtId="0" fontId="119" fillId="41" borderId="0" xfId="6" applyFont="1" applyFill="1" applyAlignment="1">
      <alignment wrapText="1"/>
    </xf>
    <xf numFmtId="0" fontId="119" fillId="41" borderId="41" xfId="6" applyFont="1" applyFill="1" applyBorder="1" applyAlignment="1">
      <alignment wrapText="1"/>
    </xf>
    <xf numFmtId="43" fontId="117" fillId="40" borderId="47" xfId="7" applyFont="1" applyFill="1" applyBorder="1" applyProtection="1">
      <protection hidden="1"/>
    </xf>
    <xf numFmtId="0" fontId="119" fillId="0" borderId="41" xfId="6" applyFont="1" applyBorder="1" applyAlignment="1">
      <alignment wrapText="1"/>
    </xf>
    <xf numFmtId="0" fontId="119" fillId="0" borderId="40" xfId="6" applyFont="1" applyBorder="1"/>
    <xf numFmtId="0" fontId="119" fillId="0" borderId="0" xfId="6" applyFont="1"/>
    <xf numFmtId="0" fontId="119" fillId="0" borderId="41" xfId="6" applyFont="1" applyBorder="1"/>
    <xf numFmtId="43" fontId="117" fillId="40" borderId="48" xfId="7" applyFont="1" applyFill="1" applyBorder="1" applyProtection="1">
      <protection hidden="1"/>
    </xf>
    <xf numFmtId="0" fontId="119" fillId="0" borderId="42" xfId="6" applyFont="1" applyBorder="1"/>
    <xf numFmtId="0" fontId="119" fillId="0" borderId="129" xfId="6" applyFont="1" applyBorder="1"/>
    <xf numFmtId="15" fontId="120" fillId="0" borderId="129" xfId="6" applyNumberFormat="1" applyFont="1" applyBorder="1" applyProtection="1">
      <protection hidden="1"/>
    </xf>
    <xf numFmtId="43" fontId="120" fillId="0" borderId="129" xfId="62" applyFont="1" applyBorder="1" applyProtection="1">
      <protection hidden="1"/>
    </xf>
    <xf numFmtId="0" fontId="119" fillId="0" borderId="43" xfId="6" applyFont="1" applyBorder="1"/>
    <xf numFmtId="169" fontId="0" fillId="0" borderId="0" xfId="0" applyNumberFormat="1"/>
    <xf numFmtId="180" fontId="0" fillId="0" borderId="0" xfId="61" applyNumberFormat="1" applyFont="1"/>
    <xf numFmtId="168" fontId="36" fillId="0" borderId="64" xfId="0" applyNumberFormat="1" applyFont="1" applyBorder="1" applyAlignment="1">
      <alignment horizontal="right" vertical="center"/>
    </xf>
    <xf numFmtId="175" fontId="36" fillId="0" borderId="65" xfId="0" applyNumberFormat="1" applyFont="1" applyBorder="1" applyAlignment="1">
      <alignment horizontal="center" vertical="center"/>
    </xf>
    <xf numFmtId="4" fontId="36" fillId="0" borderId="66" xfId="0" applyNumberFormat="1" applyFont="1" applyBorder="1" applyAlignment="1">
      <alignment horizontal="center" vertical="center"/>
    </xf>
    <xf numFmtId="4" fontId="27" fillId="0" borderId="9" xfId="0" applyNumberFormat="1" applyFont="1" applyBorder="1" applyAlignment="1">
      <alignment horizontal="center" vertical="center"/>
    </xf>
    <xf numFmtId="4" fontId="27" fillId="0" borderId="11" xfId="0" applyNumberFormat="1" applyFont="1" applyBorder="1" applyAlignment="1">
      <alignment horizontal="center" vertical="center"/>
    </xf>
    <xf numFmtId="4" fontId="27" fillId="0" borderId="13" xfId="0" applyNumberFormat="1" applyFont="1" applyBorder="1" applyAlignment="1">
      <alignment horizontal="center" vertical="center"/>
    </xf>
    <xf numFmtId="168" fontId="39" fillId="0" borderId="159" xfId="0" applyNumberFormat="1" applyFont="1" applyBorder="1" applyAlignment="1">
      <alignment horizontal="right" vertical="center"/>
    </xf>
    <xf numFmtId="4" fontId="39" fillId="0" borderId="160" xfId="0" applyNumberFormat="1" applyFont="1" applyBorder="1" applyAlignment="1">
      <alignment horizontal="center" vertical="center"/>
    </xf>
    <xf numFmtId="168" fontId="39" fillId="0" borderId="67" xfId="0" applyNumberFormat="1" applyFont="1" applyBorder="1" applyAlignment="1">
      <alignment horizontal="right" vertical="center"/>
    </xf>
    <xf numFmtId="168" fontId="39" fillId="0" borderId="69" xfId="0" applyNumberFormat="1" applyFont="1" applyBorder="1" applyAlignment="1">
      <alignment horizontal="right" vertical="center"/>
    </xf>
    <xf numFmtId="175" fontId="39" fillId="0" borderId="70" xfId="0" applyNumberFormat="1" applyFont="1" applyBorder="1" applyAlignment="1">
      <alignment horizontal="center" vertical="center"/>
    </xf>
    <xf numFmtId="0" fontId="59" fillId="3" borderId="23" xfId="2" applyFont="1" applyFill="1" applyBorder="1" applyAlignment="1">
      <alignment horizontal="centerContinuous" vertical="center"/>
    </xf>
    <xf numFmtId="0" fontId="59" fillId="3" borderId="56" xfId="2" applyFont="1" applyFill="1" applyBorder="1" applyAlignment="1">
      <alignment horizontal="centerContinuous" vertical="center"/>
    </xf>
    <xf numFmtId="0" fontId="59" fillId="3" borderId="24" xfId="2" applyFont="1" applyFill="1" applyBorder="1" applyAlignment="1">
      <alignment horizontal="centerContinuous" vertical="center"/>
    </xf>
    <xf numFmtId="0" fontId="51" fillId="2" borderId="23" xfId="0" applyFont="1" applyFill="1" applyBorder="1" applyAlignment="1">
      <alignment horizontal="centerContinuous" vertical="center"/>
    </xf>
    <xf numFmtId="0" fontId="51" fillId="2" borderId="56" xfId="0" applyFont="1" applyFill="1" applyBorder="1" applyAlignment="1">
      <alignment horizontal="centerContinuous" vertical="center"/>
    </xf>
    <xf numFmtId="0" fontId="51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32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50" fillId="3" borderId="183" xfId="0" applyFont="1" applyFill="1" applyBorder="1" applyAlignment="1">
      <alignment horizontal="centerContinuous" vertical="center"/>
    </xf>
    <xf numFmtId="0" fontId="50" fillId="4" borderId="61" xfId="0" applyFont="1" applyFill="1" applyBorder="1" applyAlignment="1">
      <alignment horizontal="center" vertical="center"/>
    </xf>
    <xf numFmtId="0" fontId="50" fillId="4" borderId="62" xfId="0" applyFont="1" applyFill="1" applyBorder="1" applyAlignment="1">
      <alignment horizontal="center" vertical="center"/>
    </xf>
    <xf numFmtId="0" fontId="50" fillId="4" borderId="137" xfId="0" applyFont="1" applyFill="1" applyBorder="1" applyAlignment="1">
      <alignment horizontal="center" vertical="center"/>
    </xf>
    <xf numFmtId="0" fontId="50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168" fontId="90" fillId="0" borderId="0" xfId="0" applyNumberFormat="1" applyFont="1" applyAlignment="1">
      <alignment horizontal="left"/>
    </xf>
    <xf numFmtId="0" fontId="93" fillId="0" borderId="0" xfId="0" applyFont="1"/>
    <xf numFmtId="0" fontId="121" fillId="7" borderId="23" xfId="0" applyFont="1" applyFill="1" applyBorder="1" applyAlignment="1">
      <alignment horizontal="centerContinuous"/>
    </xf>
    <xf numFmtId="0" fontId="121" fillId="7" borderId="56" xfId="0" applyFont="1" applyFill="1" applyBorder="1" applyAlignment="1">
      <alignment horizontal="centerContinuous"/>
    </xf>
    <xf numFmtId="0" fontId="121" fillId="7" borderId="42" xfId="0" applyFont="1" applyFill="1" applyBorder="1" applyAlignment="1">
      <alignment horizontal="centerContinuous"/>
    </xf>
    <xf numFmtId="0" fontId="121" fillId="7" borderId="129" xfId="0" applyFont="1" applyFill="1" applyBorder="1" applyAlignment="1">
      <alignment horizontal="centerContinuous"/>
    </xf>
    <xf numFmtId="0" fontId="58" fillId="0" borderId="24" xfId="0" applyFont="1" applyBorder="1" applyAlignment="1">
      <alignment horizontal="center"/>
    </xf>
    <xf numFmtId="0" fontId="58" fillId="0" borderId="43" xfId="0" applyFont="1" applyBorder="1" applyAlignment="1">
      <alignment horizontal="center"/>
    </xf>
    <xf numFmtId="10" fontId="0" fillId="0" borderId="0" xfId="0" applyNumberFormat="1"/>
    <xf numFmtId="0" fontId="122" fillId="0" borderId="0" xfId="0" applyFont="1" applyAlignment="1">
      <alignment wrapText="1"/>
    </xf>
    <xf numFmtId="0" fontId="55" fillId="42" borderId="0" xfId="0" applyFont="1" applyFill="1"/>
    <xf numFmtId="4" fontId="0" fillId="42" borderId="0" xfId="0" applyNumberFormat="1" applyFill="1"/>
    <xf numFmtId="4" fontId="26" fillId="0" borderId="9" xfId="0" applyNumberFormat="1" applyFont="1" applyBorder="1" applyAlignment="1">
      <alignment horizontal="center" vertical="center"/>
    </xf>
    <xf numFmtId="4" fontId="26" fillId="0" borderId="13" xfId="0" applyNumberFormat="1" applyFont="1" applyBorder="1" applyAlignment="1">
      <alignment horizontal="center" vertical="center"/>
    </xf>
    <xf numFmtId="0" fontId="59" fillId="4" borderId="63" xfId="0" applyFont="1" applyFill="1" applyBorder="1" applyAlignment="1">
      <alignment horizontal="center" vertical="center"/>
    </xf>
    <xf numFmtId="182" fontId="0" fillId="0" borderId="0" xfId="0" applyNumberFormat="1"/>
    <xf numFmtId="169" fontId="58" fillId="0" borderId="66" xfId="0" applyNumberFormat="1" applyFont="1" applyBorder="1" applyAlignment="1">
      <alignment horizontal="center" vertical="center"/>
    </xf>
    <xf numFmtId="169" fontId="58" fillId="0" borderId="68" xfId="0" applyNumberFormat="1" applyFont="1" applyBorder="1" applyAlignment="1">
      <alignment horizontal="center" vertical="center"/>
    </xf>
    <xf numFmtId="169" fontId="58" fillId="0" borderId="71" xfId="0" applyNumberFormat="1" applyFont="1" applyBorder="1" applyAlignment="1">
      <alignment horizontal="center" vertical="center"/>
    </xf>
    <xf numFmtId="170" fontId="0" fillId="0" borderId="0" xfId="0" applyNumberFormat="1"/>
    <xf numFmtId="180" fontId="0" fillId="0" borderId="0" xfId="0" applyNumberFormat="1"/>
    <xf numFmtId="4" fontId="58" fillId="0" borderId="0" xfId="0" applyNumberFormat="1" applyFont="1" applyBorder="1" applyAlignment="1">
      <alignment horizontal="center" vertical="center"/>
    </xf>
    <xf numFmtId="4" fontId="58" fillId="0" borderId="0" xfId="0" applyNumberFormat="1" applyFont="1" applyAlignment="1">
      <alignment horizontal="center"/>
    </xf>
    <xf numFmtId="11" fontId="25" fillId="0" borderId="2" xfId="0" applyNumberFormat="1" applyFont="1" applyBorder="1" applyAlignment="1">
      <alignment horizontal="center" vertical="center"/>
    </xf>
    <xf numFmtId="0" fontId="0" fillId="0" borderId="185" xfId="0" applyBorder="1"/>
    <xf numFmtId="0" fontId="0" fillId="0" borderId="184" xfId="0" applyBorder="1"/>
    <xf numFmtId="0" fontId="0" fillId="0" borderId="178" xfId="0" applyBorder="1"/>
    <xf numFmtId="0" fontId="123" fillId="0" borderId="186" xfId="64" applyBorder="1"/>
    <xf numFmtId="168" fontId="39" fillId="0" borderId="2" xfId="0" applyNumberFormat="1" applyFont="1" applyBorder="1" applyAlignment="1">
      <alignment horizontal="center" vertical="center"/>
    </xf>
    <xf numFmtId="4" fontId="22" fillId="0" borderId="14" xfId="0" applyNumberFormat="1" applyFont="1" applyBorder="1" applyAlignment="1">
      <alignment horizontal="center" vertical="center"/>
    </xf>
    <xf numFmtId="168" fontId="39" fillId="0" borderId="10" xfId="0" applyNumberFormat="1" applyFont="1" applyBorder="1" applyAlignment="1">
      <alignment horizontal="centerContinuous" vertical="center"/>
    </xf>
    <xf numFmtId="4" fontId="39" fillId="0" borderId="12" xfId="0" applyNumberFormat="1" applyFont="1" applyBorder="1" applyAlignment="1">
      <alignment horizontal="centerContinuous" vertical="center"/>
    </xf>
    <xf numFmtId="0" fontId="50" fillId="4" borderId="30" xfId="0" applyFont="1" applyFill="1" applyBorder="1" applyAlignment="1">
      <alignment horizontal="centerContinuous" vertical="center"/>
    </xf>
    <xf numFmtId="0" fontId="58" fillId="0" borderId="31" xfId="0" applyFont="1" applyBorder="1" applyAlignment="1">
      <alignment horizontal="center"/>
    </xf>
    <xf numFmtId="0" fontId="58" fillId="0" borderId="32" xfId="0" applyFont="1" applyBorder="1" applyAlignment="1">
      <alignment horizontal="center"/>
    </xf>
    <xf numFmtId="0" fontId="58" fillId="0" borderId="33" xfId="0" applyFont="1" applyBorder="1" applyAlignment="1">
      <alignment horizontal="center"/>
    </xf>
    <xf numFmtId="0" fontId="58" fillId="0" borderId="34" xfId="0" applyFont="1" applyBorder="1" applyAlignment="1">
      <alignment horizontal="center"/>
    </xf>
    <xf numFmtId="0" fontId="58" fillId="0" borderId="35" xfId="0" applyFont="1" applyBorder="1" applyAlignment="1">
      <alignment horizontal="center"/>
    </xf>
    <xf numFmtId="168" fontId="58" fillId="0" borderId="36" xfId="0" applyNumberFormat="1" applyFont="1" applyBorder="1" applyAlignment="1">
      <alignment horizontal="center"/>
    </xf>
    <xf numFmtId="14" fontId="58" fillId="0" borderId="0" xfId="0" applyNumberFormat="1" applyFont="1"/>
    <xf numFmtId="179" fontId="58" fillId="0" borderId="0" xfId="0" applyNumberFormat="1" applyFont="1"/>
    <xf numFmtId="180" fontId="58" fillId="0" borderId="0" xfId="61" applyNumberFormat="1" applyFont="1"/>
    <xf numFmtId="170" fontId="58" fillId="0" borderId="0" xfId="61" applyNumberFormat="1" applyFont="1"/>
    <xf numFmtId="0" fontId="58" fillId="0" borderId="2" xfId="0" applyFont="1" applyBorder="1" applyAlignment="1">
      <alignment horizontal="centerContinuous" vertical="center"/>
    </xf>
    <xf numFmtId="0" fontId="52" fillId="0" borderId="165" xfId="0" applyFont="1" applyBorder="1" applyAlignment="1">
      <alignment horizontal="centerContinuous" vertical="center"/>
    </xf>
    <xf numFmtId="0" fontId="0" fillId="0" borderId="191" xfId="0" applyBorder="1" applyAlignment="1">
      <alignment horizontal="centerContinuous" vertical="center"/>
    </xf>
    <xf numFmtId="0" fontId="52" fillId="43" borderId="165" xfId="0" applyFont="1" applyFill="1" applyBorder="1" applyAlignment="1">
      <alignment horizontal="centerContinuous" vertical="center"/>
    </xf>
    <xf numFmtId="0" fontId="0" fillId="43" borderId="191" xfId="0" applyFill="1" applyBorder="1" applyAlignment="1">
      <alignment horizontal="centerContinuous" vertical="center"/>
    </xf>
    <xf numFmtId="0" fontId="52" fillId="0" borderId="0" xfId="0" applyFont="1" applyBorder="1" applyAlignment="1">
      <alignment horizontal="centerContinuous" vertical="center"/>
    </xf>
    <xf numFmtId="0" fontId="0" fillId="0" borderId="0" xfId="0" applyBorder="1" applyAlignment="1">
      <alignment horizontal="centerContinuous" vertical="center"/>
    </xf>
    <xf numFmtId="10" fontId="58" fillId="0" borderId="70" xfId="0" applyNumberFormat="1" applyFont="1" applyBorder="1" applyAlignment="1">
      <alignment horizontal="centerContinuous" vertical="center"/>
    </xf>
    <xf numFmtId="4" fontId="58" fillId="0" borderId="71" xfId="0" applyNumberFormat="1" applyFont="1" applyBorder="1" applyAlignment="1">
      <alignment horizontal="centerContinuous" vertical="center"/>
    </xf>
    <xf numFmtId="4" fontId="50" fillId="4" borderId="30" xfId="0" applyNumberFormat="1" applyFont="1" applyFill="1" applyBorder="1" applyAlignment="1">
      <alignment horizontal="centerContinuous" vertical="center"/>
    </xf>
    <xf numFmtId="4" fontId="26" fillId="0" borderId="10" xfId="0" applyNumberFormat="1" applyFont="1" applyBorder="1" applyAlignment="1">
      <alignment horizontal="centerContinuous" vertical="center"/>
    </xf>
    <xf numFmtId="4" fontId="26" fillId="0" borderId="12" xfId="0" applyNumberFormat="1" applyFont="1" applyBorder="1" applyAlignment="1">
      <alignment horizontal="centerContinuous" vertical="center"/>
    </xf>
    <xf numFmtId="11" fontId="39" fillId="0" borderId="37" xfId="0" applyNumberFormat="1" applyFont="1" applyBorder="1" applyAlignment="1">
      <alignment horizontal="center" vertical="center"/>
    </xf>
    <xf numFmtId="4" fontId="21" fillId="0" borderId="10" xfId="0" applyNumberFormat="1" applyFont="1" applyBorder="1" applyAlignment="1">
      <alignment horizontal="centerContinuous" vertical="center"/>
    </xf>
    <xf numFmtId="4" fontId="21" fillId="0" borderId="12" xfId="0" applyNumberFormat="1" applyFont="1" applyBorder="1" applyAlignment="1">
      <alignment horizontal="centerContinuous" vertical="center"/>
    </xf>
    <xf numFmtId="168" fontId="21" fillId="0" borderId="187" xfId="0" applyNumberFormat="1" applyFont="1" applyBorder="1" applyAlignment="1">
      <alignment horizontal="centerContinuous" vertical="center"/>
    </xf>
    <xf numFmtId="168" fontId="39" fillId="0" borderId="188" xfId="0" applyNumberFormat="1" applyFont="1" applyBorder="1" applyAlignment="1">
      <alignment horizontal="centerContinuous" vertical="center"/>
    </xf>
    <xf numFmtId="182" fontId="21" fillId="0" borderId="187" xfId="0" applyNumberFormat="1" applyFont="1" applyBorder="1" applyAlignment="1">
      <alignment horizontal="centerContinuous" vertical="center"/>
    </xf>
    <xf numFmtId="0" fontId="50" fillId="4" borderId="164" xfId="0" applyFont="1" applyFill="1" applyBorder="1" applyAlignment="1">
      <alignment horizontal="center" vertical="center"/>
    </xf>
    <xf numFmtId="4" fontId="39" fillId="0" borderId="192" xfId="0" applyNumberFormat="1" applyFont="1" applyBorder="1" applyAlignment="1">
      <alignment horizontal="right" vertical="center"/>
    </xf>
    <xf numFmtId="4" fontId="39" fillId="0" borderId="187" xfId="0" applyNumberFormat="1" applyFont="1" applyBorder="1" applyAlignment="1">
      <alignment horizontal="right" vertical="center"/>
    </xf>
    <xf numFmtId="4" fontId="39" fillId="0" borderId="193" xfId="0" applyNumberFormat="1" applyFont="1" applyBorder="1" applyAlignment="1">
      <alignment horizontal="right" vertical="center"/>
    </xf>
    <xf numFmtId="4" fontId="21" fillId="0" borderId="64" xfId="0" applyNumberFormat="1" applyFont="1" applyBorder="1" applyAlignment="1">
      <alignment horizontal="center" vertical="center"/>
    </xf>
    <xf numFmtId="4" fontId="21" fillId="0" borderId="67" xfId="0" applyNumberFormat="1" applyFont="1" applyBorder="1" applyAlignment="1">
      <alignment horizontal="center" vertical="center"/>
    </xf>
    <xf numFmtId="4" fontId="21" fillId="0" borderId="69" xfId="0" applyNumberFormat="1" applyFont="1" applyBorder="1" applyAlignment="1">
      <alignment horizontal="center" vertical="center"/>
    </xf>
    <xf numFmtId="4" fontId="20" fillId="0" borderId="194" xfId="0" applyNumberFormat="1" applyFont="1" applyBorder="1" applyAlignment="1">
      <alignment horizontal="center" vertical="center"/>
    </xf>
    <xf numFmtId="4" fontId="20" fillId="0" borderId="195" xfId="0" applyNumberFormat="1" applyFont="1" applyBorder="1" applyAlignment="1">
      <alignment horizontal="center" vertical="center"/>
    </xf>
    <xf numFmtId="4" fontId="20" fillId="0" borderId="14" xfId="0" applyNumberFormat="1" applyFont="1" applyBorder="1" applyAlignment="1">
      <alignment horizontal="center" vertical="center"/>
    </xf>
    <xf numFmtId="4" fontId="50" fillId="4" borderId="21" xfId="0" applyNumberFormat="1" applyFont="1" applyFill="1" applyBorder="1" applyAlignment="1">
      <alignment horizontal="centerContinuous" vertical="center"/>
    </xf>
    <xf numFmtId="0" fontId="0" fillId="0" borderId="191" xfId="0" applyBorder="1" applyAlignment="1">
      <alignment horizontal="centerContinuous"/>
    </xf>
    <xf numFmtId="4" fontId="32" fillId="0" borderId="88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152" xfId="0" applyBorder="1" applyAlignment="1">
      <alignment horizontal="centerContinuous"/>
    </xf>
    <xf numFmtId="0" fontId="0" fillId="0" borderId="165" xfId="0" applyBorder="1" applyAlignment="1">
      <alignment horizontal="centerContinuous"/>
    </xf>
    <xf numFmtId="0" fontId="0" fillId="0" borderId="153" xfId="0" applyBorder="1" applyAlignment="1">
      <alignment horizontal="centerContinuous"/>
    </xf>
    <xf numFmtId="0" fontId="0" fillId="0" borderId="197" xfId="0" applyBorder="1" applyAlignment="1">
      <alignment horizontal="centerContinuous"/>
    </xf>
    <xf numFmtId="0" fontId="0" fillId="0" borderId="199" xfId="0" applyBorder="1" applyAlignment="1">
      <alignment horizontal="centerContinuous"/>
    </xf>
    <xf numFmtId="0" fontId="0" fillId="0" borderId="200" xfId="0" applyBorder="1" applyAlignment="1">
      <alignment horizontal="centerContinuous"/>
    </xf>
    <xf numFmtId="0" fontId="0" fillId="0" borderId="158" xfId="0" applyBorder="1" applyAlignment="1">
      <alignment horizontal="centerContinuous"/>
    </xf>
    <xf numFmtId="0" fontId="0" fillId="0" borderId="198" xfId="0" applyBorder="1" applyAlignment="1">
      <alignment horizontal="centerContinuous"/>
    </xf>
    <xf numFmtId="0" fontId="0" fillId="0" borderId="166" xfId="0" applyBorder="1" applyAlignment="1">
      <alignment horizontal="centerContinuous"/>
    </xf>
    <xf numFmtId="0" fontId="0" fillId="0" borderId="155" xfId="0" applyBorder="1" applyAlignment="1">
      <alignment horizontal="centerContinuous"/>
    </xf>
    <xf numFmtId="0" fontId="59" fillId="4" borderId="61" xfId="0" applyFont="1" applyFill="1" applyBorder="1" applyAlignment="1">
      <alignment horizontal="center" vertical="center"/>
    </xf>
    <xf numFmtId="168" fontId="58" fillId="0" borderId="159" xfId="0" applyNumberFormat="1" applyFont="1" applyBorder="1" applyAlignment="1">
      <alignment horizontal="right" vertical="center"/>
    </xf>
    <xf numFmtId="169" fontId="58" fillId="0" borderId="160" xfId="0" applyNumberFormat="1" applyFont="1" applyBorder="1" applyAlignment="1">
      <alignment horizontal="center" vertical="center"/>
    </xf>
    <xf numFmtId="168" fontId="19" fillId="0" borderId="187" xfId="0" applyNumberFormat="1" applyFont="1" applyBorder="1" applyAlignment="1">
      <alignment horizontal="centerContinuous" vertical="center"/>
    </xf>
    <xf numFmtId="4" fontId="19" fillId="0" borderId="67" xfId="0" applyNumberFormat="1" applyFont="1" applyBorder="1" applyAlignment="1">
      <alignment horizontal="center" vertical="center"/>
    </xf>
    <xf numFmtId="4" fontId="19" fillId="0" borderId="69" xfId="0" applyNumberFormat="1" applyFont="1" applyBorder="1" applyAlignment="1">
      <alignment horizontal="center" vertical="center"/>
    </xf>
    <xf numFmtId="169" fontId="29" fillId="0" borderId="65" xfId="37" applyNumberFormat="1" applyFont="1" applyBorder="1" applyAlignment="1" applyProtection="1">
      <alignment horizontal="center" vertical="center"/>
      <protection hidden="1"/>
    </xf>
    <xf numFmtId="169" fontId="29" fillId="0" borderId="70" xfId="37" applyNumberFormat="1" applyFont="1" applyBorder="1" applyAlignment="1" applyProtection="1">
      <alignment horizontal="center" vertical="center"/>
      <protection hidden="1"/>
    </xf>
    <xf numFmtId="4" fontId="18" fillId="0" borderId="11" xfId="0" applyNumberFormat="1" applyFont="1" applyBorder="1" applyAlignment="1">
      <alignment horizontal="center" vertical="center"/>
    </xf>
    <xf numFmtId="0" fontId="52" fillId="0" borderId="44" xfId="0" applyFont="1" applyBorder="1" applyAlignment="1">
      <alignment horizontal="centerContinuous" vertical="center"/>
    </xf>
    <xf numFmtId="0" fontId="0" fillId="0" borderId="45" xfId="0" applyBorder="1" applyAlignment="1">
      <alignment horizontal="centerContinuous" vertical="center"/>
    </xf>
    <xf numFmtId="0" fontId="52" fillId="0" borderId="44" xfId="0" applyFont="1" applyBorder="1" applyAlignment="1">
      <alignment horizontal="centerContinuous"/>
    </xf>
    <xf numFmtId="4" fontId="17" fillId="0" borderId="9" xfId="0" applyNumberFormat="1" applyFont="1" applyBorder="1" applyAlignment="1">
      <alignment horizontal="center" vertical="center"/>
    </xf>
    <xf numFmtId="4" fontId="19" fillId="0" borderId="64" xfId="0" applyNumberFormat="1" applyFont="1" applyBorder="1" applyAlignment="1">
      <alignment horizontal="center" vertical="center"/>
    </xf>
    <xf numFmtId="4" fontId="18" fillId="0" borderId="64" xfId="0" applyNumberFormat="1" applyFont="1" applyBorder="1" applyAlignment="1">
      <alignment horizontal="center" vertical="center"/>
    </xf>
    <xf numFmtId="4" fontId="18" fillId="0" borderId="67" xfId="0" applyNumberFormat="1" applyFont="1" applyBorder="1" applyAlignment="1">
      <alignment horizontal="center" vertical="center"/>
    </xf>
    <xf numFmtId="168" fontId="39" fillId="0" borderId="201" xfId="0" applyNumberFormat="1" applyFont="1" applyBorder="1" applyAlignment="1">
      <alignment horizontal="centerContinuous" vertical="center"/>
    </xf>
    <xf numFmtId="4" fontId="45" fillId="0" borderId="69" xfId="0" applyNumberFormat="1" applyFont="1" applyBorder="1" applyAlignment="1">
      <alignment horizontal="center" vertical="center"/>
    </xf>
    <xf numFmtId="0" fontId="0" fillId="0" borderId="82" xfId="0" applyFont="1" applyBorder="1" applyAlignment="1">
      <alignment horizontal="centerContinuous"/>
    </xf>
    <xf numFmtId="0" fontId="0" fillId="0" borderId="45" xfId="0" applyFont="1" applyBorder="1" applyAlignment="1">
      <alignment horizontal="centerContinuous" vertical="center"/>
    </xf>
    <xf numFmtId="4" fontId="17" fillId="0" borderId="67" xfId="0" applyNumberFormat="1" applyFont="1" applyBorder="1" applyAlignment="1">
      <alignment horizontal="center" vertical="center"/>
    </xf>
    <xf numFmtId="4" fontId="18" fillId="0" borderId="202" xfId="0" applyNumberFormat="1" applyFont="1" applyBorder="1" applyAlignment="1">
      <alignment horizontal="center" vertical="center"/>
    </xf>
    <xf numFmtId="4" fontId="15" fillId="0" borderId="64" xfId="0" applyNumberFormat="1" applyFont="1" applyBorder="1" applyAlignment="1">
      <alignment horizontal="center" vertical="center"/>
    </xf>
    <xf numFmtId="182" fontId="39" fillId="0" borderId="65" xfId="0" applyNumberFormat="1" applyFont="1" applyBorder="1" applyAlignment="1">
      <alignment horizontal="right" vertical="center"/>
    </xf>
    <xf numFmtId="182" fontId="39" fillId="0" borderId="16" xfId="0" applyNumberFormat="1" applyFont="1" applyBorder="1" applyAlignment="1">
      <alignment horizontal="right" vertical="center"/>
    </xf>
    <xf numFmtId="182" fontId="39" fillId="0" borderId="70" xfId="0" applyNumberFormat="1" applyFont="1" applyBorder="1" applyAlignment="1">
      <alignment horizontal="right" vertical="center"/>
    </xf>
    <xf numFmtId="179" fontId="39" fillId="0" borderId="192" xfId="0" applyNumberFormat="1" applyFont="1" applyBorder="1" applyAlignment="1">
      <alignment horizontal="right" vertical="center"/>
    </xf>
    <xf numFmtId="179" fontId="39" fillId="0" borderId="187" xfId="0" applyNumberFormat="1" applyFont="1" applyBorder="1" applyAlignment="1">
      <alignment horizontal="right" vertical="center"/>
    </xf>
    <xf numFmtId="179" fontId="39" fillId="0" borderId="193" xfId="0" applyNumberFormat="1" applyFont="1" applyBorder="1" applyAlignment="1">
      <alignment horizontal="right" vertical="center"/>
    </xf>
    <xf numFmtId="4" fontId="14" fillId="0" borderId="11" xfId="0" applyNumberFormat="1" applyFont="1" applyBorder="1" applyAlignment="1">
      <alignment horizontal="center" vertical="center"/>
    </xf>
    <xf numFmtId="15" fontId="58" fillId="0" borderId="0" xfId="0" applyNumberFormat="1" applyFont="1"/>
    <xf numFmtId="0" fontId="124" fillId="0" borderId="0" xfId="0" applyFont="1"/>
    <xf numFmtId="4" fontId="58" fillId="0" borderId="9" xfId="0" applyNumberFormat="1" applyFont="1" applyBorder="1"/>
    <xf numFmtId="4" fontId="58" fillId="0" borderId="10" xfId="0" applyNumberFormat="1" applyFont="1" applyBorder="1" applyAlignment="1">
      <alignment horizontal="centerContinuous" vertical="center"/>
    </xf>
    <xf numFmtId="169" fontId="13" fillId="0" borderId="196" xfId="0" applyNumberFormat="1" applyFont="1" applyBorder="1" applyAlignment="1">
      <alignment horizontal="center" vertical="center"/>
    </xf>
    <xf numFmtId="4" fontId="58" fillId="0" borderId="11" xfId="0" applyNumberFormat="1" applyFont="1" applyBorder="1"/>
    <xf numFmtId="4" fontId="58" fillId="0" borderId="12" xfId="0" applyNumberFormat="1" applyFont="1" applyBorder="1" applyAlignment="1">
      <alignment horizontal="centerContinuous" vertical="center"/>
    </xf>
    <xf numFmtId="4" fontId="58" fillId="0" borderId="13" xfId="0" applyNumberFormat="1" applyFont="1" applyBorder="1"/>
    <xf numFmtId="4" fontId="58" fillId="0" borderId="14" xfId="0" applyNumberFormat="1" applyFont="1" applyBorder="1" applyAlignment="1">
      <alignment horizontal="centerContinuous" vertical="center"/>
    </xf>
    <xf numFmtId="166" fontId="58" fillId="0" borderId="0" xfId="0" applyNumberFormat="1" applyFont="1"/>
    <xf numFmtId="4" fontId="12" fillId="0" borderId="67" xfId="0" applyNumberFormat="1" applyFont="1" applyBorder="1" applyAlignment="1">
      <alignment horizontal="center" vertical="center"/>
    </xf>
    <xf numFmtId="4" fontId="11" fillId="0" borderId="64" xfId="0" applyNumberFormat="1" applyFont="1" applyBorder="1" applyAlignment="1">
      <alignment horizontal="center" vertical="center"/>
    </xf>
    <xf numFmtId="4" fontId="11" fillId="0" borderId="67" xfId="0" applyNumberFormat="1" applyFont="1" applyBorder="1" applyAlignment="1">
      <alignment horizontal="center" vertical="center"/>
    </xf>
    <xf numFmtId="10" fontId="39" fillId="0" borderId="55" xfId="0" applyNumberFormat="1" applyFont="1" applyBorder="1" applyAlignment="1">
      <alignment horizontal="right" vertical="center"/>
    </xf>
    <xf numFmtId="4" fontId="39" fillId="0" borderId="169" xfId="0" applyNumberFormat="1" applyFont="1" applyBorder="1" applyAlignment="1">
      <alignment horizontal="center" vertical="center"/>
    </xf>
    <xf numFmtId="4" fontId="8" fillId="0" borderId="202" xfId="0" applyNumberFormat="1" applyFont="1" applyBorder="1" applyAlignment="1">
      <alignment horizontal="center" vertical="center"/>
    </xf>
    <xf numFmtId="4" fontId="10" fillId="0" borderId="11" xfId="0" applyNumberFormat="1" applyFont="1" applyFill="1" applyBorder="1" applyAlignment="1">
      <alignment horizontal="center" vertical="center"/>
    </xf>
    <xf numFmtId="4" fontId="9" fillId="0" borderId="13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0" fillId="0" borderId="134" xfId="0" applyBorder="1" applyAlignment="1">
      <alignment horizontal="centerContinuous"/>
    </xf>
    <xf numFmtId="0" fontId="0" fillId="0" borderId="188" xfId="0" applyBorder="1" applyAlignment="1">
      <alignment horizontal="centerContinuous"/>
    </xf>
    <xf numFmtId="0" fontId="0" fillId="0" borderId="135" xfId="0" applyBorder="1" applyAlignment="1">
      <alignment horizontal="centerContinuous"/>
    </xf>
    <xf numFmtId="0" fontId="0" fillId="0" borderId="190" xfId="0" applyBorder="1" applyAlignment="1">
      <alignment horizontal="centerContinuous"/>
    </xf>
    <xf numFmtId="4" fontId="7" fillId="0" borderId="13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168" fontId="7" fillId="0" borderId="187" xfId="0" applyNumberFormat="1" applyFont="1" applyBorder="1" applyAlignment="1">
      <alignment horizontal="centerContinuous" vertical="center"/>
    </xf>
    <xf numFmtId="0" fontId="123" fillId="0" borderId="0" xfId="64" applyBorder="1"/>
    <xf numFmtId="4" fontId="29" fillId="0" borderId="0" xfId="0" applyNumberFormat="1" applyFont="1" applyBorder="1" applyAlignment="1">
      <alignment horizontal="center" vertical="center"/>
    </xf>
    <xf numFmtId="179" fontId="0" fillId="0" borderId="0" xfId="0" applyNumberFormat="1"/>
    <xf numFmtId="175" fontId="0" fillId="0" borderId="0" xfId="0" applyNumberFormat="1"/>
    <xf numFmtId="4" fontId="5" fillId="0" borderId="9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186" fontId="0" fillId="0" borderId="0" xfId="0" applyNumberFormat="1"/>
    <xf numFmtId="0" fontId="50" fillId="4" borderId="44" xfId="0" applyFont="1" applyFill="1" applyBorder="1" applyAlignment="1">
      <alignment horizontal="center" vertical="center"/>
    </xf>
    <xf numFmtId="4" fontId="4" fillId="0" borderId="64" xfId="0" applyNumberFormat="1" applyFont="1" applyBorder="1" applyAlignment="1">
      <alignment horizontal="center" vertical="center"/>
    </xf>
    <xf numFmtId="168" fontId="4" fillId="0" borderId="207" xfId="0" applyNumberFormat="1" applyFont="1" applyBorder="1" applyAlignment="1">
      <alignment horizontal="centerContinuous" vertical="center"/>
    </xf>
    <xf numFmtId="168" fontId="39" fillId="0" borderId="66" xfId="0" applyNumberFormat="1" applyFont="1" applyBorder="1" applyAlignment="1">
      <alignment horizontal="centerContinuous" vertical="center"/>
    </xf>
    <xf numFmtId="4" fontId="4" fillId="0" borderId="67" xfId="0" applyNumberFormat="1" applyFont="1" applyBorder="1" applyAlignment="1">
      <alignment horizontal="center" vertical="center"/>
    </xf>
    <xf numFmtId="4" fontId="4" fillId="0" borderId="69" xfId="0" applyNumberFormat="1" applyFont="1" applyBorder="1" applyAlignment="1">
      <alignment horizontal="center" vertical="center"/>
    </xf>
    <xf numFmtId="168" fontId="4" fillId="0" borderId="193" xfId="0" applyNumberFormat="1" applyFont="1" applyBorder="1" applyAlignment="1">
      <alignment horizontal="centerContinuous" vertical="center"/>
    </xf>
    <xf numFmtId="168" fontId="39" fillId="0" borderId="88" xfId="0" applyNumberFormat="1" applyFont="1" applyBorder="1" applyAlignment="1">
      <alignment horizontal="centerContinuous" vertical="center"/>
    </xf>
    <xf numFmtId="0" fontId="59" fillId="3" borderId="21" xfId="0" applyFont="1" applyFill="1" applyBorder="1" applyAlignment="1">
      <alignment horizontal="centerContinuous" vertical="center"/>
    </xf>
    <xf numFmtId="180" fontId="29" fillId="0" borderId="65" xfId="37" applyNumberFormat="1" applyFont="1" applyBorder="1" applyAlignment="1" applyProtection="1">
      <alignment horizontal="center" vertical="center"/>
      <protection hidden="1"/>
    </xf>
    <xf numFmtId="180" fontId="29" fillId="0" borderId="66" xfId="0" applyNumberFormat="1" applyFont="1" applyBorder="1" applyAlignment="1">
      <alignment horizontal="center" vertical="center"/>
    </xf>
    <xf numFmtId="180" fontId="29" fillId="0" borderId="16" xfId="37" applyNumberFormat="1" applyFont="1" applyBorder="1" applyAlignment="1" applyProtection="1">
      <alignment horizontal="center" vertical="center"/>
      <protection hidden="1"/>
    </xf>
    <xf numFmtId="180" fontId="29" fillId="0" borderId="68" xfId="0" applyNumberFormat="1" applyFont="1" applyBorder="1" applyAlignment="1">
      <alignment horizontal="center" vertical="center"/>
    </xf>
    <xf numFmtId="180" fontId="29" fillId="0" borderId="13" xfId="37" applyNumberFormat="1" applyFont="1" applyBorder="1" applyAlignment="1" applyProtection="1">
      <alignment horizontal="center" vertical="center"/>
      <protection hidden="1"/>
    </xf>
    <xf numFmtId="180" fontId="29" fillId="0" borderId="208" xfId="0" applyNumberFormat="1" applyFont="1" applyBorder="1" applyAlignment="1">
      <alignment horizontal="center" vertical="center"/>
    </xf>
    <xf numFmtId="4" fontId="128" fillId="0" borderId="13" xfId="4" applyNumberFormat="1" applyFont="1" applyBorder="1" applyAlignment="1">
      <alignment horizontal="center" vertical="center"/>
    </xf>
    <xf numFmtId="0" fontId="51" fillId="46" borderId="44" xfId="0" applyFont="1" applyFill="1" applyBorder="1" applyAlignment="1">
      <alignment horizontal="centerContinuous" vertical="center"/>
    </xf>
    <xf numFmtId="0" fontId="48" fillId="46" borderId="82" xfId="0" applyFont="1" applyFill="1" applyBorder="1" applyAlignment="1">
      <alignment horizontal="centerContinuous"/>
    </xf>
    <xf numFmtId="0" fontId="48" fillId="46" borderId="45" xfId="0" applyFont="1" applyFill="1" applyBorder="1" applyAlignment="1">
      <alignment horizontal="centerContinuous" vertical="center"/>
    </xf>
    <xf numFmtId="168" fontId="58" fillId="0" borderId="64" xfId="0" applyNumberFormat="1" applyFont="1" applyBorder="1" applyAlignment="1">
      <alignment horizontal="center" vertical="center"/>
    </xf>
    <xf numFmtId="4" fontId="58" fillId="0" borderId="65" xfId="0" applyNumberFormat="1" applyFont="1" applyBorder="1" applyAlignment="1">
      <alignment horizontal="center" vertical="center"/>
    </xf>
    <xf numFmtId="168" fontId="58" fillId="0" borderId="67" xfId="0" applyNumberFormat="1" applyFont="1" applyBorder="1" applyAlignment="1">
      <alignment horizontal="center" vertical="center"/>
    </xf>
    <xf numFmtId="4" fontId="58" fillId="0" borderId="160" xfId="0" applyNumberFormat="1" applyFont="1" applyBorder="1" applyAlignment="1">
      <alignment horizontal="center" vertical="center"/>
    </xf>
    <xf numFmtId="168" fontId="58" fillId="0" borderId="69" xfId="0" applyNumberFormat="1" applyFont="1" applyBorder="1" applyAlignment="1">
      <alignment horizontal="center" vertical="center"/>
    </xf>
    <xf numFmtId="4" fontId="58" fillId="0" borderId="26" xfId="0" applyNumberFormat="1" applyFont="1" applyBorder="1" applyAlignment="1">
      <alignment horizontal="center" vertical="center"/>
    </xf>
    <xf numFmtId="0" fontId="63" fillId="0" borderId="0" xfId="0" applyFont="1" applyAlignment="1">
      <alignment horizontal="centerContinuous" vertical="center"/>
    </xf>
    <xf numFmtId="14" fontId="58" fillId="0" borderId="43" xfId="0" applyNumberFormat="1" applyFont="1" applyBorder="1" applyAlignment="1">
      <alignment horizontal="center"/>
    </xf>
    <xf numFmtId="0" fontId="58" fillId="0" borderId="45" xfId="0" applyFont="1" applyBorder="1" applyAlignment="1">
      <alignment horizontal="center"/>
    </xf>
    <xf numFmtId="0" fontId="59" fillId="4" borderId="52" xfId="0" applyFont="1" applyFill="1" applyBorder="1" applyAlignment="1">
      <alignment horizontal="center" vertical="center"/>
    </xf>
    <xf numFmtId="0" fontId="58" fillId="0" borderId="58" xfId="0" applyFont="1" applyBorder="1" applyAlignment="1">
      <alignment horizontal="center"/>
    </xf>
    <xf numFmtId="0" fontId="59" fillId="4" borderId="53" xfId="0" applyFont="1" applyFill="1" applyBorder="1" applyAlignment="1">
      <alignment horizontal="center" vertical="center"/>
    </xf>
    <xf numFmtId="0" fontId="59" fillId="4" borderId="54" xfId="0" applyFont="1" applyFill="1" applyBorder="1" applyAlignment="1">
      <alignment horizontal="center" vertical="center"/>
    </xf>
    <xf numFmtId="0" fontId="59" fillId="3" borderId="4" xfId="0" applyFont="1" applyFill="1" applyBorder="1" applyAlignment="1">
      <alignment horizontal="center" vertical="center"/>
    </xf>
    <xf numFmtId="0" fontId="59" fillId="3" borderId="5" xfId="0" applyFont="1" applyFill="1" applyBorder="1" applyAlignment="1">
      <alignment horizontal="center" vertical="center"/>
    </xf>
    <xf numFmtId="14" fontId="58" fillId="0" borderId="58" xfId="0" applyNumberFormat="1" applyFont="1" applyBorder="1" applyAlignment="1">
      <alignment horizontal="center"/>
    </xf>
    <xf numFmtId="0" fontId="59" fillId="4" borderId="57" xfId="0" applyFont="1" applyFill="1" applyBorder="1" applyAlignment="1">
      <alignment horizontal="center" vertical="center"/>
    </xf>
    <xf numFmtId="0" fontId="59" fillId="3" borderId="58" xfId="0" applyFont="1" applyFill="1" applyBorder="1" applyAlignment="1">
      <alignment horizontal="centerContinuous" vertical="center"/>
    </xf>
    <xf numFmtId="0" fontId="59" fillId="3" borderId="40" xfId="0" applyFont="1" applyFill="1" applyBorder="1" applyAlignment="1">
      <alignment horizontal="centerContinuous" vertical="center"/>
    </xf>
    <xf numFmtId="14" fontId="58" fillId="0" borderId="58" xfId="0" applyNumberFormat="1" applyFont="1" applyBorder="1"/>
    <xf numFmtId="0" fontId="58" fillId="0" borderId="58" xfId="0" applyFont="1" applyBorder="1"/>
    <xf numFmtId="43" fontId="58" fillId="0" borderId="58" xfId="62" applyFont="1" applyBorder="1"/>
    <xf numFmtId="187" fontId="58" fillId="0" borderId="58" xfId="0" applyNumberFormat="1" applyFont="1" applyBorder="1"/>
    <xf numFmtId="168" fontId="58" fillId="0" borderId="58" xfId="0" applyNumberFormat="1" applyFont="1" applyBorder="1" applyAlignment="1">
      <alignment horizontal="center"/>
    </xf>
    <xf numFmtId="43" fontId="58" fillId="0" borderId="58" xfId="62" applyFont="1" applyBorder="1" applyAlignment="1">
      <alignment horizontal="center"/>
    </xf>
    <xf numFmtId="43" fontId="0" fillId="0" borderId="0" xfId="62" applyFont="1"/>
    <xf numFmtId="0" fontId="59" fillId="4" borderId="0" xfId="0" applyFont="1" applyFill="1" applyAlignment="1">
      <alignment horizontal="center" vertical="center"/>
    </xf>
    <xf numFmtId="188" fontId="0" fillId="0" borderId="0" xfId="62" applyNumberFormat="1" applyFont="1"/>
    <xf numFmtId="14" fontId="0" fillId="0" borderId="58" xfId="0" applyNumberFormat="1" applyBorder="1"/>
    <xf numFmtId="43" fontId="0" fillId="0" borderId="58" xfId="62" applyFont="1" applyBorder="1"/>
    <xf numFmtId="14" fontId="58" fillId="0" borderId="209" xfId="0" applyNumberFormat="1" applyFont="1" applyBorder="1"/>
    <xf numFmtId="0" fontId="58" fillId="0" borderId="209" xfId="0" applyFont="1" applyBorder="1"/>
    <xf numFmtId="43" fontId="58" fillId="0" borderId="209" xfId="62" applyFont="1" applyBorder="1"/>
    <xf numFmtId="43" fontId="0" fillId="0" borderId="0" xfId="0" applyNumberFormat="1"/>
    <xf numFmtId="0" fontId="0" fillId="0" borderId="58" xfId="0" applyBorder="1"/>
    <xf numFmtId="189" fontId="0" fillId="0" borderId="0" xfId="0" applyNumberFormat="1"/>
    <xf numFmtId="190" fontId="58" fillId="0" borderId="58" xfId="62" applyNumberFormat="1" applyFont="1" applyBorder="1"/>
    <xf numFmtId="0" fontId="59" fillId="4" borderId="7" xfId="0" applyFont="1" applyFill="1" applyBorder="1" applyAlignment="1">
      <alignment horizontal="center" vertical="center"/>
    </xf>
    <xf numFmtId="43" fontId="0" fillId="0" borderId="45" xfId="62" applyFont="1" applyBorder="1"/>
    <xf numFmtId="0" fontId="59" fillId="3" borderId="0" xfId="0" applyFont="1" applyFill="1" applyAlignment="1">
      <alignment horizontal="centerContinuous" vertical="center"/>
    </xf>
    <xf numFmtId="0" fontId="59" fillId="4" borderId="19" xfId="0" applyFont="1" applyFill="1" applyBorder="1" applyAlignment="1">
      <alignment horizontal="center" vertical="center"/>
    </xf>
    <xf numFmtId="14" fontId="58" fillId="0" borderId="45" xfId="0" applyNumberFormat="1" applyFont="1" applyBorder="1" applyAlignment="1">
      <alignment horizontal="center"/>
    </xf>
    <xf numFmtId="168" fontId="58" fillId="0" borderId="45" xfId="0" applyNumberFormat="1" applyFont="1" applyBorder="1" applyAlignment="1">
      <alignment horizontal="center"/>
    </xf>
    <xf numFmtId="0" fontId="59" fillId="4" borderId="91" xfId="0" applyFont="1" applyFill="1" applyBorder="1" applyAlignment="1">
      <alignment horizontal="center" vertical="center"/>
    </xf>
    <xf numFmtId="0" fontId="58" fillId="0" borderId="209" xfId="0" applyFont="1" applyBorder="1" applyAlignment="1">
      <alignment horizontal="center"/>
    </xf>
    <xf numFmtId="43" fontId="58" fillId="0" borderId="45" xfId="62" applyFont="1" applyBorder="1" applyAlignment="1">
      <alignment horizontal="center"/>
    </xf>
    <xf numFmtId="0" fontId="66" fillId="0" borderId="0" xfId="4" applyAlignment="1">
      <alignment horizontal="centerContinuous" vertical="center"/>
    </xf>
    <xf numFmtId="4" fontId="67" fillId="0" borderId="97" xfId="4" applyNumberFormat="1" applyFont="1" applyBorder="1" applyAlignment="1">
      <alignment horizontal="center" vertical="center"/>
    </xf>
    <xf numFmtId="4" fontId="58" fillId="0" borderId="11" xfId="0" applyNumberFormat="1" applyFont="1" applyFill="1" applyBorder="1" applyAlignment="1">
      <alignment horizontal="center" vertical="center"/>
    </xf>
    <xf numFmtId="4" fontId="58" fillId="0" borderId="12" xfId="0" applyNumberFormat="1" applyFont="1" applyFill="1" applyBorder="1" applyAlignment="1">
      <alignment horizontal="center" vertical="center"/>
    </xf>
    <xf numFmtId="3" fontId="58" fillId="0" borderId="12" xfId="0" applyNumberFormat="1" applyFont="1" applyFill="1" applyBorder="1" applyAlignment="1">
      <alignment horizontal="center" vertical="center"/>
    </xf>
    <xf numFmtId="3" fontId="58" fillId="0" borderId="14" xfId="0" applyNumberFormat="1" applyFont="1" applyFill="1" applyBorder="1" applyAlignment="1">
      <alignment horizontal="center" vertical="center"/>
    </xf>
    <xf numFmtId="0" fontId="58" fillId="0" borderId="44" xfId="0" applyFont="1" applyBorder="1" applyAlignment="1">
      <alignment horizontal="centerContinuous"/>
    </xf>
    <xf numFmtId="0" fontId="58" fillId="0" borderId="45" xfId="0" applyFont="1" applyBorder="1" applyAlignment="1">
      <alignment horizontal="centerContinuous"/>
    </xf>
    <xf numFmtId="4" fontId="23" fillId="0" borderId="190" xfId="0" applyNumberFormat="1" applyFont="1" applyBorder="1" applyAlignment="1">
      <alignment horizontal="center" vertical="center"/>
    </xf>
    <xf numFmtId="4" fontId="23" fillId="0" borderId="189" xfId="0" applyNumberFormat="1" applyFont="1" applyBorder="1" applyAlignment="1">
      <alignment horizontal="center" vertical="center"/>
    </xf>
    <xf numFmtId="0" fontId="129" fillId="0" borderId="0" xfId="0" applyFont="1"/>
    <xf numFmtId="0" fontId="58" fillId="0" borderId="58" xfId="0" applyFont="1" applyBorder="1" applyAlignment="1">
      <alignment horizontal="centerContinuous"/>
    </xf>
    <xf numFmtId="168" fontId="39" fillId="0" borderId="12" xfId="0" applyNumberFormat="1" applyFont="1" applyBorder="1" applyAlignment="1">
      <alignment horizontal="centerContinuous" vertical="center"/>
    </xf>
    <xf numFmtId="4" fontId="3" fillId="0" borderId="9" xfId="0" applyNumberFormat="1" applyFont="1" applyBorder="1" applyAlignment="1">
      <alignment horizontal="center" vertical="center"/>
    </xf>
    <xf numFmtId="168" fontId="3" fillId="0" borderId="10" xfId="0" applyNumberFormat="1" applyFont="1" applyBorder="1" applyAlignment="1">
      <alignment horizontal="centerContinuous" vertical="center"/>
    </xf>
    <xf numFmtId="4" fontId="3" fillId="0" borderId="11" xfId="0" applyNumberFormat="1" applyFont="1" applyBorder="1" applyAlignment="1">
      <alignment horizontal="center" vertical="center"/>
    </xf>
    <xf numFmtId="4" fontId="3" fillId="0" borderId="13" xfId="0" applyNumberFormat="1" applyFont="1" applyBorder="1" applyAlignment="1">
      <alignment horizontal="center" vertical="center"/>
    </xf>
    <xf numFmtId="0" fontId="23" fillId="0" borderId="189" xfId="0" applyNumberFormat="1" applyFont="1" applyBorder="1" applyAlignment="1">
      <alignment horizontal="centerContinuous" vertical="center"/>
    </xf>
    <xf numFmtId="0" fontId="23" fillId="0" borderId="190" xfId="0" applyNumberFormat="1" applyFont="1" applyBorder="1" applyAlignment="1">
      <alignment horizontal="centerContinuous" vertical="center"/>
    </xf>
    <xf numFmtId="0" fontId="39" fillId="0" borderId="12" xfId="0" applyNumberFormat="1" applyFont="1" applyBorder="1" applyAlignment="1">
      <alignment horizontal="centerContinuous" vertical="center"/>
    </xf>
    <xf numFmtId="168" fontId="2" fillId="0" borderId="10" xfId="0" applyNumberFormat="1" applyFont="1" applyBorder="1" applyAlignment="1">
      <alignment horizontal="centerContinuous" vertical="center"/>
    </xf>
    <xf numFmtId="168" fontId="2" fillId="0" borderId="12" xfId="0" applyNumberFormat="1" applyFont="1" applyBorder="1" applyAlignment="1">
      <alignment horizontal="centerContinuous" vertical="center"/>
    </xf>
    <xf numFmtId="0" fontId="2" fillId="0" borderId="189" xfId="0" applyNumberFormat="1" applyFont="1" applyBorder="1" applyAlignment="1">
      <alignment horizontal="centerContinuous" vertical="center"/>
    </xf>
    <xf numFmtId="4" fontId="66" fillId="0" borderId="194" xfId="4" applyNumberFormat="1" applyBorder="1" applyAlignment="1">
      <alignment horizontal="center" vertical="center"/>
    </xf>
    <xf numFmtId="4" fontId="77" fillId="0" borderId="6" xfId="0" applyNumberFormat="1" applyFont="1" applyBorder="1" applyAlignment="1">
      <alignment horizontal="center" vertical="center"/>
    </xf>
    <xf numFmtId="4" fontId="77" fillId="0" borderId="0" xfId="0" applyNumberFormat="1" applyFont="1" applyBorder="1" applyAlignment="1">
      <alignment horizontal="center" vertical="center"/>
    </xf>
    <xf numFmtId="0" fontId="117" fillId="2" borderId="44" xfId="6" applyFont="1" applyFill="1" applyBorder="1" applyAlignment="1">
      <alignment horizontal="center"/>
    </xf>
    <xf numFmtId="0" fontId="117" fillId="2" borderId="82" xfId="6" applyFont="1" applyFill="1" applyBorder="1" applyAlignment="1">
      <alignment horizontal="center"/>
    </xf>
    <xf numFmtId="0" fontId="117" fillId="2" borderId="45" xfId="6" applyFont="1" applyFill="1" applyBorder="1" applyAlignment="1">
      <alignment horizontal="center"/>
    </xf>
    <xf numFmtId="0" fontId="117" fillId="2" borderId="24" xfId="6" applyFont="1" applyFill="1" applyBorder="1" applyAlignment="1" applyProtection="1">
      <alignment horizontal="center" vertical="center" textRotation="90" wrapText="1"/>
      <protection hidden="1"/>
    </xf>
    <xf numFmtId="0" fontId="117" fillId="2" borderId="41" xfId="6" applyFont="1" applyFill="1" applyBorder="1" applyAlignment="1" applyProtection="1">
      <alignment horizontal="center" vertical="center" textRotation="90" wrapText="1"/>
      <protection hidden="1"/>
    </xf>
    <xf numFmtId="4" fontId="19" fillId="0" borderId="193" xfId="0" applyNumberFormat="1" applyFont="1" applyBorder="1" applyAlignment="1">
      <alignment horizontal="center" vertical="center"/>
    </xf>
    <xf numFmtId="4" fontId="23" fillId="0" borderId="88" xfId="0" applyNumberFormat="1" applyFont="1" applyBorder="1" applyAlignment="1">
      <alignment horizontal="center" vertical="center"/>
    </xf>
    <xf numFmtId="4" fontId="24" fillId="0" borderId="189" xfId="0" applyNumberFormat="1" applyFont="1" applyBorder="1" applyAlignment="1">
      <alignment horizontal="center" vertical="center"/>
    </xf>
    <xf numFmtId="4" fontId="24" fillId="0" borderId="190" xfId="0" applyNumberFormat="1" applyFont="1" applyBorder="1" applyAlignment="1">
      <alignment horizontal="center" vertical="center"/>
    </xf>
    <xf numFmtId="168" fontId="7" fillId="0" borderId="187" xfId="0" applyNumberFormat="1" applyFont="1" applyBorder="1" applyAlignment="1">
      <alignment horizontal="center" vertical="center"/>
    </xf>
    <xf numFmtId="168" fontId="39" fillId="0" borderId="188" xfId="0" applyNumberFormat="1" applyFont="1" applyBorder="1" applyAlignment="1">
      <alignment horizontal="center" vertical="center"/>
    </xf>
    <xf numFmtId="168" fontId="19" fillId="0" borderId="203" xfId="0" applyNumberFormat="1" applyFont="1" applyBorder="1" applyAlignment="1">
      <alignment horizontal="center" vertical="center"/>
    </xf>
    <xf numFmtId="168" fontId="39" fillId="0" borderId="204" xfId="0" applyNumberFormat="1" applyFont="1" applyBorder="1" applyAlignment="1">
      <alignment horizontal="center" vertical="center"/>
    </xf>
    <xf numFmtId="168" fontId="16" fillId="0" borderId="187" xfId="0" applyNumberFormat="1" applyFont="1" applyBorder="1" applyAlignment="1">
      <alignment horizontal="center" vertical="center"/>
    </xf>
    <xf numFmtId="168" fontId="39" fillId="0" borderId="201" xfId="0" applyNumberFormat="1" applyFont="1" applyBorder="1" applyAlignment="1">
      <alignment horizontal="center" vertical="center"/>
    </xf>
    <xf numFmtId="168" fontId="19" fillId="0" borderId="192" xfId="0" applyNumberFormat="1" applyFont="1" applyBorder="1" applyAlignment="1">
      <alignment horizontal="center" vertical="center"/>
    </xf>
    <xf numFmtId="168" fontId="39" fillId="0" borderId="116" xfId="0" applyNumberFormat="1" applyFont="1" applyBorder="1" applyAlignment="1">
      <alignment horizontal="center" vertical="center"/>
    </xf>
    <xf numFmtId="168" fontId="19" fillId="0" borderId="187" xfId="0" applyNumberFormat="1" applyFont="1" applyBorder="1" applyAlignment="1">
      <alignment horizontal="center" vertical="center"/>
    </xf>
    <xf numFmtId="4" fontId="6" fillId="0" borderId="189" xfId="0" applyNumberFormat="1" applyFont="1" applyBorder="1" applyAlignment="1">
      <alignment horizontal="center" vertical="center"/>
    </xf>
    <xf numFmtId="4" fontId="23" fillId="0" borderId="190" xfId="0" applyNumberFormat="1" applyFont="1" applyBorder="1" applyAlignment="1">
      <alignment horizontal="center" vertical="center"/>
    </xf>
    <xf numFmtId="168" fontId="39" fillId="0" borderId="187" xfId="0" applyNumberFormat="1" applyFont="1" applyBorder="1" applyAlignment="1">
      <alignment horizontal="center" vertical="center"/>
    </xf>
    <xf numFmtId="4" fontId="23" fillId="0" borderId="187" xfId="0" applyNumberFormat="1" applyFont="1" applyBorder="1" applyAlignment="1">
      <alignment horizontal="center" vertical="center"/>
    </xf>
    <xf numFmtId="4" fontId="23" fillId="0" borderId="188" xfId="0" applyNumberFormat="1" applyFont="1" applyBorder="1" applyAlignment="1">
      <alignment horizontal="center" vertical="center"/>
    </xf>
    <xf numFmtId="4" fontId="23" fillId="0" borderId="189" xfId="0" applyNumberFormat="1" applyFont="1" applyBorder="1" applyAlignment="1">
      <alignment horizontal="center" vertical="center"/>
    </xf>
    <xf numFmtId="4" fontId="39" fillId="0" borderId="187" xfId="0" applyNumberFormat="1" applyFont="1" applyBorder="1" applyAlignment="1">
      <alignment horizontal="center" vertical="center"/>
    </xf>
    <xf numFmtId="4" fontId="39" fillId="0" borderId="188" xfId="0" applyNumberFormat="1" applyFont="1" applyBorder="1" applyAlignment="1">
      <alignment horizontal="center" vertical="center"/>
    </xf>
    <xf numFmtId="0" fontId="59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59" fillId="3" borderId="4" xfId="0" applyNumberFormat="1" applyFont="1" applyFill="1" applyBorder="1" applyAlignment="1">
      <alignment horizontal="center" vertical="center" textRotation="90"/>
    </xf>
    <xf numFmtId="0" fontId="59" fillId="3" borderId="7" xfId="0" applyFont="1" applyFill="1" applyBorder="1" applyAlignment="1">
      <alignment horizontal="center" vertical="center" textRotation="90"/>
    </xf>
    <xf numFmtId="0" fontId="59" fillId="3" borderId="51" xfId="0" applyFont="1" applyFill="1" applyBorder="1" applyAlignment="1">
      <alignment horizontal="center" vertical="center" textRotation="90"/>
    </xf>
    <xf numFmtId="0" fontId="50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</cellXfs>
  <cellStyles count="67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" xfId="64" builtinId="19" customBuiltin="1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Output:General" xfId="66" xr:uid="{59FB141A-D010-4900-AD01-5A757D6A2802}"/>
    <cellStyle name="Output:Header" xfId="65" xr:uid="{8D5C7FDA-B59C-452E-B6C1-253395651977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1127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Stats!$H$362:$DD$362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E4-4AB9-AEF4-713877EF981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Stats!$H$363:$DD$363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E4-4AB9-AEF4-713877EF981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Stats!$H$364:$DD$364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E4-4AB9-AEF4-713877EF981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Stats!$H$365:$DD$365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E4-4AB9-AEF4-713877EF981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Stats!$H$366:$DD$366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E4-4AB9-AEF4-713877EF981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Stats!$H$367:$DD$367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E4-4AB9-AEF4-713877EF981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Stats!$H$368:$DD$368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FE4-4AB9-AEF4-713877EF981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Stats!$H$369:$DD$369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E4-4AB9-AEF4-713877EF981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Stats!$H$370:$DD$370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E4-4AB9-AEF4-713877EF981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Stats!$H$371:$DD$371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E4-4AB9-AEF4-713877EF981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Stats!$H$372:$DD$372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FE4-4AB9-AEF4-713877EF981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Stats!$H$373:$DD$373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FE4-4AB9-AEF4-713877EF9817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Stats!$H$374:$DD$374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FE4-4AB9-AEF4-713877EF9817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Stats!$H$375:$DD$375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FE4-4AB9-AEF4-713877EF9817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Stats!$H$376:$DD$376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FE4-4AB9-AEF4-713877EF9817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Stats!$H$377:$DD$377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FE4-4AB9-AEF4-713877EF9817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Stats!$H$378:$DD$378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FE4-4AB9-AEF4-713877EF9817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Stats!$H$379:$DD$379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FE4-4AB9-AEF4-713877EF9817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Stats!$H$380:$DD$380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FE4-4AB9-AEF4-713877EF9817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Stats!$H$381:$DD$381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FE4-4AB9-AEF4-713877EF9817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Stats!$H$382:$DD$382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FE4-4AB9-AEF4-713877EF9817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Stats!$H$383:$DD$383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FE4-4AB9-AEF4-713877EF9817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Stats!$H$384:$DD$384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FE4-4AB9-AEF4-713877EF9817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Stats!$H$385:$DD$385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FE4-4AB9-AEF4-713877EF981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Stats!$H$386:$DD$386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FE4-4AB9-AEF4-713877EF9817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Stats!$H$387:$DD$387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FE4-4AB9-AEF4-713877EF9817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Stats!$H$388:$DD$388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FE4-4AB9-AEF4-713877EF9817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Stats!$H$389:$DD$389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FE4-4AB9-AEF4-713877EF9817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Stats!$H$390:$DD$390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FE4-4AB9-AEF4-713877EF9817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Stats!$H$391:$DD$391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FE4-4AB9-AEF4-713877EF9817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Stats!$H$392:$DD$392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3FE4-4AB9-AEF4-713877EF9817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Stats!$H$393:$DD$393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FE4-4AB9-AEF4-713877EF9817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Stats!$H$394:$DD$394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FE4-4AB9-AEF4-713877EF9817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Stats!$H$395:$DD$395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FE4-4AB9-AEF4-713877EF9817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Stats!$H$396:$DD$396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FE4-4AB9-AEF4-713877EF9817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Stats!$H$397:$DD$397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FE4-4AB9-AEF4-713877EF9817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Stats!$H$398:$DD$398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FE4-4AB9-AEF4-713877EF9817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Stats!$H$399:$DD$399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FE4-4AB9-AEF4-713877EF9817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Stats!$H$400:$DD$400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3FE4-4AB9-AEF4-713877EF9817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Stats!$H$401:$DD$401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FE4-4AB9-AEF4-713877EF9817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Stats!$H$402:$DD$402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3FE4-4AB9-AEF4-713877EF9817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Stats!$H$403:$DD$403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FE4-4AB9-AEF4-713877EF9817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Stats!$H$404:$DD$404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3FE4-4AB9-AEF4-713877EF9817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Stats!$H$405:$DD$405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FE4-4AB9-AEF4-713877EF9817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Stats!$H$406:$DD$406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3FE4-4AB9-AEF4-713877EF9817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Stats!$H$407:$DD$407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FE4-4AB9-AEF4-713877EF9817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Stats!$H$408:$DD$408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3FE4-4AB9-AEF4-713877EF9817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Stats!$H$409:$DD$409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FE4-4AB9-AEF4-713877EF9817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Stats!$H$410:$DD$410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3FE4-4AB9-AEF4-713877EF9817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Stats!$H$411:$DD$411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3FE4-4AB9-AEF4-713877EF9817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Stats!$H$412:$DD$412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3FE4-4AB9-AEF4-713877EF9817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Stats!$H$413:$DD$413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3FE4-4AB9-AEF4-713877EF9817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Stats!$H$414:$DD$414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3FE4-4AB9-AEF4-713877EF9817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Stats!$H$415:$DD$415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3FE4-4AB9-AEF4-713877EF9817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Stats!$H$416:$DD$416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3FE4-4AB9-AEF4-713877EF9817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Stats!$H$417:$DD$417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3FE4-4AB9-AEF4-713877EF9817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Stats!$H$418:$DD$418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3FE4-4AB9-AEF4-713877EF9817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Stats!$H$419:$DD$419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FE4-4AB9-AEF4-713877EF9817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Stats!$H$420:$DD$420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3FE4-4AB9-AEF4-713877EF9817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Stats!$H$421:$DD$421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3FE4-4AB9-AEF4-713877EF9817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Stats!$H$422:$DD$422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3FE4-4AB9-AEF4-713877EF9817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Stats!$H$423:$DD$423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3FE4-4AB9-AEF4-713877EF9817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Stats!$H$424:$DD$424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3FE4-4AB9-AEF4-713877EF9817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Stats!$H$425:$DD$425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3FE4-4AB9-AEF4-713877EF9817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Stats!$H$426:$DD$426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3FE4-4AB9-AEF4-713877EF9817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Stats!$H$427:$DD$427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3FE4-4AB9-AEF4-713877EF9817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Stats!$H$428:$DD$428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3FE4-4AB9-AEF4-713877EF9817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Stats!$H$429:$DD$429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3FE4-4AB9-AEF4-713877EF9817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Stats!$H$430:$DD$430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3FE4-4AB9-AEF4-713877EF9817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Stats!$H$431:$DD$431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3FE4-4AB9-AEF4-713877EF9817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Stats!$H$432:$DD$432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3FE4-4AB9-AEF4-713877EF9817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Stats!$H$433:$DD$433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3FE4-4AB9-AEF4-713877EF9817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Stats!$H$434:$DD$434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3FE4-4AB9-AEF4-713877EF9817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Stats!$H$435:$DD$435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3FE4-4AB9-AEF4-713877EF9817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Stats!$H$436:$DD$436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3FE4-4AB9-AEF4-713877EF9817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Stats!$H$437:$DD$437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3FE4-4AB9-AEF4-713877EF9817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Stats!$H$438:$DD$438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3FE4-4AB9-AEF4-713877EF9817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Stats!$H$439:$DD$439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3FE4-4AB9-AEF4-713877EF9817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Stats!$H$440:$DD$440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3FE4-4AB9-AEF4-713877EF9817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Stats!$H$441:$DD$441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3FE4-4AB9-AEF4-713877EF9817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Stats!$H$442:$DD$442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3FE4-4AB9-AEF4-713877EF9817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Stats!$H$443:$DD$443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3FE4-4AB9-AEF4-713877EF9817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Stats!$H$444:$DD$444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3FE4-4AB9-AEF4-713877EF9817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Stats!$H$445:$DD$445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3FE4-4AB9-AEF4-713877EF9817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Stats!$H$446:$DD$446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3FE4-4AB9-AEF4-713877EF9817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Stats!$H$447:$DD$447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3FE4-4AB9-AEF4-713877EF9817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Stats!$H$448:$DD$448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3FE4-4AB9-AEF4-713877EF9817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Stats!$H$449:$DD$449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3FE4-4AB9-AEF4-713877EF9817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Stats!$H$450:$DD$450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3FE4-4AB9-AEF4-713877EF9817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Stats!$H$451:$DD$451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3FE4-4AB9-AEF4-713877EF9817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Stats!$H$452:$DD$452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3FE4-4AB9-AEF4-713877EF9817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Stats!$H$453:$DD$453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3FE4-4AB9-AEF4-713877EF9817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Stats!$H$454:$DD$454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3FE4-4AB9-AEF4-713877EF9817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Stats!$H$455:$DD$455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3FE4-4AB9-AEF4-713877EF9817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Stats!$H$456:$DD$456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3FE4-4AB9-AEF4-713877EF9817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Stats!$H$457:$DD$457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3FE4-4AB9-AEF4-713877EF9817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Stats!$H$458:$DD$458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3FE4-4AB9-AEF4-713877EF9817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Stats!$H$459:$DD$459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3FE4-4AB9-AEF4-713877EF9817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Stats!$H$460:$DD$460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3FE4-4AB9-AEF4-713877EF9817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Stats!$H$361:$DD$361</c:f>
              <c:numCache>
                <c:formatCode>General</c:formatCode>
                <c:ptCount val="101"/>
              </c:numCache>
            </c:numRef>
          </c:xVal>
          <c:yVal>
            <c:numRef>
              <c:f>Stats!$H$461:$DD$461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3FE4-4AB9-AEF4-713877EF9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37472"/>
        <c:axId val="2051534976"/>
      </c:scatterChart>
      <c:valAx>
        <c:axId val="205153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534976"/>
        <c:crosses val="autoZero"/>
        <c:crossBetween val="midCat"/>
      </c:valAx>
      <c:valAx>
        <c:axId val="205153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53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90</xdr:col>
      <xdr:colOff>564679</xdr:colOff>
      <xdr:row>362</xdr:row>
      <xdr:rowOff>173935</xdr:rowOff>
    </xdr:from>
    <xdr:to>
      <xdr:col>95</xdr:col>
      <xdr:colOff>173934</xdr:colOff>
      <xdr:row>381</xdr:row>
      <xdr:rowOff>115495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8D2D80-D28F-12E2-AA20-BB4BD3FBEB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collins.ZADELOITTE/Downloads/dexcel-testing-kepl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Utilities"/>
      <sheetName val="Dates"/>
      <sheetName val="Mathematics"/>
      <sheetName val="Stats"/>
      <sheetName val="Equities"/>
      <sheetName val="Equity Pricers"/>
      <sheetName val="Equity Utils"/>
      <sheetName val="FX"/>
      <sheetName val="FX Pricers"/>
      <sheetName val="FX Utils"/>
      <sheetName val="FX Curves"/>
      <sheetName val="Interest Rates"/>
      <sheetName val="Interest Rate Pricers"/>
      <sheetName val="Curves"/>
      <sheetName val="Curve Bootstrapping"/>
      <sheetName val="Rate Utils"/>
      <sheetName val="HullWhite"/>
      <sheetName val="Interest Rate Swaps"/>
      <sheetName val="Other"/>
      <sheetName val="Fix EMS Links Utils"/>
      <sheetName val="Hyperlink Utils"/>
      <sheetName val="Test Utils"/>
      <sheetName val="Table Formatt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0">
          <cell r="D20">
            <v>8093742</v>
          </cell>
          <cell r="R20" t="str">
            <v>C:\GitLab\dExcelTools\dExcel\dExcel\Resources\Workbooks\EMSTestingLocation2\</v>
          </cell>
        </row>
        <row r="23">
          <cell r="D23">
            <v>4513215</v>
          </cell>
          <cell r="R23" t="str">
            <v>C:\GitLab\dExcelTools\dExcel\dExcel\Resources\Workbooks\EMSTestingLocation2\</v>
          </cell>
        </row>
        <row r="26">
          <cell r="R26" t="str">
            <v>C:\GitLab\dExcelTools\dExcel\dExcel\Resources\Workbooks\EMSTestingLocation2\</v>
          </cell>
        </row>
        <row r="31">
          <cell r="R31" t="str">
            <v>C:\GitLab\dExcelTools\dExcel\dExcel\Resources\Workbooks\EMSTestingLocation2\</v>
          </cell>
        </row>
        <row r="39">
          <cell r="R39" t="str">
            <v>C:\GitLab\dExcelTools\dExcel\dExcel\Resources\Workbooks\EMSTestingLocation2\</v>
          </cell>
        </row>
        <row r="42">
          <cell r="R42" t="str">
            <v>C:\GitLab\dExcelTools\dExcel\dExcel\Resources\Workbooks\EMSTestingLocation2\</v>
          </cell>
        </row>
        <row r="45">
          <cell r="R45" t="str">
            <v>C:\GitLab\dExcelTools\dExcel\dExcel\Resources\Workbooks\EMSTestingLocation2\</v>
          </cell>
        </row>
        <row r="50">
          <cell r="R50" t="str">
            <v>C:\GitLab\dExcelTools\dExcel\dExcel\Resources\Workbooks\EMSTestingLocation2\</v>
          </cell>
        </row>
      </sheetData>
      <sheetData sheetId="21">
        <row r="40">
          <cell r="C40" t="str">
            <v>Error</v>
          </cell>
        </row>
        <row r="52">
          <cell r="C52" t="str">
            <v>Error</v>
          </cell>
        </row>
        <row r="64">
          <cell r="C64" t="str">
            <v>Error</v>
          </cell>
        </row>
      </sheetData>
      <sheetData sheetId="22" refreshError="1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5" Type="http://schemas.openxmlformats.org/officeDocument/2006/relationships/printerSettings" Target="../printerSettings/printerSettings16.bin"/><Relationship Id="rId4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J88"/>
  <sheetViews>
    <sheetView showGridLines="0" topLeftCell="A10" zoomScale="115" zoomScaleNormal="115" workbookViewId="0">
      <selection activeCell="E20" sqref="E20"/>
    </sheetView>
  </sheetViews>
  <sheetFormatPr defaultRowHeight="1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  <col min="10" max="10" width="10.125" bestFit="1" customWidth="1"/>
  </cols>
  <sheetData>
    <row r="2" spans="2:10" ht="26.25">
      <c r="B2" s="2" t="s">
        <v>104</v>
      </c>
      <c r="C2" s="2"/>
      <c r="D2" s="2"/>
    </row>
    <row r="3" spans="2:10">
      <c r="B3" s="428" t="str">
        <f ca="1">IF(D6="Error","!!!Note: This workbook was tested against a different version of ∂Excel to what you have installed. This may resulted in unexpected behaviour.!!!","")</f>
        <v/>
      </c>
    </row>
    <row r="4" spans="2:10" s="408" customFormat="1">
      <c r="B4" s="851" t="s">
        <v>393</v>
      </c>
      <c r="C4" s="852"/>
      <c r="D4" s="855" t="s">
        <v>767</v>
      </c>
      <c r="I4" s="430"/>
    </row>
    <row r="5" spans="2:10" s="408" customFormat="1">
      <c r="B5" s="853" t="s">
        <v>394</v>
      </c>
      <c r="C5" s="854"/>
      <c r="D5" s="856" t="str" cm="1">
        <f t="array" aca="1" ref="D5" ca="1">_xll.d.Debug_GetAssemblyVersion()</f>
        <v>0.2.3</v>
      </c>
      <c r="I5" s="430"/>
    </row>
    <row r="6" spans="2:10" s="408" customFormat="1">
      <c r="B6" s="323" t="s">
        <v>395</v>
      </c>
      <c r="C6" s="445"/>
      <c r="D6" s="163" t="str" cm="1">
        <f t="array" aca="1" ref="D6" ca="1">_xll.d.TestUtils_Equal(D4,D5,,TRUE)</f>
        <v>Ok</v>
      </c>
      <c r="I6" s="430"/>
    </row>
    <row r="7" spans="2:10" s="408" customFormat="1"/>
    <row r="8" spans="2:10" s="408" customFormat="1">
      <c r="F8" s="1"/>
      <c r="J8" s="1"/>
    </row>
    <row r="9" spans="2:10" s="430" customFormat="1">
      <c r="B9" s="199" t="s">
        <v>430</v>
      </c>
      <c r="C9" s="199"/>
    </row>
    <row r="10" spans="2:10" s="430" customFormat="1" ht="18.75" customHeight="1">
      <c r="B10" s="1091" t="str" cm="1">
        <f t="array" aca="1" ref="B10" ca="1">_xll.d.TestUtils_And(C19:C21,C24:C25,C28:C29,C34:C38,C46:C49)</f>
        <v>Ok</v>
      </c>
      <c r="C10" s="1091"/>
      <c r="D10" s="604" t="s">
        <v>643</v>
      </c>
    </row>
    <row r="11" spans="2:10" s="430" customFormat="1" ht="15" customHeight="1">
      <c r="B11" s="1092"/>
      <c r="C11" s="1092"/>
      <c r="D11" s="850" t="s">
        <v>729</v>
      </c>
    </row>
    <row r="12" spans="2:10" s="430" customFormat="1"/>
    <row r="13" spans="2:10" s="430" customFormat="1">
      <c r="F13" s="1"/>
    </row>
    <row r="14" spans="2:10">
      <c r="B14" s="323" t="s">
        <v>96</v>
      </c>
      <c r="C14" s="200"/>
    </row>
    <row r="15" spans="2:10">
      <c r="B15" s="594" t="s">
        <v>531</v>
      </c>
      <c r="C15" s="595"/>
      <c r="F15" s="430"/>
    </row>
    <row r="16" spans="2:10">
      <c r="B16" s="596" t="s">
        <v>532</v>
      </c>
      <c r="C16" s="597"/>
      <c r="F16" s="430"/>
    </row>
    <row r="17" spans="2:9">
      <c r="F17" s="430"/>
    </row>
    <row r="18" spans="2:9">
      <c r="B18" s="120" t="s">
        <v>228</v>
      </c>
      <c r="C18" s="121"/>
      <c r="F18" s="430"/>
    </row>
    <row r="19" spans="2:9">
      <c r="B19" s="403" t="s">
        <v>0</v>
      </c>
      <c r="C19" s="123" t="str">
        <f ca="1">Dates!C4</f>
        <v>Ok</v>
      </c>
      <c r="F19" s="430"/>
    </row>
    <row r="20" spans="2:9">
      <c r="B20" s="404" t="s">
        <v>323</v>
      </c>
      <c r="C20" s="125" t="str">
        <f ca="1">Mathematics!C4</f>
        <v>Ok</v>
      </c>
      <c r="F20" s="430"/>
      <c r="I20" s="430"/>
    </row>
    <row r="21" spans="2:9">
      <c r="B21" s="405" t="s">
        <v>346</v>
      </c>
      <c r="C21" s="127" t="str">
        <f ca="1">Stats!C4</f>
        <v>Ok</v>
      </c>
      <c r="I21" s="430"/>
    </row>
    <row r="22" spans="2:9">
      <c r="I22" s="430"/>
    </row>
    <row r="23" spans="2:9">
      <c r="B23" s="419" t="s">
        <v>376</v>
      </c>
      <c r="C23" s="420"/>
    </row>
    <row r="24" spans="2:9">
      <c r="B24" s="586" t="s">
        <v>499</v>
      </c>
      <c r="C24" s="291" t="str">
        <f ca="1">'Equity Pricers'!C4</f>
        <v>Ok</v>
      </c>
    </row>
    <row r="25" spans="2:9" s="430" customFormat="1">
      <c r="B25" s="405" t="s">
        <v>377</v>
      </c>
      <c r="C25" s="291" t="str">
        <f ca="1">'Equity Utils'!C4</f>
        <v>Ok</v>
      </c>
    </row>
    <row r="26" spans="2:9">
      <c r="C26" s="289"/>
      <c r="D26" s="430"/>
    </row>
    <row r="27" spans="2:9" s="430" customFormat="1">
      <c r="B27" s="419" t="s">
        <v>503</v>
      </c>
      <c r="C27" s="420"/>
    </row>
    <row r="28" spans="2:9" s="430" customFormat="1">
      <c r="B28" s="565" t="s">
        <v>502</v>
      </c>
      <c r="C28" s="291" t="str">
        <f ca="1">'FX Pricers'!C4</f>
        <v>Ok</v>
      </c>
    </row>
    <row r="29" spans="2:9" s="430" customFormat="1">
      <c r="B29" s="404" t="s">
        <v>646</v>
      </c>
      <c r="C29" s="291"/>
      <c r="D29" s="604" t="s">
        <v>644</v>
      </c>
    </row>
    <row r="30" spans="2:9" s="430" customFormat="1">
      <c r="B30" s="1090" t="s">
        <v>720</v>
      </c>
      <c r="C30" s="291"/>
      <c r="D30" s="604"/>
    </row>
    <row r="31" spans="2:9" s="430" customFormat="1">
      <c r="B31" s="474" t="s">
        <v>648</v>
      </c>
      <c r="C31" s="291"/>
    </row>
    <row r="32" spans="2:9" s="430" customFormat="1"/>
    <row r="33" spans="2:4">
      <c r="B33" s="120" t="s">
        <v>227</v>
      </c>
      <c r="C33" s="191"/>
      <c r="D33" s="430"/>
    </row>
    <row r="34" spans="2:4">
      <c r="B34" s="403" t="s">
        <v>1</v>
      </c>
      <c r="C34" s="311" t="str">
        <f ca="1">Curves!C4</f>
        <v>Ok</v>
      </c>
      <c r="D34" s="430"/>
    </row>
    <row r="35" spans="2:4" s="430" customFormat="1">
      <c r="B35" s="1068" t="s">
        <v>870</v>
      </c>
      <c r="C35" s="271" t="str">
        <f ca="1">'SOFR Bootstrapping'!C4</f>
        <v>Ok</v>
      </c>
    </row>
    <row r="36" spans="2:4" s="430" customFormat="1">
      <c r="B36" s="473" t="s">
        <v>676</v>
      </c>
      <c r="C36" s="270" t="str">
        <f ca="1">'Single Curve Bootstrapping'!C6</f>
        <v>Ok</v>
      </c>
    </row>
    <row r="37" spans="2:4">
      <c r="B37" s="565" t="s">
        <v>485</v>
      </c>
      <c r="C37" s="271" t="str">
        <f ca="1">'Interest Rate Pricers'!C4</f>
        <v>Ok</v>
      </c>
      <c r="D37" s="430"/>
    </row>
    <row r="38" spans="2:4">
      <c r="B38" s="404" t="s">
        <v>373</v>
      </c>
      <c r="C38" s="270" t="str">
        <f ca="1">'Rate Utils'!C4</f>
        <v>Ok</v>
      </c>
      <c r="D38" s="430"/>
    </row>
    <row r="39" spans="2:4">
      <c r="B39" s="474" t="s">
        <v>11</v>
      </c>
      <c r="C39" s="190" t="s">
        <v>210</v>
      </c>
      <c r="D39" s="604" t="s">
        <v>644</v>
      </c>
    </row>
    <row r="40" spans="2:4">
      <c r="D40" s="289"/>
    </row>
    <row r="41" spans="2:4" s="430" customFormat="1">
      <c r="B41" s="120" t="s">
        <v>871</v>
      </c>
      <c r="C41" s="191"/>
      <c r="D41" s="289"/>
    </row>
    <row r="42" spans="2:4" s="430" customFormat="1">
      <c r="B42" s="403" t="s">
        <v>1</v>
      </c>
      <c r="C42" s="311" t="str">
        <f>Curves!C12</f>
        <v>Ok</v>
      </c>
      <c r="D42" s="289"/>
    </row>
    <row r="43" spans="2:4" s="430" customFormat="1">
      <c r="B43" s="1068" t="s">
        <v>870</v>
      </c>
      <c r="C43" s="271" t="str">
        <f>'SOFR Bootstrapping'!C12</f>
        <v>Ok</v>
      </c>
      <c r="D43" s="289"/>
    </row>
    <row r="44" spans="2:4" s="430" customFormat="1">
      <c r="D44" s="289"/>
    </row>
    <row r="45" spans="2:4">
      <c r="B45" s="120" t="s">
        <v>105</v>
      </c>
      <c r="C45" s="121"/>
      <c r="D45" s="289"/>
    </row>
    <row r="46" spans="2:4">
      <c r="B46" s="641" t="s">
        <v>544</v>
      </c>
      <c r="C46" s="311" t="str">
        <f ca="1">'Fix EMS Links Utils'!C4</f>
        <v>Ok</v>
      </c>
      <c r="D46" s="604"/>
    </row>
    <row r="47" spans="2:4">
      <c r="B47" s="473" t="s">
        <v>518</v>
      </c>
      <c r="C47" s="270" t="str">
        <f ca="1">'Hyperlink Utils'!C4</f>
        <v>Ok</v>
      </c>
      <c r="D47" s="604" t="s">
        <v>645</v>
      </c>
    </row>
    <row r="48" spans="2:4">
      <c r="B48" s="473" t="s">
        <v>68</v>
      </c>
      <c r="C48" s="622" t="str">
        <f ca="1">'Table Formatting'!C4</f>
        <v>Ok</v>
      </c>
      <c r="D48" s="604" t="s">
        <v>645</v>
      </c>
    </row>
    <row r="49" spans="2:5">
      <c r="B49" s="1017" t="s">
        <v>153</v>
      </c>
      <c r="C49" s="623" t="str">
        <f ca="1">'Test Utils'!C4</f>
        <v>Ok</v>
      </c>
    </row>
    <row r="51" spans="2:5">
      <c r="E51" s="163"/>
    </row>
    <row r="57" spans="2:5">
      <c r="C57" s="8"/>
    </row>
    <row r="58" spans="2:5">
      <c r="C58" s="8"/>
    </row>
    <row r="59" spans="2:5">
      <c r="C59" s="8"/>
    </row>
    <row r="61" spans="2:5">
      <c r="B61" s="10"/>
    </row>
    <row r="65" spans="2:9">
      <c r="B65" s="1"/>
    </row>
    <row r="70" spans="2:9">
      <c r="B70" s="8"/>
      <c r="D70" s="797"/>
    </row>
    <row r="71" spans="2:9">
      <c r="B71" s="8"/>
      <c r="D71" s="797"/>
    </row>
    <row r="72" spans="2:9">
      <c r="B72" s="8"/>
      <c r="D72" s="797"/>
      <c r="I72" s="869"/>
    </row>
    <row r="73" spans="2:9">
      <c r="B73" s="8"/>
      <c r="D73" s="797"/>
      <c r="I73" s="869"/>
    </row>
    <row r="74" spans="2:9">
      <c r="B74" s="8"/>
      <c r="D74" s="797"/>
      <c r="I74" s="869"/>
    </row>
    <row r="75" spans="2:9">
      <c r="B75" s="8"/>
      <c r="D75" s="797"/>
    </row>
    <row r="76" spans="2:9">
      <c r="B76" s="8"/>
      <c r="C76" s="8"/>
      <c r="D76" s="797"/>
    </row>
    <row r="77" spans="2:9">
      <c r="B77" s="8"/>
      <c r="C77" s="8"/>
      <c r="D77" s="797"/>
    </row>
    <row r="78" spans="2:9">
      <c r="B78" s="8"/>
      <c r="C78" s="8"/>
      <c r="D78" s="797"/>
      <c r="I78" s="798"/>
    </row>
    <row r="79" spans="2:9">
      <c r="B79" s="8"/>
      <c r="C79" s="8"/>
      <c r="D79" s="797"/>
      <c r="I79" s="798"/>
    </row>
    <row r="80" spans="2:9">
      <c r="B80" s="8"/>
      <c r="C80" s="8"/>
      <c r="D80" s="797"/>
      <c r="I80" s="798"/>
    </row>
    <row r="81" spans="2:9">
      <c r="B81" s="8"/>
      <c r="C81" s="8"/>
      <c r="D81" s="797"/>
      <c r="I81" s="798"/>
    </row>
    <row r="82" spans="2:9">
      <c r="B82" s="8"/>
      <c r="C82" s="8"/>
      <c r="D82" s="797"/>
      <c r="I82" s="798"/>
    </row>
    <row r="83" spans="2:9">
      <c r="C83" s="8"/>
      <c r="D83" s="797"/>
      <c r="I83" s="798"/>
    </row>
    <row r="84" spans="2:9">
      <c r="C84" s="8"/>
      <c r="D84" s="797"/>
      <c r="I84" s="798"/>
    </row>
    <row r="85" spans="2:9">
      <c r="C85" s="8"/>
      <c r="D85" s="797"/>
    </row>
    <row r="86" spans="2:9">
      <c r="C86" s="8"/>
      <c r="D86" s="797"/>
    </row>
    <row r="87" spans="2:9">
      <c r="C87" s="8"/>
      <c r="D87" s="797"/>
    </row>
    <row r="88" spans="2:9">
      <c r="C88" s="8"/>
      <c r="D88" s="797"/>
    </row>
  </sheetData>
  <mergeCells count="1">
    <mergeCell ref="B10:C11"/>
  </mergeCells>
  <conditionalFormatting sqref="C19 C25 C34:C35 C37">
    <cfRule type="cellIs" dxfId="1126" priority="50" stopIfTrue="1" operator="equal">
      <formula>"ERROR"</formula>
    </cfRule>
    <cfRule type="cellIs" dxfId="1125" priority="51" stopIfTrue="1" operator="equal">
      <formula>"OK"</formula>
    </cfRule>
    <cfRule type="cellIs" dxfId="1124" priority="52" stopIfTrue="1" operator="equal">
      <formula>"WARNING"</formula>
    </cfRule>
  </conditionalFormatting>
  <conditionalFormatting sqref="C20">
    <cfRule type="cellIs" dxfId="1123" priority="43" stopIfTrue="1" operator="equal">
      <formula>"ERROR"</formula>
    </cfRule>
    <cfRule type="cellIs" dxfId="1122" priority="44" stopIfTrue="1" operator="equal">
      <formula>"OK"</formula>
    </cfRule>
    <cfRule type="cellIs" dxfId="1121" priority="45" stopIfTrue="1" operator="equal">
      <formula>"WARNING"</formula>
    </cfRule>
  </conditionalFormatting>
  <conditionalFormatting sqref="C21">
    <cfRule type="cellIs" dxfId="1120" priority="40" stopIfTrue="1" operator="equal">
      <formula>"ERROR"</formula>
    </cfRule>
    <cfRule type="cellIs" dxfId="1119" priority="41" stopIfTrue="1" operator="equal">
      <formula>"OK"</formula>
    </cfRule>
    <cfRule type="cellIs" dxfId="1118" priority="42" stopIfTrue="1" operator="equal">
      <formula>"WARNING"</formula>
    </cfRule>
  </conditionalFormatting>
  <conditionalFormatting sqref="D6">
    <cfRule type="cellIs" dxfId="1117" priority="56" stopIfTrue="1" operator="equal">
      <formula>"ERROR"</formula>
    </cfRule>
    <cfRule type="cellIs" dxfId="1116" priority="57" stopIfTrue="1" operator="equal">
      <formula>"OK"</formula>
    </cfRule>
    <cfRule type="cellIs" dxfId="1115" priority="58" stopIfTrue="1" operator="equal">
      <formula>"WARNING"</formula>
    </cfRule>
  </conditionalFormatting>
  <conditionalFormatting sqref="C38">
    <cfRule type="cellIs" dxfId="1114" priority="37" stopIfTrue="1" operator="equal">
      <formula>"ERROR"</formula>
    </cfRule>
    <cfRule type="cellIs" dxfId="1113" priority="38" stopIfTrue="1" operator="equal">
      <formula>"OK"</formula>
    </cfRule>
    <cfRule type="cellIs" dxfId="1112" priority="39" stopIfTrue="1" operator="equal">
      <formula>"WARNING"</formula>
    </cfRule>
  </conditionalFormatting>
  <conditionalFormatting sqref="B10:C11">
    <cfRule type="cellIs" dxfId="1111" priority="34" stopIfTrue="1" operator="equal">
      <formula>"ERROR"</formula>
    </cfRule>
    <cfRule type="cellIs" dxfId="1110" priority="35" stopIfTrue="1" operator="equal">
      <formula>"OK"</formula>
    </cfRule>
    <cfRule type="cellIs" dxfId="1109" priority="36" stopIfTrue="1" operator="equal">
      <formula>"WARNING"</formula>
    </cfRule>
  </conditionalFormatting>
  <conditionalFormatting sqref="C36">
    <cfRule type="cellIs" dxfId="1108" priority="62" stopIfTrue="1" operator="equal">
      <formula>"ERROR"</formula>
    </cfRule>
    <cfRule type="cellIs" dxfId="1107" priority="63" stopIfTrue="1" operator="equal">
      <formula>"OK"</formula>
    </cfRule>
    <cfRule type="cellIs" dxfId="1106" priority="64" stopIfTrue="1" operator="equal">
      <formula>"WARNING"</formula>
    </cfRule>
  </conditionalFormatting>
  <conditionalFormatting sqref="C24">
    <cfRule type="cellIs" dxfId="1105" priority="22" stopIfTrue="1" operator="equal">
      <formula>"ERROR"</formula>
    </cfRule>
    <cfRule type="cellIs" dxfId="1104" priority="23" stopIfTrue="1" operator="equal">
      <formula>"OK"</formula>
    </cfRule>
    <cfRule type="cellIs" dxfId="1103" priority="24" stopIfTrue="1" operator="equal">
      <formula>"WARNING"</formula>
    </cfRule>
  </conditionalFormatting>
  <conditionalFormatting sqref="C46:C47">
    <cfRule type="cellIs" dxfId="1102" priority="16" stopIfTrue="1" operator="equal">
      <formula>"ERROR"</formula>
    </cfRule>
    <cfRule type="cellIs" dxfId="1101" priority="17" stopIfTrue="1" operator="equal">
      <formula>"OK"</formula>
    </cfRule>
    <cfRule type="cellIs" dxfId="1100" priority="18" stopIfTrue="1" operator="equal">
      <formula>"WARNING"</formula>
    </cfRule>
  </conditionalFormatting>
  <conditionalFormatting sqref="C49">
    <cfRule type="cellIs" dxfId="1099" priority="13" stopIfTrue="1" operator="equal">
      <formula>"ERROR"</formula>
    </cfRule>
    <cfRule type="cellIs" dxfId="1098" priority="14" stopIfTrue="1" operator="equal">
      <formula>"OK"</formula>
    </cfRule>
    <cfRule type="cellIs" dxfId="1097" priority="15" stopIfTrue="1" operator="equal">
      <formula>"WARNING"</formula>
    </cfRule>
  </conditionalFormatting>
  <conditionalFormatting sqref="C48">
    <cfRule type="cellIs" dxfId="1096" priority="10" stopIfTrue="1" operator="equal">
      <formula>"ERROR"</formula>
    </cfRule>
    <cfRule type="cellIs" dxfId="1095" priority="11" stopIfTrue="1" operator="equal">
      <formula>"OK"</formula>
    </cfRule>
    <cfRule type="cellIs" dxfId="1094" priority="12" stopIfTrue="1" operator="equal">
      <formula>"WARNING"</formula>
    </cfRule>
  </conditionalFormatting>
  <conditionalFormatting sqref="C29:C31">
    <cfRule type="cellIs" dxfId="1093" priority="7" stopIfTrue="1" operator="equal">
      <formula>"ERROR"</formula>
    </cfRule>
    <cfRule type="cellIs" dxfId="1092" priority="8" stopIfTrue="1" operator="equal">
      <formula>"OK"</formula>
    </cfRule>
    <cfRule type="cellIs" dxfId="1091" priority="9" stopIfTrue="1" operator="equal">
      <formula>"WARNING"</formula>
    </cfRule>
  </conditionalFormatting>
  <conditionalFormatting sqref="C28">
    <cfRule type="cellIs" dxfId="1090" priority="4" stopIfTrue="1" operator="equal">
      <formula>"ERROR"</formula>
    </cfRule>
    <cfRule type="cellIs" dxfId="1089" priority="5" stopIfTrue="1" operator="equal">
      <formula>"OK"</formula>
    </cfRule>
    <cfRule type="cellIs" dxfId="1088" priority="6" stopIfTrue="1" operator="equal">
      <formula>"WARNING"</formula>
    </cfRule>
  </conditionalFormatting>
  <conditionalFormatting sqref="C42:C43">
    <cfRule type="cellIs" dxfId="1087" priority="1" stopIfTrue="1" operator="equal">
      <formula>"ERROR"</formula>
    </cfRule>
    <cfRule type="cellIs" dxfId="1086" priority="2" stopIfTrue="1" operator="equal">
      <formula>"OK"</formula>
    </cfRule>
    <cfRule type="cellIs" dxfId="1085" priority="3" stopIfTrue="1" operator="equal">
      <formula>"WARNING"</formula>
    </cfRule>
  </conditionalFormatting>
  <hyperlinks>
    <hyperlink ref="B34" location="Curves.Title" display="Curves" xr:uid="{55B00831-142E-4799-B620-B8B79F221D3E}"/>
    <hyperlink ref="B48" location="TableFormatting.Title" display="Table Formatting" xr:uid="{36F5A4C0-4058-4EAB-B9F0-3120B1D828EB}"/>
    <hyperlink ref="B49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8" location="'Rate Utils'!A1" display="'Rate Utils'!A1" xr:uid="{6865330E-4314-49F8-9ECC-C7A098D85B5E}"/>
    <hyperlink ref="B25" location="'Equity Utils'!A1" display="'Equity Utils'!A1" xr:uid="{233267BC-3445-4D37-B566-C8265B4B7E59}"/>
    <hyperlink ref="B36" location="'Single Curve Bootstrapping'!A1" display="'Single Curve Bootstrapping'!A1" xr:uid="{F91BBC8F-0528-489F-A403-1736F6EFE17D}"/>
    <hyperlink ref="B39" location="'HullWhite'!A1" display="'HullWhite'!A1" xr:uid="{6AB32900-68A8-42A4-90E7-C1FDC2A0E7BF}"/>
    <hyperlink ref="B37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7" location="'Hyperlink Utils'!A1" display="'Hyperlink Utils'!A1" xr:uid="{3E859666-F850-4055-8256-44616CA0E893}"/>
    <hyperlink ref="B46" location="'Fix EMS Links Utils'!A1" display="'Fix EMS Links Utils'!A1" xr:uid="{79C4CFED-2F49-4516-A231-9E295BC89BB4}"/>
    <hyperlink ref="B29" location="'FX Utils'!A1" display="'FX Utils'!A1" xr:uid="{31863638-BD9C-4934-8BB1-C8A736AE4A64}"/>
    <hyperlink ref="B31" location="'FX Curves'!A1" display="'FX Curves'!A1" xr:uid="{0F0A7291-C390-4D30-A8EC-A05E4F2A11A7}"/>
    <hyperlink ref="B42" location="Curves.Title" display="Curves" xr:uid="{5239038D-B3B4-4A3B-9B37-0EB4AA58F43E}"/>
    <hyperlink ref="B30" location="'FX Curve Bootstrapping'!A1" display="'FX Curve Bootstrapping'!A1" xr:uid="{29D761D7-E6E4-4536-A0F9-034B19A9E146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7"/>
  <sheetViews>
    <sheetView showGridLines="0" topLeftCell="A16" zoomScale="70" zoomScaleNormal="70" workbookViewId="0">
      <selection activeCell="L252" sqref="L252"/>
    </sheetView>
  </sheetViews>
  <sheetFormatPr defaultColWidth="9" defaultRowHeight="12.75"/>
  <cols>
    <col min="1" max="1" width="3.75" style="289" customWidth="1"/>
    <col min="2" max="2" width="17.125" style="289" customWidth="1"/>
    <col min="3" max="3" width="17" style="289" customWidth="1"/>
    <col min="4" max="4" width="13.875" style="289" bestFit="1" customWidth="1"/>
    <col min="5" max="5" width="17.375" style="289" customWidth="1"/>
    <col min="6" max="6" width="13.875" style="289" bestFit="1" customWidth="1"/>
    <col min="7" max="7" width="12.375" style="289" customWidth="1"/>
    <col min="8" max="8" width="11.625" style="289" customWidth="1"/>
    <col min="9" max="9" width="9.75" style="289" customWidth="1"/>
    <col min="10" max="10" width="10.125" style="289" customWidth="1"/>
    <col min="11" max="11" width="9.625" style="289" customWidth="1"/>
    <col min="12" max="12" width="12.625" style="289" customWidth="1"/>
    <col min="13" max="13" width="13.875" style="289" bestFit="1" customWidth="1"/>
    <col min="14" max="14" width="9.375" style="289" customWidth="1"/>
    <col min="15" max="15" width="10" style="289" customWidth="1"/>
    <col min="16" max="16" width="16" style="289" customWidth="1"/>
    <col min="17" max="17" width="8.875" style="289" bestFit="1" customWidth="1"/>
    <col min="18" max="18" width="10.625" style="289" customWidth="1"/>
    <col min="19" max="20" width="9.375" style="289" customWidth="1"/>
    <col min="21" max="22" width="8.75" style="289" customWidth="1"/>
    <col min="23" max="27" width="9.25" style="289" customWidth="1"/>
    <col min="28" max="16384" width="9" style="289"/>
  </cols>
  <sheetData>
    <row r="1" spans="2:43">
      <c r="B1" s="399" t="s">
        <v>372</v>
      </c>
    </row>
    <row r="2" spans="2:43" ht="26.25">
      <c r="B2" s="2" t="s">
        <v>0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</row>
    <row r="4" spans="2:43">
      <c r="B4" s="50" t="s">
        <v>139</v>
      </c>
      <c r="C4" s="291" t="str" cm="1">
        <f t="array" aca="1" ref="C4" ca="1">_xll.d.TestUtils_And(D7:D21)</f>
        <v>Ok</v>
      </c>
    </row>
    <row r="6" spans="2:43">
      <c r="B6" s="188" t="s">
        <v>196</v>
      </c>
      <c r="C6" s="188"/>
      <c r="D6" s="189" t="s">
        <v>10</v>
      </c>
    </row>
    <row r="7" spans="2:43">
      <c r="B7" s="406" t="s">
        <v>478</v>
      </c>
      <c r="C7" s="406"/>
      <c r="D7" s="291" t="str">
        <f ca="1">C26</f>
        <v>Ok</v>
      </c>
    </row>
    <row r="8" spans="2:43">
      <c r="B8" s="406" t="s">
        <v>444</v>
      </c>
      <c r="C8" s="406"/>
      <c r="D8" s="291" t="str">
        <f ca="1">C38</f>
        <v>Ok</v>
      </c>
    </row>
    <row r="9" spans="2:43">
      <c r="B9" s="406" t="s">
        <v>448</v>
      </c>
      <c r="C9" s="406"/>
      <c r="D9" s="291" t="str">
        <f ca="1">C50</f>
        <v>Ok</v>
      </c>
    </row>
    <row r="10" spans="2:43">
      <c r="B10" s="406" t="s">
        <v>442</v>
      </c>
      <c r="C10" s="406"/>
      <c r="D10" s="291" t="str">
        <f ca="1">C62</f>
        <v>Ok</v>
      </c>
    </row>
    <row r="11" spans="2:43">
      <c r="B11" s="406" t="s">
        <v>363</v>
      </c>
      <c r="C11" s="406"/>
      <c r="D11" s="291" t="str">
        <f ca="1">C74</f>
        <v>Ok</v>
      </c>
    </row>
    <row r="12" spans="2:43">
      <c r="B12" s="406" t="s">
        <v>364</v>
      </c>
      <c r="C12" s="406"/>
      <c r="D12" s="291" t="str">
        <f ca="1">C89</f>
        <v>Ok</v>
      </c>
    </row>
    <row r="13" spans="2:43">
      <c r="B13" s="406" t="s">
        <v>365</v>
      </c>
      <c r="C13" s="406"/>
      <c r="D13" s="291" t="str">
        <f ca="1">C104</f>
        <v>Ok</v>
      </c>
    </row>
    <row r="14" spans="2:43">
      <c r="B14" s="406" t="s">
        <v>366</v>
      </c>
      <c r="C14" s="406"/>
      <c r="D14" s="291" t="str">
        <f ca="1">C119</f>
        <v>Ok</v>
      </c>
    </row>
    <row r="15" spans="2:43">
      <c r="B15" s="406" t="s">
        <v>367</v>
      </c>
      <c r="C15" s="406"/>
      <c r="D15" s="291" t="str">
        <f>C133</f>
        <v>Ok</v>
      </c>
    </row>
    <row r="16" spans="2:43">
      <c r="B16" s="406" t="s">
        <v>368</v>
      </c>
      <c r="C16" s="406"/>
      <c r="D16" s="291" t="str">
        <f ca="1">C181</f>
        <v>Ok</v>
      </c>
    </row>
    <row r="17" spans="2:7">
      <c r="B17" s="406" t="s">
        <v>369</v>
      </c>
      <c r="C17" s="406"/>
      <c r="D17" s="291" t="str">
        <f ca="1">C208</f>
        <v>Ok</v>
      </c>
    </row>
    <row r="18" spans="2:7">
      <c r="B18" s="406" t="s">
        <v>370</v>
      </c>
      <c r="C18" s="406"/>
      <c r="D18" s="291" t="str">
        <f ca="1">C224</f>
        <v>Ok</v>
      </c>
    </row>
    <row r="19" spans="2:7">
      <c r="B19" s="406" t="s">
        <v>371</v>
      </c>
      <c r="C19" s="406"/>
      <c r="D19" s="291" t="str">
        <f ca="1">C239</f>
        <v>Ok</v>
      </c>
    </row>
    <row r="20" spans="2:7">
      <c r="B20" s="406" t="s">
        <v>436</v>
      </c>
      <c r="C20" s="406"/>
      <c r="D20" s="291" t="str">
        <f ca="1">C253</f>
        <v>Ok</v>
      </c>
    </row>
    <row r="21" spans="2:7">
      <c r="B21" s="406" t="s">
        <v>768</v>
      </c>
      <c r="C21" s="406"/>
      <c r="D21" s="291" t="str">
        <f>C269</f>
        <v>Ok</v>
      </c>
    </row>
    <row r="24" spans="2:7" ht="18.75">
      <c r="B24" s="3" t="s">
        <v>478</v>
      </c>
      <c r="C24" s="297"/>
      <c r="D24" s="297"/>
      <c r="E24" s="297"/>
      <c r="F24" s="297"/>
      <c r="G24" s="297"/>
    </row>
    <row r="26" spans="2:7">
      <c r="B26" s="50" t="s">
        <v>139</v>
      </c>
      <c r="C26" s="291" t="str" cm="1">
        <f t="array" aca="1" ref="C26" ca="1">_xll.d.TestUtils_And(G31)</f>
        <v>Ok</v>
      </c>
    </row>
    <row r="27" spans="2:7">
      <c r="G27" s="290"/>
    </row>
    <row r="28" spans="2:7" ht="15.75">
      <c r="B28" s="4" t="s">
        <v>89</v>
      </c>
      <c r="C28" s="298"/>
      <c r="D28" s="298"/>
      <c r="E28" s="298"/>
      <c r="F28" s="298"/>
      <c r="G28" s="298"/>
    </row>
    <row r="30" spans="2:7">
      <c r="B30" s="120" t="s">
        <v>212</v>
      </c>
      <c r="C30" s="121"/>
      <c r="E30" s="120" t="s">
        <v>113</v>
      </c>
      <c r="F30" s="120" t="s">
        <v>214</v>
      </c>
      <c r="G30" s="120" t="s">
        <v>67</v>
      </c>
    </row>
    <row r="31" spans="2:7">
      <c r="B31" s="122" t="s">
        <v>218</v>
      </c>
      <c r="C31" s="292">
        <v>44742</v>
      </c>
      <c r="E31" s="525" cm="1">
        <f t="array" aca="1" ref="E31" ca="1">_xll.d.Dates_Act360(C31,C32)</f>
        <v>0.25555555555555554</v>
      </c>
      <c r="F31" s="526">
        <v>0.25555555555555554</v>
      </c>
      <c r="G31" s="301" t="str" cm="1">
        <f t="array" aca="1" ref="G31" ca="1">_xll.d.TestUtils_Equal(E31,F31)</f>
        <v>Ok</v>
      </c>
    </row>
    <row r="32" spans="2:7">
      <c r="B32" s="126" t="s">
        <v>219</v>
      </c>
      <c r="C32" s="312">
        <f ca="1">EDATE(C31,3)</f>
        <v>44834</v>
      </c>
    </row>
    <row r="36" spans="2:7" ht="18.75">
      <c r="B36" s="3" t="s">
        <v>444</v>
      </c>
      <c r="C36" s="297"/>
      <c r="D36" s="297"/>
      <c r="E36" s="297"/>
      <c r="F36" s="297"/>
      <c r="G36" s="297"/>
    </row>
    <row r="38" spans="2:7">
      <c r="B38" s="50" t="s">
        <v>139</v>
      </c>
      <c r="C38" s="291" t="str" cm="1">
        <f t="array" aca="1" ref="C38" ca="1">_xll.d.TestUtils_And(G46,N46,U46,AB46)</f>
        <v>Ok</v>
      </c>
    </row>
    <row r="39" spans="2:7">
      <c r="G39" s="290"/>
    </row>
    <row r="40" spans="2:7" ht="15.75">
      <c r="B40" s="4" t="s">
        <v>89</v>
      </c>
      <c r="C40" s="298"/>
      <c r="D40" s="298"/>
      <c r="E40" s="298"/>
      <c r="F40" s="298"/>
      <c r="G40" s="298"/>
    </row>
    <row r="42" spans="2:7">
      <c r="B42" s="120" t="s">
        <v>212</v>
      </c>
      <c r="C42" s="121"/>
      <c r="E42" s="120" t="s">
        <v>113</v>
      </c>
      <c r="F42" s="120" t="s">
        <v>214</v>
      </c>
      <c r="G42" s="120" t="s">
        <v>67</v>
      </c>
    </row>
    <row r="43" spans="2:7">
      <c r="B43" s="122" t="s">
        <v>218</v>
      </c>
      <c r="C43" s="292">
        <v>44742</v>
      </c>
      <c r="E43" s="525" cm="1">
        <f t="array" aca="1" ref="E43" ca="1">_xll.d.Dates_Act360(C43,C44)</f>
        <v>0.25555555555555554</v>
      </c>
      <c r="F43" s="526">
        <f ca="1">(C44-C43)/360</f>
        <v>0.25555555555555554</v>
      </c>
      <c r="G43" s="301" t="str" cm="1">
        <f t="array" aca="1" ref="G43" ca="1">_xll.d.TestUtils_Equal(E43,F43)</f>
        <v>Ok</v>
      </c>
    </row>
    <row r="44" spans="2:7">
      <c r="B44" s="126" t="s">
        <v>219</v>
      </c>
      <c r="C44" s="312">
        <f ca="1">EDATE(C43,3)</f>
        <v>44834</v>
      </c>
    </row>
    <row r="48" spans="2:7" ht="18.75">
      <c r="B48" s="3" t="s">
        <v>448</v>
      </c>
      <c r="C48" s="297"/>
      <c r="D48" s="297"/>
      <c r="E48" s="297"/>
      <c r="F48" s="297"/>
      <c r="G48" s="297"/>
    </row>
    <row r="50" spans="2:7">
      <c r="B50" s="50" t="s">
        <v>139</v>
      </c>
      <c r="C50" s="291" t="str" cm="1">
        <f t="array" aca="1" ref="C50" ca="1">_xll.d.TestUtils_And(G58,N58,U58,AB58)</f>
        <v>Ok</v>
      </c>
    </row>
    <row r="51" spans="2:7">
      <c r="G51" s="290"/>
    </row>
    <row r="52" spans="2:7" ht="15.75">
      <c r="B52" s="4" t="s">
        <v>89</v>
      </c>
      <c r="C52" s="298"/>
      <c r="D52" s="298"/>
      <c r="E52" s="298"/>
      <c r="F52" s="298"/>
      <c r="G52" s="298"/>
    </row>
    <row r="54" spans="2:7">
      <c r="B54" s="120" t="s">
        <v>212</v>
      </c>
      <c r="C54" s="121"/>
      <c r="E54" s="120" t="s">
        <v>113</v>
      </c>
      <c r="F54" s="120" t="s">
        <v>214</v>
      </c>
      <c r="G54" s="120" t="s">
        <v>67</v>
      </c>
    </row>
    <row r="55" spans="2:7">
      <c r="B55" s="122" t="s">
        <v>218</v>
      </c>
      <c r="C55" s="292">
        <v>44742</v>
      </c>
      <c r="E55" s="525" cm="1">
        <f t="array" aca="1" ref="E55" ca="1">_xll.d.Dates_Act364(C55,C56)</f>
        <v>0.25274725274725274</v>
      </c>
      <c r="F55" s="526">
        <f ca="1">(C56-C55)/364</f>
        <v>0.25274725274725274</v>
      </c>
      <c r="G55" s="301" t="str" cm="1">
        <f t="array" aca="1" ref="G55" ca="1">_xll.d.TestUtils_Equal(E55,F55)</f>
        <v>Ok</v>
      </c>
    </row>
    <row r="56" spans="2:7">
      <c r="B56" s="126" t="s">
        <v>219</v>
      </c>
      <c r="C56" s="312">
        <f ca="1">EDATE(C55,3)</f>
        <v>44834</v>
      </c>
    </row>
    <row r="60" spans="2:7" ht="18.75">
      <c r="B60" s="3" t="s">
        <v>442</v>
      </c>
      <c r="C60" s="297"/>
      <c r="D60" s="297"/>
      <c r="E60" s="297"/>
      <c r="F60" s="297"/>
      <c r="G60" s="297"/>
    </row>
    <row r="62" spans="2:7">
      <c r="B62" s="50" t="s">
        <v>139</v>
      </c>
      <c r="C62" s="291" t="str" cm="1">
        <f t="array" aca="1" ref="C62" ca="1">_xll.d.TestUtils_And(G67,N67,U67,AB67)</f>
        <v>Ok</v>
      </c>
    </row>
    <row r="63" spans="2:7">
      <c r="G63" s="290"/>
    </row>
    <row r="64" spans="2:7" ht="15.75">
      <c r="B64" s="4" t="s">
        <v>89</v>
      </c>
      <c r="C64" s="298"/>
      <c r="D64" s="298"/>
      <c r="E64" s="298"/>
      <c r="F64" s="298"/>
      <c r="G64" s="298"/>
    </row>
    <row r="66" spans="2:43">
      <c r="B66" s="120" t="s">
        <v>212</v>
      </c>
      <c r="C66" s="121"/>
      <c r="E66" s="120" t="s">
        <v>113</v>
      </c>
      <c r="F66" s="120" t="s">
        <v>214</v>
      </c>
      <c r="G66" s="120" t="s">
        <v>67</v>
      </c>
    </row>
    <row r="67" spans="2:43">
      <c r="B67" s="122" t="s">
        <v>218</v>
      </c>
      <c r="C67" s="292">
        <v>44742</v>
      </c>
      <c r="E67" s="525" cm="1">
        <f t="array" aca="1" ref="E67" ca="1">_xll.d.Dates_Act365(C67,C68)</f>
        <v>0.25205479452054796</v>
      </c>
      <c r="F67" s="526">
        <f ca="1">(C68-C67)/365</f>
        <v>0.25205479452054796</v>
      </c>
      <c r="G67" s="301" t="str" cm="1">
        <f t="array" aca="1" ref="G67" ca="1">_xll.d.TestUtils_Equal(E67,F67)</f>
        <v>Ok</v>
      </c>
    </row>
    <row r="68" spans="2:43">
      <c r="B68" s="126" t="s">
        <v>219</v>
      </c>
      <c r="C68" s="312">
        <f ca="1">EDATE(C67,3)</f>
        <v>44834</v>
      </c>
    </row>
    <row r="72" spans="2:43" ht="18.75">
      <c r="B72" s="3" t="s">
        <v>363</v>
      </c>
      <c r="C72" s="297"/>
      <c r="D72" s="297"/>
      <c r="E72" s="297"/>
      <c r="F72" s="297"/>
      <c r="G72" s="297"/>
      <c r="H72" s="297"/>
      <c r="I72" s="297"/>
      <c r="J72" s="297"/>
      <c r="K72" s="297"/>
      <c r="L72" s="297"/>
      <c r="M72" s="297"/>
      <c r="N72" s="297"/>
      <c r="O72" s="297"/>
      <c r="P72" s="297"/>
      <c r="Q72" s="297"/>
      <c r="R72" s="297"/>
      <c r="S72" s="297"/>
      <c r="T72" s="297"/>
      <c r="U72" s="297"/>
      <c r="V72" s="297"/>
      <c r="W72" s="297"/>
      <c r="X72" s="297"/>
      <c r="Y72" s="297"/>
      <c r="Z72" s="297"/>
      <c r="AA72" s="297"/>
      <c r="AB72" s="297"/>
      <c r="AC72" s="297"/>
      <c r="AD72" s="297"/>
      <c r="AE72" s="297"/>
      <c r="AF72" s="297"/>
      <c r="AG72" s="297"/>
      <c r="AH72" s="297"/>
      <c r="AI72" s="297"/>
      <c r="AJ72" s="297"/>
      <c r="AK72" s="297"/>
      <c r="AL72" s="297"/>
      <c r="AM72" s="297"/>
      <c r="AN72" s="297"/>
      <c r="AO72" s="297"/>
      <c r="AP72" s="297"/>
      <c r="AQ72" s="297"/>
    </row>
    <row r="74" spans="2:43">
      <c r="B74" s="50" t="s">
        <v>139</v>
      </c>
      <c r="C74" s="291" t="str" cm="1">
        <f t="array" aca="1" ref="C74" ca="1">_xll.d.TestUtils_And(G79,N79,U79,AD79,AQ79)</f>
        <v>Ok</v>
      </c>
    </row>
    <row r="75" spans="2:43">
      <c r="G75" s="290"/>
    </row>
    <row r="76" spans="2:43" ht="15.75">
      <c r="B76" s="4" t="s">
        <v>213</v>
      </c>
      <c r="C76" s="298"/>
      <c r="D76" s="298"/>
      <c r="E76" s="298"/>
      <c r="F76" s="298"/>
      <c r="G76" s="298"/>
      <c r="I76" s="4" t="s">
        <v>457</v>
      </c>
      <c r="J76" s="298"/>
      <c r="K76" s="298"/>
      <c r="L76" s="298"/>
      <c r="M76" s="298"/>
      <c r="N76" s="298"/>
      <c r="P76" s="4" t="s">
        <v>455</v>
      </c>
      <c r="Q76" s="4"/>
      <c r="R76" s="298"/>
      <c r="S76" s="298"/>
      <c r="T76" s="298"/>
      <c r="U76" s="298"/>
      <c r="W76" s="4" t="s">
        <v>456</v>
      </c>
      <c r="X76" s="298"/>
      <c r="Y76" s="298"/>
      <c r="Z76" s="298"/>
      <c r="AA76" s="298"/>
      <c r="AB76" s="298"/>
      <c r="AC76" s="298"/>
      <c r="AD76" s="298"/>
      <c r="AF76" s="4" t="s">
        <v>454</v>
      </c>
      <c r="AG76" s="298"/>
      <c r="AH76" s="298"/>
      <c r="AI76" s="298"/>
      <c r="AJ76" s="298"/>
      <c r="AK76" s="298"/>
      <c r="AL76" s="298"/>
      <c r="AM76" s="298"/>
      <c r="AN76" s="298"/>
      <c r="AO76" s="298"/>
      <c r="AP76" s="298"/>
      <c r="AQ76" s="298"/>
    </row>
    <row r="77" spans="2:43">
      <c r="G77" s="290"/>
    </row>
    <row r="78" spans="2:43">
      <c r="B78" s="120" t="s">
        <v>212</v>
      </c>
      <c r="C78" s="121"/>
      <c r="E78" s="120" t="s">
        <v>113</v>
      </c>
      <c r="F78" s="120" t="s">
        <v>214</v>
      </c>
      <c r="G78" s="120" t="s">
        <v>67</v>
      </c>
      <c r="I78" s="120" t="s">
        <v>212</v>
      </c>
      <c r="J78" s="121"/>
      <c r="L78" s="120" t="s">
        <v>113</v>
      </c>
      <c r="M78" s="120" t="s">
        <v>214</v>
      </c>
      <c r="N78" s="120" t="s">
        <v>67</v>
      </c>
      <c r="P78" s="120" t="s">
        <v>212</v>
      </c>
      <c r="Q78" s="121"/>
      <c r="S78" s="120" t="s">
        <v>113</v>
      </c>
      <c r="T78" s="120" t="s">
        <v>214</v>
      </c>
      <c r="U78" s="120" t="s">
        <v>67</v>
      </c>
      <c r="W78" s="120" t="s">
        <v>212</v>
      </c>
      <c r="X78" s="121"/>
      <c r="Z78" s="120" t="s">
        <v>113</v>
      </c>
      <c r="AA78" s="120"/>
      <c r="AB78" s="120" t="s">
        <v>214</v>
      </c>
      <c r="AC78" s="120"/>
      <c r="AD78" s="120" t="s">
        <v>67</v>
      </c>
      <c r="AF78" s="120" t="s">
        <v>212</v>
      </c>
      <c r="AG78" s="121"/>
      <c r="AI78" s="120" t="s">
        <v>113</v>
      </c>
      <c r="AJ78" s="120"/>
      <c r="AK78" s="120"/>
      <c r="AL78" s="120"/>
      <c r="AM78" s="120" t="s">
        <v>214</v>
      </c>
      <c r="AN78" s="120"/>
      <c r="AO78" s="120"/>
      <c r="AP78" s="120"/>
      <c r="AQ78" s="120" t="s">
        <v>67</v>
      </c>
    </row>
    <row r="79" spans="2:43">
      <c r="B79" s="294" t="s">
        <v>31</v>
      </c>
      <c r="C79" s="295">
        <v>44742</v>
      </c>
      <c r="E79" s="299" cm="1">
        <f t="array" ref="E79">_xll.d.Dates_FolDay(C79,B81:B83)</f>
        <v>44743</v>
      </c>
      <c r="F79" s="300">
        <v>44743</v>
      </c>
      <c r="G79" s="301" t="str" cm="1">
        <f t="array" ref="G79">_xll.d.TestUtils_Equal(E79,F79)</f>
        <v>Ok</v>
      </c>
      <c r="I79" s="294" t="s">
        <v>31</v>
      </c>
      <c r="J79" s="295">
        <v>44742</v>
      </c>
      <c r="L79" s="299" cm="1">
        <f t="array" ref="L79">_xll.d.Dates_FolDay(J79,I81:J83)</f>
        <v>44746</v>
      </c>
      <c r="M79" s="300">
        <v>44746</v>
      </c>
      <c r="N79" s="301" t="str" cm="1">
        <f t="array" aca="1" ref="N79" ca="1">_xll.d.TestUtils_Equal(L79,M79)</f>
        <v>Ok</v>
      </c>
      <c r="P79" s="122" t="s">
        <v>31</v>
      </c>
      <c r="Q79" s="292">
        <v>44728</v>
      </c>
      <c r="S79" s="299" cm="1">
        <f t="array" ref="S79">_xll.d.Dates_FolDay(Q79,Q80)</f>
        <v>44729</v>
      </c>
      <c r="T79" s="300">
        <v>44729</v>
      </c>
      <c r="U79" s="301" t="str" cm="1">
        <f t="array" aca="1" ref="U79" ca="1">_xll.d.TestUtils_Equal(S79,T79)</f>
        <v>Ok</v>
      </c>
      <c r="W79" s="122" t="s">
        <v>31</v>
      </c>
      <c r="X79" s="292">
        <v>44746</v>
      </c>
      <c r="Z79" s="527" cm="1">
        <f t="array" ref="Z79">_xll.d.Dates_FolDay(X79,X80)</f>
        <v>44747</v>
      </c>
      <c r="AA79" s="528"/>
      <c r="AB79" s="528">
        <v>44747</v>
      </c>
      <c r="AC79" s="528"/>
      <c r="AD79" s="301" t="str" cm="1">
        <f t="array" ref="AD79">_xll.d.TestUtils_Equal(Z79,AB79)</f>
        <v>Ok</v>
      </c>
      <c r="AF79" s="122" t="s">
        <v>31</v>
      </c>
      <c r="AG79" s="292">
        <v>44746</v>
      </c>
      <c r="AI79" s="527" t="str" cm="1">
        <f t="array" aca="1" ref="AI79" ca="1">_xll.d.Dates_FolDay(AG79,AG80)</f>
        <v>#∂Excel Error: Unsupported calendar: 'WRE'</v>
      </c>
      <c r="AJ79" s="528"/>
      <c r="AK79" s="528"/>
      <c r="AL79" s="528"/>
      <c r="AM79" s="528" t="s">
        <v>445</v>
      </c>
      <c r="AN79" s="528"/>
      <c r="AO79" s="528"/>
      <c r="AP79" s="528"/>
      <c r="AQ79" s="301" t="str" cm="1">
        <f t="array" aca="1" ref="AQ79" ca="1">_xll.d.TestUtils_Equal(AI79,AM79)</f>
        <v>Ok</v>
      </c>
    </row>
    <row r="80" spans="2:43">
      <c r="G80" s="290"/>
      <c r="I80" s="441" t="s">
        <v>458</v>
      </c>
      <c r="P80" s="126" t="s">
        <v>201</v>
      </c>
      <c r="Q80" s="127" t="s">
        <v>54</v>
      </c>
      <c r="W80" s="126" t="s">
        <v>201</v>
      </c>
      <c r="X80" s="127" t="s">
        <v>217</v>
      </c>
      <c r="AF80" s="126" t="s">
        <v>201</v>
      </c>
      <c r="AG80" s="127" t="s">
        <v>223</v>
      </c>
    </row>
    <row r="81" spans="2:36">
      <c r="B81" s="293" t="s">
        <v>211</v>
      </c>
      <c r="G81" s="290"/>
      <c r="I81" s="548" t="s">
        <v>452</v>
      </c>
      <c r="J81" s="549" t="s">
        <v>453</v>
      </c>
    </row>
    <row r="82" spans="2:36">
      <c r="B82" s="302">
        <v>44742</v>
      </c>
      <c r="I82" s="544">
        <v>44742</v>
      </c>
      <c r="J82" s="545">
        <v>44743</v>
      </c>
    </row>
    <row r="83" spans="2:36">
      <c r="B83" s="303">
        <v>44920</v>
      </c>
      <c r="E83" s="543"/>
      <c r="F83" s="543"/>
      <c r="G83" s="290"/>
      <c r="I83" s="546">
        <v>44920</v>
      </c>
      <c r="J83" s="547"/>
      <c r="AA83" s="543"/>
    </row>
    <row r="84" spans="2:36">
      <c r="G84" s="290"/>
      <c r="S84" s="543"/>
      <c r="T84" s="543"/>
      <c r="U84" s="543"/>
      <c r="W84" s="543"/>
      <c r="X84" s="543"/>
    </row>
    <row r="85" spans="2:36">
      <c r="G85" s="290"/>
      <c r="S85" s="543"/>
      <c r="T85" s="543"/>
      <c r="U85" s="543"/>
      <c r="W85" s="543"/>
      <c r="X85" s="543"/>
    </row>
    <row r="86" spans="2:36">
      <c r="G86" s="290"/>
      <c r="U86" s="543"/>
    </row>
    <row r="87" spans="2:36" ht="18.75">
      <c r="B87" s="3" t="s">
        <v>364</v>
      </c>
      <c r="C87" s="297"/>
      <c r="D87" s="297"/>
      <c r="E87" s="297"/>
      <c r="F87" s="297"/>
      <c r="G87" s="297"/>
      <c r="H87" s="297"/>
      <c r="I87" s="297"/>
      <c r="J87" s="297"/>
      <c r="K87" s="297"/>
      <c r="L87" s="297"/>
      <c r="M87" s="297"/>
      <c r="N87" s="297"/>
      <c r="O87" s="297"/>
      <c r="P87" s="297"/>
      <c r="Q87" s="297"/>
      <c r="R87" s="297"/>
      <c r="S87" s="297"/>
      <c r="T87" s="297"/>
      <c r="U87" s="297"/>
      <c r="V87" s="297"/>
      <c r="W87" s="297"/>
      <c r="X87" s="297"/>
      <c r="Y87" s="297"/>
      <c r="Z87" s="297"/>
      <c r="AA87" s="297"/>
      <c r="AB87" s="297"/>
      <c r="AC87" s="297"/>
      <c r="AD87" s="297"/>
      <c r="AE87" s="297"/>
      <c r="AF87" s="297"/>
      <c r="AG87" s="297"/>
      <c r="AH87" s="297"/>
      <c r="AI87" s="297"/>
      <c r="AJ87" s="297"/>
    </row>
    <row r="89" spans="2:36">
      <c r="B89" s="50" t="s">
        <v>139</v>
      </c>
      <c r="C89" s="291" t="str" cm="1">
        <f t="array" aca="1" ref="C89" ca="1">_xll.d.TestUtils_And(G94,N94,W94,AJ94)</f>
        <v>Ok</v>
      </c>
    </row>
    <row r="91" spans="2:36" ht="15.75">
      <c r="B91" s="4" t="s">
        <v>213</v>
      </c>
      <c r="C91" s="298"/>
      <c r="D91" s="298"/>
      <c r="E91" s="298"/>
      <c r="F91" s="298"/>
      <c r="G91" s="298"/>
      <c r="I91" s="4" t="s">
        <v>215</v>
      </c>
      <c r="J91" s="4"/>
      <c r="K91" s="298"/>
      <c r="L91" s="298"/>
      <c r="M91" s="298"/>
      <c r="N91" s="298"/>
      <c r="P91" s="4" t="s">
        <v>216</v>
      </c>
      <c r="Q91" s="298"/>
      <c r="R91" s="298"/>
      <c r="S91" s="298"/>
      <c r="T91" s="298"/>
      <c r="U91" s="298"/>
      <c r="V91" s="298"/>
      <c r="W91" s="298"/>
      <c r="Y91" s="4" t="s">
        <v>222</v>
      </c>
      <c r="Z91" s="298"/>
      <c r="AA91" s="298"/>
      <c r="AB91" s="298"/>
      <c r="AC91" s="298"/>
      <c r="AD91" s="298"/>
      <c r="AE91" s="298"/>
      <c r="AF91" s="298"/>
      <c r="AG91" s="298"/>
      <c r="AH91" s="298"/>
      <c r="AI91" s="298"/>
      <c r="AJ91" s="298"/>
    </row>
    <row r="92" spans="2:36">
      <c r="G92" s="290"/>
    </row>
    <row r="93" spans="2:36">
      <c r="B93" s="120" t="s">
        <v>212</v>
      </c>
      <c r="C93" s="121"/>
      <c r="E93" s="120" t="s">
        <v>113</v>
      </c>
      <c r="F93" s="120" t="s">
        <v>214</v>
      </c>
      <c r="G93" s="120" t="s">
        <v>67</v>
      </c>
      <c r="I93" s="120" t="s">
        <v>212</v>
      </c>
      <c r="J93" s="121"/>
      <c r="L93" s="120" t="s">
        <v>113</v>
      </c>
      <c r="M93" s="120" t="s">
        <v>214</v>
      </c>
      <c r="N93" s="120" t="s">
        <v>67</v>
      </c>
      <c r="P93" s="120" t="s">
        <v>212</v>
      </c>
      <c r="Q93" s="121"/>
      <c r="S93" s="120" t="s">
        <v>113</v>
      </c>
      <c r="T93" s="120"/>
      <c r="U93" s="120" t="s">
        <v>214</v>
      </c>
      <c r="V93" s="120"/>
      <c r="W93" s="120" t="s">
        <v>67</v>
      </c>
      <c r="Y93" s="120" t="s">
        <v>212</v>
      </c>
      <c r="Z93" s="121"/>
      <c r="AB93" s="120" t="s">
        <v>113</v>
      </c>
      <c r="AC93" s="120"/>
      <c r="AD93" s="120"/>
      <c r="AE93" s="120"/>
      <c r="AF93" s="120" t="s">
        <v>214</v>
      </c>
      <c r="AG93" s="120"/>
      <c r="AH93" s="120"/>
      <c r="AI93" s="120"/>
      <c r="AJ93" s="120" t="s">
        <v>67</v>
      </c>
    </row>
    <row r="94" spans="2:36">
      <c r="B94" s="294" t="s">
        <v>31</v>
      </c>
      <c r="C94" s="295">
        <v>44742</v>
      </c>
      <c r="E94" s="299" cm="1">
        <f t="array" ref="E94">_xll.d.Dates_ModFolDay(C94,B96:B98)</f>
        <v>44741</v>
      </c>
      <c r="F94" s="300">
        <v>44741</v>
      </c>
      <c r="G94" s="301" t="str" cm="1">
        <f t="array" aca="1" ref="G94" ca="1">_xll.d.TestUtils_Equal(E94,F94)</f>
        <v>Ok</v>
      </c>
      <c r="I94" s="122" t="s">
        <v>31</v>
      </c>
      <c r="J94" s="292">
        <v>44728</v>
      </c>
      <c r="L94" s="299" cm="1">
        <f t="array" ref="L94">_xll.d.Dates_ModFolDay(J94,J95)</f>
        <v>44729</v>
      </c>
      <c r="M94" s="300">
        <v>44729</v>
      </c>
      <c r="N94" s="301" t="str" cm="1">
        <f t="array" ref="N94">_xll.d.TestUtils_Equal(L94,M94)</f>
        <v>Ok</v>
      </c>
      <c r="P94" s="122" t="s">
        <v>31</v>
      </c>
      <c r="Q94" s="292">
        <v>44746</v>
      </c>
      <c r="S94" s="527" cm="1">
        <f t="array" aca="1" ref="S94" ca="1">_xll.d.Dates_ModFolDay(Q94,Q95)</f>
        <v>44747</v>
      </c>
      <c r="T94" s="528"/>
      <c r="U94" s="528">
        <v>44747</v>
      </c>
      <c r="V94" s="528"/>
      <c r="W94" s="301" t="str" cm="1">
        <f t="array" aca="1" ref="W94" ca="1">_xll.d.TestUtils_Equal(S94,U94)</f>
        <v>Ok</v>
      </c>
      <c r="Y94" s="122" t="s">
        <v>31</v>
      </c>
      <c r="Z94" s="292">
        <v>44746</v>
      </c>
      <c r="AB94" s="527" t="str" cm="1">
        <f t="array" aca="1" ref="AB94" ca="1">_xll.d.Dates_ModFolDay(Z94,Z95)</f>
        <v>#∂Excel Error: Unsupported calendar: 'WRE'</v>
      </c>
      <c r="AC94" s="528"/>
      <c r="AD94" s="528"/>
      <c r="AE94" s="528"/>
      <c r="AF94" s="528" t="s">
        <v>445</v>
      </c>
      <c r="AG94" s="528"/>
      <c r="AH94" s="528"/>
      <c r="AI94" s="528"/>
      <c r="AJ94" s="301" t="str" cm="1">
        <f t="array" aca="1" ref="AJ94" ca="1">_xll.d.TestUtils_Equal(AB94,AF94)</f>
        <v>Ok</v>
      </c>
    </row>
    <row r="95" spans="2:36">
      <c r="G95" s="290"/>
      <c r="I95" s="126" t="s">
        <v>201</v>
      </c>
      <c r="J95" s="127" t="s">
        <v>54</v>
      </c>
      <c r="P95" s="126" t="s">
        <v>201</v>
      </c>
      <c r="Q95" s="127" t="s">
        <v>217</v>
      </c>
      <c r="Y95" s="126" t="s">
        <v>201</v>
      </c>
      <c r="Z95" s="127" t="s">
        <v>223</v>
      </c>
    </row>
    <row r="96" spans="2:36">
      <c r="B96" s="293" t="s">
        <v>211</v>
      </c>
      <c r="G96" s="290"/>
    </row>
    <row r="97" spans="2:36">
      <c r="B97" s="302">
        <v>44742</v>
      </c>
      <c r="D97" s="543"/>
      <c r="E97" s="543"/>
      <c r="F97" s="543"/>
      <c r="G97" s="543"/>
    </row>
    <row r="98" spans="2:36">
      <c r="B98" s="303">
        <v>44920</v>
      </c>
      <c r="D98" s="543"/>
      <c r="E98" s="543"/>
      <c r="F98" s="543"/>
      <c r="G98" s="290"/>
      <c r="J98" s="543"/>
    </row>
    <row r="99" spans="2:36">
      <c r="D99" s="543"/>
      <c r="E99" s="543"/>
      <c r="F99" s="543"/>
      <c r="G99" s="290"/>
    </row>
    <row r="100" spans="2:36">
      <c r="G100" s="290"/>
    </row>
    <row r="101" spans="2:36">
      <c r="G101" s="290"/>
    </row>
    <row r="102" spans="2:36" ht="18.75">
      <c r="B102" s="3" t="s">
        <v>365</v>
      </c>
      <c r="C102" s="297"/>
      <c r="D102" s="297"/>
      <c r="E102" s="297"/>
      <c r="F102" s="297"/>
      <c r="G102" s="297"/>
      <c r="H102" s="297"/>
      <c r="I102" s="297"/>
      <c r="J102" s="297"/>
      <c r="K102" s="297"/>
      <c r="L102" s="297"/>
      <c r="M102" s="297"/>
      <c r="N102" s="297"/>
      <c r="O102" s="297"/>
      <c r="P102" s="297"/>
      <c r="Q102" s="297"/>
      <c r="R102" s="297"/>
      <c r="S102" s="297"/>
      <c r="T102" s="297"/>
      <c r="U102" s="297"/>
      <c r="V102" s="297"/>
      <c r="W102" s="297"/>
      <c r="X102" s="297"/>
      <c r="Y102" s="297"/>
      <c r="Z102" s="297"/>
      <c r="AA102" s="297"/>
      <c r="AB102" s="297"/>
      <c r="AC102" s="297"/>
      <c r="AD102" s="297"/>
      <c r="AE102" s="297"/>
      <c r="AF102" s="297"/>
      <c r="AG102" s="297"/>
      <c r="AH102" s="297"/>
      <c r="AI102" s="297"/>
      <c r="AJ102" s="297"/>
    </row>
    <row r="104" spans="2:36">
      <c r="B104" s="50" t="s">
        <v>139</v>
      </c>
      <c r="C104" s="291" t="str" cm="1">
        <f t="array" aca="1" ref="C104" ca="1">_xll.d.TestUtils_And(G109,N109,W109,AJ109)</f>
        <v>Ok</v>
      </c>
    </row>
    <row r="105" spans="2:36">
      <c r="G105" s="290"/>
    </row>
    <row r="106" spans="2:36" ht="15.75">
      <c r="B106" s="4" t="s">
        <v>213</v>
      </c>
      <c r="C106" s="298"/>
      <c r="D106" s="298"/>
      <c r="E106" s="298"/>
      <c r="F106" s="298"/>
      <c r="G106" s="298"/>
      <c r="I106" s="4" t="s">
        <v>215</v>
      </c>
      <c r="J106" s="4"/>
      <c r="K106" s="298"/>
      <c r="L106" s="298"/>
      <c r="M106" s="298"/>
      <c r="N106" s="298"/>
      <c r="P106" s="4" t="s">
        <v>216</v>
      </c>
      <c r="Q106" s="298"/>
      <c r="R106" s="298"/>
      <c r="S106" s="298"/>
      <c r="T106" s="298"/>
      <c r="U106" s="298"/>
      <c r="V106" s="298"/>
      <c r="W106" s="298"/>
      <c r="Y106" s="4" t="s">
        <v>222</v>
      </c>
      <c r="Z106" s="298"/>
      <c r="AA106" s="298"/>
      <c r="AB106" s="298"/>
      <c r="AC106" s="298"/>
      <c r="AD106" s="298"/>
      <c r="AE106" s="298"/>
      <c r="AF106" s="298"/>
      <c r="AG106" s="298"/>
      <c r="AH106" s="298"/>
      <c r="AI106" s="298"/>
      <c r="AJ106" s="298"/>
    </row>
    <row r="107" spans="2:36">
      <c r="G107" s="290"/>
    </row>
    <row r="108" spans="2:36">
      <c r="B108" s="120" t="s">
        <v>212</v>
      </c>
      <c r="C108" s="121"/>
      <c r="E108" s="120" t="s">
        <v>113</v>
      </c>
      <c r="F108" s="120" t="s">
        <v>214</v>
      </c>
      <c r="G108" s="120" t="s">
        <v>67</v>
      </c>
      <c r="I108" s="120" t="s">
        <v>212</v>
      </c>
      <c r="J108" s="121"/>
      <c r="L108" s="120" t="s">
        <v>113</v>
      </c>
      <c r="M108" s="120" t="s">
        <v>214</v>
      </c>
      <c r="N108" s="120" t="s">
        <v>67</v>
      </c>
      <c r="P108" s="120" t="s">
        <v>212</v>
      </c>
      <c r="Q108" s="121"/>
      <c r="S108" s="120" t="s">
        <v>113</v>
      </c>
      <c r="T108" s="120"/>
      <c r="U108" s="120" t="s">
        <v>214</v>
      </c>
      <c r="V108" s="120"/>
      <c r="W108" s="120" t="s">
        <v>67</v>
      </c>
      <c r="Y108" s="120" t="s">
        <v>212</v>
      </c>
      <c r="Z108" s="121"/>
      <c r="AB108" s="120" t="s">
        <v>113</v>
      </c>
      <c r="AC108" s="120"/>
      <c r="AD108" s="120"/>
      <c r="AE108" s="120"/>
      <c r="AF108" s="120" t="s">
        <v>214</v>
      </c>
      <c r="AG108" s="120"/>
      <c r="AH108" s="120"/>
      <c r="AI108" s="120"/>
      <c r="AJ108" s="120" t="s">
        <v>67</v>
      </c>
    </row>
    <row r="109" spans="2:36">
      <c r="B109" s="294" t="s">
        <v>31</v>
      </c>
      <c r="C109" s="295">
        <v>44742</v>
      </c>
      <c r="E109" s="299" cm="1">
        <f t="array" ref="E109">_xll.d.Dates_PrevDay(C109,B111:B113)</f>
        <v>44741</v>
      </c>
      <c r="F109" s="300">
        <v>44741</v>
      </c>
      <c r="G109" s="301" t="str" cm="1">
        <f t="array" aca="1" ref="G109" ca="1">_xll.d.TestUtils_Equal(E109,F109)</f>
        <v>Ok</v>
      </c>
      <c r="I109" s="122" t="s">
        <v>31</v>
      </c>
      <c r="J109" s="292">
        <v>44728</v>
      </c>
      <c r="L109" s="299" cm="1">
        <f t="array" ref="L109">_xll.d.Dates_PrevDay(J109,J110)</f>
        <v>44727</v>
      </c>
      <c r="M109" s="300">
        <v>44727</v>
      </c>
      <c r="N109" s="301" t="str" cm="1">
        <f t="array" aca="1" ref="N109" ca="1">_xll.d.TestUtils_Equal(L109,M109)</f>
        <v>Ok</v>
      </c>
      <c r="P109" s="122" t="s">
        <v>31</v>
      </c>
      <c r="Q109" s="292">
        <v>44746</v>
      </c>
      <c r="S109" s="527" cm="1">
        <f t="array" ref="S109">_xll.d.Dates_PrevDay(Q109,Q110)</f>
        <v>44743</v>
      </c>
      <c r="T109" s="528"/>
      <c r="U109" s="528">
        <v>44743</v>
      </c>
      <c r="V109" s="528"/>
      <c r="W109" s="301" t="str" cm="1">
        <f t="array" aca="1" ref="W109" ca="1">_xll.d.TestUtils_Equal(S109,U109)</f>
        <v>Ok</v>
      </c>
      <c r="Y109" s="122" t="s">
        <v>31</v>
      </c>
      <c r="Z109" s="292">
        <v>44746</v>
      </c>
      <c r="AB109" s="527" t="str" cm="1">
        <f t="array" aca="1" ref="AB109" ca="1">_xll.d.Dates_PrevDay(Z109,Z110)</f>
        <v>#∂Excel Error: Unsupported calendar: 'WRE'</v>
      </c>
      <c r="AC109" s="528"/>
      <c r="AD109" s="528"/>
      <c r="AE109" s="528"/>
      <c r="AF109" s="528" t="s">
        <v>445</v>
      </c>
      <c r="AG109" s="528"/>
      <c r="AH109" s="528"/>
      <c r="AI109" s="528"/>
      <c r="AJ109" s="301" t="str" cm="1">
        <f t="array" aca="1" ref="AJ109" ca="1">_xll.d.TestUtils_Equal(AB109,AF109)</f>
        <v>Ok</v>
      </c>
    </row>
    <row r="110" spans="2:36">
      <c r="G110" s="290"/>
      <c r="I110" s="126" t="s">
        <v>201</v>
      </c>
      <c r="J110" s="127" t="s">
        <v>54</v>
      </c>
      <c r="P110" s="126" t="s">
        <v>201</v>
      </c>
      <c r="Q110" s="127" t="s">
        <v>217</v>
      </c>
      <c r="Y110" s="126" t="s">
        <v>201</v>
      </c>
      <c r="Z110" s="127" t="s">
        <v>223</v>
      </c>
    </row>
    <row r="111" spans="2:36">
      <c r="B111" s="293" t="s">
        <v>211</v>
      </c>
      <c r="G111" s="290"/>
    </row>
    <row r="112" spans="2:36">
      <c r="B112" s="302">
        <v>44742</v>
      </c>
    </row>
    <row r="113" spans="2:45">
      <c r="B113" s="303">
        <v>44920</v>
      </c>
      <c r="G113" s="290"/>
    </row>
    <row r="114" spans="2:45">
      <c r="G114" s="290"/>
    </row>
    <row r="115" spans="2:45">
      <c r="G115" s="290"/>
    </row>
    <row r="116" spans="2:45">
      <c r="G116" s="290"/>
    </row>
    <row r="117" spans="2:45" ht="18.75">
      <c r="B117" s="3" t="s">
        <v>366</v>
      </c>
      <c r="C117" s="297"/>
      <c r="D117" s="297"/>
      <c r="E117" s="297"/>
      <c r="F117" s="297"/>
      <c r="G117" s="297"/>
      <c r="H117" s="297"/>
      <c r="I117" s="297"/>
      <c r="J117" s="297"/>
      <c r="K117" s="297"/>
      <c r="L117" s="297"/>
      <c r="M117" s="297"/>
      <c r="N117" s="297"/>
      <c r="O117" s="297"/>
      <c r="P117" s="297"/>
      <c r="Q117" s="297"/>
      <c r="R117" s="297"/>
      <c r="S117" s="297"/>
      <c r="T117" s="297"/>
      <c r="U117" s="297"/>
      <c r="V117" s="297"/>
      <c r="W117" s="297"/>
      <c r="X117" s="297"/>
      <c r="Y117" s="297"/>
      <c r="Z117" s="297"/>
      <c r="AA117" s="297"/>
      <c r="AB117" s="297"/>
      <c r="AC117" s="297"/>
      <c r="AD117" s="297"/>
      <c r="AE117" s="297"/>
      <c r="AF117" s="297"/>
      <c r="AG117" s="297"/>
      <c r="AH117" s="297"/>
      <c r="AI117" s="297"/>
      <c r="AJ117" s="297"/>
      <c r="AK117" s="297"/>
      <c r="AL117" s="297"/>
      <c r="AM117" s="297"/>
      <c r="AN117" s="297"/>
      <c r="AO117" s="297"/>
      <c r="AP117" s="297"/>
      <c r="AQ117" s="297"/>
      <c r="AR117" s="297"/>
      <c r="AS117" s="297"/>
    </row>
    <row r="119" spans="2:45">
      <c r="B119" s="50" t="s">
        <v>139</v>
      </c>
      <c r="C119" s="291" t="str" cm="1">
        <f t="array" aca="1" ref="C119" ca="1">_xll.d.TestUtils_And(G124,O124,AC124,AS124)</f>
        <v>Ok</v>
      </c>
    </row>
    <row r="121" spans="2:45" ht="15.75">
      <c r="B121" s="4" t="s">
        <v>220</v>
      </c>
      <c r="C121" s="298"/>
      <c r="D121" s="298"/>
      <c r="E121" s="298"/>
      <c r="F121" s="298"/>
      <c r="G121" s="298"/>
      <c r="I121" s="4" t="s">
        <v>221</v>
      </c>
      <c r="J121" s="4"/>
      <c r="K121" s="298"/>
      <c r="L121" s="298"/>
      <c r="M121" s="298"/>
      <c r="N121" s="298"/>
      <c r="O121" s="298"/>
      <c r="Q121" s="4" t="s">
        <v>224</v>
      </c>
      <c r="R121" s="4"/>
      <c r="S121" s="298"/>
      <c r="T121" s="298"/>
      <c r="U121" s="298"/>
      <c r="V121" s="298"/>
      <c r="W121" s="298"/>
      <c r="X121" s="298"/>
      <c r="Y121" s="298"/>
      <c r="Z121" s="298"/>
      <c r="AA121" s="298"/>
      <c r="AB121" s="298"/>
      <c r="AC121" s="298"/>
      <c r="AE121" s="4" t="s">
        <v>225</v>
      </c>
      <c r="AF121" s="4"/>
      <c r="AG121" s="298"/>
      <c r="AH121" s="298"/>
      <c r="AI121" s="298"/>
      <c r="AJ121" s="298"/>
      <c r="AK121" s="298"/>
      <c r="AL121" s="298"/>
      <c r="AM121" s="298"/>
      <c r="AN121" s="298"/>
      <c r="AO121" s="298"/>
      <c r="AP121" s="298"/>
      <c r="AQ121" s="298"/>
      <c r="AR121" s="298"/>
      <c r="AS121" s="298"/>
    </row>
    <row r="123" spans="2:45">
      <c r="B123" s="120" t="s">
        <v>212</v>
      </c>
      <c r="C123" s="121"/>
      <c r="E123" s="12" t="s">
        <v>113</v>
      </c>
      <c r="F123" s="27" t="s">
        <v>214</v>
      </c>
      <c r="G123" s="121" t="s">
        <v>67</v>
      </c>
      <c r="I123" s="120" t="s">
        <v>212</v>
      </c>
      <c r="J123" s="191"/>
      <c r="K123" s="121"/>
      <c r="M123" s="12" t="s">
        <v>113</v>
      </c>
      <c r="N123" s="27" t="s">
        <v>214</v>
      </c>
      <c r="O123" s="121" t="s">
        <v>67</v>
      </c>
      <c r="Q123" s="120" t="s">
        <v>212</v>
      </c>
      <c r="R123" s="191"/>
      <c r="S123" s="121"/>
      <c r="U123" s="12" t="s">
        <v>113</v>
      </c>
      <c r="V123" s="27"/>
      <c r="W123" s="27"/>
      <c r="X123" s="27"/>
      <c r="Y123" s="27" t="s">
        <v>214</v>
      </c>
      <c r="Z123" s="27"/>
      <c r="AA123" s="27"/>
      <c r="AB123" s="27"/>
      <c r="AC123" s="121" t="s">
        <v>67</v>
      </c>
      <c r="AE123" s="120" t="s">
        <v>212</v>
      </c>
      <c r="AF123" s="191"/>
      <c r="AG123" s="121"/>
      <c r="AI123" s="12" t="s">
        <v>113</v>
      </c>
      <c r="AJ123" s="27"/>
      <c r="AK123" s="27"/>
      <c r="AL123" s="27"/>
      <c r="AM123" s="27"/>
      <c r="AN123" s="27" t="s">
        <v>214</v>
      </c>
      <c r="AO123" s="27"/>
      <c r="AP123" s="27"/>
      <c r="AQ123" s="27"/>
      <c r="AR123" s="27"/>
      <c r="AS123" s="121" t="s">
        <v>67</v>
      </c>
    </row>
    <row r="124" spans="2:45">
      <c r="B124" s="122" t="s">
        <v>31</v>
      </c>
      <c r="C124" s="292">
        <v>44562</v>
      </c>
      <c r="E124" s="299" cm="1">
        <f t="array" aca="1" ref="E124" ca="1">_xll.d.Dates_AddTenorToDate(C124,C125,C126,C127)</f>
        <v>44652</v>
      </c>
      <c r="F124" s="300">
        <v>44652</v>
      </c>
      <c r="G124" s="301" t="str" cm="1">
        <f t="array" aca="1" ref="G124" ca="1">_xll.d.TestUtils_Equal(E124,F124)</f>
        <v>Ok</v>
      </c>
      <c r="I124" s="447" t="s">
        <v>31</v>
      </c>
      <c r="J124" s="529"/>
      <c r="K124" s="292">
        <v>44562</v>
      </c>
      <c r="M124" s="299" cm="1">
        <f t="array" aca="1" ref="M124" ca="1">_xll.d.Dates_AddTenorToDate(K124,K125,K126,K127)</f>
        <v>44652</v>
      </c>
      <c r="N124" s="300">
        <v>44652</v>
      </c>
      <c r="O124" s="301" t="str" cm="1">
        <f t="array" aca="1" ref="O124" ca="1">_xll.d.TestUtils_Equal(M124,N124)</f>
        <v>Ok</v>
      </c>
      <c r="Q124" s="447" t="s">
        <v>31</v>
      </c>
      <c r="R124" s="529"/>
      <c r="S124" s="292">
        <v>44562</v>
      </c>
      <c r="U124" s="527" t="str" cm="1">
        <f t="array" aca="1" ref="U124" ca="1">_xll.d.Dates_AddTenorToDate(S124,S125,S126,S127)</f>
        <v>#∂Excel Error: Unsupported calendar: 'WRE'</v>
      </c>
      <c r="V124" s="528"/>
      <c r="W124" s="528"/>
      <c r="X124" s="528"/>
      <c r="Y124" s="528" t="s">
        <v>445</v>
      </c>
      <c r="Z124" s="528"/>
      <c r="AA124" s="528"/>
      <c r="AB124" s="528"/>
      <c r="AC124" s="301" t="str" cm="1">
        <f t="array" aca="1" ref="AC124" ca="1">_xll.d.TestUtils_Equal(U124,Y124)</f>
        <v>Ok</v>
      </c>
      <c r="AE124" s="447" t="s">
        <v>31</v>
      </c>
      <c r="AF124" s="529"/>
      <c r="AG124" s="292">
        <v>44562</v>
      </c>
      <c r="AI124" s="527" t="str" cm="1">
        <f t="array" aca="1" ref="AI124" ca="1">_xll.d.Dates_AddTenorToDate(AG124,AG125,AG126,AG127)</f>
        <v>#∂Excel Error: Unsupported business day convention: 'ASD'</v>
      </c>
      <c r="AJ124" s="528"/>
      <c r="AK124" s="528"/>
      <c r="AL124" s="528"/>
      <c r="AM124" s="528"/>
      <c r="AN124" s="528" t="s">
        <v>446</v>
      </c>
      <c r="AO124" s="528"/>
      <c r="AP124" s="528"/>
      <c r="AQ124" s="528"/>
      <c r="AR124" s="528"/>
      <c r="AS124" s="301" t="str" cm="1">
        <f t="array" aca="1" ref="AS124" ca="1">_xll.d.TestUtils_Equal(AI124,AN124)</f>
        <v>Ok</v>
      </c>
    </row>
    <row r="125" spans="2:45">
      <c r="B125" s="124" t="s">
        <v>22</v>
      </c>
      <c r="C125" s="304" t="s">
        <v>24</v>
      </c>
      <c r="I125" s="448" t="s">
        <v>22</v>
      </c>
      <c r="J125" s="530"/>
      <c r="K125" s="304" t="s">
        <v>24</v>
      </c>
      <c r="Q125" s="448" t="s">
        <v>22</v>
      </c>
      <c r="R125" s="530"/>
      <c r="S125" s="304" t="s">
        <v>24</v>
      </c>
      <c r="AE125" s="448" t="s">
        <v>22</v>
      </c>
      <c r="AF125" s="530"/>
      <c r="AG125" s="304" t="s">
        <v>24</v>
      </c>
    </row>
    <row r="126" spans="2:45">
      <c r="B126" s="124" t="s">
        <v>201</v>
      </c>
      <c r="C126" s="304" t="s">
        <v>54</v>
      </c>
      <c r="E126" s="543"/>
      <c r="I126" s="448" t="s">
        <v>201</v>
      </c>
      <c r="J126" s="530"/>
      <c r="K126" s="304" t="s">
        <v>217</v>
      </c>
      <c r="Q126" s="448" t="s">
        <v>201</v>
      </c>
      <c r="R126" s="530"/>
      <c r="S126" s="304" t="s">
        <v>223</v>
      </c>
      <c r="AE126" s="448" t="s">
        <v>201</v>
      </c>
      <c r="AF126" s="530"/>
      <c r="AG126" s="304" t="s">
        <v>217</v>
      </c>
    </row>
    <row r="127" spans="2:45">
      <c r="B127" s="126" t="s">
        <v>202</v>
      </c>
      <c r="C127" s="127" t="s">
        <v>203</v>
      </c>
      <c r="E127" s="543"/>
      <c r="I127" s="449" t="s">
        <v>202</v>
      </c>
      <c r="J127" s="531"/>
      <c r="K127" s="127" t="s">
        <v>203</v>
      </c>
      <c r="Q127" s="449" t="s">
        <v>202</v>
      </c>
      <c r="R127" s="531"/>
      <c r="S127" s="127" t="s">
        <v>203</v>
      </c>
      <c r="AE127" s="449" t="s">
        <v>202</v>
      </c>
      <c r="AF127" s="531"/>
      <c r="AG127" s="127" t="s">
        <v>226</v>
      </c>
    </row>
    <row r="128" spans="2:45">
      <c r="B128" s="198"/>
    </row>
    <row r="129" spans="2:30">
      <c r="B129" s="198"/>
    </row>
    <row r="131" spans="2:30" ht="18.75">
      <c r="B131" s="3" t="s">
        <v>367</v>
      </c>
      <c r="C131" s="297"/>
      <c r="D131" s="297"/>
      <c r="E131" s="297"/>
      <c r="F131" s="297"/>
      <c r="G131" s="297"/>
      <c r="H131" s="297"/>
      <c r="I131" s="297"/>
      <c r="J131" s="297"/>
      <c r="K131" s="297"/>
      <c r="L131" s="297"/>
      <c r="M131" s="297"/>
      <c r="N131" s="297"/>
      <c r="O131" s="297"/>
      <c r="P131" s="297"/>
      <c r="Q131" s="297"/>
      <c r="R131" s="297"/>
      <c r="S131" s="297"/>
      <c r="T131" s="297"/>
      <c r="U131" s="297"/>
      <c r="V131" s="297"/>
      <c r="W131" s="297"/>
      <c r="X131" s="297"/>
      <c r="Y131" s="297"/>
      <c r="Z131" s="297"/>
      <c r="AA131" s="297"/>
      <c r="AB131" s="297"/>
      <c r="AC131" s="297"/>
      <c r="AD131" s="297"/>
    </row>
    <row r="133" spans="2:30">
      <c r="B133" s="50" t="s">
        <v>139</v>
      </c>
      <c r="C133" s="291" t="str" cm="1">
        <f t="array" ref="C133">_xll.d.TestUtils_And(L138:O176)</f>
        <v>Ok</v>
      </c>
    </row>
    <row r="135" spans="2:30" ht="15.75">
      <c r="B135" s="4" t="s">
        <v>89</v>
      </c>
      <c r="C135" s="298"/>
      <c r="D135" s="298"/>
      <c r="E135" s="298"/>
      <c r="F135" s="298"/>
      <c r="G135" s="298"/>
      <c r="H135" s="298"/>
      <c r="I135" s="298"/>
      <c r="J135" s="298"/>
      <c r="K135" s="298"/>
      <c r="L135" s="298"/>
      <c r="M135" s="298"/>
      <c r="N135" s="298"/>
      <c r="O135" s="298"/>
    </row>
    <row r="137" spans="2:30">
      <c r="B137" s="120" t="s">
        <v>113</v>
      </c>
      <c r="C137" s="191"/>
      <c r="D137" s="191"/>
      <c r="E137" s="121"/>
      <c r="G137" s="120" t="s">
        <v>214</v>
      </c>
      <c r="H137" s="191"/>
      <c r="I137" s="191"/>
      <c r="J137" s="121"/>
      <c r="L137" s="120" t="s">
        <v>188</v>
      </c>
      <c r="M137" s="191"/>
      <c r="N137" s="191"/>
      <c r="O137" s="121"/>
    </row>
    <row r="138" spans="2:30">
      <c r="B138" s="118" t="str" cm="1">
        <f t="array" ref="B138:E176">_xll.d.Dates_GetListOfCalendars()</f>
        <v>Variant 1</v>
      </c>
      <c r="C138" s="282" t="str">
        <v>Variant 2</v>
      </c>
      <c r="D138" s="282" t="str">
        <v>Variant 3</v>
      </c>
      <c r="E138" s="119" t="str">
        <v>Variant 4</v>
      </c>
      <c r="G138" s="118" t="s">
        <v>229</v>
      </c>
      <c r="H138" s="282" t="s">
        <v>230</v>
      </c>
      <c r="I138" s="282" t="s">
        <v>239</v>
      </c>
      <c r="J138" s="119" t="s">
        <v>240</v>
      </c>
      <c r="L138" s="291" t="str" cm="1">
        <f t="array" ref="L138">_xll.d.TestUtils_Equal(B138,G138)</f>
        <v>Ok</v>
      </c>
      <c r="M138" s="291" t="str" cm="1">
        <f t="array" ref="M138">_xll.d.TestUtils_Equal(C138,H138)</f>
        <v>Ok</v>
      </c>
      <c r="N138" s="291" t="str" cm="1">
        <f t="array" ref="N138">_xll.d.TestUtils_Equal(D138,I138)</f>
        <v>Ok</v>
      </c>
      <c r="O138" s="291" t="str" cm="1">
        <f t="array" ref="O138">_xll.d.TestUtils_Equal(E138,J138)</f>
        <v>Ok</v>
      </c>
    </row>
    <row r="139" spans="2:30">
      <c r="B139" s="122" t="str">
        <v>ARS</v>
      </c>
      <c r="C139" s="311" t="str">
        <v>Argentina</v>
      </c>
      <c r="D139" s="311" t="str">
        <v/>
      </c>
      <c r="E139" s="123" t="str">
        <v/>
      </c>
      <c r="G139" s="122" t="s">
        <v>251</v>
      </c>
      <c r="H139" s="311" t="s">
        <v>252</v>
      </c>
      <c r="I139" s="311" t="s">
        <v>243</v>
      </c>
      <c r="J139" s="123" t="s">
        <v>243</v>
      </c>
      <c r="L139" s="291" t="str" cm="1">
        <f t="array" ref="L139">_xll.d.TestUtils_Equal(B139,G139)</f>
        <v>Ok</v>
      </c>
      <c r="M139" s="291" t="str" cm="1">
        <f t="array" ref="M139">_xll.d.TestUtils_Equal(C139,H139)</f>
        <v>Ok</v>
      </c>
      <c r="N139" s="291" t="str" cm="1">
        <f t="array" ref="N139">_xll.d.TestUtils_Equal(D139,I139)</f>
        <v>Ok</v>
      </c>
      <c r="O139" s="291" t="str" cm="1">
        <f t="array" ref="O139">_xll.d.TestUtils_Equal(E139,J139)</f>
        <v>Ok</v>
      </c>
    </row>
    <row r="140" spans="2:30">
      <c r="B140" s="124" t="str">
        <v>AUD</v>
      </c>
      <c r="C140" s="270" t="str">
        <v>Australia</v>
      </c>
      <c r="D140" s="270" t="str">
        <v/>
      </c>
      <c r="E140" s="125" t="str">
        <v/>
      </c>
      <c r="G140" s="124" t="s">
        <v>253</v>
      </c>
      <c r="H140" s="270" t="s">
        <v>254</v>
      </c>
      <c r="I140" s="270" t="s">
        <v>243</v>
      </c>
      <c r="J140" s="125" t="s">
        <v>243</v>
      </c>
      <c r="L140" s="291" t="str" cm="1">
        <f t="array" ref="L140">_xll.d.TestUtils_Equal(B140,G140)</f>
        <v>Ok</v>
      </c>
      <c r="M140" s="291" t="str" cm="1">
        <f t="array" ref="M140">_xll.d.TestUtils_Equal(C140,H140)</f>
        <v>Ok</v>
      </c>
      <c r="N140" s="291" t="str" cm="1">
        <f t="array" ref="N140">_xll.d.TestUtils_Equal(D140,I140)</f>
        <v>Ok</v>
      </c>
      <c r="O140" s="291" t="str" cm="1">
        <f t="array" ref="O140">_xll.d.TestUtils_Equal(E140,J140)</f>
        <v>Ok</v>
      </c>
    </row>
    <row r="141" spans="2:30">
      <c r="B141" s="124" t="str">
        <v/>
      </c>
      <c r="C141" s="270" t="str">
        <v>Austria</v>
      </c>
      <c r="D141" s="270" t="str">
        <v/>
      </c>
      <c r="E141" s="125" t="str">
        <v/>
      </c>
      <c r="G141" s="124" t="s">
        <v>243</v>
      </c>
      <c r="H141" s="270" t="s">
        <v>663</v>
      </c>
      <c r="I141" s="270" t="s">
        <v>243</v>
      </c>
      <c r="J141" s="125" t="s">
        <v>243</v>
      </c>
      <c r="L141" s="291" t="str" cm="1">
        <f t="array" ref="L141">_xll.d.TestUtils_Equal(B141,G141)</f>
        <v>Ok</v>
      </c>
      <c r="M141" s="291" t="str" cm="1">
        <f t="array" ref="M141">_xll.d.TestUtils_Equal(C141,H141)</f>
        <v>Ok</v>
      </c>
      <c r="N141" s="291" t="str" cm="1">
        <f t="array" ref="N141">_xll.d.TestUtils_Equal(D141,I141)</f>
        <v>Ok</v>
      </c>
      <c r="O141" s="291" t="str" cm="1">
        <f t="array" ref="O141">_xll.d.TestUtils_Equal(E141,J141)</f>
        <v>Ok</v>
      </c>
    </row>
    <row r="142" spans="2:30">
      <c r="B142" s="124" t="str">
        <v>BWP</v>
      </c>
      <c r="C142" s="270" t="str">
        <v>Botswana</v>
      </c>
      <c r="D142" s="270" t="str">
        <v/>
      </c>
      <c r="E142" s="125" t="str">
        <v/>
      </c>
      <c r="G142" s="124" t="s">
        <v>255</v>
      </c>
      <c r="H142" s="270" t="s">
        <v>256</v>
      </c>
      <c r="I142" s="270" t="s">
        <v>243</v>
      </c>
      <c r="J142" s="125" t="s">
        <v>243</v>
      </c>
      <c r="L142" s="291" t="str" cm="1">
        <f t="array" ref="L142">_xll.d.TestUtils_Equal(B142,G142)</f>
        <v>Ok</v>
      </c>
      <c r="M142" s="291" t="str" cm="1">
        <f t="array" ref="M142">_xll.d.TestUtils_Equal(C142,H142)</f>
        <v>Ok</v>
      </c>
      <c r="N142" s="291" t="str" cm="1">
        <f t="array" ref="N142">_xll.d.TestUtils_Equal(D142,I142)</f>
        <v>Ok</v>
      </c>
      <c r="O142" s="291" t="str" cm="1">
        <f t="array" ref="O142">_xll.d.TestUtils_Equal(E142,J142)</f>
        <v>Ok</v>
      </c>
    </row>
    <row r="143" spans="2:30">
      <c r="B143" s="124" t="str">
        <v>BRL</v>
      </c>
      <c r="C143" s="270" t="str">
        <v>Brazil</v>
      </c>
      <c r="D143" s="270" t="str">
        <v/>
      </c>
      <c r="E143" s="125" t="str">
        <v/>
      </c>
      <c r="G143" s="124" t="s">
        <v>257</v>
      </c>
      <c r="H143" s="270" t="s">
        <v>258</v>
      </c>
      <c r="I143" s="270" t="s">
        <v>243</v>
      </c>
      <c r="J143" s="125" t="s">
        <v>243</v>
      </c>
      <c r="L143" s="291" t="str" cm="1">
        <f t="array" ref="L143">_xll.d.TestUtils_Equal(B143,G143)</f>
        <v>Ok</v>
      </c>
      <c r="M143" s="291" t="str" cm="1">
        <f t="array" ref="M143">_xll.d.TestUtils_Equal(C143,H143)</f>
        <v>Ok</v>
      </c>
      <c r="N143" s="291" t="str" cm="1">
        <f t="array" ref="N143">_xll.d.TestUtils_Equal(D143,I143)</f>
        <v>Ok</v>
      </c>
      <c r="O143" s="291" t="str" cm="1">
        <f t="array" ref="O143">_xll.d.TestUtils_Equal(E143,J143)</f>
        <v>Ok</v>
      </c>
    </row>
    <row r="144" spans="2:30">
      <c r="B144" s="124" t="str">
        <v>CAD</v>
      </c>
      <c r="C144" s="270" t="str">
        <v>Canada</v>
      </c>
      <c r="D144" s="270" t="str">
        <v/>
      </c>
      <c r="E144" s="125" t="str">
        <v/>
      </c>
      <c r="G144" s="124" t="s">
        <v>259</v>
      </c>
      <c r="H144" s="270" t="s">
        <v>260</v>
      </c>
      <c r="I144" s="270" t="s">
        <v>243</v>
      </c>
      <c r="J144" s="125" t="s">
        <v>243</v>
      </c>
      <c r="L144" s="291" t="str" cm="1">
        <f t="array" ref="L144">_xll.d.TestUtils_Equal(B144,G144)</f>
        <v>Ok</v>
      </c>
      <c r="M144" s="291" t="str" cm="1">
        <f t="array" ref="M144">_xll.d.TestUtils_Equal(C144,H144)</f>
        <v>Ok</v>
      </c>
      <c r="N144" s="291" t="str" cm="1">
        <f t="array" ref="N144">_xll.d.TestUtils_Equal(D144,I144)</f>
        <v>Ok</v>
      </c>
      <c r="O144" s="291" t="str" cm="1">
        <f t="array" ref="O144">_xll.d.TestUtils_Equal(E144,J144)</f>
        <v>Ok</v>
      </c>
    </row>
    <row r="145" spans="2:15">
      <c r="B145" s="124" t="str">
        <v>CHF</v>
      </c>
      <c r="C145" s="270" t="str">
        <v>Switzerland</v>
      </c>
      <c r="D145" s="270" t="str">
        <v/>
      </c>
      <c r="E145" s="125" t="str">
        <v/>
      </c>
      <c r="G145" s="124" t="s">
        <v>261</v>
      </c>
      <c r="H145" s="270" t="s">
        <v>262</v>
      </c>
      <c r="I145" s="270" t="s">
        <v>243</v>
      </c>
      <c r="J145" s="125" t="s">
        <v>243</v>
      </c>
      <c r="L145" s="291" t="str" cm="1">
        <f t="array" ref="L145">_xll.d.TestUtils_Equal(B145,G145)</f>
        <v>Ok</v>
      </c>
      <c r="M145" s="291" t="str" cm="1">
        <f t="array" ref="M145">_xll.d.TestUtils_Equal(C145,H145)</f>
        <v>Ok</v>
      </c>
      <c r="N145" s="291" t="str" cm="1">
        <f t="array" ref="N145">_xll.d.TestUtils_Equal(D145,I145)</f>
        <v>Ok</v>
      </c>
      <c r="O145" s="291" t="str" cm="1">
        <f t="array" ref="O145">_xll.d.TestUtils_Equal(E145,J145)</f>
        <v>Ok</v>
      </c>
    </row>
    <row r="146" spans="2:15">
      <c r="B146" s="124" t="str">
        <v>CLP</v>
      </c>
      <c r="C146" s="270" t="str">
        <v>Chile</v>
      </c>
      <c r="D146" s="270" t="str">
        <v/>
      </c>
      <c r="E146" s="125" t="str">
        <v/>
      </c>
      <c r="G146" s="124" t="s">
        <v>664</v>
      </c>
      <c r="H146" s="270" t="s">
        <v>665</v>
      </c>
      <c r="I146" s="270" t="s">
        <v>243</v>
      </c>
      <c r="J146" s="125" t="s">
        <v>243</v>
      </c>
      <c r="L146" s="291" t="str" cm="1">
        <f t="array" ref="L146">_xll.d.TestUtils_Equal(B146,G146)</f>
        <v>Ok</v>
      </c>
      <c r="M146" s="291" t="str" cm="1">
        <f t="array" ref="M146">_xll.d.TestUtils_Equal(C146,H146)</f>
        <v>Ok</v>
      </c>
      <c r="N146" s="291" t="str" cm="1">
        <f t="array" ref="N146">_xll.d.TestUtils_Equal(D146,I146)</f>
        <v>Ok</v>
      </c>
      <c r="O146" s="291" t="str" cm="1">
        <f t="array" ref="O146">_xll.d.TestUtils_Equal(E146,J146)</f>
        <v>Ok</v>
      </c>
    </row>
    <row r="147" spans="2:15">
      <c r="B147" s="124" t="str">
        <v>CNH</v>
      </c>
      <c r="C147" s="270" t="str">
        <v>China</v>
      </c>
      <c r="D147" s="270" t="str">
        <v/>
      </c>
      <c r="E147" s="125" t="str">
        <v/>
      </c>
      <c r="G147" s="124" t="s">
        <v>263</v>
      </c>
      <c r="H147" s="270" t="s">
        <v>264</v>
      </c>
      <c r="I147" s="270" t="s">
        <v>243</v>
      </c>
      <c r="J147" s="125" t="s">
        <v>243</v>
      </c>
      <c r="L147" s="291" t="str" cm="1">
        <f t="array" ref="L147">_xll.d.TestUtils_Equal(B147,G147)</f>
        <v>Ok</v>
      </c>
      <c r="M147" s="291" t="str" cm="1">
        <f t="array" ref="M147">_xll.d.TestUtils_Equal(C147,H147)</f>
        <v>Ok</v>
      </c>
      <c r="N147" s="291" t="str" cm="1">
        <f t="array" ref="N147">_xll.d.TestUtils_Equal(D147,I147)</f>
        <v>Ok</v>
      </c>
      <c r="O147" s="291" t="str" cm="1">
        <f t="array" ref="O147">_xll.d.TestUtils_Equal(E147,J147)</f>
        <v>Ok</v>
      </c>
    </row>
    <row r="148" spans="2:15">
      <c r="B148" s="124" t="str">
        <v>CZK</v>
      </c>
      <c r="C148" s="270" t="str">
        <v>Czech Republic</v>
      </c>
      <c r="D148" s="270" t="str">
        <v/>
      </c>
      <c r="E148" s="125" t="str">
        <v/>
      </c>
      <c r="G148" s="124" t="s">
        <v>265</v>
      </c>
      <c r="H148" s="270" t="s">
        <v>266</v>
      </c>
      <c r="I148" s="270" t="s">
        <v>243</v>
      </c>
      <c r="J148" s="125" t="s">
        <v>243</v>
      </c>
      <c r="L148" s="291" t="str" cm="1">
        <f t="array" ref="L148">_xll.d.TestUtils_Equal(B148,G148)</f>
        <v>Ok</v>
      </c>
      <c r="M148" s="291" t="str" cm="1">
        <f t="array" ref="M148">_xll.d.TestUtils_Equal(C148,H148)</f>
        <v>Ok</v>
      </c>
      <c r="N148" s="291" t="str" cm="1">
        <f t="array" ref="N148">_xll.d.TestUtils_Equal(D148,I148)</f>
        <v>Ok</v>
      </c>
      <c r="O148" s="291" t="str" cm="1">
        <f t="array" ref="O148">_xll.d.TestUtils_Equal(E148,J148)</f>
        <v>Ok</v>
      </c>
    </row>
    <row r="149" spans="2:15">
      <c r="B149" s="124" t="str">
        <v>DKK</v>
      </c>
      <c r="C149" s="270" t="str">
        <v>Denmark</v>
      </c>
      <c r="D149" s="270" t="str">
        <v/>
      </c>
      <c r="E149" s="125" t="str">
        <v/>
      </c>
      <c r="G149" s="124" t="s">
        <v>267</v>
      </c>
      <c r="H149" s="270" t="s">
        <v>268</v>
      </c>
      <c r="I149" s="270" t="s">
        <v>243</v>
      </c>
      <c r="J149" s="125" t="s">
        <v>243</v>
      </c>
      <c r="L149" s="291" t="str" cm="1">
        <f t="array" ref="L149">_xll.d.TestUtils_Equal(B149,G149)</f>
        <v>Ok</v>
      </c>
      <c r="M149" s="291" t="str" cm="1">
        <f t="array" ref="M149">_xll.d.TestUtils_Equal(C149,H149)</f>
        <v>Ok</v>
      </c>
      <c r="N149" s="291" t="str" cm="1">
        <f t="array" ref="N149">_xll.d.TestUtils_Equal(D149,I149)</f>
        <v>Ok</v>
      </c>
      <c r="O149" s="291" t="str" cm="1">
        <f t="array" ref="O149">_xll.d.TestUtils_Equal(E149,J149)</f>
        <v>Ok</v>
      </c>
    </row>
    <row r="150" spans="2:15">
      <c r="B150" s="124" t="str">
        <v>EUR</v>
      </c>
      <c r="C150" s="270" t="str">
        <v>Euro</v>
      </c>
      <c r="D150" s="270" t="str">
        <v/>
      </c>
      <c r="E150" s="125" t="str">
        <v/>
      </c>
      <c r="G150" s="124" t="s">
        <v>269</v>
      </c>
      <c r="H150" s="270" t="s">
        <v>270</v>
      </c>
      <c r="I150" s="270" t="s">
        <v>243</v>
      </c>
      <c r="J150" s="125" t="s">
        <v>243</v>
      </c>
      <c r="L150" s="291" t="str" cm="1">
        <f t="array" ref="L150">_xll.d.TestUtils_Equal(B150,G150)</f>
        <v>Ok</v>
      </c>
      <c r="M150" s="291" t="str" cm="1">
        <f t="array" ref="M150">_xll.d.TestUtils_Equal(C150,H150)</f>
        <v>Ok</v>
      </c>
      <c r="N150" s="291" t="str" cm="1">
        <f t="array" ref="N150">_xll.d.TestUtils_Equal(D150,I150)</f>
        <v>Ok</v>
      </c>
      <c r="O150" s="291" t="str" cm="1">
        <f t="array" ref="O150">_xll.d.TestUtils_Equal(E150,J150)</f>
        <v>Ok</v>
      </c>
    </row>
    <row r="151" spans="2:15">
      <c r="B151" s="124" t="str">
        <v/>
      </c>
      <c r="C151" s="270" t="str">
        <v>Finland</v>
      </c>
      <c r="D151" s="270" t="str">
        <v/>
      </c>
      <c r="E151" s="125" t="str">
        <v/>
      </c>
      <c r="G151" s="124" t="s">
        <v>243</v>
      </c>
      <c r="H151" s="270" t="s">
        <v>666</v>
      </c>
      <c r="I151" s="270" t="s">
        <v>243</v>
      </c>
      <c r="J151" s="125" t="s">
        <v>243</v>
      </c>
      <c r="L151" s="291" t="str" cm="1">
        <f t="array" ref="L151">_xll.d.TestUtils_Equal(B151,G151)</f>
        <v>Ok</v>
      </c>
      <c r="M151" s="291" t="str" cm="1">
        <f t="array" ref="M151">_xll.d.TestUtils_Equal(C151,H151)</f>
        <v>Ok</v>
      </c>
      <c r="N151" s="291" t="str" cm="1">
        <f t="array" ref="N151">_xll.d.TestUtils_Equal(D151,I151)</f>
        <v>Ok</v>
      </c>
      <c r="O151" s="291" t="str" cm="1">
        <f t="array" ref="O151">_xll.d.TestUtils_Equal(E151,J151)</f>
        <v>Ok</v>
      </c>
    </row>
    <row r="152" spans="2:15">
      <c r="B152" s="124" t="str">
        <v/>
      </c>
      <c r="C152" s="270" t="str">
        <v>France</v>
      </c>
      <c r="D152" s="270" t="str">
        <v/>
      </c>
      <c r="E152" s="125" t="str">
        <v/>
      </c>
      <c r="G152" s="124" t="s">
        <v>243</v>
      </c>
      <c r="H152" s="270" t="s">
        <v>667</v>
      </c>
      <c r="I152" s="270" t="s">
        <v>243</v>
      </c>
      <c r="J152" s="125" t="s">
        <v>243</v>
      </c>
      <c r="L152" s="291" t="str" cm="1">
        <f t="array" ref="L152">_xll.d.TestUtils_Equal(B152,G152)</f>
        <v>Ok</v>
      </c>
      <c r="M152" s="291" t="str" cm="1">
        <f t="array" ref="M152">_xll.d.TestUtils_Equal(C152,H152)</f>
        <v>Ok</v>
      </c>
      <c r="N152" s="291" t="str" cm="1">
        <f t="array" ref="N152">_xll.d.TestUtils_Equal(D152,I152)</f>
        <v>Ok</v>
      </c>
      <c r="O152" s="291" t="str" cm="1">
        <f t="array" ref="O152">_xll.d.TestUtils_Equal(E152,J152)</f>
        <v>Ok</v>
      </c>
    </row>
    <row r="153" spans="2:15">
      <c r="B153" s="124" t="str">
        <v>GBP</v>
      </c>
      <c r="C153" s="270" t="str">
        <v>Great Britain</v>
      </c>
      <c r="D153" s="270" t="str">
        <v/>
      </c>
      <c r="E153" s="125" t="str">
        <v/>
      </c>
      <c r="G153" s="124" t="s">
        <v>271</v>
      </c>
      <c r="H153" s="270" t="s">
        <v>272</v>
      </c>
      <c r="I153" s="270" t="s">
        <v>243</v>
      </c>
      <c r="J153" s="125" t="s">
        <v>243</v>
      </c>
      <c r="L153" s="291" t="str" cm="1">
        <f t="array" ref="L153">_xll.d.TestUtils_Equal(B153,G153)</f>
        <v>Ok</v>
      </c>
      <c r="M153" s="291" t="str" cm="1">
        <f t="array" ref="M153">_xll.d.TestUtils_Equal(C153,H153)</f>
        <v>Ok</v>
      </c>
      <c r="N153" s="291" t="str" cm="1">
        <f t="array" ref="N153">_xll.d.TestUtils_Equal(D153,I153)</f>
        <v>Ok</v>
      </c>
      <c r="O153" s="291" t="str" cm="1">
        <f t="array" ref="O153">_xll.d.TestUtils_Equal(E153,J153)</f>
        <v>Ok</v>
      </c>
    </row>
    <row r="154" spans="2:15">
      <c r="B154" s="124" t="str">
        <v/>
      </c>
      <c r="C154" s="270" t="str">
        <v>Germany</v>
      </c>
      <c r="D154" s="270" t="str">
        <v/>
      </c>
      <c r="E154" s="125" t="str">
        <v/>
      </c>
      <c r="G154" s="124" t="s">
        <v>243</v>
      </c>
      <c r="H154" s="270" t="s">
        <v>273</v>
      </c>
      <c r="I154" s="270" t="s">
        <v>243</v>
      </c>
      <c r="J154" s="125" t="s">
        <v>243</v>
      </c>
      <c r="L154" s="291" t="str" cm="1">
        <f t="array" ref="L154">_xll.d.TestUtils_Equal(B154,G154)</f>
        <v>Ok</v>
      </c>
      <c r="M154" s="291" t="str" cm="1">
        <f t="array" ref="M154">_xll.d.TestUtils_Equal(C154,H154)</f>
        <v>Ok</v>
      </c>
      <c r="N154" s="291" t="str" cm="1">
        <f t="array" ref="N154">_xll.d.TestUtils_Equal(D154,I154)</f>
        <v>Ok</v>
      </c>
      <c r="O154" s="291" t="str" cm="1">
        <f t="array" ref="O154">_xll.d.TestUtils_Equal(E154,J154)</f>
        <v>Ok</v>
      </c>
    </row>
    <row r="155" spans="2:15">
      <c r="B155" s="124" t="str">
        <v>HUF</v>
      </c>
      <c r="C155" s="270" t="str">
        <v>Hungary</v>
      </c>
      <c r="D155" s="270" t="str">
        <v/>
      </c>
      <c r="E155" s="125" t="str">
        <v/>
      </c>
      <c r="G155" s="124" t="s">
        <v>274</v>
      </c>
      <c r="H155" s="270" t="s">
        <v>275</v>
      </c>
      <c r="I155" s="270" t="s">
        <v>243</v>
      </c>
      <c r="J155" s="125" t="s">
        <v>243</v>
      </c>
      <c r="L155" s="291" t="str" cm="1">
        <f t="array" ref="L155">_xll.d.TestUtils_Equal(B155,G155)</f>
        <v>Ok</v>
      </c>
      <c r="M155" s="291" t="str" cm="1">
        <f t="array" ref="M155">_xll.d.TestUtils_Equal(C155,H155)</f>
        <v>Ok</v>
      </c>
      <c r="N155" s="291" t="str" cm="1">
        <f t="array" ref="N155">_xll.d.TestUtils_Equal(D155,I155)</f>
        <v>Ok</v>
      </c>
      <c r="O155" s="291" t="str" cm="1">
        <f t="array" ref="O155">_xll.d.TestUtils_Equal(E155,J155)</f>
        <v>Ok</v>
      </c>
    </row>
    <row r="156" spans="2:15">
      <c r="B156" s="124" t="str">
        <v>INR</v>
      </c>
      <c r="C156" s="270" t="str">
        <v>India</v>
      </c>
      <c r="D156" s="270" t="str">
        <v/>
      </c>
      <c r="E156" s="125" t="str">
        <v/>
      </c>
      <c r="G156" s="124" t="s">
        <v>276</v>
      </c>
      <c r="H156" s="270" t="s">
        <v>277</v>
      </c>
      <c r="I156" s="270" t="s">
        <v>243</v>
      </c>
      <c r="J156" s="125" t="s">
        <v>243</v>
      </c>
      <c r="L156" s="291" t="str" cm="1">
        <f t="array" ref="L156">_xll.d.TestUtils_Equal(B156,G156)</f>
        <v>Ok</v>
      </c>
      <c r="M156" s="291" t="str" cm="1">
        <f t="array" ref="M156">_xll.d.TestUtils_Equal(C156,H156)</f>
        <v>Ok</v>
      </c>
      <c r="N156" s="291" t="str" cm="1">
        <f t="array" ref="N156">_xll.d.TestUtils_Equal(D156,I156)</f>
        <v>Ok</v>
      </c>
      <c r="O156" s="291" t="str" cm="1">
        <f t="array" ref="O156">_xll.d.TestUtils_Equal(E156,J156)</f>
        <v>Ok</v>
      </c>
    </row>
    <row r="157" spans="2:15">
      <c r="B157" s="124" t="str">
        <v>ILS</v>
      </c>
      <c r="C157" s="270" t="str">
        <v>Israel</v>
      </c>
      <c r="D157" s="270" t="str">
        <v/>
      </c>
      <c r="E157" s="125" t="str">
        <v/>
      </c>
      <c r="G157" s="124" t="s">
        <v>278</v>
      </c>
      <c r="H157" s="270" t="s">
        <v>279</v>
      </c>
      <c r="I157" s="270" t="s">
        <v>243</v>
      </c>
      <c r="J157" s="125" t="s">
        <v>243</v>
      </c>
      <c r="L157" s="291" t="str" cm="1">
        <f t="array" ref="L157">_xll.d.TestUtils_Equal(B157,G157)</f>
        <v>Ok</v>
      </c>
      <c r="M157" s="291" t="str" cm="1">
        <f t="array" ref="M157">_xll.d.TestUtils_Equal(C157,H157)</f>
        <v>Ok</v>
      </c>
      <c r="N157" s="291" t="str" cm="1">
        <f t="array" ref="N157">_xll.d.TestUtils_Equal(D157,I157)</f>
        <v>Ok</v>
      </c>
      <c r="O157" s="291" t="str" cm="1">
        <f t="array" ref="O157">_xll.d.TestUtils_Equal(E157,J157)</f>
        <v>Ok</v>
      </c>
    </row>
    <row r="158" spans="2:15">
      <c r="B158" s="124" t="str">
        <v/>
      </c>
      <c r="C158" s="270" t="str">
        <v>Italy</v>
      </c>
      <c r="D158" s="270" t="str">
        <v/>
      </c>
      <c r="E158" s="125" t="str">
        <v/>
      </c>
      <c r="G158" s="124" t="s">
        <v>243</v>
      </c>
      <c r="H158" s="270" t="s">
        <v>280</v>
      </c>
      <c r="I158" s="270" t="s">
        <v>243</v>
      </c>
      <c r="J158" s="125" t="s">
        <v>243</v>
      </c>
      <c r="L158" s="291" t="str" cm="1">
        <f t="array" ref="L158">_xll.d.TestUtils_Equal(B158,G158)</f>
        <v>Ok</v>
      </c>
      <c r="M158" s="291" t="str" cm="1">
        <f t="array" ref="M158">_xll.d.TestUtils_Equal(C158,H158)</f>
        <v>Ok</v>
      </c>
      <c r="N158" s="291" t="str" cm="1">
        <f t="array" ref="N158">_xll.d.TestUtils_Equal(D158,I158)</f>
        <v>Ok</v>
      </c>
      <c r="O158" s="291" t="str" cm="1">
        <f t="array" ref="O158">_xll.d.TestUtils_Equal(E158,J158)</f>
        <v>Ok</v>
      </c>
    </row>
    <row r="159" spans="2:15">
      <c r="B159" s="124" t="str">
        <v>JPY</v>
      </c>
      <c r="C159" s="270" t="str">
        <v>Japan</v>
      </c>
      <c r="D159" s="270" t="str">
        <v/>
      </c>
      <c r="E159" s="125" t="str">
        <v/>
      </c>
      <c r="G159" s="124" t="s">
        <v>281</v>
      </c>
      <c r="H159" s="270" t="s">
        <v>282</v>
      </c>
      <c r="I159" s="270" t="s">
        <v>243</v>
      </c>
      <c r="J159" s="125" t="s">
        <v>243</v>
      </c>
      <c r="L159" s="291" t="str" cm="1">
        <f t="array" ref="L159">_xll.d.TestUtils_Equal(B159,G159)</f>
        <v>Ok</v>
      </c>
      <c r="M159" s="291" t="str" cm="1">
        <f t="array" ref="M159">_xll.d.TestUtils_Equal(C159,H159)</f>
        <v>Ok</v>
      </c>
      <c r="N159" s="291" t="str" cm="1">
        <f t="array" ref="N159">_xll.d.TestUtils_Equal(D159,I159)</f>
        <v>Ok</v>
      </c>
      <c r="O159" s="291" t="str" cm="1">
        <f t="array" ref="O159">_xll.d.TestUtils_Equal(E159,J159)</f>
        <v>Ok</v>
      </c>
    </row>
    <row r="160" spans="2:15">
      <c r="B160" s="124" t="str">
        <v>KRW</v>
      </c>
      <c r="C160" s="270" t="str">
        <v>South Korea</v>
      </c>
      <c r="D160" s="270" t="str">
        <v/>
      </c>
      <c r="E160" s="125" t="str">
        <v/>
      </c>
      <c r="G160" s="124" t="s">
        <v>283</v>
      </c>
      <c r="H160" s="270" t="s">
        <v>284</v>
      </c>
      <c r="I160" s="270" t="s">
        <v>243</v>
      </c>
      <c r="J160" s="125" t="s">
        <v>243</v>
      </c>
      <c r="L160" s="291" t="str" cm="1">
        <f t="array" ref="L160">_xll.d.TestUtils_Equal(B160,G160)</f>
        <v>Ok</v>
      </c>
      <c r="M160" s="291" t="str" cm="1">
        <f t="array" ref="M160">_xll.d.TestUtils_Equal(C160,H160)</f>
        <v>Ok</v>
      </c>
      <c r="N160" s="291" t="str" cm="1">
        <f t="array" ref="N160">_xll.d.TestUtils_Equal(D160,I160)</f>
        <v>Ok</v>
      </c>
      <c r="O160" s="291" t="str" cm="1">
        <f t="array" ref="O160">_xll.d.TestUtils_Equal(E160,J160)</f>
        <v>Ok</v>
      </c>
    </row>
    <row r="161" spans="2:15">
      <c r="B161" s="124" t="str">
        <v>MXN</v>
      </c>
      <c r="C161" s="270" t="str">
        <v>Mexico</v>
      </c>
      <c r="D161" s="270" t="str">
        <v/>
      </c>
      <c r="E161" s="125" t="str">
        <v/>
      </c>
      <c r="G161" s="124" t="s">
        <v>285</v>
      </c>
      <c r="H161" s="270" t="s">
        <v>286</v>
      </c>
      <c r="I161" s="270" t="s">
        <v>243</v>
      </c>
      <c r="J161" s="125" t="s">
        <v>243</v>
      </c>
      <c r="L161" s="291" t="str" cm="1">
        <f t="array" ref="L161">_xll.d.TestUtils_Equal(B161,G161)</f>
        <v>Ok</v>
      </c>
      <c r="M161" s="291" t="str" cm="1">
        <f t="array" ref="M161">_xll.d.TestUtils_Equal(C161,H161)</f>
        <v>Ok</v>
      </c>
      <c r="N161" s="291" t="str" cm="1">
        <f t="array" ref="N161">_xll.d.TestUtils_Equal(D161,I161)</f>
        <v>Ok</v>
      </c>
      <c r="O161" s="291" t="str" cm="1">
        <f t="array" ref="O161">_xll.d.TestUtils_Equal(E161,J161)</f>
        <v>Ok</v>
      </c>
    </row>
    <row r="162" spans="2:15">
      <c r="B162" s="124" t="str">
        <v>NOK</v>
      </c>
      <c r="C162" s="270" t="str">
        <v>Norway</v>
      </c>
      <c r="D162" s="270" t="str">
        <v/>
      </c>
      <c r="E162" s="125" t="str">
        <v/>
      </c>
      <c r="G162" s="124" t="s">
        <v>287</v>
      </c>
      <c r="H162" s="270" t="s">
        <v>288</v>
      </c>
      <c r="I162" s="270" t="s">
        <v>243</v>
      </c>
      <c r="J162" s="125" t="s">
        <v>243</v>
      </c>
      <c r="L162" s="291" t="str" cm="1">
        <f t="array" ref="L162">_xll.d.TestUtils_Equal(B162,G162)</f>
        <v>Ok</v>
      </c>
      <c r="M162" s="291" t="str" cm="1">
        <f t="array" ref="M162">_xll.d.TestUtils_Equal(C162,H162)</f>
        <v>Ok</v>
      </c>
      <c r="N162" s="291" t="str" cm="1">
        <f t="array" ref="N162">_xll.d.TestUtils_Equal(D162,I162)</f>
        <v>Ok</v>
      </c>
      <c r="O162" s="291" t="str" cm="1">
        <f t="array" ref="O162">_xll.d.TestUtils_Equal(E162,J162)</f>
        <v>Ok</v>
      </c>
    </row>
    <row r="163" spans="2:15">
      <c r="B163" s="124" t="str">
        <v>NZD</v>
      </c>
      <c r="C163" s="270" t="str">
        <v>New Zealand</v>
      </c>
      <c r="D163" s="270" t="str">
        <v/>
      </c>
      <c r="E163" s="125" t="str">
        <v/>
      </c>
      <c r="G163" s="124" t="s">
        <v>289</v>
      </c>
      <c r="H163" s="270" t="s">
        <v>290</v>
      </c>
      <c r="I163" s="270" t="s">
        <v>243</v>
      </c>
      <c r="J163" s="125" t="s">
        <v>243</v>
      </c>
      <c r="L163" s="291" t="str" cm="1">
        <f t="array" ref="L163">_xll.d.TestUtils_Equal(B163,G163)</f>
        <v>Ok</v>
      </c>
      <c r="M163" s="291" t="str" cm="1">
        <f t="array" ref="M163">_xll.d.TestUtils_Equal(C163,H163)</f>
        <v>Ok</v>
      </c>
      <c r="N163" s="291" t="str" cm="1">
        <f t="array" ref="N163">_xll.d.TestUtils_Equal(D163,I163)</f>
        <v>Ok</v>
      </c>
      <c r="O163" s="291" t="str" cm="1">
        <f t="array" ref="O163">_xll.d.TestUtils_Equal(E163,J163)</f>
        <v>Ok</v>
      </c>
    </row>
    <row r="164" spans="2:15">
      <c r="B164" s="124" t="str">
        <v>PLN</v>
      </c>
      <c r="C164" s="270" t="str">
        <v>Poland</v>
      </c>
      <c r="D164" s="270" t="str">
        <v/>
      </c>
      <c r="E164" s="125" t="str">
        <v/>
      </c>
      <c r="G164" s="124" t="s">
        <v>291</v>
      </c>
      <c r="H164" s="270" t="s">
        <v>292</v>
      </c>
      <c r="I164" s="270" t="s">
        <v>243</v>
      </c>
      <c r="J164" s="125" t="s">
        <v>243</v>
      </c>
      <c r="L164" s="291" t="str" cm="1">
        <f t="array" ref="L164">_xll.d.TestUtils_Equal(B164,G164)</f>
        <v>Ok</v>
      </c>
      <c r="M164" s="291" t="str" cm="1">
        <f t="array" ref="M164">_xll.d.TestUtils_Equal(C164,H164)</f>
        <v>Ok</v>
      </c>
      <c r="N164" s="291" t="str" cm="1">
        <f t="array" ref="N164">_xll.d.TestUtils_Equal(D164,I164)</f>
        <v>Ok</v>
      </c>
      <c r="O164" s="291" t="str" cm="1">
        <f t="array" ref="O164">_xll.d.TestUtils_Equal(E164,J164)</f>
        <v>Ok</v>
      </c>
    </row>
    <row r="165" spans="2:15">
      <c r="B165" s="124" t="str">
        <v>RON</v>
      </c>
      <c r="C165" s="270" t="str">
        <v>Romania</v>
      </c>
      <c r="D165" s="270" t="str">
        <v/>
      </c>
      <c r="E165" s="125" t="str">
        <v/>
      </c>
      <c r="G165" s="124" t="s">
        <v>293</v>
      </c>
      <c r="H165" s="270" t="s">
        <v>294</v>
      </c>
      <c r="I165" s="270" t="s">
        <v>243</v>
      </c>
      <c r="J165" s="125" t="s">
        <v>243</v>
      </c>
      <c r="L165" s="291" t="str" cm="1">
        <f t="array" ref="L165">_xll.d.TestUtils_Equal(B165,G165)</f>
        <v>Ok</v>
      </c>
      <c r="M165" s="291" t="str" cm="1">
        <f t="array" ref="M165">_xll.d.TestUtils_Equal(C165,H165)</f>
        <v>Ok</v>
      </c>
      <c r="N165" s="291" t="str" cm="1">
        <f t="array" ref="N165">_xll.d.TestUtils_Equal(D165,I165)</f>
        <v>Ok</v>
      </c>
      <c r="O165" s="291" t="str" cm="1">
        <f t="array" ref="O165">_xll.d.TestUtils_Equal(E165,J165)</f>
        <v>Ok</v>
      </c>
    </row>
    <row r="166" spans="2:15">
      <c r="B166" s="124" t="str">
        <v>RUB</v>
      </c>
      <c r="C166" s="270" t="str">
        <v>Russia</v>
      </c>
      <c r="D166" s="270" t="str">
        <v/>
      </c>
      <c r="E166" s="125" t="str">
        <v/>
      </c>
      <c r="G166" s="124" t="s">
        <v>295</v>
      </c>
      <c r="H166" s="270" t="s">
        <v>296</v>
      </c>
      <c r="I166" s="270" t="s">
        <v>243</v>
      </c>
      <c r="J166" s="125" t="s">
        <v>243</v>
      </c>
      <c r="L166" s="291" t="str" cm="1">
        <f t="array" ref="L166">_xll.d.TestUtils_Equal(B166,G166)</f>
        <v>Ok</v>
      </c>
      <c r="M166" s="291" t="str" cm="1">
        <f t="array" ref="M166">_xll.d.TestUtils_Equal(C166,H166)</f>
        <v>Ok</v>
      </c>
      <c r="N166" s="291" t="str" cm="1">
        <f t="array" ref="N166">_xll.d.TestUtils_Equal(D166,I166)</f>
        <v>Ok</v>
      </c>
      <c r="O166" s="291" t="str" cm="1">
        <f t="array" ref="O166">_xll.d.TestUtils_Equal(E166,J166)</f>
        <v>Ok</v>
      </c>
    </row>
    <row r="167" spans="2:15">
      <c r="B167" s="124" t="str">
        <v>SGD</v>
      </c>
      <c r="C167" s="270" t="str">
        <v>Singapore</v>
      </c>
      <c r="D167" s="270" t="str">
        <v/>
      </c>
      <c r="E167" s="125" t="str">
        <v/>
      </c>
      <c r="G167" s="124" t="s">
        <v>297</v>
      </c>
      <c r="H167" s="270" t="s">
        <v>298</v>
      </c>
      <c r="I167" s="270" t="s">
        <v>243</v>
      </c>
      <c r="J167" s="125" t="s">
        <v>243</v>
      </c>
      <c r="L167" s="291" t="str" cm="1">
        <f t="array" ref="L167">_xll.d.TestUtils_Equal(B167,G167)</f>
        <v>Ok</v>
      </c>
      <c r="M167" s="291" t="str" cm="1">
        <f t="array" ref="M167">_xll.d.TestUtils_Equal(C167,H167)</f>
        <v>Ok</v>
      </c>
      <c r="N167" s="291" t="str" cm="1">
        <f t="array" ref="N167">_xll.d.TestUtils_Equal(D167,I167)</f>
        <v>Ok</v>
      </c>
      <c r="O167" s="291" t="str" cm="1">
        <f t="array" ref="O167">_xll.d.TestUtils_Equal(E167,J167)</f>
        <v>Ok</v>
      </c>
    </row>
    <row r="168" spans="2:15">
      <c r="B168" s="124" t="str">
        <v>SKK</v>
      </c>
      <c r="C168" s="270" t="str">
        <v>Sweden</v>
      </c>
      <c r="D168" s="270" t="str">
        <v/>
      </c>
      <c r="E168" s="125" t="str">
        <v/>
      </c>
      <c r="G168" s="124" t="s">
        <v>299</v>
      </c>
      <c r="H168" s="270" t="s">
        <v>300</v>
      </c>
      <c r="I168" s="270" t="s">
        <v>243</v>
      </c>
      <c r="J168" s="125" t="s">
        <v>243</v>
      </c>
      <c r="L168" s="291" t="str" cm="1">
        <f t="array" ref="L168">_xll.d.TestUtils_Equal(B168,G168)</f>
        <v>Ok</v>
      </c>
      <c r="M168" s="291" t="str" cm="1">
        <f t="array" ref="M168">_xll.d.TestUtils_Equal(C168,H168)</f>
        <v>Ok</v>
      </c>
      <c r="N168" s="291" t="str" cm="1">
        <f t="array" ref="N168">_xll.d.TestUtils_Equal(D168,I168)</f>
        <v>Ok</v>
      </c>
      <c r="O168" s="291" t="str" cm="1">
        <f t="array" ref="O168">_xll.d.TestUtils_Equal(E168,J168)</f>
        <v>Ok</v>
      </c>
    </row>
    <row r="169" spans="2:15">
      <c r="B169" s="124" t="str">
        <v/>
      </c>
      <c r="C169" s="270" t="str">
        <v>Slovakia</v>
      </c>
      <c r="D169" s="270" t="str">
        <v/>
      </c>
      <c r="E169" s="125" t="str">
        <v/>
      </c>
      <c r="G169" s="124" t="s">
        <v>243</v>
      </c>
      <c r="H169" s="270" t="s">
        <v>668</v>
      </c>
      <c r="I169" s="270" t="s">
        <v>243</v>
      </c>
      <c r="J169" s="125" t="s">
        <v>243</v>
      </c>
      <c r="L169" s="291" t="str" cm="1">
        <f t="array" ref="L169">_xll.d.TestUtils_Equal(B169,G169)</f>
        <v>Ok</v>
      </c>
      <c r="M169" s="291" t="str" cm="1">
        <f t="array" ref="M169">_xll.d.TestUtils_Equal(C169,H169)</f>
        <v>Ok</v>
      </c>
      <c r="N169" s="291" t="str" cm="1">
        <f t="array" ref="N169">_xll.d.TestUtils_Equal(D169,I169)</f>
        <v>Ok</v>
      </c>
      <c r="O169" s="291" t="str" cm="1">
        <f t="array" ref="O169">_xll.d.TestUtils_Equal(E169,J169)</f>
        <v>Ok</v>
      </c>
    </row>
    <row r="170" spans="2:15">
      <c r="B170" s="124" t="str">
        <v>THB</v>
      </c>
      <c r="C170" s="270" t="str">
        <v>Thailand</v>
      </c>
      <c r="D170" s="270" t="str">
        <v/>
      </c>
      <c r="E170" s="125" t="str">
        <v/>
      </c>
      <c r="G170" s="124" t="s">
        <v>301</v>
      </c>
      <c r="H170" s="270" t="s">
        <v>302</v>
      </c>
      <c r="I170" s="270" t="s">
        <v>243</v>
      </c>
      <c r="J170" s="125" t="s">
        <v>243</v>
      </c>
      <c r="L170" s="291" t="str" cm="1">
        <f t="array" ref="L170">_xll.d.TestUtils_Equal(B170,G170)</f>
        <v>Ok</v>
      </c>
      <c r="M170" s="291" t="str" cm="1">
        <f t="array" ref="M170">_xll.d.TestUtils_Equal(C170,H170)</f>
        <v>Ok</v>
      </c>
      <c r="N170" s="291" t="str" cm="1">
        <f t="array" ref="N170">_xll.d.TestUtils_Equal(D170,I170)</f>
        <v>Ok</v>
      </c>
      <c r="O170" s="291" t="str" cm="1">
        <f t="array" ref="O170">_xll.d.TestUtils_Equal(E170,J170)</f>
        <v>Ok</v>
      </c>
    </row>
    <row r="171" spans="2:15">
      <c r="B171" s="124" t="str">
        <v>TRY</v>
      </c>
      <c r="C171" s="270" t="str">
        <v>Turkey</v>
      </c>
      <c r="D171" s="270" t="str">
        <v/>
      </c>
      <c r="E171" s="125" t="str">
        <v/>
      </c>
      <c r="G171" s="124" t="s">
        <v>303</v>
      </c>
      <c r="H171" s="270" t="s">
        <v>304</v>
      </c>
      <c r="I171" s="270" t="s">
        <v>243</v>
      </c>
      <c r="J171" s="125" t="s">
        <v>243</v>
      </c>
      <c r="L171" s="291" t="str" cm="1">
        <f t="array" ref="L171">_xll.d.TestUtils_Equal(B171,G171)</f>
        <v>Ok</v>
      </c>
      <c r="M171" s="291" t="str" cm="1">
        <f t="array" ref="M171">_xll.d.TestUtils_Equal(C171,H171)</f>
        <v>Ok</v>
      </c>
      <c r="N171" s="291" t="str" cm="1">
        <f t="array" ref="N171">_xll.d.TestUtils_Equal(D171,I171)</f>
        <v>Ok</v>
      </c>
      <c r="O171" s="291" t="str" cm="1">
        <f t="array" ref="O171">_xll.d.TestUtils_Equal(E171,J171)</f>
        <v>Ok</v>
      </c>
    </row>
    <row r="172" spans="2:15">
      <c r="B172" s="124" t="str">
        <v>TWD</v>
      </c>
      <c r="C172" s="270" t="str">
        <v>Taiwan</v>
      </c>
      <c r="D172" s="270" t="str">
        <v/>
      </c>
      <c r="E172" s="125" t="str">
        <v/>
      </c>
      <c r="G172" s="124" t="s">
        <v>305</v>
      </c>
      <c r="H172" s="270" t="s">
        <v>306</v>
      </c>
      <c r="I172" s="270" t="s">
        <v>243</v>
      </c>
      <c r="J172" s="125" t="s">
        <v>243</v>
      </c>
      <c r="L172" s="291" t="str" cm="1">
        <f t="array" ref="L172">_xll.d.TestUtils_Equal(B172,G172)</f>
        <v>Ok</v>
      </c>
      <c r="M172" s="291" t="str" cm="1">
        <f t="array" ref="M172">_xll.d.TestUtils_Equal(C172,H172)</f>
        <v>Ok</v>
      </c>
      <c r="N172" s="291" t="str" cm="1">
        <f t="array" ref="N172">_xll.d.TestUtils_Equal(D172,I172)</f>
        <v>Ok</v>
      </c>
      <c r="O172" s="291" t="str" cm="1">
        <f t="array" ref="O172">_xll.d.TestUtils_Equal(E172,J172)</f>
        <v>Ok</v>
      </c>
    </row>
    <row r="173" spans="2:15">
      <c r="B173" s="124" t="str">
        <v>UAH</v>
      </c>
      <c r="C173" s="270" t="str">
        <v>Ukraine</v>
      </c>
      <c r="D173" s="270" t="str">
        <v/>
      </c>
      <c r="E173" s="125" t="str">
        <v/>
      </c>
      <c r="G173" s="124" t="s">
        <v>307</v>
      </c>
      <c r="H173" s="270" t="s">
        <v>308</v>
      </c>
      <c r="I173" s="270" t="s">
        <v>243</v>
      </c>
      <c r="J173" s="125" t="s">
        <v>243</v>
      </c>
      <c r="L173" s="291" t="str" cm="1">
        <f t="array" ref="L173">_xll.d.TestUtils_Equal(B173,G173)</f>
        <v>Ok</v>
      </c>
      <c r="M173" s="291" t="str" cm="1">
        <f t="array" ref="M173">_xll.d.TestUtils_Equal(C173,H173)</f>
        <v>Ok</v>
      </c>
      <c r="N173" s="291" t="str" cm="1">
        <f t="array" ref="N173">_xll.d.TestUtils_Equal(D173,I173)</f>
        <v>Ok</v>
      </c>
      <c r="O173" s="291" t="str" cm="1">
        <f t="array" ref="O173">_xll.d.TestUtils_Equal(E173,J173)</f>
        <v>Ok</v>
      </c>
    </row>
    <row r="174" spans="2:15">
      <c r="B174" s="124" t="str">
        <v>USD</v>
      </c>
      <c r="C174" s="270" t="str">
        <v>USA</v>
      </c>
      <c r="D174" s="270" t="str">
        <v>United States</v>
      </c>
      <c r="E174" s="125" t="str">
        <v>United States of America</v>
      </c>
      <c r="G174" s="124" t="s">
        <v>309</v>
      </c>
      <c r="H174" s="270" t="s">
        <v>310</v>
      </c>
      <c r="I174" s="270" t="s">
        <v>311</v>
      </c>
      <c r="J174" s="125" t="s">
        <v>312</v>
      </c>
      <c r="L174" s="291" t="str" cm="1">
        <f t="array" ref="L174">_xll.d.TestUtils_Equal(B174,G174)</f>
        <v>Ok</v>
      </c>
      <c r="M174" s="291" t="str" cm="1">
        <f t="array" ref="M174">_xll.d.TestUtils_Equal(C174,H174)</f>
        <v>Ok</v>
      </c>
      <c r="N174" s="291" t="str" cm="1">
        <f t="array" ref="N174">_xll.d.TestUtils_Equal(D174,I174)</f>
        <v>Ok</v>
      </c>
      <c r="O174" s="291" t="str" cm="1">
        <f t="array" ref="O174">_xll.d.TestUtils_Equal(E174,J174)</f>
        <v>Ok</v>
      </c>
    </row>
    <row r="175" spans="2:15">
      <c r="B175" s="124" t="str">
        <v>WEEKENDSONLY</v>
      </c>
      <c r="C175" s="270" t="str">
        <v/>
      </c>
      <c r="D175" s="270" t="str">
        <v/>
      </c>
      <c r="E175" s="125" t="str">
        <v/>
      </c>
      <c r="G175" s="124" t="s">
        <v>447</v>
      </c>
      <c r="H175" s="270" t="s">
        <v>243</v>
      </c>
      <c r="I175" s="270" t="s">
        <v>243</v>
      </c>
      <c r="J175" s="125" t="s">
        <v>243</v>
      </c>
      <c r="L175" s="291" t="str" cm="1">
        <f t="array" ref="L175">_xll.d.TestUtils_Equal(B175,G175)</f>
        <v>Ok</v>
      </c>
      <c r="M175" s="291" t="str" cm="1">
        <f t="array" ref="M175">_xll.d.TestUtils_Equal(C175,H175)</f>
        <v>Ok</v>
      </c>
      <c r="N175" s="291" t="str" cm="1">
        <f t="array" ref="N175">_xll.d.TestUtils_Equal(D175,I175)</f>
        <v>Ok</v>
      </c>
      <c r="O175" s="291" t="str" cm="1">
        <f t="array" ref="O175">_xll.d.TestUtils_Equal(E175,J175)</f>
        <v>Ok</v>
      </c>
    </row>
    <row r="176" spans="2:15">
      <c r="B176" s="126" t="str">
        <v>ZAR</v>
      </c>
      <c r="C176" s="190" t="str">
        <v>South Africa</v>
      </c>
      <c r="D176" s="190" t="str">
        <v/>
      </c>
      <c r="E176" s="127" t="str">
        <v/>
      </c>
      <c r="G176" s="126" t="s">
        <v>54</v>
      </c>
      <c r="H176" s="190" t="s">
        <v>313</v>
      </c>
      <c r="I176" s="190" t="s">
        <v>243</v>
      </c>
      <c r="J176" s="127" t="s">
        <v>243</v>
      </c>
      <c r="L176" s="291" t="str" cm="1">
        <f t="array" ref="L176">_xll.d.TestUtils_Equal(B176,G176)</f>
        <v>Ok</v>
      </c>
      <c r="M176" s="291" t="str" cm="1">
        <f t="array" ref="M176">_xll.d.TestUtils_Equal(C176,H176)</f>
        <v>Ok</v>
      </c>
      <c r="N176" s="291" t="str" cm="1">
        <f t="array" ref="N176">_xll.d.TestUtils_Equal(D176,I176)</f>
        <v>Ok</v>
      </c>
      <c r="O176" s="291" t="str" cm="1">
        <f t="array" ref="O176">_xll.d.TestUtils_Equal(E176,J176)</f>
        <v>Ok</v>
      </c>
    </row>
    <row r="179" spans="2:27" ht="18.75">
      <c r="B179" s="3" t="s">
        <v>368</v>
      </c>
      <c r="C179" s="297"/>
      <c r="D179" s="297"/>
      <c r="E179" s="297"/>
      <c r="F179" s="297"/>
      <c r="G179" s="297"/>
      <c r="H179" s="297"/>
      <c r="I179" s="297"/>
      <c r="J179" s="297"/>
      <c r="K179" s="297"/>
      <c r="L179" s="297"/>
      <c r="M179" s="297"/>
      <c r="N179" s="297"/>
      <c r="O179" s="297"/>
      <c r="P179" s="297"/>
      <c r="Q179" s="297"/>
      <c r="R179" s="297"/>
      <c r="S179" s="297"/>
      <c r="T179" s="297"/>
      <c r="U179" s="297"/>
      <c r="V179" s="297"/>
      <c r="W179" s="297"/>
      <c r="X179" s="297"/>
      <c r="Y179" s="297"/>
      <c r="Z179" s="297"/>
      <c r="AA179" s="297"/>
    </row>
    <row r="181" spans="2:27">
      <c r="B181" s="50" t="s">
        <v>139</v>
      </c>
      <c r="C181" s="291" t="str" cm="1">
        <f t="array" aca="1" ref="C181" ca="1">_xll.d.TestUtils_And(G186:G195,N186:N204,AA186)</f>
        <v>Ok</v>
      </c>
    </row>
    <row r="183" spans="2:27" ht="15.75">
      <c r="B183" s="4" t="s">
        <v>220</v>
      </c>
      <c r="C183" s="298"/>
      <c r="D183" s="298"/>
      <c r="E183" s="298"/>
      <c r="F183" s="298"/>
      <c r="G183" s="298"/>
      <c r="I183" s="4" t="s">
        <v>221</v>
      </c>
      <c r="J183" s="298"/>
      <c r="K183" s="298"/>
      <c r="L183" s="298"/>
      <c r="M183" s="298"/>
      <c r="N183" s="298"/>
      <c r="P183" s="4" t="s">
        <v>224</v>
      </c>
      <c r="Q183" s="298"/>
      <c r="R183" s="298"/>
      <c r="S183" s="298"/>
      <c r="T183" s="298"/>
      <c r="U183" s="298"/>
      <c r="V183" s="298"/>
      <c r="W183" s="298"/>
      <c r="X183" s="298"/>
      <c r="Y183" s="298"/>
      <c r="Z183" s="298"/>
      <c r="AA183" s="298"/>
    </row>
    <row r="184" spans="2:27">
      <c r="G184" s="290"/>
      <c r="N184" s="290"/>
    </row>
    <row r="185" spans="2:27">
      <c r="B185" s="120" t="s">
        <v>212</v>
      </c>
      <c r="C185" s="121"/>
      <c r="E185" s="12" t="s">
        <v>113</v>
      </c>
      <c r="F185" s="27" t="s">
        <v>214</v>
      </c>
      <c r="G185" s="121" t="s">
        <v>67</v>
      </c>
      <c r="I185" s="120" t="s">
        <v>212</v>
      </c>
      <c r="J185" s="121"/>
      <c r="L185" s="12" t="s">
        <v>113</v>
      </c>
      <c r="M185" s="27" t="s">
        <v>214</v>
      </c>
      <c r="N185" s="121" t="s">
        <v>67</v>
      </c>
      <c r="P185" s="120" t="s">
        <v>212</v>
      </c>
      <c r="Q185" s="121"/>
      <c r="S185" s="12" t="s">
        <v>113</v>
      </c>
      <c r="T185" s="27"/>
      <c r="U185" s="27"/>
      <c r="V185" s="27"/>
      <c r="W185" s="27" t="s">
        <v>214</v>
      </c>
      <c r="X185" s="27"/>
      <c r="Y185" s="27"/>
      <c r="Z185" s="27"/>
      <c r="AA185" s="121" t="s">
        <v>67</v>
      </c>
    </row>
    <row r="186" spans="2:27">
      <c r="B186" s="122" t="s">
        <v>218</v>
      </c>
      <c r="C186" s="292">
        <v>44562</v>
      </c>
      <c r="E186" s="305" cm="1">
        <f t="array" aca="1" ref="E186:E195" ca="1">_xll.d.Dates_GetListOfHolidays(C186,C187,C188)</f>
        <v>44641</v>
      </c>
      <c r="F186" s="306">
        <v>44641</v>
      </c>
      <c r="G186" s="123" t="str" cm="1">
        <f t="array" aca="1" ref="G186" ca="1">_xll.d.TestUtils_Equal(E186,F186)</f>
        <v>Ok</v>
      </c>
      <c r="I186" s="122" t="s">
        <v>218</v>
      </c>
      <c r="J186" s="292">
        <v>44562</v>
      </c>
      <c r="L186" s="305" cm="1">
        <f t="array" aca="1" ref="L186:L204" ca="1">_xll.d.Dates_GetListOfHolidays(J186,J187,J188)</f>
        <v>44578</v>
      </c>
      <c r="M186" s="306">
        <v>44578</v>
      </c>
      <c r="N186" s="123" t="str" cm="1">
        <f t="array" aca="1" ref="N186" ca="1">_xll.d.TestUtils_Equal(L186,M186)</f>
        <v>Ok</v>
      </c>
      <c r="P186" s="122" t="s">
        <v>218</v>
      </c>
      <c r="Q186" s="292">
        <v>44562</v>
      </c>
      <c r="S186" s="527" t="str" cm="1">
        <f t="array" aca="1" ref="S186" ca="1">_xll.d.Dates_GetListOfHolidays(Q186,Q187,Q188)</f>
        <v>#∂Excel Error: Unsupported calendar: 'WRE'</v>
      </c>
      <c r="T186" s="528"/>
      <c r="U186" s="528"/>
      <c r="V186" s="528"/>
      <c r="W186" s="528" t="s">
        <v>445</v>
      </c>
      <c r="X186" s="528"/>
      <c r="Y186" s="528"/>
      <c r="Z186" s="528"/>
      <c r="AA186" s="301" t="str" cm="1">
        <f t="array" aca="1" ref="AA186" ca="1">_xll.d.TestUtils_Equal(S186,W186)</f>
        <v>Ok</v>
      </c>
    </row>
    <row r="187" spans="2:27">
      <c r="B187" s="124" t="s">
        <v>219</v>
      </c>
      <c r="C187" s="304">
        <v>44926</v>
      </c>
      <c r="E187" s="307">
        <f ca="1"/>
        <v>44666</v>
      </c>
      <c r="F187" s="308">
        <v>44666</v>
      </c>
      <c r="G187" s="125" t="str" cm="1">
        <f t="array" aca="1" ref="G187" ca="1">_xll.d.TestUtils_Equal(E187,F187)</f>
        <v>Ok</v>
      </c>
      <c r="I187" s="124" t="s">
        <v>219</v>
      </c>
      <c r="J187" s="304">
        <v>44926</v>
      </c>
      <c r="L187" s="307">
        <f ca="1"/>
        <v>44613</v>
      </c>
      <c r="M187" s="308">
        <v>44613</v>
      </c>
      <c r="N187" s="125" t="str" cm="1">
        <f t="array" aca="1" ref="N187" ca="1">_xll.d.TestUtils_Equal(L187,M187)</f>
        <v>Ok</v>
      </c>
      <c r="P187" s="124" t="s">
        <v>219</v>
      </c>
      <c r="Q187" s="304">
        <v>44926</v>
      </c>
    </row>
    <row r="188" spans="2:27">
      <c r="B188" s="126" t="s">
        <v>201</v>
      </c>
      <c r="C188" s="127" t="s">
        <v>54</v>
      </c>
      <c r="E188" s="307">
        <f ca="1"/>
        <v>44669</v>
      </c>
      <c r="F188" s="308">
        <v>44669</v>
      </c>
      <c r="G188" s="125" t="str" cm="1">
        <f t="array" aca="1" ref="G188" ca="1">_xll.d.TestUtils_Equal(E188,F188)</f>
        <v>Ok</v>
      </c>
      <c r="I188" s="126" t="s">
        <v>201</v>
      </c>
      <c r="J188" s="127" t="s">
        <v>217</v>
      </c>
      <c r="L188" s="307">
        <f ca="1"/>
        <v>44641</v>
      </c>
      <c r="M188" s="308">
        <v>44641</v>
      </c>
      <c r="N188" s="125" t="str" cm="1">
        <f t="array" aca="1" ref="N188" ca="1">_xll.d.TestUtils_Equal(L188,M188)</f>
        <v>Ok</v>
      </c>
      <c r="P188" s="126" t="s">
        <v>201</v>
      </c>
      <c r="Q188" s="127" t="s">
        <v>223</v>
      </c>
    </row>
    <row r="189" spans="2:27">
      <c r="E189" s="307">
        <f ca="1"/>
        <v>44678</v>
      </c>
      <c r="F189" s="308">
        <v>44678</v>
      </c>
      <c r="G189" s="125" t="str" cm="1">
        <f t="array" aca="1" ref="G189" ca="1">_xll.d.TestUtils_Equal(E189,F189)</f>
        <v>Ok</v>
      </c>
      <c r="L189" s="307">
        <f ca="1"/>
        <v>44666</v>
      </c>
      <c r="M189" s="308">
        <v>44666</v>
      </c>
      <c r="N189" s="125" t="str" cm="1">
        <f t="array" aca="1" ref="N189" ca="1">_xll.d.TestUtils_Equal(L189,M189)</f>
        <v>Ok</v>
      </c>
    </row>
    <row r="190" spans="2:27">
      <c r="E190" s="307">
        <f ca="1"/>
        <v>44683</v>
      </c>
      <c r="F190" s="308">
        <v>44683</v>
      </c>
      <c r="G190" s="125" t="str" cm="1">
        <f t="array" aca="1" ref="G190" ca="1">_xll.d.TestUtils_Equal(E190,F190)</f>
        <v>Ok</v>
      </c>
      <c r="L190" s="307">
        <f ca="1"/>
        <v>44669</v>
      </c>
      <c r="M190" s="308">
        <v>44669</v>
      </c>
      <c r="N190" s="125" t="str" cm="1">
        <f t="array" aca="1" ref="N190" ca="1">_xll.d.TestUtils_Equal(L190,M190)</f>
        <v>Ok</v>
      </c>
    </row>
    <row r="191" spans="2:27">
      <c r="E191" s="307">
        <f ca="1"/>
        <v>44728</v>
      </c>
      <c r="F191" s="308">
        <v>44728</v>
      </c>
      <c r="G191" s="125" t="str" cm="1">
        <f t="array" aca="1" ref="G191" ca="1">_xll.d.TestUtils_Equal(E191,F191)</f>
        <v>Ok</v>
      </c>
      <c r="L191" s="307">
        <f ca="1"/>
        <v>44678</v>
      </c>
      <c r="M191" s="308">
        <v>44678</v>
      </c>
      <c r="N191" s="125" t="str" cm="1">
        <f t="array" aca="1" ref="N191" ca="1">_xll.d.TestUtils_Equal(L191,M191)</f>
        <v>Ok</v>
      </c>
    </row>
    <row r="192" spans="2:27">
      <c r="E192" s="307">
        <f ca="1"/>
        <v>44782</v>
      </c>
      <c r="F192" s="308">
        <v>44782</v>
      </c>
      <c r="G192" s="125" t="str" cm="1">
        <f t="array" aca="1" ref="G192" ca="1">_xll.d.TestUtils_Equal(E192,F192)</f>
        <v>Ok</v>
      </c>
      <c r="L192" s="307">
        <f ca="1"/>
        <v>44683</v>
      </c>
      <c r="M192" s="308">
        <v>44683</v>
      </c>
      <c r="N192" s="125" t="str" cm="1">
        <f t="array" aca="1" ref="N192" ca="1">_xll.d.TestUtils_Equal(L192,M192)</f>
        <v>Ok</v>
      </c>
    </row>
    <row r="193" spans="2:35">
      <c r="E193" s="307">
        <f ca="1"/>
        <v>44911</v>
      </c>
      <c r="F193" s="308">
        <v>44911</v>
      </c>
      <c r="G193" s="125" t="str" cm="1">
        <f t="array" aca="1" ref="G193" ca="1">_xll.d.TestUtils_Equal(E193,F193)</f>
        <v>Ok</v>
      </c>
      <c r="L193" s="307">
        <f ca="1"/>
        <v>44711</v>
      </c>
      <c r="M193" s="308">
        <v>44711</v>
      </c>
      <c r="N193" s="125" t="str" cm="1">
        <f t="array" aca="1" ref="N193" ca="1">_xll.d.TestUtils_Equal(L193,M193)</f>
        <v>Ok</v>
      </c>
    </row>
    <row r="194" spans="2:35">
      <c r="E194" s="307">
        <f ca="1"/>
        <v>44921</v>
      </c>
      <c r="F194" s="308">
        <v>44921</v>
      </c>
      <c r="G194" s="125" t="str" cm="1">
        <f t="array" aca="1" ref="G194" ca="1">_xll.d.TestUtils_Equal(E194,F194)</f>
        <v>Ok</v>
      </c>
      <c r="L194" s="307">
        <f ca="1"/>
        <v>44728</v>
      </c>
      <c r="M194" s="308">
        <v>44728</v>
      </c>
      <c r="N194" s="125" t="str" cm="1">
        <f t="array" aca="1" ref="N194" ca="1">_xll.d.TestUtils_Equal(L194,M194)</f>
        <v>Ok</v>
      </c>
    </row>
    <row r="195" spans="2:35">
      <c r="E195" s="309">
        <f ca="1"/>
        <v>44922</v>
      </c>
      <c r="F195" s="310">
        <v>44922</v>
      </c>
      <c r="G195" s="125" t="str" cm="1">
        <f t="array" aca="1" ref="G195" ca="1">_xll.d.TestUtils_Equal(E195,F195)</f>
        <v>Ok</v>
      </c>
      <c r="L195" s="307">
        <f ca="1"/>
        <v>44732</v>
      </c>
      <c r="M195" s="308">
        <v>44732</v>
      </c>
      <c r="N195" s="125" t="str" cm="1">
        <f t="array" aca="1" ref="N195" ca="1">_xll.d.TestUtils_Equal(L195,M195)</f>
        <v>Ok</v>
      </c>
    </row>
    <row r="196" spans="2:35">
      <c r="G196" s="290"/>
      <c r="L196" s="307">
        <f ca="1"/>
        <v>44746</v>
      </c>
      <c r="M196" s="308">
        <v>44746</v>
      </c>
      <c r="N196" s="125" t="str" cm="1">
        <f t="array" aca="1" ref="N196" ca="1">_xll.d.TestUtils_Equal(L196,M196)</f>
        <v>Ok</v>
      </c>
    </row>
    <row r="197" spans="2:35">
      <c r="G197" s="290"/>
      <c r="L197" s="307">
        <f ca="1"/>
        <v>44782</v>
      </c>
      <c r="M197" s="308">
        <v>44782</v>
      </c>
      <c r="N197" s="125" t="str" cm="1">
        <f t="array" aca="1" ref="N197" ca="1">_xll.d.TestUtils_Equal(L197,M197)</f>
        <v>Ok</v>
      </c>
    </row>
    <row r="198" spans="2:35">
      <c r="G198" s="290"/>
      <c r="L198" s="307">
        <f ca="1"/>
        <v>44809</v>
      </c>
      <c r="M198" s="308">
        <v>44809</v>
      </c>
      <c r="N198" s="125" t="str" cm="1">
        <f t="array" aca="1" ref="N198" ca="1">_xll.d.TestUtils_Equal(L198,M198)</f>
        <v>Ok</v>
      </c>
    </row>
    <row r="199" spans="2:35">
      <c r="G199" s="290"/>
      <c r="L199" s="307">
        <f ca="1"/>
        <v>44844</v>
      </c>
      <c r="M199" s="308">
        <v>44844</v>
      </c>
      <c r="N199" s="125" t="str" cm="1">
        <f t="array" aca="1" ref="N199" ca="1">_xll.d.TestUtils_Equal(L199,M199)</f>
        <v>Ok</v>
      </c>
    </row>
    <row r="200" spans="2:35">
      <c r="G200" s="290"/>
      <c r="L200" s="307">
        <f ca="1"/>
        <v>44876</v>
      </c>
      <c r="M200" s="308">
        <v>44876</v>
      </c>
      <c r="N200" s="125" t="str" cm="1">
        <f t="array" aca="1" ref="N200" ca="1">_xll.d.TestUtils_Equal(L200,M200)</f>
        <v>Ok</v>
      </c>
    </row>
    <row r="201" spans="2:35">
      <c r="G201" s="290"/>
      <c r="L201" s="307">
        <f ca="1"/>
        <v>44889</v>
      </c>
      <c r="M201" s="308">
        <v>44889</v>
      </c>
      <c r="N201" s="125" t="str" cm="1">
        <f t="array" aca="1" ref="N201" ca="1">_xll.d.TestUtils_Equal(L201,M201)</f>
        <v>Ok</v>
      </c>
    </row>
    <row r="202" spans="2:35">
      <c r="G202" s="290"/>
      <c r="L202" s="307">
        <f ca="1"/>
        <v>44911</v>
      </c>
      <c r="M202" s="308">
        <v>44911</v>
      </c>
      <c r="N202" s="125" t="str" cm="1">
        <f t="array" aca="1" ref="N202" ca="1">_xll.d.TestUtils_Equal(L202,M202)</f>
        <v>Ok</v>
      </c>
    </row>
    <row r="203" spans="2:35">
      <c r="G203" s="290"/>
      <c r="L203" s="307">
        <f ca="1"/>
        <v>44921</v>
      </c>
      <c r="M203" s="308">
        <v>44921</v>
      </c>
      <c r="N203" s="125" t="str" cm="1">
        <f t="array" aca="1" ref="N203" ca="1">_xll.d.TestUtils_Equal(L203,M203)</f>
        <v>Ok</v>
      </c>
    </row>
    <row r="204" spans="2:35">
      <c r="L204" s="309">
        <f ca="1"/>
        <v>44922</v>
      </c>
      <c r="M204" s="310">
        <v>44922</v>
      </c>
      <c r="N204" s="125" t="str" cm="1">
        <f t="array" aca="1" ref="N204" ca="1">_xll.d.TestUtils_Equal(L204,M204)</f>
        <v>Ok</v>
      </c>
    </row>
    <row r="206" spans="2:35" ht="18.75">
      <c r="B206" s="3" t="s">
        <v>369</v>
      </c>
      <c r="C206" s="297"/>
      <c r="D206" s="297"/>
      <c r="E206" s="297"/>
      <c r="F206" s="297"/>
      <c r="G206" s="297"/>
      <c r="H206" s="297"/>
      <c r="I206" s="297"/>
      <c r="J206" s="297"/>
      <c r="K206" s="297"/>
      <c r="L206" s="297"/>
      <c r="M206" s="297"/>
      <c r="N206" s="297"/>
      <c r="O206" s="297"/>
      <c r="P206" s="297"/>
      <c r="Q206" s="297"/>
      <c r="R206" s="297"/>
      <c r="S206" s="297"/>
      <c r="T206" s="297"/>
      <c r="U206" s="297"/>
      <c r="V206" s="297"/>
      <c r="W206" s="297"/>
      <c r="X206" s="297"/>
      <c r="Y206" s="297"/>
      <c r="Z206" s="297"/>
      <c r="AA206" s="297"/>
      <c r="AB206" s="297"/>
      <c r="AC206" s="297"/>
      <c r="AD206" s="297"/>
      <c r="AE206" s="297"/>
      <c r="AF206" s="297"/>
      <c r="AG206" s="297"/>
      <c r="AH206" s="297"/>
      <c r="AI206" s="297"/>
    </row>
    <row r="208" spans="2:35">
      <c r="B208" s="50" t="s">
        <v>139</v>
      </c>
      <c r="C208" s="291" t="str" cm="1">
        <f t="array" aca="1" ref="C208" ca="1">_xll.d.TestUtils_And(G213:G217,N213:N217,U213:U217,AI213)</f>
        <v>Ok</v>
      </c>
    </row>
    <row r="210" spans="2:35" ht="15.75">
      <c r="B210" s="4" t="s">
        <v>318</v>
      </c>
      <c r="C210" s="298"/>
      <c r="D210" s="298"/>
      <c r="E210" s="298"/>
      <c r="F210" s="298"/>
      <c r="G210" s="298"/>
      <c r="I210" s="4" t="s">
        <v>320</v>
      </c>
      <c r="J210" s="298"/>
      <c r="K210" s="298"/>
      <c r="L210" s="298"/>
      <c r="M210" s="298"/>
      <c r="N210" s="298"/>
      <c r="P210" s="4" t="s">
        <v>321</v>
      </c>
      <c r="Q210" s="298"/>
      <c r="R210" s="298"/>
      <c r="S210" s="298"/>
      <c r="T210" s="298"/>
      <c r="U210" s="298"/>
      <c r="W210" s="4" t="s">
        <v>224</v>
      </c>
      <c r="X210" s="4"/>
      <c r="Y210" s="298"/>
      <c r="Z210" s="298"/>
      <c r="AA210" s="298"/>
      <c r="AB210" s="298"/>
      <c r="AC210" s="298"/>
      <c r="AD210" s="298"/>
      <c r="AE210" s="298"/>
      <c r="AF210" s="298"/>
      <c r="AG210" s="298"/>
      <c r="AH210" s="298"/>
      <c r="AI210" s="298"/>
    </row>
    <row r="212" spans="2:35">
      <c r="B212" s="120" t="s">
        <v>212</v>
      </c>
      <c r="C212" s="121"/>
      <c r="E212" s="120" t="s">
        <v>113</v>
      </c>
      <c r="F212" s="121" t="s">
        <v>214</v>
      </c>
      <c r="G212" s="121" t="s">
        <v>67</v>
      </c>
      <c r="I212" s="120" t="s">
        <v>212</v>
      </c>
      <c r="J212" s="121"/>
      <c r="L212" s="120" t="s">
        <v>113</v>
      </c>
      <c r="M212" s="121" t="s">
        <v>214</v>
      </c>
      <c r="N212" s="121" t="s">
        <v>67</v>
      </c>
      <c r="P212" s="120" t="s">
        <v>212</v>
      </c>
      <c r="Q212" s="121"/>
      <c r="S212" s="120" t="s">
        <v>113</v>
      </c>
      <c r="T212" s="121" t="s">
        <v>214</v>
      </c>
      <c r="U212" s="121" t="s">
        <v>67</v>
      </c>
      <c r="W212" s="120" t="s">
        <v>212</v>
      </c>
      <c r="X212" s="191"/>
      <c r="Y212" s="121"/>
      <c r="AA212" s="120" t="s">
        <v>113</v>
      </c>
      <c r="AB212" s="191"/>
      <c r="AC212" s="191"/>
      <c r="AD212" s="191"/>
      <c r="AE212" s="121" t="s">
        <v>214</v>
      </c>
      <c r="AF212" s="121"/>
      <c r="AG212" s="121"/>
      <c r="AH212" s="121"/>
      <c r="AI212" s="121" t="s">
        <v>67</v>
      </c>
    </row>
    <row r="213" spans="2:35">
      <c r="B213" s="122" t="s">
        <v>218</v>
      </c>
      <c r="C213" s="292">
        <v>44743</v>
      </c>
      <c r="E213" s="305">
        <f t="array" ref="E213:E217">_xll.d.Dates_GenerateSchedule(C213,C214,C215,C216,C217,C218)</f>
        <v>44743</v>
      </c>
      <c r="F213" s="292">
        <v>44743</v>
      </c>
      <c r="G213" s="291" t="str" cm="1">
        <f t="array" aca="1" ref="G213" ca="1">_xll.d.TestUtils_Equal(E213,F213)</f>
        <v>Ok</v>
      </c>
      <c r="I213" s="122" t="s">
        <v>218</v>
      </c>
      <c r="J213" s="292">
        <v>44743</v>
      </c>
      <c r="L213" s="305">
        <f t="array" aca="1" ref="L213:L217" ca="1">_xll.d.Dates_GenerateSchedule(J213,J214,J215,J216,J217,J218)</f>
        <v>44743</v>
      </c>
      <c r="M213" s="292">
        <v>44743</v>
      </c>
      <c r="N213" s="291" t="str" cm="1">
        <f t="array" aca="1" ref="N213" ca="1">_xll.d.TestUtils_Equal(L213,M213)</f>
        <v>Ok</v>
      </c>
      <c r="P213" s="122" t="s">
        <v>218</v>
      </c>
      <c r="Q213" s="292">
        <v>44743</v>
      </c>
      <c r="S213" s="305">
        <f t="array" aca="1" ref="S213:S217" ca="1">_xll.d.Dates_GenerateSchedule(Q213,Q214,Q215,Q216,Q217,Q218)</f>
        <v>44743</v>
      </c>
      <c r="T213" s="292">
        <v>44743</v>
      </c>
      <c r="U213" s="291" t="str" cm="1">
        <f t="array" aca="1" ref="U213" ca="1">_xll.d.TestUtils_Equal(S213,T213)</f>
        <v>Ok</v>
      </c>
      <c r="W213" s="447" t="s">
        <v>218</v>
      </c>
      <c r="X213" s="529"/>
      <c r="Y213" s="292">
        <v>44743</v>
      </c>
      <c r="AA213" s="532" t="str" cm="1">
        <f t="array" aca="1" ref="AA213" ca="1">_xll.d.Dates_GenerateSchedule(Y213,Y214,Y215,Y216,Y217,Y218)</f>
        <v>#∂Excel Error: Unsupported calendar: 'WRE'</v>
      </c>
      <c r="AB213" s="533"/>
      <c r="AC213" s="533"/>
      <c r="AD213" s="533"/>
      <c r="AE213" s="534" t="s">
        <v>445</v>
      </c>
      <c r="AF213" s="533"/>
      <c r="AG213" s="533"/>
      <c r="AH213" s="535"/>
      <c r="AI213" s="291" t="str" cm="1">
        <f t="array" aca="1" ref="AI213" ca="1">_xll.d.TestUtils_Equal(AA213,AE213)</f>
        <v>Ok</v>
      </c>
    </row>
    <row r="214" spans="2:35">
      <c r="B214" s="124" t="s">
        <v>219</v>
      </c>
      <c r="C214" s="304">
        <v>45474</v>
      </c>
      <c r="E214" s="307">
        <v>44837</v>
      </c>
      <c r="F214" s="304">
        <v>44837</v>
      </c>
      <c r="G214" s="291" t="str" cm="1">
        <f t="array" aca="1" ref="G214" ca="1">_xll.d.TestUtils_Equal(E214,F214)</f>
        <v>Ok</v>
      </c>
      <c r="I214" s="124" t="s">
        <v>219</v>
      </c>
      <c r="J214" s="304">
        <v>45108</v>
      </c>
      <c r="L214" s="307">
        <f ca="1"/>
        <v>44837</v>
      </c>
      <c r="M214" s="304">
        <v>44837</v>
      </c>
      <c r="N214" s="291" t="str" cm="1">
        <f t="array" aca="1" ref="N214" ca="1">_xll.d.TestUtils_Equal(L214,M214)</f>
        <v>Ok</v>
      </c>
      <c r="P214" s="124" t="s">
        <v>219</v>
      </c>
      <c r="Q214" s="304">
        <v>45108</v>
      </c>
      <c r="S214" s="307">
        <f ca="1"/>
        <v>44824</v>
      </c>
      <c r="T214" s="304">
        <v>44824</v>
      </c>
      <c r="U214" s="291" t="str" cm="1">
        <f t="array" aca="1" ref="U214" ca="1">_xll.d.TestUtils_Equal(S214,T214)</f>
        <v>Ok</v>
      </c>
      <c r="W214" s="448" t="s">
        <v>219</v>
      </c>
      <c r="X214" s="530"/>
      <c r="Y214" s="304">
        <v>45108</v>
      </c>
    </row>
    <row r="215" spans="2:35">
      <c r="B215" s="124" t="s">
        <v>314</v>
      </c>
      <c r="C215" s="125" t="s">
        <v>24</v>
      </c>
      <c r="E215" s="307">
        <v>44929</v>
      </c>
      <c r="F215" s="304">
        <v>44929</v>
      </c>
      <c r="G215" s="291" t="str" cm="1">
        <f t="array" aca="1" ref="G215" ca="1">_xll.d.TestUtils_Equal(E215,F215)</f>
        <v>Ok</v>
      </c>
      <c r="I215" s="124" t="s">
        <v>314</v>
      </c>
      <c r="J215" s="125" t="s">
        <v>24</v>
      </c>
      <c r="L215" s="307">
        <f ca="1"/>
        <v>44929</v>
      </c>
      <c r="M215" s="304">
        <v>44929</v>
      </c>
      <c r="N215" s="291" t="str" cm="1">
        <f t="array" aca="1" ref="N215" ca="1">_xll.d.TestUtils_Equal(L215,M215)</f>
        <v>Ok</v>
      </c>
      <c r="P215" s="124" t="s">
        <v>314</v>
      </c>
      <c r="Q215" s="125" t="s">
        <v>24</v>
      </c>
      <c r="S215" s="307">
        <f ca="1"/>
        <v>44915</v>
      </c>
      <c r="T215" s="304">
        <v>44915</v>
      </c>
      <c r="U215" s="291" t="str" cm="1">
        <f t="array" aca="1" ref="U215" ca="1">_xll.d.TestUtils_Equal(S215,T215)</f>
        <v>Ok</v>
      </c>
      <c r="W215" s="448" t="s">
        <v>314</v>
      </c>
      <c r="X215" s="530"/>
      <c r="Y215" s="125" t="s">
        <v>24</v>
      </c>
    </row>
    <row r="216" spans="2:35">
      <c r="B216" s="124" t="s">
        <v>315</v>
      </c>
      <c r="C216" s="125" t="s">
        <v>217</v>
      </c>
      <c r="E216" s="307">
        <v>45019</v>
      </c>
      <c r="F216" s="304">
        <v>45019</v>
      </c>
      <c r="G216" s="291" t="str" cm="1">
        <f t="array" aca="1" ref="G216" ca="1">_xll.d.TestUtils_Equal(E216,F216)</f>
        <v>Ok</v>
      </c>
      <c r="I216" s="124" t="s">
        <v>315</v>
      </c>
      <c r="J216" s="125" t="s">
        <v>217</v>
      </c>
      <c r="L216" s="307">
        <f ca="1"/>
        <v>45019</v>
      </c>
      <c r="M216" s="304">
        <v>45019</v>
      </c>
      <c r="N216" s="291" t="str" cm="1">
        <f t="array" aca="1" ref="N216" ca="1">_xll.d.TestUtils_Equal(L216,M216)</f>
        <v>Ok</v>
      </c>
      <c r="P216" s="124" t="s">
        <v>315</v>
      </c>
      <c r="Q216" s="125" t="s">
        <v>217</v>
      </c>
      <c r="S216" s="307">
        <f ca="1"/>
        <v>45005</v>
      </c>
      <c r="T216" s="304">
        <v>45005</v>
      </c>
      <c r="U216" s="291" t="str" cm="1">
        <f t="array" aca="1" ref="U216" ca="1">_xll.d.TestUtils_Equal(S216,T216)</f>
        <v>Ok</v>
      </c>
      <c r="W216" s="448" t="s">
        <v>315</v>
      </c>
      <c r="X216" s="530"/>
      <c r="Y216" s="125" t="s">
        <v>223</v>
      </c>
    </row>
    <row r="217" spans="2:35">
      <c r="B217" s="124" t="s">
        <v>202</v>
      </c>
      <c r="C217" s="125" t="s">
        <v>203</v>
      </c>
      <c r="E217" s="309">
        <v>45110</v>
      </c>
      <c r="F217" s="312">
        <v>45110</v>
      </c>
      <c r="G217" s="291" t="str" cm="1">
        <f t="array" aca="1" ref="G217" ca="1">_xll.d.TestUtils_Equal(E217,F217)</f>
        <v>Ok</v>
      </c>
      <c r="I217" s="124" t="s">
        <v>202</v>
      </c>
      <c r="J217" s="125" t="s">
        <v>203</v>
      </c>
      <c r="L217" s="309">
        <f ca="1"/>
        <v>45110</v>
      </c>
      <c r="M217" s="312">
        <v>45110</v>
      </c>
      <c r="N217" s="291" t="str" cm="1">
        <f t="array" aca="1" ref="N217" ca="1">_xll.d.TestUtils_Equal(L217,M217)</f>
        <v>Ok</v>
      </c>
      <c r="P217" s="124" t="s">
        <v>202</v>
      </c>
      <c r="Q217" s="125" t="s">
        <v>203</v>
      </c>
      <c r="S217" s="309">
        <f ca="1"/>
        <v>45097</v>
      </c>
      <c r="T217" s="312">
        <v>45097</v>
      </c>
      <c r="U217" s="291" t="str" cm="1">
        <f t="array" aca="1" ref="U217" ca="1">_xll.d.TestUtils_Equal(S217,T217)</f>
        <v>Ok</v>
      </c>
      <c r="W217" s="448" t="s">
        <v>202</v>
      </c>
      <c r="X217" s="530"/>
      <c r="Y217" s="125" t="s">
        <v>203</v>
      </c>
    </row>
    <row r="218" spans="2:35">
      <c r="B218" s="126" t="s">
        <v>316</v>
      </c>
      <c r="C218" s="127" t="s">
        <v>317</v>
      </c>
      <c r="I218" s="126" t="s">
        <v>316</v>
      </c>
      <c r="J218" s="127" t="s">
        <v>319</v>
      </c>
      <c r="P218" s="126" t="s">
        <v>316</v>
      </c>
      <c r="Q218" s="127" t="s">
        <v>322</v>
      </c>
      <c r="W218" s="449" t="s">
        <v>316</v>
      </c>
      <c r="X218" s="531"/>
      <c r="Y218" s="127" t="s">
        <v>322</v>
      </c>
    </row>
    <row r="222" spans="2:35" ht="18.75">
      <c r="B222" s="3" t="s">
        <v>370</v>
      </c>
      <c r="C222" s="297"/>
      <c r="D222" s="297"/>
      <c r="E222" s="297"/>
      <c r="F222" s="297"/>
      <c r="G222" s="297"/>
      <c r="H222" s="297"/>
      <c r="I222" s="297"/>
      <c r="J222" s="297"/>
      <c r="K222" s="297"/>
      <c r="L222" s="297"/>
      <c r="M222" s="297"/>
      <c r="N222" s="297"/>
      <c r="O222" s="297"/>
      <c r="P222" s="297"/>
      <c r="Q222" s="297"/>
      <c r="R222" s="297"/>
      <c r="S222" s="297"/>
      <c r="T222" s="297"/>
      <c r="U222" s="297"/>
    </row>
    <row r="224" spans="2:35">
      <c r="B224" s="50" t="s">
        <v>139</v>
      </c>
      <c r="C224" s="291" t="str" cm="1">
        <f t="array" aca="1" ref="C224" ca="1">_xll.d.TestUtils_And(H229:I233)</f>
        <v>Ok</v>
      </c>
    </row>
    <row r="226" spans="2:21" ht="15.75">
      <c r="B226" s="4" t="s">
        <v>89</v>
      </c>
      <c r="C226" s="298"/>
      <c r="D226" s="298"/>
      <c r="E226" s="298"/>
      <c r="F226" s="298"/>
      <c r="G226" s="298"/>
      <c r="H226" s="298"/>
      <c r="I226" s="298"/>
    </row>
    <row r="228" spans="2:21">
      <c r="B228" s="120" t="s">
        <v>113</v>
      </c>
      <c r="C228" s="121"/>
      <c r="E228" s="120" t="s">
        <v>214</v>
      </c>
      <c r="F228" s="121"/>
      <c r="H228" s="120" t="s">
        <v>67</v>
      </c>
      <c r="I228" s="121"/>
    </row>
    <row r="229" spans="2:21">
      <c r="B229" s="118" t="str" cm="1">
        <f t="array" aca="1" ref="B229:C233" ca="1">_xll.d.Dates_GetAvailableBusinessDayConventions()</f>
        <v>Variant 1</v>
      </c>
      <c r="C229" s="119" t="str">
        <f ca="1"/>
        <v>Variant 2</v>
      </c>
      <c r="E229" s="118" t="s">
        <v>229</v>
      </c>
      <c r="F229" s="119" t="s">
        <v>230</v>
      </c>
      <c r="H229" s="291" t="str" cm="1">
        <f t="array" aca="1" ref="H229" ca="1">_xll.d.TestUtils_Equal(B229,E229)</f>
        <v>Ok</v>
      </c>
      <c r="I229" s="291" t="str" cm="1">
        <f t="array" aca="1" ref="I229" ca="1">_xll.d.TestUtils_Equal(C229,F229)</f>
        <v>Ok</v>
      </c>
    </row>
    <row r="230" spans="2:21">
      <c r="B230" s="122" t="str">
        <f ca="1"/>
        <v>Fol</v>
      </c>
      <c r="C230" s="123" t="str">
        <f ca="1"/>
        <v>Following</v>
      </c>
      <c r="E230" s="122" t="s">
        <v>231</v>
      </c>
      <c r="F230" s="123" t="s">
        <v>232</v>
      </c>
      <c r="H230" s="291" t="str" cm="1">
        <f t="array" aca="1" ref="H230" ca="1">_xll.d.TestUtils_Equal(B230,E230)</f>
        <v>Ok</v>
      </c>
      <c r="I230" s="291" t="str" cm="1">
        <f t="array" aca="1" ref="I230" ca="1">_xll.d.TestUtils_Equal(C230,F230)</f>
        <v>Ok</v>
      </c>
    </row>
    <row r="231" spans="2:21">
      <c r="B231" s="124" t="str">
        <f ca="1"/>
        <v>ModFol</v>
      </c>
      <c r="C231" s="125" t="str">
        <f ca="1"/>
        <v>ModifiedFollowing</v>
      </c>
      <c r="E231" s="124" t="s">
        <v>233</v>
      </c>
      <c r="F231" s="125" t="s">
        <v>234</v>
      </c>
      <c r="H231" s="291" t="str" cm="1">
        <f t="array" aca="1" ref="H231" ca="1">_xll.d.TestUtils_Equal(B231,E231)</f>
        <v>Ok</v>
      </c>
      <c r="I231" s="291" t="str" cm="1">
        <f t="array" aca="1" ref="I231" ca="1">_xll.d.TestUtils_Equal(C231,F231)</f>
        <v>Ok</v>
      </c>
    </row>
    <row r="232" spans="2:21">
      <c r="B232" s="124" t="str">
        <f ca="1"/>
        <v>ModPrec</v>
      </c>
      <c r="C232" s="125" t="str">
        <f ca="1"/>
        <v>ModPreceding</v>
      </c>
      <c r="E232" s="124" t="s">
        <v>235</v>
      </c>
      <c r="F232" s="125" t="s">
        <v>236</v>
      </c>
      <c r="H232" s="291" t="str" cm="1">
        <f t="array" aca="1" ref="H232" ca="1">_xll.d.TestUtils_Equal(B232,E232)</f>
        <v>Ok</v>
      </c>
      <c r="I232" s="291" t="str" cm="1">
        <f t="array" aca="1" ref="I232" ca="1">_xll.d.TestUtils_Equal(C232,F232)</f>
        <v>Ok</v>
      </c>
    </row>
    <row r="233" spans="2:21">
      <c r="B233" s="126" t="str">
        <f ca="1"/>
        <v>Prec</v>
      </c>
      <c r="C233" s="127" t="str">
        <f ca="1"/>
        <v>Preceding</v>
      </c>
      <c r="E233" s="126" t="s">
        <v>237</v>
      </c>
      <c r="F233" s="127" t="s">
        <v>238</v>
      </c>
      <c r="H233" s="291" t="str" cm="1">
        <f t="array" aca="1" ref="H233" ca="1">_xll.d.TestUtils_Equal(B233,E233)</f>
        <v>Ok</v>
      </c>
      <c r="I233" s="291" t="str" cm="1">
        <f t="array" aca="1" ref="I233" ca="1">_xll.d.TestUtils_Equal(C233,F233)</f>
        <v>Ok</v>
      </c>
    </row>
    <row r="237" spans="2:21" ht="18.75">
      <c r="B237" s="3" t="s">
        <v>371</v>
      </c>
      <c r="C237" s="297"/>
      <c r="D237" s="297"/>
      <c r="E237" s="297"/>
      <c r="F237" s="297"/>
      <c r="G237" s="297"/>
      <c r="H237" s="297"/>
      <c r="I237" s="297"/>
      <c r="J237" s="297"/>
      <c r="K237" s="297"/>
      <c r="L237" s="297"/>
      <c r="M237" s="297"/>
      <c r="N237" s="297"/>
      <c r="O237" s="297"/>
      <c r="P237" s="297"/>
      <c r="Q237" s="297"/>
      <c r="R237" s="297"/>
      <c r="S237" s="297"/>
      <c r="T237" s="297"/>
      <c r="U237" s="297"/>
    </row>
    <row r="239" spans="2:21">
      <c r="B239" s="50" t="s">
        <v>139</v>
      </c>
      <c r="C239" s="291" t="str" cm="1">
        <f t="array" aca="1" ref="C239" ca="1">_xll.d.TestUtils_And(L244:O248)</f>
        <v>Ok</v>
      </c>
    </row>
    <row r="241" spans="2:15" ht="15.75">
      <c r="B241" s="4" t="s">
        <v>89</v>
      </c>
      <c r="C241" s="298"/>
      <c r="D241" s="298"/>
      <c r="E241" s="298"/>
      <c r="F241" s="298"/>
      <c r="G241" s="298"/>
      <c r="H241" s="298"/>
      <c r="I241" s="298"/>
    </row>
    <row r="243" spans="2:15">
      <c r="B243" s="120" t="s">
        <v>113</v>
      </c>
      <c r="C243" s="191"/>
      <c r="D243" s="191"/>
      <c r="E243" s="121"/>
      <c r="G243" s="120" t="s">
        <v>113</v>
      </c>
      <c r="H243" s="191"/>
      <c r="I243" s="191"/>
      <c r="J243" s="121"/>
      <c r="L243" s="120" t="s">
        <v>67</v>
      </c>
      <c r="M243" s="121"/>
      <c r="N243" s="121"/>
      <c r="O243" s="121"/>
    </row>
    <row r="244" spans="2:15">
      <c r="B244" s="118" t="str" cm="1">
        <f t="array" aca="1" ref="B244:E248" ca="1">_xll.d.Dates_GetAvailableDayCountConventions()</f>
        <v>Variant 1</v>
      </c>
      <c r="C244" s="282" t="str">
        <f ca="1"/>
        <v>Variant 2</v>
      </c>
      <c r="D244" s="282" t="str">
        <f ca="1"/>
        <v>Variant 3</v>
      </c>
      <c r="E244" s="119" t="str">
        <f ca="1"/>
        <v>Variant 4</v>
      </c>
      <c r="G244" s="118" t="s">
        <v>229</v>
      </c>
      <c r="H244" s="282" t="s">
        <v>230</v>
      </c>
      <c r="I244" s="282" t="s">
        <v>239</v>
      </c>
      <c r="J244" s="119" t="s">
        <v>240</v>
      </c>
      <c r="L244" s="291" t="str" cm="1">
        <f t="array" aca="1" ref="L244" ca="1">_xll.d.TestUtils_Equal(B244,G244)</f>
        <v>Ok</v>
      </c>
      <c r="M244" s="291" t="str" cm="1">
        <f t="array" aca="1" ref="M244" ca="1">_xll.d.TestUtils_Equal(C244,H244)</f>
        <v>Ok</v>
      </c>
      <c r="N244" s="291" t="str" cm="1">
        <f t="array" aca="1" ref="N244" ca="1">_xll.d.TestUtils_Equal(D244,I244)</f>
        <v>Ok</v>
      </c>
      <c r="O244" s="291" t="str" cm="1">
        <f t="array" aca="1" ref="O244" ca="1">_xll.d.TestUtils_Equal(E244,J244)</f>
        <v>Ok</v>
      </c>
    </row>
    <row r="245" spans="2:15">
      <c r="B245" s="122" t="str">
        <f ca="1"/>
        <v>Act360</v>
      </c>
      <c r="C245" s="311" t="str">
        <f ca="1"/>
        <v>Actual360</v>
      </c>
      <c r="D245" s="311" t="str">
        <f ca="1"/>
        <v/>
      </c>
      <c r="E245" s="123" t="str">
        <f ca="1"/>
        <v/>
      </c>
      <c r="G245" s="122" t="s">
        <v>241</v>
      </c>
      <c r="H245" s="311" t="s">
        <v>242</v>
      </c>
      <c r="I245" s="311" t="s">
        <v>243</v>
      </c>
      <c r="J245" s="123" t="s">
        <v>243</v>
      </c>
      <c r="L245" s="291" t="str" cm="1">
        <f t="array" aca="1" ref="L245" ca="1">_xll.d.TestUtils_Equal(B245,G245)</f>
        <v>Ok</v>
      </c>
      <c r="M245" s="291" t="str" cm="1">
        <f t="array" aca="1" ref="M245" ca="1">_xll.d.TestUtils_Equal(C245,H245)</f>
        <v>Ok</v>
      </c>
      <c r="N245" s="291" t="str" cm="1">
        <f t="array" aca="1" ref="N245" ca="1">_xll.d.TestUtils_Equal(D245,I245)</f>
        <v>Ok</v>
      </c>
      <c r="O245" s="291" t="str" cm="1">
        <f t="array" aca="1" ref="O245" ca="1">_xll.d.TestUtils_Equal(E245,J245)</f>
        <v>Ok</v>
      </c>
    </row>
    <row r="246" spans="2:15">
      <c r="B246" s="124" t="str">
        <f ca="1"/>
        <v>Act365</v>
      </c>
      <c r="C246" s="270" t="str">
        <f ca="1"/>
        <v>Act365F</v>
      </c>
      <c r="D246" s="270" t="str">
        <f ca="1"/>
        <v>Actual365</v>
      </c>
      <c r="E246" s="125" t="str">
        <f ca="1"/>
        <v>Actual365F</v>
      </c>
      <c r="G246" s="124" t="s">
        <v>244</v>
      </c>
      <c r="H246" s="270" t="s">
        <v>245</v>
      </c>
      <c r="I246" s="270" t="s">
        <v>56</v>
      </c>
      <c r="J246" s="125" t="s">
        <v>246</v>
      </c>
      <c r="L246" s="291" t="str" cm="1">
        <f t="array" aca="1" ref="L246" ca="1">_xll.d.TestUtils_Equal(B246,G246)</f>
        <v>Ok</v>
      </c>
      <c r="M246" s="291" t="str" cm="1">
        <f t="array" aca="1" ref="M246" ca="1">_xll.d.TestUtils_Equal(C246,H246)</f>
        <v>Ok</v>
      </c>
      <c r="N246" s="291" t="str" cm="1">
        <f t="array" aca="1" ref="N246" ca="1">_xll.d.TestUtils_Equal(D246,I246)</f>
        <v>Ok</v>
      </c>
      <c r="O246" s="291" t="str" cm="1">
        <f t="array" aca="1" ref="O246" ca="1">_xll.d.TestUtils_Equal(E246,J246)</f>
        <v>Ok</v>
      </c>
    </row>
    <row r="247" spans="2:15">
      <c r="B247" s="124" t="str">
        <f ca="1"/>
        <v>ActAct</v>
      </c>
      <c r="C247" s="270" t="str">
        <f ca="1"/>
        <v>ActualActual</v>
      </c>
      <c r="D247" s="270" t="str">
        <f ca="1"/>
        <v/>
      </c>
      <c r="E247" s="125" t="str">
        <f ca="1"/>
        <v/>
      </c>
      <c r="G247" s="124" t="s">
        <v>247</v>
      </c>
      <c r="H247" s="270" t="s">
        <v>248</v>
      </c>
      <c r="I247" s="270" t="s">
        <v>243</v>
      </c>
      <c r="J247" s="125" t="s">
        <v>243</v>
      </c>
      <c r="L247" s="291" t="str" cm="1">
        <f t="array" aca="1" ref="L247" ca="1">_xll.d.TestUtils_Equal(B247,G247)</f>
        <v>Ok</v>
      </c>
      <c r="M247" s="291" t="str" cm="1">
        <f t="array" aca="1" ref="M247" ca="1">_xll.d.TestUtils_Equal(C247,H247)</f>
        <v>Ok</v>
      </c>
      <c r="N247" s="291" t="str" cm="1">
        <f t="array" aca="1" ref="N247" ca="1">_xll.d.TestUtils_Equal(D247,I247)</f>
        <v>Ok</v>
      </c>
      <c r="O247" s="291" t="str" cm="1">
        <f t="array" aca="1" ref="O247" ca="1">_xll.d.TestUtils_Equal(E247,J247)</f>
        <v>Ok</v>
      </c>
    </row>
    <row r="248" spans="2:15">
      <c r="B248" s="126" t="str">
        <f ca="1"/>
        <v>Bus252</v>
      </c>
      <c r="C248" s="190" t="str">
        <f ca="1"/>
        <v>Business252</v>
      </c>
      <c r="D248" s="190" t="str">
        <f ca="1"/>
        <v/>
      </c>
      <c r="E248" s="127" t="str">
        <f ca="1"/>
        <v/>
      </c>
      <c r="G248" s="126" t="s">
        <v>249</v>
      </c>
      <c r="H248" s="190" t="s">
        <v>250</v>
      </c>
      <c r="I248" s="190" t="s">
        <v>243</v>
      </c>
      <c r="J248" s="127" t="s">
        <v>243</v>
      </c>
      <c r="L248" s="291" t="str" cm="1">
        <f t="array" aca="1" ref="L248" ca="1">_xll.d.TestUtils_Equal(B248,G248)</f>
        <v>Ok</v>
      </c>
      <c r="M248" s="291" t="str" cm="1">
        <f t="array" aca="1" ref="M248" ca="1">_xll.d.TestUtils_Equal(C248,H248)</f>
        <v>Ok</v>
      </c>
      <c r="N248" s="291" t="str" cm="1">
        <f t="array" aca="1" ref="N248" ca="1">_xll.d.TestUtils_Equal(D248,I248)</f>
        <v>Ok</v>
      </c>
      <c r="O248" s="291" t="str" cm="1">
        <f t="array" aca="1" ref="O248" ca="1">_xll.d.TestUtils_Equal(E248,J248)</f>
        <v>Ok</v>
      </c>
    </row>
    <row r="251" spans="2:15" ht="18.75">
      <c r="B251" s="3" t="s">
        <v>436</v>
      </c>
      <c r="C251" s="297"/>
      <c r="D251" s="297"/>
      <c r="E251" s="297"/>
    </row>
    <row r="253" spans="2:15">
      <c r="B253" s="50" t="s">
        <v>139</v>
      </c>
      <c r="C253" s="291" t="str" cm="1">
        <f t="array" aca="1" ref="C253" ca="1">_xll.d.TestUtils_And(E258:E264)</f>
        <v>Ok</v>
      </c>
    </row>
    <row r="255" spans="2:15" ht="15.75">
      <c r="B255" s="4" t="s">
        <v>89</v>
      </c>
      <c r="C255" s="298"/>
      <c r="D255" s="298"/>
      <c r="E255" s="298"/>
    </row>
    <row r="257" spans="2:7">
      <c r="B257" s="120" t="s">
        <v>31</v>
      </c>
      <c r="C257" s="191" t="s">
        <v>113</v>
      </c>
      <c r="D257" s="191" t="s">
        <v>214</v>
      </c>
      <c r="E257" s="121" t="s">
        <v>67</v>
      </c>
    </row>
    <row r="258" spans="2:7">
      <c r="B258" s="305">
        <v>44893</v>
      </c>
      <c r="C258" s="311" t="str" cm="1">
        <f t="array" aca="1" ref="C258" ca="1">_xll.d.Dates_GetWeekday(B258)</f>
        <v>Monday</v>
      </c>
      <c r="D258" s="311" t="str" cm="1">
        <f t="array" aca="1" ref="D258" ca="1">_xll.d.Dates_GetWeekday(B258)</f>
        <v>Monday</v>
      </c>
      <c r="E258" s="123" t="str" cm="1">
        <f t="array" aca="1" ref="E258" ca="1">_xll.d.TestUtils_Equal(C258,D258)</f>
        <v>Ok</v>
      </c>
    </row>
    <row r="259" spans="2:7">
      <c r="B259" s="307">
        <v>44894</v>
      </c>
      <c r="C259" s="270" t="str" cm="1">
        <f t="array" aca="1" ref="C259" ca="1">_xll.d.Dates_GetWeekday(B259)</f>
        <v>Tuesday</v>
      </c>
      <c r="D259" s="270" t="str" cm="1">
        <f t="array" aca="1" ref="D259" ca="1">_xll.d.Dates_GetWeekday(B259)</f>
        <v>Tuesday</v>
      </c>
      <c r="E259" s="125" t="str" cm="1">
        <f t="array" aca="1" ref="E259" ca="1">_xll.d.TestUtils_Equal(C259,D259)</f>
        <v>Ok</v>
      </c>
    </row>
    <row r="260" spans="2:7">
      <c r="B260" s="307">
        <v>44895</v>
      </c>
      <c r="C260" s="270" t="str" cm="1">
        <f t="array" aca="1" ref="C260" ca="1">_xll.d.Dates_GetWeekday(B260)</f>
        <v>Wednesday</v>
      </c>
      <c r="D260" s="270" t="str" cm="1">
        <f t="array" aca="1" ref="D260" ca="1">_xll.d.Dates_GetWeekday(B260)</f>
        <v>Wednesday</v>
      </c>
      <c r="E260" s="125" t="str" cm="1">
        <f t="array" aca="1" ref="E260" ca="1">_xll.d.TestUtils_Equal(C260,D260)</f>
        <v>Ok</v>
      </c>
    </row>
    <row r="261" spans="2:7">
      <c r="B261" s="307">
        <v>44896</v>
      </c>
      <c r="C261" s="270" t="str" cm="1">
        <f t="array" aca="1" ref="C261" ca="1">_xll.d.Dates_GetWeekday(B261)</f>
        <v>Thursday</v>
      </c>
      <c r="D261" s="270" t="str" cm="1">
        <f t="array" aca="1" ref="D261" ca="1">_xll.d.Dates_GetWeekday(B261)</f>
        <v>Thursday</v>
      </c>
      <c r="E261" s="125" t="str" cm="1">
        <f t="array" aca="1" ref="E261" ca="1">_xll.d.TestUtils_Equal(C261,D261)</f>
        <v>Ok</v>
      </c>
    </row>
    <row r="262" spans="2:7">
      <c r="B262" s="307">
        <v>44897</v>
      </c>
      <c r="C262" s="270" t="str" cm="1">
        <f t="array" aca="1" ref="C262" ca="1">_xll.d.Dates_GetWeekday(B262)</f>
        <v>Friday</v>
      </c>
      <c r="D262" s="270" t="str" cm="1">
        <f t="array" aca="1" ref="D262" ca="1">_xll.d.Dates_GetWeekday(B262)</f>
        <v>Friday</v>
      </c>
      <c r="E262" s="125" t="str" cm="1">
        <f t="array" aca="1" ref="E262" ca="1">_xll.d.TestUtils_Equal(C262,D262)</f>
        <v>Ok</v>
      </c>
    </row>
    <row r="263" spans="2:7">
      <c r="B263" s="307">
        <v>44898</v>
      </c>
      <c r="C263" s="270" t="str" cm="1">
        <f t="array" aca="1" ref="C263" ca="1">_xll.d.Dates_GetWeekday(B263)</f>
        <v>Saturday</v>
      </c>
      <c r="D263" s="270" t="str" cm="1">
        <f t="array" aca="1" ref="D263" ca="1">_xll.d.Dates_GetWeekday(B263)</f>
        <v>Saturday</v>
      </c>
      <c r="E263" s="125" t="str" cm="1">
        <f t="array" aca="1" ref="E263" ca="1">_xll.d.TestUtils_Equal(C263,D263)</f>
        <v>Ok</v>
      </c>
    </row>
    <row r="264" spans="2:7">
      <c r="B264" s="309">
        <v>44899</v>
      </c>
      <c r="C264" s="190" t="str" cm="1">
        <f t="array" aca="1" ref="C264" ca="1">_xll.d.Dates_GetWeekday(B264)</f>
        <v>Sunday</v>
      </c>
      <c r="D264" s="190" t="str" cm="1">
        <f t="array" aca="1" ref="D264" ca="1">_xll.d.Dates_GetWeekday(B264)</f>
        <v>Sunday</v>
      </c>
      <c r="E264" s="127" t="str" cm="1">
        <f t="array" aca="1" ref="E264" ca="1">_xll.d.TestUtils_Equal(C264,D264)</f>
        <v>Ok</v>
      </c>
    </row>
    <row r="267" spans="2:7" ht="18.75">
      <c r="B267" s="3" t="s">
        <v>768</v>
      </c>
      <c r="C267" s="297"/>
      <c r="D267" s="297"/>
      <c r="E267" s="297"/>
      <c r="F267" s="297"/>
      <c r="G267" s="297"/>
    </row>
    <row r="269" spans="2:7">
      <c r="B269" s="50" t="s">
        <v>139</v>
      </c>
      <c r="C269" s="291" t="str" cm="1">
        <f t="array" ref="C269">_xll.d.TestUtils_And(G274:G277)</f>
        <v>Ok</v>
      </c>
    </row>
    <row r="271" spans="2:7" ht="15.75">
      <c r="B271" s="4" t="s">
        <v>89</v>
      </c>
      <c r="C271" s="298"/>
      <c r="D271" s="298"/>
      <c r="E271" s="298"/>
      <c r="F271" s="298"/>
      <c r="G271" s="298"/>
    </row>
    <row r="273" spans="2:7">
      <c r="B273" s="120" t="s">
        <v>31</v>
      </c>
      <c r="C273" s="191" t="s">
        <v>201</v>
      </c>
      <c r="D273" s="191" t="s">
        <v>771</v>
      </c>
      <c r="E273" s="191" t="s">
        <v>769</v>
      </c>
      <c r="F273" s="191" t="s">
        <v>214</v>
      </c>
      <c r="G273" s="121" t="s">
        <v>67</v>
      </c>
    </row>
    <row r="274" spans="2:7">
      <c r="B274" s="1021">
        <v>45093</v>
      </c>
      <c r="C274" s="1022" t="s">
        <v>54</v>
      </c>
      <c r="D274" s="1022" t="str" cm="1">
        <f t="array" ref="D274">_xll.d.Dates_GetWeekday(B274)</f>
        <v>Friday</v>
      </c>
      <c r="E274" s="1022" t="b" cm="1">
        <f t="array" ref="E274">_xll.d.Dates_IsBusinessDay(B274,C274)</f>
        <v>0</v>
      </c>
      <c r="F274" s="1022" t="b">
        <v>0</v>
      </c>
      <c r="G274" s="364" t="str" cm="1">
        <f t="array" ref="G274">_xll.d.TestUtils_Equal(E274,F274)</f>
        <v>Ok</v>
      </c>
    </row>
    <row r="275" spans="2:7">
      <c r="B275" s="1023">
        <v>45096</v>
      </c>
      <c r="C275" s="270" t="s">
        <v>54</v>
      </c>
      <c r="D275" s="270" t="str" cm="1">
        <f t="array" ref="D275">_xll.d.Dates_GetWeekday(B275)</f>
        <v>Monday</v>
      </c>
      <c r="E275" s="270" t="b" cm="1">
        <f t="array" ref="E275">_xll.d.Dates_IsBusinessDay(B275,C275)</f>
        <v>1</v>
      </c>
      <c r="F275" s="270" t="b">
        <v>1</v>
      </c>
      <c r="G275" s="1024" t="str" cm="1">
        <f t="array" ref="G275">_xll.d.TestUtils_Equal(E275,F275)</f>
        <v>Ok</v>
      </c>
    </row>
    <row r="276" spans="2:7" s="667" customFormat="1">
      <c r="B276" s="1023">
        <v>45111</v>
      </c>
      <c r="C276" s="270" t="s">
        <v>309</v>
      </c>
      <c r="D276" s="270" t="str" cm="1">
        <f t="array" ref="D276">_xll.d.Dates_GetWeekday(B276)</f>
        <v>Tuesday</v>
      </c>
      <c r="E276" s="270" t="b" cm="1">
        <f t="array" ref="E276">_xll.d.Dates_IsBusinessDay(B276,C276)</f>
        <v>0</v>
      </c>
      <c r="F276" s="270" t="b">
        <v>0</v>
      </c>
      <c r="G276" s="1024" t="str" cm="1">
        <f t="array" ref="G276">_xll.d.TestUtils_Equal(E276,F276)</f>
        <v>Ok</v>
      </c>
    </row>
    <row r="277" spans="2:7">
      <c r="B277" s="1025">
        <v>45285</v>
      </c>
      <c r="C277" s="631" t="s">
        <v>770</v>
      </c>
      <c r="D277" s="631" t="str" cm="1">
        <f t="array" ref="D277">_xll.d.Dates_GetWeekday(B277)</f>
        <v>Monday</v>
      </c>
      <c r="E277" s="631" t="b" cm="1">
        <f t="array" ref="E277">_xll.d.Dates_IsBusinessDay(B277,C277)</f>
        <v>0</v>
      </c>
      <c r="F277" s="631" t="b">
        <v>0</v>
      </c>
      <c r="G277" s="1026" t="str" cm="1">
        <f t="array" ref="G277">_xll.d.TestUtils_Equal(E277,F277)</f>
        <v>Ok</v>
      </c>
    </row>
  </sheetData>
  <conditionalFormatting sqref="D11:D17">
    <cfRule type="cellIs" dxfId="1084" priority="180" stopIfTrue="1" operator="equal">
      <formula>"ERROR"</formula>
    </cfRule>
    <cfRule type="cellIs" dxfId="1083" priority="181" stopIfTrue="1" operator="equal">
      <formula>"OK"</formula>
    </cfRule>
    <cfRule type="cellIs" dxfId="1082" priority="182" stopIfTrue="1" operator="equal">
      <formula>"WARNING"</formula>
    </cfRule>
  </conditionalFormatting>
  <conditionalFormatting sqref="C4">
    <cfRule type="cellIs" dxfId="1081" priority="154" stopIfTrue="1" operator="equal">
      <formula>"ERROR"</formula>
    </cfRule>
    <cfRule type="cellIs" dxfId="1080" priority="155" stopIfTrue="1" operator="equal">
      <formula>"OK"</formula>
    </cfRule>
    <cfRule type="cellIs" dxfId="1079" priority="156" stopIfTrue="1" operator="equal">
      <formula>"WARNING"</formula>
    </cfRule>
  </conditionalFormatting>
  <conditionalFormatting sqref="C74">
    <cfRule type="cellIs" dxfId="1078" priority="148" stopIfTrue="1" operator="equal">
      <formula>"ERROR"</formula>
    </cfRule>
  </conditionalFormatting>
  <conditionalFormatting sqref="C74">
    <cfRule type="cellIs" dxfId="1077" priority="149" stopIfTrue="1" operator="equal">
      <formula>"OK"</formula>
    </cfRule>
  </conditionalFormatting>
  <conditionalFormatting sqref="C74">
    <cfRule type="cellIs" dxfId="1076" priority="150" stopIfTrue="1" operator="equal">
      <formula>"WARNING"</formula>
    </cfRule>
  </conditionalFormatting>
  <conditionalFormatting sqref="G79">
    <cfRule type="cellIs" dxfId="1075" priority="183" stopIfTrue="1" operator="equal">
      <formula>"ERROR"</formula>
    </cfRule>
    <cfRule type="cellIs" dxfId="1074" priority="184" stopIfTrue="1" operator="equal">
      <formula>"OK"</formula>
    </cfRule>
    <cfRule type="cellIs" dxfId="1073" priority="185" stopIfTrue="1" operator="equal">
      <formula>"WARNING"</formula>
    </cfRule>
  </conditionalFormatting>
  <conditionalFormatting sqref="U79">
    <cfRule type="cellIs" dxfId="1072" priority="145" stopIfTrue="1" operator="equal">
      <formula>"ERROR"</formula>
    </cfRule>
    <cfRule type="cellIs" dxfId="1071" priority="146" stopIfTrue="1" operator="equal">
      <formula>"OK"</formula>
    </cfRule>
    <cfRule type="cellIs" dxfId="1070" priority="147" stopIfTrue="1" operator="equal">
      <formula>"WARNING"</formula>
    </cfRule>
  </conditionalFormatting>
  <conditionalFormatting sqref="AD79">
    <cfRule type="cellIs" dxfId="1069" priority="142" stopIfTrue="1" operator="equal">
      <formula>"ERROR"</formula>
    </cfRule>
    <cfRule type="cellIs" dxfId="1068" priority="143" stopIfTrue="1" operator="equal">
      <formula>"OK"</formula>
    </cfRule>
    <cfRule type="cellIs" dxfId="1067" priority="144" stopIfTrue="1" operator="equal">
      <formula>"WARNING"</formula>
    </cfRule>
  </conditionalFormatting>
  <conditionalFormatting sqref="G186:G195">
    <cfRule type="cellIs" dxfId="1066" priority="186" stopIfTrue="1" operator="equal">
      <formula>"ERROR"</formula>
    </cfRule>
    <cfRule type="cellIs" dxfId="1065" priority="187" stopIfTrue="1" operator="equal">
      <formula>"OK"</formula>
    </cfRule>
    <cfRule type="cellIs" dxfId="1064" priority="188" stopIfTrue="1" operator="equal">
      <formula>"WARNING"</formula>
    </cfRule>
  </conditionalFormatting>
  <conditionalFormatting sqref="C181">
    <cfRule type="cellIs" dxfId="1063" priority="139" stopIfTrue="1" operator="equal">
      <formula>"ERROR"</formula>
    </cfRule>
  </conditionalFormatting>
  <conditionalFormatting sqref="C181">
    <cfRule type="cellIs" dxfId="1062" priority="140" stopIfTrue="1" operator="equal">
      <formula>"OK"</formula>
    </cfRule>
  </conditionalFormatting>
  <conditionalFormatting sqref="C181">
    <cfRule type="cellIs" dxfId="1061" priority="141" stopIfTrue="1" operator="equal">
      <formula>"WARNING"</formula>
    </cfRule>
  </conditionalFormatting>
  <conditionalFormatting sqref="N186:N204">
    <cfRule type="cellIs" dxfId="1060" priority="136" stopIfTrue="1" operator="equal">
      <formula>"ERROR"</formula>
    </cfRule>
    <cfRule type="cellIs" dxfId="1059" priority="137" stopIfTrue="1" operator="equal">
      <formula>"OK"</formula>
    </cfRule>
    <cfRule type="cellIs" dxfId="1058" priority="138" stopIfTrue="1" operator="equal">
      <formula>"WARNING"</formula>
    </cfRule>
  </conditionalFormatting>
  <conditionalFormatting sqref="AQ79">
    <cfRule type="cellIs" dxfId="1057" priority="133" stopIfTrue="1" operator="equal">
      <formula>"ERROR"</formula>
    </cfRule>
    <cfRule type="cellIs" dxfId="1056" priority="134" stopIfTrue="1" operator="equal">
      <formula>"OK"</formula>
    </cfRule>
    <cfRule type="cellIs" dxfId="1055" priority="135" stopIfTrue="1" operator="equal">
      <formula>"WARNING"</formula>
    </cfRule>
  </conditionalFormatting>
  <conditionalFormatting sqref="C89">
    <cfRule type="cellIs" dxfId="1054" priority="127" stopIfTrue="1" operator="equal">
      <formula>"ERROR"</formula>
    </cfRule>
  </conditionalFormatting>
  <conditionalFormatting sqref="C89">
    <cfRule type="cellIs" dxfId="1053" priority="128" stopIfTrue="1" operator="equal">
      <formula>"OK"</formula>
    </cfRule>
  </conditionalFormatting>
  <conditionalFormatting sqref="C89">
    <cfRule type="cellIs" dxfId="1052" priority="129" stopIfTrue="1" operator="equal">
      <formula>"WARNING"</formula>
    </cfRule>
  </conditionalFormatting>
  <conditionalFormatting sqref="G94">
    <cfRule type="cellIs" dxfId="1051" priority="130" stopIfTrue="1" operator="equal">
      <formula>"ERROR"</formula>
    </cfRule>
    <cfRule type="cellIs" dxfId="1050" priority="131" stopIfTrue="1" operator="equal">
      <formula>"OK"</formula>
    </cfRule>
    <cfRule type="cellIs" dxfId="1049" priority="132" stopIfTrue="1" operator="equal">
      <formula>"WARNING"</formula>
    </cfRule>
  </conditionalFormatting>
  <conditionalFormatting sqref="N94">
    <cfRule type="cellIs" dxfId="1048" priority="124" stopIfTrue="1" operator="equal">
      <formula>"ERROR"</formula>
    </cfRule>
    <cfRule type="cellIs" dxfId="1047" priority="125" stopIfTrue="1" operator="equal">
      <formula>"OK"</formula>
    </cfRule>
    <cfRule type="cellIs" dxfId="1046" priority="126" stopIfTrue="1" operator="equal">
      <formula>"WARNING"</formula>
    </cfRule>
  </conditionalFormatting>
  <conditionalFormatting sqref="W94">
    <cfRule type="cellIs" dxfId="1045" priority="121" stopIfTrue="1" operator="equal">
      <formula>"ERROR"</formula>
    </cfRule>
    <cfRule type="cellIs" dxfId="1044" priority="122" stopIfTrue="1" operator="equal">
      <formula>"OK"</formula>
    </cfRule>
    <cfRule type="cellIs" dxfId="1043" priority="123" stopIfTrue="1" operator="equal">
      <formula>"WARNING"</formula>
    </cfRule>
  </conditionalFormatting>
  <conditionalFormatting sqref="AJ94">
    <cfRule type="cellIs" dxfId="1042" priority="118" stopIfTrue="1" operator="equal">
      <formula>"ERROR"</formula>
    </cfRule>
    <cfRule type="cellIs" dxfId="1041" priority="119" stopIfTrue="1" operator="equal">
      <formula>"OK"</formula>
    </cfRule>
    <cfRule type="cellIs" dxfId="1040" priority="120" stopIfTrue="1" operator="equal">
      <formula>"WARNING"</formula>
    </cfRule>
  </conditionalFormatting>
  <conditionalFormatting sqref="C104">
    <cfRule type="cellIs" dxfId="1039" priority="112" stopIfTrue="1" operator="equal">
      <formula>"ERROR"</formula>
    </cfRule>
  </conditionalFormatting>
  <conditionalFormatting sqref="C104">
    <cfRule type="cellIs" dxfId="1038" priority="113" stopIfTrue="1" operator="equal">
      <formula>"OK"</formula>
    </cfRule>
  </conditionalFormatting>
  <conditionalFormatting sqref="C104">
    <cfRule type="cellIs" dxfId="1037" priority="114" stopIfTrue="1" operator="equal">
      <formula>"WARNING"</formula>
    </cfRule>
  </conditionalFormatting>
  <conditionalFormatting sqref="G109">
    <cfRule type="cellIs" dxfId="1036" priority="115" stopIfTrue="1" operator="equal">
      <formula>"ERROR"</formula>
    </cfRule>
    <cfRule type="cellIs" dxfId="1035" priority="116" stopIfTrue="1" operator="equal">
      <formula>"OK"</formula>
    </cfRule>
    <cfRule type="cellIs" dxfId="1034" priority="117" stopIfTrue="1" operator="equal">
      <formula>"WARNING"</formula>
    </cfRule>
  </conditionalFormatting>
  <conditionalFormatting sqref="N109">
    <cfRule type="cellIs" dxfId="1033" priority="109" stopIfTrue="1" operator="equal">
      <formula>"ERROR"</formula>
    </cfRule>
    <cfRule type="cellIs" dxfId="1032" priority="110" stopIfTrue="1" operator="equal">
      <formula>"OK"</formula>
    </cfRule>
    <cfRule type="cellIs" dxfId="1031" priority="111" stopIfTrue="1" operator="equal">
      <formula>"WARNING"</formula>
    </cfRule>
  </conditionalFormatting>
  <conditionalFormatting sqref="W109">
    <cfRule type="cellIs" dxfId="1030" priority="106" stopIfTrue="1" operator="equal">
      <formula>"ERROR"</formula>
    </cfRule>
    <cfRule type="cellIs" dxfId="1029" priority="107" stopIfTrue="1" operator="equal">
      <formula>"OK"</formula>
    </cfRule>
    <cfRule type="cellIs" dxfId="1028" priority="108" stopIfTrue="1" operator="equal">
      <formula>"WARNING"</formula>
    </cfRule>
  </conditionalFormatting>
  <conditionalFormatting sqref="AJ109">
    <cfRule type="cellIs" dxfId="1027" priority="103" stopIfTrue="1" operator="equal">
      <formula>"ERROR"</formula>
    </cfRule>
    <cfRule type="cellIs" dxfId="1026" priority="104" stopIfTrue="1" operator="equal">
      <formula>"OK"</formula>
    </cfRule>
    <cfRule type="cellIs" dxfId="1025" priority="105" stopIfTrue="1" operator="equal">
      <formula>"WARNING"</formula>
    </cfRule>
  </conditionalFormatting>
  <conditionalFormatting sqref="G124">
    <cfRule type="cellIs" dxfId="1024" priority="97" stopIfTrue="1" operator="equal">
      <formula>"ERROR"</formula>
    </cfRule>
    <cfRule type="cellIs" dxfId="1023" priority="98" stopIfTrue="1" operator="equal">
      <formula>"OK"</formula>
    </cfRule>
    <cfRule type="cellIs" dxfId="1022" priority="99" stopIfTrue="1" operator="equal">
      <formula>"WARNING"</formula>
    </cfRule>
  </conditionalFormatting>
  <conditionalFormatting sqref="C119">
    <cfRule type="cellIs" dxfId="1021" priority="94" stopIfTrue="1" operator="equal">
      <formula>"ERROR"</formula>
    </cfRule>
  </conditionalFormatting>
  <conditionalFormatting sqref="C119">
    <cfRule type="cellIs" dxfId="1020" priority="95" stopIfTrue="1" operator="equal">
      <formula>"OK"</formula>
    </cfRule>
  </conditionalFormatting>
  <conditionalFormatting sqref="C119">
    <cfRule type="cellIs" dxfId="1019" priority="96" stopIfTrue="1" operator="equal">
      <formula>"WARNING"</formula>
    </cfRule>
  </conditionalFormatting>
  <conditionalFormatting sqref="O124">
    <cfRule type="cellIs" dxfId="1018" priority="91" stopIfTrue="1" operator="equal">
      <formula>"ERROR"</formula>
    </cfRule>
    <cfRule type="cellIs" dxfId="1017" priority="92" stopIfTrue="1" operator="equal">
      <formula>"OK"</formula>
    </cfRule>
    <cfRule type="cellIs" dxfId="1016" priority="93" stopIfTrue="1" operator="equal">
      <formula>"WARNING"</formula>
    </cfRule>
  </conditionalFormatting>
  <conditionalFormatting sqref="AC124">
    <cfRule type="cellIs" dxfId="1015" priority="88" stopIfTrue="1" operator="equal">
      <formula>"ERROR"</formula>
    </cfRule>
    <cfRule type="cellIs" dxfId="1014" priority="89" stopIfTrue="1" operator="equal">
      <formula>"OK"</formula>
    </cfRule>
    <cfRule type="cellIs" dxfId="1013" priority="90" stopIfTrue="1" operator="equal">
      <formula>"WARNING"</formula>
    </cfRule>
  </conditionalFormatting>
  <conditionalFormatting sqref="AS124">
    <cfRule type="cellIs" dxfId="1012" priority="85" stopIfTrue="1" operator="equal">
      <formula>"ERROR"</formula>
    </cfRule>
    <cfRule type="cellIs" dxfId="1011" priority="86" stopIfTrue="1" operator="equal">
      <formula>"OK"</formula>
    </cfRule>
    <cfRule type="cellIs" dxfId="1010" priority="87" stopIfTrue="1" operator="equal">
      <formula>"WARNING"</formula>
    </cfRule>
  </conditionalFormatting>
  <conditionalFormatting sqref="AA186">
    <cfRule type="cellIs" dxfId="1009" priority="82" stopIfTrue="1" operator="equal">
      <formula>"ERROR"</formula>
    </cfRule>
    <cfRule type="cellIs" dxfId="1008" priority="83" stopIfTrue="1" operator="equal">
      <formula>"OK"</formula>
    </cfRule>
    <cfRule type="cellIs" dxfId="1007" priority="84" stopIfTrue="1" operator="equal">
      <formula>"WARNING"</formula>
    </cfRule>
  </conditionalFormatting>
  <conditionalFormatting sqref="C224">
    <cfRule type="cellIs" dxfId="1006" priority="79" stopIfTrue="1" operator="equal">
      <formula>"ERROR"</formula>
    </cfRule>
  </conditionalFormatting>
  <conditionalFormatting sqref="C224">
    <cfRule type="cellIs" dxfId="1005" priority="80" stopIfTrue="1" operator="equal">
      <formula>"OK"</formula>
    </cfRule>
  </conditionalFormatting>
  <conditionalFormatting sqref="C224">
    <cfRule type="cellIs" dxfId="1004" priority="81" stopIfTrue="1" operator="equal">
      <formula>"WARNING"</formula>
    </cfRule>
  </conditionalFormatting>
  <conditionalFormatting sqref="H229:I233">
    <cfRule type="cellIs" dxfId="1003" priority="189" stopIfTrue="1" operator="equal">
      <formula>"ERROR"</formula>
    </cfRule>
  </conditionalFormatting>
  <conditionalFormatting sqref="H229:I233">
    <cfRule type="cellIs" dxfId="1002" priority="190" stopIfTrue="1" operator="equal">
      <formula>"OK"</formula>
    </cfRule>
  </conditionalFormatting>
  <conditionalFormatting sqref="H229:I233">
    <cfRule type="cellIs" dxfId="1001" priority="191" stopIfTrue="1" operator="equal">
      <formula>"WARNING"</formula>
    </cfRule>
  </conditionalFormatting>
  <conditionalFormatting sqref="D16:D17">
    <cfRule type="cellIs" dxfId="1000" priority="192" stopIfTrue="1" operator="equal">
      <formula>"ERROR"</formula>
    </cfRule>
    <cfRule type="cellIs" dxfId="999" priority="193" stopIfTrue="1" operator="equal">
      <formula>"OK"</formula>
    </cfRule>
    <cfRule type="cellIs" dxfId="998" priority="194" stopIfTrue="1" operator="equal">
      <formula>"WARNING"</formula>
    </cfRule>
  </conditionalFormatting>
  <conditionalFormatting sqref="D18:D19">
    <cfRule type="cellIs" dxfId="997" priority="195" stopIfTrue="1" operator="equal">
      <formula>"ERROR"</formula>
    </cfRule>
    <cfRule type="cellIs" dxfId="996" priority="196" stopIfTrue="1" operator="equal">
      <formula>"OK"</formula>
    </cfRule>
    <cfRule type="cellIs" dxfId="995" priority="197" stopIfTrue="1" operator="equal">
      <formula>"WARNING"</formula>
    </cfRule>
  </conditionalFormatting>
  <conditionalFormatting sqref="C239">
    <cfRule type="cellIs" dxfId="994" priority="73" stopIfTrue="1" operator="equal">
      <formula>"ERROR"</formula>
    </cfRule>
  </conditionalFormatting>
  <conditionalFormatting sqref="C239">
    <cfRule type="cellIs" dxfId="993" priority="74" stopIfTrue="1" operator="equal">
      <formula>"OK"</formula>
    </cfRule>
  </conditionalFormatting>
  <conditionalFormatting sqref="C239">
    <cfRule type="cellIs" dxfId="992" priority="75" stopIfTrue="1" operator="equal">
      <formula>"WARNING"</formula>
    </cfRule>
  </conditionalFormatting>
  <conditionalFormatting sqref="L244:O248">
    <cfRule type="cellIs" dxfId="991" priority="76" stopIfTrue="1" operator="equal">
      <formula>"ERROR"</formula>
    </cfRule>
  </conditionalFormatting>
  <conditionalFormatting sqref="L244:O248">
    <cfRule type="cellIs" dxfId="990" priority="77" stopIfTrue="1" operator="equal">
      <formula>"OK"</formula>
    </cfRule>
  </conditionalFormatting>
  <conditionalFormatting sqref="L244:O248">
    <cfRule type="cellIs" dxfId="989" priority="78" stopIfTrue="1" operator="equal">
      <formula>"WARNING"</formula>
    </cfRule>
  </conditionalFormatting>
  <conditionalFormatting sqref="C133">
    <cfRule type="cellIs" dxfId="988" priority="70" stopIfTrue="1" operator="equal">
      <formula>"ERROR"</formula>
    </cfRule>
  </conditionalFormatting>
  <conditionalFormatting sqref="C133">
    <cfRule type="cellIs" dxfId="987" priority="71" stopIfTrue="1" operator="equal">
      <formula>"OK"</formula>
    </cfRule>
  </conditionalFormatting>
  <conditionalFormatting sqref="C133">
    <cfRule type="cellIs" dxfId="986" priority="72" stopIfTrue="1" operator="equal">
      <formula>"WARNING"</formula>
    </cfRule>
  </conditionalFormatting>
  <conditionalFormatting sqref="L138:O176">
    <cfRule type="cellIs" dxfId="985" priority="198" stopIfTrue="1" operator="equal">
      <formula>"ERROR"</formula>
    </cfRule>
  </conditionalFormatting>
  <conditionalFormatting sqref="L138:O176">
    <cfRule type="cellIs" dxfId="984" priority="199" stopIfTrue="1" operator="equal">
      <formula>"OK"</formula>
    </cfRule>
  </conditionalFormatting>
  <conditionalFormatting sqref="L138:O176">
    <cfRule type="cellIs" dxfId="983" priority="200" stopIfTrue="1" operator="equal">
      <formula>"WARNING"</formula>
    </cfRule>
  </conditionalFormatting>
  <conditionalFormatting sqref="C208">
    <cfRule type="cellIs" dxfId="982" priority="67" stopIfTrue="1" operator="equal">
      <formula>"ERROR"</formula>
    </cfRule>
  </conditionalFormatting>
  <conditionalFormatting sqref="C208">
    <cfRule type="cellIs" dxfId="981" priority="68" stopIfTrue="1" operator="equal">
      <formula>"OK"</formula>
    </cfRule>
  </conditionalFormatting>
  <conditionalFormatting sqref="C208">
    <cfRule type="cellIs" dxfId="980" priority="69" stopIfTrue="1" operator="equal">
      <formula>"WARNING"</formula>
    </cfRule>
  </conditionalFormatting>
  <conditionalFormatting sqref="G213:G217">
    <cfRule type="cellIs" dxfId="979" priority="201" stopIfTrue="1" operator="equal">
      <formula>"ERROR"</formula>
    </cfRule>
  </conditionalFormatting>
  <conditionalFormatting sqref="G213:G217">
    <cfRule type="cellIs" dxfId="978" priority="202" stopIfTrue="1" operator="equal">
      <formula>"OK"</formula>
    </cfRule>
  </conditionalFormatting>
  <conditionalFormatting sqref="G213:G217">
    <cfRule type="cellIs" dxfId="977" priority="203" stopIfTrue="1" operator="equal">
      <formula>"WARNING"</formula>
    </cfRule>
  </conditionalFormatting>
  <conditionalFormatting sqref="N213:N217">
    <cfRule type="cellIs" dxfId="976" priority="64" stopIfTrue="1" operator="equal">
      <formula>"ERROR"</formula>
    </cfRule>
  </conditionalFormatting>
  <conditionalFormatting sqref="N213:N217">
    <cfRule type="cellIs" dxfId="975" priority="65" stopIfTrue="1" operator="equal">
      <formula>"OK"</formula>
    </cfRule>
  </conditionalFormatting>
  <conditionalFormatting sqref="N213:N217">
    <cfRule type="cellIs" dxfId="974" priority="66" stopIfTrue="1" operator="equal">
      <formula>"WARNING"</formula>
    </cfRule>
  </conditionalFormatting>
  <conditionalFormatting sqref="U213:U217">
    <cfRule type="cellIs" dxfId="973" priority="61" stopIfTrue="1" operator="equal">
      <formula>"ERROR"</formula>
    </cfRule>
  </conditionalFormatting>
  <conditionalFormatting sqref="U213:U217">
    <cfRule type="cellIs" dxfId="972" priority="62" stopIfTrue="1" operator="equal">
      <formula>"OK"</formula>
    </cfRule>
  </conditionalFormatting>
  <conditionalFormatting sqref="U213:U217">
    <cfRule type="cellIs" dxfId="971" priority="63" stopIfTrue="1" operator="equal">
      <formula>"WARNING"</formula>
    </cfRule>
  </conditionalFormatting>
  <conditionalFormatting sqref="AI213">
    <cfRule type="cellIs" dxfId="970" priority="58" stopIfTrue="1" operator="equal">
      <formula>"ERROR"</formula>
    </cfRule>
  </conditionalFormatting>
  <conditionalFormatting sqref="AI213">
    <cfRule type="cellIs" dxfId="969" priority="59" stopIfTrue="1" operator="equal">
      <formula>"OK"</formula>
    </cfRule>
  </conditionalFormatting>
  <conditionalFormatting sqref="AI213">
    <cfRule type="cellIs" dxfId="968" priority="60" stopIfTrue="1" operator="equal">
      <formula>"WARNING"</formula>
    </cfRule>
  </conditionalFormatting>
  <conditionalFormatting sqref="C253">
    <cfRule type="cellIs" dxfId="967" priority="55" stopIfTrue="1" operator="equal">
      <formula>"ERROR"</formula>
    </cfRule>
  </conditionalFormatting>
  <conditionalFormatting sqref="C253">
    <cfRule type="cellIs" dxfId="966" priority="56" stopIfTrue="1" operator="equal">
      <formula>"OK"</formula>
    </cfRule>
  </conditionalFormatting>
  <conditionalFormatting sqref="C253">
    <cfRule type="cellIs" dxfId="965" priority="57" stopIfTrue="1" operator="equal">
      <formula>"WARNING"</formula>
    </cfRule>
  </conditionalFormatting>
  <conditionalFormatting sqref="E258:E264">
    <cfRule type="cellIs" dxfId="964" priority="204" stopIfTrue="1" operator="equal">
      <formula>"ERROR"</formula>
    </cfRule>
  </conditionalFormatting>
  <conditionalFormatting sqref="E258:E264">
    <cfRule type="cellIs" dxfId="963" priority="205" stopIfTrue="1" operator="equal">
      <formula>"OK"</formula>
    </cfRule>
  </conditionalFormatting>
  <conditionalFormatting sqref="E258:E264">
    <cfRule type="cellIs" dxfId="962" priority="206" stopIfTrue="1" operator="equal">
      <formula>"WARNING"</formula>
    </cfRule>
  </conditionalFormatting>
  <conditionalFormatting sqref="D20">
    <cfRule type="cellIs" dxfId="961" priority="52" stopIfTrue="1" operator="equal">
      <formula>"ERROR"</formula>
    </cfRule>
    <cfRule type="cellIs" dxfId="960" priority="53" stopIfTrue="1" operator="equal">
      <formula>"OK"</formula>
    </cfRule>
    <cfRule type="cellIs" dxfId="959" priority="54" stopIfTrue="1" operator="equal">
      <formula>"WARNING"</formula>
    </cfRule>
  </conditionalFormatting>
  <conditionalFormatting sqref="C62">
    <cfRule type="cellIs" dxfId="958" priority="49" stopIfTrue="1" operator="equal">
      <formula>"ERROR"</formula>
    </cfRule>
  </conditionalFormatting>
  <conditionalFormatting sqref="C62">
    <cfRule type="cellIs" dxfId="957" priority="50" stopIfTrue="1" operator="equal">
      <formula>"OK"</formula>
    </cfRule>
  </conditionalFormatting>
  <conditionalFormatting sqref="C62">
    <cfRule type="cellIs" dxfId="956" priority="51" stopIfTrue="1" operator="equal">
      <formula>"WARNING"</formula>
    </cfRule>
  </conditionalFormatting>
  <conditionalFormatting sqref="G67">
    <cfRule type="cellIs" dxfId="955" priority="46" stopIfTrue="1" operator="equal">
      <formula>"ERROR"</formula>
    </cfRule>
    <cfRule type="cellIs" dxfId="954" priority="47" stopIfTrue="1" operator="equal">
      <formula>"OK"</formula>
    </cfRule>
    <cfRule type="cellIs" dxfId="953" priority="48" stopIfTrue="1" operator="equal">
      <formula>"WARNING"</formula>
    </cfRule>
  </conditionalFormatting>
  <conditionalFormatting sqref="C38">
    <cfRule type="cellIs" dxfId="952" priority="43" stopIfTrue="1" operator="equal">
      <formula>"ERROR"</formula>
    </cfRule>
  </conditionalFormatting>
  <conditionalFormatting sqref="C38">
    <cfRule type="cellIs" dxfId="951" priority="44" stopIfTrue="1" operator="equal">
      <formula>"OK"</formula>
    </cfRule>
  </conditionalFormatting>
  <conditionalFormatting sqref="C38">
    <cfRule type="cellIs" dxfId="950" priority="45" stopIfTrue="1" operator="equal">
      <formula>"WARNING"</formula>
    </cfRule>
  </conditionalFormatting>
  <conditionalFormatting sqref="G43">
    <cfRule type="cellIs" dxfId="949" priority="40" stopIfTrue="1" operator="equal">
      <formula>"ERROR"</formula>
    </cfRule>
    <cfRule type="cellIs" dxfId="948" priority="41" stopIfTrue="1" operator="equal">
      <formula>"OK"</formula>
    </cfRule>
    <cfRule type="cellIs" dxfId="947" priority="42" stopIfTrue="1" operator="equal">
      <formula>"WARNING"</formula>
    </cfRule>
  </conditionalFormatting>
  <conditionalFormatting sqref="D8:D10">
    <cfRule type="cellIs" dxfId="946" priority="37" stopIfTrue="1" operator="equal">
      <formula>"ERROR"</formula>
    </cfRule>
    <cfRule type="cellIs" dxfId="945" priority="38" stopIfTrue="1" operator="equal">
      <formula>"OK"</formula>
    </cfRule>
    <cfRule type="cellIs" dxfId="944" priority="39" stopIfTrue="1" operator="equal">
      <formula>"WARNING"</formula>
    </cfRule>
  </conditionalFormatting>
  <conditionalFormatting sqref="C50">
    <cfRule type="cellIs" dxfId="943" priority="34" stopIfTrue="1" operator="equal">
      <formula>"ERROR"</formula>
    </cfRule>
  </conditionalFormatting>
  <conditionalFormatting sqref="C50">
    <cfRule type="cellIs" dxfId="942" priority="35" stopIfTrue="1" operator="equal">
      <formula>"OK"</formula>
    </cfRule>
  </conditionalFormatting>
  <conditionalFormatting sqref="C50">
    <cfRule type="cellIs" dxfId="941" priority="36" stopIfTrue="1" operator="equal">
      <formula>"WARNING"</formula>
    </cfRule>
  </conditionalFormatting>
  <conditionalFormatting sqref="G55">
    <cfRule type="cellIs" dxfId="940" priority="31" stopIfTrue="1" operator="equal">
      <formula>"ERROR"</formula>
    </cfRule>
    <cfRule type="cellIs" dxfId="939" priority="32" stopIfTrue="1" operator="equal">
      <formula>"OK"</formula>
    </cfRule>
    <cfRule type="cellIs" dxfId="938" priority="33" stopIfTrue="1" operator="equal">
      <formula>"WARNING"</formula>
    </cfRule>
  </conditionalFormatting>
  <conditionalFormatting sqref="N79">
    <cfRule type="cellIs" dxfId="937" priority="28" stopIfTrue="1" operator="equal">
      <formula>"ERROR"</formula>
    </cfRule>
    <cfRule type="cellIs" dxfId="936" priority="29" stopIfTrue="1" operator="equal">
      <formula>"OK"</formula>
    </cfRule>
    <cfRule type="cellIs" dxfId="935" priority="30" stopIfTrue="1" operator="equal">
      <formula>"WARNING"</formula>
    </cfRule>
  </conditionalFormatting>
  <conditionalFormatting sqref="C26">
    <cfRule type="cellIs" dxfId="934" priority="25" stopIfTrue="1" operator="equal">
      <formula>"ERROR"</formula>
    </cfRule>
  </conditionalFormatting>
  <conditionalFormatting sqref="C26">
    <cfRule type="cellIs" dxfId="933" priority="26" stopIfTrue="1" operator="equal">
      <formula>"OK"</formula>
    </cfRule>
  </conditionalFormatting>
  <conditionalFormatting sqref="C26">
    <cfRule type="cellIs" dxfId="932" priority="27" stopIfTrue="1" operator="equal">
      <formula>"WARNING"</formula>
    </cfRule>
  </conditionalFormatting>
  <conditionalFormatting sqref="G31">
    <cfRule type="cellIs" dxfId="931" priority="22" stopIfTrue="1" operator="equal">
      <formula>"ERROR"</formula>
    </cfRule>
    <cfRule type="cellIs" dxfId="930" priority="23" stopIfTrue="1" operator="equal">
      <formula>"OK"</formula>
    </cfRule>
    <cfRule type="cellIs" dxfId="929" priority="24" stopIfTrue="1" operator="equal">
      <formula>"WARNING"</formula>
    </cfRule>
  </conditionalFormatting>
  <conditionalFormatting sqref="D7">
    <cfRule type="cellIs" dxfId="928" priority="16" stopIfTrue="1" operator="equal">
      <formula>"ERROR"</formula>
    </cfRule>
    <cfRule type="cellIs" dxfId="927" priority="17" stopIfTrue="1" operator="equal">
      <formula>"OK"</formula>
    </cfRule>
    <cfRule type="cellIs" dxfId="926" priority="18" stopIfTrue="1" operator="equal">
      <formula>"WARNING"</formula>
    </cfRule>
  </conditionalFormatting>
  <conditionalFormatting sqref="C269">
    <cfRule type="cellIs" dxfId="925" priority="10" stopIfTrue="1" operator="equal">
      <formula>"ERROR"</formula>
    </cfRule>
  </conditionalFormatting>
  <conditionalFormatting sqref="C269">
    <cfRule type="cellIs" dxfId="924" priority="11" stopIfTrue="1" operator="equal">
      <formula>"OK"</formula>
    </cfRule>
  </conditionalFormatting>
  <conditionalFormatting sqref="C269">
    <cfRule type="cellIs" dxfId="923" priority="12" stopIfTrue="1" operator="equal">
      <formula>"WARNING"</formula>
    </cfRule>
  </conditionalFormatting>
  <conditionalFormatting sqref="G274:G277">
    <cfRule type="cellIs" dxfId="922" priority="4" stopIfTrue="1" operator="equal">
      <formula>"ERROR"</formula>
    </cfRule>
  </conditionalFormatting>
  <conditionalFormatting sqref="G274:G277">
    <cfRule type="cellIs" dxfId="921" priority="5" stopIfTrue="1" operator="equal">
      <formula>"OK"</formula>
    </cfRule>
  </conditionalFormatting>
  <conditionalFormatting sqref="G274:G277">
    <cfRule type="cellIs" dxfId="920" priority="6" stopIfTrue="1" operator="equal">
      <formula>"WARNING"</formula>
    </cfRule>
  </conditionalFormatting>
  <conditionalFormatting sqref="D21">
    <cfRule type="cellIs" dxfId="919" priority="1" stopIfTrue="1" operator="equal">
      <formula>"ERROR"</formula>
    </cfRule>
    <cfRule type="cellIs" dxfId="918" priority="2" stopIfTrue="1" operator="equal">
      <formula>"OK"</formula>
    </cfRule>
    <cfRule type="cellIs" dxfId="917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  <hyperlink ref="B21:C21" location="Dates.Title.d.Dates_IsBusinessDay" display="Dates.Title.d.Dates_IsBusinessDay" xr:uid="{3F7C95D3-49D0-4ED4-8E1C-1C7856E2C0A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zoomScale="85" zoomScaleNormal="85" workbookViewId="0">
      <selection activeCell="F18" sqref="F18:G19"/>
    </sheetView>
  </sheetViews>
  <sheetFormatPr defaultColWidth="14.75" defaultRowHeight="1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>
      <c r="B1" s="399" t="s">
        <v>372</v>
      </c>
    </row>
    <row r="2" spans="1:87" ht="26.25">
      <c r="B2" s="2" t="s">
        <v>323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  <c r="BU2" s="296"/>
      <c r="BV2" s="296"/>
      <c r="BW2" s="296"/>
      <c r="BX2" s="296"/>
      <c r="BY2" s="296"/>
      <c r="BZ2" s="296"/>
      <c r="CA2" s="296"/>
      <c r="CB2" s="296"/>
      <c r="CC2" s="296"/>
      <c r="CD2" s="296"/>
      <c r="CE2" s="296"/>
      <c r="CF2" s="296"/>
      <c r="CG2" s="296"/>
      <c r="CH2" s="296"/>
      <c r="CI2" s="296"/>
    </row>
    <row r="3" spans="1:87">
      <c r="BR3" s="430"/>
      <c r="BS3" s="430"/>
      <c r="BT3" s="430"/>
      <c r="BU3" s="430"/>
      <c r="BV3" s="430"/>
      <c r="BW3" s="430"/>
    </row>
    <row r="4" spans="1:87">
      <c r="B4" s="50" t="s">
        <v>139</v>
      </c>
      <c r="C4" s="291" t="str" cm="1">
        <f t="array" aca="1" ref="C4" ca="1">_xll.d.TestUtils_And(D7:D9)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BR4" s="430"/>
      <c r="BS4" s="430"/>
      <c r="BT4" s="430"/>
      <c r="BU4" s="430"/>
      <c r="BV4" s="430"/>
      <c r="BW4" s="430"/>
    </row>
    <row r="5" spans="1:87">
      <c r="BR5" s="430"/>
      <c r="BS5" s="430"/>
      <c r="BT5" s="430"/>
      <c r="BU5" s="430"/>
      <c r="BV5" s="430"/>
      <c r="BW5" s="430"/>
    </row>
    <row r="6" spans="1:87">
      <c r="B6" s="188" t="s">
        <v>196</v>
      </c>
      <c r="C6" s="188"/>
      <c r="D6" s="189" t="s">
        <v>10</v>
      </c>
      <c r="E6" s="289"/>
      <c r="F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BR6" s="430"/>
      <c r="BS6" s="430"/>
      <c r="BT6" s="430"/>
      <c r="BU6" s="430"/>
      <c r="BV6" s="430"/>
      <c r="BW6" s="430"/>
    </row>
    <row r="7" spans="1:87">
      <c r="B7" s="398" t="s">
        <v>324</v>
      </c>
      <c r="C7" s="201"/>
      <c r="D7" s="291" t="str">
        <f ca="1">C14</f>
        <v>Ok</v>
      </c>
      <c r="E7" s="289"/>
      <c r="F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BR7" s="430"/>
      <c r="BS7" s="430"/>
      <c r="BT7" s="430"/>
      <c r="BU7" s="430"/>
      <c r="BV7" s="430"/>
      <c r="BW7" s="430"/>
    </row>
    <row r="8" spans="1:87" s="430" customFormat="1">
      <c r="B8" s="398" t="s">
        <v>549</v>
      </c>
      <c r="C8" s="201"/>
      <c r="D8" s="291" t="str">
        <f ca="1">C26</f>
        <v>Ok</v>
      </c>
      <c r="E8" s="289"/>
      <c r="F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9" spans="1:87">
      <c r="B9" s="398" t="s">
        <v>340</v>
      </c>
      <c r="C9" s="201"/>
      <c r="D9" s="291" t="str">
        <f ca="1">C38</f>
        <v>Ok</v>
      </c>
      <c r="E9" s="289"/>
      <c r="F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  <c r="BR9" s="430"/>
      <c r="BS9" s="430"/>
      <c r="BT9" s="430"/>
      <c r="BU9" s="430"/>
      <c r="BV9" s="430"/>
      <c r="BW9" s="430"/>
    </row>
    <row r="10" spans="1:87">
      <c r="BR10" s="430"/>
      <c r="BS10" s="430"/>
      <c r="BT10" s="430"/>
      <c r="BU10" s="430"/>
      <c r="BV10" s="430"/>
      <c r="BW10" s="430"/>
    </row>
    <row r="11" spans="1:87">
      <c r="BR11" s="430"/>
      <c r="BS11" s="430"/>
      <c r="BT11" s="430"/>
      <c r="BU11" s="430"/>
      <c r="BV11" s="430"/>
      <c r="BW11" s="430"/>
    </row>
    <row r="12" spans="1:87" s="289" customFormat="1" ht="18.75">
      <c r="A12"/>
      <c r="B12" s="3" t="s">
        <v>324</v>
      </c>
      <c r="C12" s="297"/>
      <c r="D12" s="297"/>
      <c r="E12" s="297"/>
      <c r="F12" s="297"/>
      <c r="G12" s="297"/>
      <c r="H12" s="297"/>
      <c r="I12" s="297"/>
      <c r="J12" s="297"/>
      <c r="K12" s="297"/>
      <c r="L12" s="297"/>
      <c r="M12" s="297"/>
      <c r="N12" s="297"/>
      <c r="O12" s="297"/>
      <c r="P12" s="297"/>
      <c r="Q12" s="297"/>
      <c r="R12" s="297"/>
      <c r="S12" s="297"/>
      <c r="T12" s="297"/>
      <c r="U12" s="297"/>
      <c r="V12" s="297"/>
      <c r="W12" s="297"/>
      <c r="X12" s="297"/>
      <c r="Y12" s="297"/>
      <c r="Z12" s="297"/>
      <c r="AA12" s="297"/>
      <c r="AB12" s="297"/>
      <c r="AC12" s="297"/>
      <c r="AD12" s="297"/>
      <c r="AE12" s="297"/>
      <c r="AF12" s="297"/>
      <c r="AG12" s="297"/>
      <c r="AH12" s="297"/>
      <c r="AI12" s="297"/>
      <c r="AJ12" s="297"/>
      <c r="AK12" s="297"/>
      <c r="AL12" s="297"/>
      <c r="AM12" s="297"/>
      <c r="AN12" s="297"/>
      <c r="AO12" s="297"/>
      <c r="AP12" s="297"/>
      <c r="AQ12" s="297"/>
      <c r="AR12" s="297"/>
      <c r="AS12" s="297"/>
      <c r="AT12" s="297"/>
      <c r="AU12" s="297"/>
      <c r="AV12" s="297"/>
      <c r="AW12" s="297"/>
      <c r="AX12" s="297"/>
      <c r="AY12" s="297"/>
      <c r="AZ12" s="297"/>
      <c r="BA12" s="297"/>
      <c r="BB12" s="297"/>
      <c r="BC12" s="297"/>
      <c r="BD12" s="297"/>
      <c r="BE12" s="297"/>
      <c r="BF12" s="297"/>
      <c r="BG12" s="297"/>
      <c r="BH12" s="297"/>
      <c r="BI12" s="297"/>
      <c r="BJ12" s="297"/>
      <c r="BK12" s="297"/>
      <c r="BL12" s="297"/>
      <c r="BM12" s="297"/>
      <c r="BN12" s="297"/>
      <c r="BO12" s="297"/>
      <c r="BP12" s="297"/>
      <c r="BQ12" s="297"/>
      <c r="BR12" s="297"/>
      <c r="BS12" s="297"/>
      <c r="BT12" s="297"/>
      <c r="BU12" s="297"/>
      <c r="BV12" s="297"/>
      <c r="BW12" s="297"/>
      <c r="BX12" s="297"/>
      <c r="BY12" s="297"/>
      <c r="BZ12" s="297"/>
      <c r="CA12" s="297"/>
      <c r="CB12" s="297"/>
      <c r="CC12" s="297"/>
      <c r="CD12" s="297"/>
      <c r="CE12" s="297"/>
      <c r="CF12" s="297"/>
      <c r="CG12" s="297"/>
      <c r="CH12" s="297"/>
      <c r="CI12" s="297"/>
    </row>
    <row r="13" spans="1:87">
      <c r="BR13" s="430"/>
      <c r="BS13" s="430"/>
      <c r="BT13" s="430"/>
      <c r="BU13" s="430"/>
      <c r="BV13" s="430"/>
      <c r="BW13" s="430"/>
    </row>
    <row r="14" spans="1:87">
      <c r="B14" s="50" t="s">
        <v>139</v>
      </c>
      <c r="C14" s="291" t="str" cm="1">
        <f t="array" aca="1" ref="C14" ca="1">_xll.d.TestUtils_And(H19,P19,Y19,AG19,AU19,BI19,BW19,CI19)</f>
        <v>Ok</v>
      </c>
      <c r="D14" s="289"/>
      <c r="E14" s="289"/>
      <c r="F14" s="289"/>
      <c r="G14" s="289"/>
      <c r="AN14" s="430"/>
      <c r="AO14" s="430"/>
      <c r="AP14" s="430"/>
      <c r="AR14" s="430"/>
      <c r="AS14" s="430"/>
      <c r="AT14" s="430"/>
      <c r="BD14" s="430"/>
      <c r="BH14" s="430"/>
      <c r="BR14" s="430"/>
      <c r="BS14" s="430"/>
      <c r="BT14" s="430"/>
      <c r="BU14" s="430"/>
      <c r="BV14" s="430"/>
      <c r="BW14" s="430"/>
      <c r="BX14" s="430"/>
      <c r="BY14" s="430"/>
      <c r="BZ14" s="430"/>
      <c r="CA14" s="430"/>
      <c r="CB14" s="430"/>
      <c r="CC14" s="430"/>
      <c r="CD14" s="430"/>
    </row>
    <row r="15" spans="1:87">
      <c r="B15" s="289"/>
      <c r="C15" s="289"/>
      <c r="D15" s="289"/>
      <c r="E15" s="289"/>
      <c r="F15" s="289"/>
      <c r="G15" s="290"/>
      <c r="AN15" s="430"/>
      <c r="AO15" s="430"/>
      <c r="AP15" s="430"/>
      <c r="AR15" s="430"/>
      <c r="AS15" s="430"/>
      <c r="AT15" s="430"/>
      <c r="BB15" s="430"/>
      <c r="BC15" s="430"/>
      <c r="BD15" s="430"/>
      <c r="BF15" s="430"/>
      <c r="BG15" s="430"/>
      <c r="BH15" s="430"/>
      <c r="BK15" s="430"/>
      <c r="BL15" s="430"/>
      <c r="BM15" s="430"/>
      <c r="BN15" s="430"/>
      <c r="BO15" s="430"/>
      <c r="BP15" s="430"/>
      <c r="BQ15" s="430"/>
      <c r="BR15" s="430"/>
      <c r="BS15" s="430"/>
      <c r="BT15" s="430"/>
      <c r="BU15" s="430"/>
      <c r="BV15" s="430"/>
      <c r="BW15" s="430"/>
      <c r="BX15" s="430"/>
      <c r="CD15" s="430"/>
      <c r="CE15" s="430"/>
      <c r="CF15" s="430"/>
      <c r="CG15" s="430"/>
      <c r="CH15" s="430"/>
      <c r="CI15" s="430"/>
    </row>
    <row r="16" spans="1:87" ht="15.75">
      <c r="B16" s="4" t="s">
        <v>325</v>
      </c>
      <c r="C16" s="298"/>
      <c r="D16" s="298"/>
      <c r="E16" s="298"/>
      <c r="F16" s="298"/>
      <c r="G16" s="298"/>
      <c r="H16" s="298"/>
      <c r="J16" s="4" t="s">
        <v>329</v>
      </c>
      <c r="K16" s="298"/>
      <c r="L16" s="298"/>
      <c r="M16" s="298"/>
      <c r="N16" s="298"/>
      <c r="O16" s="298"/>
      <c r="P16" s="298"/>
      <c r="R16" s="4" t="s">
        <v>331</v>
      </c>
      <c r="S16" s="298"/>
      <c r="T16" s="298"/>
      <c r="U16" s="298"/>
      <c r="V16" s="298"/>
      <c r="W16" s="298"/>
      <c r="X16" s="298"/>
      <c r="Y16" s="298"/>
      <c r="AA16" s="4" t="s">
        <v>332</v>
      </c>
      <c r="AB16" s="298"/>
      <c r="AC16" s="298"/>
      <c r="AD16" s="298"/>
      <c r="AE16" s="298"/>
      <c r="AF16" s="298"/>
      <c r="AG16" s="298"/>
      <c r="AI16" s="4" t="s">
        <v>333</v>
      </c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W16" s="4" t="s">
        <v>461</v>
      </c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K16" s="4" t="s">
        <v>462</v>
      </c>
      <c r="BL16" s="298"/>
      <c r="BM16" s="298"/>
      <c r="BN16" s="298"/>
      <c r="BO16" s="298"/>
      <c r="BP16" s="298"/>
      <c r="BQ16" s="298"/>
      <c r="BR16" s="298"/>
      <c r="BS16" s="298"/>
      <c r="BT16" s="298"/>
      <c r="BU16" s="298"/>
      <c r="BV16" s="298"/>
      <c r="BW16" s="298"/>
      <c r="BX16" s="430"/>
      <c r="BY16" s="4" t="s">
        <v>465</v>
      </c>
      <c r="BZ16" s="298"/>
      <c r="CA16" s="298"/>
      <c r="CB16" s="298"/>
      <c r="CC16" s="298"/>
      <c r="CD16" s="298"/>
      <c r="CE16" s="298"/>
      <c r="CF16" s="298"/>
      <c r="CG16" s="298"/>
      <c r="CH16" s="298"/>
      <c r="CI16" s="298"/>
    </row>
    <row r="17" spans="2:87">
      <c r="B17" s="289"/>
      <c r="C17" s="289"/>
      <c r="D17" s="289"/>
      <c r="E17" s="289"/>
      <c r="F17" s="289"/>
      <c r="G17" s="290"/>
      <c r="J17" s="289"/>
      <c r="K17" s="289"/>
      <c r="L17" s="289"/>
      <c r="M17" s="289"/>
      <c r="N17" s="289"/>
      <c r="O17" s="290"/>
      <c r="R17" s="289"/>
      <c r="S17" s="289"/>
      <c r="T17" s="289"/>
      <c r="U17" s="289"/>
      <c r="V17" s="289"/>
      <c r="W17" s="289"/>
      <c r="X17" s="290"/>
      <c r="AA17" s="289"/>
      <c r="AB17" s="289"/>
      <c r="AC17" s="289"/>
      <c r="AD17" s="289"/>
      <c r="AE17" s="289"/>
      <c r="AF17" s="290"/>
      <c r="AI17" s="289"/>
      <c r="AJ17" s="289"/>
      <c r="AK17" s="289"/>
      <c r="AL17" s="289"/>
      <c r="AM17" s="289"/>
      <c r="AN17" s="289"/>
      <c r="AO17" s="289"/>
      <c r="AP17" s="289"/>
      <c r="AQ17" s="290"/>
      <c r="AR17" s="290"/>
      <c r="AS17" s="290"/>
      <c r="AT17" s="290"/>
      <c r="AW17" s="289"/>
      <c r="AX17" s="289"/>
      <c r="AY17" s="289"/>
      <c r="AZ17" s="289"/>
      <c r="BA17" s="289"/>
      <c r="BB17" s="289"/>
      <c r="BC17" s="289"/>
      <c r="BD17" s="289"/>
      <c r="BE17" s="290"/>
      <c r="BF17" s="290"/>
      <c r="BG17" s="290"/>
      <c r="BH17" s="290"/>
      <c r="BK17" s="289"/>
      <c r="BL17" s="289"/>
      <c r="BM17" s="289"/>
      <c r="BN17" s="430"/>
      <c r="BO17" s="430"/>
      <c r="BP17" s="430"/>
      <c r="BQ17" s="430"/>
      <c r="BR17" s="430"/>
      <c r="BS17" s="430"/>
      <c r="BT17" s="430"/>
      <c r="BU17" s="430"/>
      <c r="BV17" s="430"/>
      <c r="BW17" s="430"/>
      <c r="BX17" s="430"/>
      <c r="BY17" s="289"/>
      <c r="BZ17" s="289"/>
      <c r="CA17" s="289"/>
      <c r="CB17" s="289"/>
      <c r="CC17" s="289"/>
      <c r="CD17" s="289"/>
      <c r="CE17" s="289"/>
      <c r="CF17" s="290"/>
      <c r="CG17" s="290"/>
      <c r="CH17" s="290"/>
    </row>
    <row r="18" spans="2:87">
      <c r="B18" s="120" t="s">
        <v>212</v>
      </c>
      <c r="C18" s="191"/>
      <c r="D18" s="121"/>
      <c r="F18" s="120" t="s">
        <v>113</v>
      </c>
      <c r="G18" s="120" t="s">
        <v>214</v>
      </c>
      <c r="H18" s="120" t="s">
        <v>67</v>
      </c>
      <c r="J18" s="120" t="s">
        <v>212</v>
      </c>
      <c r="K18" s="191"/>
      <c r="L18" s="121"/>
      <c r="N18" s="120" t="s">
        <v>113</v>
      </c>
      <c r="O18" s="120" t="s">
        <v>214</v>
      </c>
      <c r="P18" s="120" t="s">
        <v>67</v>
      </c>
      <c r="R18" s="120" t="s">
        <v>212</v>
      </c>
      <c r="S18" s="191"/>
      <c r="T18" s="191"/>
      <c r="U18" s="121"/>
      <c r="W18" s="120" t="s">
        <v>113</v>
      </c>
      <c r="X18" s="120" t="s">
        <v>214</v>
      </c>
      <c r="Y18" s="120" t="s">
        <v>67</v>
      </c>
      <c r="AA18" s="120" t="s">
        <v>212</v>
      </c>
      <c r="AB18" s="191"/>
      <c r="AC18" s="121"/>
      <c r="AE18" s="120" t="s">
        <v>113</v>
      </c>
      <c r="AF18" s="120" t="s">
        <v>214</v>
      </c>
      <c r="AG18" s="120" t="s">
        <v>67</v>
      </c>
      <c r="AI18" s="120" t="s">
        <v>212</v>
      </c>
      <c r="AJ18" s="191"/>
      <c r="AK18" s="121"/>
      <c r="AM18" s="120" t="s">
        <v>113</v>
      </c>
      <c r="AN18" s="120"/>
      <c r="AO18" s="120"/>
      <c r="AP18" s="120"/>
      <c r="AQ18" s="120" t="s">
        <v>214</v>
      </c>
      <c r="AR18" s="120"/>
      <c r="AS18" s="120"/>
      <c r="AT18" s="120"/>
      <c r="AU18" s="120" t="s">
        <v>67</v>
      </c>
      <c r="AW18" s="120" t="s">
        <v>212</v>
      </c>
      <c r="AX18" s="191"/>
      <c r="AY18" s="121"/>
      <c r="BA18" s="120" t="s">
        <v>113</v>
      </c>
      <c r="BB18" s="120"/>
      <c r="BC18" s="120"/>
      <c r="BD18" s="120"/>
      <c r="BE18" s="120" t="s">
        <v>214</v>
      </c>
      <c r="BF18" s="120"/>
      <c r="BG18" s="120"/>
      <c r="BH18" s="120"/>
      <c r="BI18" s="120" t="s">
        <v>67</v>
      </c>
      <c r="BK18" s="120" t="s">
        <v>212</v>
      </c>
      <c r="BL18" s="191"/>
      <c r="BM18" s="121"/>
      <c r="BN18" s="430"/>
      <c r="BO18" s="120" t="s">
        <v>113</v>
      </c>
      <c r="BP18" s="120"/>
      <c r="BQ18" s="120"/>
      <c r="BR18" s="120"/>
      <c r="BS18" s="120" t="s">
        <v>214</v>
      </c>
      <c r="BT18" s="120"/>
      <c r="BU18" s="120"/>
      <c r="BV18" s="120"/>
      <c r="BW18" s="120" t="s">
        <v>67</v>
      </c>
      <c r="BX18" s="430"/>
      <c r="BY18" s="120" t="s">
        <v>212</v>
      </c>
      <c r="BZ18" s="191"/>
      <c r="CA18" s="121"/>
      <c r="CC18" s="120" t="s">
        <v>113</v>
      </c>
      <c r="CD18" s="120"/>
      <c r="CE18" s="120"/>
      <c r="CF18" s="120" t="s">
        <v>214</v>
      </c>
      <c r="CG18" s="120"/>
      <c r="CH18" s="120"/>
      <c r="CI18" s="120" t="s">
        <v>67</v>
      </c>
    </row>
    <row r="19" spans="2:87">
      <c r="B19" s="313" t="s">
        <v>326</v>
      </c>
      <c r="C19" s="314" t="s">
        <v>327</v>
      </c>
      <c r="D19" s="119" t="s">
        <v>328</v>
      </c>
      <c r="F19" s="316" cm="1">
        <f t="array" aca="1" ref="F19" ca="1">_xll.d.Math_Interpolate(B20:B21,C20:C21,D20,"linear")</f>
        <v>7.5000000000000011E-2</v>
      </c>
      <c r="G19" s="317">
        <f ca="1">(C21-C20)/(B21-B20)*(D20-B20)+C20</f>
        <v>7.5000000000000011E-2</v>
      </c>
      <c r="H19" s="301" t="str" cm="1">
        <f t="array" aca="1" ref="H19" ca="1">_xll.d.TestUtils_Equal(F19,G19)</f>
        <v>Ok</v>
      </c>
      <c r="J19" s="313" t="s">
        <v>326</v>
      </c>
      <c r="K19" s="314" t="s">
        <v>327</v>
      </c>
      <c r="L19" s="119" t="s">
        <v>328</v>
      </c>
      <c r="N19" s="316" cm="1">
        <f t="array" aca="1" ref="N19" ca="1">_xll.d.Math_Interpolate(J20:J21,K20:K21,L20,"exponential")</f>
        <v>7.0710678118654766E-2</v>
      </c>
      <c r="O19" s="317">
        <f ca="1">EXP((LN(K21/K20))/(J21-J20)*(L20-J20)+LN(K20))</f>
        <v>7.0710678118654766E-2</v>
      </c>
      <c r="P19" s="301" t="str" cm="1">
        <f t="array" aca="1" ref="P19" ca="1">_xll.d.TestUtils_Equal(N19,O19)</f>
        <v>Ok</v>
      </c>
      <c r="R19" s="313" t="s">
        <v>326</v>
      </c>
      <c r="S19" s="314" t="s">
        <v>327</v>
      </c>
      <c r="T19" s="314" t="s">
        <v>330</v>
      </c>
      <c r="U19" s="119" t="s">
        <v>328</v>
      </c>
      <c r="W19" s="316" cm="1">
        <f t="array" aca="1" ref="W19" ca="1">_xll.d.Math_Interpolate(R20:R21,T20:T21,U20,"exponential")-EXP(_xll.d.Math_Interpolate(R20:R21,S20:S21,U20,"linear"))</f>
        <v>0</v>
      </c>
      <c r="X19" s="317">
        <v>0</v>
      </c>
      <c r="Y19" s="301" t="str" cm="1">
        <f t="array" aca="1" ref="Y19" ca="1">_xll.d.TestUtils_Equal(W19,X19)</f>
        <v>Ok</v>
      </c>
      <c r="AA19" s="313" t="s">
        <v>326</v>
      </c>
      <c r="AB19" s="314" t="s">
        <v>327</v>
      </c>
      <c r="AC19" s="119" t="s">
        <v>328</v>
      </c>
      <c r="AE19" s="316" cm="1">
        <f t="array" aca="1" ref="AE19" ca="1">_xll.d.Math_Interpolate(AA20:AA21,AB20:AB21,AC20,"flat")</f>
        <v>0.05</v>
      </c>
      <c r="AF19" s="317">
        <f ca="1">IF(AC20&lt;AA21,AB20,AB21)</f>
        <v>0.05</v>
      </c>
      <c r="AG19" s="301" t="str" cm="1">
        <f t="array" aca="1" ref="AG19" ca="1">_xll.d.TestUtils_Equal(AE19,AF19)</f>
        <v>Ok</v>
      </c>
      <c r="AI19" s="313" t="s">
        <v>326</v>
      </c>
      <c r="AJ19" s="314" t="s">
        <v>327</v>
      </c>
      <c r="AK19" s="119" t="s">
        <v>328</v>
      </c>
      <c r="AM19" s="551" t="str" cm="1">
        <f t="array" aca="1" ref="AM19" ca="1">_xll.d.Math_Interpolate(AI20,AJ20:AJ21,AK20,"linear")</f>
        <v>#∂Excel Error: Dimensions of x and y ranges don't match.</v>
      </c>
      <c r="AN19" s="552"/>
      <c r="AO19" s="552"/>
      <c r="AP19" s="552"/>
      <c r="AQ19" s="552" t="s">
        <v>459</v>
      </c>
      <c r="AR19" s="552"/>
      <c r="AS19" s="552"/>
      <c r="AT19" s="552"/>
      <c r="AU19" s="301" t="str" cm="1">
        <f t="array" aca="1" ref="AU19" ca="1">_xll.d.TestUtils_Equal(AM19,AQ19)</f>
        <v>Ok</v>
      </c>
      <c r="AW19" s="313" t="s">
        <v>326</v>
      </c>
      <c r="AX19" s="314" t="s">
        <v>327</v>
      </c>
      <c r="AY19" s="119" t="s">
        <v>328</v>
      </c>
      <c r="BA19" s="551" t="str" cm="1">
        <f t="array" aca="1" ref="BA19" ca="1">_xll.d.Math_Interpolate(AW20:AX21,AX20:AX21,AY20,"linear")</f>
        <v>#∂Excel Error: x-value range has too many dimensions.</v>
      </c>
      <c r="BB19" s="552"/>
      <c r="BC19" s="552"/>
      <c r="BD19" s="552"/>
      <c r="BE19" s="552" t="s">
        <v>460</v>
      </c>
      <c r="BF19" s="552"/>
      <c r="BG19" s="552"/>
      <c r="BH19" s="552"/>
      <c r="BI19" s="301" t="str" cm="1">
        <f t="array" aca="1" ref="BI19" ca="1">_xll.d.TestUtils_Equal(BA19,BE19)</f>
        <v>Ok</v>
      </c>
      <c r="BK19" s="313" t="s">
        <v>326</v>
      </c>
      <c r="BL19" s="314" t="s">
        <v>327</v>
      </c>
      <c r="BM19" s="119" t="s">
        <v>328</v>
      </c>
      <c r="BN19" s="430"/>
      <c r="BO19" s="551" t="str" cm="1">
        <f t="array" aca="1" ref="BO19" ca="1">_xll.d.Math_Interpolate(BK20:BK22,BL20:BL22,BM20,"magic")</f>
        <v>#∂Excel Error: Duplicate values in x-values range.</v>
      </c>
      <c r="BP19" s="552"/>
      <c r="BQ19" s="552"/>
      <c r="BR19" s="552"/>
      <c r="BS19" s="552" t="s">
        <v>463</v>
      </c>
      <c r="BT19" s="552"/>
      <c r="BU19" s="552"/>
      <c r="BV19" s="552"/>
      <c r="BW19" s="301" t="str" cm="1">
        <f t="array" aca="1" ref="BW19" ca="1">_xll.d.TestUtils_Equal(BO19,BS19)</f>
        <v>Ok</v>
      </c>
      <c r="BX19" s="430"/>
      <c r="BY19" s="313" t="s">
        <v>326</v>
      </c>
      <c r="BZ19" s="314" t="s">
        <v>327</v>
      </c>
      <c r="CA19" s="119" t="s">
        <v>328</v>
      </c>
      <c r="CC19" s="551" t="str" cm="1">
        <f t="array" aca="1" ref="CC19" ca="1">_xll.d.Math_Interpolate(BY20:BY21,BZ20:BZ21,CA20,"magic")</f>
        <v>#∂Excel Error: Unsupported interpolation: 'magic'</v>
      </c>
      <c r="CD19" s="552"/>
      <c r="CE19" s="552"/>
      <c r="CF19" s="552" t="s">
        <v>449</v>
      </c>
      <c r="CG19" s="552"/>
      <c r="CH19" s="552"/>
      <c r="CI19" s="301" t="str" cm="1">
        <f t="array" aca="1" ref="CI19" ca="1">_xll.d.TestUtils_Equal(CC19,CF19)</f>
        <v>Ok</v>
      </c>
    </row>
    <row r="20" spans="2:87">
      <c r="B20" s="122">
        <v>1</v>
      </c>
      <c r="C20" s="311">
        <v>0.05</v>
      </c>
      <c r="D20" s="315">
        <v>1.5</v>
      </c>
      <c r="E20" s="289"/>
      <c r="F20" s="289"/>
      <c r="G20" s="290"/>
      <c r="J20" s="122">
        <v>1</v>
      </c>
      <c r="K20" s="311">
        <v>0.05</v>
      </c>
      <c r="L20" s="315">
        <v>1.5</v>
      </c>
      <c r="M20" s="289"/>
      <c r="N20" s="289"/>
      <c r="O20" s="290"/>
      <c r="R20" s="122">
        <v>1</v>
      </c>
      <c r="S20" s="311">
        <v>0.05</v>
      </c>
      <c r="T20" s="311">
        <f ca="1">EXP(S20)</f>
        <v>1.0512710963760241</v>
      </c>
      <c r="U20" s="315">
        <v>1.5</v>
      </c>
      <c r="V20" s="289"/>
      <c r="W20" s="289"/>
      <c r="X20" s="290"/>
      <c r="AA20" s="122">
        <v>1</v>
      </c>
      <c r="AB20" s="311">
        <v>0.05</v>
      </c>
      <c r="AC20" s="315">
        <v>1.5</v>
      </c>
      <c r="AD20" s="289"/>
      <c r="AE20" s="289"/>
      <c r="AF20" s="290"/>
      <c r="AI20" s="396">
        <v>1</v>
      </c>
      <c r="AJ20" s="311">
        <v>0.05</v>
      </c>
      <c r="AK20" s="315">
        <v>1.5</v>
      </c>
      <c r="AL20" s="289"/>
      <c r="AM20" s="289"/>
      <c r="AN20" s="289"/>
      <c r="AO20" s="289"/>
      <c r="AP20" s="289"/>
      <c r="AQ20" s="290"/>
      <c r="AR20" s="290"/>
      <c r="AS20" s="290"/>
      <c r="AT20" s="290"/>
      <c r="AW20" s="122">
        <v>1</v>
      </c>
      <c r="AX20" s="311">
        <v>0.05</v>
      </c>
      <c r="AY20" s="315">
        <v>1.5</v>
      </c>
      <c r="AZ20" s="289"/>
      <c r="BA20" s="289"/>
      <c r="BB20" s="289"/>
      <c r="BC20" s="289"/>
      <c r="BD20" s="289"/>
      <c r="BE20" s="290"/>
      <c r="BF20" s="290"/>
      <c r="BG20" s="290"/>
      <c r="BH20" s="290"/>
      <c r="BK20" s="122">
        <v>1</v>
      </c>
      <c r="BL20" s="311">
        <v>0.05</v>
      </c>
      <c r="BM20" s="315">
        <v>1.5</v>
      </c>
      <c r="BN20" s="430"/>
      <c r="BO20" s="430"/>
      <c r="BP20" s="430"/>
      <c r="BQ20" s="430"/>
      <c r="BR20" s="430"/>
      <c r="BS20" s="430"/>
      <c r="BT20" s="430"/>
      <c r="BU20" s="430"/>
      <c r="BV20" s="430"/>
      <c r="BW20" s="430"/>
      <c r="BX20" s="430"/>
      <c r="BY20" s="122">
        <v>1</v>
      </c>
      <c r="BZ20" s="311">
        <v>0.05</v>
      </c>
      <c r="CA20" s="315">
        <v>1.5</v>
      </c>
      <c r="CB20" s="289"/>
      <c r="CC20" s="289"/>
      <c r="CD20" s="289"/>
      <c r="CE20" s="289"/>
      <c r="CF20" s="290"/>
      <c r="CG20" s="290"/>
      <c r="CH20" s="290"/>
    </row>
    <row r="21" spans="2:87">
      <c r="B21" s="318">
        <v>2</v>
      </c>
      <c r="C21" s="319">
        <v>0.1</v>
      </c>
      <c r="E21" s="289"/>
      <c r="F21" s="289"/>
      <c r="G21" s="290"/>
      <c r="J21" s="318">
        <v>2</v>
      </c>
      <c r="K21" s="319">
        <v>0.1</v>
      </c>
      <c r="M21" s="289"/>
      <c r="N21" s="289"/>
      <c r="O21" s="290"/>
      <c r="R21" s="318">
        <v>2</v>
      </c>
      <c r="S21" s="321">
        <v>0.1</v>
      </c>
      <c r="T21" s="320">
        <f ca="1">EXP(S21)</f>
        <v>1.1051709180756477</v>
      </c>
      <c r="V21" s="289"/>
      <c r="W21" s="289"/>
      <c r="X21" s="290"/>
      <c r="AA21" s="318">
        <v>2</v>
      </c>
      <c r="AB21" s="319">
        <v>0.1</v>
      </c>
      <c r="AD21" s="289"/>
      <c r="AE21" s="289"/>
      <c r="AF21" s="290"/>
      <c r="AI21" s="430"/>
      <c r="AJ21" s="550">
        <v>0.1</v>
      </c>
      <c r="AL21" s="289"/>
      <c r="AM21" s="289"/>
      <c r="AN21" s="289"/>
      <c r="AO21" s="289"/>
      <c r="AP21" s="289"/>
      <c r="AQ21" s="290"/>
      <c r="AR21" s="290"/>
      <c r="AS21" s="290"/>
      <c r="AT21" s="290"/>
      <c r="AW21" s="318">
        <v>2</v>
      </c>
      <c r="AX21" s="319">
        <v>0.1</v>
      </c>
      <c r="AZ21" s="289"/>
      <c r="BA21" s="289"/>
      <c r="BB21" s="289"/>
      <c r="BC21" s="289"/>
      <c r="BD21" s="289"/>
      <c r="BE21" s="290"/>
      <c r="BF21" s="290"/>
      <c r="BG21" s="290"/>
      <c r="BH21" s="290"/>
      <c r="BK21" s="124">
        <v>1</v>
      </c>
      <c r="BL21" s="125">
        <v>0.1</v>
      </c>
      <c r="BM21" s="430"/>
      <c r="BN21" s="430"/>
      <c r="BO21" s="430"/>
      <c r="BP21" s="430"/>
      <c r="BQ21" s="430"/>
      <c r="BR21" s="430"/>
      <c r="BS21" s="430"/>
      <c r="BT21" s="430"/>
      <c r="BU21" s="430"/>
      <c r="BV21" s="430"/>
      <c r="BW21" s="430"/>
      <c r="BX21" s="430"/>
      <c r="BY21" s="318">
        <v>2</v>
      </c>
      <c r="BZ21" s="319">
        <v>0.1</v>
      </c>
      <c r="CB21" s="289"/>
      <c r="CC21" s="289"/>
      <c r="CD21" s="289"/>
      <c r="CE21" s="289"/>
      <c r="CF21" s="290"/>
      <c r="CG21" s="290"/>
      <c r="CH21" s="290"/>
    </row>
    <row r="22" spans="2:87">
      <c r="B22" s="289"/>
      <c r="C22" s="289"/>
      <c r="D22" s="289"/>
      <c r="E22" s="289"/>
      <c r="F22" s="289"/>
      <c r="G22" s="290"/>
      <c r="AN22" s="430"/>
      <c r="AO22" s="430"/>
      <c r="AP22" s="430"/>
      <c r="AR22" s="430"/>
      <c r="AS22" s="430"/>
      <c r="AT22" s="430"/>
      <c r="BB22" s="430"/>
      <c r="BC22" s="430"/>
      <c r="BD22" s="430"/>
      <c r="BF22" s="430"/>
      <c r="BG22" s="430"/>
      <c r="BH22" s="430"/>
      <c r="BK22" s="318">
        <v>2</v>
      </c>
      <c r="BL22" s="319">
        <v>0.15</v>
      </c>
      <c r="BM22" s="430"/>
      <c r="BN22" s="430"/>
      <c r="BO22" s="430"/>
      <c r="BP22" s="430"/>
      <c r="BQ22" s="430"/>
      <c r="BR22" s="430"/>
      <c r="BS22" s="430"/>
      <c r="BT22" s="430"/>
      <c r="BU22" s="430"/>
      <c r="BV22" s="430"/>
      <c r="BW22" s="430"/>
      <c r="BX22" s="430"/>
      <c r="CD22" s="430"/>
      <c r="CE22" s="430"/>
    </row>
    <row r="23" spans="2:87">
      <c r="B23" s="289"/>
      <c r="C23" s="289"/>
      <c r="D23" s="289"/>
      <c r="E23" s="289"/>
      <c r="F23" s="289"/>
      <c r="G23" s="290"/>
      <c r="AN23" s="430"/>
      <c r="AO23" s="430"/>
      <c r="AP23" s="430"/>
      <c r="AR23" s="430"/>
      <c r="AS23" s="430"/>
      <c r="AT23" s="430"/>
      <c r="BB23" s="430"/>
      <c r="BC23" s="430"/>
      <c r="BD23" s="430"/>
      <c r="BF23" s="430"/>
      <c r="BG23" s="430"/>
      <c r="BH23" s="430"/>
      <c r="BK23" s="430"/>
      <c r="BL23" s="430"/>
      <c r="BM23" s="430"/>
      <c r="BN23" s="430"/>
      <c r="BO23" s="430"/>
      <c r="BP23" s="430"/>
      <c r="BQ23" s="430"/>
      <c r="BR23" s="430"/>
      <c r="BS23" s="430"/>
      <c r="BT23" s="430"/>
      <c r="BU23" s="430"/>
      <c r="BV23" s="430"/>
      <c r="BW23" s="430"/>
      <c r="BX23" s="430"/>
      <c r="CD23" s="430"/>
      <c r="CE23" s="430"/>
    </row>
    <row r="24" spans="2:87" s="430" customFormat="1" ht="18.75">
      <c r="B24" s="3" t="s">
        <v>549</v>
      </c>
      <c r="C24" s="297"/>
      <c r="D24" s="297"/>
      <c r="E24" s="297"/>
      <c r="F24" s="297"/>
      <c r="G24" s="297"/>
      <c r="H24" s="297"/>
      <c r="I24" s="297"/>
      <c r="J24" s="297"/>
      <c r="K24" s="297"/>
      <c r="L24" s="297"/>
      <c r="M24" s="297"/>
      <c r="N24" s="297"/>
      <c r="O24" s="297"/>
      <c r="P24" s="297"/>
      <c r="Q24" s="297"/>
      <c r="R24" s="297"/>
      <c r="S24" s="297"/>
      <c r="T24" s="297"/>
      <c r="U24" s="297"/>
      <c r="V24" s="297"/>
      <c r="W24" s="297"/>
      <c r="X24" s="297"/>
      <c r="Y24" s="297"/>
      <c r="Z24" s="297"/>
      <c r="AA24" s="297"/>
      <c r="AB24" s="297"/>
      <c r="AC24" s="297"/>
      <c r="AD24" s="297"/>
      <c r="AE24" s="297"/>
      <c r="AF24" s="297"/>
      <c r="AG24" s="297"/>
      <c r="AH24" s="297"/>
      <c r="AI24" s="297"/>
      <c r="AJ24" s="297"/>
      <c r="AK24" s="297"/>
      <c r="AL24" s="297"/>
    </row>
    <row r="25" spans="2:87" s="430" customFormat="1"/>
    <row r="26" spans="2:87" s="430" customFormat="1">
      <c r="B26" s="50" t="s">
        <v>139</v>
      </c>
      <c r="C26" s="291" t="str" cm="1">
        <f t="array" aca="1" ref="C26" ca="1">_xll.d.TestUtils_And(J31,X31,AL31)</f>
        <v>Ok</v>
      </c>
      <c r="D26" s="289"/>
      <c r="E26" s="289"/>
      <c r="F26" s="289"/>
      <c r="G26" s="289"/>
    </row>
    <row r="27" spans="2:87" s="430" customFormat="1">
      <c r="B27" s="289"/>
      <c r="C27" s="289"/>
      <c r="D27" s="289"/>
      <c r="E27" s="289"/>
      <c r="F27" s="289"/>
      <c r="G27" s="290"/>
    </row>
    <row r="28" spans="2:87" s="430" customFormat="1" ht="15.75">
      <c r="B28" s="4" t="s">
        <v>325</v>
      </c>
      <c r="C28" s="298"/>
      <c r="D28" s="298"/>
      <c r="E28" s="298"/>
      <c r="F28" s="298"/>
      <c r="G28" s="298"/>
      <c r="H28" s="298"/>
      <c r="I28" s="298"/>
      <c r="J28" s="298"/>
      <c r="L28" s="4" t="s">
        <v>563</v>
      </c>
      <c r="M28" s="298"/>
      <c r="N28" s="298"/>
      <c r="O28" s="298"/>
      <c r="P28" s="298"/>
      <c r="Q28" s="298"/>
      <c r="R28" s="298"/>
      <c r="S28" s="298"/>
      <c r="T28" s="298"/>
      <c r="U28" s="298"/>
      <c r="V28" s="298"/>
      <c r="W28" s="298"/>
      <c r="X28" s="298"/>
      <c r="Z28" s="4" t="s">
        <v>565</v>
      </c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</row>
    <row r="29" spans="2:87" s="430" customFormat="1">
      <c r="B29" s="289"/>
      <c r="C29" s="289"/>
      <c r="D29" s="289"/>
      <c r="E29" s="289"/>
      <c r="F29" s="289"/>
      <c r="G29" s="289"/>
      <c r="H29" s="289"/>
      <c r="I29" s="290"/>
    </row>
    <row r="30" spans="2:87" s="430" customFormat="1">
      <c r="B30" s="120" t="s">
        <v>212</v>
      </c>
      <c r="C30" s="191"/>
      <c r="D30" s="191"/>
      <c r="E30" s="191"/>
      <c r="F30" s="121"/>
      <c r="H30" s="120" t="s">
        <v>113</v>
      </c>
      <c r="I30" s="120" t="s">
        <v>214</v>
      </c>
      <c r="J30" s="120" t="s">
        <v>67</v>
      </c>
      <c r="L30" s="120" t="s">
        <v>212</v>
      </c>
      <c r="M30" s="191"/>
      <c r="N30" s="191"/>
      <c r="O30" s="191"/>
      <c r="P30" s="121"/>
      <c r="R30" s="120" t="s">
        <v>113</v>
      </c>
      <c r="S30" s="120"/>
      <c r="T30" s="120"/>
      <c r="U30" s="120" t="s">
        <v>214</v>
      </c>
      <c r="V30" s="120"/>
      <c r="W30" s="120"/>
      <c r="X30" s="120" t="s">
        <v>67</v>
      </c>
      <c r="Z30" s="120" t="s">
        <v>212</v>
      </c>
      <c r="AA30" s="191"/>
      <c r="AB30" s="191"/>
      <c r="AC30" s="191"/>
      <c r="AD30" s="121"/>
      <c r="AF30" s="120" t="s">
        <v>113</v>
      </c>
      <c r="AG30" s="120"/>
      <c r="AH30" s="120"/>
      <c r="AI30" s="120" t="s">
        <v>214</v>
      </c>
      <c r="AJ30" s="120"/>
      <c r="AK30" s="120"/>
      <c r="AL30" s="120" t="s">
        <v>67</v>
      </c>
    </row>
    <row r="31" spans="2:87" s="430" customFormat="1">
      <c r="B31" s="313" t="s">
        <v>326</v>
      </c>
      <c r="C31" s="629" t="s">
        <v>550</v>
      </c>
      <c r="D31" s="630"/>
      <c r="E31" s="630"/>
      <c r="F31" s="119" t="s">
        <v>328</v>
      </c>
      <c r="H31" s="316" cm="1">
        <f t="array" aca="1" ref="H31" ca="1">_xll.d.Math_InterpolateChosenColumn(B32:B33,C32:E33,1,F32,"linear")</f>
        <v>7.5000000000000011E-2</v>
      </c>
      <c r="I31" s="317">
        <f ca="1">(D33-D32)/(B33-B32)*(F32-B32)+D32</f>
        <v>7.5000000000000011E-2</v>
      </c>
      <c r="J31" s="301" t="str" cm="1">
        <f t="array" aca="1" ref="J31" ca="1">_xll.d.TestUtils_Equal(H31,I31)</f>
        <v>Ok</v>
      </c>
      <c r="L31" s="313" t="s">
        <v>326</v>
      </c>
      <c r="M31" s="629" t="s">
        <v>550</v>
      </c>
      <c r="N31" s="630"/>
      <c r="O31" s="630"/>
      <c r="P31" s="119" t="s">
        <v>328</v>
      </c>
      <c r="R31" s="551" t="str" cm="1">
        <f t="array" aca="1" ref="R31" ca="1">_xll.d.Math_InterpolateChosenColumn(L32:L33,M32:O33,-1,P32,"linear")</f>
        <v>#∂Excel Error: Column index &lt; 0. Must be between 0 and 2.</v>
      </c>
      <c r="S31" s="552"/>
      <c r="T31" s="552"/>
      <c r="U31" s="552" t="s">
        <v>564</v>
      </c>
      <c r="V31" s="552"/>
      <c r="W31" s="552"/>
      <c r="X31" s="301" t="str" cm="1">
        <f t="array" aca="1" ref="X31" ca="1">_xll.d.TestUtils_Equal(R31,U31)</f>
        <v>Ok</v>
      </c>
      <c r="Z31" s="313" t="s">
        <v>326</v>
      </c>
      <c r="AA31" s="629" t="s">
        <v>550</v>
      </c>
      <c r="AB31" s="630"/>
      <c r="AC31" s="630"/>
      <c r="AD31" s="119" t="s">
        <v>328</v>
      </c>
      <c r="AF31" s="551" t="str" cm="1">
        <f t="array" aca="1" ref="AF31" ca="1">_xll.d.Math_InterpolateChosenColumn(Z32:Z33,AA32:AC33,3,AD32,"linear")</f>
        <v>#∂Excel Error: Column index ≥ 3. Must be between 0 and 2.</v>
      </c>
      <c r="AG31" s="552"/>
      <c r="AH31" s="552"/>
      <c r="AI31" s="552" t="s">
        <v>566</v>
      </c>
      <c r="AJ31" s="552"/>
      <c r="AK31" s="552"/>
      <c r="AL31" s="301" t="str" cm="1">
        <f t="array" aca="1" ref="AL31" ca="1">_xll.d.TestUtils_Equal(AF31,AI31)</f>
        <v>Ok</v>
      </c>
    </row>
    <row r="32" spans="2:87" s="430" customFormat="1">
      <c r="B32" s="122">
        <v>1</v>
      </c>
      <c r="C32" s="311">
        <v>0.23</v>
      </c>
      <c r="D32" s="311">
        <v>0.05</v>
      </c>
      <c r="E32" s="311">
        <v>0.13</v>
      </c>
      <c r="F32" s="315">
        <v>1.5</v>
      </c>
      <c r="G32" s="289"/>
      <c r="H32" s="289"/>
      <c r="I32" s="290"/>
      <c r="L32" s="122">
        <v>1</v>
      </c>
      <c r="M32" s="311">
        <v>0.23</v>
      </c>
      <c r="N32" s="311">
        <v>0.05</v>
      </c>
      <c r="O32" s="311">
        <v>0.13</v>
      </c>
      <c r="P32" s="315">
        <v>1.5</v>
      </c>
      <c r="Q32" s="289"/>
      <c r="R32" s="289"/>
      <c r="S32" s="289"/>
      <c r="T32" s="289"/>
      <c r="U32" s="290"/>
      <c r="V32" s="290"/>
      <c r="W32" s="290"/>
      <c r="Z32" s="122">
        <v>1</v>
      </c>
      <c r="AA32" s="311">
        <v>0.23</v>
      </c>
      <c r="AB32" s="311">
        <v>0.05</v>
      </c>
      <c r="AC32" s="311">
        <v>0.13</v>
      </c>
      <c r="AD32" s="315">
        <v>1.5</v>
      </c>
      <c r="AE32" s="289"/>
      <c r="AF32" s="289"/>
      <c r="AG32" s="289"/>
      <c r="AH32" s="289"/>
      <c r="AI32" s="290"/>
      <c r="AJ32" s="290"/>
      <c r="AK32" s="290"/>
    </row>
    <row r="33" spans="1:82" s="430" customFormat="1">
      <c r="B33" s="318">
        <v>2</v>
      </c>
      <c r="C33" s="631">
        <v>0.9</v>
      </c>
      <c r="D33" s="631">
        <v>0.1</v>
      </c>
      <c r="E33" s="319">
        <v>0.89</v>
      </c>
      <c r="G33" s="289"/>
      <c r="H33" s="289"/>
      <c r="I33" s="290"/>
      <c r="L33" s="318">
        <v>2</v>
      </c>
      <c r="M33" s="631">
        <v>0.9</v>
      </c>
      <c r="N33" s="631">
        <v>0.1</v>
      </c>
      <c r="O33" s="319">
        <v>0.89</v>
      </c>
      <c r="Q33" s="289"/>
      <c r="R33" s="289"/>
      <c r="S33" s="289"/>
      <c r="T33" s="289"/>
      <c r="U33" s="290"/>
      <c r="V33" s="290"/>
      <c r="W33" s="290"/>
      <c r="Z33" s="318">
        <v>2</v>
      </c>
      <c r="AA33" s="631">
        <v>0.9</v>
      </c>
      <c r="AB33" s="631">
        <v>0.1</v>
      </c>
      <c r="AC33" s="319">
        <v>0.89</v>
      </c>
      <c r="AE33" s="289"/>
      <c r="AF33" s="289"/>
      <c r="AG33" s="289"/>
      <c r="AH33" s="289"/>
      <c r="AI33" s="290"/>
      <c r="AJ33" s="290"/>
      <c r="AK33" s="290"/>
    </row>
    <row r="34" spans="1:82" s="430" customFormat="1">
      <c r="B34" s="289"/>
      <c r="C34" s="289"/>
      <c r="D34" s="289"/>
      <c r="E34" s="289"/>
      <c r="F34" s="289"/>
      <c r="G34" s="289"/>
      <c r="H34" s="289"/>
      <c r="I34" s="290"/>
    </row>
    <row r="35" spans="1:82" s="430" customFormat="1">
      <c r="B35" s="289"/>
      <c r="C35" s="289"/>
      <c r="D35" s="289"/>
      <c r="E35" s="289"/>
      <c r="F35" s="289"/>
      <c r="G35" s="290"/>
    </row>
    <row r="36" spans="1:82" s="289" customFormat="1" ht="18.75">
      <c r="A36"/>
      <c r="B36" s="3" t="s">
        <v>340</v>
      </c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7"/>
      <c r="U36" s="297"/>
      <c r="V36" s="297"/>
      <c r="W36" s="297"/>
      <c r="X36" s="297"/>
      <c r="Y36" s="297"/>
      <c r="Z36" s="297"/>
      <c r="AA36" s="297"/>
      <c r="AB36" s="297"/>
      <c r="AC36" s="297"/>
      <c r="AD36" s="297"/>
      <c r="AE36" s="297"/>
      <c r="AF36" s="297"/>
      <c r="AG36" s="297"/>
      <c r="AH36" s="297"/>
      <c r="AI36" s="297"/>
      <c r="AJ36" s="297"/>
      <c r="AK36" s="297"/>
      <c r="AL36" s="297"/>
      <c r="AM36" s="297"/>
      <c r="AN36" s="297"/>
      <c r="AO36" s="297"/>
      <c r="AP36" s="297"/>
      <c r="AQ36" s="297"/>
      <c r="AR36" s="297"/>
      <c r="AS36" s="297"/>
      <c r="AT36" s="297"/>
      <c r="AU36" s="297"/>
      <c r="AV36" s="297"/>
      <c r="AW36" s="297"/>
      <c r="AX36" s="297"/>
      <c r="AY36" s="297"/>
      <c r="AZ36" s="297"/>
      <c r="BA36" s="297"/>
      <c r="BB36" s="297"/>
      <c r="BC36" s="297"/>
      <c r="BD36" s="297"/>
      <c r="BE36" s="297"/>
      <c r="BF36" s="297"/>
      <c r="BG36" s="297"/>
      <c r="BH36" s="297"/>
      <c r="BI36" s="297"/>
      <c r="BJ36" s="297"/>
      <c r="BK36" s="297"/>
      <c r="BL36" s="297"/>
      <c r="BM36" s="297"/>
      <c r="BN36" s="297"/>
      <c r="BO36" s="297"/>
      <c r="BP36" s="297"/>
      <c r="BQ36" s="297"/>
      <c r="BR36" s="297"/>
      <c r="BS36" s="297"/>
      <c r="BT36" s="297"/>
      <c r="BU36" s="297"/>
    </row>
    <row r="37" spans="1:82">
      <c r="BJ37" s="430"/>
      <c r="BK37" s="430"/>
      <c r="BL37" s="430"/>
      <c r="BM37" s="430"/>
      <c r="BN37" s="430"/>
      <c r="BO37" s="430"/>
      <c r="BP37" s="430"/>
      <c r="BQ37" s="430"/>
      <c r="BR37" s="430"/>
      <c r="BS37" s="430"/>
      <c r="BT37" s="430"/>
      <c r="BU37" s="430"/>
    </row>
    <row r="38" spans="1:82" s="289" customFormat="1">
      <c r="A38"/>
      <c r="B38" s="50" t="s">
        <v>139</v>
      </c>
      <c r="C38" s="291" t="str" cm="1">
        <f t="array" aca="1" ref="C38" ca="1">_xll.d.TestUtils_And(L43,Y43,AK43,BC43,BU43)</f>
        <v>Ok</v>
      </c>
    </row>
    <row r="39" spans="1:82">
      <c r="AV39" s="430"/>
      <c r="AW39" s="430"/>
      <c r="AX39" s="430"/>
      <c r="AZ39" s="430"/>
      <c r="BA39" s="430"/>
      <c r="BB39" s="430"/>
      <c r="BJ39" s="430"/>
      <c r="BK39" s="430"/>
      <c r="BL39" s="430"/>
      <c r="BM39" s="430"/>
      <c r="BN39" s="430"/>
      <c r="BO39" s="430"/>
      <c r="BP39" s="430"/>
      <c r="BQ39" s="430"/>
      <c r="BR39" s="430"/>
      <c r="BS39" s="430"/>
      <c r="BT39" s="430"/>
      <c r="BU39" s="430"/>
      <c r="BY39" s="430"/>
      <c r="BZ39" s="430"/>
      <c r="CA39" s="430"/>
    </row>
    <row r="40" spans="1:82" ht="15.75">
      <c r="B40" s="4" t="s">
        <v>341</v>
      </c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N40" s="4" t="s">
        <v>342</v>
      </c>
      <c r="O40" s="298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AA40" s="4" t="s">
        <v>343</v>
      </c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M40" s="4" t="s">
        <v>344</v>
      </c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E40" s="4" t="s">
        <v>334</v>
      </c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CB40" s="430"/>
      <c r="CC40" s="430"/>
      <c r="CD40" s="430"/>
    </row>
    <row r="41" spans="1:82">
      <c r="B41" s="289"/>
      <c r="C41" s="289"/>
      <c r="D41" s="289"/>
      <c r="E41" s="289"/>
      <c r="F41" s="289"/>
      <c r="G41" s="290"/>
      <c r="N41" s="289"/>
      <c r="O41" s="289"/>
      <c r="P41" s="289"/>
      <c r="Q41" s="289"/>
      <c r="R41" s="289"/>
      <c r="S41" s="290"/>
      <c r="AA41" s="289"/>
      <c r="AB41" s="289"/>
      <c r="AC41" s="289"/>
      <c r="AD41" s="289"/>
      <c r="AE41" s="289"/>
      <c r="AF41" s="290"/>
      <c r="AM41" s="289"/>
      <c r="AN41" s="289"/>
      <c r="AO41" s="289"/>
      <c r="AP41" s="289"/>
      <c r="AQ41" s="289"/>
      <c r="AR41" s="290"/>
      <c r="AV41" s="430"/>
      <c r="AW41" s="430"/>
      <c r="AX41" s="430"/>
      <c r="AZ41" s="430"/>
      <c r="BA41" s="430"/>
      <c r="BB41" s="430"/>
      <c r="BE41" s="289"/>
      <c r="BF41" s="289"/>
      <c r="BG41" s="289"/>
      <c r="BH41" s="289"/>
      <c r="BI41" s="289"/>
      <c r="BJ41" s="290"/>
      <c r="BN41" s="430"/>
      <c r="BO41" s="430"/>
      <c r="BP41" s="430"/>
      <c r="BR41" s="430"/>
      <c r="BS41" s="430"/>
      <c r="BT41" s="430"/>
    </row>
    <row r="42" spans="1:82">
      <c r="A42" s="135"/>
      <c r="B42" s="323" t="s">
        <v>212</v>
      </c>
      <c r="C42" s="191"/>
      <c r="D42" s="191"/>
      <c r="E42" s="330"/>
      <c r="F42" s="330"/>
      <c r="G42" s="324"/>
      <c r="H42" s="200"/>
      <c r="J42" s="120" t="s">
        <v>113</v>
      </c>
      <c r="K42" s="120" t="s">
        <v>214</v>
      </c>
      <c r="L42" s="120" t="s">
        <v>67</v>
      </c>
      <c r="N42" s="323" t="s">
        <v>212</v>
      </c>
      <c r="O42" s="191"/>
      <c r="P42" s="191"/>
      <c r="Q42" s="330"/>
      <c r="R42" s="330"/>
      <c r="S42" s="324"/>
      <c r="T42" s="200"/>
      <c r="W42" s="120" t="s">
        <v>113</v>
      </c>
      <c r="X42" s="120" t="s">
        <v>214</v>
      </c>
      <c r="Y42" s="120" t="s">
        <v>67</v>
      </c>
      <c r="AA42" s="323" t="s">
        <v>212</v>
      </c>
      <c r="AB42" s="191"/>
      <c r="AC42" s="191"/>
      <c r="AD42" s="330"/>
      <c r="AE42" s="330"/>
      <c r="AF42" s="324"/>
      <c r="AG42" s="200"/>
      <c r="AI42" s="120" t="s">
        <v>113</v>
      </c>
      <c r="AJ42" s="120" t="s">
        <v>214</v>
      </c>
      <c r="AK42" s="120" t="s">
        <v>67</v>
      </c>
      <c r="AM42" s="323" t="s">
        <v>212</v>
      </c>
      <c r="AN42" s="191"/>
      <c r="AO42" s="191"/>
      <c r="AP42" s="330"/>
      <c r="AQ42" s="330"/>
      <c r="AR42" s="324"/>
      <c r="AS42" s="200"/>
      <c r="AU42" s="120" t="s">
        <v>113</v>
      </c>
      <c r="AV42" s="120"/>
      <c r="AW42" s="120"/>
      <c r="AX42" s="120"/>
      <c r="AY42" s="120" t="s">
        <v>214</v>
      </c>
      <c r="AZ42" s="120"/>
      <c r="BA42" s="120"/>
      <c r="BB42" s="120"/>
      <c r="BC42" s="120" t="s">
        <v>67</v>
      </c>
      <c r="BE42" s="323" t="s">
        <v>212</v>
      </c>
      <c r="BF42" s="191"/>
      <c r="BG42" s="191"/>
      <c r="BH42" s="330"/>
      <c r="BI42" s="330"/>
      <c r="BJ42" s="324"/>
      <c r="BK42" s="200"/>
      <c r="BM42" s="120" t="s">
        <v>113</v>
      </c>
      <c r="BN42" s="120"/>
      <c r="BO42" s="120"/>
      <c r="BP42" s="120"/>
      <c r="BQ42" s="120" t="s">
        <v>214</v>
      </c>
      <c r="BR42" s="120"/>
      <c r="BS42" s="120"/>
      <c r="BT42" s="120"/>
      <c r="BU42" s="120" t="s">
        <v>67</v>
      </c>
    </row>
    <row r="43" spans="1:82">
      <c r="A43" s="135"/>
      <c r="B43" s="325"/>
      <c r="C43" s="327" t="s">
        <v>338</v>
      </c>
      <c r="D43" s="330"/>
      <c r="E43" s="330"/>
      <c r="F43" s="328"/>
      <c r="G43" s="332" t="s">
        <v>339</v>
      </c>
      <c r="H43" s="331"/>
      <c r="J43" s="316" cm="1">
        <f t="array" aca="1" ref="J43" ca="1">_xll.d.Math_Interpolate2D(B44:F49,G45,H45,"linear")</f>
        <v>9.5</v>
      </c>
      <c r="K43" s="317">
        <v>9.5</v>
      </c>
      <c r="L43" s="301" t="str" cm="1">
        <f t="array" aca="1" ref="L43" ca="1">_xll.d.TestUtils_Equal(J43,K43)</f>
        <v>Ok</v>
      </c>
      <c r="N43" s="325"/>
      <c r="O43" s="327" t="s">
        <v>338</v>
      </c>
      <c r="P43" s="330"/>
      <c r="Q43" s="330"/>
      <c r="R43" s="328"/>
      <c r="S43" s="332" t="s">
        <v>339</v>
      </c>
      <c r="T43" s="331"/>
      <c r="W43" s="316" cm="1">
        <f t="array" aca="1" ref="W43" ca="1">_xll.d.Math_Interpolate2D(N44:R49,S45,T45,"exponential")</f>
        <v>9.2723643716594051</v>
      </c>
      <c r="X43" s="317">
        <v>9.272364616394043</v>
      </c>
      <c r="Y43" s="301" t="str" cm="1">
        <f t="array" aca="1" ref="Y43" ca="1">_xll.d.TestUtils_Equal(W43,X43,0.00001)</f>
        <v>Ok</v>
      </c>
      <c r="AA43" s="325"/>
      <c r="AB43" s="327" t="s">
        <v>338</v>
      </c>
      <c r="AC43" s="330"/>
      <c r="AD43" s="330"/>
      <c r="AE43" s="328"/>
      <c r="AF43" s="332" t="s">
        <v>339</v>
      </c>
      <c r="AG43" s="331"/>
      <c r="AI43" s="316" cm="1">
        <f t="array" aca="1" ref="AI43" ca="1">_xll.d.Math_Interpolate2D(AA44:AE49,AF45,AG45,"flat")</f>
        <v>7</v>
      </c>
      <c r="AJ43" s="317">
        <v>7</v>
      </c>
      <c r="AK43" s="301" t="str" cm="1">
        <f t="array" aca="1" ref="AK43" ca="1">_xll.d.TestUtils_Equal(AI43,AJ43)</f>
        <v>Ok</v>
      </c>
      <c r="AM43" s="325"/>
      <c r="AN43" s="327" t="s">
        <v>338</v>
      </c>
      <c r="AO43" s="330"/>
      <c r="AP43" s="330"/>
      <c r="AQ43" s="328"/>
      <c r="AR43" s="332" t="s">
        <v>339</v>
      </c>
      <c r="AS43" s="331"/>
      <c r="AU43" s="551" t="str" cm="1">
        <f t="array" aca="1" ref="AU43" ca="1">_xll.d.Math_Interpolate2D(AM44:AQ49,AR45,AS45,"linear")</f>
        <v>#∂Excel Error: Extrapolation not supported.</v>
      </c>
      <c r="AV43" s="552"/>
      <c r="AW43" s="552"/>
      <c r="AX43" s="552"/>
      <c r="AY43" s="552" t="s">
        <v>345</v>
      </c>
      <c r="AZ43" s="552"/>
      <c r="BA43" s="552"/>
      <c r="BB43" s="552"/>
      <c r="BC43" s="301" t="str" cm="1">
        <f t="array" aca="1" ref="BC43" ca="1">_xll.d.TestUtils_Equal(AU43,AY43)</f>
        <v>Ok</v>
      </c>
      <c r="BE43" s="325"/>
      <c r="BF43" s="327" t="s">
        <v>338</v>
      </c>
      <c r="BG43" s="330"/>
      <c r="BH43" s="330"/>
      <c r="BI43" s="328"/>
      <c r="BJ43" s="332" t="s">
        <v>339</v>
      </c>
      <c r="BK43" s="331"/>
      <c r="BM43" s="551" t="str" cm="1">
        <f t="array" aca="1" ref="BM43" ca="1">_xll.d.Math_Interpolate2D(BE44:BI49,BJ45,BK45,"magic")</f>
        <v>#∂Excel Error: Unsupported interpolation: 'magic'</v>
      </c>
      <c r="BN43" s="552"/>
      <c r="BO43" s="552"/>
      <c r="BP43" s="552"/>
      <c r="BQ43" s="552" t="s">
        <v>449</v>
      </c>
      <c r="BR43" s="552"/>
      <c r="BS43" s="552"/>
      <c r="BT43" s="552"/>
      <c r="BU43" s="301" t="str" cm="1">
        <f t="array" aca="1" ref="BU43" ca="1">_xll.d.TestUtils_Equal(BM43,BQ43)</f>
        <v>Ok</v>
      </c>
    </row>
    <row r="44" spans="1:82">
      <c r="A44" s="135"/>
      <c r="B44" s="326" t="s">
        <v>337</v>
      </c>
      <c r="C44" s="335">
        <v>0</v>
      </c>
      <c r="D44" s="336">
        <v>1</v>
      </c>
      <c r="E44" s="336">
        <v>2</v>
      </c>
      <c r="F44" s="337">
        <v>3</v>
      </c>
      <c r="G44" s="333" t="s">
        <v>336</v>
      </c>
      <c r="H44" s="119" t="s">
        <v>335</v>
      </c>
      <c r="N44" s="326" t="s">
        <v>337</v>
      </c>
      <c r="O44" s="335">
        <v>0</v>
      </c>
      <c r="P44" s="336">
        <v>1</v>
      </c>
      <c r="Q44" s="336">
        <v>2</v>
      </c>
      <c r="R44" s="337">
        <v>3</v>
      </c>
      <c r="S44" s="333" t="s">
        <v>336</v>
      </c>
      <c r="T44" s="119" t="s">
        <v>335</v>
      </c>
      <c r="AA44" s="326" t="s">
        <v>337</v>
      </c>
      <c r="AB44" s="335">
        <v>0</v>
      </c>
      <c r="AC44" s="336">
        <v>1</v>
      </c>
      <c r="AD44" s="336">
        <v>2</v>
      </c>
      <c r="AE44" s="337">
        <v>3</v>
      </c>
      <c r="AF44" s="333" t="s">
        <v>336</v>
      </c>
      <c r="AG44" s="119" t="s">
        <v>335</v>
      </c>
      <c r="AM44" s="326" t="s">
        <v>337</v>
      </c>
      <c r="AN44" s="335">
        <v>0</v>
      </c>
      <c r="AO44" s="336">
        <v>1</v>
      </c>
      <c r="AP44" s="336">
        <v>2</v>
      </c>
      <c r="AQ44" s="337">
        <v>3</v>
      </c>
      <c r="AR44" s="333" t="s">
        <v>336</v>
      </c>
      <c r="AS44" s="119" t="s">
        <v>335</v>
      </c>
      <c r="AV44" s="430"/>
      <c r="AW44" s="430"/>
      <c r="AX44" s="430"/>
      <c r="AZ44" s="430"/>
      <c r="BA44" s="430"/>
      <c r="BB44" s="430"/>
      <c r="BE44" s="326" t="s">
        <v>337</v>
      </c>
      <c r="BF44" s="335">
        <v>0</v>
      </c>
      <c r="BG44" s="336">
        <v>1</v>
      </c>
      <c r="BH44" s="336">
        <v>2</v>
      </c>
      <c r="BI44" s="337">
        <v>3</v>
      </c>
      <c r="BJ44" s="333" t="s">
        <v>336</v>
      </c>
      <c r="BK44" s="119" t="s">
        <v>335</v>
      </c>
      <c r="BN44" s="430"/>
      <c r="BO44" s="430"/>
      <c r="BP44" s="430"/>
      <c r="BQ44" s="430"/>
      <c r="BS44" s="430"/>
      <c r="BT44" s="430"/>
      <c r="BU44" s="430"/>
    </row>
    <row r="45" spans="1:82">
      <c r="B45" s="322">
        <v>0</v>
      </c>
      <c r="C45" s="338">
        <v>1</v>
      </c>
      <c r="D45" s="339">
        <v>2</v>
      </c>
      <c r="E45" s="340">
        <v>3</v>
      </c>
      <c r="F45" s="341">
        <v>4</v>
      </c>
      <c r="G45" s="334">
        <v>2.5</v>
      </c>
      <c r="H45" s="329">
        <v>1.5</v>
      </c>
      <c r="N45" s="322">
        <v>0</v>
      </c>
      <c r="O45" s="338">
        <v>1</v>
      </c>
      <c r="P45" s="339">
        <v>2</v>
      </c>
      <c r="Q45" s="340">
        <v>3</v>
      </c>
      <c r="R45" s="341">
        <v>4</v>
      </c>
      <c r="S45" s="334">
        <v>2.5</v>
      </c>
      <c r="T45" s="329">
        <v>1.5</v>
      </c>
      <c r="AA45" s="322">
        <v>0</v>
      </c>
      <c r="AB45" s="338">
        <v>1</v>
      </c>
      <c r="AC45" s="339">
        <v>2</v>
      </c>
      <c r="AD45" s="340">
        <v>3</v>
      </c>
      <c r="AE45" s="341">
        <v>4</v>
      </c>
      <c r="AF45" s="334">
        <v>2.5</v>
      </c>
      <c r="AG45" s="329">
        <v>1.5</v>
      </c>
      <c r="AM45" s="322">
        <v>0</v>
      </c>
      <c r="AN45" s="338">
        <v>1</v>
      </c>
      <c r="AO45" s="339">
        <v>2</v>
      </c>
      <c r="AP45" s="340">
        <v>3</v>
      </c>
      <c r="AQ45" s="341">
        <v>4</v>
      </c>
      <c r="AR45" s="334">
        <v>5</v>
      </c>
      <c r="AS45" s="329">
        <v>5</v>
      </c>
      <c r="AV45" s="430"/>
      <c r="AW45" s="430"/>
      <c r="AX45" s="430"/>
      <c r="AZ45" s="430"/>
      <c r="BA45" s="430"/>
      <c r="BB45" s="430"/>
      <c r="BE45" s="322">
        <v>0</v>
      </c>
      <c r="BF45" s="338">
        <v>1</v>
      </c>
      <c r="BG45" s="339">
        <v>2</v>
      </c>
      <c r="BH45" s="340">
        <v>3</v>
      </c>
      <c r="BI45" s="341">
        <v>4</v>
      </c>
      <c r="BJ45" s="334">
        <v>2.5</v>
      </c>
      <c r="BK45" s="329">
        <v>1.5</v>
      </c>
      <c r="BN45" s="430"/>
      <c r="BO45" s="430"/>
      <c r="BP45" s="430"/>
      <c r="BQ45" s="430"/>
      <c r="BS45" s="430"/>
      <c r="BT45" s="430"/>
      <c r="BU45" s="430"/>
    </row>
    <row r="46" spans="1:82">
      <c r="B46" s="346">
        <v>1</v>
      </c>
      <c r="C46" s="347">
        <v>5</v>
      </c>
      <c r="D46" s="348">
        <v>6</v>
      </c>
      <c r="E46" s="348">
        <v>7</v>
      </c>
      <c r="F46" s="349">
        <v>8</v>
      </c>
      <c r="N46" s="346">
        <v>1</v>
      </c>
      <c r="O46" s="347">
        <v>5</v>
      </c>
      <c r="P46" s="348">
        <v>6</v>
      </c>
      <c r="Q46" s="348">
        <v>7</v>
      </c>
      <c r="R46" s="349">
        <v>8</v>
      </c>
      <c r="AA46" s="346">
        <v>1</v>
      </c>
      <c r="AB46" s="347">
        <v>5</v>
      </c>
      <c r="AC46" s="348">
        <v>6</v>
      </c>
      <c r="AD46" s="348">
        <v>7</v>
      </c>
      <c r="AE46" s="349">
        <v>8</v>
      </c>
      <c r="AM46" s="346">
        <v>1</v>
      </c>
      <c r="AN46" s="347">
        <v>5</v>
      </c>
      <c r="AO46" s="348">
        <v>6</v>
      </c>
      <c r="AP46" s="348">
        <v>7</v>
      </c>
      <c r="AQ46" s="349">
        <v>8</v>
      </c>
      <c r="AV46" s="430"/>
      <c r="AW46" s="430"/>
      <c r="AX46" s="430"/>
      <c r="AZ46" s="430"/>
      <c r="BA46" s="430"/>
      <c r="BB46" s="430"/>
      <c r="BE46" s="346">
        <v>1</v>
      </c>
      <c r="BF46" s="347">
        <v>5</v>
      </c>
      <c r="BG46" s="348">
        <v>6</v>
      </c>
      <c r="BH46" s="348">
        <v>7</v>
      </c>
      <c r="BI46" s="349">
        <v>8</v>
      </c>
      <c r="BN46" s="430"/>
      <c r="BO46" s="430"/>
      <c r="BP46" s="430"/>
      <c r="BQ46" s="430"/>
      <c r="BS46" s="430"/>
      <c r="BT46" s="430"/>
      <c r="BU46" s="430"/>
    </row>
    <row r="47" spans="1:82">
      <c r="B47" s="350">
        <v>2</v>
      </c>
      <c r="C47" s="347">
        <v>9</v>
      </c>
      <c r="D47" s="348">
        <v>10</v>
      </c>
      <c r="E47" s="348">
        <v>11</v>
      </c>
      <c r="F47" s="349">
        <v>12</v>
      </c>
      <c r="N47" s="350">
        <v>2</v>
      </c>
      <c r="O47" s="347">
        <v>9</v>
      </c>
      <c r="P47" s="348">
        <v>10</v>
      </c>
      <c r="Q47" s="348">
        <v>11</v>
      </c>
      <c r="R47" s="349">
        <v>12</v>
      </c>
      <c r="AA47" s="350">
        <v>2</v>
      </c>
      <c r="AB47" s="347">
        <v>9</v>
      </c>
      <c r="AC47" s="348">
        <v>10</v>
      </c>
      <c r="AD47" s="348">
        <v>11</v>
      </c>
      <c r="AE47" s="349">
        <v>12</v>
      </c>
      <c r="AM47" s="350">
        <v>2</v>
      </c>
      <c r="AN47" s="347">
        <v>9</v>
      </c>
      <c r="AO47" s="348">
        <v>10</v>
      </c>
      <c r="AP47" s="348">
        <v>11</v>
      </c>
      <c r="AQ47" s="349">
        <v>12</v>
      </c>
      <c r="AV47" s="430"/>
      <c r="AW47" s="430"/>
      <c r="AX47" s="430"/>
      <c r="AZ47" s="430"/>
      <c r="BA47" s="430"/>
      <c r="BB47" s="430"/>
      <c r="BE47" s="350">
        <v>2</v>
      </c>
      <c r="BF47" s="347">
        <v>9</v>
      </c>
      <c r="BG47" s="348">
        <v>10</v>
      </c>
      <c r="BH47" s="348">
        <v>11</v>
      </c>
      <c r="BI47" s="349">
        <v>12</v>
      </c>
      <c r="BN47" s="430"/>
      <c r="BO47" s="430"/>
      <c r="BP47" s="430"/>
      <c r="BQ47" s="430"/>
      <c r="BS47" s="430"/>
      <c r="BT47" s="430"/>
      <c r="BU47" s="430"/>
    </row>
    <row r="48" spans="1:82">
      <c r="B48" s="350">
        <v>3</v>
      </c>
      <c r="C48" s="347">
        <v>13</v>
      </c>
      <c r="D48" s="348">
        <v>14</v>
      </c>
      <c r="E48" s="348">
        <v>15</v>
      </c>
      <c r="F48" s="349">
        <v>16</v>
      </c>
      <c r="N48" s="350">
        <v>3</v>
      </c>
      <c r="O48" s="347">
        <v>13</v>
      </c>
      <c r="P48" s="348">
        <v>14</v>
      </c>
      <c r="Q48" s="348">
        <v>15</v>
      </c>
      <c r="R48" s="349">
        <v>16</v>
      </c>
      <c r="AA48" s="350">
        <v>3</v>
      </c>
      <c r="AB48" s="347">
        <v>13</v>
      </c>
      <c r="AC48" s="348">
        <v>14</v>
      </c>
      <c r="AD48" s="348">
        <v>15</v>
      </c>
      <c r="AE48" s="349">
        <v>16</v>
      </c>
      <c r="AM48" s="350">
        <v>3</v>
      </c>
      <c r="AN48" s="347">
        <v>13</v>
      </c>
      <c r="AO48" s="348">
        <v>14</v>
      </c>
      <c r="AP48" s="348">
        <v>15</v>
      </c>
      <c r="AQ48" s="349">
        <v>16</v>
      </c>
      <c r="AV48" s="430"/>
      <c r="AW48" s="430"/>
      <c r="AX48" s="430"/>
      <c r="AZ48" s="430"/>
      <c r="BA48" s="430"/>
      <c r="BB48" s="430"/>
      <c r="BE48" s="350">
        <v>3</v>
      </c>
      <c r="BF48" s="347">
        <v>13</v>
      </c>
      <c r="BG48" s="348">
        <v>14</v>
      </c>
      <c r="BH48" s="348">
        <v>15</v>
      </c>
      <c r="BI48" s="349">
        <v>16</v>
      </c>
      <c r="BN48" s="430"/>
      <c r="BO48" s="430"/>
      <c r="BP48" s="430"/>
      <c r="BQ48" s="430"/>
      <c r="BS48" s="430"/>
      <c r="BT48" s="430"/>
      <c r="BU48" s="430"/>
    </row>
    <row r="49" spans="2:73">
      <c r="B49" s="342">
        <v>4</v>
      </c>
      <c r="C49" s="343">
        <v>17</v>
      </c>
      <c r="D49" s="344">
        <v>18</v>
      </c>
      <c r="E49" s="344">
        <v>19</v>
      </c>
      <c r="F49" s="345">
        <v>20</v>
      </c>
      <c r="N49" s="342">
        <v>4</v>
      </c>
      <c r="O49" s="343">
        <v>17</v>
      </c>
      <c r="P49" s="344">
        <v>18</v>
      </c>
      <c r="Q49" s="344">
        <v>19</v>
      </c>
      <c r="R49" s="345">
        <v>20</v>
      </c>
      <c r="AA49" s="342">
        <v>4</v>
      </c>
      <c r="AB49" s="343">
        <v>17</v>
      </c>
      <c r="AC49" s="344">
        <v>18</v>
      </c>
      <c r="AD49" s="344">
        <v>19</v>
      </c>
      <c r="AE49" s="345">
        <v>20</v>
      </c>
      <c r="AM49" s="342">
        <v>4</v>
      </c>
      <c r="AN49" s="343">
        <v>17</v>
      </c>
      <c r="AO49" s="344">
        <v>18</v>
      </c>
      <c r="AP49" s="344">
        <v>19</v>
      </c>
      <c r="AQ49" s="345">
        <v>20</v>
      </c>
      <c r="AV49" s="430"/>
      <c r="AW49" s="430"/>
      <c r="AX49" s="430"/>
      <c r="AZ49" s="430"/>
      <c r="BA49" s="430"/>
      <c r="BB49" s="430"/>
      <c r="BE49" s="342">
        <v>4</v>
      </c>
      <c r="BF49" s="343">
        <v>17</v>
      </c>
      <c r="BG49" s="344">
        <v>18</v>
      </c>
      <c r="BH49" s="344">
        <v>19</v>
      </c>
      <c r="BI49" s="345">
        <v>20</v>
      </c>
      <c r="BN49" s="430"/>
      <c r="BO49" s="430"/>
      <c r="BP49" s="430"/>
      <c r="BQ49" s="430"/>
      <c r="BS49" s="430"/>
      <c r="BT49" s="430"/>
      <c r="BU49" s="430"/>
    </row>
    <row r="50" spans="2:73">
      <c r="AV50" s="430"/>
      <c r="AW50" s="430"/>
      <c r="AX50" s="430"/>
      <c r="AZ50" s="430"/>
      <c r="BA50" s="430"/>
      <c r="BB50" s="430"/>
      <c r="BN50" s="430"/>
      <c r="BO50" s="430"/>
      <c r="BP50" s="430"/>
      <c r="BQ50" s="430"/>
      <c r="BS50" s="430"/>
      <c r="BT50" s="430"/>
      <c r="BU50" s="430"/>
    </row>
    <row r="51" spans="2:73">
      <c r="AV51" s="430"/>
      <c r="AW51" s="430"/>
      <c r="AX51" s="430"/>
      <c r="AZ51" s="430"/>
      <c r="BA51" s="430"/>
      <c r="BB51" s="430"/>
      <c r="BS51" s="430"/>
      <c r="BT51" s="430"/>
      <c r="BU51" s="430"/>
    </row>
    <row r="52" spans="2:73">
      <c r="AZ52" s="430"/>
      <c r="BA52" s="430"/>
      <c r="BB52" s="430"/>
      <c r="BS52" s="430"/>
      <c r="BT52" s="430"/>
      <c r="BU52" s="430"/>
    </row>
    <row r="53" spans="2:73">
      <c r="AZ53" s="430"/>
      <c r="BA53" s="430"/>
      <c r="BB53" s="430"/>
      <c r="BS53" s="430"/>
      <c r="BT53" s="430"/>
      <c r="BU53" s="430"/>
    </row>
    <row r="54" spans="2:73">
      <c r="AZ54" s="430"/>
      <c r="BA54" s="430"/>
      <c r="BB54" s="430"/>
    </row>
    <row r="55" spans="2:73">
      <c r="AZ55" s="430"/>
      <c r="BA55" s="430"/>
      <c r="BB55" s="430"/>
    </row>
    <row r="56" spans="2:73">
      <c r="AZ56" s="430"/>
      <c r="BA56" s="430"/>
      <c r="BB56" s="430"/>
    </row>
  </sheetData>
  <conditionalFormatting sqref="D7:D9">
    <cfRule type="cellIs" dxfId="916" priority="145" stopIfTrue="1" operator="equal">
      <formula>"ERROR"</formula>
    </cfRule>
    <cfRule type="cellIs" dxfId="915" priority="146" stopIfTrue="1" operator="equal">
      <formula>"OK"</formula>
    </cfRule>
    <cfRule type="cellIs" dxfId="914" priority="147" stopIfTrue="1" operator="equal">
      <formula>"WARNING"</formula>
    </cfRule>
  </conditionalFormatting>
  <conditionalFormatting sqref="C4">
    <cfRule type="cellIs" dxfId="913" priority="142" stopIfTrue="1" operator="equal">
      <formula>"ERROR"</formula>
    </cfRule>
    <cfRule type="cellIs" dxfId="912" priority="143" stopIfTrue="1" operator="equal">
      <formula>"OK"</formula>
    </cfRule>
    <cfRule type="cellIs" dxfId="911" priority="144" stopIfTrue="1" operator="equal">
      <formula>"WARNING"</formula>
    </cfRule>
  </conditionalFormatting>
  <conditionalFormatting sqref="C14">
    <cfRule type="cellIs" dxfId="910" priority="139" stopIfTrue="1" operator="equal">
      <formula>"ERROR"</formula>
    </cfRule>
  </conditionalFormatting>
  <conditionalFormatting sqref="C14">
    <cfRule type="cellIs" dxfId="909" priority="140" stopIfTrue="1" operator="equal">
      <formula>"OK"</formula>
    </cfRule>
  </conditionalFormatting>
  <conditionalFormatting sqref="C14">
    <cfRule type="cellIs" dxfId="908" priority="141" stopIfTrue="1" operator="equal">
      <formula>"WARNING"</formula>
    </cfRule>
  </conditionalFormatting>
  <conditionalFormatting sqref="H19">
    <cfRule type="cellIs" dxfId="907" priority="148" stopIfTrue="1" operator="equal">
      <formula>"ERROR"</formula>
    </cfRule>
    <cfRule type="cellIs" dxfId="906" priority="149" stopIfTrue="1" operator="equal">
      <formula>"OK"</formula>
    </cfRule>
    <cfRule type="cellIs" dxfId="905" priority="150" stopIfTrue="1" operator="equal">
      <formula>"WARNING"</formula>
    </cfRule>
  </conditionalFormatting>
  <conditionalFormatting sqref="C38">
    <cfRule type="cellIs" dxfId="904" priority="118" stopIfTrue="1" operator="equal">
      <formula>"ERROR"</formula>
    </cfRule>
  </conditionalFormatting>
  <conditionalFormatting sqref="C38">
    <cfRule type="cellIs" dxfId="903" priority="119" stopIfTrue="1" operator="equal">
      <formula>"OK"</formula>
    </cfRule>
  </conditionalFormatting>
  <conditionalFormatting sqref="C38">
    <cfRule type="cellIs" dxfId="902" priority="120" stopIfTrue="1" operator="equal">
      <formula>"WARNING"</formula>
    </cfRule>
  </conditionalFormatting>
  <conditionalFormatting sqref="P19">
    <cfRule type="cellIs" dxfId="901" priority="49" stopIfTrue="1" operator="equal">
      <formula>"ERROR"</formula>
    </cfRule>
    <cfRule type="cellIs" dxfId="900" priority="50" stopIfTrue="1" operator="equal">
      <formula>"OK"</formula>
    </cfRule>
    <cfRule type="cellIs" dxfId="899" priority="51" stopIfTrue="1" operator="equal">
      <formula>"WARNING"</formula>
    </cfRule>
  </conditionalFormatting>
  <conditionalFormatting sqref="Y19">
    <cfRule type="cellIs" dxfId="898" priority="46" stopIfTrue="1" operator="equal">
      <formula>"ERROR"</formula>
    </cfRule>
    <cfRule type="cellIs" dxfId="897" priority="47" stopIfTrue="1" operator="equal">
      <formula>"OK"</formula>
    </cfRule>
    <cfRule type="cellIs" dxfId="896" priority="48" stopIfTrue="1" operator="equal">
      <formula>"WARNING"</formula>
    </cfRule>
  </conditionalFormatting>
  <conditionalFormatting sqref="AG19">
    <cfRule type="cellIs" dxfId="895" priority="43" stopIfTrue="1" operator="equal">
      <formula>"ERROR"</formula>
    </cfRule>
    <cfRule type="cellIs" dxfId="894" priority="44" stopIfTrue="1" operator="equal">
      <formula>"OK"</formula>
    </cfRule>
    <cfRule type="cellIs" dxfId="893" priority="45" stopIfTrue="1" operator="equal">
      <formula>"WARNING"</formula>
    </cfRule>
  </conditionalFormatting>
  <conditionalFormatting sqref="AU19">
    <cfRule type="cellIs" dxfId="892" priority="40" stopIfTrue="1" operator="equal">
      <formula>"ERROR"</formula>
    </cfRule>
    <cfRule type="cellIs" dxfId="891" priority="41" stopIfTrue="1" operator="equal">
      <formula>"OK"</formula>
    </cfRule>
    <cfRule type="cellIs" dxfId="890" priority="42" stopIfTrue="1" operator="equal">
      <formula>"WARNING"</formula>
    </cfRule>
  </conditionalFormatting>
  <conditionalFormatting sqref="BI19">
    <cfRule type="cellIs" dxfId="889" priority="37" stopIfTrue="1" operator="equal">
      <formula>"ERROR"</formula>
    </cfRule>
    <cfRule type="cellIs" dxfId="888" priority="38" stopIfTrue="1" operator="equal">
      <formula>"OK"</formula>
    </cfRule>
    <cfRule type="cellIs" dxfId="887" priority="39" stopIfTrue="1" operator="equal">
      <formula>"WARNING"</formula>
    </cfRule>
  </conditionalFormatting>
  <conditionalFormatting sqref="CI19">
    <cfRule type="cellIs" dxfId="886" priority="34" stopIfTrue="1" operator="equal">
      <formula>"ERROR"</formula>
    </cfRule>
    <cfRule type="cellIs" dxfId="885" priority="35" stopIfTrue="1" operator="equal">
      <formula>"OK"</formula>
    </cfRule>
    <cfRule type="cellIs" dxfId="884" priority="36" stopIfTrue="1" operator="equal">
      <formula>"WARNING"</formula>
    </cfRule>
  </conditionalFormatting>
  <conditionalFormatting sqref="L43">
    <cfRule type="cellIs" dxfId="883" priority="28" stopIfTrue="1" operator="equal">
      <formula>"ERROR"</formula>
    </cfRule>
    <cfRule type="cellIs" dxfId="882" priority="29" stopIfTrue="1" operator="equal">
      <formula>"OK"</formula>
    </cfRule>
    <cfRule type="cellIs" dxfId="881" priority="30" stopIfTrue="1" operator="equal">
      <formula>"WARNING"</formula>
    </cfRule>
  </conditionalFormatting>
  <conditionalFormatting sqref="Y43">
    <cfRule type="cellIs" dxfId="880" priority="25" stopIfTrue="1" operator="equal">
      <formula>"ERROR"</formula>
    </cfRule>
    <cfRule type="cellIs" dxfId="879" priority="26" stopIfTrue="1" operator="equal">
      <formula>"OK"</formula>
    </cfRule>
    <cfRule type="cellIs" dxfId="878" priority="27" stopIfTrue="1" operator="equal">
      <formula>"WARNING"</formula>
    </cfRule>
  </conditionalFormatting>
  <conditionalFormatting sqref="AK43">
    <cfRule type="cellIs" dxfId="877" priority="22" stopIfTrue="1" operator="equal">
      <formula>"ERROR"</formula>
    </cfRule>
    <cfRule type="cellIs" dxfId="876" priority="23" stopIfTrue="1" operator="equal">
      <formula>"OK"</formula>
    </cfRule>
    <cfRule type="cellIs" dxfId="875" priority="24" stopIfTrue="1" operator="equal">
      <formula>"WARNING"</formula>
    </cfRule>
  </conditionalFormatting>
  <conditionalFormatting sqref="BC43">
    <cfRule type="cellIs" dxfId="874" priority="19" stopIfTrue="1" operator="equal">
      <formula>"ERROR"</formula>
    </cfRule>
    <cfRule type="cellIs" dxfId="873" priority="20" stopIfTrue="1" operator="equal">
      <formula>"OK"</formula>
    </cfRule>
    <cfRule type="cellIs" dxfId="872" priority="21" stopIfTrue="1" operator="equal">
      <formula>"WARNING"</formula>
    </cfRule>
  </conditionalFormatting>
  <conditionalFormatting sqref="BU43">
    <cfRule type="cellIs" dxfId="871" priority="16" stopIfTrue="1" operator="equal">
      <formula>"ERROR"</formula>
    </cfRule>
    <cfRule type="cellIs" dxfId="870" priority="17" stopIfTrue="1" operator="equal">
      <formula>"OK"</formula>
    </cfRule>
    <cfRule type="cellIs" dxfId="869" priority="18" stopIfTrue="1" operator="equal">
      <formula>"WARNING"</formula>
    </cfRule>
  </conditionalFormatting>
  <conditionalFormatting sqref="BW19">
    <cfRule type="cellIs" dxfId="868" priority="13" stopIfTrue="1" operator="equal">
      <formula>"ERROR"</formula>
    </cfRule>
    <cfRule type="cellIs" dxfId="867" priority="14" stopIfTrue="1" operator="equal">
      <formula>"OK"</formula>
    </cfRule>
    <cfRule type="cellIs" dxfId="866" priority="15" stopIfTrue="1" operator="equal">
      <formula>"WARNING"</formula>
    </cfRule>
  </conditionalFormatting>
  <conditionalFormatting sqref="C26">
    <cfRule type="cellIs" dxfId="865" priority="7" stopIfTrue="1" operator="equal">
      <formula>"ERROR"</formula>
    </cfRule>
  </conditionalFormatting>
  <conditionalFormatting sqref="C26">
    <cfRule type="cellIs" dxfId="864" priority="8" stopIfTrue="1" operator="equal">
      <formula>"OK"</formula>
    </cfRule>
  </conditionalFormatting>
  <conditionalFormatting sqref="C26">
    <cfRule type="cellIs" dxfId="863" priority="9" stopIfTrue="1" operator="equal">
      <formula>"WARNING"</formula>
    </cfRule>
  </conditionalFormatting>
  <conditionalFormatting sqref="J31">
    <cfRule type="cellIs" dxfId="862" priority="10" stopIfTrue="1" operator="equal">
      <formula>"ERROR"</formula>
    </cfRule>
    <cfRule type="cellIs" dxfId="861" priority="11" stopIfTrue="1" operator="equal">
      <formula>"OK"</formula>
    </cfRule>
    <cfRule type="cellIs" dxfId="860" priority="12" stopIfTrue="1" operator="equal">
      <formula>"WARNING"</formula>
    </cfRule>
  </conditionalFormatting>
  <conditionalFormatting sqref="X31">
    <cfRule type="cellIs" dxfId="859" priority="4" stopIfTrue="1" operator="equal">
      <formula>"ERROR"</formula>
    </cfRule>
    <cfRule type="cellIs" dxfId="858" priority="5" stopIfTrue="1" operator="equal">
      <formula>"OK"</formula>
    </cfRule>
    <cfRule type="cellIs" dxfId="857" priority="6" stopIfTrue="1" operator="equal">
      <formula>"WARNING"</formula>
    </cfRule>
  </conditionalFormatting>
  <conditionalFormatting sqref="AL31">
    <cfRule type="cellIs" dxfId="856" priority="1" stopIfTrue="1" operator="equal">
      <formula>"ERROR"</formula>
    </cfRule>
    <cfRule type="cellIs" dxfId="855" priority="2" stopIfTrue="1" operator="equal">
      <formula>"OK"</formula>
    </cfRule>
    <cfRule type="cellIs" dxfId="854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DD1341"/>
  <sheetViews>
    <sheetView showGridLines="0" topLeftCell="A37" zoomScaleNormal="100" workbookViewId="0">
      <selection activeCell="B49" sqref="B49:C49"/>
    </sheetView>
  </sheetViews>
  <sheetFormatPr defaultColWidth="14.75" defaultRowHeight="15"/>
  <cols>
    <col min="1" max="1" width="3.75" customWidth="1"/>
    <col min="2" max="2" width="17.375" customWidth="1"/>
    <col min="3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>
      <c r="B1" s="399" t="s">
        <v>372</v>
      </c>
    </row>
    <row r="2" spans="1:52" ht="26.25">
      <c r="B2" s="2" t="s">
        <v>346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</row>
    <row r="4" spans="1:52">
      <c r="B4" s="50" t="s">
        <v>139</v>
      </c>
      <c r="C4" s="291" t="str" cm="1">
        <f t="array" aca="1" ref="C4" ca="1">_xll.d.TestUtils_And(E7:E12)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</row>
    <row r="6" spans="1:5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</row>
    <row r="7" spans="1:52">
      <c r="B7" s="398" t="s">
        <v>347</v>
      </c>
      <c r="C7" s="201"/>
      <c r="D7" s="201"/>
      <c r="E7" s="291" t="str">
        <f ca="1">C17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</row>
    <row r="8" spans="1:52">
      <c r="B8" s="398" t="s">
        <v>348</v>
      </c>
      <c r="C8" s="201"/>
      <c r="D8" s="201"/>
      <c r="E8" s="291" t="str">
        <f ca="1">C30</f>
        <v>Ok</v>
      </c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9" spans="1:52" s="430" customFormat="1">
      <c r="B9" s="398" t="s">
        <v>875</v>
      </c>
      <c r="C9" s="201"/>
      <c r="D9" s="201"/>
      <c r="E9" s="291" t="str">
        <f ca="1">C46</f>
        <v>Ok</v>
      </c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</row>
    <row r="10" spans="1:52" s="430" customFormat="1">
      <c r="B10" s="398" t="s">
        <v>872</v>
      </c>
      <c r="C10" s="201"/>
      <c r="D10" s="201"/>
      <c r="E10" s="291" t="str">
        <f ca="1">C62</f>
        <v>Ok</v>
      </c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</row>
    <row r="11" spans="1:52">
      <c r="B11" s="398" t="s">
        <v>349</v>
      </c>
      <c r="C11" s="201"/>
      <c r="D11" s="201"/>
      <c r="E11" s="291" t="str">
        <f ca="1">C286</f>
        <v>Ok</v>
      </c>
      <c r="F11" s="289"/>
      <c r="G11" s="289"/>
      <c r="H11" s="289"/>
      <c r="I11" s="289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  <c r="W11" s="289"/>
      <c r="X11" s="289"/>
      <c r="Y11" s="289"/>
      <c r="Z11" s="289"/>
      <c r="AA11" s="289"/>
      <c r="AB11" s="289"/>
      <c r="AC11" s="289"/>
    </row>
    <row r="12" spans="1:52">
      <c r="B12" s="201" t="s">
        <v>470</v>
      </c>
      <c r="C12" s="201"/>
      <c r="D12" s="201"/>
      <c r="E12" s="291" t="str">
        <f ca="1">C337</f>
        <v>Ok</v>
      </c>
    </row>
    <row r="13" spans="1:52" s="430" customFormat="1"/>
    <row r="15" spans="1:52" s="289" customFormat="1" ht="18.75">
      <c r="A15"/>
      <c r="B15" s="3" t="s">
        <v>347</v>
      </c>
      <c r="C15" s="297"/>
      <c r="D15" s="297"/>
      <c r="E15" s="297"/>
      <c r="F15" s="297"/>
      <c r="G15" s="297"/>
      <c r="H15" s="297"/>
      <c r="I15" s="297"/>
      <c r="J15" s="297"/>
      <c r="K15" s="297"/>
      <c r="L15" s="297"/>
      <c r="M15" s="297"/>
      <c r="N15" s="297"/>
      <c r="O15" s="297"/>
      <c r="P15" s="297"/>
      <c r="Q15" s="297"/>
      <c r="R15" s="297"/>
      <c r="S15" s="297"/>
      <c r="T15" s="297"/>
      <c r="U15" s="297"/>
      <c r="V15" s="297"/>
      <c r="W15" s="297"/>
      <c r="X15" s="297"/>
      <c r="Y15" s="297"/>
      <c r="Z15" s="297"/>
      <c r="AA15" s="297"/>
      <c r="AB15" s="297"/>
      <c r="AC15" s="297"/>
      <c r="AD15" s="297"/>
      <c r="AE15" s="297"/>
      <c r="AF15" s="297"/>
      <c r="AG15" s="297"/>
      <c r="AH15" s="297"/>
      <c r="AI15" s="297"/>
      <c r="AJ15" s="297"/>
      <c r="AK15" s="297"/>
      <c r="AL15" s="297"/>
      <c r="AM15" s="297"/>
      <c r="AN15" s="297"/>
      <c r="AO15" s="297"/>
      <c r="AP15" s="297"/>
      <c r="AQ15" s="297"/>
      <c r="AR15" s="297"/>
      <c r="AS15" s="297"/>
      <c r="AT15" s="297"/>
      <c r="AU15" s="297"/>
      <c r="AV15" s="297"/>
      <c r="AW15" s="297"/>
      <c r="AX15" s="297"/>
      <c r="AY15" s="297"/>
      <c r="AZ15" s="297"/>
    </row>
    <row r="16" spans="1:52">
      <c r="AX16" s="430"/>
    </row>
    <row r="17" spans="2:53">
      <c r="B17" s="50" t="s">
        <v>139</v>
      </c>
      <c r="C17" s="291" t="str" cm="1">
        <f t="array" aca="1" ref="C17" ca="1">_xll.d.TestUtils_And(L22:N24,Z22,AL22,AZ22)</f>
        <v>Ok</v>
      </c>
      <c r="D17" s="289"/>
      <c r="E17" s="289"/>
      <c r="F17" s="289"/>
      <c r="G17" s="289"/>
      <c r="H17" s="289"/>
      <c r="I17" s="289"/>
      <c r="J17" s="289"/>
      <c r="K17" s="289"/>
      <c r="U17" s="430"/>
      <c r="V17" s="430"/>
      <c r="W17" s="430"/>
      <c r="Y17" s="430"/>
      <c r="Z17" s="430"/>
      <c r="AA17" s="430"/>
      <c r="AI17" s="430"/>
      <c r="AJ17" s="430"/>
      <c r="AK17" s="430"/>
      <c r="AX17" s="430"/>
    </row>
    <row r="18" spans="2:53">
      <c r="B18" s="289"/>
      <c r="C18" s="289"/>
      <c r="D18" s="289"/>
      <c r="E18" s="289"/>
      <c r="F18" s="289"/>
      <c r="G18" s="289"/>
      <c r="H18" s="289"/>
      <c r="I18" s="290"/>
      <c r="J18" s="290"/>
      <c r="K18" s="290"/>
      <c r="U18" s="430"/>
      <c r="V18" s="430"/>
      <c r="W18" s="430"/>
      <c r="Y18" s="430"/>
      <c r="Z18" s="430"/>
      <c r="AA18" s="430"/>
      <c r="AI18" s="430"/>
      <c r="AJ18" s="430"/>
      <c r="AK18" s="430"/>
      <c r="AL18" s="430"/>
      <c r="AX18" s="430"/>
    </row>
    <row r="19" spans="2:53" ht="15.75">
      <c r="B19" s="4" t="s">
        <v>350</v>
      </c>
      <c r="C19" s="298"/>
      <c r="D19" s="298"/>
      <c r="E19" s="298"/>
      <c r="F19" s="298"/>
      <c r="G19" s="298"/>
      <c r="H19" s="298"/>
      <c r="I19" s="298"/>
      <c r="J19" s="298"/>
      <c r="K19" s="298"/>
      <c r="L19" s="298"/>
      <c r="M19" s="298"/>
      <c r="N19" s="298"/>
      <c r="P19" s="4" t="s">
        <v>352</v>
      </c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B19" s="4" t="s">
        <v>353</v>
      </c>
      <c r="AC19" s="298"/>
      <c r="AD19" s="298"/>
      <c r="AE19" s="298"/>
      <c r="AF19" s="298"/>
      <c r="AG19" s="298"/>
      <c r="AH19" s="298"/>
      <c r="AI19" s="298"/>
      <c r="AJ19" s="298"/>
      <c r="AK19" s="298"/>
      <c r="AL19" s="298"/>
      <c r="AN19" s="4" t="s">
        <v>354</v>
      </c>
      <c r="AO19" s="298"/>
      <c r="AP19" s="298"/>
      <c r="AQ19" s="298"/>
      <c r="AR19" s="298"/>
      <c r="AS19" s="298"/>
      <c r="AT19" s="298"/>
      <c r="AU19" s="298"/>
      <c r="AV19" s="298"/>
      <c r="AW19" s="298"/>
      <c r="AX19" s="298"/>
      <c r="AY19" s="298"/>
      <c r="AZ19" s="298"/>
    </row>
    <row r="20" spans="2:53">
      <c r="B20" s="289"/>
      <c r="C20" s="289"/>
      <c r="D20" s="289"/>
      <c r="E20" s="289"/>
      <c r="F20" s="289"/>
      <c r="G20" s="289"/>
      <c r="H20" s="289"/>
      <c r="I20" s="290"/>
      <c r="J20" s="290"/>
      <c r="K20" s="290"/>
      <c r="P20" s="289"/>
      <c r="Q20" s="289"/>
      <c r="R20" s="289"/>
      <c r="S20" s="289"/>
      <c r="T20" s="289"/>
      <c r="U20" s="289"/>
      <c r="V20" s="289"/>
      <c r="W20" s="290"/>
      <c r="X20" s="290"/>
      <c r="Y20" s="290"/>
      <c r="AB20" s="289"/>
      <c r="AC20" s="289"/>
      <c r="AD20" s="289"/>
      <c r="AE20" s="289"/>
      <c r="AF20" s="289"/>
      <c r="AG20" s="289"/>
      <c r="AH20" s="289"/>
      <c r="AI20" s="289"/>
      <c r="AJ20" s="289"/>
      <c r="AK20" s="290"/>
      <c r="AN20" s="289"/>
      <c r="AO20" s="289"/>
      <c r="AP20" s="289"/>
      <c r="AQ20" s="289"/>
      <c r="AR20" s="289"/>
      <c r="AS20" s="289"/>
      <c r="AT20" s="289"/>
      <c r="AU20" s="289"/>
      <c r="AV20" s="289"/>
      <c r="AW20" s="290"/>
      <c r="AX20" s="290"/>
      <c r="AY20" s="290"/>
      <c r="AZ20" s="290"/>
      <c r="BA20" s="290"/>
    </row>
    <row r="21" spans="2:53">
      <c r="B21" s="120" t="s">
        <v>212</v>
      </c>
      <c r="C21" s="191"/>
      <c r="D21" s="121"/>
      <c r="F21" s="120" t="s">
        <v>113</v>
      </c>
      <c r="G21" s="120"/>
      <c r="H21" s="120"/>
      <c r="I21" s="120" t="s">
        <v>214</v>
      </c>
      <c r="J21" s="120"/>
      <c r="K21" s="120"/>
      <c r="L21" s="120" t="s">
        <v>67</v>
      </c>
      <c r="M21" s="332"/>
      <c r="N21" s="332"/>
      <c r="P21" s="120" t="s">
        <v>212</v>
      </c>
      <c r="Q21" s="191"/>
      <c r="R21" s="121"/>
      <c r="T21" s="120" t="s">
        <v>113</v>
      </c>
      <c r="U21" s="120"/>
      <c r="V21" s="120"/>
      <c r="W21" s="120" t="s">
        <v>214</v>
      </c>
      <c r="X21" s="120"/>
      <c r="Y21" s="120"/>
      <c r="Z21" s="120" t="s">
        <v>67</v>
      </c>
      <c r="AB21" s="120" t="s">
        <v>212</v>
      </c>
      <c r="AC21" s="191"/>
      <c r="AD21" s="121"/>
      <c r="AF21" s="120" t="s">
        <v>113</v>
      </c>
      <c r="AG21" s="120"/>
      <c r="AH21" s="120"/>
      <c r="AI21" s="120" t="s">
        <v>214</v>
      </c>
      <c r="AJ21" s="120"/>
      <c r="AK21" s="120"/>
      <c r="AL21" s="120" t="s">
        <v>67</v>
      </c>
      <c r="AN21" s="120" t="s">
        <v>212</v>
      </c>
      <c r="AO21" s="191"/>
      <c r="AP21" s="121"/>
      <c r="AR21" s="120" t="s">
        <v>113</v>
      </c>
      <c r="AS21" s="120"/>
      <c r="AT21" s="120"/>
      <c r="AU21" s="120"/>
      <c r="AV21" s="120" t="s">
        <v>214</v>
      </c>
      <c r="AW21" s="120"/>
      <c r="AX21" s="120"/>
      <c r="AY21" s="120"/>
      <c r="AZ21" s="120" t="s">
        <v>67</v>
      </c>
    </row>
    <row r="22" spans="2:53">
      <c r="B22" s="352" t="s">
        <v>351</v>
      </c>
      <c r="C22" s="353"/>
      <c r="D22" s="354"/>
      <c r="F22" s="351">
        <f t="array" aca="1" ref="F22:H24" ca="1">_xll.d.Stats_Cholesky(B23:D25)</f>
        <v>1</v>
      </c>
      <c r="G22" s="271">
        <f ca="1"/>
        <v>0.75</v>
      </c>
      <c r="H22" s="272">
        <f ca="1"/>
        <v>0.5</v>
      </c>
      <c r="I22" s="351">
        <v>1</v>
      </c>
      <c r="J22" s="271">
        <v>0.75</v>
      </c>
      <c r="K22" s="272">
        <v>0.5</v>
      </c>
      <c r="L22" s="301" t="str" cm="1">
        <f t="array" aca="1" ref="L22" ca="1">_xll.d.TestUtils_Equal(F22,I22)</f>
        <v>Ok</v>
      </c>
      <c r="M22" s="301" t="str" cm="1">
        <f t="array" aca="1" ref="M22" ca="1">_xll.d.TestUtils_Equal(G22,J22)</f>
        <v>Ok</v>
      </c>
      <c r="N22" s="301" t="str" cm="1">
        <f t="array" aca="1" ref="N22" ca="1">_xll.d.TestUtils_Equal(H22,K22)</f>
        <v>Ok</v>
      </c>
      <c r="P22" s="352" t="s">
        <v>351</v>
      </c>
      <c r="Q22" s="353"/>
      <c r="R22" s="354"/>
      <c r="T22" s="536" t="str" cm="1">
        <f t="array" aca="1" ref="T22" ca="1">_xll.d.Stats_Cholesky(P23:R24)</f>
        <v>#∂Excel Error: Matrix is not square.</v>
      </c>
      <c r="U22" s="538"/>
      <c r="V22" s="538"/>
      <c r="W22" s="538" t="s">
        <v>450</v>
      </c>
      <c r="X22" s="538"/>
      <c r="Y22" s="538"/>
      <c r="Z22" s="301" t="str" cm="1">
        <f t="array" aca="1" ref="Z22" ca="1">_xll.d.TestUtils_Equal(T22,W22)</f>
        <v>Ok</v>
      </c>
      <c r="AB22" s="352" t="s">
        <v>351</v>
      </c>
      <c r="AC22" s="353"/>
      <c r="AD22" s="354"/>
      <c r="AF22" s="539" t="str" cm="1">
        <f t="array" aca="1" ref="AF22" ca="1">_xll.d.Stats_Cholesky(AB23:AD25)</f>
        <v>#∂Excel Error: Matrix is not symmetric.</v>
      </c>
      <c r="AG22" s="540"/>
      <c r="AH22" s="540"/>
      <c r="AI22" s="542" t="s">
        <v>451</v>
      </c>
      <c r="AJ22" s="540"/>
      <c r="AK22" s="541"/>
      <c r="AL22" s="301" t="str" cm="1">
        <f t="array" aca="1" ref="AL22" ca="1">_xll.d.TestUtils_Equal(AF22,AI22)</f>
        <v>Ok</v>
      </c>
      <c r="AN22" s="352" t="s">
        <v>351</v>
      </c>
      <c r="AO22" s="353"/>
      <c r="AP22" s="354"/>
      <c r="AR22" s="539" t="str" cm="1">
        <f t="array" aca="1" ref="AR22" ca="1">_xll.d.Stats_Cholesky(AN23:AP25)</f>
        <v>#∂Excel Error: Diagonal elements of the correlation matrix must be 1.</v>
      </c>
      <c r="AS22" s="540"/>
      <c r="AT22" s="540"/>
      <c r="AU22" s="540"/>
      <c r="AV22" s="540" t="s">
        <v>476</v>
      </c>
      <c r="AW22" s="541"/>
      <c r="AX22" s="537"/>
      <c r="AY22" s="537"/>
      <c r="AZ22" s="301" t="str" cm="1">
        <f t="array" aca="1" ref="AZ22" ca="1">_xll.d.TestUtils_Equal(AR22,AV22)</f>
        <v>Ok</v>
      </c>
    </row>
    <row r="23" spans="2:53">
      <c r="B23" s="351">
        <v>1</v>
      </c>
      <c r="C23" s="271">
        <v>0.75</v>
      </c>
      <c r="D23" s="272">
        <v>0.5</v>
      </c>
      <c r="E23" s="289"/>
      <c r="F23" s="358">
        <f ca="1"/>
        <v>0</v>
      </c>
      <c r="G23" s="359">
        <f ca="1"/>
        <v>0.66143782776614768</v>
      </c>
      <c r="H23" s="360">
        <f ca="1"/>
        <v>0.56694670951384085</v>
      </c>
      <c r="I23" s="358">
        <v>0</v>
      </c>
      <c r="J23" s="359">
        <v>0.66143782776614768</v>
      </c>
      <c r="K23" s="360">
        <v>0.56694670951384085</v>
      </c>
      <c r="L23" s="301" t="str" cm="1">
        <f t="array" aca="1" ref="L23" ca="1">_xll.d.TestUtils_Equal(F23,I23)</f>
        <v>Ok</v>
      </c>
      <c r="M23" s="301" t="str" cm="1">
        <f t="array" aca="1" ref="M23" ca="1">_xll.d.TestUtils_Equal(G23,J23)</f>
        <v>Ok</v>
      </c>
      <c r="N23" s="301" t="str" cm="1">
        <f t="array" aca="1" ref="N23" ca="1">_xll.d.TestUtils_Equal(H23,K23)</f>
        <v>Ok</v>
      </c>
      <c r="P23" s="351">
        <v>1</v>
      </c>
      <c r="Q23" s="271">
        <v>0.75</v>
      </c>
      <c r="R23" s="272">
        <v>0.5</v>
      </c>
      <c r="S23" s="289"/>
      <c r="U23" s="430"/>
      <c r="V23" s="430"/>
      <c r="X23" s="430"/>
      <c r="Y23" s="430"/>
      <c r="AB23" s="351">
        <v>1</v>
      </c>
      <c r="AC23" s="271">
        <v>0.75</v>
      </c>
      <c r="AD23" s="272">
        <v>10</v>
      </c>
      <c r="AE23" s="289"/>
      <c r="AG23" s="430"/>
      <c r="AH23" s="430"/>
      <c r="AI23" s="430"/>
      <c r="AJ23" s="430"/>
      <c r="AN23" s="351">
        <v>1</v>
      </c>
      <c r="AO23" s="271">
        <v>2</v>
      </c>
      <c r="AP23" s="272">
        <v>3</v>
      </c>
      <c r="AQ23" s="289"/>
      <c r="AS23" s="430"/>
      <c r="AT23" s="430"/>
      <c r="AU23" s="430"/>
      <c r="AW23" s="430"/>
      <c r="AX23" s="430"/>
      <c r="AY23" s="430"/>
    </row>
    <row r="24" spans="2:53">
      <c r="B24" s="358">
        <v>0.75</v>
      </c>
      <c r="C24" s="359">
        <v>1</v>
      </c>
      <c r="D24" s="360">
        <v>0.75</v>
      </c>
      <c r="E24" s="289"/>
      <c r="F24" s="355">
        <f ca="1"/>
        <v>0</v>
      </c>
      <c r="G24" s="356">
        <f ca="1"/>
        <v>0</v>
      </c>
      <c r="H24" s="357">
        <f ca="1"/>
        <v>0.65465367070797709</v>
      </c>
      <c r="I24" s="355">
        <v>0</v>
      </c>
      <c r="J24" s="356">
        <v>0</v>
      </c>
      <c r="K24" s="357">
        <v>0.65465367070797709</v>
      </c>
      <c r="L24" s="301" t="str" cm="1">
        <f t="array" aca="1" ref="L24" ca="1">_xll.d.TestUtils_Equal(F24,I24)</f>
        <v>Ok</v>
      </c>
      <c r="M24" s="301" t="str" cm="1">
        <f t="array" aca="1" ref="M24" ca="1">_xll.d.TestUtils_Equal(G24,J24)</f>
        <v>Ok</v>
      </c>
      <c r="N24" s="301" t="str" cm="1">
        <f t="array" aca="1" ref="N24" ca="1">_xll.d.TestUtils_Equal(H24,K24)</f>
        <v>Ok</v>
      </c>
      <c r="P24" s="355">
        <v>0.75</v>
      </c>
      <c r="Q24" s="356">
        <v>1</v>
      </c>
      <c r="R24" s="357">
        <v>0.75</v>
      </c>
      <c r="S24" s="289"/>
      <c r="U24" s="430"/>
      <c r="V24" s="430"/>
      <c r="X24" s="430"/>
      <c r="Y24" s="430"/>
      <c r="AB24" s="358">
        <v>0.75</v>
      </c>
      <c r="AC24" s="359">
        <v>1</v>
      </c>
      <c r="AD24" s="360">
        <v>0.75</v>
      </c>
      <c r="AE24" s="289"/>
      <c r="AG24" s="430"/>
      <c r="AH24" s="430"/>
      <c r="AI24" s="430"/>
      <c r="AJ24" s="430"/>
      <c r="AN24" s="358">
        <v>2</v>
      </c>
      <c r="AO24" s="359">
        <v>3</v>
      </c>
      <c r="AP24" s="360">
        <v>4</v>
      </c>
      <c r="AQ24" s="289"/>
      <c r="AS24" s="430"/>
      <c r="AT24" s="430"/>
      <c r="AU24" s="430"/>
      <c r="AV24" s="430"/>
      <c r="AX24" s="430"/>
      <c r="AY24" s="430"/>
      <c r="AZ24" s="430"/>
      <c r="BA24" s="430"/>
    </row>
    <row r="25" spans="2:53">
      <c r="B25" s="355">
        <v>0.5</v>
      </c>
      <c r="C25" s="356">
        <v>0.75</v>
      </c>
      <c r="D25" s="357">
        <v>1</v>
      </c>
      <c r="U25" s="430"/>
      <c r="V25" s="430"/>
      <c r="X25" s="430"/>
      <c r="Y25" s="430"/>
      <c r="AB25" s="355">
        <v>0.5</v>
      </c>
      <c r="AC25" s="356">
        <v>0.75</v>
      </c>
      <c r="AD25" s="357">
        <v>1</v>
      </c>
      <c r="AG25" s="430"/>
      <c r="AH25" s="430"/>
      <c r="AI25" s="430"/>
      <c r="AJ25" s="430"/>
      <c r="AN25" s="355">
        <v>3</v>
      </c>
      <c r="AO25" s="356">
        <v>4</v>
      </c>
      <c r="AP25" s="357">
        <v>5</v>
      </c>
      <c r="AS25" s="430"/>
      <c r="AT25" s="430"/>
      <c r="AU25" s="430"/>
      <c r="AV25" s="430"/>
      <c r="AX25" s="430"/>
      <c r="AY25" s="430"/>
      <c r="AZ25" s="430"/>
      <c r="BA25" s="430"/>
    </row>
    <row r="26" spans="2:53">
      <c r="U26" s="430"/>
      <c r="V26" s="430"/>
      <c r="W26" s="430"/>
      <c r="Y26" s="430"/>
      <c r="Z26" s="430"/>
      <c r="AH26" s="430"/>
      <c r="AI26" s="430"/>
      <c r="AJ26" s="430"/>
      <c r="AK26" s="430"/>
      <c r="AS26" s="430"/>
      <c r="AT26" s="430"/>
      <c r="AU26" s="430"/>
      <c r="AW26" s="430"/>
      <c r="AX26" s="430"/>
      <c r="AY26" s="430"/>
    </row>
    <row r="27" spans="2:53">
      <c r="U27" s="430"/>
      <c r="V27" s="430"/>
      <c r="W27" s="430"/>
      <c r="Y27" s="430"/>
      <c r="Z27" s="430"/>
      <c r="AA27" s="430"/>
      <c r="AI27" s="430"/>
      <c r="AJ27" s="430"/>
      <c r="AL27" s="430"/>
      <c r="AS27" s="430"/>
      <c r="AT27" s="430"/>
      <c r="AU27" s="430"/>
      <c r="AW27" s="430"/>
      <c r="AX27" s="430"/>
      <c r="AY27" s="430"/>
    </row>
    <row r="28" spans="2:53" ht="18.75">
      <c r="B28" s="3" t="s">
        <v>348</v>
      </c>
      <c r="C28" s="297"/>
      <c r="D28" s="297"/>
      <c r="E28" s="297"/>
      <c r="F28" s="297"/>
      <c r="G28" s="297"/>
      <c r="H28" s="297"/>
      <c r="I28" s="297"/>
      <c r="J28" s="297"/>
      <c r="K28" s="297"/>
      <c r="L28" s="297"/>
      <c r="M28" s="297"/>
      <c r="N28" s="297"/>
      <c r="O28" s="297"/>
      <c r="P28" s="297"/>
      <c r="Q28" s="297"/>
      <c r="R28" s="297"/>
      <c r="S28" s="297"/>
      <c r="T28" s="297"/>
      <c r="U28" s="297"/>
      <c r="V28" s="297"/>
      <c r="W28" s="297"/>
      <c r="X28" s="297"/>
      <c r="Y28" s="297"/>
      <c r="Z28" s="297"/>
      <c r="AA28" s="297"/>
      <c r="AB28" s="297"/>
      <c r="AC28" s="297"/>
      <c r="AD28" s="297"/>
      <c r="AE28" s="297"/>
      <c r="AF28" s="297"/>
      <c r="AG28" s="297"/>
      <c r="AH28" s="297"/>
      <c r="AI28" s="297"/>
      <c r="AJ28" s="297"/>
      <c r="AK28" s="297"/>
      <c r="AL28" s="297"/>
      <c r="AM28" s="297"/>
      <c r="AN28" s="297"/>
      <c r="AO28" s="297"/>
      <c r="AP28" s="297"/>
      <c r="AQ28" s="297"/>
      <c r="AR28" s="297"/>
      <c r="AS28" s="297"/>
      <c r="AT28" s="297"/>
      <c r="AU28" s="297"/>
      <c r="AV28" s="297"/>
      <c r="AW28" s="297"/>
      <c r="AX28" s="297"/>
      <c r="AY28" s="297"/>
      <c r="AZ28" s="297"/>
    </row>
    <row r="30" spans="2:53">
      <c r="B30" s="50" t="s">
        <v>139</v>
      </c>
      <c r="C30" s="291" t="str" cm="1">
        <f t="array" aca="1" ref="C30" ca="1">_xll.d.TestUtils_And(L36:M37,AB36:AD38)</f>
        <v>Ok</v>
      </c>
      <c r="D30" s="289"/>
      <c r="E30" s="289"/>
      <c r="F30" s="289"/>
      <c r="G30" s="289"/>
      <c r="H30" s="289"/>
      <c r="I30" s="289"/>
      <c r="J30" s="289"/>
      <c r="K30" s="289"/>
    </row>
    <row r="31" spans="2:53">
      <c r="B31" s="289"/>
      <c r="C31" s="289"/>
      <c r="D31" s="289"/>
      <c r="E31" s="289"/>
      <c r="F31" s="289"/>
      <c r="G31" s="289"/>
      <c r="H31" s="289"/>
      <c r="I31" s="290"/>
      <c r="J31" s="290"/>
      <c r="K31" s="290"/>
    </row>
    <row r="32" spans="2:53" ht="15.75">
      <c r="B32" s="4" t="s">
        <v>355</v>
      </c>
      <c r="C32" s="298"/>
      <c r="D32" s="298"/>
      <c r="E32" s="298"/>
      <c r="F32" s="298"/>
      <c r="G32" s="298"/>
      <c r="H32" s="298"/>
      <c r="I32" s="298"/>
      <c r="J32" s="298"/>
      <c r="K32" s="298"/>
      <c r="L32" s="298"/>
      <c r="M32" s="298"/>
      <c r="O32" s="4" t="s">
        <v>357</v>
      </c>
      <c r="P32" s="298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</row>
    <row r="33" spans="2:52">
      <c r="B33" s="289"/>
      <c r="C33" s="289"/>
      <c r="D33" s="289"/>
      <c r="E33" s="289"/>
      <c r="F33" s="289"/>
      <c r="G33" s="289"/>
      <c r="H33" s="289"/>
      <c r="I33" s="290"/>
      <c r="J33" s="290"/>
      <c r="K33" s="290"/>
      <c r="O33" s="289"/>
      <c r="P33" s="289"/>
      <c r="Q33" s="289"/>
      <c r="R33" s="289"/>
      <c r="S33" s="289"/>
      <c r="T33" s="289"/>
      <c r="U33" s="289"/>
      <c r="V33" s="290"/>
      <c r="W33" s="290"/>
      <c r="X33" s="290"/>
    </row>
    <row r="34" spans="2:52">
      <c r="B34" s="120" t="s">
        <v>212</v>
      </c>
      <c r="C34" s="191"/>
      <c r="E34" s="120" t="s">
        <v>113</v>
      </c>
      <c r="F34" s="120"/>
      <c r="G34" s="120"/>
      <c r="H34" s="120" t="s">
        <v>214</v>
      </c>
      <c r="I34" s="120"/>
      <c r="J34" s="120"/>
      <c r="K34" s="120" t="s">
        <v>67</v>
      </c>
      <c r="L34" s="332"/>
      <c r="M34" s="332"/>
      <c r="O34" s="120" t="s">
        <v>212</v>
      </c>
      <c r="P34" s="191"/>
      <c r="Q34" s="332"/>
      <c r="S34" s="120" t="s">
        <v>113</v>
      </c>
      <c r="T34" s="120"/>
      <c r="U34" s="120"/>
      <c r="V34" s="120"/>
      <c r="W34" s="120" t="s">
        <v>214</v>
      </c>
      <c r="X34" s="120"/>
      <c r="Y34" s="120"/>
      <c r="Z34" s="120"/>
      <c r="AA34" s="120" t="s">
        <v>67</v>
      </c>
      <c r="AB34" s="332"/>
      <c r="AC34" s="332"/>
      <c r="AD34" s="332"/>
    </row>
    <row r="35" spans="2:52">
      <c r="B35" s="361" t="s">
        <v>336</v>
      </c>
      <c r="C35" s="362" t="s">
        <v>335</v>
      </c>
      <c r="E35" s="376"/>
      <c r="F35" s="374" t="s">
        <v>336</v>
      </c>
      <c r="G35" s="288" t="s">
        <v>335</v>
      </c>
      <c r="H35" s="376"/>
      <c r="I35" s="374" t="s">
        <v>336</v>
      </c>
      <c r="J35" s="288" t="s">
        <v>335</v>
      </c>
      <c r="K35" s="376"/>
      <c r="L35" s="374" t="s">
        <v>336</v>
      </c>
      <c r="M35" s="288" t="s">
        <v>335</v>
      </c>
      <c r="O35" s="361" t="s">
        <v>336</v>
      </c>
      <c r="P35" s="384" t="s">
        <v>335</v>
      </c>
      <c r="Q35" s="383" t="s">
        <v>356</v>
      </c>
      <c r="S35" s="376"/>
      <c r="T35" s="374" t="s">
        <v>336</v>
      </c>
      <c r="U35" s="387" t="s">
        <v>335</v>
      </c>
      <c r="V35" s="385" t="s">
        <v>356</v>
      </c>
      <c r="W35" s="376"/>
      <c r="X35" s="374" t="s">
        <v>336</v>
      </c>
      <c r="Y35" s="387" t="s">
        <v>335</v>
      </c>
      <c r="Z35" s="385" t="s">
        <v>356</v>
      </c>
      <c r="AA35" s="376"/>
      <c r="AB35" s="374" t="s">
        <v>336</v>
      </c>
      <c r="AC35" s="387" t="s">
        <v>335</v>
      </c>
      <c r="AD35" s="385" t="s">
        <v>356</v>
      </c>
    </row>
    <row r="36" spans="2:52">
      <c r="B36" s="363">
        <v>1</v>
      </c>
      <c r="C36" s="364">
        <v>0.5</v>
      </c>
      <c r="D36" s="289"/>
      <c r="E36" s="375" t="s">
        <v>336</v>
      </c>
      <c r="F36" s="370" cm="1">
        <f t="array" aca="1" ref="F36:G37" ca="1">_xll.d.Stats_CorrelationMatrix(B36:C41)</f>
        <v>1</v>
      </c>
      <c r="G36" s="369">
        <f ca="1"/>
        <v>0.9855793842654561</v>
      </c>
      <c r="H36" s="375" t="s">
        <v>336</v>
      </c>
      <c r="I36" s="370">
        <f ca="1">CORREL(B36:B41,B36:B41)</f>
        <v>1</v>
      </c>
      <c r="J36" s="369">
        <f ca="1">CORREL(B36:B41,C36:C41)</f>
        <v>0.98557938426545633</v>
      </c>
      <c r="K36" s="375" t="s">
        <v>336</v>
      </c>
      <c r="L36" s="301" t="str" cm="1">
        <f t="array" aca="1" ref="L36" ca="1">_xll.d.TestUtils_Equal(F36,I36)</f>
        <v>Ok</v>
      </c>
      <c r="M36" s="301" t="str" cm="1">
        <f t="array" aca="1" ref="M36" ca="1">_xll.d.TestUtils_Equal(G36,J36)</f>
        <v>Ok</v>
      </c>
      <c r="O36" s="363">
        <v>1</v>
      </c>
      <c r="P36" s="380">
        <v>0.5</v>
      </c>
      <c r="Q36" s="377">
        <v>6.5</v>
      </c>
      <c r="R36" s="289"/>
      <c r="S36" s="375" t="s">
        <v>336</v>
      </c>
      <c r="T36" s="370" cm="1">
        <f t="array" aca="1" ref="T36:V38" ca="1">_xll.d.Stats_CorrelationMatrix(O36:Q41)</f>
        <v>1</v>
      </c>
      <c r="U36" s="389">
        <f ca="1"/>
        <v>0.9855793842654561</v>
      </c>
      <c r="V36" s="388">
        <f ca="1"/>
        <v>-0.96679334300694564</v>
      </c>
      <c r="W36" s="375" t="s">
        <v>336</v>
      </c>
      <c r="X36" s="370">
        <f ca="1">CORREL($O$36:$O$41,O$36:O$41)</f>
        <v>1</v>
      </c>
      <c r="Y36" s="389">
        <f ca="1">CORREL($O$36:$O$41,P$36:P$41)</f>
        <v>0.98557938426545633</v>
      </c>
      <c r="Z36" s="388">
        <f ca="1">CORREL($O$36:$O$41,Q$36:Q$41)</f>
        <v>-0.96679334300694575</v>
      </c>
      <c r="AA36" s="375" t="s">
        <v>336</v>
      </c>
      <c r="AB36" s="301" t="str" cm="1">
        <f t="array" aca="1" ref="AB36" ca="1">_xll.d.TestUtils_Equal(T36,X36)</f>
        <v>Ok</v>
      </c>
      <c r="AC36" s="301" t="str" cm="1">
        <f t="array" aca="1" ref="AC36" ca="1">_xll.d.TestUtils_Equal(U36,Y36)</f>
        <v>Ok</v>
      </c>
      <c r="AD36" s="301" t="str" cm="1">
        <f t="array" aca="1" ref="AD36" ca="1">_xll.d.TestUtils_Equal(V36,Z36)</f>
        <v>Ok</v>
      </c>
    </row>
    <row r="37" spans="2:52">
      <c r="B37" s="365">
        <v>2</v>
      </c>
      <c r="C37" s="366">
        <v>2.2000000000000002</v>
      </c>
      <c r="D37" s="289"/>
      <c r="E37" s="283" t="s">
        <v>335</v>
      </c>
      <c r="F37" s="371">
        <f ca="1"/>
        <v>0.9855793842654561</v>
      </c>
      <c r="G37" s="357">
        <f ca="1"/>
        <v>1</v>
      </c>
      <c r="H37" s="283" t="s">
        <v>335</v>
      </c>
      <c r="I37" s="371">
        <f ca="1">CORREL(B36:B41,C36:C41)</f>
        <v>0.98557938426545633</v>
      </c>
      <c r="J37" s="357">
        <f ca="1">CORREL(C36:C41,C36:C41)</f>
        <v>1.0000000000000002</v>
      </c>
      <c r="K37" s="283" t="s">
        <v>335</v>
      </c>
      <c r="L37" s="301" t="str" cm="1">
        <f t="array" aca="1" ref="L37" ca="1">_xll.d.TestUtils_Equal(F37,I37)</f>
        <v>Ok</v>
      </c>
      <c r="M37" s="301" t="str" cm="1">
        <f t="array" aca="1" ref="M37" ca="1">_xll.d.TestUtils_Equal(G37,J37)</f>
        <v>Ok</v>
      </c>
      <c r="O37" s="365">
        <v>2</v>
      </c>
      <c r="P37" s="381">
        <v>2.2000000000000002</v>
      </c>
      <c r="Q37" s="378">
        <v>5.2</v>
      </c>
      <c r="R37" s="289"/>
      <c r="S37" s="372" t="s">
        <v>335</v>
      </c>
      <c r="T37" s="390">
        <f ca="1"/>
        <v>0.9855793842654561</v>
      </c>
      <c r="U37" s="392">
        <f ca="1"/>
        <v>1</v>
      </c>
      <c r="V37" s="393">
        <f ca="1"/>
        <v>-0.9461544177169412</v>
      </c>
      <c r="W37" s="372" t="s">
        <v>335</v>
      </c>
      <c r="X37" s="390">
        <f ca="1">CORREL(O$36:O$41,$P$36:$P$41)</f>
        <v>0.98557938426545633</v>
      </c>
      <c r="Y37" s="392">
        <f ca="1">CORREL(P$36:P$41,$P$36:$P$41)</f>
        <v>1.0000000000000002</v>
      </c>
      <c r="Z37" s="393">
        <f ca="1">CORREL(Q$36:Q$41,$P$36:$P$41)</f>
        <v>-0.94615441771694131</v>
      </c>
      <c r="AA37" s="372" t="s">
        <v>335</v>
      </c>
      <c r="AB37" s="301" t="str" cm="1">
        <f t="array" aca="1" ref="AB37" ca="1">_xll.d.TestUtils_Equal(T37,X37)</f>
        <v>Ok</v>
      </c>
      <c r="AC37" s="301" t="str" cm="1">
        <f t="array" aca="1" ref="AC37" ca="1">_xll.d.TestUtils_Equal(U37,Y37)</f>
        <v>Ok</v>
      </c>
      <c r="AD37" s="301" t="str" cm="1">
        <f t="array" aca="1" ref="AD37" ca="1">_xll.d.TestUtils_Equal(V37,Z37)</f>
        <v>Ok</v>
      </c>
    </row>
    <row r="38" spans="2:52">
      <c r="B38" s="365">
        <v>3</v>
      </c>
      <c r="C38" s="366">
        <v>2.9</v>
      </c>
      <c r="O38" s="365">
        <v>3</v>
      </c>
      <c r="P38" s="381">
        <v>2.9</v>
      </c>
      <c r="Q38" s="378">
        <v>4.9000000000000004</v>
      </c>
      <c r="S38" s="373" t="s">
        <v>356</v>
      </c>
      <c r="T38" s="371">
        <f ca="1"/>
        <v>-0.96679334300694564</v>
      </c>
      <c r="U38" s="391">
        <f ca="1"/>
        <v>-0.9461544177169412</v>
      </c>
      <c r="V38" s="386">
        <f ca="1"/>
        <v>1</v>
      </c>
      <c r="W38" s="373" t="s">
        <v>356</v>
      </c>
      <c r="X38" s="371">
        <f ca="1">CORREL(O$36:O$41,$Q$36:$Q$41)</f>
        <v>-0.96679334300694575</v>
      </c>
      <c r="Y38" s="391">
        <f ca="1">CORREL(P$36:P$41,$Q$36:$Q$41)</f>
        <v>-0.94615441771694131</v>
      </c>
      <c r="Z38" s="386">
        <f ca="1">CORREL(Q$36:Q$41,$Q$36:$Q$41)</f>
        <v>0.99999999999999978</v>
      </c>
      <c r="AA38" s="373" t="s">
        <v>356</v>
      </c>
      <c r="AB38" s="301" t="str" cm="1">
        <f t="array" aca="1" ref="AB38" ca="1">_xll.d.TestUtils_Equal(T38,X38)</f>
        <v>Ok</v>
      </c>
      <c r="AC38" s="301" t="str" cm="1">
        <f t="array" aca="1" ref="AC38" ca="1">_xll.d.TestUtils_Equal(U38,Y38)</f>
        <v>Ok</v>
      </c>
      <c r="AD38" s="301" t="str" cm="1">
        <f t="array" aca="1" ref="AD38" ca="1">_xll.d.TestUtils_Equal(V38,Z38)</f>
        <v>Ok</v>
      </c>
    </row>
    <row r="39" spans="2:52">
      <c r="B39" s="365">
        <v>4</v>
      </c>
      <c r="C39" s="366">
        <v>4.2</v>
      </c>
      <c r="O39" s="365">
        <v>4</v>
      </c>
      <c r="P39" s="381">
        <v>4.2</v>
      </c>
      <c r="Q39" s="378">
        <v>4</v>
      </c>
    </row>
    <row r="40" spans="2:52">
      <c r="B40" s="365">
        <v>5</v>
      </c>
      <c r="C40" s="366">
        <v>5</v>
      </c>
      <c r="O40" s="365">
        <v>5</v>
      </c>
      <c r="P40" s="381">
        <v>5</v>
      </c>
      <c r="Q40" s="378">
        <v>3.8</v>
      </c>
    </row>
    <row r="41" spans="2:52">
      <c r="B41" s="367">
        <v>6</v>
      </c>
      <c r="C41" s="368">
        <v>5.5</v>
      </c>
      <c r="O41" s="367">
        <v>6</v>
      </c>
      <c r="P41" s="382">
        <v>5.5</v>
      </c>
      <c r="Q41" s="379">
        <v>1.9</v>
      </c>
    </row>
    <row r="44" spans="2:52" s="430" customFormat="1" ht="18.75">
      <c r="B44" s="3" t="s">
        <v>875</v>
      </c>
      <c r="C44" s="297"/>
      <c r="D44" s="297"/>
      <c r="E44" s="297"/>
      <c r="F44" s="297"/>
      <c r="G44" s="297"/>
      <c r="H44" s="297"/>
      <c r="I44" s="297"/>
      <c r="J44" s="297"/>
      <c r="K44" s="297"/>
      <c r="L44" s="297"/>
      <c r="M44" s="297"/>
      <c r="N44" s="297"/>
      <c r="O44" s="297"/>
      <c r="P44" s="297"/>
      <c r="Q44" s="297"/>
      <c r="R44" s="297"/>
      <c r="S44" s="297"/>
      <c r="T44" s="297"/>
      <c r="U44" s="297"/>
      <c r="V44" s="297"/>
      <c r="W44" s="297"/>
      <c r="X44" s="297"/>
      <c r="Y44" s="297"/>
      <c r="Z44" s="297"/>
      <c r="AA44" s="297"/>
      <c r="AB44" s="297"/>
      <c r="AC44" s="297"/>
      <c r="AD44" s="297"/>
      <c r="AE44" s="297"/>
      <c r="AF44" s="297"/>
      <c r="AG44" s="297"/>
      <c r="AH44" s="297"/>
      <c r="AI44" s="297"/>
      <c r="AJ44" s="297"/>
      <c r="AK44" s="297"/>
      <c r="AL44" s="297"/>
      <c r="AM44" s="297"/>
      <c r="AN44" s="297"/>
      <c r="AO44" s="297"/>
      <c r="AP44" s="297"/>
      <c r="AQ44" s="297"/>
      <c r="AR44" s="297"/>
      <c r="AS44" s="297"/>
      <c r="AT44" s="297"/>
      <c r="AU44" s="297"/>
      <c r="AV44" s="297"/>
      <c r="AW44" s="297"/>
      <c r="AX44" s="297"/>
      <c r="AY44" s="297"/>
      <c r="AZ44" s="297"/>
    </row>
    <row r="45" spans="2:52" s="430" customFormat="1"/>
    <row r="46" spans="2:52" s="430" customFormat="1">
      <c r="B46" s="50" t="s">
        <v>139</v>
      </c>
      <c r="C46" s="291" t="str" cm="1">
        <f t="array" aca="1" ref="C46" ca="1">_xll.d.TestUtils_IsFalse(ISERR(B49))</f>
        <v>Ok</v>
      </c>
      <c r="D46" s="289"/>
      <c r="E46" s="289"/>
    </row>
    <row r="47" spans="2:52" s="430" customFormat="1"/>
    <row r="48" spans="2:52" s="430" customFormat="1">
      <c r="B48" s="50" t="s">
        <v>777</v>
      </c>
      <c r="C48" s="50"/>
    </row>
    <row r="49" spans="2:52" s="430" customFormat="1">
      <c r="B49" s="1073" t="str" cm="1">
        <f t="array" aca="1" ref="B49" ca="1">_xll.d.Stats_GBM_Create(_xll.d.Excel_GetSheetName()&amp;"_GBM",C52,C53,C54,C55,C56,C57)</f>
        <v>@@Stats_GBM::11:28:19</v>
      </c>
      <c r="C49" s="1074"/>
    </row>
    <row r="50" spans="2:52" s="430" customFormat="1"/>
    <row r="51" spans="2:52" s="430" customFormat="1">
      <c r="B51" s="120" t="s">
        <v>29</v>
      </c>
      <c r="C51" s="121" t="s">
        <v>30</v>
      </c>
    </row>
    <row r="52" spans="2:52" s="430" customFormat="1">
      <c r="B52" s="122" t="s">
        <v>773</v>
      </c>
      <c r="C52" s="123">
        <v>100</v>
      </c>
    </row>
    <row r="53" spans="2:52" s="430" customFormat="1">
      <c r="B53" s="124" t="s">
        <v>772</v>
      </c>
      <c r="C53" s="125">
        <v>0.2</v>
      </c>
    </row>
    <row r="54" spans="2:52" s="430" customFormat="1">
      <c r="B54" s="1069" t="s">
        <v>774</v>
      </c>
      <c r="C54" s="125">
        <v>0.2</v>
      </c>
    </row>
    <row r="55" spans="2:52" s="430" customFormat="1">
      <c r="B55" s="1069" t="s">
        <v>776</v>
      </c>
      <c r="C55" s="1070">
        <v>1</v>
      </c>
    </row>
    <row r="56" spans="2:52" s="430" customFormat="1">
      <c r="B56" s="1069" t="s">
        <v>775</v>
      </c>
      <c r="C56" s="1071">
        <v>10</v>
      </c>
    </row>
    <row r="57" spans="2:52" s="430" customFormat="1">
      <c r="B57" s="423" t="s">
        <v>358</v>
      </c>
      <c r="C57" s="1072">
        <v>999</v>
      </c>
    </row>
    <row r="58" spans="2:52" s="430" customFormat="1"/>
    <row r="59" spans="2:52" s="430" customFormat="1"/>
    <row r="60" spans="2:52" s="430" customFormat="1" ht="18.75">
      <c r="B60" s="3" t="s">
        <v>872</v>
      </c>
      <c r="C60" s="297"/>
      <c r="D60" s="297"/>
      <c r="E60" s="297"/>
      <c r="F60" s="297"/>
      <c r="G60" s="297"/>
      <c r="H60" s="297"/>
      <c r="I60" s="297"/>
      <c r="J60" s="297"/>
      <c r="K60" s="297"/>
      <c r="L60" s="297"/>
      <c r="M60" s="297"/>
      <c r="N60" s="297"/>
      <c r="O60" s="297"/>
      <c r="P60" s="297"/>
      <c r="Q60" s="297"/>
      <c r="R60" s="297"/>
      <c r="S60" s="297"/>
      <c r="T60" s="297"/>
      <c r="U60" s="297"/>
      <c r="V60" s="297"/>
      <c r="W60" s="297"/>
      <c r="X60" s="297"/>
      <c r="Y60" s="297"/>
      <c r="Z60" s="297"/>
      <c r="AA60" s="297"/>
      <c r="AB60" s="297"/>
      <c r="AC60" s="297"/>
      <c r="AD60" s="297"/>
      <c r="AE60" s="297"/>
      <c r="AF60" s="297"/>
      <c r="AG60" s="297"/>
      <c r="AH60" s="297"/>
      <c r="AI60" s="297"/>
      <c r="AJ60" s="297"/>
      <c r="AK60" s="297"/>
      <c r="AL60" s="297"/>
      <c r="AM60" s="297"/>
      <c r="AN60" s="297"/>
      <c r="AO60" s="297"/>
      <c r="AP60" s="297"/>
      <c r="AQ60" s="297"/>
      <c r="AR60" s="297"/>
      <c r="AS60" s="297"/>
      <c r="AT60" s="297"/>
      <c r="AU60" s="297"/>
      <c r="AV60" s="297"/>
      <c r="AW60" s="297"/>
      <c r="AX60" s="297"/>
      <c r="AY60" s="297"/>
      <c r="AZ60" s="297"/>
    </row>
    <row r="61" spans="2:52" s="430" customFormat="1"/>
    <row r="62" spans="2:52" s="430" customFormat="1">
      <c r="B62" s="50" t="s">
        <v>139</v>
      </c>
      <c r="C62" s="291" t="str" cm="1">
        <f t="array" aca="1" ref="C62" ca="1">_xll.d.TestUtils_And(_xll.d.TestUtils_Equal(COUNTA(B66:B75),10),_xll.d.TestUtils_Equal(COUNTA(B66:L66),11))</f>
        <v>Ok</v>
      </c>
      <c r="D62" s="289"/>
    </row>
    <row r="63" spans="2:52" s="430" customFormat="1">
      <c r="B63" s="1077" t="s">
        <v>874</v>
      </c>
    </row>
    <row r="64" spans="2:52" s="430" customFormat="1">
      <c r="B64" s="120" t="s">
        <v>873</v>
      </c>
      <c r="C64" s="191"/>
      <c r="D64" s="191"/>
      <c r="E64" s="191"/>
      <c r="F64" s="191"/>
      <c r="G64" s="191"/>
      <c r="H64" s="191"/>
      <c r="I64" s="191"/>
      <c r="J64" s="191"/>
      <c r="K64" s="191"/>
      <c r="L64" s="121"/>
    </row>
    <row r="65" spans="2:12" s="430" customFormat="1">
      <c r="B65" s="118">
        <v>0</v>
      </c>
      <c r="C65" s="282">
        <v>0.1</v>
      </c>
      <c r="D65" s="282">
        <v>0.2</v>
      </c>
      <c r="E65" s="282">
        <v>0.3</v>
      </c>
      <c r="F65" s="282">
        <v>0.4</v>
      </c>
      <c r="G65" s="282">
        <v>0.5</v>
      </c>
      <c r="H65" s="282">
        <v>0.6</v>
      </c>
      <c r="I65" s="282">
        <v>0.7</v>
      </c>
      <c r="J65" s="282">
        <v>0.8</v>
      </c>
      <c r="K65" s="282">
        <v>0.9</v>
      </c>
      <c r="L65" s="119">
        <v>1</v>
      </c>
    </row>
    <row r="66" spans="2:12" s="430" customFormat="1">
      <c r="B66" s="122" cm="1">
        <f t="array" aca="1" ref="B66:L75" ca="1">_xll.d.Stats_GBM_GetPaths(B49,10)</f>
        <v>100</v>
      </c>
      <c r="C66" s="311">
        <f ca="1"/>
        <v>112.6929779805306</v>
      </c>
      <c r="D66" s="311">
        <f ca="1"/>
        <v>117.24716655737942</v>
      </c>
      <c r="E66" s="311">
        <f ca="1"/>
        <v>108.26763068757349</v>
      </c>
      <c r="F66" s="311">
        <f ca="1"/>
        <v>125.32603660529847</v>
      </c>
      <c r="G66" s="311">
        <f ca="1"/>
        <v>136.65417529848267</v>
      </c>
      <c r="H66" s="311">
        <f ca="1"/>
        <v>144.56761429931453</v>
      </c>
      <c r="I66" s="311">
        <f ca="1"/>
        <v>148.64200205217077</v>
      </c>
      <c r="J66" s="311">
        <f ca="1"/>
        <v>146.78303230854092</v>
      </c>
      <c r="K66" s="311">
        <f ca="1"/>
        <v>161.08465470992135</v>
      </c>
      <c r="L66" s="123">
        <f ca="1"/>
        <v>156.47338663574342</v>
      </c>
    </row>
    <row r="67" spans="2:12" s="430" customFormat="1">
      <c r="B67" s="124">
        <f ca="1"/>
        <v>100</v>
      </c>
      <c r="C67" s="270">
        <f ca="1"/>
        <v>106.20311725165914</v>
      </c>
      <c r="D67" s="270">
        <f ca="1"/>
        <v>102.20943901631647</v>
      </c>
      <c r="E67" s="270">
        <f ca="1"/>
        <v>98.991981601405513</v>
      </c>
      <c r="F67" s="270">
        <f ca="1"/>
        <v>104.80140711902466</v>
      </c>
      <c r="G67" s="270">
        <f ca="1"/>
        <v>106.70192036772536</v>
      </c>
      <c r="H67" s="270">
        <f ca="1"/>
        <v>110.8714821078088</v>
      </c>
      <c r="I67" s="270">
        <f ca="1"/>
        <v>114.70022520323197</v>
      </c>
      <c r="J67" s="270">
        <f ca="1"/>
        <v>119.8275821308154</v>
      </c>
      <c r="K67" s="270">
        <f ca="1"/>
        <v>130.79190493953817</v>
      </c>
      <c r="L67" s="125">
        <f ca="1"/>
        <v>145.32410136373346</v>
      </c>
    </row>
    <row r="68" spans="2:12" s="430" customFormat="1">
      <c r="B68" s="124">
        <f ca="1"/>
        <v>100</v>
      </c>
      <c r="C68" s="270">
        <f ca="1"/>
        <v>107.30690946532944</v>
      </c>
      <c r="D68" s="270">
        <f ca="1"/>
        <v>108.23169283076916</v>
      </c>
      <c r="E68" s="270">
        <f ca="1"/>
        <v>121.9681913601806</v>
      </c>
      <c r="F68" s="270">
        <f ca="1"/>
        <v>115.00917523309431</v>
      </c>
      <c r="G68" s="270">
        <f ca="1"/>
        <v>110.46470141167778</v>
      </c>
      <c r="H68" s="270">
        <f ca="1"/>
        <v>105.78722443720044</v>
      </c>
      <c r="I68" s="270">
        <f ca="1"/>
        <v>99.58306800829925</v>
      </c>
      <c r="J68" s="270">
        <f ca="1"/>
        <v>107.36489667078351</v>
      </c>
      <c r="K68" s="270">
        <f ca="1"/>
        <v>111.71457235886282</v>
      </c>
      <c r="L68" s="125">
        <f ca="1"/>
        <v>115.13244501896013</v>
      </c>
    </row>
    <row r="69" spans="2:12" s="430" customFormat="1">
      <c r="B69" s="124">
        <f ca="1"/>
        <v>100</v>
      </c>
      <c r="C69" s="270">
        <f ca="1"/>
        <v>99.973821916910424</v>
      </c>
      <c r="D69" s="270">
        <f ca="1"/>
        <v>110.95679352835757</v>
      </c>
      <c r="E69" s="270">
        <f ca="1"/>
        <v>115.917975316869</v>
      </c>
      <c r="F69" s="270">
        <f ca="1"/>
        <v>123.22902151268261</v>
      </c>
      <c r="G69" s="270">
        <f ca="1"/>
        <v>129.48256203095843</v>
      </c>
      <c r="H69" s="270">
        <f ca="1"/>
        <v>130.05726437971703</v>
      </c>
      <c r="I69" s="270">
        <f ca="1"/>
        <v>132.15903498015538</v>
      </c>
      <c r="J69" s="270">
        <f ca="1"/>
        <v>135.08219224104121</v>
      </c>
      <c r="K69" s="270">
        <f ca="1"/>
        <v>141.44368281644498</v>
      </c>
      <c r="L69" s="125">
        <f ca="1"/>
        <v>140.24093717236326</v>
      </c>
    </row>
    <row r="70" spans="2:12" s="430" customFormat="1">
      <c r="B70" s="124">
        <f ca="1"/>
        <v>100</v>
      </c>
      <c r="C70" s="270">
        <f ca="1"/>
        <v>112.62391932004769</v>
      </c>
      <c r="D70" s="270">
        <f ca="1"/>
        <v>129.84470538918023</v>
      </c>
      <c r="E70" s="270">
        <f ca="1"/>
        <v>124.97274475474198</v>
      </c>
      <c r="F70" s="270">
        <f ca="1"/>
        <v>123.60245409139549</v>
      </c>
      <c r="G70" s="270">
        <f ca="1"/>
        <v>130.17863992616412</v>
      </c>
      <c r="H70" s="270">
        <f ca="1"/>
        <v>132.81708409568233</v>
      </c>
      <c r="I70" s="270">
        <f ca="1"/>
        <v>134.36130291930672</v>
      </c>
      <c r="J70" s="270">
        <f ca="1"/>
        <v>118.76412078158417</v>
      </c>
      <c r="K70" s="270">
        <f ca="1"/>
        <v>121.60137562910347</v>
      </c>
      <c r="L70" s="125">
        <f ca="1"/>
        <v>119.77811354025859</v>
      </c>
    </row>
    <row r="71" spans="2:12" s="430" customFormat="1">
      <c r="B71" s="124">
        <f ca="1"/>
        <v>100</v>
      </c>
      <c r="C71" s="270">
        <f ca="1"/>
        <v>93.611156501494591</v>
      </c>
      <c r="D71" s="270">
        <f ca="1"/>
        <v>102.86605007133542</v>
      </c>
      <c r="E71" s="270">
        <f ca="1"/>
        <v>107.82328800578506</v>
      </c>
      <c r="F71" s="270">
        <f ca="1"/>
        <v>111.93679385742246</v>
      </c>
      <c r="G71" s="270">
        <f ca="1"/>
        <v>123.82084009725493</v>
      </c>
      <c r="H71" s="270">
        <f ca="1"/>
        <v>118.20237752560651</v>
      </c>
      <c r="I71" s="270">
        <f ca="1"/>
        <v>117.30948787073933</v>
      </c>
      <c r="J71" s="270">
        <f ca="1"/>
        <v>107.78014743329393</v>
      </c>
      <c r="K71" s="270">
        <f ca="1"/>
        <v>122.65665139329967</v>
      </c>
      <c r="L71" s="125">
        <f ca="1"/>
        <v>125.64592485499205</v>
      </c>
    </row>
    <row r="72" spans="2:12" s="430" customFormat="1">
      <c r="B72" s="124">
        <f ca="1"/>
        <v>100</v>
      </c>
      <c r="C72" s="270">
        <f ca="1"/>
        <v>96.067007324689044</v>
      </c>
      <c r="D72" s="270">
        <f ca="1"/>
        <v>98.258186192446601</v>
      </c>
      <c r="E72" s="270">
        <f ca="1"/>
        <v>90.343160736022199</v>
      </c>
      <c r="F72" s="270">
        <f ca="1"/>
        <v>88.995935320725437</v>
      </c>
      <c r="G72" s="270">
        <f ca="1"/>
        <v>82.060924328295116</v>
      </c>
      <c r="H72" s="270">
        <f ca="1"/>
        <v>76.544924971481194</v>
      </c>
      <c r="I72" s="270">
        <f ca="1"/>
        <v>81.811389878624681</v>
      </c>
      <c r="J72" s="270">
        <f ca="1"/>
        <v>79.836413667539475</v>
      </c>
      <c r="K72" s="270">
        <f ca="1"/>
        <v>82.256957798502924</v>
      </c>
      <c r="L72" s="125">
        <f ca="1"/>
        <v>84.825745063560561</v>
      </c>
    </row>
    <row r="73" spans="2:12" s="430" customFormat="1">
      <c r="B73" s="124">
        <f ca="1"/>
        <v>100</v>
      </c>
      <c r="C73" s="270">
        <f ca="1"/>
        <v>95.036612007704264</v>
      </c>
      <c r="D73" s="270">
        <f ca="1"/>
        <v>90.43958695743865</v>
      </c>
      <c r="E73" s="270">
        <f ca="1"/>
        <v>92.006075426636315</v>
      </c>
      <c r="F73" s="270">
        <f ca="1"/>
        <v>92.208397027643187</v>
      </c>
      <c r="G73" s="270">
        <f ca="1"/>
        <v>96.408422540873474</v>
      </c>
      <c r="H73" s="270">
        <f ca="1"/>
        <v>94.068123944618563</v>
      </c>
      <c r="I73" s="270">
        <f ca="1"/>
        <v>104.91669081825556</v>
      </c>
      <c r="J73" s="270">
        <f ca="1"/>
        <v>110.76897779230671</v>
      </c>
      <c r="K73" s="270">
        <f ca="1"/>
        <v>113.74311840117606</v>
      </c>
      <c r="L73" s="125">
        <f ca="1"/>
        <v>120.1116207616239</v>
      </c>
    </row>
    <row r="74" spans="2:12" s="430" customFormat="1">
      <c r="B74" s="124">
        <f ca="1"/>
        <v>100</v>
      </c>
      <c r="C74" s="270">
        <f ca="1"/>
        <v>98.380150262041624</v>
      </c>
      <c r="D74" s="270">
        <f ca="1"/>
        <v>96.477013538992225</v>
      </c>
      <c r="E74" s="270">
        <f ca="1"/>
        <v>93.666142065127502</v>
      </c>
      <c r="F74" s="270">
        <f ca="1"/>
        <v>99.827758040030972</v>
      </c>
      <c r="G74" s="270">
        <f ca="1"/>
        <v>105.93214547644536</v>
      </c>
      <c r="H74" s="270">
        <f ca="1"/>
        <v>100.13794065062848</v>
      </c>
      <c r="I74" s="270">
        <f ca="1"/>
        <v>102.10066063208906</v>
      </c>
      <c r="J74" s="270">
        <f ca="1"/>
        <v>99.559425940111083</v>
      </c>
      <c r="K74" s="270">
        <f ca="1"/>
        <v>95.452175052368219</v>
      </c>
      <c r="L74" s="125">
        <f ca="1"/>
        <v>92.041215413990443</v>
      </c>
    </row>
    <row r="75" spans="2:12" s="430" customFormat="1">
      <c r="B75" s="126">
        <f ca="1"/>
        <v>100</v>
      </c>
      <c r="C75" s="190">
        <f ca="1"/>
        <v>113.01708951022714</v>
      </c>
      <c r="D75" s="190">
        <f ca="1"/>
        <v>122.17056642226918</v>
      </c>
      <c r="E75" s="190">
        <f ca="1"/>
        <v>121.8187166608521</v>
      </c>
      <c r="F75" s="190">
        <f ca="1"/>
        <v>127.01828265279947</v>
      </c>
      <c r="G75" s="190">
        <f ca="1"/>
        <v>127.5309686153615</v>
      </c>
      <c r="H75" s="190">
        <f ca="1"/>
        <v>128.6901020579721</v>
      </c>
      <c r="I75" s="190">
        <f ca="1"/>
        <v>135.2162988146099</v>
      </c>
      <c r="J75" s="190">
        <f ca="1"/>
        <v>139.87256725477758</v>
      </c>
      <c r="K75" s="190">
        <f ca="1"/>
        <v>155.9980754454252</v>
      </c>
      <c r="L75" s="127">
        <f ca="1"/>
        <v>149.67296738530837</v>
      </c>
    </row>
    <row r="76" spans="2:12" s="430" customFormat="1"/>
    <row r="77" spans="2:12" s="430" customFormat="1"/>
    <row r="78" spans="2:12" s="430" customFormat="1"/>
    <row r="79" spans="2:12" s="430" customFormat="1"/>
    <row r="80" spans="2:12" s="430" customFormat="1"/>
    <row r="81" s="430" customFormat="1"/>
    <row r="82" s="430" customFormat="1"/>
    <row r="83" s="430" customFormat="1"/>
    <row r="84" s="430" customFormat="1"/>
    <row r="85" s="430" customFormat="1"/>
    <row r="86" s="430" customFormat="1"/>
    <row r="87" s="430" customFormat="1"/>
    <row r="88" s="430" customFormat="1"/>
    <row r="89" s="430" customFormat="1"/>
    <row r="90" s="430" customFormat="1"/>
    <row r="91" s="430" customFormat="1"/>
    <row r="92" s="430" customFormat="1"/>
    <row r="93" s="430" customFormat="1"/>
    <row r="94" s="430" customFormat="1"/>
    <row r="95" s="430" customFormat="1"/>
    <row r="96" s="430" customFormat="1"/>
    <row r="97" s="430" customFormat="1"/>
    <row r="98" s="430" customFormat="1"/>
    <row r="99" s="430" customFormat="1"/>
    <row r="100" s="430" customFormat="1"/>
    <row r="101" s="430" customFormat="1"/>
    <row r="102" s="430" customFormat="1"/>
    <row r="103" s="430" customFormat="1"/>
    <row r="104" s="430" customFormat="1"/>
    <row r="105" s="430" customFormat="1"/>
    <row r="106" s="430" customFormat="1"/>
    <row r="107" s="430" customFormat="1"/>
    <row r="108" s="430" customFormat="1"/>
    <row r="109" s="430" customFormat="1"/>
    <row r="110" s="430" customFormat="1"/>
    <row r="111" s="430" customFormat="1"/>
    <row r="112" s="430" customFormat="1"/>
    <row r="113" s="430" customFormat="1"/>
    <row r="114" s="430" customFormat="1"/>
    <row r="115" s="430" customFormat="1"/>
    <row r="116" s="430" customFormat="1"/>
    <row r="117" s="430" customFormat="1"/>
    <row r="118" s="430" customFormat="1"/>
    <row r="119" s="430" customFormat="1"/>
    <row r="120" s="430" customFormat="1"/>
    <row r="121" s="430" customFormat="1"/>
    <row r="122" s="430" customFormat="1"/>
    <row r="123" s="430" customFormat="1"/>
    <row r="124" s="430" customFormat="1"/>
    <row r="125" s="430" customFormat="1"/>
    <row r="126" s="430" customFormat="1"/>
    <row r="127" s="430" customFormat="1"/>
    <row r="128" s="430" customFormat="1"/>
    <row r="129" s="430" customFormat="1"/>
    <row r="130" s="430" customFormat="1"/>
    <row r="131" s="430" customFormat="1"/>
    <row r="132" s="430" customFormat="1"/>
    <row r="133" s="430" customFormat="1"/>
    <row r="134" s="430" customFormat="1"/>
    <row r="135" s="430" customFormat="1"/>
    <row r="136" s="430" customFormat="1"/>
    <row r="137" s="430" customFormat="1"/>
    <row r="138" s="430" customFormat="1"/>
    <row r="139" s="430" customFormat="1"/>
    <row r="140" s="430" customFormat="1"/>
    <row r="141" s="430" customFormat="1"/>
    <row r="142" s="430" customFormat="1"/>
    <row r="143" s="430" customFormat="1"/>
    <row r="144" s="430" customFormat="1"/>
    <row r="145" s="430" customFormat="1"/>
    <row r="146" s="430" customFormat="1"/>
    <row r="147" s="430" customFormat="1"/>
    <row r="148" s="430" customFormat="1"/>
    <row r="149" s="430" customFormat="1"/>
    <row r="150" s="430" customFormat="1"/>
    <row r="151" s="430" customFormat="1"/>
    <row r="152" s="430" customFormat="1"/>
    <row r="153" s="430" customFormat="1"/>
    <row r="154" s="430" customFormat="1"/>
    <row r="155" s="430" customFormat="1"/>
    <row r="156" s="430" customFormat="1"/>
    <row r="157" s="430" customFormat="1"/>
    <row r="158" s="430" customFormat="1"/>
    <row r="159" s="430" customFormat="1"/>
    <row r="160" s="430" customFormat="1"/>
    <row r="161" s="430" customFormat="1"/>
    <row r="162" s="430" customFormat="1"/>
    <row r="163" s="430" customFormat="1"/>
    <row r="164" s="430" customFormat="1"/>
    <row r="165" s="430" customFormat="1"/>
    <row r="166" s="430" customFormat="1"/>
    <row r="167" s="430" customFormat="1"/>
    <row r="168" s="430" customFormat="1"/>
    <row r="169" s="430" customFormat="1"/>
    <row r="170" s="430" customFormat="1"/>
    <row r="171" s="430" customFormat="1"/>
    <row r="172" s="430" customFormat="1"/>
    <row r="173" s="430" customFormat="1"/>
    <row r="174" s="430" customFormat="1"/>
    <row r="175" s="430" customFormat="1"/>
    <row r="176" s="430" customFormat="1"/>
    <row r="177" s="430" customFormat="1"/>
    <row r="178" s="430" customFormat="1"/>
    <row r="179" s="430" customFormat="1"/>
    <row r="180" s="430" customFormat="1"/>
    <row r="181" s="430" customFormat="1"/>
    <row r="182" s="430" customFormat="1"/>
    <row r="183" s="430" customFormat="1"/>
    <row r="184" s="430" customFormat="1"/>
    <row r="185" s="430" customFormat="1"/>
    <row r="186" s="430" customFormat="1"/>
    <row r="187" s="430" customFormat="1"/>
    <row r="188" s="430" customFormat="1"/>
    <row r="189" s="430" customFormat="1"/>
    <row r="190" s="430" customFormat="1"/>
    <row r="191" s="430" customFormat="1"/>
    <row r="192" s="430" customFormat="1"/>
    <row r="193" s="430" customFormat="1"/>
    <row r="194" s="430" customFormat="1"/>
    <row r="195" s="430" customFormat="1"/>
    <row r="196" s="430" customFormat="1"/>
    <row r="197" s="430" customFormat="1"/>
    <row r="198" s="430" customFormat="1"/>
    <row r="199" s="430" customFormat="1"/>
    <row r="200" s="430" customFormat="1"/>
    <row r="201" s="430" customFormat="1"/>
    <row r="202" s="430" customFormat="1"/>
    <row r="203" s="430" customFormat="1"/>
    <row r="204" s="430" customFormat="1"/>
    <row r="205" s="430" customFormat="1"/>
    <row r="206" s="430" customFormat="1"/>
    <row r="207" s="430" customFormat="1"/>
    <row r="208" s="430" customFormat="1"/>
    <row r="209" s="430" customFormat="1"/>
    <row r="210" s="430" customFormat="1"/>
    <row r="211" s="430" customFormat="1"/>
    <row r="212" s="430" customFormat="1"/>
    <row r="213" s="430" customFormat="1"/>
    <row r="214" s="430" customFormat="1"/>
    <row r="215" s="430" customFormat="1"/>
    <row r="216" s="430" customFormat="1"/>
    <row r="217" s="430" customFormat="1"/>
    <row r="218" s="430" customFormat="1"/>
    <row r="219" s="430" customFormat="1"/>
    <row r="220" s="430" customFormat="1"/>
    <row r="221" s="430" customFormat="1"/>
    <row r="222" s="430" customFormat="1"/>
    <row r="223" s="430" customFormat="1"/>
    <row r="224" s="430" customFormat="1"/>
    <row r="225" s="430" customFormat="1"/>
    <row r="226" s="430" customFormat="1"/>
    <row r="227" s="430" customFormat="1"/>
    <row r="228" s="430" customFormat="1"/>
    <row r="229" s="430" customFormat="1"/>
    <row r="230" s="430" customFormat="1"/>
    <row r="231" s="430" customFormat="1"/>
    <row r="232" s="430" customFormat="1"/>
    <row r="233" s="430" customFormat="1"/>
    <row r="234" s="430" customFormat="1"/>
    <row r="235" s="430" customFormat="1"/>
    <row r="236" s="430" customFormat="1"/>
    <row r="237" s="430" customFormat="1"/>
    <row r="238" s="430" customFormat="1"/>
    <row r="239" s="430" customFormat="1"/>
    <row r="240" s="430" customFormat="1"/>
    <row r="241" s="430" customFormat="1"/>
    <row r="242" s="430" customFormat="1"/>
    <row r="243" s="430" customFormat="1"/>
    <row r="244" s="430" customFormat="1"/>
    <row r="245" s="430" customFormat="1"/>
    <row r="246" s="430" customFormat="1"/>
    <row r="247" s="430" customFormat="1"/>
    <row r="248" s="430" customFormat="1"/>
    <row r="249" s="430" customFormat="1"/>
    <row r="250" s="430" customFormat="1"/>
    <row r="251" s="430" customFormat="1"/>
    <row r="252" s="430" customFormat="1"/>
    <row r="253" s="430" customFormat="1"/>
    <row r="254" s="430" customFormat="1"/>
    <row r="255" s="430" customFormat="1"/>
    <row r="256" s="430" customFormat="1"/>
    <row r="257" s="430" customFormat="1"/>
    <row r="258" s="430" customFormat="1"/>
    <row r="259" s="430" customFormat="1"/>
    <row r="260" s="430" customFormat="1"/>
    <row r="261" s="430" customFormat="1"/>
    <row r="262" s="430" customFormat="1"/>
    <row r="263" s="430" customFormat="1"/>
    <row r="264" s="430" customFormat="1"/>
    <row r="265" s="430" customFormat="1"/>
    <row r="266" s="430" customFormat="1"/>
    <row r="267" s="430" customFormat="1"/>
    <row r="268" s="430" customFormat="1"/>
    <row r="269" s="430" customFormat="1"/>
    <row r="270" s="430" customFormat="1"/>
    <row r="271" s="430" customFormat="1"/>
    <row r="272" s="430" customFormat="1"/>
    <row r="273" spans="2:52" s="430" customFormat="1"/>
    <row r="274" spans="2:52" s="430" customFormat="1"/>
    <row r="275" spans="2:52" s="430" customFormat="1"/>
    <row r="276" spans="2:52" s="430" customFormat="1"/>
    <row r="277" spans="2:52" s="430" customFormat="1"/>
    <row r="278" spans="2:52" s="430" customFormat="1"/>
    <row r="279" spans="2:52" s="430" customFormat="1"/>
    <row r="280" spans="2:52" s="430" customFormat="1"/>
    <row r="281" spans="2:52" s="430" customFormat="1"/>
    <row r="282" spans="2:52" s="430" customFormat="1"/>
    <row r="283" spans="2:52" s="430" customFormat="1"/>
    <row r="284" spans="2:52" ht="18.75">
      <c r="B284" s="3" t="s">
        <v>349</v>
      </c>
      <c r="C284" s="297"/>
      <c r="D284" s="297"/>
      <c r="E284" s="297"/>
      <c r="F284" s="297"/>
      <c r="G284" s="297"/>
      <c r="H284" s="297"/>
      <c r="I284" s="297"/>
      <c r="J284" s="297"/>
      <c r="K284" s="297"/>
      <c r="L284" s="297"/>
      <c r="M284" s="297"/>
      <c r="N284" s="297"/>
      <c r="O284" s="297"/>
      <c r="P284" s="297"/>
      <c r="Q284" s="297"/>
      <c r="R284" s="297"/>
      <c r="S284" s="297"/>
      <c r="T284" s="297"/>
      <c r="U284" s="297"/>
      <c r="V284" s="297"/>
      <c r="W284" s="297"/>
      <c r="X284" s="297"/>
      <c r="Y284" s="297"/>
      <c r="Z284" s="297"/>
      <c r="AA284" s="297"/>
      <c r="AB284" s="297"/>
      <c r="AC284" s="297"/>
      <c r="AD284" s="297"/>
      <c r="AE284" s="297"/>
      <c r="AF284" s="297"/>
      <c r="AG284" s="297"/>
      <c r="AH284" s="297"/>
      <c r="AI284" s="297"/>
      <c r="AJ284" s="297"/>
      <c r="AK284" s="297"/>
      <c r="AL284" s="297"/>
      <c r="AM284" s="297"/>
      <c r="AN284" s="297"/>
      <c r="AO284" s="297"/>
      <c r="AP284" s="297"/>
      <c r="AQ284" s="297"/>
      <c r="AR284" s="297"/>
      <c r="AS284" s="297"/>
      <c r="AT284" s="297"/>
      <c r="AU284" s="297"/>
      <c r="AV284" s="297"/>
      <c r="AW284" s="297"/>
      <c r="AX284" s="297"/>
      <c r="AY284" s="297"/>
      <c r="AZ284" s="297"/>
    </row>
    <row r="286" spans="2:52">
      <c r="B286" s="50" t="s">
        <v>139</v>
      </c>
      <c r="C286" s="291" t="str" cm="1">
        <f t="array" aca="1" ref="C286" ca="1">_xll.d.TestUtils_And(J295:K295,S295:T295,AD295:AE295)</f>
        <v>Ok</v>
      </c>
      <c r="D286" s="289"/>
      <c r="E286" s="289"/>
      <c r="F286" s="289"/>
      <c r="G286" s="289"/>
      <c r="H286" s="289"/>
      <c r="I286" s="289"/>
      <c r="J286" s="289"/>
      <c r="K286" s="289"/>
    </row>
    <row r="287" spans="2:52">
      <c r="B287" s="289"/>
      <c r="C287" s="289"/>
      <c r="D287" s="289"/>
      <c r="E287" s="289"/>
      <c r="F287" s="289"/>
      <c r="G287" s="289"/>
      <c r="H287" s="289"/>
      <c r="I287" s="290"/>
      <c r="J287" s="290"/>
      <c r="K287" s="290"/>
    </row>
    <row r="288" spans="2:52" ht="15.75">
      <c r="B288" s="4" t="s">
        <v>361</v>
      </c>
      <c r="C288" s="298"/>
      <c r="D288" s="298"/>
      <c r="E288" s="298"/>
      <c r="F288" s="298"/>
      <c r="G288" s="298"/>
      <c r="H288" s="298"/>
      <c r="I288" s="298"/>
      <c r="J288" s="298"/>
      <c r="K288" s="298"/>
      <c r="M288" s="4" t="s">
        <v>362</v>
      </c>
      <c r="N288" s="298"/>
      <c r="O288" s="298"/>
      <c r="P288" s="298"/>
      <c r="Q288" s="298"/>
      <c r="R288" s="298"/>
      <c r="S288" s="298"/>
      <c r="T288" s="298"/>
      <c r="V288" s="4" t="s">
        <v>464</v>
      </c>
      <c r="W288" s="298"/>
      <c r="X288" s="298"/>
      <c r="Y288" s="298"/>
      <c r="Z288" s="298"/>
      <c r="AA288" s="298"/>
      <c r="AB288" s="298"/>
      <c r="AC288" s="298"/>
      <c r="AD288" s="298"/>
      <c r="AE288" s="298"/>
    </row>
    <row r="289" spans="2:31">
      <c r="B289" s="472" t="s">
        <v>469</v>
      </c>
      <c r="V289" s="472" t="s">
        <v>468</v>
      </c>
      <c r="W289" s="430"/>
      <c r="X289" s="430"/>
      <c r="Y289" s="430"/>
      <c r="Z289" s="430"/>
      <c r="AA289" s="430"/>
      <c r="AB289" s="430"/>
      <c r="AC289" s="430"/>
      <c r="AD289" s="430"/>
      <c r="AE289" s="430"/>
    </row>
    <row r="290" spans="2:31" s="430" customFormat="1">
      <c r="B290" s="472" t="s">
        <v>466</v>
      </c>
      <c r="V290" s="472" t="s">
        <v>467</v>
      </c>
    </row>
    <row r="291" spans="2:31">
      <c r="B291" s="394" t="s">
        <v>212</v>
      </c>
      <c r="D291" s="120" t="s">
        <v>113</v>
      </c>
      <c r="E291" s="191"/>
      <c r="F291" s="191"/>
      <c r="G291" s="191"/>
      <c r="H291" s="121"/>
      <c r="J291" s="120" t="s">
        <v>359</v>
      </c>
      <c r="K291" s="121" t="s">
        <v>360</v>
      </c>
      <c r="M291" s="120" t="s">
        <v>113</v>
      </c>
      <c r="N291" s="191"/>
      <c r="O291" s="191"/>
      <c r="P291" s="191"/>
      <c r="Q291" s="121"/>
      <c r="S291" s="120" t="s">
        <v>359</v>
      </c>
      <c r="T291" s="121" t="s">
        <v>360</v>
      </c>
      <c r="V291" s="394" t="s">
        <v>212</v>
      </c>
      <c r="W291" s="430"/>
      <c r="X291" s="120" t="s">
        <v>113</v>
      </c>
      <c r="Y291" s="191"/>
      <c r="Z291" s="191"/>
      <c r="AA291" s="191"/>
      <c r="AB291" s="121"/>
      <c r="AC291" s="430"/>
      <c r="AD291" s="120" t="s">
        <v>359</v>
      </c>
      <c r="AE291" s="121" t="s">
        <v>360</v>
      </c>
    </row>
    <row r="292" spans="2:31">
      <c r="B292" s="395" t="s">
        <v>358</v>
      </c>
      <c r="D292" s="122">
        <f t="array" aca="1" ref="D292:H331" ca="1">_xll.d.Stats_NormalRandomNumbers(B293)</f>
        <v>-0.63711590014289476</v>
      </c>
      <c r="E292" s="311">
        <f ca="1"/>
        <v>0.70685522048944815</v>
      </c>
      <c r="F292" s="311">
        <f ca="1"/>
        <v>-0.31907668375768672</v>
      </c>
      <c r="G292" s="311">
        <f ca="1"/>
        <v>-0.40991003456258013</v>
      </c>
      <c r="H292" s="123">
        <f ca="1"/>
        <v>0.59461000541069997</v>
      </c>
      <c r="J292" s="396">
        <f ca="1">AVERAGE(D292:H331)</f>
        <v>9.2097931892436341E-2</v>
      </c>
      <c r="K292" s="329">
        <f ca="1">_xlfn.STDEV.S(D292:H331)</f>
        <v>0.96390177576967329</v>
      </c>
      <c r="M292" s="122">
        <f t="array" aca="1" ref="M292:Q331" ca="1">_xll.d.Stats_NormalRandomNumbers()</f>
        <v>0.12266422347557041</v>
      </c>
      <c r="N292" s="311">
        <f ca="1"/>
        <v>2.0260143493047735</v>
      </c>
      <c r="O292" s="311">
        <f ca="1"/>
        <v>-0.3597744598482463</v>
      </c>
      <c r="P292" s="311">
        <f ca="1"/>
        <v>-0.99870179068510367</v>
      </c>
      <c r="Q292" s="123">
        <f ca="1"/>
        <v>-0.47334600318902004</v>
      </c>
      <c r="S292" s="396">
        <f ca="1">AVERAGE(M292:Q331)</f>
        <v>4.7218542374995965E-3</v>
      </c>
      <c r="T292" s="329">
        <f ca="1">_xlfn.STDEV.S(M292:Q331)</f>
        <v>0.98785286456205679</v>
      </c>
      <c r="V292" s="395" t="s">
        <v>358</v>
      </c>
      <c r="W292" s="430"/>
      <c r="X292" s="122" cm="1">
        <f t="array" aca="1" ref="X292:AB331" ca="1">_xll.d.Stats_NormalRandomNumbers(V293,40,5)</f>
        <v>-0.63711590014289476</v>
      </c>
      <c r="Y292" s="311">
        <f ca="1"/>
        <v>0.70685522048944815</v>
      </c>
      <c r="Z292" s="311">
        <f ca="1"/>
        <v>-0.31907668375768672</v>
      </c>
      <c r="AA292" s="311">
        <f ca="1"/>
        <v>-0.40991003456258013</v>
      </c>
      <c r="AB292" s="123">
        <f ca="1"/>
        <v>0.59461000541069997</v>
      </c>
      <c r="AC292" s="430"/>
      <c r="AD292" s="396">
        <f ca="1">AVERAGE(X292:AB331)</f>
        <v>9.2097931892436341E-2</v>
      </c>
      <c r="AE292" s="329">
        <f ca="1">_xlfn.STDEV.S(X292:AB331)</f>
        <v>0.96390177576967329</v>
      </c>
    </row>
    <row r="293" spans="2:31">
      <c r="B293" s="397">
        <v>1337</v>
      </c>
      <c r="D293" s="124">
        <f ca="1"/>
        <v>0.15231246463563991</v>
      </c>
      <c r="E293" s="270">
        <f ca="1"/>
        <v>-0.33198021492010854</v>
      </c>
      <c r="F293" s="270">
        <f ca="1"/>
        <v>0.33468800840166441</v>
      </c>
      <c r="G293" s="270">
        <f ca="1"/>
        <v>2.1988514227094039E-2</v>
      </c>
      <c r="H293" s="125">
        <f ca="1"/>
        <v>-1.570800215687598</v>
      </c>
      <c r="M293" s="124">
        <f ca="1"/>
        <v>0.23486854106592239</v>
      </c>
      <c r="N293" s="270">
        <f ca="1"/>
        <v>-6.6203161185735923E-2</v>
      </c>
      <c r="O293" s="270">
        <f ca="1"/>
        <v>0.2873124687136604</v>
      </c>
      <c r="P293" s="270">
        <f ca="1"/>
        <v>-0.41790683497977721</v>
      </c>
      <c r="Q293" s="125">
        <f ca="1"/>
        <v>1.1773691096913981</v>
      </c>
      <c r="V293" s="397">
        <v>1337</v>
      </c>
      <c r="W293" s="430"/>
      <c r="X293" s="124">
        <f ca="1"/>
        <v>0.15231246463563991</v>
      </c>
      <c r="Y293" s="270">
        <f ca="1"/>
        <v>-0.33198021492010854</v>
      </c>
      <c r="Z293" s="270">
        <f ca="1"/>
        <v>0.33468800840166441</v>
      </c>
      <c r="AA293" s="270">
        <f ca="1"/>
        <v>2.1988514227094039E-2</v>
      </c>
      <c r="AB293" s="125">
        <f ca="1"/>
        <v>-1.570800215687598</v>
      </c>
      <c r="AC293" s="430"/>
      <c r="AD293" s="430"/>
      <c r="AE293" s="430"/>
    </row>
    <row r="294" spans="2:31">
      <c r="D294" s="124">
        <f ca="1"/>
        <v>-0.9998813019474484</v>
      </c>
      <c r="E294" s="270">
        <f ca="1"/>
        <v>-0.88600131746401845</v>
      </c>
      <c r="F294" s="270">
        <f ca="1"/>
        <v>0.50499676151927686</v>
      </c>
      <c r="G294" s="270">
        <f ca="1"/>
        <v>0.59135175634258896</v>
      </c>
      <c r="H294" s="125">
        <f ca="1"/>
        <v>0.81695537082956271</v>
      </c>
      <c r="J294" s="120" t="s">
        <v>67</v>
      </c>
      <c r="K294" s="120"/>
      <c r="M294" s="124">
        <f ca="1"/>
        <v>0.56860936194591039</v>
      </c>
      <c r="N294" s="270">
        <f ca="1"/>
        <v>0.83861948605974246</v>
      </c>
      <c r="O294" s="270">
        <f ca="1"/>
        <v>-0.15849862338941334</v>
      </c>
      <c r="P294" s="270">
        <f ca="1"/>
        <v>-1.2245355120079864</v>
      </c>
      <c r="Q294" s="125">
        <f ca="1"/>
        <v>-0.21659244148250961</v>
      </c>
      <c r="S294" s="120" t="s">
        <v>67</v>
      </c>
      <c r="T294" s="120"/>
      <c r="V294" s="430"/>
      <c r="W294" s="430"/>
      <c r="X294" s="124">
        <f ca="1"/>
        <v>-0.9998813019474484</v>
      </c>
      <c r="Y294" s="270">
        <f ca="1"/>
        <v>-0.88600131746401845</v>
      </c>
      <c r="Z294" s="270">
        <f ca="1"/>
        <v>0.50499676151927686</v>
      </c>
      <c r="AA294" s="270">
        <f ca="1"/>
        <v>0.59135175634258896</v>
      </c>
      <c r="AB294" s="125">
        <f ca="1"/>
        <v>0.81695537082956271</v>
      </c>
      <c r="AC294" s="430"/>
      <c r="AD294" s="120" t="s">
        <v>67</v>
      </c>
      <c r="AE294" s="120"/>
    </row>
    <row r="295" spans="2:31">
      <c r="D295" s="124">
        <f ca="1"/>
        <v>-0.79747485963926357</v>
      </c>
      <c r="E295" s="270">
        <f ca="1"/>
        <v>-6.1108551057670997E-2</v>
      </c>
      <c r="F295" s="270">
        <f ca="1"/>
        <v>0.863608628387463</v>
      </c>
      <c r="G295" s="270">
        <f ca="1"/>
        <v>-1.0507271193416956</v>
      </c>
      <c r="H295" s="125">
        <f ca="1"/>
        <v>0.4991414877992304</v>
      </c>
      <c r="J295" s="301" t="str" cm="1">
        <f t="array" aca="1" ref="J295" ca="1">_xll.d.TestUtils_Equal(ABS(J292-0)&lt;0.1,TRUE)</f>
        <v>Ok</v>
      </c>
      <c r="K295" s="301" t="str" cm="1">
        <f t="array" aca="1" ref="K295" ca="1">_xll.d.TestUtils_Equal(ABS(K292-1)&lt;0.1,TRUE)</f>
        <v>Ok</v>
      </c>
      <c r="M295" s="124">
        <f ca="1"/>
        <v>1.0121454543304982</v>
      </c>
      <c r="N295" s="270">
        <f ca="1"/>
        <v>0.84487883078025894</v>
      </c>
      <c r="O295" s="270">
        <f ca="1"/>
        <v>1.2950504002461061</v>
      </c>
      <c r="P295" s="270">
        <f ca="1"/>
        <v>0.45307414049496852</v>
      </c>
      <c r="Q295" s="125">
        <f ca="1"/>
        <v>1.3933001203930773</v>
      </c>
      <c r="S295" s="301" t="str" cm="1">
        <f t="array" aca="1" ref="S295" ca="1">_xll.d.TestUtils_Equal(ABS(S292-0)&lt;0.1,TRUE)</f>
        <v>Ok</v>
      </c>
      <c r="T295" s="301" t="str" cm="1">
        <f t="array" aca="1" ref="T295" ca="1">_xll.d.TestUtils_Equal(ABS(T292-1)&lt;0.1,TRUE)</f>
        <v>Ok</v>
      </c>
      <c r="V295" s="430"/>
      <c r="W295" s="430"/>
      <c r="X295" s="124">
        <f ca="1"/>
        <v>-0.79747485963926357</v>
      </c>
      <c r="Y295" s="270">
        <f ca="1"/>
        <v>-6.1108551057670997E-2</v>
      </c>
      <c r="Z295" s="270">
        <f ca="1"/>
        <v>0.863608628387463</v>
      </c>
      <c r="AA295" s="270">
        <f ca="1"/>
        <v>-1.0507271193416956</v>
      </c>
      <c r="AB295" s="125">
        <f ca="1"/>
        <v>0.4991414877992304</v>
      </c>
      <c r="AC295" s="430"/>
      <c r="AD295" s="301" t="str" cm="1">
        <f t="array" aca="1" ref="AD295" ca="1">_xll.d.TestUtils_Equal(ABS(AD292-0)&lt;0.1,TRUE)</f>
        <v>Ok</v>
      </c>
      <c r="AE295" s="301" t="str" cm="1">
        <f t="array" aca="1" ref="AE295" ca="1">_xll.d.TestUtils_Equal(ABS(AE292-1)&lt;0.1,TRUE)</f>
        <v>Ok</v>
      </c>
    </row>
    <row r="296" spans="2:31">
      <c r="D296" s="124">
        <f ca="1"/>
        <v>-0.5884160994078016</v>
      </c>
      <c r="E296" s="270">
        <f ca="1"/>
        <v>-0.55874715130596764</v>
      </c>
      <c r="F296" s="270">
        <f ca="1"/>
        <v>-2.7587630599172877</v>
      </c>
      <c r="G296" s="270">
        <f ca="1"/>
        <v>-2.2939473468112239</v>
      </c>
      <c r="H296" s="125">
        <f ca="1"/>
        <v>-0.38120894845031827</v>
      </c>
      <c r="M296" s="124">
        <f ca="1"/>
        <v>0.26050629623141941</v>
      </c>
      <c r="N296" s="270">
        <f ca="1"/>
        <v>-9.6707447133391369E-2</v>
      </c>
      <c r="O296" s="270">
        <f ca="1"/>
        <v>0.51759967418338659</v>
      </c>
      <c r="P296" s="270">
        <f ca="1"/>
        <v>0.40246639382141203</v>
      </c>
      <c r="Q296" s="125">
        <f ca="1"/>
        <v>-1.5208598870893701</v>
      </c>
      <c r="V296" s="430"/>
      <c r="W296" s="430"/>
      <c r="X296" s="124">
        <f ca="1"/>
        <v>-0.5884160994078016</v>
      </c>
      <c r="Y296" s="270">
        <f ca="1"/>
        <v>-0.55874715130596764</v>
      </c>
      <c r="Z296" s="270">
        <f ca="1"/>
        <v>-2.7587630599172877</v>
      </c>
      <c r="AA296" s="270">
        <f ca="1"/>
        <v>-2.2939473468112239</v>
      </c>
      <c r="AB296" s="125">
        <f ca="1"/>
        <v>-0.38120894845031827</v>
      </c>
      <c r="AC296" s="430"/>
      <c r="AD296" s="430"/>
      <c r="AE296" s="430"/>
    </row>
    <row r="297" spans="2:31">
      <c r="D297" s="124">
        <f ca="1"/>
        <v>0.10819798524690837</v>
      </c>
      <c r="E297" s="270">
        <f ca="1"/>
        <v>1.0965073943909254</v>
      </c>
      <c r="F297" s="270">
        <f ca="1"/>
        <v>0.46240265761130123</v>
      </c>
      <c r="G297" s="270">
        <f ca="1"/>
        <v>0.48984251587331651</v>
      </c>
      <c r="H297" s="125">
        <f ca="1"/>
        <v>-2.25076658419695</v>
      </c>
      <c r="M297" s="124">
        <f ca="1"/>
        <v>1.0711349389745428</v>
      </c>
      <c r="N297" s="270">
        <f ca="1"/>
        <v>5.1351992091935056E-2</v>
      </c>
      <c r="O297" s="270">
        <f ca="1"/>
        <v>-1.2856629896340797</v>
      </c>
      <c r="P297" s="270">
        <f ca="1"/>
        <v>-0.47553809167663869</v>
      </c>
      <c r="Q297" s="125">
        <f ca="1"/>
        <v>-0.78297078820803756</v>
      </c>
      <c r="V297" s="430"/>
      <c r="W297" s="430"/>
      <c r="X297" s="124">
        <f ca="1"/>
        <v>0.10819798524690837</v>
      </c>
      <c r="Y297" s="270">
        <f ca="1"/>
        <v>1.0965073943909254</v>
      </c>
      <c r="Z297" s="270">
        <f ca="1"/>
        <v>0.46240265761130123</v>
      </c>
      <c r="AA297" s="270">
        <f ca="1"/>
        <v>0.48984251587331651</v>
      </c>
      <c r="AB297" s="125">
        <f ca="1"/>
        <v>-2.25076658419695</v>
      </c>
      <c r="AC297" s="430"/>
      <c r="AD297" s="430"/>
      <c r="AE297" s="430"/>
    </row>
    <row r="298" spans="2:31">
      <c r="D298" s="124">
        <f ca="1"/>
        <v>-0.10215483425175563</v>
      </c>
      <c r="E298" s="270">
        <f ca="1"/>
        <v>0.44051757578957157</v>
      </c>
      <c r="F298" s="270">
        <f ca="1"/>
        <v>-0.33389589259671326</v>
      </c>
      <c r="G298" s="270">
        <f ca="1"/>
        <v>0.70615194140562998</v>
      </c>
      <c r="H298" s="125">
        <f ca="1"/>
        <v>1.3386245087251876</v>
      </c>
      <c r="M298" s="124">
        <f ca="1"/>
        <v>0.11274383783052491</v>
      </c>
      <c r="N298" s="270">
        <f ca="1"/>
        <v>0.77398164003109893</v>
      </c>
      <c r="O298" s="270">
        <f ca="1"/>
        <v>-1.5528836522498293</v>
      </c>
      <c r="P298" s="270">
        <f ca="1"/>
        <v>-1.0885193500170471</v>
      </c>
      <c r="Q298" s="125">
        <f ca="1"/>
        <v>0.50286987657510207</v>
      </c>
      <c r="V298" s="430"/>
      <c r="W298" s="430"/>
      <c r="X298" s="124">
        <f ca="1"/>
        <v>-0.10215483425175563</v>
      </c>
      <c r="Y298" s="270">
        <f ca="1"/>
        <v>0.44051757578957157</v>
      </c>
      <c r="Z298" s="270">
        <f ca="1"/>
        <v>-0.33389589259671326</v>
      </c>
      <c r="AA298" s="270">
        <f ca="1"/>
        <v>0.70615194140562998</v>
      </c>
      <c r="AB298" s="125">
        <f ca="1"/>
        <v>1.3386245087251876</v>
      </c>
      <c r="AC298" s="430"/>
      <c r="AD298" s="430"/>
      <c r="AE298" s="430"/>
    </row>
    <row r="299" spans="2:31">
      <c r="D299" s="124">
        <f ca="1"/>
        <v>-1.8253861328037648</v>
      </c>
      <c r="E299" s="270">
        <f ca="1"/>
        <v>-0.24037216180075424</v>
      </c>
      <c r="F299" s="270">
        <f ca="1"/>
        <v>1.028058069270616</v>
      </c>
      <c r="G299" s="270">
        <f ca="1"/>
        <v>1.2259167836294167</v>
      </c>
      <c r="H299" s="125">
        <f ca="1"/>
        <v>-0.33280389867021648</v>
      </c>
      <c r="M299" s="124">
        <f ca="1"/>
        <v>1.0247174529864618</v>
      </c>
      <c r="N299" s="270">
        <f ca="1"/>
        <v>0.46456788825317025</v>
      </c>
      <c r="O299" s="270">
        <f ca="1"/>
        <v>1.8779948997892317</v>
      </c>
      <c r="P299" s="270">
        <f ca="1"/>
        <v>0.7666173840357986</v>
      </c>
      <c r="Q299" s="125">
        <f ca="1"/>
        <v>0.16413830370427598</v>
      </c>
      <c r="V299" s="430"/>
      <c r="W299" s="430"/>
      <c r="X299" s="124">
        <f ca="1"/>
        <v>-1.8253861328037648</v>
      </c>
      <c r="Y299" s="270">
        <f ca="1"/>
        <v>-0.24037216180075424</v>
      </c>
      <c r="Z299" s="270">
        <f ca="1"/>
        <v>1.028058069270616</v>
      </c>
      <c r="AA299" s="270">
        <f ca="1"/>
        <v>1.2259167836294167</v>
      </c>
      <c r="AB299" s="125">
        <f ca="1"/>
        <v>-0.33280389867021648</v>
      </c>
      <c r="AC299" s="430"/>
      <c r="AD299" s="430"/>
      <c r="AE299" s="430"/>
    </row>
    <row r="300" spans="2:31">
      <c r="D300" s="124">
        <f ca="1"/>
        <v>-0.46490277119672319</v>
      </c>
      <c r="E300" s="270">
        <f ca="1"/>
        <v>-8.8166823894022877E-4</v>
      </c>
      <c r="F300" s="270">
        <f ca="1"/>
        <v>-1.5659571515789519</v>
      </c>
      <c r="G300" s="270">
        <f ca="1"/>
        <v>0.44378998344608472</v>
      </c>
      <c r="H300" s="125">
        <f ca="1"/>
        <v>0.56184004420843314</v>
      </c>
      <c r="M300" s="124">
        <f ca="1"/>
        <v>-0.19255231433210082</v>
      </c>
      <c r="N300" s="270">
        <f ca="1"/>
        <v>-1.1836570492378735</v>
      </c>
      <c r="O300" s="270">
        <f ca="1"/>
        <v>0.43100246597129827</v>
      </c>
      <c r="P300" s="270">
        <f ca="1"/>
        <v>-0.8538922151022309</v>
      </c>
      <c r="Q300" s="125">
        <f ca="1"/>
        <v>0.16772820889067627</v>
      </c>
      <c r="V300" s="430"/>
      <c r="W300" s="430"/>
      <c r="X300" s="124">
        <f ca="1"/>
        <v>-0.46490277119672319</v>
      </c>
      <c r="Y300" s="270">
        <f ca="1"/>
        <v>-8.8166823894022877E-4</v>
      </c>
      <c r="Z300" s="270">
        <f ca="1"/>
        <v>-1.5659571515789519</v>
      </c>
      <c r="AA300" s="270">
        <f ca="1"/>
        <v>0.44378998344608472</v>
      </c>
      <c r="AB300" s="125">
        <f ca="1"/>
        <v>0.56184004420843314</v>
      </c>
      <c r="AC300" s="430"/>
      <c r="AD300" s="430"/>
      <c r="AE300" s="430"/>
    </row>
    <row r="301" spans="2:31">
      <c r="D301" s="124">
        <f ca="1"/>
        <v>-0.72121450340504112</v>
      </c>
      <c r="E301" s="270">
        <f ca="1"/>
        <v>-0.14969739262215401</v>
      </c>
      <c r="F301" s="270">
        <f ca="1"/>
        <v>0.70609350471998489</v>
      </c>
      <c r="G301" s="270">
        <f ca="1"/>
        <v>9.6224928363146583E-2</v>
      </c>
      <c r="H301" s="125">
        <f ca="1"/>
        <v>0.2296039222600787</v>
      </c>
      <c r="M301" s="124">
        <f ca="1"/>
        <v>0.31485387088312511</v>
      </c>
      <c r="N301" s="270">
        <f ca="1"/>
        <v>0.58472194344902539</v>
      </c>
      <c r="O301" s="270">
        <f ca="1"/>
        <v>0.39381187617256991</v>
      </c>
      <c r="P301" s="270">
        <f ca="1"/>
        <v>1.6407087043700077</v>
      </c>
      <c r="Q301" s="125">
        <f ca="1"/>
        <v>1.1035350664825012</v>
      </c>
      <c r="V301" s="430"/>
      <c r="W301" s="430"/>
      <c r="X301" s="124">
        <f ca="1"/>
        <v>-0.72121450340504112</v>
      </c>
      <c r="Y301" s="270">
        <f ca="1"/>
        <v>-0.14969739262215401</v>
      </c>
      <c r="Z301" s="270">
        <f ca="1"/>
        <v>0.70609350471998489</v>
      </c>
      <c r="AA301" s="270">
        <f ca="1"/>
        <v>9.6224928363146583E-2</v>
      </c>
      <c r="AB301" s="125">
        <f ca="1"/>
        <v>0.2296039222600787</v>
      </c>
      <c r="AC301" s="430"/>
      <c r="AD301" s="430"/>
      <c r="AE301" s="430"/>
    </row>
    <row r="302" spans="2:31">
      <c r="D302" s="124">
        <f ca="1"/>
        <v>4.6120309846438508E-2</v>
      </c>
      <c r="E302" s="270">
        <f ca="1"/>
        <v>-0.92083350795883689</v>
      </c>
      <c r="F302" s="270">
        <f ca="1"/>
        <v>0.80411972151375544</v>
      </c>
      <c r="G302" s="270">
        <f ca="1"/>
        <v>-0.8762556877814629</v>
      </c>
      <c r="H302" s="125">
        <f ca="1"/>
        <v>1.2660233063563722</v>
      </c>
      <c r="M302" s="124">
        <f ca="1"/>
        <v>0.37425881531768923</v>
      </c>
      <c r="N302" s="270">
        <f ca="1"/>
        <v>0.35824768314912758</v>
      </c>
      <c r="O302" s="270">
        <f ca="1"/>
        <v>0.44167520776730484</v>
      </c>
      <c r="P302" s="270">
        <f ca="1"/>
        <v>-0.33523167286972566</v>
      </c>
      <c r="Q302" s="125">
        <f ca="1"/>
        <v>-0.6268173301884129</v>
      </c>
      <c r="V302" s="430"/>
      <c r="W302" s="430"/>
      <c r="X302" s="124">
        <f ca="1"/>
        <v>4.6120309846438508E-2</v>
      </c>
      <c r="Y302" s="270">
        <f ca="1"/>
        <v>-0.92083350795883689</v>
      </c>
      <c r="Z302" s="270">
        <f ca="1"/>
        <v>0.80411972151375544</v>
      </c>
      <c r="AA302" s="270">
        <f ca="1"/>
        <v>-0.8762556877814629</v>
      </c>
      <c r="AB302" s="125">
        <f ca="1"/>
        <v>1.2660233063563722</v>
      </c>
      <c r="AC302" s="430"/>
      <c r="AD302" s="430"/>
      <c r="AE302" s="430"/>
    </row>
    <row r="303" spans="2:31">
      <c r="D303" s="124">
        <f ca="1"/>
        <v>0.23298387080043784</v>
      </c>
      <c r="E303" s="270">
        <f ca="1"/>
        <v>-1.0764899712107359</v>
      </c>
      <c r="F303" s="270">
        <f ca="1"/>
        <v>1.7547755576057253</v>
      </c>
      <c r="G303" s="270">
        <f ca="1"/>
        <v>0.72810708935373014</v>
      </c>
      <c r="H303" s="125">
        <f ca="1"/>
        <v>-4.9122462980273743E-2</v>
      </c>
      <c r="M303" s="124">
        <f ca="1"/>
        <v>-0.2939927852261236</v>
      </c>
      <c r="N303" s="270">
        <f ca="1"/>
        <v>0.20706330738635537</v>
      </c>
      <c r="O303" s="270">
        <f ca="1"/>
        <v>-0.95057695384843033</v>
      </c>
      <c r="P303" s="270">
        <f ca="1"/>
        <v>0.41936929060152378</v>
      </c>
      <c r="Q303" s="125">
        <f ca="1"/>
        <v>2.248374531742604E-2</v>
      </c>
      <c r="V303" s="430"/>
      <c r="W303" s="430"/>
      <c r="X303" s="124">
        <f ca="1"/>
        <v>0.23298387080043784</v>
      </c>
      <c r="Y303" s="270">
        <f ca="1"/>
        <v>-1.0764899712107359</v>
      </c>
      <c r="Z303" s="270">
        <f ca="1"/>
        <v>1.7547755576057253</v>
      </c>
      <c r="AA303" s="270">
        <f ca="1"/>
        <v>0.72810708935373014</v>
      </c>
      <c r="AB303" s="125">
        <f ca="1"/>
        <v>-4.9122462980273743E-2</v>
      </c>
      <c r="AC303" s="430"/>
      <c r="AD303" s="430"/>
      <c r="AE303" s="430"/>
    </row>
    <row r="304" spans="2:31">
      <c r="D304" s="124">
        <f ca="1"/>
        <v>-0.63736695093064755</v>
      </c>
      <c r="E304" s="270">
        <f ca="1"/>
        <v>-0.21947173866600425</v>
      </c>
      <c r="F304" s="270">
        <f ca="1"/>
        <v>-0.3859436116857301</v>
      </c>
      <c r="G304" s="270">
        <f ca="1"/>
        <v>0.43017177828252023</v>
      </c>
      <c r="H304" s="125">
        <f ca="1"/>
        <v>-0.20136053851420513</v>
      </c>
      <c r="M304" s="124">
        <f ca="1"/>
        <v>-0.15708936381720576</v>
      </c>
      <c r="N304" s="270">
        <f ca="1"/>
        <v>-1.0653743242702789</v>
      </c>
      <c r="O304" s="270">
        <f ca="1"/>
        <v>-0.80509454519587287</v>
      </c>
      <c r="P304" s="270">
        <f ca="1"/>
        <v>0.91915684812891307</v>
      </c>
      <c r="Q304" s="125">
        <f ca="1"/>
        <v>5.8307248146102324E-2</v>
      </c>
      <c r="V304" s="430"/>
      <c r="W304" s="430"/>
      <c r="X304" s="124">
        <f ca="1"/>
        <v>-0.63736695093064755</v>
      </c>
      <c r="Y304" s="270">
        <f ca="1"/>
        <v>-0.21947173866600425</v>
      </c>
      <c r="Z304" s="270">
        <f ca="1"/>
        <v>-0.3859436116857301</v>
      </c>
      <c r="AA304" s="270">
        <f ca="1"/>
        <v>0.43017177828252023</v>
      </c>
      <c r="AB304" s="125">
        <f ca="1"/>
        <v>-0.20136053851420513</v>
      </c>
      <c r="AC304" s="430"/>
      <c r="AD304" s="430"/>
      <c r="AE304" s="430"/>
    </row>
    <row r="305" spans="4:31">
      <c r="D305" s="124">
        <f ca="1"/>
        <v>-0.42607435867377447</v>
      </c>
      <c r="E305" s="270">
        <f ca="1"/>
        <v>0.91605467339775526</v>
      </c>
      <c r="F305" s="270">
        <f ca="1"/>
        <v>-1.6169891726572032</v>
      </c>
      <c r="G305" s="270">
        <f ca="1"/>
        <v>-9.9853780857881491E-2</v>
      </c>
      <c r="H305" s="125">
        <f ca="1"/>
        <v>-0.83075713527444417</v>
      </c>
      <c r="M305" s="124">
        <f ca="1"/>
        <v>-0.53150451916000441</v>
      </c>
      <c r="N305" s="270">
        <f ca="1"/>
        <v>9.3818238275564306E-2</v>
      </c>
      <c r="O305" s="270">
        <f ca="1"/>
        <v>-0.36340235823986</v>
      </c>
      <c r="P305" s="270">
        <f ca="1"/>
        <v>-2.2094510474666582</v>
      </c>
      <c r="Q305" s="125">
        <f ca="1"/>
        <v>1.3833613776168325</v>
      </c>
      <c r="V305" s="430"/>
      <c r="W305" s="430"/>
      <c r="X305" s="124">
        <f ca="1"/>
        <v>-0.42607435867377447</v>
      </c>
      <c r="Y305" s="270">
        <f ca="1"/>
        <v>0.91605467339775526</v>
      </c>
      <c r="Z305" s="270">
        <f ca="1"/>
        <v>-1.6169891726572032</v>
      </c>
      <c r="AA305" s="270">
        <f ca="1"/>
        <v>-9.9853780857881491E-2</v>
      </c>
      <c r="AB305" s="125">
        <f ca="1"/>
        <v>-0.83075713527444417</v>
      </c>
      <c r="AC305" s="430"/>
      <c r="AD305" s="430"/>
      <c r="AE305" s="430"/>
    </row>
    <row r="306" spans="4:31">
      <c r="D306" s="124">
        <f ca="1"/>
        <v>1.9788808392213517</v>
      </c>
      <c r="E306" s="270">
        <f ca="1"/>
        <v>-0.8444992802006771</v>
      </c>
      <c r="F306" s="270">
        <f ca="1"/>
        <v>0.53167290579956916</v>
      </c>
      <c r="G306" s="270">
        <f ca="1"/>
        <v>1.3476990609315769</v>
      </c>
      <c r="H306" s="125">
        <f ca="1"/>
        <v>-8.1515249102279419E-2</v>
      </c>
      <c r="M306" s="124">
        <f ca="1"/>
        <v>1.2360122870119385</v>
      </c>
      <c r="N306" s="270">
        <f ca="1"/>
        <v>1.5952239593837385</v>
      </c>
      <c r="O306" s="270">
        <f ca="1"/>
        <v>-1.1314812360535402</v>
      </c>
      <c r="P306" s="270">
        <f ca="1"/>
        <v>-1.2982467961229738</v>
      </c>
      <c r="Q306" s="125">
        <f ca="1"/>
        <v>-1.3168735554115905</v>
      </c>
      <c r="V306" s="430"/>
      <c r="W306" s="430"/>
      <c r="X306" s="124">
        <f ca="1"/>
        <v>1.9788808392213517</v>
      </c>
      <c r="Y306" s="270">
        <f ca="1"/>
        <v>-0.8444992802006771</v>
      </c>
      <c r="Z306" s="270">
        <f ca="1"/>
        <v>0.53167290579956916</v>
      </c>
      <c r="AA306" s="270">
        <f ca="1"/>
        <v>1.3476990609315769</v>
      </c>
      <c r="AB306" s="125">
        <f ca="1"/>
        <v>-8.1515249102279419E-2</v>
      </c>
      <c r="AC306" s="430"/>
      <c r="AD306" s="430"/>
      <c r="AE306" s="430"/>
    </row>
    <row r="307" spans="4:31">
      <c r="D307" s="124">
        <f ca="1"/>
        <v>-0.61135617247427165</v>
      </c>
      <c r="E307" s="270">
        <f ca="1"/>
        <v>1.2682963768981825</v>
      </c>
      <c r="F307" s="270">
        <f ca="1"/>
        <v>6.5443228707294687E-2</v>
      </c>
      <c r="G307" s="270">
        <f ca="1"/>
        <v>0.43254942321321643</v>
      </c>
      <c r="H307" s="125">
        <f ca="1"/>
        <v>0.42060061179352987</v>
      </c>
      <c r="M307" s="124">
        <f ca="1"/>
        <v>-1.5829803137914036</v>
      </c>
      <c r="N307" s="270">
        <f ca="1"/>
        <v>0.70185633990212082</v>
      </c>
      <c r="O307" s="270">
        <f ca="1"/>
        <v>0.67665051211608307</v>
      </c>
      <c r="P307" s="270">
        <f ca="1"/>
        <v>0.31296426265648503</v>
      </c>
      <c r="Q307" s="125">
        <f ca="1"/>
        <v>1.4129012007575132</v>
      </c>
      <c r="V307" s="430"/>
      <c r="W307" s="430"/>
      <c r="X307" s="124">
        <f ca="1"/>
        <v>-0.61135617247427165</v>
      </c>
      <c r="Y307" s="270">
        <f ca="1"/>
        <v>1.2682963768981825</v>
      </c>
      <c r="Z307" s="270">
        <f ca="1"/>
        <v>6.5443228707294687E-2</v>
      </c>
      <c r="AA307" s="270">
        <f ca="1"/>
        <v>0.43254942321321643</v>
      </c>
      <c r="AB307" s="125">
        <f ca="1"/>
        <v>0.42060061179352987</v>
      </c>
      <c r="AC307" s="430"/>
      <c r="AD307" s="430"/>
      <c r="AE307" s="430"/>
    </row>
    <row r="308" spans="4:31">
      <c r="D308" s="124">
        <f ca="1"/>
        <v>0.62134768002507634</v>
      </c>
      <c r="E308" s="270">
        <f ca="1"/>
        <v>7.9542410013188777E-2</v>
      </c>
      <c r="F308" s="270">
        <f ca="1"/>
        <v>-2.1987215358931604E-2</v>
      </c>
      <c r="G308" s="270">
        <f ca="1"/>
        <v>-0.98579270828865395</v>
      </c>
      <c r="H308" s="125">
        <f ca="1"/>
        <v>1.3042580425018544</v>
      </c>
      <c r="M308" s="124">
        <f ca="1"/>
        <v>1.7948696412447682</v>
      </c>
      <c r="N308" s="270">
        <f ca="1"/>
        <v>5.4793042142818014E-2</v>
      </c>
      <c r="O308" s="270">
        <f ca="1"/>
        <v>-0.48052138707036213</v>
      </c>
      <c r="P308" s="270">
        <f ca="1"/>
        <v>0.98604672095167512</v>
      </c>
      <c r="Q308" s="125">
        <f ca="1"/>
        <v>0.19153430097807242</v>
      </c>
      <c r="V308" s="430"/>
      <c r="W308" s="430"/>
      <c r="X308" s="124">
        <f ca="1"/>
        <v>0.62134768002507634</v>
      </c>
      <c r="Y308" s="270">
        <f ca="1"/>
        <v>7.9542410013188777E-2</v>
      </c>
      <c r="Z308" s="270">
        <f ca="1"/>
        <v>-2.1987215358931604E-2</v>
      </c>
      <c r="AA308" s="270">
        <f ca="1"/>
        <v>-0.98579270828865395</v>
      </c>
      <c r="AB308" s="125">
        <f ca="1"/>
        <v>1.3042580425018544</v>
      </c>
      <c r="AC308" s="430"/>
      <c r="AD308" s="430"/>
      <c r="AE308" s="430"/>
    </row>
    <row r="309" spans="4:31">
      <c r="D309" s="124">
        <f ca="1"/>
        <v>-0.50308335820540317</v>
      </c>
      <c r="E309" s="270">
        <f ca="1"/>
        <v>1.4640300463756799</v>
      </c>
      <c r="F309" s="270">
        <f ca="1"/>
        <v>0.46256721575986759</v>
      </c>
      <c r="G309" s="270">
        <f ca="1"/>
        <v>0.13757711286725449</v>
      </c>
      <c r="H309" s="125">
        <f ca="1"/>
        <v>1.903663328597879</v>
      </c>
      <c r="M309" s="124">
        <f ca="1"/>
        <v>-0.60479895355841384</v>
      </c>
      <c r="N309" s="270">
        <f ca="1"/>
        <v>-1.2485896144281661</v>
      </c>
      <c r="O309" s="270">
        <f ca="1"/>
        <v>0.27366943766787372</v>
      </c>
      <c r="P309" s="270">
        <f ca="1"/>
        <v>0.45004119380308644</v>
      </c>
      <c r="Q309" s="125">
        <f ca="1"/>
        <v>-1.3844360616948774</v>
      </c>
      <c r="V309" s="430"/>
      <c r="W309" s="430"/>
      <c r="X309" s="124">
        <f ca="1"/>
        <v>-0.50308335820540317</v>
      </c>
      <c r="Y309" s="270">
        <f ca="1"/>
        <v>1.4640300463756799</v>
      </c>
      <c r="Z309" s="270">
        <f ca="1"/>
        <v>0.46256721575986759</v>
      </c>
      <c r="AA309" s="270">
        <f ca="1"/>
        <v>0.13757711286725449</v>
      </c>
      <c r="AB309" s="125">
        <f ca="1"/>
        <v>1.903663328597879</v>
      </c>
      <c r="AC309" s="430"/>
      <c r="AD309" s="430"/>
      <c r="AE309" s="430"/>
    </row>
    <row r="310" spans="4:31">
      <c r="D310" s="124">
        <f ca="1"/>
        <v>-1.198947290104817</v>
      </c>
      <c r="E310" s="270">
        <f ca="1"/>
        <v>0.96357590104857871</v>
      </c>
      <c r="F310" s="270">
        <f ca="1"/>
        <v>1.9247923185797389</v>
      </c>
      <c r="G310" s="270">
        <f ca="1"/>
        <v>1.3443248184039669</v>
      </c>
      <c r="H310" s="125">
        <f ca="1"/>
        <v>0.34126673979749322</v>
      </c>
      <c r="M310" s="124">
        <f ca="1"/>
        <v>-0.29645445691204342</v>
      </c>
      <c r="N310" s="270">
        <f ca="1"/>
        <v>-0.21556879453095484</v>
      </c>
      <c r="O310" s="270">
        <f ca="1"/>
        <v>-0.34855748958572064</v>
      </c>
      <c r="P310" s="270">
        <f ca="1"/>
        <v>-1.3041078808768987</v>
      </c>
      <c r="Q310" s="125">
        <f ca="1"/>
        <v>1.4705694003542786</v>
      </c>
      <c r="V310" s="430"/>
      <c r="W310" s="430"/>
      <c r="X310" s="124">
        <f ca="1"/>
        <v>-1.198947290104817</v>
      </c>
      <c r="Y310" s="270">
        <f ca="1"/>
        <v>0.96357590104857871</v>
      </c>
      <c r="Z310" s="270">
        <f ca="1"/>
        <v>1.9247923185797389</v>
      </c>
      <c r="AA310" s="270">
        <f ca="1"/>
        <v>1.3443248184039669</v>
      </c>
      <c r="AB310" s="125">
        <f ca="1"/>
        <v>0.34126673979749322</v>
      </c>
      <c r="AC310" s="430"/>
      <c r="AD310" s="430"/>
      <c r="AE310" s="430"/>
    </row>
    <row r="311" spans="4:31">
      <c r="D311" s="124">
        <f ca="1"/>
        <v>0.85011456561901899</v>
      </c>
      <c r="E311" s="270">
        <f ca="1"/>
        <v>0.30429192596407545</v>
      </c>
      <c r="F311" s="270">
        <f ca="1"/>
        <v>0.67152742633508133</v>
      </c>
      <c r="G311" s="270">
        <f ca="1"/>
        <v>0.80782203516718254</v>
      </c>
      <c r="H311" s="125">
        <f ca="1"/>
        <v>-8.2646524328612386E-2</v>
      </c>
      <c r="M311" s="124">
        <f ca="1"/>
        <v>-5.601454099387887E-2</v>
      </c>
      <c r="N311" s="270">
        <f ca="1"/>
        <v>-6.6222296794066063E-2</v>
      </c>
      <c r="O311" s="270">
        <f ca="1"/>
        <v>-0.45363097528494672</v>
      </c>
      <c r="P311" s="270">
        <f ca="1"/>
        <v>1.9101803048964361</v>
      </c>
      <c r="Q311" s="125">
        <f ca="1"/>
        <v>-0.58963239539706591</v>
      </c>
      <c r="V311" s="430"/>
      <c r="W311" s="430"/>
      <c r="X311" s="124">
        <f ca="1"/>
        <v>0.85011456561901899</v>
      </c>
      <c r="Y311" s="270">
        <f ca="1"/>
        <v>0.30429192596407545</v>
      </c>
      <c r="Z311" s="270">
        <f ca="1"/>
        <v>0.67152742633508133</v>
      </c>
      <c r="AA311" s="270">
        <f ca="1"/>
        <v>0.80782203516718254</v>
      </c>
      <c r="AB311" s="125">
        <f ca="1"/>
        <v>-8.2646524328612386E-2</v>
      </c>
      <c r="AC311" s="430"/>
      <c r="AD311" s="430"/>
      <c r="AE311" s="430"/>
    </row>
    <row r="312" spans="4:31">
      <c r="D312" s="124">
        <f ca="1"/>
        <v>-0.28904080804777654</v>
      </c>
      <c r="E312" s="270">
        <f ca="1"/>
        <v>-0.89553364635263466</v>
      </c>
      <c r="F312" s="270">
        <f ca="1"/>
        <v>0.9780203880833418</v>
      </c>
      <c r="G312" s="270">
        <f ca="1"/>
        <v>-0.45554694662875511</v>
      </c>
      <c r="H312" s="125">
        <f ca="1"/>
        <v>8.2384361896065766E-2</v>
      </c>
      <c r="M312" s="124">
        <f ca="1"/>
        <v>0.81242129145400976</v>
      </c>
      <c r="N312" s="270">
        <f ca="1"/>
        <v>-0.62936332454492938</v>
      </c>
      <c r="O312" s="270">
        <f ca="1"/>
        <v>0.17687516295823891</v>
      </c>
      <c r="P312" s="270">
        <f ca="1"/>
        <v>1.9855701869412921</v>
      </c>
      <c r="Q312" s="125">
        <f ca="1"/>
        <v>-0.47170424056666821</v>
      </c>
      <c r="V312" s="430"/>
      <c r="W312" s="430"/>
      <c r="X312" s="124">
        <f ca="1"/>
        <v>-0.28904080804777654</v>
      </c>
      <c r="Y312" s="270">
        <f ca="1"/>
        <v>-0.89553364635263466</v>
      </c>
      <c r="Z312" s="270">
        <f ca="1"/>
        <v>0.9780203880833418</v>
      </c>
      <c r="AA312" s="270">
        <f ca="1"/>
        <v>-0.45554694662875511</v>
      </c>
      <c r="AB312" s="125">
        <f ca="1"/>
        <v>8.2384361896065766E-2</v>
      </c>
      <c r="AC312" s="430"/>
      <c r="AD312" s="430"/>
      <c r="AE312" s="430"/>
    </row>
    <row r="313" spans="4:31">
      <c r="D313" s="124">
        <f ca="1"/>
        <v>-1.3097052116291188</v>
      </c>
      <c r="E313" s="270">
        <f ca="1"/>
        <v>1.7215300670511962</v>
      </c>
      <c r="F313" s="270">
        <f ca="1"/>
        <v>9.7776697591451453E-2</v>
      </c>
      <c r="G313" s="270">
        <f ca="1"/>
        <v>1.1490936456210052</v>
      </c>
      <c r="H313" s="125">
        <f ca="1"/>
        <v>-2.069075586550726</v>
      </c>
      <c r="M313" s="124">
        <f ca="1"/>
        <v>0.88591645744064973</v>
      </c>
      <c r="N313" s="270">
        <f ca="1"/>
        <v>-0.89149310470618126</v>
      </c>
      <c r="O313" s="270">
        <f ca="1"/>
        <v>-1.7692578677541684</v>
      </c>
      <c r="P313" s="270">
        <f ca="1"/>
        <v>1.1660034196083535</v>
      </c>
      <c r="Q313" s="125">
        <f ca="1"/>
        <v>-2.3511914329550483</v>
      </c>
      <c r="V313" s="430"/>
      <c r="W313" s="430"/>
      <c r="X313" s="124">
        <f ca="1"/>
        <v>-1.3097052116291188</v>
      </c>
      <c r="Y313" s="270">
        <f ca="1"/>
        <v>1.7215300670511962</v>
      </c>
      <c r="Z313" s="270">
        <f ca="1"/>
        <v>9.7776697591451453E-2</v>
      </c>
      <c r="AA313" s="270">
        <f ca="1"/>
        <v>1.1490936456210052</v>
      </c>
      <c r="AB313" s="125">
        <f ca="1"/>
        <v>-2.069075586550726</v>
      </c>
      <c r="AC313" s="430"/>
      <c r="AD313" s="430"/>
      <c r="AE313" s="430"/>
    </row>
    <row r="314" spans="4:31">
      <c r="D314" s="124">
        <f ca="1"/>
        <v>0.32788629545256831</v>
      </c>
      <c r="E314" s="270">
        <f ca="1"/>
        <v>1.720830635000675</v>
      </c>
      <c r="F314" s="270">
        <f ca="1"/>
        <v>0.27993766822148569</v>
      </c>
      <c r="G314" s="270">
        <f ca="1"/>
        <v>0.52525898259965065</v>
      </c>
      <c r="H314" s="125">
        <f ca="1"/>
        <v>-0.71433261283908289</v>
      </c>
      <c r="M314" s="124">
        <f ca="1"/>
        <v>7.249226999462359E-2</v>
      </c>
      <c r="N314" s="270">
        <f ca="1"/>
        <v>0.75286236290794595</v>
      </c>
      <c r="O314" s="270">
        <f ca="1"/>
        <v>-0.15451583480191308</v>
      </c>
      <c r="P314" s="270">
        <f ca="1"/>
        <v>-7.8660836787310617E-2</v>
      </c>
      <c r="Q314" s="125">
        <f ca="1"/>
        <v>0.43277360942751136</v>
      </c>
      <c r="V314" s="430"/>
      <c r="W314" s="430"/>
      <c r="X314" s="124">
        <f ca="1"/>
        <v>0.32788629545256831</v>
      </c>
      <c r="Y314" s="270">
        <f ca="1"/>
        <v>1.720830635000675</v>
      </c>
      <c r="Z314" s="270">
        <f ca="1"/>
        <v>0.27993766822148569</v>
      </c>
      <c r="AA314" s="270">
        <f ca="1"/>
        <v>0.52525898259965065</v>
      </c>
      <c r="AB314" s="125">
        <f ca="1"/>
        <v>-0.71433261283908289</v>
      </c>
      <c r="AC314" s="430"/>
      <c r="AD314" s="430"/>
      <c r="AE314" s="430"/>
    </row>
    <row r="315" spans="4:31">
      <c r="D315" s="124">
        <f ca="1"/>
        <v>-0.35007770185857218</v>
      </c>
      <c r="E315" s="270">
        <f ca="1"/>
        <v>1.1800027393927328</v>
      </c>
      <c r="F315" s="270">
        <f ca="1"/>
        <v>-0.62779716766341387</v>
      </c>
      <c r="G315" s="270">
        <f ca="1"/>
        <v>1.0849418236383948</v>
      </c>
      <c r="H315" s="125">
        <f ca="1"/>
        <v>-0.6285170754115107</v>
      </c>
      <c r="M315" s="124">
        <f ca="1"/>
        <v>-5.02108783691224E-2</v>
      </c>
      <c r="N315" s="270">
        <f ca="1"/>
        <v>0.63387309695275007</v>
      </c>
      <c r="O315" s="270">
        <f ca="1"/>
        <v>0.34319483017443847</v>
      </c>
      <c r="P315" s="270">
        <f ca="1"/>
        <v>2.4127062990016889E-2</v>
      </c>
      <c r="Q315" s="125">
        <f ca="1"/>
        <v>1.0041302391154621</v>
      </c>
      <c r="V315" s="430"/>
      <c r="W315" s="430"/>
      <c r="X315" s="124">
        <f ca="1"/>
        <v>-0.35007770185857218</v>
      </c>
      <c r="Y315" s="270">
        <f ca="1"/>
        <v>1.1800027393927328</v>
      </c>
      <c r="Z315" s="270">
        <f ca="1"/>
        <v>-0.62779716766341387</v>
      </c>
      <c r="AA315" s="270">
        <f ca="1"/>
        <v>1.0849418236383948</v>
      </c>
      <c r="AB315" s="125">
        <f ca="1"/>
        <v>-0.6285170754115107</v>
      </c>
      <c r="AC315" s="430"/>
      <c r="AD315" s="430"/>
      <c r="AE315" s="430"/>
    </row>
    <row r="316" spans="4:31">
      <c r="D316" s="124">
        <f ca="1"/>
        <v>-1.1500680545803554</v>
      </c>
      <c r="E316" s="270">
        <f ca="1"/>
        <v>-0.18806037521523697</v>
      </c>
      <c r="F316" s="270">
        <f ca="1"/>
        <v>0.16243660080584485</v>
      </c>
      <c r="G316" s="270">
        <f ca="1"/>
        <v>-0.62663170461412543</v>
      </c>
      <c r="H316" s="125">
        <f ca="1"/>
        <v>1.6118611296858081</v>
      </c>
      <c r="M316" s="124">
        <f ca="1"/>
        <v>0.17139794249924944</v>
      </c>
      <c r="N316" s="270">
        <f ca="1"/>
        <v>-0.11013706678339194</v>
      </c>
      <c r="O316" s="270">
        <f ca="1"/>
        <v>2.2692630137464183</v>
      </c>
      <c r="P316" s="270">
        <f ca="1"/>
        <v>1.9910279149762391</v>
      </c>
      <c r="Q316" s="125">
        <f ca="1"/>
        <v>-1.1179327323040036</v>
      </c>
      <c r="V316" s="430"/>
      <c r="W316" s="430"/>
      <c r="X316" s="124">
        <f ca="1"/>
        <v>-1.1500680545803554</v>
      </c>
      <c r="Y316" s="270">
        <f ca="1"/>
        <v>-0.18806037521523697</v>
      </c>
      <c r="Z316" s="270">
        <f ca="1"/>
        <v>0.16243660080584485</v>
      </c>
      <c r="AA316" s="270">
        <f ca="1"/>
        <v>-0.62663170461412543</v>
      </c>
      <c r="AB316" s="125">
        <f ca="1"/>
        <v>1.6118611296858081</v>
      </c>
      <c r="AC316" s="430"/>
      <c r="AD316" s="430"/>
      <c r="AE316" s="430"/>
    </row>
    <row r="317" spans="4:31">
      <c r="D317" s="124">
        <f ca="1"/>
        <v>0.64691193539250558</v>
      </c>
      <c r="E317" s="270">
        <f ca="1"/>
        <v>0.89115808668949248</v>
      </c>
      <c r="F317" s="270">
        <f ca="1"/>
        <v>0.9860723619258096</v>
      </c>
      <c r="G317" s="270">
        <f ca="1"/>
        <v>-0.506742454491937</v>
      </c>
      <c r="H317" s="125">
        <f ca="1"/>
        <v>7.2347348245717744E-2</v>
      </c>
      <c r="M317" s="124">
        <f ca="1"/>
        <v>-0.27206819213014455</v>
      </c>
      <c r="N317" s="270">
        <f ca="1"/>
        <v>-0.78389672192767001</v>
      </c>
      <c r="O317" s="270">
        <f ca="1"/>
        <v>1.7386209358168976</v>
      </c>
      <c r="P317" s="270">
        <f ca="1"/>
        <v>-1.5918011760197763</v>
      </c>
      <c r="Q317" s="125">
        <f ca="1"/>
        <v>0.37770234866728736</v>
      </c>
      <c r="V317" s="430"/>
      <c r="W317" s="430"/>
      <c r="X317" s="124">
        <f ca="1"/>
        <v>0.64691193539250558</v>
      </c>
      <c r="Y317" s="270">
        <f ca="1"/>
        <v>0.89115808668949248</v>
      </c>
      <c r="Z317" s="270">
        <f ca="1"/>
        <v>0.9860723619258096</v>
      </c>
      <c r="AA317" s="270">
        <f ca="1"/>
        <v>-0.506742454491937</v>
      </c>
      <c r="AB317" s="125">
        <f ca="1"/>
        <v>7.2347348245717744E-2</v>
      </c>
      <c r="AC317" s="430"/>
      <c r="AD317" s="430"/>
      <c r="AE317" s="430"/>
    </row>
    <row r="318" spans="4:31">
      <c r="D318" s="124">
        <f ca="1"/>
        <v>2.1332675037689501</v>
      </c>
      <c r="E318" s="270">
        <f ca="1"/>
        <v>1.0044329379325341E-2</v>
      </c>
      <c r="F318" s="270">
        <f ca="1"/>
        <v>2.7930281231195897</v>
      </c>
      <c r="G318" s="270">
        <f ca="1"/>
        <v>4.7540172641717976E-2</v>
      </c>
      <c r="H318" s="125">
        <f ca="1"/>
        <v>0.14952454772362248</v>
      </c>
      <c r="M318" s="124">
        <f ca="1"/>
        <v>1.4437591604313265</v>
      </c>
      <c r="N318" s="270">
        <f ca="1"/>
        <v>0.17238851165673519</v>
      </c>
      <c r="O318" s="270">
        <f ca="1"/>
        <v>-1.2699860097416114</v>
      </c>
      <c r="P318" s="270">
        <f ca="1"/>
        <v>0.26590942794695149</v>
      </c>
      <c r="Q318" s="125">
        <f ca="1"/>
        <v>0.57196512132722011</v>
      </c>
      <c r="V318" s="430"/>
      <c r="W318" s="430"/>
      <c r="X318" s="124">
        <f ca="1"/>
        <v>2.1332675037689501</v>
      </c>
      <c r="Y318" s="270">
        <f ca="1"/>
        <v>1.0044329379325341E-2</v>
      </c>
      <c r="Z318" s="270">
        <f ca="1"/>
        <v>2.7930281231195897</v>
      </c>
      <c r="AA318" s="270">
        <f ca="1"/>
        <v>4.7540172641717976E-2</v>
      </c>
      <c r="AB318" s="125">
        <f ca="1"/>
        <v>0.14952454772362248</v>
      </c>
      <c r="AC318" s="430"/>
      <c r="AD318" s="430"/>
      <c r="AE318" s="430"/>
    </row>
    <row r="319" spans="4:31">
      <c r="D319" s="124">
        <f ca="1"/>
        <v>-0.99466901445455624</v>
      </c>
      <c r="E319" s="270">
        <f ca="1"/>
        <v>0.50225278398034379</v>
      </c>
      <c r="F319" s="270">
        <f ca="1"/>
        <v>0.62792680297973469</v>
      </c>
      <c r="G319" s="270">
        <f ca="1"/>
        <v>2.0691183604794094</v>
      </c>
      <c r="H319" s="125">
        <f ca="1"/>
        <v>-1.04703872441546</v>
      </c>
      <c r="M319" s="124">
        <f ca="1"/>
        <v>0.97846890675398013</v>
      </c>
      <c r="N319" s="270">
        <f ca="1"/>
        <v>-1.1020582544619302</v>
      </c>
      <c r="O319" s="270">
        <f ca="1"/>
        <v>0.39286477148360299</v>
      </c>
      <c r="P319" s="270">
        <f ca="1"/>
        <v>-0.1227331305528255</v>
      </c>
      <c r="Q319" s="125">
        <f ca="1"/>
        <v>1.0001710109068307</v>
      </c>
      <c r="V319" s="430"/>
      <c r="W319" s="430"/>
      <c r="X319" s="124">
        <f ca="1"/>
        <v>-0.99466901445455624</v>
      </c>
      <c r="Y319" s="270">
        <f ca="1"/>
        <v>0.50225278398034379</v>
      </c>
      <c r="Z319" s="270">
        <f ca="1"/>
        <v>0.62792680297973469</v>
      </c>
      <c r="AA319" s="270">
        <f ca="1"/>
        <v>2.0691183604794094</v>
      </c>
      <c r="AB319" s="125">
        <f ca="1"/>
        <v>-1.04703872441546</v>
      </c>
      <c r="AC319" s="430"/>
      <c r="AD319" s="430"/>
      <c r="AE319" s="430"/>
    </row>
    <row r="320" spans="4:31">
      <c r="D320" s="124">
        <f ca="1"/>
        <v>-0.14279798956905393</v>
      </c>
      <c r="E320" s="270">
        <f ca="1"/>
        <v>2.6249780866021383E-2</v>
      </c>
      <c r="F320" s="270">
        <f ca="1"/>
        <v>-0.65969703489988807</v>
      </c>
      <c r="G320" s="270">
        <f ca="1"/>
        <v>-0.925057575262345</v>
      </c>
      <c r="H320" s="125">
        <f ca="1"/>
        <v>0.69780853400880927</v>
      </c>
      <c r="M320" s="124">
        <f ca="1"/>
        <v>-1.4681182045982457</v>
      </c>
      <c r="N320" s="270">
        <f ca="1"/>
        <v>-2.0794109376992451</v>
      </c>
      <c r="O320" s="270">
        <f ca="1"/>
        <v>-0.8103248144499442</v>
      </c>
      <c r="P320" s="270">
        <f ca="1"/>
        <v>0.64107672193829024</v>
      </c>
      <c r="Q320" s="125">
        <f ca="1"/>
        <v>-0.5551205874134405</v>
      </c>
      <c r="V320" s="430"/>
      <c r="W320" s="430"/>
      <c r="X320" s="124">
        <f ca="1"/>
        <v>-0.14279798956905393</v>
      </c>
      <c r="Y320" s="270">
        <f ca="1"/>
        <v>2.6249780866021383E-2</v>
      </c>
      <c r="Z320" s="270">
        <f ca="1"/>
        <v>-0.65969703489988807</v>
      </c>
      <c r="AA320" s="270">
        <f ca="1"/>
        <v>-0.925057575262345</v>
      </c>
      <c r="AB320" s="125">
        <f ca="1"/>
        <v>0.69780853400880927</v>
      </c>
      <c r="AC320" s="430"/>
      <c r="AD320" s="430"/>
      <c r="AE320" s="430"/>
    </row>
    <row r="321" spans="2:52">
      <c r="D321" s="124">
        <f ca="1"/>
        <v>1.092291704880513</v>
      </c>
      <c r="E321" s="270">
        <f ca="1"/>
        <v>0.50433622145908918</v>
      </c>
      <c r="F321" s="270">
        <f ca="1"/>
        <v>1.0826951457065646</v>
      </c>
      <c r="G321" s="270">
        <f ca="1"/>
        <v>0.59345089881883117</v>
      </c>
      <c r="H321" s="125">
        <f ca="1"/>
        <v>1.1610661581658341E-2</v>
      </c>
      <c r="M321" s="124">
        <f ca="1"/>
        <v>-0.41957997007360187</v>
      </c>
      <c r="N321" s="270">
        <f ca="1"/>
        <v>-0.45615015179100066</v>
      </c>
      <c r="O321" s="270">
        <f ca="1"/>
        <v>0.34528217502908681</v>
      </c>
      <c r="P321" s="270">
        <f ca="1"/>
        <v>-2.0540035856533874</v>
      </c>
      <c r="Q321" s="125">
        <f ca="1"/>
        <v>-0.62883004396016451</v>
      </c>
      <c r="V321" s="430"/>
      <c r="W321" s="430"/>
      <c r="X321" s="124">
        <f ca="1"/>
        <v>1.092291704880513</v>
      </c>
      <c r="Y321" s="270">
        <f ca="1"/>
        <v>0.50433622145908918</v>
      </c>
      <c r="Z321" s="270">
        <f ca="1"/>
        <v>1.0826951457065646</v>
      </c>
      <c r="AA321" s="270">
        <f ca="1"/>
        <v>0.59345089881883117</v>
      </c>
      <c r="AB321" s="125">
        <f ca="1"/>
        <v>1.1610661581658341E-2</v>
      </c>
      <c r="AC321" s="430"/>
      <c r="AD321" s="430"/>
      <c r="AE321" s="430"/>
    </row>
    <row r="322" spans="2:52">
      <c r="D322" s="124">
        <f ca="1"/>
        <v>0.80488972711453355</v>
      </c>
      <c r="E322" s="270">
        <f ca="1"/>
        <v>-2.1496502133888749</v>
      </c>
      <c r="F322" s="270">
        <f ca="1"/>
        <v>-2.1868193390200261</v>
      </c>
      <c r="G322" s="270">
        <f ca="1"/>
        <v>-8.0685653261843113E-2</v>
      </c>
      <c r="H322" s="125">
        <f ca="1"/>
        <v>-0.71874440154847874</v>
      </c>
      <c r="M322" s="124">
        <f ca="1"/>
        <v>-1.3586466223513398</v>
      </c>
      <c r="N322" s="270">
        <f ca="1"/>
        <v>0.29927661185537396</v>
      </c>
      <c r="O322" s="270">
        <f ca="1"/>
        <v>-0.98909017881296901</v>
      </c>
      <c r="P322" s="270">
        <f ca="1"/>
        <v>-1.7601901121971923</v>
      </c>
      <c r="Q322" s="125">
        <f ca="1"/>
        <v>-0.90326978799681523</v>
      </c>
      <c r="V322" s="430"/>
      <c r="W322" s="430"/>
      <c r="X322" s="124">
        <f ca="1"/>
        <v>0.80488972711453355</v>
      </c>
      <c r="Y322" s="270">
        <f ca="1"/>
        <v>-2.1496502133888749</v>
      </c>
      <c r="Z322" s="270">
        <f ca="1"/>
        <v>-2.1868193390200261</v>
      </c>
      <c r="AA322" s="270">
        <f ca="1"/>
        <v>-8.0685653261843113E-2</v>
      </c>
      <c r="AB322" s="125">
        <f ca="1"/>
        <v>-0.71874440154847874</v>
      </c>
      <c r="AC322" s="430"/>
      <c r="AD322" s="430"/>
      <c r="AE322" s="430"/>
    </row>
    <row r="323" spans="2:52">
      <c r="D323" s="124">
        <f ca="1"/>
        <v>0.80605770412109401</v>
      </c>
      <c r="E323" s="270">
        <f ca="1"/>
        <v>0.98500956747093471</v>
      </c>
      <c r="F323" s="270">
        <f ca="1"/>
        <v>-0.51374156559767825</v>
      </c>
      <c r="G323" s="270">
        <f ca="1"/>
        <v>-0.10210221862083954</v>
      </c>
      <c r="H323" s="125">
        <f ca="1"/>
        <v>-0.52081378098183195</v>
      </c>
      <c r="M323" s="124">
        <f ca="1"/>
        <v>0.38038958191513106</v>
      </c>
      <c r="N323" s="270">
        <f ca="1"/>
        <v>-1.0378288827691335</v>
      </c>
      <c r="O323" s="270">
        <f ca="1"/>
        <v>2.5971214142627637</v>
      </c>
      <c r="P323" s="270">
        <f ca="1"/>
        <v>-0.14663282522262747</v>
      </c>
      <c r="Q323" s="125">
        <f ca="1"/>
        <v>-0.25899188301456494</v>
      </c>
      <c r="V323" s="430"/>
      <c r="W323" s="430"/>
      <c r="X323" s="124">
        <f ca="1"/>
        <v>0.80605770412109401</v>
      </c>
      <c r="Y323" s="270">
        <f ca="1"/>
        <v>0.98500956747093471</v>
      </c>
      <c r="Z323" s="270">
        <f ca="1"/>
        <v>-0.51374156559767825</v>
      </c>
      <c r="AA323" s="270">
        <f ca="1"/>
        <v>-0.10210221862083954</v>
      </c>
      <c r="AB323" s="125">
        <f ca="1"/>
        <v>-0.52081378098183195</v>
      </c>
      <c r="AC323" s="430"/>
      <c r="AD323" s="430"/>
      <c r="AE323" s="430"/>
    </row>
    <row r="324" spans="2:52">
      <c r="D324" s="124">
        <f ca="1"/>
        <v>0.82079536005409337</v>
      </c>
      <c r="E324" s="270">
        <f ca="1"/>
        <v>0.61793246371250865</v>
      </c>
      <c r="F324" s="270">
        <f ca="1"/>
        <v>-1.3466588678274796</v>
      </c>
      <c r="G324" s="270">
        <f ca="1"/>
        <v>-0.12827791600451344</v>
      </c>
      <c r="H324" s="125">
        <f ca="1"/>
        <v>-0.17698844504820233</v>
      </c>
      <c r="M324" s="124">
        <f ca="1"/>
        <v>-2.0492589722121508</v>
      </c>
      <c r="N324" s="270">
        <f ca="1"/>
        <v>0.28478540431095722</v>
      </c>
      <c r="O324" s="270">
        <f ca="1"/>
        <v>0.39372598320848995</v>
      </c>
      <c r="P324" s="270">
        <f ca="1"/>
        <v>-0.5745230326962294</v>
      </c>
      <c r="Q324" s="125">
        <f ca="1"/>
        <v>0.21858397895859533</v>
      </c>
      <c r="V324" s="430"/>
      <c r="W324" s="430"/>
      <c r="X324" s="124">
        <f ca="1"/>
        <v>0.82079536005409337</v>
      </c>
      <c r="Y324" s="270">
        <f ca="1"/>
        <v>0.61793246371250865</v>
      </c>
      <c r="Z324" s="270">
        <f ca="1"/>
        <v>-1.3466588678274796</v>
      </c>
      <c r="AA324" s="270">
        <f ca="1"/>
        <v>-0.12827791600451344</v>
      </c>
      <c r="AB324" s="125">
        <f ca="1"/>
        <v>-0.17698844504820233</v>
      </c>
      <c r="AC324" s="430"/>
      <c r="AD324" s="430"/>
      <c r="AE324" s="430"/>
    </row>
    <row r="325" spans="2:52">
      <c r="D325" s="124">
        <f ca="1"/>
        <v>-2.5528312879719279</v>
      </c>
      <c r="E325" s="270">
        <f ca="1"/>
        <v>0.29691031563146875</v>
      </c>
      <c r="F325" s="270">
        <f ca="1"/>
        <v>0.27808394980380907</v>
      </c>
      <c r="G325" s="270">
        <f ca="1"/>
        <v>0.44539774631615076</v>
      </c>
      <c r="H325" s="125">
        <f ca="1"/>
        <v>-0.31079358334370855</v>
      </c>
      <c r="M325" s="124">
        <f ca="1"/>
        <v>-0.33651429357523716</v>
      </c>
      <c r="N325" s="270">
        <f ca="1"/>
        <v>-0.76437673134373885</v>
      </c>
      <c r="O325" s="270">
        <f ca="1"/>
        <v>0.20662935169266924</v>
      </c>
      <c r="P325" s="270">
        <f ca="1"/>
        <v>2.0452873304035442</v>
      </c>
      <c r="Q325" s="125">
        <f ca="1"/>
        <v>0.13279307440324442</v>
      </c>
      <c r="V325" s="430"/>
      <c r="W325" s="430"/>
      <c r="X325" s="124">
        <f ca="1"/>
        <v>-2.5528312879719279</v>
      </c>
      <c r="Y325" s="270">
        <f ca="1"/>
        <v>0.29691031563146875</v>
      </c>
      <c r="Z325" s="270">
        <f ca="1"/>
        <v>0.27808394980380907</v>
      </c>
      <c r="AA325" s="270">
        <f ca="1"/>
        <v>0.44539774631615076</v>
      </c>
      <c r="AB325" s="125">
        <f ca="1"/>
        <v>-0.31079358334370855</v>
      </c>
      <c r="AC325" s="430"/>
      <c r="AD325" s="430"/>
      <c r="AE325" s="430"/>
    </row>
    <row r="326" spans="2:52">
      <c r="D326" s="124">
        <f ca="1"/>
        <v>-0.35508869593067621</v>
      </c>
      <c r="E326" s="270">
        <f ca="1"/>
        <v>2.473226548926343</v>
      </c>
      <c r="F326" s="270">
        <f ca="1"/>
        <v>1.5462889736876682</v>
      </c>
      <c r="G326" s="270">
        <f ca="1"/>
        <v>-0.26354671448282113</v>
      </c>
      <c r="H326" s="125">
        <f ca="1"/>
        <v>-0.26861340529971534</v>
      </c>
      <c r="M326" s="124">
        <f ca="1"/>
        <v>0.96456983493745785</v>
      </c>
      <c r="N326" s="270">
        <f ca="1"/>
        <v>0.2974381744348194</v>
      </c>
      <c r="O326" s="270">
        <f ca="1"/>
        <v>-0.66416735827039775</v>
      </c>
      <c r="P326" s="270">
        <f ca="1"/>
        <v>-1.1740047346845341</v>
      </c>
      <c r="Q326" s="125">
        <f ca="1"/>
        <v>-2.0515326737820851</v>
      </c>
      <c r="V326" s="430"/>
      <c r="W326" s="430"/>
      <c r="X326" s="124">
        <f ca="1"/>
        <v>-0.35508869593067621</v>
      </c>
      <c r="Y326" s="270">
        <f ca="1"/>
        <v>2.473226548926343</v>
      </c>
      <c r="Z326" s="270">
        <f ca="1"/>
        <v>1.5462889736876682</v>
      </c>
      <c r="AA326" s="270">
        <f ca="1"/>
        <v>-0.26354671448282113</v>
      </c>
      <c r="AB326" s="125">
        <f ca="1"/>
        <v>-0.26861340529971534</v>
      </c>
      <c r="AC326" s="430"/>
      <c r="AD326" s="430"/>
      <c r="AE326" s="430"/>
    </row>
    <row r="327" spans="2:52">
      <c r="D327" s="124">
        <f ca="1"/>
        <v>-9.1431096942242635E-2</v>
      </c>
      <c r="E327" s="270">
        <f ca="1"/>
        <v>0.42641284474781083</v>
      </c>
      <c r="F327" s="270">
        <f ca="1"/>
        <v>-0.5923458699002222</v>
      </c>
      <c r="G327" s="270">
        <f ca="1"/>
        <v>1.2013235212028235</v>
      </c>
      <c r="H327" s="125">
        <f ca="1"/>
        <v>2.3611673657222285</v>
      </c>
      <c r="M327" s="124">
        <f ca="1"/>
        <v>1.7185865011779202</v>
      </c>
      <c r="N327" s="270">
        <f ca="1"/>
        <v>-0.2884818052458844</v>
      </c>
      <c r="O327" s="270">
        <f ca="1"/>
        <v>-0.21632146817917425</v>
      </c>
      <c r="P327" s="270">
        <f ca="1"/>
        <v>-0.3599440989690163</v>
      </c>
      <c r="Q327" s="125">
        <f ca="1"/>
        <v>-0.97435375802600133</v>
      </c>
      <c r="V327" s="430"/>
      <c r="W327" s="430"/>
      <c r="X327" s="124">
        <f ca="1"/>
        <v>-9.1431096942242635E-2</v>
      </c>
      <c r="Y327" s="270">
        <f ca="1"/>
        <v>0.42641284474781083</v>
      </c>
      <c r="Z327" s="270">
        <f ca="1"/>
        <v>-0.5923458699002222</v>
      </c>
      <c r="AA327" s="270">
        <f ca="1"/>
        <v>1.2013235212028235</v>
      </c>
      <c r="AB327" s="125">
        <f ca="1"/>
        <v>2.3611673657222285</v>
      </c>
      <c r="AC327" s="430"/>
      <c r="AD327" s="430"/>
      <c r="AE327" s="430"/>
    </row>
    <row r="328" spans="2:52">
      <c r="D328" s="124">
        <f ca="1"/>
        <v>-0.21187073507578053</v>
      </c>
      <c r="E328" s="270">
        <f ca="1"/>
        <v>-0.98270009982047668</v>
      </c>
      <c r="F328" s="270">
        <f ca="1"/>
        <v>1.9342596462199904</v>
      </c>
      <c r="G328" s="270">
        <f ca="1"/>
        <v>0.81312021724325545</v>
      </c>
      <c r="H328" s="125">
        <f ca="1"/>
        <v>2.6847701181165196E-2</v>
      </c>
      <c r="M328" s="124">
        <f ca="1"/>
        <v>0.76598288450363161</v>
      </c>
      <c r="N328" s="270">
        <f ca="1"/>
        <v>1.5870388345993123</v>
      </c>
      <c r="O328" s="270">
        <f ca="1"/>
        <v>-8.4546987876763791E-2</v>
      </c>
      <c r="P328" s="270">
        <f ca="1"/>
        <v>-0.53553436856164371</v>
      </c>
      <c r="Q328" s="125">
        <f ca="1"/>
        <v>0.94998486438860852</v>
      </c>
      <c r="V328" s="430"/>
      <c r="W328" s="430"/>
      <c r="X328" s="124">
        <f ca="1"/>
        <v>-0.21187073507578053</v>
      </c>
      <c r="Y328" s="270">
        <f ca="1"/>
        <v>-0.98270009982047668</v>
      </c>
      <c r="Z328" s="270">
        <f ca="1"/>
        <v>1.9342596462199904</v>
      </c>
      <c r="AA328" s="270">
        <f ca="1"/>
        <v>0.81312021724325545</v>
      </c>
      <c r="AB328" s="125">
        <f ca="1"/>
        <v>2.6847701181165196E-2</v>
      </c>
      <c r="AC328" s="430"/>
      <c r="AD328" s="430"/>
      <c r="AE328" s="430"/>
    </row>
    <row r="329" spans="2:52">
      <c r="D329" s="124">
        <f ca="1"/>
        <v>-0.30267530359008576</v>
      </c>
      <c r="E329" s="270">
        <f ca="1"/>
        <v>-0.10619811325803392</v>
      </c>
      <c r="F329" s="270">
        <f ca="1"/>
        <v>1.1920352851635663</v>
      </c>
      <c r="G329" s="270">
        <f ca="1"/>
        <v>-4.2323241996771725E-2</v>
      </c>
      <c r="H329" s="125">
        <f ca="1"/>
        <v>0.82332740776042657</v>
      </c>
      <c r="M329" s="124">
        <f ca="1"/>
        <v>-1.0787446958523739</v>
      </c>
      <c r="N329" s="270">
        <f ca="1"/>
        <v>1.2965006471377027</v>
      </c>
      <c r="O329" s="270">
        <f ca="1"/>
        <v>-6.3466530546962094E-2</v>
      </c>
      <c r="P329" s="270">
        <f ca="1"/>
        <v>-4.7911125790783098E-2</v>
      </c>
      <c r="Q329" s="125">
        <f ca="1"/>
        <v>-0.33236165203571055</v>
      </c>
      <c r="V329" s="430"/>
      <c r="W329" s="430"/>
      <c r="X329" s="124">
        <f ca="1"/>
        <v>-0.30267530359008576</v>
      </c>
      <c r="Y329" s="270">
        <f ca="1"/>
        <v>-0.10619811325803392</v>
      </c>
      <c r="Z329" s="270">
        <f ca="1"/>
        <v>1.1920352851635663</v>
      </c>
      <c r="AA329" s="270">
        <f ca="1"/>
        <v>-4.2323241996771725E-2</v>
      </c>
      <c r="AB329" s="125">
        <f ca="1"/>
        <v>0.82332740776042657</v>
      </c>
      <c r="AC329" s="430"/>
      <c r="AD329" s="430"/>
      <c r="AE329" s="430"/>
    </row>
    <row r="330" spans="2:52">
      <c r="D330" s="124">
        <f ca="1"/>
        <v>0.21279899182954726</v>
      </c>
      <c r="E330" s="270">
        <f ca="1"/>
        <v>-1.1424438777784323</v>
      </c>
      <c r="F330" s="270">
        <f ca="1"/>
        <v>-2.1354251794755204E-2</v>
      </c>
      <c r="G330" s="270">
        <f ca="1"/>
        <v>-1.6548896512828936E-2</v>
      </c>
      <c r="H330" s="125">
        <f ca="1"/>
        <v>-1.1483938988369959</v>
      </c>
      <c r="M330" s="124">
        <f ca="1"/>
        <v>1.1264485430315012</v>
      </c>
      <c r="N330" s="270">
        <f ca="1"/>
        <v>0.47279505230548646</v>
      </c>
      <c r="O330" s="270">
        <f ca="1"/>
        <v>-0.69213719375978666</v>
      </c>
      <c r="P330" s="270">
        <f ca="1"/>
        <v>-1.1813708606478739</v>
      </c>
      <c r="Q330" s="125">
        <f ca="1"/>
        <v>-2.5974834642072446</v>
      </c>
      <c r="V330" s="430"/>
      <c r="W330" s="430"/>
      <c r="X330" s="124">
        <f ca="1"/>
        <v>0.21279899182954726</v>
      </c>
      <c r="Y330" s="270">
        <f ca="1"/>
        <v>-1.1424438777784323</v>
      </c>
      <c r="Z330" s="270">
        <f ca="1"/>
        <v>-2.1354251794755204E-2</v>
      </c>
      <c r="AA330" s="270">
        <f ca="1"/>
        <v>-1.6548896512828936E-2</v>
      </c>
      <c r="AB330" s="125">
        <f ca="1"/>
        <v>-1.1483938988369959</v>
      </c>
      <c r="AC330" s="430"/>
      <c r="AD330" s="430"/>
      <c r="AE330" s="430"/>
    </row>
    <row r="331" spans="2:52">
      <c r="D331" s="126">
        <f ca="1"/>
        <v>5.1409210374823731E-2</v>
      </c>
      <c r="E331" s="190">
        <f ca="1"/>
        <v>-0.21243260074195636</v>
      </c>
      <c r="F331" s="190">
        <f ca="1"/>
        <v>-0.55942050834103574</v>
      </c>
      <c r="G331" s="190">
        <f ca="1"/>
        <v>-0.21798606731311601</v>
      </c>
      <c r="H331" s="127">
        <f ca="1"/>
        <v>-0.77437601649928833</v>
      </c>
      <c r="M331" s="126">
        <f ca="1"/>
        <v>1.126803671515602</v>
      </c>
      <c r="N331" s="190">
        <f ca="1"/>
        <v>-0.12578769910307161</v>
      </c>
      <c r="O331" s="190">
        <f ca="1"/>
        <v>0.31471271671617157</v>
      </c>
      <c r="P331" s="190">
        <f ca="1"/>
        <v>0.49205901100567589</v>
      </c>
      <c r="Q331" s="127">
        <f ca="1"/>
        <v>-1.051816981198425</v>
      </c>
      <c r="V331" s="430"/>
      <c r="W331" s="430"/>
      <c r="X331" s="126">
        <f ca="1"/>
        <v>5.1409210374823731E-2</v>
      </c>
      <c r="Y331" s="190">
        <f ca="1"/>
        <v>-0.21243260074195636</v>
      </c>
      <c r="Z331" s="190">
        <f ca="1"/>
        <v>-0.55942050834103574</v>
      </c>
      <c r="AA331" s="190">
        <f ca="1"/>
        <v>-0.21798606731311601</v>
      </c>
      <c r="AB331" s="127">
        <f ca="1"/>
        <v>-0.77437601649928833</v>
      </c>
      <c r="AC331" s="430"/>
      <c r="AD331" s="430"/>
      <c r="AE331" s="430"/>
    </row>
    <row r="335" spans="2:52" ht="18.75">
      <c r="B335" s="3" t="s">
        <v>470</v>
      </c>
      <c r="C335" s="297"/>
      <c r="D335" s="297"/>
      <c r="E335" s="297"/>
      <c r="F335" s="297"/>
      <c r="G335" s="297"/>
      <c r="H335" s="297"/>
      <c r="I335" s="297"/>
      <c r="J335" s="297"/>
      <c r="K335" s="297"/>
      <c r="L335" s="297"/>
      <c r="M335" s="297"/>
      <c r="N335" s="297"/>
      <c r="O335" s="297"/>
      <c r="P335" s="297"/>
      <c r="Q335" s="297"/>
      <c r="R335" s="297"/>
      <c r="S335" s="297"/>
      <c r="T335" s="297"/>
      <c r="U335" s="297"/>
      <c r="V335" s="297"/>
      <c r="W335" s="297"/>
      <c r="X335" s="297"/>
      <c r="Y335" s="297"/>
      <c r="Z335" s="297"/>
      <c r="AA335" s="297"/>
      <c r="AB335" s="297"/>
      <c r="AC335" s="297"/>
      <c r="AD335" s="297"/>
      <c r="AE335" s="297"/>
      <c r="AF335" s="297"/>
      <c r="AG335" s="297"/>
      <c r="AH335" s="297"/>
      <c r="AI335" s="297"/>
      <c r="AJ335" s="297"/>
      <c r="AK335" s="297"/>
      <c r="AL335" s="297"/>
      <c r="AM335" s="297"/>
      <c r="AN335" s="297"/>
      <c r="AO335" s="297"/>
      <c r="AP335" s="297"/>
      <c r="AQ335" s="297"/>
      <c r="AR335" s="297"/>
      <c r="AS335" s="297"/>
      <c r="AT335" s="297"/>
      <c r="AU335" s="297"/>
      <c r="AV335" s="297"/>
      <c r="AW335" s="297"/>
      <c r="AX335" s="297"/>
      <c r="AY335" s="297"/>
      <c r="AZ335" s="297"/>
    </row>
    <row r="336" spans="2:52">
      <c r="B336" s="430"/>
      <c r="C336" s="430"/>
      <c r="D336" s="430"/>
      <c r="E336" s="430"/>
      <c r="F336" s="430"/>
      <c r="G336" s="430"/>
      <c r="H336" s="430"/>
      <c r="I336" s="430"/>
      <c r="J336" s="430"/>
      <c r="K336" s="430"/>
    </row>
    <row r="337" spans="2:36">
      <c r="B337" s="50" t="s">
        <v>139</v>
      </c>
      <c r="C337" s="291" t="str" cm="1">
        <f t="array" aca="1" ref="C337" ca="1">_xll.d.TestUtils_And(J342,U342)</f>
        <v>Ok</v>
      </c>
      <c r="D337" s="289"/>
      <c r="E337" s="289"/>
      <c r="F337" s="289"/>
      <c r="G337" s="289"/>
      <c r="H337" s="289"/>
      <c r="I337" s="289"/>
      <c r="J337" s="289"/>
      <c r="K337" s="289"/>
    </row>
    <row r="338" spans="2:36">
      <c r="B338" s="289"/>
      <c r="C338" s="289"/>
      <c r="D338" s="289"/>
      <c r="E338" s="289"/>
      <c r="F338" s="289"/>
      <c r="G338" s="289"/>
      <c r="H338" s="289"/>
      <c r="I338" s="290"/>
      <c r="J338" s="290"/>
      <c r="K338" s="430"/>
    </row>
    <row r="339" spans="2:36" ht="15.75">
      <c r="B339" s="4" t="s">
        <v>475</v>
      </c>
      <c r="C339" s="298"/>
      <c r="D339" s="298"/>
      <c r="E339" s="298"/>
      <c r="F339" s="298"/>
      <c r="G339" s="298"/>
      <c r="H339" s="298"/>
      <c r="I339" s="298"/>
      <c r="J339" s="298"/>
      <c r="K339" s="430"/>
      <c r="L339" s="4" t="s">
        <v>474</v>
      </c>
      <c r="M339" s="298"/>
      <c r="N339" s="298"/>
      <c r="O339" s="298"/>
      <c r="P339" s="298"/>
      <c r="Q339" s="298"/>
      <c r="R339" s="298"/>
      <c r="S339" s="298"/>
      <c r="T339" s="298"/>
      <c r="U339" s="298"/>
      <c r="W339" s="4" t="s">
        <v>477</v>
      </c>
      <c r="X339" s="298"/>
      <c r="Y339" s="298"/>
      <c r="Z339" s="298"/>
      <c r="AA339" s="298"/>
      <c r="AB339" s="298"/>
      <c r="AC339" s="298"/>
      <c r="AD339" s="298"/>
      <c r="AE339" s="298"/>
      <c r="AF339" s="298"/>
      <c r="AG339" s="298"/>
      <c r="AH339" s="298"/>
      <c r="AI339" s="298"/>
      <c r="AJ339" s="298"/>
    </row>
    <row r="340" spans="2:36">
      <c r="G340" s="430"/>
      <c r="H340" s="430"/>
      <c r="I340" s="430"/>
      <c r="K340" s="430"/>
      <c r="W340" s="430"/>
      <c r="X340" s="430"/>
      <c r="Y340" s="430"/>
      <c r="Z340" s="430"/>
      <c r="AA340" s="430"/>
      <c r="AB340" s="430"/>
      <c r="AC340" s="430"/>
      <c r="AD340" s="430"/>
      <c r="AE340" s="430"/>
      <c r="AF340" s="430"/>
    </row>
    <row r="341" spans="2:36">
      <c r="B341" s="394" t="s">
        <v>212</v>
      </c>
      <c r="C341" s="430"/>
      <c r="D341" s="430"/>
      <c r="E341" s="120" t="s">
        <v>113</v>
      </c>
      <c r="F341" s="121"/>
      <c r="H341" s="121" t="s">
        <v>473</v>
      </c>
      <c r="I341" s="120" t="s">
        <v>472</v>
      </c>
      <c r="J341" s="120" t="s">
        <v>67</v>
      </c>
      <c r="K341" s="430"/>
      <c r="L341" s="394" t="s">
        <v>212</v>
      </c>
      <c r="M341" s="430"/>
      <c r="N341" s="430"/>
      <c r="O341" s="121" t="s">
        <v>66</v>
      </c>
      <c r="P341" s="191"/>
      <c r="Q341" s="191"/>
      <c r="R341" s="120" t="s">
        <v>65</v>
      </c>
      <c r="S341" s="120"/>
      <c r="T341" s="120"/>
      <c r="U341" s="120" t="s">
        <v>67</v>
      </c>
      <c r="W341" s="394" t="s">
        <v>212</v>
      </c>
      <c r="X341" s="430"/>
      <c r="Y341" s="430"/>
      <c r="Z341" s="121" t="s">
        <v>66</v>
      </c>
      <c r="AA341" s="191"/>
      <c r="AB341" s="191"/>
      <c r="AC341" s="191"/>
      <c r="AD341" s="191"/>
      <c r="AE341" s="120" t="s">
        <v>65</v>
      </c>
      <c r="AF341" s="120"/>
      <c r="AG341" s="120"/>
      <c r="AH341" s="120"/>
      <c r="AI341" s="120"/>
      <c r="AJ341" s="120" t="s">
        <v>67</v>
      </c>
    </row>
    <row r="342" spans="2:36">
      <c r="B342" s="395" t="s">
        <v>358</v>
      </c>
      <c r="C342" s="430"/>
      <c r="D342" s="430"/>
      <c r="E342" s="122" cm="1">
        <f t="array" aca="1" ref="E342:F1341" ca="1">_xll.d.Stats_CorrelatedNormalRandomNumbers(B343,1000,B346:C347)</f>
        <v>-0.63711590014289476</v>
      </c>
      <c r="F342" s="123">
        <f ca="1"/>
        <v>0.84456194899566184</v>
      </c>
      <c r="H342" s="396">
        <v>0.02</v>
      </c>
      <c r="I342" s="435">
        <f ca="1">CORREL(E342:E1341,F342:F1341)</f>
        <v>0.48560602595764718</v>
      </c>
      <c r="J342" s="301" t="str" cm="1">
        <f t="array" aca="1" ref="J342" ca="1">_xll.d.TestUtils_Equal(I342,C346,H342)</f>
        <v>Ok</v>
      </c>
      <c r="K342" s="430"/>
      <c r="L342" s="395" t="s">
        <v>358</v>
      </c>
      <c r="M342" s="430"/>
      <c r="N342" s="430"/>
      <c r="O342" s="539" t="s">
        <v>450</v>
      </c>
      <c r="P342" s="561"/>
      <c r="Q342" s="561"/>
      <c r="R342" s="562" t="str" cm="1">
        <f t="array" aca="1" ref="R342" ca="1">_xll.d.Stats_CorrelatedNormalRandomNumbers(L343,10000,L346:N347)</f>
        <v>#∂Excel Error: Matrix is not square.</v>
      </c>
      <c r="S342" s="522"/>
      <c r="T342" s="541"/>
      <c r="U342" s="301" t="str" cm="1">
        <f t="array" aca="1" ref="U342" ca="1">_xll.d.TestUtils_Equal(O342,R342)</f>
        <v>Ok</v>
      </c>
      <c r="W342" s="395" t="s">
        <v>358</v>
      </c>
      <c r="X342" s="430"/>
      <c r="Y342" s="430"/>
      <c r="Z342" s="539" t="s">
        <v>476</v>
      </c>
      <c r="AA342" s="561"/>
      <c r="AB342" s="561"/>
      <c r="AC342" s="561"/>
      <c r="AD342" s="561"/>
      <c r="AE342" s="562" t="str" cm="1">
        <f t="array" aca="1" ref="AE342" ca="1">_xll.d.Stats_CorrelatedNormalRandomNumbers(W343,10000,W346:X347)</f>
        <v>#∂Excel Error: Diagonal elements of the correlation matrix must be 1.</v>
      </c>
      <c r="AF342" s="522"/>
      <c r="AG342" s="541"/>
      <c r="AH342" s="541"/>
      <c r="AI342" s="541"/>
      <c r="AJ342" s="301" t="str" cm="1">
        <f t="array" aca="1" ref="AJ342" ca="1">_xll.d.TestUtils_Equal(Z342,AE342)</f>
        <v>Ok</v>
      </c>
    </row>
    <row r="343" spans="2:36">
      <c r="B343" s="397">
        <v>1337</v>
      </c>
      <c r="C343" s="430"/>
      <c r="D343" s="430"/>
      <c r="E343" s="124">
        <f ca="1"/>
        <v>0.15231246463563991</v>
      </c>
      <c r="F343" s="125">
        <f ca="1"/>
        <v>0.47829429270237378</v>
      </c>
      <c r="G343" s="430"/>
      <c r="H343" s="430"/>
      <c r="I343" s="430"/>
      <c r="K343" s="430"/>
      <c r="L343" s="397">
        <v>1337</v>
      </c>
      <c r="M343" s="430"/>
      <c r="N343" s="430"/>
      <c r="O343" s="430"/>
      <c r="P343" s="430"/>
      <c r="Q343" s="430"/>
      <c r="R343" s="430"/>
      <c r="S343" s="430"/>
      <c r="T343" s="430"/>
      <c r="U343" s="430"/>
      <c r="V343" s="430"/>
      <c r="W343" s="397">
        <v>1337</v>
      </c>
      <c r="X343" s="430"/>
      <c r="Y343" s="430"/>
      <c r="Z343" s="430"/>
      <c r="AA343" s="430"/>
      <c r="AB343" s="430"/>
      <c r="AC343" s="430"/>
      <c r="AD343" s="430"/>
      <c r="AE343" s="430"/>
      <c r="AF343" s="430"/>
      <c r="AG343" s="430"/>
      <c r="AH343" s="430"/>
    </row>
    <row r="344" spans="2:36">
      <c r="B344" s="430"/>
      <c r="C344" s="430"/>
      <c r="D344" s="430"/>
      <c r="E344" s="124">
        <f ca="1"/>
        <v>-0.9998813019474484</v>
      </c>
      <c r="F344" s="125">
        <f ca="1"/>
        <v>-0.42248079145312911</v>
      </c>
      <c r="G344" s="430"/>
      <c r="I344" s="430"/>
      <c r="J344" s="430"/>
      <c r="K344" s="430"/>
      <c r="L344" s="430"/>
      <c r="M344" s="430"/>
      <c r="N344" s="430"/>
      <c r="O344" s="430"/>
      <c r="P344" s="430"/>
      <c r="Q344" s="430"/>
      <c r="R344" s="430"/>
      <c r="S344" s="430"/>
      <c r="T344" s="430"/>
      <c r="W344" s="430"/>
      <c r="X344" s="430"/>
      <c r="Y344" s="430"/>
      <c r="Z344" s="430"/>
      <c r="AA344" s="430"/>
      <c r="AB344" s="430"/>
      <c r="AC344" s="430"/>
      <c r="AD344" s="430"/>
      <c r="AE344" s="430"/>
      <c r="AF344" s="430"/>
    </row>
    <row r="345" spans="2:36">
      <c r="B345" s="553" t="s">
        <v>471</v>
      </c>
      <c r="C345" s="554"/>
      <c r="D345" s="430"/>
      <c r="E345" s="124">
        <f ca="1"/>
        <v>-0.79747485963926357</v>
      </c>
      <c r="F345" s="125">
        <f ca="1"/>
        <v>-9.5083842356327608E-2</v>
      </c>
      <c r="G345" s="430"/>
      <c r="I345" s="430"/>
      <c r="J345" s="430"/>
      <c r="K345" s="430"/>
      <c r="L345" s="553" t="s">
        <v>471</v>
      </c>
      <c r="M345" s="554"/>
      <c r="N345" s="554"/>
      <c r="O345" s="430"/>
      <c r="P345" s="430"/>
      <c r="Q345" s="430"/>
      <c r="R345" s="430"/>
      <c r="S345" s="430"/>
      <c r="T345" s="430"/>
      <c r="W345" s="553" t="s">
        <v>471</v>
      </c>
      <c r="X345" s="554"/>
      <c r="Z345" s="430"/>
      <c r="AA345" s="430"/>
      <c r="AB345" s="430"/>
      <c r="AC345" s="430"/>
      <c r="AD345" s="430"/>
      <c r="AE345" s="430"/>
      <c r="AF345" s="430"/>
    </row>
    <row r="346" spans="2:36">
      <c r="B346" s="555">
        <v>1</v>
      </c>
      <c r="C346" s="556">
        <v>0.5</v>
      </c>
      <c r="D346" s="430"/>
      <c r="E346" s="124">
        <f ca="1"/>
        <v>-0.5884160994078016</v>
      </c>
      <c r="F346" s="125">
        <f ca="1"/>
        <v>-0.9023636271852018</v>
      </c>
      <c r="G346" s="430"/>
      <c r="H346" s="430"/>
      <c r="I346" s="430"/>
      <c r="J346" s="430"/>
      <c r="K346" s="430"/>
      <c r="L346" s="555">
        <v>1</v>
      </c>
      <c r="M346" s="559">
        <v>0.5</v>
      </c>
      <c r="N346" s="556">
        <v>0.1</v>
      </c>
      <c r="O346" s="430"/>
      <c r="P346" s="430"/>
      <c r="Q346" s="430"/>
      <c r="R346" s="430"/>
      <c r="S346" s="430"/>
      <c r="T346" s="430"/>
      <c r="W346" s="555">
        <v>1</v>
      </c>
      <c r="X346" s="556">
        <v>0.5</v>
      </c>
      <c r="Z346" s="430"/>
      <c r="AA346" s="430"/>
      <c r="AB346" s="430"/>
      <c r="AC346" s="430"/>
      <c r="AD346" s="430"/>
      <c r="AE346" s="430"/>
      <c r="AF346" s="430"/>
    </row>
    <row r="347" spans="2:36">
      <c r="B347" s="557">
        <v>0.5</v>
      </c>
      <c r="C347" s="558">
        <v>1</v>
      </c>
      <c r="D347" s="430"/>
      <c r="E347" s="124">
        <f ca="1"/>
        <v>0.10819798524690837</v>
      </c>
      <c r="F347" s="125">
        <f ca="1"/>
        <v>-0.16053601760642122</v>
      </c>
      <c r="G347" s="430"/>
      <c r="H347" s="430"/>
      <c r="I347" s="430"/>
      <c r="L347" s="557">
        <v>0.5</v>
      </c>
      <c r="M347" s="560">
        <v>1</v>
      </c>
      <c r="N347" s="558">
        <v>0.1</v>
      </c>
      <c r="O347" s="430"/>
      <c r="P347" s="430"/>
      <c r="Q347" s="430"/>
      <c r="R347" s="430"/>
      <c r="S347" s="430"/>
      <c r="T347" s="430"/>
      <c r="W347" s="557">
        <v>0.5</v>
      </c>
      <c r="X347" s="558">
        <v>0.1</v>
      </c>
      <c r="Z347" s="430"/>
      <c r="AA347" s="430"/>
      <c r="AB347" s="430"/>
      <c r="AC347" s="430"/>
      <c r="AD347" s="430"/>
      <c r="AE347" s="430"/>
      <c r="AF347" s="430"/>
    </row>
    <row r="348" spans="2:36">
      <c r="B348" s="430"/>
      <c r="C348" s="430"/>
      <c r="D348" s="430"/>
      <c r="E348" s="124">
        <f ca="1"/>
        <v>-0.10215483425175563</v>
      </c>
      <c r="F348" s="125">
        <f ca="1"/>
        <v>0.82298047661168872</v>
      </c>
      <c r="G348" s="430"/>
      <c r="H348" s="430"/>
      <c r="I348" s="430"/>
      <c r="J348" s="430"/>
      <c r="K348" s="430"/>
      <c r="L348" s="430"/>
      <c r="M348" s="430"/>
      <c r="N348" s="430"/>
      <c r="O348" s="430"/>
      <c r="P348" s="430"/>
      <c r="Q348" s="430"/>
      <c r="R348" s="430"/>
      <c r="S348" s="430"/>
      <c r="T348" s="430"/>
    </row>
    <row r="349" spans="2:36">
      <c r="B349" s="430"/>
      <c r="C349" s="430"/>
      <c r="D349" s="430"/>
      <c r="E349" s="124">
        <f ca="1"/>
        <v>-1.8253861328037648</v>
      </c>
      <c r="F349" s="125">
        <f ca="1"/>
        <v>-1.602159433313876</v>
      </c>
      <c r="G349" s="430"/>
      <c r="H349" s="430"/>
      <c r="I349" s="430"/>
      <c r="J349" s="430"/>
      <c r="O349" s="430"/>
      <c r="P349" s="430"/>
    </row>
    <row r="350" spans="2:36">
      <c r="B350" s="430"/>
      <c r="C350" s="430"/>
      <c r="D350" s="430"/>
      <c r="E350" s="124">
        <f ca="1"/>
        <v>-0.46490277119672319</v>
      </c>
      <c r="F350" s="125">
        <f ca="1"/>
        <v>0.54743340516363714</v>
      </c>
      <c r="G350" s="430"/>
      <c r="H350" s="430"/>
      <c r="I350" s="430"/>
      <c r="O350" s="430"/>
      <c r="P350" s="430"/>
    </row>
    <row r="351" spans="2:36">
      <c r="B351" s="430"/>
      <c r="C351" s="430"/>
      <c r="D351" s="430"/>
      <c r="E351" s="124">
        <f ca="1"/>
        <v>-0.72121450340504112</v>
      </c>
      <c r="F351" s="125">
        <f ca="1"/>
        <v>-0.64315233368067881</v>
      </c>
      <c r="G351" s="430"/>
      <c r="H351" s="430"/>
      <c r="I351" s="430"/>
      <c r="O351" s="430"/>
      <c r="P351" s="430"/>
    </row>
    <row r="352" spans="2:36">
      <c r="B352" s="430"/>
      <c r="C352" s="430"/>
      <c r="D352" s="430"/>
      <c r="E352" s="124">
        <f ca="1"/>
        <v>4.6120309846438508E-2</v>
      </c>
      <c r="F352" s="125">
        <f ca="1"/>
        <v>-0.5928001919386181</v>
      </c>
      <c r="G352" s="430"/>
      <c r="H352" s="430"/>
      <c r="I352" s="430"/>
    </row>
    <row r="353" spans="2:108">
      <c r="B353" s="430"/>
      <c r="C353" s="430"/>
      <c r="D353" s="430"/>
      <c r="E353" s="124">
        <f ca="1"/>
        <v>0.23298387080043784</v>
      </c>
      <c r="F353" s="125">
        <f ca="1"/>
        <v>1.1894164015965809</v>
      </c>
      <c r="G353" s="430"/>
      <c r="H353" s="430"/>
      <c r="I353" s="430"/>
    </row>
    <row r="354" spans="2:108">
      <c r="B354" s="430"/>
      <c r="C354" s="430"/>
      <c r="D354" s="430"/>
      <c r="E354" s="124">
        <f ca="1"/>
        <v>-0.63736695093064755</v>
      </c>
      <c r="F354" s="125">
        <f ca="1"/>
        <v>0.66553663357392834</v>
      </c>
      <c r="G354" s="430"/>
      <c r="H354" s="430"/>
      <c r="I354" s="430"/>
    </row>
    <row r="355" spans="2:108">
      <c r="B355" s="430"/>
      <c r="C355" s="430"/>
      <c r="D355" s="430"/>
      <c r="E355" s="124">
        <f ca="1"/>
        <v>-0.42607435867377447</v>
      </c>
      <c r="F355" s="125">
        <f ca="1"/>
        <v>-1.8109423534872184</v>
      </c>
      <c r="G355" s="430"/>
      <c r="H355" s="430"/>
      <c r="I355" s="430"/>
    </row>
    <row r="356" spans="2:108">
      <c r="B356" s="430"/>
      <c r="C356" s="430"/>
      <c r="D356" s="430"/>
      <c r="E356" s="124">
        <f ca="1"/>
        <v>1.9788808392213517</v>
      </c>
      <c r="F356" s="125">
        <f ca="1"/>
        <v>0.59982135212765764</v>
      </c>
      <c r="G356" s="430"/>
      <c r="H356" s="430"/>
      <c r="I356" s="430"/>
    </row>
    <row r="357" spans="2:108">
      <c r="B357" s="430"/>
      <c r="C357" s="430"/>
      <c r="D357" s="430"/>
      <c r="E357" s="124">
        <f ca="1"/>
        <v>-0.61135617247427165</v>
      </c>
      <c r="F357" s="125">
        <f ca="1"/>
        <v>-0.16199824588518494</v>
      </c>
      <c r="G357" s="430"/>
      <c r="H357" s="430"/>
      <c r="I357" s="430"/>
    </row>
    <row r="358" spans="2:108">
      <c r="B358" s="430"/>
      <c r="C358" s="430"/>
      <c r="D358" s="430"/>
      <c r="E358" s="124">
        <f ca="1"/>
        <v>0.62134768002507634</v>
      </c>
      <c r="F358" s="125">
        <f ca="1"/>
        <v>5.0881786810330065E-2</v>
      </c>
      <c r="G358" s="430"/>
      <c r="H358" s="430"/>
      <c r="I358" s="430"/>
    </row>
    <row r="359" spans="2:108">
      <c r="B359" s="430"/>
      <c r="C359" s="430"/>
      <c r="D359" s="430"/>
      <c r="E359" s="124">
        <f ca="1"/>
        <v>-0.50308335820540317</v>
      </c>
      <c r="F359" s="125">
        <f ca="1"/>
        <v>-1.7375185163355833</v>
      </c>
      <c r="G359" s="430"/>
      <c r="H359" s="430"/>
      <c r="I359" s="430"/>
    </row>
    <row r="360" spans="2:108">
      <c r="B360" s="430"/>
      <c r="C360" s="430"/>
      <c r="D360" s="430"/>
      <c r="E360" s="124">
        <f ca="1"/>
        <v>-1.198947290104817</v>
      </c>
      <c r="F360" s="125">
        <f ca="1"/>
        <v>-0.80776135102045443</v>
      </c>
      <c r="G360" s="430"/>
      <c r="H360" s="430"/>
      <c r="I360" s="430"/>
    </row>
    <row r="361" spans="2:108">
      <c r="B361" s="430"/>
      <c r="C361" s="430"/>
      <c r="D361" s="430"/>
      <c r="E361" s="124">
        <f ca="1"/>
        <v>0.85011456561901899</v>
      </c>
      <c r="F361" s="125">
        <f ca="1"/>
        <v>0.75433223195935672</v>
      </c>
      <c r="G361" s="430"/>
      <c r="H361" s="430"/>
      <c r="I361" s="430"/>
      <c r="J361" s="430"/>
      <c r="K361" s="430"/>
      <c r="L361" s="430"/>
      <c r="M361" s="430"/>
      <c r="N361" s="430"/>
      <c r="O361" s="430"/>
      <c r="P361" s="430"/>
      <c r="Q361" s="430"/>
      <c r="R361" s="430"/>
      <c r="S361" s="430"/>
      <c r="T361" s="430"/>
      <c r="U361" s="430"/>
      <c r="V361" s="430"/>
      <c r="W361" s="430"/>
      <c r="X361" s="430"/>
      <c r="Y361" s="430"/>
      <c r="Z361" s="430"/>
      <c r="AA361" s="430"/>
      <c r="AB361" s="430"/>
      <c r="AC361" s="430"/>
      <c r="AD361" s="430"/>
      <c r="AE361" s="430"/>
      <c r="AF361" s="430"/>
      <c r="AG361" s="430"/>
      <c r="AH361" s="430"/>
      <c r="AI361" s="430"/>
      <c r="AJ361" s="430"/>
      <c r="AK361" s="430"/>
      <c r="AL361" s="430"/>
      <c r="AM361" s="430"/>
      <c r="AN361" s="430"/>
      <c r="AO361" s="430"/>
      <c r="AP361" s="430"/>
      <c r="AQ361" s="430"/>
      <c r="AR361" s="430"/>
      <c r="AS361" s="430"/>
      <c r="AT361" s="430"/>
      <c r="AU361" s="430"/>
      <c r="AV361" s="430"/>
      <c r="AW361" s="430"/>
      <c r="AX361" s="430"/>
      <c r="AY361" s="430"/>
      <c r="AZ361" s="430"/>
      <c r="BA361" s="430"/>
      <c r="BB361" s="430"/>
      <c r="BC361" s="430"/>
      <c r="BD361" s="430"/>
      <c r="BE361" s="430"/>
      <c r="BF361" s="430"/>
      <c r="BG361" s="430"/>
      <c r="BH361" s="430"/>
      <c r="BI361" s="430"/>
      <c r="BJ361" s="430"/>
      <c r="BK361" s="430"/>
      <c r="BL361" s="430"/>
      <c r="BM361" s="430"/>
      <c r="BN361" s="430"/>
      <c r="BO361" s="430"/>
      <c r="BP361" s="430"/>
      <c r="BQ361" s="430"/>
      <c r="BR361" s="430"/>
      <c r="BS361" s="430"/>
      <c r="BT361" s="430"/>
      <c r="BU361" s="430"/>
      <c r="BV361" s="430"/>
      <c r="BW361" s="430"/>
      <c r="BX361" s="430"/>
      <c r="BY361" s="430"/>
      <c r="BZ361" s="430"/>
      <c r="CA361" s="430"/>
      <c r="CB361" s="430"/>
      <c r="CC361" s="430"/>
      <c r="CD361" s="430"/>
      <c r="CE361" s="430"/>
      <c r="CF361" s="430"/>
      <c r="CG361" s="430"/>
      <c r="CH361" s="430"/>
      <c r="CI361" s="430"/>
      <c r="CJ361" s="430"/>
      <c r="CK361" s="430"/>
      <c r="CL361" s="430"/>
      <c r="CM361" s="430"/>
      <c r="CN361" s="430"/>
      <c r="CO361" s="430"/>
      <c r="CP361" s="430"/>
      <c r="CQ361" s="430"/>
      <c r="CR361" s="430"/>
      <c r="CS361" s="430"/>
      <c r="CT361" s="430"/>
      <c r="CU361" s="430"/>
      <c r="CV361" s="430"/>
      <c r="CW361" s="430"/>
      <c r="CX361" s="430"/>
      <c r="CY361" s="430"/>
      <c r="CZ361" s="430"/>
      <c r="DA361" s="430"/>
      <c r="DB361" s="430"/>
      <c r="DC361" s="430"/>
      <c r="DD361" s="430"/>
    </row>
    <row r="362" spans="2:108">
      <c r="B362" s="430"/>
      <c r="C362" s="430"/>
      <c r="D362" s="430"/>
      <c r="E362" s="124">
        <f ca="1"/>
        <v>-0.28904080804777654</v>
      </c>
      <c r="F362" s="125">
        <f ca="1"/>
        <v>-0.13114332596663178</v>
      </c>
      <c r="G362" s="430"/>
      <c r="H362" s="430"/>
      <c r="I362" s="430"/>
    </row>
    <row r="363" spans="2:108">
      <c r="B363" s="430"/>
      <c r="C363" s="430"/>
      <c r="D363" s="430"/>
      <c r="E363" s="124">
        <f ca="1"/>
        <v>-1.3097052116291188</v>
      </c>
      <c r="F363" s="125">
        <f ca="1"/>
        <v>-0.77132035795250675</v>
      </c>
      <c r="G363" s="430"/>
      <c r="H363" s="430"/>
      <c r="I363" s="430"/>
    </row>
    <row r="364" spans="2:108">
      <c r="B364" s="430"/>
      <c r="C364" s="430"/>
      <c r="D364" s="430"/>
      <c r="E364" s="124">
        <f ca="1"/>
        <v>0.32788629545256831</v>
      </c>
      <c r="F364" s="125">
        <f ca="1"/>
        <v>-0.44640862778964918</v>
      </c>
      <c r="G364" s="430"/>
      <c r="H364" s="430"/>
      <c r="I364" s="430"/>
    </row>
    <row r="365" spans="2:108">
      <c r="B365" s="430"/>
      <c r="C365" s="430"/>
      <c r="D365" s="430"/>
      <c r="E365" s="124">
        <f ca="1"/>
        <v>-0.35007770185857218</v>
      </c>
      <c r="F365" s="125">
        <f ca="1"/>
        <v>-0.2158987628205247</v>
      </c>
      <c r="G365" s="430"/>
      <c r="H365" s="430"/>
      <c r="I365" s="430"/>
    </row>
    <row r="366" spans="2:108">
      <c r="B366" s="430"/>
      <c r="C366" s="430"/>
      <c r="D366" s="430"/>
      <c r="E366" s="124">
        <f ca="1"/>
        <v>-1.1500680545803554</v>
      </c>
      <c r="F366" s="125">
        <f ca="1"/>
        <v>-0.6318260811190054</v>
      </c>
      <c r="G366" s="430"/>
      <c r="H366" s="430"/>
      <c r="I366" s="430"/>
    </row>
    <row r="367" spans="2:108">
      <c r="B367" s="430"/>
      <c r="C367" s="430"/>
      <c r="D367" s="430"/>
      <c r="E367" s="124">
        <f ca="1"/>
        <v>0.64691193539250558</v>
      </c>
      <c r="F367" s="125">
        <f ca="1"/>
        <v>0.16330750234458277</v>
      </c>
      <c r="G367" s="430"/>
      <c r="H367" s="430"/>
      <c r="I367" s="430"/>
    </row>
    <row r="368" spans="2:108">
      <c r="B368" s="430"/>
      <c r="C368" s="430"/>
      <c r="D368" s="430"/>
      <c r="E368" s="124">
        <f ca="1"/>
        <v>2.1332675037689501</v>
      </c>
      <c r="F368" s="125">
        <f ca="1"/>
        <v>0.5141581185646944</v>
      </c>
      <c r="G368" s="430"/>
      <c r="H368" s="430"/>
      <c r="I368" s="430"/>
    </row>
    <row r="369" spans="2:9">
      <c r="B369" s="430"/>
      <c r="C369" s="430"/>
      <c r="D369" s="430"/>
      <c r="E369" s="124">
        <f ca="1"/>
        <v>-0.99466901445455624</v>
      </c>
      <c r="F369" s="125">
        <f ca="1"/>
        <v>-0.79085024171276141</v>
      </c>
      <c r="G369" s="430"/>
      <c r="H369" s="430"/>
      <c r="I369" s="430"/>
    </row>
    <row r="370" spans="2:9">
      <c r="B370" s="430"/>
      <c r="C370" s="430"/>
      <c r="D370" s="430"/>
      <c r="E370" s="124">
        <f ca="1"/>
        <v>-0.14279798956905393</v>
      </c>
      <c r="F370" s="125">
        <f ca="1"/>
        <v>-0.31071129788837526</v>
      </c>
      <c r="G370" s="430"/>
      <c r="H370" s="430"/>
      <c r="I370" s="430"/>
    </row>
    <row r="371" spans="2:9">
      <c r="B371" s="430"/>
      <c r="C371" s="430"/>
      <c r="D371" s="430"/>
      <c r="E371" s="124">
        <f ca="1"/>
        <v>1.092291704880513</v>
      </c>
      <c r="F371" s="125">
        <f ca="1"/>
        <v>0.93315283024169848</v>
      </c>
      <c r="G371" s="430"/>
      <c r="H371" s="430"/>
      <c r="I371" s="430"/>
    </row>
    <row r="372" spans="2:9">
      <c r="B372" s="430"/>
      <c r="C372" s="430"/>
      <c r="D372" s="430"/>
      <c r="E372" s="124">
        <f ca="1"/>
        <v>0.80488972711453355</v>
      </c>
      <c r="F372" s="125">
        <f ca="1"/>
        <v>1.4541362445210737</v>
      </c>
      <c r="G372" s="430"/>
      <c r="H372" s="430"/>
      <c r="I372" s="430"/>
    </row>
    <row r="373" spans="2:9">
      <c r="B373" s="430"/>
      <c r="C373" s="430"/>
      <c r="D373" s="430"/>
      <c r="E373" s="124">
        <f ca="1"/>
        <v>0.80605770412109401</v>
      </c>
      <c r="F373" s="125">
        <f ca="1"/>
        <v>0.30077271057027066</v>
      </c>
      <c r="G373" s="430"/>
      <c r="H373" s="430"/>
      <c r="I373" s="430"/>
    </row>
    <row r="374" spans="2:9">
      <c r="B374" s="430"/>
      <c r="C374" s="430"/>
      <c r="D374" s="430"/>
      <c r="E374" s="124">
        <f ca="1"/>
        <v>0.82079536005409337</v>
      </c>
      <c r="F374" s="125">
        <f ca="1"/>
        <v>6.0340443408998967E-2</v>
      </c>
      <c r="G374" s="430"/>
      <c r="H374" s="430"/>
      <c r="I374" s="430"/>
    </row>
    <row r="375" spans="2:9">
      <c r="B375" s="430"/>
      <c r="C375" s="430"/>
      <c r="D375" s="430"/>
      <c r="E375" s="124">
        <f ca="1"/>
        <v>-2.5528312879719279</v>
      </c>
      <c r="F375" s="125">
        <f ca="1"/>
        <v>-0.93906848741894711</v>
      </c>
      <c r="G375" s="430"/>
      <c r="H375" s="430"/>
      <c r="I375" s="430"/>
    </row>
    <row r="376" spans="2:9">
      <c r="B376" s="430"/>
      <c r="C376" s="430"/>
      <c r="D376" s="430"/>
      <c r="E376" s="124">
        <f ca="1"/>
        <v>-0.35508869593067621</v>
      </c>
      <c r="F376" s="125">
        <f ca="1"/>
        <v>-1.1014430688808257</v>
      </c>
      <c r="G376" s="430"/>
      <c r="H376" s="430"/>
      <c r="I376" s="430"/>
    </row>
    <row r="377" spans="2:9">
      <c r="B377" s="430"/>
      <c r="C377" s="430"/>
      <c r="D377" s="430"/>
      <c r="E377" s="124">
        <f ca="1"/>
        <v>-9.1431096942242635E-2</v>
      </c>
      <c r="F377" s="125">
        <f ca="1"/>
        <v>1.2131612383010271</v>
      </c>
      <c r="G377" s="430"/>
      <c r="H377" s="430"/>
      <c r="I377" s="430"/>
    </row>
    <row r="378" spans="2:9">
      <c r="B378" s="430"/>
      <c r="C378" s="430"/>
      <c r="D378" s="430"/>
      <c r="E378" s="124">
        <f ca="1"/>
        <v>-0.21187073507578053</v>
      </c>
      <c r="F378" s="125">
        <f ca="1"/>
        <v>0.41328272517271725</v>
      </c>
      <c r="G378" s="430"/>
      <c r="H378" s="430"/>
      <c r="I378" s="430"/>
    </row>
    <row r="379" spans="2:9">
      <c r="B379" s="430"/>
      <c r="C379" s="430"/>
      <c r="D379" s="430"/>
      <c r="E379" s="124">
        <f ca="1"/>
        <v>-0.30267530359008576</v>
      </c>
      <c r="F379" s="125">
        <f ca="1"/>
        <v>-1.288533726326472</v>
      </c>
      <c r="G379" s="430"/>
      <c r="H379" s="430"/>
      <c r="I379" s="430"/>
    </row>
    <row r="380" spans="2:9">
      <c r="B380" s="430"/>
      <c r="C380" s="430"/>
      <c r="D380" s="430"/>
      <c r="E380" s="124">
        <f ca="1"/>
        <v>0.21279899182954726</v>
      </c>
      <c r="F380" s="125">
        <f ca="1"/>
        <v>-0.3789423448663205</v>
      </c>
      <c r="G380" s="430"/>
      <c r="H380" s="430"/>
      <c r="I380" s="430"/>
    </row>
    <row r="381" spans="2:9">
      <c r="B381" s="430"/>
      <c r="C381" s="430"/>
      <c r="D381" s="430"/>
      <c r="E381" s="124">
        <f ca="1"/>
        <v>5.1409210374823731E-2</v>
      </c>
      <c r="F381" s="125">
        <f ca="1"/>
        <v>-1.8738822833676356</v>
      </c>
      <c r="G381" s="430"/>
      <c r="H381" s="430"/>
      <c r="I381" s="430"/>
    </row>
    <row r="382" spans="2:9">
      <c r="D382" s="430"/>
      <c r="E382" s="124">
        <f ca="1"/>
        <v>0.70685522048944815</v>
      </c>
      <c r="F382" s="125">
        <f ca="1"/>
        <v>1.0028923126608638</v>
      </c>
      <c r="G382" s="430"/>
      <c r="H382" s="430"/>
      <c r="I382" s="430"/>
    </row>
    <row r="383" spans="2:9">
      <c r="E383" s="124">
        <f ca="1"/>
        <v>-0.33198021492010854</v>
      </c>
      <c r="F383" s="125">
        <f ca="1"/>
        <v>-0.74412006725614055</v>
      </c>
      <c r="G383" s="430"/>
    </row>
    <row r="384" spans="2:9">
      <c r="E384" s="124">
        <f ca="1"/>
        <v>-0.88600131746401845</v>
      </c>
      <c r="F384" s="125">
        <f ca="1"/>
        <v>1.931276287589698</v>
      </c>
      <c r="G384" s="430"/>
    </row>
    <row r="385" spans="5:6">
      <c r="E385" s="124">
        <f ca="1"/>
        <v>-6.1108551057670997E-2</v>
      </c>
      <c r="F385" s="125">
        <f ca="1"/>
        <v>0.38857864712905388</v>
      </c>
    </row>
    <row r="386" spans="5:6">
      <c r="E386" s="124">
        <f ca="1"/>
        <v>-0.55874715130596764</v>
      </c>
      <c r="F386" s="125">
        <f ca="1"/>
        <v>-0.15289113445596356</v>
      </c>
    </row>
    <row r="387" spans="5:6">
      <c r="E387" s="124">
        <f ca="1"/>
        <v>1.0965073943909254</v>
      </c>
      <c r="F387" s="125">
        <f ca="1"/>
        <v>0.22389670655705418</v>
      </c>
    </row>
    <row r="388" spans="5:6">
      <c r="E388" s="124">
        <f ca="1"/>
        <v>0.44051757578957157</v>
      </c>
      <c r="F388" s="125">
        <f ca="1"/>
        <v>-0.59697631692200226</v>
      </c>
    </row>
    <row r="389" spans="5:6">
      <c r="E389" s="124">
        <f ca="1"/>
        <v>-0.24037216180075424</v>
      </c>
      <c r="F389" s="125">
        <f ca="1"/>
        <v>-1.0904447104487331</v>
      </c>
    </row>
    <row r="390" spans="5:6">
      <c r="E390" s="124">
        <f ca="1"/>
        <v>-8.8166823894022877E-4</v>
      </c>
      <c r="F390" s="125">
        <f ca="1"/>
        <v>-0.14206662939394221</v>
      </c>
    </row>
    <row r="391" spans="5:6">
      <c r="E391" s="124">
        <f ca="1"/>
        <v>-0.14969739262215401</v>
      </c>
      <c r="F391" s="125">
        <f ca="1"/>
        <v>-0.54389019516318227</v>
      </c>
    </row>
    <row r="392" spans="5:6">
      <c r="E392" s="124">
        <f ca="1"/>
        <v>-0.92083350795883689</v>
      </c>
      <c r="F392" s="125">
        <f ca="1"/>
        <v>-0.6532211587259702</v>
      </c>
    </row>
    <row r="393" spans="5:6">
      <c r="E393" s="124">
        <f ca="1"/>
        <v>-1.0764899712107359</v>
      </c>
      <c r="F393" s="125">
        <f ca="1"/>
        <v>-0.62558832667807129</v>
      </c>
    </row>
    <row r="394" spans="5:6">
      <c r="E394" s="124">
        <f ca="1"/>
        <v>-0.21947173866600425</v>
      </c>
      <c r="F394" s="125">
        <f ca="1"/>
        <v>-1.9825498064517193</v>
      </c>
    </row>
    <row r="395" spans="5:6">
      <c r="E395" s="124">
        <f ca="1"/>
        <v>0.91605467339775526</v>
      </c>
      <c r="F395" s="125">
        <f ca="1"/>
        <v>2.0018973536605671</v>
      </c>
    </row>
    <row r="396" spans="5:6">
      <c r="E396" s="124">
        <f ca="1"/>
        <v>-0.8444992802006771</v>
      </c>
      <c r="F396" s="125">
        <f ca="1"/>
        <v>-1.6568717233794024</v>
      </c>
    </row>
    <row r="397" spans="5:6">
      <c r="E397" s="124">
        <f ca="1"/>
        <v>1.2682963768981825</v>
      </c>
      <c r="F397" s="125">
        <f ca="1"/>
        <v>-0.31174255977801213</v>
      </c>
    </row>
    <row r="398" spans="5:6">
      <c r="E398" s="124">
        <f ca="1"/>
        <v>7.9542410013188777E-2</v>
      </c>
      <c r="F398" s="125">
        <f ca="1"/>
        <v>0.46488023069332784</v>
      </c>
    </row>
    <row r="399" spans="5:6">
      <c r="E399" s="124">
        <f ca="1"/>
        <v>1.4640300463756799</v>
      </c>
      <c r="F399" s="125">
        <f ca="1"/>
        <v>0.15418034983715145</v>
      </c>
    </row>
    <row r="400" spans="5:6">
      <c r="E400" s="124">
        <f ca="1"/>
        <v>0.96357590104857871</v>
      </c>
      <c r="F400" s="125">
        <f ca="1"/>
        <v>0.58988453502361859</v>
      </c>
    </row>
    <row r="401" spans="5:6">
      <c r="E401" s="124">
        <f ca="1"/>
        <v>0.30429192596407545</v>
      </c>
      <c r="F401" s="125">
        <f ca="1"/>
        <v>-0.5658548187915855</v>
      </c>
    </row>
    <row r="402" spans="5:6">
      <c r="E402" s="124">
        <f ca="1"/>
        <v>-0.89553364635263466</v>
      </c>
      <c r="F402" s="125">
        <f ca="1"/>
        <v>0.84636171659955217</v>
      </c>
    </row>
    <row r="403" spans="5:6">
      <c r="E403" s="124">
        <f ca="1"/>
        <v>1.7215300670511962</v>
      </c>
      <c r="F403" s="125">
        <f ca="1"/>
        <v>9.7436835425233292E-2</v>
      </c>
    </row>
    <row r="404" spans="5:6">
      <c r="E404" s="124">
        <f ca="1"/>
        <v>1.720830635000675</v>
      </c>
      <c r="F404" s="125">
        <f ca="1"/>
        <v>1.0680493815912231</v>
      </c>
    </row>
    <row r="405" spans="5:6">
      <c r="E405" s="124">
        <f ca="1"/>
        <v>1.1800027393927328</v>
      </c>
      <c r="F405" s="125">
        <f ca="1"/>
        <v>-0.68984026678608856</v>
      </c>
    </row>
    <row r="406" spans="5:6">
      <c r="E406" s="124">
        <f ca="1"/>
        <v>-0.18806037521523697</v>
      </c>
      <c r="F406" s="125">
        <f ca="1"/>
        <v>0.33552774842138905</v>
      </c>
    </row>
    <row r="407" spans="5:6">
      <c r="E407" s="124">
        <f ca="1"/>
        <v>0.89115808668949248</v>
      </c>
      <c r="F407" s="125">
        <f ca="1"/>
        <v>1.6116385324900733</v>
      </c>
    </row>
    <row r="408" spans="5:6">
      <c r="E408" s="124">
        <f ca="1"/>
        <v>1.0044329379325341E-2</v>
      </c>
      <c r="F408" s="125">
        <f ca="1"/>
        <v>8.7580589072781836E-2</v>
      </c>
    </row>
    <row r="409" spans="5:6">
      <c r="E409" s="124">
        <f ca="1"/>
        <v>0.50225278398034379</v>
      </c>
      <c r="F409" s="125">
        <f ca="1"/>
        <v>-1.0459785177088876</v>
      </c>
    </row>
    <row r="410" spans="5:6">
      <c r="E410" s="124">
        <f ca="1"/>
        <v>2.6249780866021383E-2</v>
      </c>
      <c r="F410" s="125">
        <f ca="1"/>
        <v>0.18348089637100526</v>
      </c>
    </row>
    <row r="411" spans="5:6">
      <c r="E411" s="124">
        <f ca="1"/>
        <v>0.50433622145908918</v>
      </c>
      <c r="F411" s="125">
        <f ca="1"/>
        <v>-0.79726646667356205</v>
      </c>
    </row>
    <row r="412" spans="5:6">
      <c r="E412" s="124">
        <f ca="1"/>
        <v>-2.1496502133888749</v>
      </c>
      <c r="F412" s="125">
        <f ca="1"/>
        <v>-2.6038828407039869</v>
      </c>
    </row>
    <row r="413" spans="5:6">
      <c r="E413" s="124">
        <f ca="1"/>
        <v>0.98500956747093471</v>
      </c>
      <c r="F413" s="125">
        <f ca="1"/>
        <v>0.25895359302116328</v>
      </c>
    </row>
    <row r="414" spans="5:6">
      <c r="E414" s="124">
        <f ca="1"/>
        <v>0.61793246371250865</v>
      </c>
      <c r="F414" s="125">
        <f ca="1"/>
        <v>-0.26116679452390029</v>
      </c>
    </row>
    <row r="415" spans="5:6">
      <c r="E415" s="124">
        <f ca="1"/>
        <v>0.29691031563146875</v>
      </c>
      <c r="F415" s="125">
        <f ca="1"/>
        <v>-0.36719619291951078</v>
      </c>
    </row>
    <row r="416" spans="5:6">
      <c r="E416" s="124">
        <f ca="1"/>
        <v>2.473226548926343</v>
      </c>
      <c r="F416" s="125">
        <f ca="1"/>
        <v>1.4788301555563361</v>
      </c>
    </row>
    <row r="417" spans="5:6">
      <c r="E417" s="124">
        <f ca="1"/>
        <v>0.42641284474781083</v>
      </c>
      <c r="F417" s="125">
        <f ca="1"/>
        <v>0.9917780957273985</v>
      </c>
    </row>
    <row r="418" spans="5:6">
      <c r="E418" s="124">
        <f ca="1"/>
        <v>-0.98270009982047668</v>
      </c>
      <c r="F418" s="125">
        <f ca="1"/>
        <v>-1.7597574684440569</v>
      </c>
    </row>
    <row r="419" spans="5:6">
      <c r="E419" s="124">
        <f ca="1"/>
        <v>-0.10619811325803392</v>
      </c>
      <c r="F419" s="125">
        <f ca="1"/>
        <v>0.78540808588238253</v>
      </c>
    </row>
    <row r="420" spans="5:6">
      <c r="E420" s="124">
        <f ca="1"/>
        <v>-1.1424438777784323</v>
      </c>
      <c r="F420" s="125">
        <f ca="1"/>
        <v>-0.67239730283557686</v>
      </c>
    </row>
    <row r="421" spans="5:6">
      <c r="E421" s="124">
        <f ca="1"/>
        <v>-0.21243260074195636</v>
      </c>
      <c r="F421" s="125">
        <f ca="1"/>
        <v>0.69779561595897988</v>
      </c>
    </row>
    <row r="422" spans="5:6">
      <c r="E422" s="124">
        <f ca="1"/>
        <v>-0.31907668375768672</v>
      </c>
      <c r="F422" s="125">
        <f ca="1"/>
        <v>0.40312133513288823</v>
      </c>
    </row>
    <row r="423" spans="5:6">
      <c r="E423" s="124">
        <f ca="1"/>
        <v>0.33468800840166441</v>
      </c>
      <c r="F423" s="125">
        <f ca="1"/>
        <v>-0.51737760632027097</v>
      </c>
    </row>
    <row r="424" spans="5:6">
      <c r="E424" s="124">
        <f ca="1"/>
        <v>0.50499676151927686</v>
      </c>
      <c r="F424" s="125">
        <f ca="1"/>
        <v>-1.3967719780239771</v>
      </c>
    </row>
    <row r="425" spans="5:6">
      <c r="E425" s="124">
        <f ca="1"/>
        <v>0.863608628387463</v>
      </c>
      <c r="F425" s="125">
        <f ca="1"/>
        <v>1.7669497901936559E-2</v>
      </c>
    </row>
    <row r="426" spans="5:6">
      <c r="E426" s="124">
        <f ca="1"/>
        <v>-2.7587630599172877</v>
      </c>
      <c r="F426" s="125">
        <f ca="1"/>
        <v>-0.36719850654584918</v>
      </c>
    </row>
    <row r="427" spans="5:6">
      <c r="E427" s="124">
        <f ca="1"/>
        <v>0.46240265761130123</v>
      </c>
      <c r="F427" s="125">
        <f ca="1"/>
        <v>0.41754659097565339</v>
      </c>
    </row>
    <row r="428" spans="5:6">
      <c r="E428" s="124">
        <f ca="1"/>
        <v>-0.33389589259671326</v>
      </c>
      <c r="F428" s="125">
        <f ca="1"/>
        <v>0.38993347773094911</v>
      </c>
    </row>
    <row r="429" spans="5:6">
      <c r="E429" s="124">
        <f ca="1"/>
        <v>1.028058069270616</v>
      </c>
      <c r="F429" s="125">
        <f ca="1"/>
        <v>-1.6547266679371242</v>
      </c>
    </row>
    <row r="430" spans="5:6">
      <c r="E430" s="124">
        <f ca="1"/>
        <v>-1.5659571515789519</v>
      </c>
      <c r="F430" s="125">
        <f ca="1"/>
        <v>-0.49870755076942025</v>
      </c>
    </row>
    <row r="431" spans="5:6">
      <c r="E431" s="124">
        <f ca="1"/>
        <v>0.70609350471998489</v>
      </c>
      <c r="F431" s="125">
        <f ca="1"/>
        <v>1.2108119898887917</v>
      </c>
    </row>
    <row r="432" spans="5:6">
      <c r="E432" s="124">
        <f ca="1"/>
        <v>0.80411972151375544</v>
      </c>
      <c r="F432" s="125">
        <f ca="1"/>
        <v>-7.3410643817291454E-2</v>
      </c>
    </row>
    <row r="433" spans="5:6">
      <c r="E433" s="124">
        <f ca="1"/>
        <v>1.7547755576057253</v>
      </c>
      <c r="F433" s="125">
        <f ca="1"/>
        <v>1.2650060777978471</v>
      </c>
    </row>
    <row r="434" spans="5:6">
      <c r="E434" s="124">
        <f ca="1"/>
        <v>-0.3859436116857301</v>
      </c>
      <c r="F434" s="125">
        <f ca="1"/>
        <v>-0.5140861535916883</v>
      </c>
    </row>
    <row r="435" spans="5:6">
      <c r="E435" s="124">
        <f ca="1"/>
        <v>-1.6169891726572032</v>
      </c>
      <c r="F435" s="125">
        <f ca="1"/>
        <v>-1.0241786448096504</v>
      </c>
    </row>
    <row r="436" spans="5:6">
      <c r="E436" s="124">
        <f ca="1"/>
        <v>0.53167290579956916</v>
      </c>
      <c r="F436" s="125">
        <f ca="1"/>
        <v>-0.66222878597165336</v>
      </c>
    </row>
    <row r="437" spans="5:6">
      <c r="E437" s="124">
        <f ca="1"/>
        <v>6.5443228707294687E-2</v>
      </c>
      <c r="F437" s="125">
        <f ca="1"/>
        <v>-0.50032654437531465</v>
      </c>
    </row>
    <row r="438" spans="5:6">
      <c r="E438" s="124">
        <f ca="1"/>
        <v>-2.1987215358931604E-2</v>
      </c>
      <c r="F438" s="125">
        <f ca="1"/>
        <v>-0.57793881436663241</v>
      </c>
    </row>
    <row r="439" spans="5:6">
      <c r="E439" s="124">
        <f ca="1"/>
        <v>0.46256721575986759</v>
      </c>
      <c r="F439" s="125">
        <f ca="1"/>
        <v>0.56688633803313615</v>
      </c>
    </row>
    <row r="440" spans="5:6">
      <c r="E440" s="124">
        <f ca="1"/>
        <v>1.9247923185797389</v>
      </c>
      <c r="F440" s="125">
        <f ca="1"/>
        <v>1.3529757645210971</v>
      </c>
    </row>
    <row r="441" spans="5:6">
      <c r="E441" s="124">
        <f ca="1"/>
        <v>0.67152742633508133</v>
      </c>
      <c r="F441" s="125">
        <f ca="1"/>
        <v>-0.95609413111295227</v>
      </c>
    </row>
    <row r="442" spans="5:6">
      <c r="E442" s="124">
        <f ca="1"/>
        <v>0.9780203880833418</v>
      </c>
      <c r="F442" s="125">
        <f ca="1"/>
        <v>-1.1819663997930725</v>
      </c>
    </row>
    <row r="443" spans="5:6">
      <c r="E443" s="124">
        <f ca="1"/>
        <v>9.7776697591451453E-2</v>
      </c>
      <c r="F443" s="125">
        <f ca="1"/>
        <v>0.35874386780712708</v>
      </c>
    </row>
    <row r="444" spans="5:6">
      <c r="E444" s="124">
        <f ca="1"/>
        <v>0.27993766822148569</v>
      </c>
      <c r="F444" s="125">
        <f ca="1"/>
        <v>1.4468935158775549</v>
      </c>
    </row>
    <row r="445" spans="5:6">
      <c r="E445" s="124">
        <f ca="1"/>
        <v>-0.62779716766341387</v>
      </c>
      <c r="F445" s="125">
        <f ca="1"/>
        <v>0.11048267487121821</v>
      </c>
    </row>
    <row r="446" spans="5:6">
      <c r="E446" s="124">
        <f ca="1"/>
        <v>0.16243660080584485</v>
      </c>
      <c r="F446" s="125">
        <f ca="1"/>
        <v>-1.1153858107005596</v>
      </c>
    </row>
    <row r="447" spans="5:6">
      <c r="E447" s="124">
        <f ca="1"/>
        <v>0.9860723619258096</v>
      </c>
      <c r="F447" s="125">
        <f ca="1"/>
        <v>0.65669165130257201</v>
      </c>
    </row>
    <row r="448" spans="5:6">
      <c r="E448" s="124">
        <f ca="1"/>
        <v>2.7930281231195897</v>
      </c>
      <c r="F448" s="125">
        <f ca="1"/>
        <v>-0.26820361808402216</v>
      </c>
    </row>
    <row r="449" spans="5:6">
      <c r="E449" s="124">
        <f ca="1"/>
        <v>0.62792680297973469</v>
      </c>
      <c r="F449" s="125">
        <f ca="1"/>
        <v>-0.31735748852766066</v>
      </c>
    </row>
    <row r="450" spans="5:6">
      <c r="E450" s="124">
        <f ca="1"/>
        <v>-0.65969703489988807</v>
      </c>
      <c r="F450" s="125">
        <f ca="1"/>
        <v>-1.2439226638226892</v>
      </c>
    </row>
    <row r="451" spans="5:6">
      <c r="E451" s="124">
        <f ca="1"/>
        <v>1.0826951457065646</v>
      </c>
      <c r="F451" s="125">
        <f ca="1"/>
        <v>-0.14723042317928869</v>
      </c>
    </row>
    <row r="452" spans="5:6">
      <c r="E452" s="124">
        <f ca="1"/>
        <v>-2.1868193390200261</v>
      </c>
      <c r="F452" s="125">
        <f ca="1"/>
        <v>-9.0250202716002148E-2</v>
      </c>
    </row>
    <row r="453" spans="5:6">
      <c r="E453" s="124">
        <f ca="1"/>
        <v>-0.51374156559767825</v>
      </c>
      <c r="F453" s="125">
        <f ca="1"/>
        <v>-0.38616334194847429</v>
      </c>
    </row>
    <row r="454" spans="5:6">
      <c r="E454" s="124">
        <f ca="1"/>
        <v>-1.3466588678274796</v>
      </c>
      <c r="F454" s="125">
        <f ca="1"/>
        <v>-1.4269074673359015</v>
      </c>
    </row>
    <row r="455" spans="5:6">
      <c r="E455" s="124">
        <f ca="1"/>
        <v>0.27808394980380907</v>
      </c>
      <c r="F455" s="125">
        <f ca="1"/>
        <v>-0.2313908448144856</v>
      </c>
    </row>
    <row r="456" spans="5:6">
      <c r="E456" s="124">
        <f ca="1"/>
        <v>1.5462889736876682</v>
      </c>
      <c r="F456" s="125">
        <f ca="1"/>
        <v>0.24550932458339358</v>
      </c>
    </row>
    <row r="457" spans="5:6">
      <c r="E457" s="124">
        <f ca="1"/>
        <v>-0.5923458699002222</v>
      </c>
      <c r="F457" s="125">
        <f ca="1"/>
        <v>-1.7487776314028172</v>
      </c>
    </row>
    <row r="458" spans="5:6">
      <c r="E458" s="124">
        <f ca="1"/>
        <v>1.9342596462199904</v>
      </c>
      <c r="F458" s="125">
        <f ca="1"/>
        <v>0.84098735904030919</v>
      </c>
    </row>
    <row r="459" spans="5:6">
      <c r="E459" s="124">
        <f ca="1"/>
        <v>1.1920352851635663</v>
      </c>
      <c r="F459" s="125">
        <f ca="1"/>
        <v>0.87536147648567963</v>
      </c>
    </row>
    <row r="460" spans="5:6">
      <c r="E460" s="124">
        <f ca="1"/>
        <v>-2.1354251794755204E-2</v>
      </c>
      <c r="F460" s="125">
        <f ca="1"/>
        <v>-1.3234815477346407</v>
      </c>
    </row>
    <row r="461" spans="5:6">
      <c r="E461" s="124">
        <f ca="1"/>
        <v>-0.55942050834103574</v>
      </c>
      <c r="F461" s="125">
        <f ca="1"/>
        <v>0.725925611984374</v>
      </c>
    </row>
    <row r="462" spans="5:6">
      <c r="E462" s="124">
        <f ca="1"/>
        <v>-0.40991003456258013</v>
      </c>
      <c r="F462" s="125">
        <f ca="1"/>
        <v>0.49322847009673576</v>
      </c>
    </row>
    <row r="463" spans="5:6">
      <c r="E463" s="124">
        <f ca="1"/>
        <v>2.1988514227094039E-2</v>
      </c>
      <c r="F463" s="125">
        <f ca="1"/>
        <v>-1.5016919635001784</v>
      </c>
    </row>
    <row r="464" spans="5:6">
      <c r="E464" s="124">
        <f ca="1"/>
        <v>0.59135175634258896</v>
      </c>
      <c r="F464" s="125">
        <f ca="1"/>
        <v>-0.1341985937313846</v>
      </c>
    </row>
    <row r="465" spans="5:6">
      <c r="E465" s="124">
        <f ca="1"/>
        <v>-1.0507271193416956</v>
      </c>
      <c r="F465" s="125">
        <f ca="1"/>
        <v>-0.51912754978794962</v>
      </c>
    </row>
    <row r="466" spans="5:6">
      <c r="E466" s="124">
        <f ca="1"/>
        <v>-2.2939473468112239</v>
      </c>
      <c r="F466" s="125">
        <f ca="1"/>
        <v>-0.43243086924508789</v>
      </c>
    </row>
    <row r="467" spans="5:6">
      <c r="E467" s="124">
        <f ca="1"/>
        <v>0.48984251587331651</v>
      </c>
      <c r="F467" s="125">
        <f ca="1"/>
        <v>0.3629032062244425</v>
      </c>
    </row>
    <row r="468" spans="5:6">
      <c r="E468" s="124">
        <f ca="1"/>
        <v>0.70615194140562998</v>
      </c>
      <c r="F468" s="125">
        <f ca="1"/>
        <v>9.2672912177603151E-2</v>
      </c>
    </row>
    <row r="469" spans="5:6">
      <c r="E469" s="124">
        <f ca="1"/>
        <v>1.2259167836294167</v>
      </c>
      <c r="F469" s="125">
        <f ca="1"/>
        <v>1.0843921508589793</v>
      </c>
    </row>
    <row r="470" spans="5:6">
      <c r="E470" s="124">
        <f ca="1"/>
        <v>0.44378998344608472</v>
      </c>
      <c r="F470" s="125">
        <f ca="1"/>
        <v>-1.0519840370414137</v>
      </c>
    </row>
    <row r="471" spans="5:6">
      <c r="E471" s="124">
        <f ca="1"/>
        <v>9.6224928363146583E-2</v>
      </c>
      <c r="F471" s="125">
        <f ca="1"/>
        <v>0.93412184024248879</v>
      </c>
    </row>
    <row r="472" spans="5:6">
      <c r="E472" s="124">
        <f ca="1"/>
        <v>-0.8762556877814629</v>
      </c>
      <c r="F472" s="125">
        <f ca="1"/>
        <v>0.36321090216841856</v>
      </c>
    </row>
    <row r="473" spans="5:6">
      <c r="E473" s="124">
        <f ca="1"/>
        <v>0.72810708935373014</v>
      </c>
      <c r="F473" s="125">
        <f ca="1"/>
        <v>-1.2747175556680839</v>
      </c>
    </row>
    <row r="474" spans="5:6">
      <c r="E474" s="124">
        <f ca="1"/>
        <v>0.43017177828252023</v>
      </c>
      <c r="F474" s="125">
        <f ca="1"/>
        <v>0.59960909012051</v>
      </c>
    </row>
    <row r="475" spans="5:6">
      <c r="E475" s="124">
        <f ca="1"/>
        <v>-9.9853780857881491E-2</v>
      </c>
      <c r="F475" s="125">
        <f ca="1"/>
        <v>8.641964573385108E-2</v>
      </c>
    </row>
    <row r="476" spans="5:6">
      <c r="E476" s="124">
        <f ca="1"/>
        <v>1.3476990609315769</v>
      </c>
      <c r="F476" s="125">
        <f ca="1"/>
        <v>0.72722292187024484</v>
      </c>
    </row>
    <row r="477" spans="5:6">
      <c r="E477" s="124">
        <f ca="1"/>
        <v>0.43254942321321643</v>
      </c>
      <c r="F477" s="125">
        <f ca="1"/>
        <v>0.6796151935048973</v>
      </c>
    </row>
    <row r="478" spans="5:6">
      <c r="E478" s="124">
        <f ca="1"/>
        <v>-0.98579270828865395</v>
      </c>
      <c r="F478" s="125">
        <f ca="1"/>
        <v>-1.1020004327000179</v>
      </c>
    </row>
    <row r="479" spans="5:6">
      <c r="E479" s="124">
        <f ca="1"/>
        <v>0.13757711286725449</v>
      </c>
      <c r="F479" s="125">
        <f ca="1"/>
        <v>0.55214171914025978</v>
      </c>
    </row>
    <row r="480" spans="5:6">
      <c r="E480" s="124">
        <f ca="1"/>
        <v>1.3443248184039669</v>
      </c>
      <c r="F480" s="125">
        <f ca="1"/>
        <v>2.0675126085644502</v>
      </c>
    </row>
    <row r="481" spans="5:6">
      <c r="E481" s="124">
        <f ca="1"/>
        <v>0.80782203516718254</v>
      </c>
      <c r="F481" s="125">
        <f ca="1"/>
        <v>0.96258203767303374</v>
      </c>
    </row>
    <row r="482" spans="5:6">
      <c r="E482" s="124">
        <f ca="1"/>
        <v>-0.45554694662875511</v>
      </c>
      <c r="F482" s="125">
        <f ca="1"/>
        <v>-0.26785985321647476</v>
      </c>
    </row>
    <row r="483" spans="5:6">
      <c r="E483" s="124">
        <f ca="1"/>
        <v>1.1490936456210052</v>
      </c>
      <c r="F483" s="125">
        <f ca="1"/>
        <v>0.64148097884025645</v>
      </c>
    </row>
    <row r="484" spans="5:6">
      <c r="E484" s="124">
        <f ca="1"/>
        <v>0.52525898259965065</v>
      </c>
      <c r="F484" s="125">
        <f ca="1"/>
        <v>1.4662366261009321</v>
      </c>
    </row>
    <row r="485" spans="5:6">
      <c r="E485" s="124">
        <f ca="1"/>
        <v>1.0849418236383948</v>
      </c>
      <c r="F485" s="125">
        <f ca="1"/>
        <v>1.711174537974709</v>
      </c>
    </row>
    <row r="486" spans="5:6">
      <c r="E486" s="124">
        <f ca="1"/>
        <v>-0.62663170461412543</v>
      </c>
      <c r="F486" s="125">
        <f ca="1"/>
        <v>0.39816504441769107</v>
      </c>
    </row>
    <row r="487" spans="5:6">
      <c r="E487" s="124">
        <f ca="1"/>
        <v>-0.506742454491937</v>
      </c>
      <c r="F487" s="125">
        <f ca="1"/>
        <v>0.6669141242949197</v>
      </c>
    </row>
    <row r="488" spans="5:6">
      <c r="E488" s="124">
        <f ca="1"/>
        <v>4.7540172641717976E-2</v>
      </c>
      <c r="F488" s="125">
        <f ca="1"/>
        <v>0.42288059296144903</v>
      </c>
    </row>
    <row r="489" spans="5:6">
      <c r="E489" s="124">
        <f ca="1"/>
        <v>2.0691183604794094</v>
      </c>
      <c r="F489" s="125">
        <f ca="1"/>
        <v>1.6587622090339909</v>
      </c>
    </row>
    <row r="490" spans="5:6">
      <c r="E490" s="124">
        <f ca="1"/>
        <v>-0.925057575262345</v>
      </c>
      <c r="F490" s="125">
        <f ca="1"/>
        <v>-0.42510486449910184</v>
      </c>
    </row>
    <row r="491" spans="5:6">
      <c r="E491" s="124">
        <f ca="1"/>
        <v>0.59345089881883117</v>
      </c>
      <c r="F491" s="125">
        <f ca="1"/>
        <v>0.72862405941001085</v>
      </c>
    </row>
    <row r="492" spans="5:6">
      <c r="E492" s="124">
        <f ca="1"/>
        <v>-8.0685653261843113E-2</v>
      </c>
      <c r="F492" s="125">
        <f ca="1"/>
        <v>1.731766618511305</v>
      </c>
    </row>
    <row r="493" spans="5:6">
      <c r="E493" s="124">
        <f ca="1"/>
        <v>-0.10210221862083954</v>
      </c>
      <c r="F493" s="125">
        <f ca="1"/>
        <v>-0.25689637294908702</v>
      </c>
    </row>
    <row r="494" spans="5:6">
      <c r="E494" s="124">
        <f ca="1"/>
        <v>-0.12827791600451344</v>
      </c>
      <c r="F494" s="125">
        <f ca="1"/>
        <v>-1.4127687455611357</v>
      </c>
    </row>
    <row r="495" spans="5:6">
      <c r="E495" s="124">
        <f ca="1"/>
        <v>0.44539774631615076</v>
      </c>
      <c r="F495" s="125">
        <f ca="1"/>
        <v>-0.39502098161145527</v>
      </c>
    </row>
    <row r="496" spans="5:6">
      <c r="E496" s="124">
        <f ca="1"/>
        <v>-0.26354671448282113</v>
      </c>
      <c r="F496" s="125">
        <f ca="1"/>
        <v>0.84554057148406003</v>
      </c>
    </row>
    <row r="497" spans="5:6">
      <c r="E497" s="124">
        <f ca="1"/>
        <v>1.2013235212028235</v>
      </c>
      <c r="F497" s="125">
        <f ca="1"/>
        <v>0.26351609490897043</v>
      </c>
    </row>
    <row r="498" spans="5:6">
      <c r="E498" s="124">
        <f ca="1"/>
        <v>0.81312021724325545</v>
      </c>
      <c r="F498" s="125">
        <f ca="1"/>
        <v>-1.0403167836372549</v>
      </c>
    </row>
    <row r="499" spans="5:6">
      <c r="E499" s="124">
        <f ca="1"/>
        <v>-4.2323241996771725E-2</v>
      </c>
      <c r="F499" s="125">
        <f ca="1"/>
        <v>-0.68121269443834886</v>
      </c>
    </row>
    <row r="500" spans="5:6">
      <c r="E500" s="124">
        <f ca="1"/>
        <v>-1.6548896512828936E-2</v>
      </c>
      <c r="F500" s="125">
        <f ca="1"/>
        <v>-0.23548378140150569</v>
      </c>
    </row>
    <row r="501" spans="5:6">
      <c r="E501" s="124">
        <f ca="1"/>
        <v>-0.21798606731311601</v>
      </c>
      <c r="F501" s="125">
        <f ca="1"/>
        <v>-0.73873213346534672</v>
      </c>
    </row>
    <row r="502" spans="5:6">
      <c r="E502" s="124">
        <f ca="1"/>
        <v>0.59461000541069997</v>
      </c>
      <c r="F502" s="125">
        <f ca="1"/>
        <v>0.45331957473435291</v>
      </c>
    </row>
    <row r="503" spans="5:6">
      <c r="E503" s="124">
        <f ca="1"/>
        <v>-1.570800215687598</v>
      </c>
      <c r="F503" s="125">
        <f ca="1"/>
        <v>-0.78302219841522325</v>
      </c>
    </row>
    <row r="504" spans="5:6">
      <c r="E504" s="124">
        <f ca="1"/>
        <v>0.81695537082956271</v>
      </c>
      <c r="F504" s="125">
        <f ca="1"/>
        <v>0.37735640894415962</v>
      </c>
    </row>
    <row r="505" spans="5:6">
      <c r="E505" s="124">
        <f ca="1"/>
        <v>0.4991414877992304</v>
      </c>
      <c r="F505" s="125">
        <f ca="1"/>
        <v>-0.68068778452307965</v>
      </c>
    </row>
    <row r="506" spans="5:6">
      <c r="E506" s="124">
        <f ca="1"/>
        <v>-0.38120894845031827</v>
      </c>
      <c r="F506" s="125">
        <f ca="1"/>
        <v>-0.34638739553559389</v>
      </c>
    </row>
    <row r="507" spans="5:6">
      <c r="E507" s="124">
        <f ca="1"/>
        <v>-2.25076658419695</v>
      </c>
      <c r="F507" s="125">
        <f ca="1"/>
        <v>0.10220883506805922</v>
      </c>
    </row>
    <row r="508" spans="5:6">
      <c r="E508" s="124">
        <f ca="1"/>
        <v>1.3386245087251876</v>
      </c>
      <c r="F508" s="125">
        <f ca="1"/>
        <v>0.53453828680107107</v>
      </c>
    </row>
    <row r="509" spans="5:6">
      <c r="E509" s="124">
        <f ca="1"/>
        <v>-0.33280389867021648</v>
      </c>
      <c r="F509" s="125">
        <f ca="1"/>
        <v>0.3316280478358099</v>
      </c>
    </row>
    <row r="510" spans="5:6">
      <c r="E510" s="124">
        <f ca="1"/>
        <v>0.56184004420843314</v>
      </c>
      <c r="F510" s="125">
        <f ca="1"/>
        <v>-0.77382383446858305</v>
      </c>
    </row>
    <row r="511" spans="5:6">
      <c r="E511" s="124">
        <f ca="1"/>
        <v>0.2296039222600787</v>
      </c>
      <c r="F511" s="125">
        <f ca="1"/>
        <v>0.18066190052338249</v>
      </c>
    </row>
    <row r="512" spans="5:6">
      <c r="E512" s="124">
        <f ca="1"/>
        <v>1.2660233063563722</v>
      </c>
      <c r="F512" s="125">
        <f ca="1"/>
        <v>-0.30548795135767115</v>
      </c>
    </row>
    <row r="513" spans="5:6">
      <c r="E513" s="124">
        <f ca="1"/>
        <v>-4.9122462980273743E-2</v>
      </c>
      <c r="F513" s="125">
        <f ca="1"/>
        <v>0.50578864005690882</v>
      </c>
    </row>
    <row r="514" spans="5:6">
      <c r="E514" s="124">
        <f ca="1"/>
        <v>-0.20136053851420513</v>
      </c>
      <c r="F514" s="125">
        <f ca="1"/>
        <v>-0.54954365689927509</v>
      </c>
    </row>
    <row r="515" spans="5:6">
      <c r="E515" s="124">
        <f ca="1"/>
        <v>-0.83075713527444417</v>
      </c>
      <c r="F515" s="125">
        <f ca="1"/>
        <v>-1.1717083101091978</v>
      </c>
    </row>
    <row r="516" spans="5:6">
      <c r="E516" s="124">
        <f ca="1"/>
        <v>-8.1515249102279419E-2</v>
      </c>
      <c r="F516" s="125">
        <f ca="1"/>
        <v>1.0304467363717635</v>
      </c>
    </row>
    <row r="517" spans="5:6">
      <c r="E517" s="124">
        <f ca="1"/>
        <v>0.42060061179352987</v>
      </c>
      <c r="F517" s="125">
        <f ca="1"/>
        <v>1.662823310112947</v>
      </c>
    </row>
    <row r="518" spans="5:6">
      <c r="E518" s="124">
        <f ca="1"/>
        <v>1.3042580425018544</v>
      </c>
      <c r="F518" s="125">
        <f ca="1"/>
        <v>1.3219954339398186</v>
      </c>
    </row>
    <row r="519" spans="5:6">
      <c r="E519" s="124">
        <f ca="1"/>
        <v>1.903663328597879</v>
      </c>
      <c r="F519" s="125">
        <f ca="1"/>
        <v>0.3503030131259961</v>
      </c>
    </row>
    <row r="520" spans="5:6">
      <c r="E520" s="124">
        <f ca="1"/>
        <v>0.34126673979749322</v>
      </c>
      <c r="F520" s="125">
        <f ca="1"/>
        <v>-0.51015126805654698</v>
      </c>
    </row>
    <row r="521" spans="5:6">
      <c r="E521" s="124">
        <f ca="1"/>
        <v>-8.2646524328612386E-2</v>
      </c>
      <c r="F521" s="125">
        <f ca="1"/>
        <v>1.8891529562242255</v>
      </c>
    </row>
    <row r="522" spans="5:6">
      <c r="E522" s="124">
        <f ca="1"/>
        <v>8.2384361896065766E-2</v>
      </c>
      <c r="F522" s="125">
        <f ca="1"/>
        <v>-1.1060452282207176</v>
      </c>
    </row>
    <row r="523" spans="5:6">
      <c r="E523" s="124">
        <f ca="1"/>
        <v>-2.069075586550726</v>
      </c>
      <c r="F523" s="125">
        <f ca="1"/>
        <v>-1.1617873239555496</v>
      </c>
    </row>
    <row r="524" spans="5:6">
      <c r="E524" s="124">
        <f ca="1"/>
        <v>-0.71433261283908289</v>
      </c>
      <c r="F524" s="125">
        <f ca="1"/>
        <v>-0.3154772543327985</v>
      </c>
    </row>
    <row r="525" spans="5:6">
      <c r="E525" s="124">
        <f ca="1"/>
        <v>-0.6285170754115107</v>
      </c>
      <c r="F525" s="125">
        <f ca="1"/>
        <v>0.23664941123335564</v>
      </c>
    </row>
    <row r="526" spans="5:6">
      <c r="E526" s="124">
        <f ca="1"/>
        <v>1.6118611296858081</v>
      </c>
      <c r="F526" s="125">
        <f ca="1"/>
        <v>6.1293097251867712E-3</v>
      </c>
    </row>
    <row r="527" spans="5:6">
      <c r="E527" s="124">
        <f ca="1"/>
        <v>7.2347348245717744E-2</v>
      </c>
      <c r="F527" s="125">
        <f ca="1"/>
        <v>-1.1190476668978369</v>
      </c>
    </row>
    <row r="528" spans="5:6">
      <c r="E528" s="124">
        <f ca="1"/>
        <v>0.14952454772362248</v>
      </c>
      <c r="F528" s="125">
        <f ca="1"/>
        <v>-0.35778871848984461</v>
      </c>
    </row>
    <row r="529" spans="5:6">
      <c r="E529" s="124">
        <f ca="1"/>
        <v>-1.04703872441546</v>
      </c>
      <c r="F529" s="125">
        <f ca="1"/>
        <v>-0.49072981931805509</v>
      </c>
    </row>
    <row r="530" spans="5:6">
      <c r="E530" s="124">
        <f ca="1"/>
        <v>0.69780853400880927</v>
      </c>
      <c r="F530" s="125">
        <f ca="1"/>
        <v>-0.48430682279217935</v>
      </c>
    </row>
    <row r="531" spans="5:6">
      <c r="E531" s="124">
        <f ca="1"/>
        <v>1.1610661581658341E-2</v>
      </c>
      <c r="F531" s="125">
        <f ca="1"/>
        <v>-7.9062556275647206E-2</v>
      </c>
    </row>
    <row r="532" spans="5:6">
      <c r="E532" s="124">
        <f ca="1"/>
        <v>-0.71874440154847874</v>
      </c>
      <c r="F532" s="125">
        <f ca="1"/>
        <v>-0.69988350515313436</v>
      </c>
    </row>
    <row r="533" spans="5:6">
      <c r="E533" s="124">
        <f ca="1"/>
        <v>-0.52081378098183195</v>
      </c>
      <c r="F533" s="125">
        <f ca="1"/>
        <v>-0.51517634276629454</v>
      </c>
    </row>
    <row r="534" spans="5:6">
      <c r="E534" s="124">
        <f ca="1"/>
        <v>-0.17698844504820233</v>
      </c>
      <c r="F534" s="125">
        <f ca="1"/>
        <v>0.15325060482800892</v>
      </c>
    </row>
    <row r="535" spans="5:6">
      <c r="E535" s="124">
        <f ca="1"/>
        <v>-0.31079358334370855</v>
      </c>
      <c r="F535" s="125">
        <f ca="1"/>
        <v>7.5188717718196796E-2</v>
      </c>
    </row>
    <row r="536" spans="5:6">
      <c r="E536" s="124">
        <f ca="1"/>
        <v>-0.26861340529971534</v>
      </c>
      <c r="F536" s="125">
        <f ca="1"/>
        <v>1.5618059561919606</v>
      </c>
    </row>
    <row r="537" spans="5:6">
      <c r="E537" s="124">
        <f ca="1"/>
        <v>2.3611673657222285</v>
      </c>
      <c r="F537" s="125">
        <f ca="1"/>
        <v>2.194633969150428E-2</v>
      </c>
    </row>
    <row r="538" spans="5:6">
      <c r="E538" s="124">
        <f ca="1"/>
        <v>2.6847701181165196E-2</v>
      </c>
      <c r="F538" s="125">
        <f ca="1"/>
        <v>0.38662050881752241</v>
      </c>
    </row>
    <row r="539" spans="5:6">
      <c r="E539" s="124">
        <f ca="1"/>
        <v>0.82332740776042657</v>
      </c>
      <c r="F539" s="125">
        <f ca="1"/>
        <v>-0.30786987564395546</v>
      </c>
    </row>
    <row r="540" spans="5:6">
      <c r="E540" s="124">
        <f ca="1"/>
        <v>-1.1483938988369959</v>
      </c>
      <c r="F540" s="125">
        <f ca="1"/>
        <v>-0.77532454628879621</v>
      </c>
    </row>
    <row r="541" spans="5:6">
      <c r="E541" s="124">
        <f ca="1"/>
        <v>-0.77437601649928833</v>
      </c>
      <c r="F541" s="125">
        <f ca="1"/>
        <v>-1.2493765056848987</v>
      </c>
    </row>
    <row r="542" spans="5:6">
      <c r="E542" s="124">
        <f ca="1"/>
        <v>0.47793876571724281</v>
      </c>
      <c r="F542" s="125">
        <f ca="1"/>
        <v>-9.84433017208729E-2</v>
      </c>
    </row>
    <row r="543" spans="5:6">
      <c r="E543" s="124">
        <f ca="1"/>
        <v>0.15451206482047125</v>
      </c>
      <c r="F543" s="125">
        <f ca="1"/>
        <v>-1.6415227916591519</v>
      </c>
    </row>
    <row r="544" spans="5:6">
      <c r="E544" s="124">
        <f ca="1"/>
        <v>-1.9158873728185031</v>
      </c>
      <c r="F544" s="125">
        <f ca="1"/>
        <v>-1.2632413955537953</v>
      </c>
    </row>
    <row r="545" spans="5:6">
      <c r="E545" s="124">
        <f ca="1"/>
        <v>0.4028540647599621</v>
      </c>
      <c r="F545" s="125">
        <f ca="1"/>
        <v>0.71918683690706331</v>
      </c>
    </row>
    <row r="546" spans="5:6">
      <c r="E546" s="124">
        <f ca="1"/>
        <v>-0.72624949522512361</v>
      </c>
      <c r="F546" s="125">
        <f ca="1"/>
        <v>0.75150367900425308</v>
      </c>
    </row>
    <row r="547" spans="5:6">
      <c r="E547" s="124">
        <f ca="1"/>
        <v>0.55223779139543483</v>
      </c>
      <c r="F547" s="125">
        <f ca="1"/>
        <v>-0.22940212486309941</v>
      </c>
    </row>
    <row r="548" spans="5:6">
      <c r="E548" s="124">
        <f ca="1"/>
        <v>0.63241458886202251</v>
      </c>
      <c r="F548" s="125">
        <f ca="1"/>
        <v>-4.0771594443522519E-2</v>
      </c>
    </row>
    <row r="549" spans="5:6">
      <c r="E549" s="124">
        <f ca="1"/>
        <v>5.9104409101936206E-2</v>
      </c>
      <c r="F549" s="125">
        <f ca="1"/>
        <v>0.14467709906444531</v>
      </c>
    </row>
    <row r="550" spans="5:6">
      <c r="E550" s="124">
        <f ca="1"/>
        <v>1.507898960928489</v>
      </c>
      <c r="F550" s="125">
        <f ca="1"/>
        <v>-0.56629228195706249</v>
      </c>
    </row>
    <row r="551" spans="5:6">
      <c r="E551" s="124">
        <f ca="1"/>
        <v>-0.43997239473290289</v>
      </c>
      <c r="F551" s="125">
        <f ca="1"/>
        <v>-0.26735067188611478</v>
      </c>
    </row>
    <row r="552" spans="5:6">
      <c r="E552" s="124">
        <f ca="1"/>
        <v>0.28872453933468351</v>
      </c>
      <c r="F552" s="125">
        <f ca="1"/>
        <v>0.14661009974409445</v>
      </c>
    </row>
    <row r="553" spans="5:6">
      <c r="E553" s="124">
        <f ca="1"/>
        <v>-1.4093376067891694</v>
      </c>
      <c r="F553" s="125">
        <f ca="1"/>
        <v>-1.4380910360360661</v>
      </c>
    </row>
    <row r="554" spans="5:6">
      <c r="E554" s="124">
        <f ca="1"/>
        <v>-0.2340367390958944</v>
      </c>
      <c r="F554" s="125">
        <f ca="1"/>
        <v>-1.2972709844735437</v>
      </c>
    </row>
    <row r="555" spans="5:6">
      <c r="E555" s="124">
        <f ca="1"/>
        <v>-0.33699569757970882</v>
      </c>
      <c r="F555" s="125">
        <f ca="1"/>
        <v>0.17840964047218894</v>
      </c>
    </row>
    <row r="556" spans="5:6">
      <c r="E556" s="124">
        <f ca="1"/>
        <v>1.0533787882459225</v>
      </c>
      <c r="F556" s="125">
        <f ca="1"/>
        <v>-0.67792648175601322</v>
      </c>
    </row>
    <row r="557" spans="5:6">
      <c r="E557" s="124">
        <f ca="1"/>
        <v>-2.2302428189940606</v>
      </c>
      <c r="F557" s="125">
        <f ca="1"/>
        <v>-1.9001586826091454</v>
      </c>
    </row>
    <row r="558" spans="5:6">
      <c r="E558" s="124">
        <f ca="1"/>
        <v>2.4487218447697972</v>
      </c>
      <c r="F558" s="125">
        <f ca="1"/>
        <v>2.7680137218041319</v>
      </c>
    </row>
    <row r="559" spans="5:6">
      <c r="E559" s="124">
        <f ca="1"/>
        <v>0.33268729246838247</v>
      </c>
      <c r="F559" s="125">
        <f ca="1"/>
        <v>-0.32913819587248988</v>
      </c>
    </row>
    <row r="560" spans="5:6">
      <c r="E560" s="124">
        <f ca="1"/>
        <v>-0.53776338944151358</v>
      </c>
      <c r="F560" s="125">
        <f ca="1"/>
        <v>-0.36007773875436555</v>
      </c>
    </row>
    <row r="561" spans="5:6">
      <c r="E561" s="124">
        <f ca="1"/>
        <v>0.49610233281735061</v>
      </c>
      <c r="F561" s="125">
        <f ca="1"/>
        <v>0.9443399986938511</v>
      </c>
    </row>
    <row r="562" spans="5:6">
      <c r="E562" s="124">
        <f ca="1"/>
        <v>-0.27888247339020289</v>
      </c>
      <c r="F562" s="125">
        <f ca="1"/>
        <v>1.2110076682404705</v>
      </c>
    </row>
    <row r="563" spans="5:6">
      <c r="E563" s="124">
        <f ca="1"/>
        <v>0.67556043087452577</v>
      </c>
      <c r="F563" s="125">
        <f ca="1"/>
        <v>-2.3928031493369417E-2</v>
      </c>
    </row>
    <row r="564" spans="5:6">
      <c r="E564" s="124">
        <f ca="1"/>
        <v>0.52140248312778248</v>
      </c>
      <c r="F564" s="125">
        <f ca="1"/>
        <v>0.81415544368704773</v>
      </c>
    </row>
    <row r="565" spans="5:6">
      <c r="E565" s="124">
        <f ca="1"/>
        <v>-0.76429197845862151</v>
      </c>
      <c r="F565" s="125">
        <f ca="1"/>
        <v>-1.3511450666976923</v>
      </c>
    </row>
    <row r="566" spans="5:6">
      <c r="E566" s="124">
        <f ca="1"/>
        <v>-0.36643707694166455</v>
      </c>
      <c r="F566" s="125">
        <f ca="1"/>
        <v>0.12894644704543731</v>
      </c>
    </row>
    <row r="567" spans="5:6">
      <c r="E567" s="124">
        <f ca="1"/>
        <v>-0.76730083029351559</v>
      </c>
      <c r="F567" s="125">
        <f ca="1"/>
        <v>0.53889541454143131</v>
      </c>
    </row>
    <row r="568" spans="5:6">
      <c r="E568" s="124">
        <f ca="1"/>
        <v>-1.8532243552550569</v>
      </c>
      <c r="F568" s="125">
        <f ca="1"/>
        <v>-1.0144990914822716</v>
      </c>
    </row>
    <row r="569" spans="5:6">
      <c r="E569" s="124">
        <f ca="1"/>
        <v>-0.27939761908603583</v>
      </c>
      <c r="F569" s="125">
        <f ca="1"/>
        <v>0.54708106755807184</v>
      </c>
    </row>
    <row r="570" spans="5:6">
      <c r="E570" s="124">
        <f ca="1"/>
        <v>-0.38763901705038362</v>
      </c>
      <c r="F570" s="125">
        <f ca="1"/>
        <v>-1.4196686679680255</v>
      </c>
    </row>
    <row r="571" spans="5:6">
      <c r="E571" s="124">
        <f ca="1"/>
        <v>-2.6558832431474465E-2</v>
      </c>
      <c r="F571" s="125">
        <f ca="1"/>
        <v>0.18705730378557356</v>
      </c>
    </row>
    <row r="572" spans="5:6">
      <c r="E572" s="124">
        <f ca="1"/>
        <v>-3.8213189307249373E-2</v>
      </c>
      <c r="F572" s="125">
        <f ca="1"/>
        <v>0.46981072422007369</v>
      </c>
    </row>
    <row r="573" spans="5:6">
      <c r="E573" s="124">
        <f ca="1"/>
        <v>-0.8420425771643163</v>
      </c>
      <c r="F573" s="125">
        <f ca="1"/>
        <v>-0.67921952806992247</v>
      </c>
    </row>
    <row r="574" spans="5:6">
      <c r="E574" s="124">
        <f ca="1"/>
        <v>-1.6622123778485427</v>
      </c>
      <c r="F574" s="125">
        <f ca="1"/>
        <v>-1.2817589196269876</v>
      </c>
    </row>
    <row r="575" spans="5:6">
      <c r="E575" s="124">
        <f ca="1"/>
        <v>-0.41580223936053523</v>
      </c>
      <c r="F575" s="125">
        <f ca="1"/>
        <v>-2.1888372797732508E-2</v>
      </c>
    </row>
    <row r="576" spans="5:6">
      <c r="E576" s="124">
        <f ca="1"/>
        <v>1.3723670541294144</v>
      </c>
      <c r="F576" s="125">
        <f ca="1"/>
        <v>1.3388257167632323</v>
      </c>
    </row>
    <row r="577" spans="5:6">
      <c r="E577" s="124">
        <f ca="1"/>
        <v>1.1264675125350492</v>
      </c>
      <c r="F577" s="125">
        <f ca="1"/>
        <v>0.98081150501679826</v>
      </c>
    </row>
    <row r="578" spans="5:6">
      <c r="E578" s="124">
        <f ca="1"/>
        <v>0.59945913573707488</v>
      </c>
      <c r="F578" s="125">
        <f ca="1"/>
        <v>-0.13716387951058512</v>
      </c>
    </row>
    <row r="579" spans="5:6">
      <c r="E579" s="124">
        <f ca="1"/>
        <v>-6.8474406758944714E-2</v>
      </c>
      <c r="F579" s="125">
        <f ca="1"/>
        <v>-0.46900407698589025</v>
      </c>
    </row>
    <row r="580" spans="5:6">
      <c r="E580" s="124">
        <f ca="1"/>
        <v>0.74697762366328024</v>
      </c>
      <c r="F580" s="125">
        <f ca="1"/>
        <v>0.35980603132346373</v>
      </c>
    </row>
    <row r="581" spans="5:6">
      <c r="E581" s="124">
        <f ca="1"/>
        <v>-1.0667478741440652</v>
      </c>
      <c r="F581" s="125">
        <f ca="1"/>
        <v>-1.4631375003716083</v>
      </c>
    </row>
    <row r="582" spans="5:6">
      <c r="E582" s="124">
        <f ca="1"/>
        <v>-1.3020480236270826</v>
      </c>
      <c r="F582" s="125">
        <f ca="1"/>
        <v>-0.36228207083499575</v>
      </c>
    </row>
    <row r="583" spans="5:6">
      <c r="E583" s="124">
        <f ca="1"/>
        <v>1.6379760995005508</v>
      </c>
      <c r="F583" s="125">
        <f ca="1"/>
        <v>1.2175726870916095</v>
      </c>
    </row>
    <row r="584" spans="5:6">
      <c r="E584" s="124">
        <f ca="1"/>
        <v>-1.7837780415620021</v>
      </c>
      <c r="F584" s="125">
        <f ca="1"/>
        <v>-1.7142314429626193</v>
      </c>
    </row>
    <row r="585" spans="5:6">
      <c r="E585" s="124">
        <f ca="1"/>
        <v>0.59971259069205296</v>
      </c>
      <c r="F585" s="125">
        <f ca="1"/>
        <v>-7.2856610912936937E-3</v>
      </c>
    </row>
    <row r="586" spans="5:6">
      <c r="E586" s="124">
        <f ca="1"/>
        <v>-0.64392316407812211</v>
      </c>
      <c r="F586" s="125">
        <f ca="1"/>
        <v>-4.038216627160518E-2</v>
      </c>
    </row>
    <row r="587" spans="5:6">
      <c r="E587" s="124">
        <f ca="1"/>
        <v>-0.54650173232800903</v>
      </c>
      <c r="F587" s="125">
        <f ca="1"/>
        <v>0.65182119951871864</v>
      </c>
    </row>
    <row r="588" spans="5:6">
      <c r="E588" s="124">
        <f ca="1"/>
        <v>-1.1478863196236633</v>
      </c>
      <c r="F588" s="125">
        <f ca="1"/>
        <v>-1.6277952507765612</v>
      </c>
    </row>
    <row r="589" spans="5:6">
      <c r="E589" s="124">
        <f ca="1"/>
        <v>-2.816912761808112</v>
      </c>
      <c r="F589" s="125">
        <f ca="1"/>
        <v>-1.4853231953970145</v>
      </c>
    </row>
    <row r="590" spans="5:6">
      <c r="E590" s="124">
        <f ca="1"/>
        <v>-0.71226778205325059</v>
      </c>
      <c r="F590" s="125">
        <f ca="1"/>
        <v>-0.67896214465801763</v>
      </c>
    </row>
    <row r="591" spans="5:6">
      <c r="E591" s="124">
        <f ca="1"/>
        <v>-0.4205347574950945</v>
      </c>
      <c r="F591" s="125">
        <f ca="1"/>
        <v>-0.55923458251973501</v>
      </c>
    </row>
    <row r="592" spans="5:6">
      <c r="E592" s="124">
        <f ca="1"/>
        <v>0.47378583310436306</v>
      </c>
      <c r="F592" s="125">
        <f ca="1"/>
        <v>2.0490349684748416E-2</v>
      </c>
    </row>
    <row r="593" spans="5:6">
      <c r="E593" s="124">
        <f ca="1"/>
        <v>1.0203284978635467</v>
      </c>
      <c r="F593" s="125">
        <f ca="1"/>
        <v>1.1508595267307975</v>
      </c>
    </row>
    <row r="594" spans="5:6">
      <c r="E594" s="124">
        <f ca="1"/>
        <v>-4.7095303218222459E-2</v>
      </c>
      <c r="F594" s="125">
        <f ca="1"/>
        <v>-0.64138692547319831</v>
      </c>
    </row>
    <row r="595" spans="5:6">
      <c r="E595" s="124">
        <f ca="1"/>
        <v>-0.43725425890958614</v>
      </c>
      <c r="F595" s="125">
        <f ca="1"/>
        <v>-0.64437933848146056</v>
      </c>
    </row>
    <row r="596" spans="5:6">
      <c r="E596" s="124">
        <f ca="1"/>
        <v>1.5261069803668288</v>
      </c>
      <c r="F596" s="125">
        <f ca="1"/>
        <v>2.6035212575611566</v>
      </c>
    </row>
    <row r="597" spans="5:6">
      <c r="E597" s="124">
        <f ca="1"/>
        <v>-0.11423509080355126</v>
      </c>
      <c r="F597" s="125">
        <f ca="1"/>
        <v>1.9467387963247442</v>
      </c>
    </row>
    <row r="598" spans="5:6">
      <c r="E598" s="124">
        <f ca="1"/>
        <v>0.20547281109330207</v>
      </c>
      <c r="F598" s="125">
        <f ca="1"/>
        <v>-1.2334676647309748</v>
      </c>
    </row>
    <row r="599" spans="5:6">
      <c r="E599" s="124">
        <f ca="1"/>
        <v>-0.75723937004149722</v>
      </c>
      <c r="F599" s="125">
        <f ca="1"/>
        <v>-0.52965750464294736</v>
      </c>
    </row>
    <row r="600" spans="5:6">
      <c r="E600" s="124">
        <f ca="1"/>
        <v>-0.89233225234859082</v>
      </c>
      <c r="F600" s="125">
        <f ca="1"/>
        <v>0.61190110772202899</v>
      </c>
    </row>
    <row r="601" spans="5:6">
      <c r="E601" s="124">
        <f ca="1"/>
        <v>0.94409864879318917</v>
      </c>
      <c r="F601" s="125">
        <f ca="1"/>
        <v>3.0574431314754298</v>
      </c>
    </row>
    <row r="602" spans="5:6">
      <c r="E602" s="124">
        <f ca="1"/>
        <v>-0.88927294152300751</v>
      </c>
      <c r="F602" s="125">
        <f ca="1"/>
        <v>-0.14650501604190769</v>
      </c>
    </row>
    <row r="603" spans="5:6">
      <c r="E603" s="124">
        <f ca="1"/>
        <v>1.8249150071821576</v>
      </c>
      <c r="F603" s="125">
        <f ca="1"/>
        <v>8.1369398164012785E-2</v>
      </c>
    </row>
    <row r="604" spans="5:6">
      <c r="E604" s="124">
        <f ca="1"/>
        <v>-0.41641376865639523</v>
      </c>
      <c r="F604" s="125">
        <f ca="1"/>
        <v>1.3128287730214394</v>
      </c>
    </row>
    <row r="605" spans="5:6">
      <c r="E605" s="124">
        <f ca="1"/>
        <v>-1.8326970774029645</v>
      </c>
      <c r="F605" s="125">
        <f ca="1"/>
        <v>-0.29293576651544306</v>
      </c>
    </row>
    <row r="606" spans="5:6">
      <c r="E606" s="124">
        <f ca="1"/>
        <v>-0.16933322502957046</v>
      </c>
      <c r="F606" s="125">
        <f ca="1"/>
        <v>9.5078948103964098E-2</v>
      </c>
    </row>
    <row r="607" spans="5:6">
      <c r="E607" s="124">
        <f ca="1"/>
        <v>-0.77020397597716961</v>
      </c>
      <c r="F607" s="125">
        <f ca="1"/>
        <v>-1.424632786719549</v>
      </c>
    </row>
    <row r="608" spans="5:6">
      <c r="E608" s="124">
        <f ca="1"/>
        <v>-1.4271364012280947</v>
      </c>
      <c r="F608" s="125">
        <f ca="1"/>
        <v>-0.23242795743256311</v>
      </c>
    </row>
    <row r="609" spans="5:6">
      <c r="E609" s="124">
        <f ca="1"/>
        <v>-0.60255321107820359</v>
      </c>
      <c r="F609" s="125">
        <f ca="1"/>
        <v>-0.49659072091763556</v>
      </c>
    </row>
    <row r="610" spans="5:6">
      <c r="E610" s="124">
        <f ca="1"/>
        <v>0.34781034156649371</v>
      </c>
      <c r="F610" s="125">
        <f ca="1"/>
        <v>1.0942415319747363</v>
      </c>
    </row>
    <row r="611" spans="5:6">
      <c r="E611" s="124">
        <f ca="1"/>
        <v>-1.4811146865376488</v>
      </c>
      <c r="F611" s="125">
        <f ca="1"/>
        <v>-1.0635526637467565</v>
      </c>
    </row>
    <row r="612" spans="5:6">
      <c r="E612" s="124">
        <f ca="1"/>
        <v>-1.5682659273681963</v>
      </c>
      <c r="F612" s="125">
        <f ca="1"/>
        <v>-4.801142896260302E-2</v>
      </c>
    </row>
    <row r="613" spans="5:6">
      <c r="E613" s="124">
        <f ca="1"/>
        <v>-0.1002083679403357</v>
      </c>
      <c r="F613" s="125">
        <f ca="1"/>
        <v>1.6720578672013466E-2</v>
      </c>
    </row>
    <row r="614" spans="5:6">
      <c r="E614" s="124">
        <f ca="1"/>
        <v>0.5938083083628326</v>
      </c>
      <c r="F614" s="125">
        <f ca="1"/>
        <v>-0.44429322787866349</v>
      </c>
    </row>
    <row r="615" spans="5:6">
      <c r="E615" s="124">
        <f ca="1"/>
        <v>-0.39398208077432617</v>
      </c>
      <c r="F615" s="125">
        <f ca="1"/>
        <v>0.32532985787285063</v>
      </c>
    </row>
    <row r="616" spans="5:6">
      <c r="E616" s="124">
        <f ca="1"/>
        <v>0.41274150023525802</v>
      </c>
      <c r="F616" s="125">
        <f ca="1"/>
        <v>0.24814628503148525</v>
      </c>
    </row>
    <row r="617" spans="5:6">
      <c r="E617" s="124">
        <f ca="1"/>
        <v>-0.44529222467668156</v>
      </c>
      <c r="F617" s="125">
        <f ca="1"/>
        <v>1.0276127322961017</v>
      </c>
    </row>
    <row r="618" spans="5:6">
      <c r="E618" s="124">
        <f ca="1"/>
        <v>-2.3731492898390658</v>
      </c>
      <c r="F618" s="125">
        <f ca="1"/>
        <v>-1.5559579409032342</v>
      </c>
    </row>
    <row r="619" spans="5:6">
      <c r="E619" s="124">
        <f ca="1"/>
        <v>0.8585309218371564</v>
      </c>
      <c r="F619" s="125">
        <f ca="1"/>
        <v>1.5039194962777063</v>
      </c>
    </row>
    <row r="620" spans="5:6">
      <c r="E620" s="124">
        <f ca="1"/>
        <v>0.7165735899636142</v>
      </c>
      <c r="F620" s="125">
        <f ca="1"/>
        <v>1.7004907840675434</v>
      </c>
    </row>
    <row r="621" spans="5:6">
      <c r="E621" s="124">
        <f ca="1"/>
        <v>1.0427775323617456</v>
      </c>
      <c r="F621" s="125">
        <f ca="1"/>
        <v>0.3508975991810282</v>
      </c>
    </row>
    <row r="622" spans="5:6">
      <c r="E622" s="124">
        <f ca="1"/>
        <v>-0.41619963003800631</v>
      </c>
      <c r="F622" s="125">
        <f ca="1"/>
        <v>0.1141580202238075</v>
      </c>
    </row>
    <row r="623" spans="5:6">
      <c r="E623" s="124">
        <f ca="1"/>
        <v>0.62412841378082251</v>
      </c>
      <c r="F623" s="125">
        <f ca="1"/>
        <v>1.3170559398187613</v>
      </c>
    </row>
    <row r="624" spans="5:6">
      <c r="E624" s="124">
        <f ca="1"/>
        <v>0.75946497147707448</v>
      </c>
      <c r="F624" s="125">
        <f ca="1"/>
        <v>0.42060300222375568</v>
      </c>
    </row>
    <row r="625" spans="5:6">
      <c r="E625" s="124">
        <f ca="1"/>
        <v>0.16484754029036569</v>
      </c>
      <c r="F625" s="125">
        <f ca="1"/>
        <v>1.5639964757333547</v>
      </c>
    </row>
    <row r="626" spans="5:6">
      <c r="E626" s="124">
        <f ca="1"/>
        <v>-0.42396282723882878</v>
      </c>
      <c r="F626" s="125">
        <f ca="1"/>
        <v>0.15187414223374537</v>
      </c>
    </row>
    <row r="627" spans="5:6">
      <c r="E627" s="124">
        <f ca="1"/>
        <v>0.82212488409929452</v>
      </c>
      <c r="F627" s="125">
        <f ca="1"/>
        <v>-0.15511018290071865</v>
      </c>
    </row>
    <row r="628" spans="5:6">
      <c r="E628" s="124">
        <f ca="1"/>
        <v>0.2032805590590519</v>
      </c>
      <c r="F628" s="125">
        <f ca="1"/>
        <v>-0.887595164298288</v>
      </c>
    </row>
    <row r="629" spans="5:6">
      <c r="E629" s="124">
        <f ca="1"/>
        <v>-0.96521466572080006</v>
      </c>
      <c r="F629" s="125">
        <f ca="1"/>
        <v>-1.0310709797400182</v>
      </c>
    </row>
    <row r="630" spans="5:6">
      <c r="E630" s="124">
        <f ca="1"/>
        <v>-0.94638179305608572</v>
      </c>
      <c r="F630" s="125">
        <f ca="1"/>
        <v>0.42160857955230063</v>
      </c>
    </row>
    <row r="631" spans="5:6">
      <c r="E631" s="124">
        <f ca="1"/>
        <v>-0.37481746694047602</v>
      </c>
      <c r="F631" s="125">
        <f ca="1"/>
        <v>0.40225705170794768</v>
      </c>
    </row>
    <row r="632" spans="5:6">
      <c r="E632" s="124">
        <f ca="1"/>
        <v>1.0203454427556489</v>
      </c>
      <c r="F632" s="125">
        <f ca="1"/>
        <v>8.2761730793269983E-2</v>
      </c>
    </row>
    <row r="633" spans="5:6">
      <c r="E633" s="124">
        <f ca="1"/>
        <v>1.2122875615697541</v>
      </c>
      <c r="F633" s="125">
        <f ca="1"/>
        <v>2.1337598499442154</v>
      </c>
    </row>
    <row r="634" spans="5:6">
      <c r="E634" s="124">
        <f ca="1"/>
        <v>-0.61008422746338364</v>
      </c>
      <c r="F634" s="125">
        <f ca="1"/>
        <v>-1.4951324940987814</v>
      </c>
    </row>
    <row r="635" spans="5:6">
      <c r="E635" s="124">
        <f ca="1"/>
        <v>0.25360010840103347</v>
      </c>
      <c r="F635" s="125">
        <f ca="1"/>
        <v>0.84452642821033641</v>
      </c>
    </row>
    <row r="636" spans="5:6">
      <c r="E636" s="124">
        <f ca="1"/>
        <v>0.65771457655704002</v>
      </c>
      <c r="F636" s="125">
        <f ca="1"/>
        <v>-0.17680400407349284</v>
      </c>
    </row>
    <row r="637" spans="5:6">
      <c r="E637" s="124">
        <f ca="1"/>
        <v>0.79562070309514954</v>
      </c>
      <c r="F637" s="125">
        <f ca="1"/>
        <v>1.3670033166023952</v>
      </c>
    </row>
    <row r="638" spans="5:6">
      <c r="E638" s="124">
        <f ca="1"/>
        <v>0.15964512054854543</v>
      </c>
      <c r="F638" s="125">
        <f ca="1"/>
        <v>0.35869269322408032</v>
      </c>
    </row>
    <row r="639" spans="5:6">
      <c r="E639" s="124">
        <f ca="1"/>
        <v>0.30716203498462641</v>
      </c>
      <c r="F639" s="125">
        <f ca="1"/>
        <v>7.1775285139438191E-2</v>
      </c>
    </row>
    <row r="640" spans="5:6">
      <c r="E640" s="124">
        <f ca="1"/>
        <v>1.2820525247406487</v>
      </c>
      <c r="F640" s="125">
        <f ca="1"/>
        <v>9.117266315684236E-2</v>
      </c>
    </row>
    <row r="641" spans="5:6">
      <c r="E641" s="124">
        <f ca="1"/>
        <v>1.2766514939494396</v>
      </c>
      <c r="F641" s="125">
        <f ca="1"/>
        <v>0.81468051900779337</v>
      </c>
    </row>
    <row r="642" spans="5:6">
      <c r="E642" s="124">
        <f ca="1"/>
        <v>0.1214232245667097</v>
      </c>
      <c r="F642" s="125">
        <f ca="1"/>
        <v>-1.196079981672342</v>
      </c>
    </row>
    <row r="643" spans="5:6">
      <c r="E643" s="124">
        <f ca="1"/>
        <v>-0.84842911871676097</v>
      </c>
      <c r="F643" s="125">
        <f ca="1"/>
        <v>-0.48524830102822308</v>
      </c>
    </row>
    <row r="644" spans="5:6">
      <c r="E644" s="124">
        <f ca="1"/>
        <v>-1.9575510869949635</v>
      </c>
      <c r="F644" s="125">
        <f ca="1"/>
        <v>0.6105422767707368</v>
      </c>
    </row>
    <row r="645" spans="5:6">
      <c r="E645" s="124">
        <f ca="1"/>
        <v>0.95426945819312403</v>
      </c>
      <c r="F645" s="125">
        <f ca="1"/>
        <v>1.4812235598750667</v>
      </c>
    </row>
    <row r="646" spans="5:6">
      <c r="E646" s="124">
        <f ca="1"/>
        <v>-1.4007817731225873</v>
      </c>
      <c r="F646" s="125">
        <f ca="1"/>
        <v>-0.30811608886996045</v>
      </c>
    </row>
    <row r="647" spans="5:6">
      <c r="E647" s="124">
        <f ca="1"/>
        <v>0.16610460776679126</v>
      </c>
      <c r="F647" s="125">
        <f ca="1"/>
        <v>0.24206284817396487</v>
      </c>
    </row>
    <row r="648" spans="5:6">
      <c r="E648" s="124">
        <f ca="1"/>
        <v>1.7013245710079701</v>
      </c>
      <c r="F648" s="125">
        <f ca="1"/>
        <v>-4.0753522870823788E-2</v>
      </c>
    </row>
    <row r="649" spans="5:6">
      <c r="E649" s="124">
        <f ca="1"/>
        <v>0.23879193444384986</v>
      </c>
      <c r="F649" s="125">
        <f ca="1"/>
        <v>0.79483117964936978</v>
      </c>
    </row>
    <row r="650" spans="5:6">
      <c r="E650" s="124">
        <f ca="1"/>
        <v>-0.11043666306391657</v>
      </c>
      <c r="F650" s="125">
        <f ca="1"/>
        <v>0.27038578095459903</v>
      </c>
    </row>
    <row r="651" spans="5:6">
      <c r="E651" s="124">
        <f ca="1"/>
        <v>0.96681147464316997</v>
      </c>
      <c r="F651" s="125">
        <f ca="1"/>
        <v>1.3508405019934788</v>
      </c>
    </row>
    <row r="652" spans="5:6">
      <c r="E652" s="124">
        <f ca="1"/>
        <v>-1.0478788580489908</v>
      </c>
      <c r="F652" s="125">
        <f ca="1"/>
        <v>-1.5616739524495953</v>
      </c>
    </row>
    <row r="653" spans="5:6">
      <c r="E653" s="124">
        <f ca="1"/>
        <v>-1.3193775837977681</v>
      </c>
      <c r="F653" s="125">
        <f ca="1"/>
        <v>-0.67327723591917421</v>
      </c>
    </row>
    <row r="654" spans="5:6">
      <c r="E654" s="124">
        <f ca="1"/>
        <v>0.45365385120120438</v>
      </c>
      <c r="F654" s="125">
        <f ca="1"/>
        <v>-0.61850761282423017</v>
      </c>
    </row>
    <row r="655" spans="5:6">
      <c r="E655" s="124">
        <f ca="1"/>
        <v>0.51538325525712292</v>
      </c>
      <c r="F655" s="125">
        <f ca="1"/>
        <v>0.75726649367435905</v>
      </c>
    </row>
    <row r="656" spans="5:6">
      <c r="E656" s="124">
        <f ca="1"/>
        <v>0.31512512191013925</v>
      </c>
      <c r="F656" s="125">
        <f ca="1"/>
        <v>-0.86889181493915923</v>
      </c>
    </row>
    <row r="657" spans="5:6">
      <c r="E657" s="124">
        <f ca="1"/>
        <v>-0.23487561857698475</v>
      </c>
      <c r="F657" s="125">
        <f ca="1"/>
        <v>0.83580957314203941</v>
      </c>
    </row>
    <row r="658" spans="5:6">
      <c r="E658" s="124">
        <f ca="1"/>
        <v>0.12618235707861766</v>
      </c>
      <c r="F658" s="125">
        <f ca="1"/>
        <v>-0.13105633203421146</v>
      </c>
    </row>
    <row r="659" spans="5:6">
      <c r="E659" s="124">
        <f ca="1"/>
        <v>1.2794364232261854</v>
      </c>
      <c r="F659" s="125">
        <f ca="1"/>
        <v>0.70016304424130749</v>
      </c>
    </row>
    <row r="660" spans="5:6">
      <c r="E660" s="124">
        <f ca="1"/>
        <v>1.3150316095970227</v>
      </c>
      <c r="F660" s="125">
        <f ca="1"/>
        <v>2.3263768518409407</v>
      </c>
    </row>
    <row r="661" spans="5:6">
      <c r="E661" s="124">
        <f ca="1"/>
        <v>0.42794032694868117</v>
      </c>
      <c r="F661" s="125">
        <f ca="1"/>
        <v>-0.11787280730305474</v>
      </c>
    </row>
    <row r="662" spans="5:6">
      <c r="E662" s="124">
        <f ca="1"/>
        <v>1.2720308378563858</v>
      </c>
      <c r="F662" s="125">
        <f ca="1"/>
        <v>-0.31788219781381233</v>
      </c>
    </row>
    <row r="663" spans="5:6">
      <c r="E663" s="124">
        <f ca="1"/>
        <v>0.62638303757065517</v>
      </c>
      <c r="F663" s="125">
        <f ca="1"/>
        <v>1.8797712261433646</v>
      </c>
    </row>
    <row r="664" spans="5:6">
      <c r="E664" s="124">
        <f ca="1"/>
        <v>-0.63595629205145576</v>
      </c>
      <c r="F664" s="125">
        <f ca="1"/>
        <v>-1.301986193700378</v>
      </c>
    </row>
    <row r="665" spans="5:6">
      <c r="E665" s="124">
        <f ca="1"/>
        <v>-1.7176654948500003</v>
      </c>
      <c r="F665" s="125">
        <f ca="1"/>
        <v>0.1342594201724191</v>
      </c>
    </row>
    <row r="666" spans="5:6">
      <c r="E666" s="124">
        <f ca="1"/>
        <v>0.58033842441529793</v>
      </c>
      <c r="F666" s="125">
        <f ca="1"/>
        <v>-0.54684976185867162</v>
      </c>
    </row>
    <row r="667" spans="5:6">
      <c r="E667" s="124">
        <f ca="1"/>
        <v>0.75034376651255519</v>
      </c>
      <c r="F667" s="125">
        <f ca="1"/>
        <v>0.22084495884753877</v>
      </c>
    </row>
    <row r="668" spans="5:6">
      <c r="E668" s="124">
        <f ca="1"/>
        <v>-3.7240829376440396E-2</v>
      </c>
      <c r="F668" s="125">
        <f ca="1"/>
        <v>0.27771497496192848</v>
      </c>
    </row>
    <row r="669" spans="5:6">
      <c r="E669" s="124">
        <f ca="1"/>
        <v>0.62804230845938447</v>
      </c>
      <c r="F669" s="125">
        <f ca="1"/>
        <v>-0.95043134086279468</v>
      </c>
    </row>
    <row r="670" spans="5:6">
      <c r="E670" s="124">
        <f ca="1"/>
        <v>-0.58021495834759695</v>
      </c>
      <c r="F670" s="125">
        <f ca="1"/>
        <v>0.13397702991985244</v>
      </c>
    </row>
    <row r="671" spans="5:6">
      <c r="E671" s="124">
        <f ca="1"/>
        <v>0.46129267768354287</v>
      </c>
      <c r="F671" s="125">
        <f ca="1"/>
        <v>0.24828566485135184</v>
      </c>
    </row>
    <row r="672" spans="5:6">
      <c r="E672" s="124">
        <f ca="1"/>
        <v>-1.5693824766382021</v>
      </c>
      <c r="F672" s="125">
        <f ca="1"/>
        <v>-0.52519540638787965</v>
      </c>
    </row>
    <row r="673" spans="5:6">
      <c r="E673" s="124">
        <f ca="1"/>
        <v>-0.18799184158865603</v>
      </c>
      <c r="F673" s="125">
        <f ca="1"/>
        <v>-0.84722342350651236</v>
      </c>
    </row>
    <row r="674" spans="5:6">
      <c r="E674" s="124">
        <f ca="1"/>
        <v>-0.82368779904062694</v>
      </c>
      <c r="F674" s="125">
        <f ca="1"/>
        <v>-2.0879157869850404</v>
      </c>
    </row>
    <row r="675" spans="5:6">
      <c r="E675" s="124">
        <f ca="1"/>
        <v>5.4382983777492261E-2</v>
      </c>
      <c r="F675" s="125">
        <f ca="1"/>
        <v>0.97964424340102119</v>
      </c>
    </row>
    <row r="676" spans="5:6">
      <c r="E676" s="124">
        <f ca="1"/>
        <v>0.35856326940327554</v>
      </c>
      <c r="F676" s="125">
        <f ca="1"/>
        <v>0.37227957511098925</v>
      </c>
    </row>
    <row r="677" spans="5:6">
      <c r="E677" s="124">
        <f ca="1"/>
        <v>-1.7315312191141585</v>
      </c>
      <c r="F677" s="125">
        <f ca="1"/>
        <v>-0.9651732043786927</v>
      </c>
    </row>
    <row r="678" spans="5:6">
      <c r="E678" s="124">
        <f ca="1"/>
        <v>-0.5651839290270364</v>
      </c>
      <c r="F678" s="125">
        <f ca="1"/>
        <v>-1.7556230708528242</v>
      </c>
    </row>
    <row r="679" spans="5:6">
      <c r="E679" s="124">
        <f ca="1"/>
        <v>1.2932917013184373</v>
      </c>
      <c r="F679" s="125">
        <f ca="1"/>
        <v>-0.66979576336270374</v>
      </c>
    </row>
    <row r="680" spans="5:6">
      <c r="E680" s="124">
        <f ca="1"/>
        <v>-0.14453679957607185</v>
      </c>
      <c r="F680" s="125">
        <f ca="1"/>
        <v>0.23126716457292276</v>
      </c>
    </row>
    <row r="681" spans="5:6">
      <c r="E681" s="124">
        <f ca="1"/>
        <v>1.7455239138436411</v>
      </c>
      <c r="F681" s="125">
        <f ca="1"/>
        <v>0.98062755314019923</v>
      </c>
    </row>
    <row r="682" spans="5:6">
      <c r="E682" s="124">
        <f ca="1"/>
        <v>-0.39628966919317443</v>
      </c>
      <c r="F682" s="125">
        <f ca="1"/>
        <v>-0.54935333593001967</v>
      </c>
    </row>
    <row r="683" spans="5:6">
      <c r="E683" s="124">
        <f ca="1"/>
        <v>-0.61039041505612168</v>
      </c>
      <c r="F683" s="125">
        <f ca="1"/>
        <v>0.33178131918224674</v>
      </c>
    </row>
    <row r="684" spans="5:6">
      <c r="E684" s="124">
        <f ca="1"/>
        <v>-6.5899034374306887E-4</v>
      </c>
      <c r="F684" s="125">
        <f ca="1"/>
        <v>1.5297592296757225</v>
      </c>
    </row>
    <row r="685" spans="5:6">
      <c r="E685" s="124">
        <f ca="1"/>
        <v>1.7776739489750157</v>
      </c>
      <c r="F685" s="125">
        <f ca="1"/>
        <v>-0.21108768081367291</v>
      </c>
    </row>
    <row r="686" spans="5:6">
      <c r="E686" s="124">
        <f ca="1"/>
        <v>0.39905090172244245</v>
      </c>
      <c r="F686" s="125">
        <f ca="1"/>
        <v>1.2019039283214754</v>
      </c>
    </row>
    <row r="687" spans="5:6">
      <c r="E687" s="124">
        <f ca="1"/>
        <v>-0.14197279406271227</v>
      </c>
      <c r="F687" s="125">
        <f ca="1"/>
        <v>0.29022449127691258</v>
      </c>
    </row>
    <row r="688" spans="5:6">
      <c r="E688" s="124">
        <f ca="1"/>
        <v>1.6392070061059967</v>
      </c>
      <c r="F688" s="125">
        <f ca="1"/>
        <v>1.4177578011356096</v>
      </c>
    </row>
    <row r="689" spans="5:6">
      <c r="E689" s="124">
        <f ca="1"/>
        <v>-1.0805137516861905</v>
      </c>
      <c r="F689" s="125">
        <f ca="1"/>
        <v>-0.52437027577736517</v>
      </c>
    </row>
    <row r="690" spans="5:6">
      <c r="E690" s="124">
        <f ca="1"/>
        <v>-1.8374160228821486</v>
      </c>
      <c r="F690" s="125">
        <f ca="1"/>
        <v>-9.5157419728425396E-2</v>
      </c>
    </row>
    <row r="691" spans="5:6">
      <c r="E691" s="124">
        <f ca="1"/>
        <v>2.8110674448438715E-2</v>
      </c>
      <c r="F691" s="125">
        <f ca="1"/>
        <v>-0.34765736247276907</v>
      </c>
    </row>
    <row r="692" spans="5:6">
      <c r="E692" s="124">
        <f ca="1"/>
        <v>0.14169368122491893</v>
      </c>
      <c r="F692" s="125">
        <f ca="1"/>
        <v>0.12509515370094457</v>
      </c>
    </row>
    <row r="693" spans="5:6">
      <c r="E693" s="124">
        <f ca="1"/>
        <v>0.54098220064845237</v>
      </c>
      <c r="F693" s="125">
        <f ca="1"/>
        <v>0.62652293647610136</v>
      </c>
    </row>
    <row r="694" spans="5:6">
      <c r="E694" s="124">
        <f ca="1"/>
        <v>0.36059844328735646</v>
      </c>
      <c r="F694" s="125">
        <f ca="1"/>
        <v>-3.0458324933541947E-2</v>
      </c>
    </row>
    <row r="695" spans="5:6">
      <c r="E695" s="124">
        <f ca="1"/>
        <v>-0.46940947302301023</v>
      </c>
      <c r="F695" s="125">
        <f ca="1"/>
        <v>-0.88153826675902569</v>
      </c>
    </row>
    <row r="696" spans="5:6">
      <c r="E696" s="124">
        <f ca="1"/>
        <v>-1.0008858456717598</v>
      </c>
      <c r="F696" s="125">
        <f ca="1"/>
        <v>-1.575585466938664</v>
      </c>
    </row>
    <row r="697" spans="5:6">
      <c r="E697" s="124">
        <f ca="1"/>
        <v>-0.6118305160382792</v>
      </c>
      <c r="F697" s="125">
        <f ca="1"/>
        <v>-0.69623538521639361</v>
      </c>
    </row>
    <row r="698" spans="5:6">
      <c r="E698" s="124">
        <f ca="1"/>
        <v>0.60210413116869288</v>
      </c>
      <c r="F698" s="125">
        <f ca="1"/>
        <v>0.29657465524302701</v>
      </c>
    </row>
    <row r="699" spans="5:6">
      <c r="E699" s="124">
        <f ca="1"/>
        <v>1.3302877523830712</v>
      </c>
      <c r="F699" s="125">
        <f ca="1"/>
        <v>1.5803641624571099</v>
      </c>
    </row>
    <row r="700" spans="5:6">
      <c r="E700" s="124">
        <f ca="1"/>
        <v>-0.30936986502893016</v>
      </c>
      <c r="F700" s="125">
        <f ca="1"/>
        <v>-0.94259087293907262</v>
      </c>
    </row>
    <row r="701" spans="5:6">
      <c r="E701" s="124">
        <f ca="1"/>
        <v>0.25470283186382076</v>
      </c>
      <c r="F701" s="125">
        <f ca="1"/>
        <v>-0.47174516619837803</v>
      </c>
    </row>
    <row r="702" spans="5:6">
      <c r="E702" s="124">
        <f ca="1"/>
        <v>2.8963667605228768E-2</v>
      </c>
      <c r="F702" s="125">
        <f ca="1"/>
        <v>0.69558515204390403</v>
      </c>
    </row>
    <row r="703" spans="5:6">
      <c r="E703" s="124">
        <f ca="1"/>
        <v>-6.7523468957234933E-2</v>
      </c>
      <c r="F703" s="125">
        <f ca="1"/>
        <v>0.72141236407741016</v>
      </c>
    </row>
    <row r="704" spans="5:6">
      <c r="E704" s="124">
        <f ca="1"/>
        <v>0.19739572669703548</v>
      </c>
      <c r="F704" s="125">
        <f ca="1"/>
        <v>-0.80577413090492134</v>
      </c>
    </row>
    <row r="705" spans="5:6">
      <c r="E705" s="124">
        <f ca="1"/>
        <v>0.49249853099472807</v>
      </c>
      <c r="F705" s="125">
        <f ca="1"/>
        <v>7.1716331895696234E-2</v>
      </c>
    </row>
    <row r="706" spans="5:6">
      <c r="E706" s="124">
        <f ca="1"/>
        <v>1.0164010230836442</v>
      </c>
      <c r="F706" s="125">
        <f ca="1"/>
        <v>-0.49811292714093247</v>
      </c>
    </row>
    <row r="707" spans="5:6">
      <c r="E707" s="124">
        <f ca="1"/>
        <v>-1.8782591838694716E-2</v>
      </c>
      <c r="F707" s="125">
        <f ca="1"/>
        <v>0.37538290454468493</v>
      </c>
    </row>
    <row r="708" spans="5:6">
      <c r="E708" s="124">
        <f ca="1"/>
        <v>0.52966835377614285</v>
      </c>
      <c r="F708" s="125">
        <f ca="1"/>
        <v>1.1468408566904909</v>
      </c>
    </row>
    <row r="709" spans="5:6">
      <c r="E709" s="124">
        <f ca="1"/>
        <v>1.0123705132633896</v>
      </c>
      <c r="F709" s="125">
        <f ca="1"/>
        <v>0.46285001498379419</v>
      </c>
    </row>
    <row r="710" spans="5:6">
      <c r="E710" s="124">
        <f ca="1"/>
        <v>0.32970798732594658</v>
      </c>
      <c r="F710" s="125">
        <f ca="1"/>
        <v>1.5047316242064428</v>
      </c>
    </row>
    <row r="711" spans="5:6">
      <c r="E711" s="124">
        <f ca="1"/>
        <v>0.27627144305760887</v>
      </c>
      <c r="F711" s="125">
        <f ca="1"/>
        <v>-0.25389837413519384</v>
      </c>
    </row>
    <row r="712" spans="5:6">
      <c r="E712" s="124">
        <f ca="1"/>
        <v>-1.631968511684768</v>
      </c>
      <c r="F712" s="125">
        <f ca="1"/>
        <v>-0.92548309095321191</v>
      </c>
    </row>
    <row r="713" spans="5:6">
      <c r="E713" s="124">
        <f ca="1"/>
        <v>-0.2821549308531513</v>
      </c>
      <c r="F713" s="125">
        <f ca="1"/>
        <v>2.2521514060652077</v>
      </c>
    </row>
    <row r="714" spans="5:6">
      <c r="E714" s="124">
        <f ca="1"/>
        <v>-1.6858748399951016</v>
      </c>
      <c r="F714" s="125">
        <f ca="1"/>
        <v>-1.744042901438106</v>
      </c>
    </row>
    <row r="715" spans="5:6">
      <c r="E715" s="124">
        <f ca="1"/>
        <v>1.5404228050808739</v>
      </c>
      <c r="F715" s="125">
        <f ca="1"/>
        <v>-8.4164498463586757E-2</v>
      </c>
    </row>
    <row r="716" spans="5:6">
      <c r="E716" s="124">
        <f ca="1"/>
        <v>7.2794178960035844E-2</v>
      </c>
      <c r="F716" s="125">
        <f ca="1"/>
        <v>0.14144676536374715</v>
      </c>
    </row>
    <row r="717" spans="5:6">
      <c r="E717" s="124">
        <f ca="1"/>
        <v>-0.59915002942546591</v>
      </c>
      <c r="F717" s="125">
        <f ca="1"/>
        <v>-0.56714182540733793</v>
      </c>
    </row>
    <row r="718" spans="5:6">
      <c r="E718" s="124">
        <f ca="1"/>
        <v>0.78251084220922551</v>
      </c>
      <c r="F718" s="125">
        <f ca="1"/>
        <v>-0.49877450612193819</v>
      </c>
    </row>
    <row r="719" spans="5:6">
      <c r="E719" s="124">
        <f ca="1"/>
        <v>-0.18262582134128191</v>
      </c>
      <c r="F719" s="125">
        <f ca="1"/>
        <v>0.92774255991090659</v>
      </c>
    </row>
    <row r="720" spans="5:6">
      <c r="E720" s="124">
        <f ca="1"/>
        <v>0.53327350545119101</v>
      </c>
      <c r="F720" s="125">
        <f ca="1"/>
        <v>-0.17323593039458418</v>
      </c>
    </row>
    <row r="721" spans="5:6">
      <c r="E721" s="124">
        <f ca="1"/>
        <v>0.64848697873480743</v>
      </c>
      <c r="F721" s="125">
        <f ca="1"/>
        <v>-0.48292700241347458</v>
      </c>
    </row>
    <row r="722" spans="5:6">
      <c r="E722" s="124">
        <f ca="1"/>
        <v>-0.85376044926034456</v>
      </c>
      <c r="F722" s="125">
        <f ca="1"/>
        <v>0.87240768624349763</v>
      </c>
    </row>
    <row r="723" spans="5:6">
      <c r="E723" s="124">
        <f ca="1"/>
        <v>1.476767700044296</v>
      </c>
      <c r="F723" s="125">
        <f ca="1"/>
        <v>1.2322440982717167</v>
      </c>
    </row>
    <row r="724" spans="5:6">
      <c r="E724" s="124">
        <f ca="1"/>
        <v>-0.60754568754887572</v>
      </c>
      <c r="F724" s="125">
        <f ca="1"/>
        <v>-1.5917508305783479</v>
      </c>
    </row>
    <row r="725" spans="5:6">
      <c r="E725" s="124">
        <f ca="1"/>
        <v>-0.52861227075915107</v>
      </c>
      <c r="F725" s="125">
        <f ca="1"/>
        <v>-0.77853497633383961</v>
      </c>
    </row>
    <row r="726" spans="5:6">
      <c r="E726" s="124">
        <f ca="1"/>
        <v>-0.78833491323110949</v>
      </c>
      <c r="F726" s="125">
        <f ca="1"/>
        <v>-1.828510825718042</v>
      </c>
    </row>
    <row r="727" spans="5:6">
      <c r="E727" s="124">
        <f ca="1"/>
        <v>0.32088922094287226</v>
      </c>
      <c r="F727" s="125">
        <f ca="1"/>
        <v>0.93654514015143986</v>
      </c>
    </row>
    <row r="728" spans="5:6">
      <c r="E728" s="124">
        <f ca="1"/>
        <v>-0.23179933136875291</v>
      </c>
      <c r="F728" s="125">
        <f ca="1"/>
        <v>-1.1759089611656941</v>
      </c>
    </row>
    <row r="729" spans="5:6">
      <c r="E729" s="124">
        <f ca="1"/>
        <v>-1.8368854643578982</v>
      </c>
      <c r="F729" s="125">
        <f ca="1"/>
        <v>-1.4091857974208923</v>
      </c>
    </row>
    <row r="730" spans="5:6">
      <c r="E730" s="124">
        <f ca="1"/>
        <v>0.39960438985890434</v>
      </c>
      <c r="F730" s="125">
        <f ca="1"/>
        <v>0.11849138164500016</v>
      </c>
    </row>
    <row r="731" spans="5:6">
      <c r="E731" s="124">
        <f ca="1"/>
        <v>0.29787937708250284</v>
      </c>
      <c r="F731" s="125">
        <f ca="1"/>
        <v>1.050240554126503</v>
      </c>
    </row>
    <row r="732" spans="5:6">
      <c r="E732" s="124">
        <f ca="1"/>
        <v>-0.61184586763583992</v>
      </c>
      <c r="F732" s="125">
        <f ca="1"/>
        <v>-1.010748312090173</v>
      </c>
    </row>
    <row r="733" spans="5:6">
      <c r="E733" s="124">
        <f ca="1"/>
        <v>0.56835919475474372</v>
      </c>
      <c r="F733" s="125">
        <f ca="1"/>
        <v>-0.11891012601110462</v>
      </c>
    </row>
    <row r="734" spans="5:6">
      <c r="E734" s="124">
        <f ca="1"/>
        <v>-0.58152119729968532</v>
      </c>
      <c r="F734" s="125">
        <f ca="1"/>
        <v>0.85638619876212774</v>
      </c>
    </row>
    <row r="735" spans="5:6">
      <c r="E735" s="124">
        <f ca="1"/>
        <v>1.7496574241619562</v>
      </c>
      <c r="F735" s="125">
        <f ca="1"/>
        <v>0.43369922248590431</v>
      </c>
    </row>
    <row r="736" spans="5:6">
      <c r="E736" s="124">
        <f ca="1"/>
        <v>0.77818461740406419</v>
      </c>
      <c r="F736" s="125">
        <f ca="1"/>
        <v>6.5467221893422689E-2</v>
      </c>
    </row>
    <row r="737" spans="5:6">
      <c r="E737" s="124">
        <f ca="1"/>
        <v>-0.99913128278728125</v>
      </c>
      <c r="F737" s="125">
        <f ca="1"/>
        <v>0.23677585215609626</v>
      </c>
    </row>
    <row r="738" spans="5:6">
      <c r="E738" s="124">
        <f ca="1"/>
        <v>1.0455537126876344</v>
      </c>
      <c r="F738" s="125">
        <f ca="1"/>
        <v>0.28056586343024936</v>
      </c>
    </row>
    <row r="739" spans="5:6">
      <c r="E739" s="124">
        <f ca="1"/>
        <v>0.3274025177911099</v>
      </c>
      <c r="F739" s="125">
        <f ca="1"/>
        <v>0.89499354249763408</v>
      </c>
    </row>
    <row r="740" spans="5:6">
      <c r="E740" s="124">
        <f ca="1"/>
        <v>0.11918650195214993</v>
      </c>
      <c r="F740" s="125">
        <f ca="1"/>
        <v>-0.37542215822853109</v>
      </c>
    </row>
    <row r="741" spans="5:6">
      <c r="E741" s="124">
        <f ca="1"/>
        <v>0.25668394526922472</v>
      </c>
      <c r="F741" s="125">
        <f ca="1"/>
        <v>0.77770587073569142</v>
      </c>
    </row>
    <row r="742" spans="5:6">
      <c r="E742" s="124">
        <f ca="1"/>
        <v>0.59510787412768584</v>
      </c>
      <c r="F742" s="125">
        <f ca="1"/>
        <v>0.47876973610142992</v>
      </c>
    </row>
    <row r="743" spans="5:6">
      <c r="E743" s="124">
        <f ca="1"/>
        <v>1.0819883166849913</v>
      </c>
      <c r="F743" s="125">
        <f ca="1"/>
        <v>2.6990173011220975E-2</v>
      </c>
    </row>
    <row r="744" spans="5:6">
      <c r="E744" s="124">
        <f ca="1"/>
        <v>-0.16831494726574397</v>
      </c>
      <c r="F744" s="125">
        <f ca="1"/>
        <v>0.90928356158596957</v>
      </c>
    </row>
    <row r="745" spans="5:6">
      <c r="E745" s="124">
        <f ca="1"/>
        <v>0.98648201265970981</v>
      </c>
      <c r="F745" s="125">
        <f ca="1"/>
        <v>0.16150321626483649</v>
      </c>
    </row>
    <row r="746" spans="5:6">
      <c r="E746" s="124">
        <f ca="1"/>
        <v>0.91740090270899788</v>
      </c>
      <c r="F746" s="125">
        <f ca="1"/>
        <v>-0.43756813476815298</v>
      </c>
    </row>
    <row r="747" spans="5:6">
      <c r="E747" s="124">
        <f ca="1"/>
        <v>0.27009351894774897</v>
      </c>
      <c r="F747" s="125">
        <f ca="1"/>
        <v>2.5936276630742883E-2</v>
      </c>
    </row>
    <row r="748" spans="5:6">
      <c r="E748" s="124">
        <f ca="1"/>
        <v>0.93199148447996449</v>
      </c>
      <c r="F748" s="125">
        <f ca="1"/>
        <v>0.95967859517904686</v>
      </c>
    </row>
    <row r="749" spans="5:6">
      <c r="E749" s="124">
        <f ca="1"/>
        <v>1.0714782457169836</v>
      </c>
      <c r="F749" s="125">
        <f ca="1"/>
        <v>1.0893527360686601</v>
      </c>
    </row>
    <row r="750" spans="5:6">
      <c r="E750" s="124">
        <f ca="1"/>
        <v>-2.1310755486879769</v>
      </c>
      <c r="F750" s="125">
        <f ca="1"/>
        <v>-0.44328916366344673</v>
      </c>
    </row>
    <row r="751" spans="5:6">
      <c r="E751" s="124">
        <f ca="1"/>
        <v>6.6283066373473393E-2</v>
      </c>
      <c r="F751" s="125">
        <f ca="1"/>
        <v>-0.96727655927269585</v>
      </c>
    </row>
    <row r="752" spans="5:6">
      <c r="E752" s="124">
        <f ca="1"/>
        <v>0.62203390463647978</v>
      </c>
      <c r="F752" s="125">
        <f ca="1"/>
        <v>0.8634521682950288</v>
      </c>
    </row>
    <row r="753" spans="5:6">
      <c r="E753" s="124">
        <f ca="1"/>
        <v>-1.70007132492181</v>
      </c>
      <c r="F753" s="125">
        <f ca="1"/>
        <v>-0.63864207734109901</v>
      </c>
    </row>
    <row r="754" spans="5:6">
      <c r="E754" s="124">
        <f ca="1"/>
        <v>0.57467081534203923</v>
      </c>
      <c r="F754" s="125">
        <f ca="1"/>
        <v>-0.56722802724315147</v>
      </c>
    </row>
    <row r="755" spans="5:6">
      <c r="E755" s="124">
        <f ca="1"/>
        <v>-0.93994277312601715</v>
      </c>
      <c r="F755" s="125">
        <f ca="1"/>
        <v>-0.58442155470256474</v>
      </c>
    </row>
    <row r="756" spans="5:6">
      <c r="E756" s="124">
        <f ca="1"/>
        <v>0.58063681632367325</v>
      </c>
      <c r="F756" s="125">
        <f ca="1"/>
        <v>0.43404811931694409</v>
      </c>
    </row>
    <row r="757" spans="5:6">
      <c r="E757" s="124">
        <f ca="1"/>
        <v>0.52711449070637273</v>
      </c>
      <c r="F757" s="125">
        <f ca="1"/>
        <v>-1.1992493390406191</v>
      </c>
    </row>
    <row r="758" spans="5:6">
      <c r="E758" s="124">
        <f ca="1"/>
        <v>0.79287008804846304</v>
      </c>
      <c r="F758" s="125">
        <f ca="1"/>
        <v>0.59735063425632884</v>
      </c>
    </row>
    <row r="759" spans="5:6">
      <c r="E759" s="124">
        <f ca="1"/>
        <v>-0.10936686283402219</v>
      </c>
      <c r="F759" s="125">
        <f ca="1"/>
        <v>-2.9338699073440995</v>
      </c>
    </row>
    <row r="760" spans="5:6">
      <c r="E760" s="124">
        <f ca="1"/>
        <v>1.5316175819981852</v>
      </c>
      <c r="F760" s="125">
        <f ca="1"/>
        <v>-0.64742169937710126</v>
      </c>
    </row>
    <row r="761" spans="5:6">
      <c r="E761" s="124">
        <f ca="1"/>
        <v>-1.6584886700116099</v>
      </c>
      <c r="F761" s="125">
        <f ca="1"/>
        <v>-1.7831197080886771</v>
      </c>
    </row>
    <row r="762" spans="5:6">
      <c r="E762" s="124">
        <f ca="1"/>
        <v>0.40745480775865089</v>
      </c>
      <c r="F762" s="125">
        <f ca="1"/>
        <v>0.17979802934497399</v>
      </c>
    </row>
    <row r="763" spans="5:6">
      <c r="E763" s="124">
        <f ca="1"/>
        <v>-0.63808811867613024</v>
      </c>
      <c r="F763" s="125">
        <f ca="1"/>
        <v>0.53645897073776994</v>
      </c>
    </row>
    <row r="764" spans="5:6">
      <c r="E764" s="124">
        <f ca="1"/>
        <v>-0.88715442303554304</v>
      </c>
      <c r="F764" s="125">
        <f ca="1"/>
        <v>0.14171242678279494</v>
      </c>
    </row>
    <row r="765" spans="5:6">
      <c r="E765" s="124">
        <f ca="1"/>
        <v>0.51487977723489087</v>
      </c>
      <c r="F765" s="125">
        <f ca="1"/>
        <v>0.87492676475980868</v>
      </c>
    </row>
    <row r="766" spans="5:6">
      <c r="E766" s="124">
        <f ca="1"/>
        <v>0.49076983019943582</v>
      </c>
      <c r="F766" s="125">
        <f ca="1"/>
        <v>-1.2394963079768988</v>
      </c>
    </row>
    <row r="767" spans="5:6">
      <c r="E767" s="124">
        <f ca="1"/>
        <v>0.54304772347935637</v>
      </c>
      <c r="F767" s="125">
        <f ca="1"/>
        <v>0.10366342426580225</v>
      </c>
    </row>
    <row r="768" spans="5:6">
      <c r="E768" s="124">
        <f ca="1"/>
        <v>2.3412801116346875</v>
      </c>
      <c r="F768" s="125">
        <f ca="1"/>
        <v>1.3648323900478658</v>
      </c>
    </row>
    <row r="769" spans="5:6">
      <c r="E769" s="124">
        <f ca="1"/>
        <v>0.30367671889363423</v>
      </c>
      <c r="F769" s="125">
        <f ca="1"/>
        <v>1.4320355883483584</v>
      </c>
    </row>
    <row r="770" spans="5:6">
      <c r="E770" s="124">
        <f ca="1"/>
        <v>1.3681686998666871</v>
      </c>
      <c r="F770" s="125">
        <f ca="1"/>
        <v>0.91467794474626685</v>
      </c>
    </row>
    <row r="771" spans="5:6">
      <c r="E771" s="124">
        <f ca="1"/>
        <v>-1.2963494204835231</v>
      </c>
      <c r="F771" s="125">
        <f ca="1"/>
        <v>-5.1132267751327731E-2</v>
      </c>
    </row>
    <row r="772" spans="5:6">
      <c r="E772" s="124">
        <f ca="1"/>
        <v>1.1034404350665286</v>
      </c>
      <c r="F772" s="125">
        <f ca="1"/>
        <v>-0.14309068980596473</v>
      </c>
    </row>
    <row r="773" spans="5:6">
      <c r="E773" s="124">
        <f ca="1"/>
        <v>-2.2239700215606475</v>
      </c>
      <c r="F773" s="125">
        <f ca="1"/>
        <v>-1.4290415452623773</v>
      </c>
    </row>
    <row r="774" spans="5:6">
      <c r="E774" s="124">
        <f ca="1"/>
        <v>-1.6776975235025557</v>
      </c>
      <c r="F774" s="125">
        <f ca="1"/>
        <v>-2.0953500956102125</v>
      </c>
    </row>
    <row r="775" spans="5:6">
      <c r="E775" s="124">
        <f ca="1"/>
        <v>0.50571372204330467</v>
      </c>
      <c r="F775" s="125">
        <f ca="1"/>
        <v>1.1590136526244463</v>
      </c>
    </row>
    <row r="776" spans="5:6">
      <c r="E776" s="124">
        <f ca="1"/>
        <v>-2.4163268350119718</v>
      </c>
      <c r="F776" s="125">
        <f ca="1"/>
        <v>-0.8833424859789798</v>
      </c>
    </row>
    <row r="777" spans="5:6">
      <c r="E777" s="124">
        <f ca="1"/>
        <v>-0.34023578128976328</v>
      </c>
      <c r="F777" s="125">
        <f ca="1"/>
        <v>-0.72635368973223402</v>
      </c>
    </row>
    <row r="778" spans="5:6">
      <c r="E778" s="124">
        <f ca="1"/>
        <v>0.67293823244930562</v>
      </c>
      <c r="F778" s="125">
        <f ca="1"/>
        <v>1.0182986366926594</v>
      </c>
    </row>
    <row r="779" spans="5:6">
      <c r="E779" s="124">
        <f ca="1"/>
        <v>0.88664231768899004</v>
      </c>
      <c r="F779" s="125">
        <f ca="1"/>
        <v>2.4129479818193245E-2</v>
      </c>
    </row>
    <row r="780" spans="5:6">
      <c r="E780" s="124">
        <f ca="1"/>
        <v>0.62355455725873921</v>
      </c>
      <c r="F780" s="125">
        <f ca="1"/>
        <v>0.47614272234368943</v>
      </c>
    </row>
    <row r="781" spans="5:6">
      <c r="E781" s="124">
        <f ca="1"/>
        <v>1.4135536972890321</v>
      </c>
      <c r="F781" s="125">
        <f ca="1"/>
        <v>1.9285791553803044</v>
      </c>
    </row>
    <row r="782" spans="5:6">
      <c r="E782" s="124">
        <f ca="1"/>
        <v>0.54862960326667165</v>
      </c>
      <c r="F782" s="125">
        <f ca="1"/>
        <v>-0.3352056666112419</v>
      </c>
    </row>
    <row r="783" spans="5:6">
      <c r="E783" s="124">
        <f ca="1"/>
        <v>-1.808887111672864</v>
      </c>
      <c r="F783" s="125">
        <f ca="1"/>
        <v>-0.9406231768743909</v>
      </c>
    </row>
    <row r="784" spans="5:6">
      <c r="E784" s="124">
        <f ca="1"/>
        <v>-1.0065206421700699</v>
      </c>
      <c r="F784" s="125">
        <f ca="1"/>
        <v>-1.2946597670809714</v>
      </c>
    </row>
    <row r="785" spans="5:6">
      <c r="E785" s="124">
        <f ca="1"/>
        <v>-0.87970661174669629</v>
      </c>
      <c r="F785" s="125">
        <f ca="1"/>
        <v>-0.576896682986626</v>
      </c>
    </row>
    <row r="786" spans="5:6">
      <c r="E786" s="124">
        <f ca="1"/>
        <v>-1.1822859549942542</v>
      </c>
      <c r="F786" s="125">
        <f ca="1"/>
        <v>-1.5169751002994043</v>
      </c>
    </row>
    <row r="787" spans="5:6">
      <c r="E787" s="124">
        <f ca="1"/>
        <v>1.1138883659148964</v>
      </c>
      <c r="F787" s="125">
        <f ca="1"/>
        <v>0.16845814595583203</v>
      </c>
    </row>
    <row r="788" spans="5:6">
      <c r="E788" s="124">
        <f ca="1"/>
        <v>-0.99280715269201358</v>
      </c>
      <c r="F788" s="125">
        <f ca="1"/>
        <v>-0.49516683458581473</v>
      </c>
    </row>
    <row r="789" spans="5:6">
      <c r="E789" s="124">
        <f ca="1"/>
        <v>1.3052210506286146</v>
      </c>
      <c r="F789" s="125">
        <f ca="1"/>
        <v>1.582931540877627</v>
      </c>
    </row>
    <row r="790" spans="5:6">
      <c r="E790" s="124">
        <f ca="1"/>
        <v>0.92752437575258639</v>
      </c>
      <c r="F790" s="125">
        <f ca="1"/>
        <v>-0.57944147149705061</v>
      </c>
    </row>
    <row r="791" spans="5:6">
      <c r="E791" s="124">
        <f ca="1"/>
        <v>-0.19570435595384825</v>
      </c>
      <c r="F791" s="125">
        <f ca="1"/>
        <v>5.6230863377170481E-3</v>
      </c>
    </row>
    <row r="792" spans="5:6">
      <c r="E792" s="124">
        <f ca="1"/>
        <v>-0.24373509469983798</v>
      </c>
      <c r="F792" s="125">
        <f ca="1"/>
        <v>-1.4494203760893749</v>
      </c>
    </row>
    <row r="793" spans="5:6">
      <c r="E793" s="124">
        <f ca="1"/>
        <v>0.68054781050101509</v>
      </c>
      <c r="F793" s="125">
        <f ca="1"/>
        <v>0.51002723575804199</v>
      </c>
    </row>
    <row r="794" spans="5:6">
      <c r="E794" s="124">
        <f ca="1"/>
        <v>-0.91868296382385839</v>
      </c>
      <c r="F794" s="125">
        <f ca="1"/>
        <v>-1.469908050985679</v>
      </c>
    </row>
    <row r="795" spans="5:6">
      <c r="E795" s="124">
        <f ca="1"/>
        <v>-0.83992039283879549</v>
      </c>
      <c r="F795" s="125">
        <f ca="1"/>
        <v>-0.50138876272684707</v>
      </c>
    </row>
    <row r="796" spans="5:6">
      <c r="E796" s="124">
        <f ca="1"/>
        <v>0.3357127897145285</v>
      </c>
      <c r="F796" s="125">
        <f ca="1"/>
        <v>-1.0017650264760796</v>
      </c>
    </row>
    <row r="797" spans="5:6">
      <c r="E797" s="124">
        <f ca="1"/>
        <v>-0.99330728572901317</v>
      </c>
      <c r="F797" s="125">
        <f ca="1"/>
        <v>0.89973405118510152</v>
      </c>
    </row>
    <row r="798" spans="5:6">
      <c r="E798" s="124">
        <f ca="1"/>
        <v>-1.772906853495859</v>
      </c>
      <c r="F798" s="125">
        <f ca="1"/>
        <v>-0.52697996150978721</v>
      </c>
    </row>
    <row r="799" spans="5:6">
      <c r="E799" s="124">
        <f ca="1"/>
        <v>-0.57511258395991804</v>
      </c>
      <c r="F799" s="125">
        <f ca="1"/>
        <v>0.14125370872759441</v>
      </c>
    </row>
    <row r="800" spans="5:6">
      <c r="E800" s="124">
        <f ca="1"/>
        <v>-1.3159038568023889</v>
      </c>
      <c r="F800" s="125">
        <f ca="1"/>
        <v>-0.85842581540082374</v>
      </c>
    </row>
    <row r="801" spans="5:6">
      <c r="E801" s="124">
        <f ca="1"/>
        <v>-1.4281566293291261</v>
      </c>
      <c r="F801" s="125">
        <f ca="1"/>
        <v>0.27276304150472142</v>
      </c>
    </row>
    <row r="802" spans="5:6">
      <c r="E802" s="124">
        <f ca="1"/>
        <v>-1.2176005797675551</v>
      </c>
      <c r="F802" s="125">
        <f ca="1"/>
        <v>-0.28225654275411521</v>
      </c>
    </row>
    <row r="803" spans="5:6">
      <c r="E803" s="124">
        <f ca="1"/>
        <v>0.21209080988291254</v>
      </c>
      <c r="F803" s="125">
        <f ca="1"/>
        <v>-0.29325702779834589</v>
      </c>
    </row>
    <row r="804" spans="5:6">
      <c r="E804" s="124">
        <f ca="1"/>
        <v>0.49429998357602967</v>
      </c>
      <c r="F804" s="125">
        <f ca="1"/>
        <v>-6.0836995058167254E-2</v>
      </c>
    </row>
    <row r="805" spans="5:6">
      <c r="E805" s="124">
        <f ca="1"/>
        <v>-0.53283581276175473</v>
      </c>
      <c r="F805" s="125">
        <f ca="1"/>
        <v>-1.1621399725945369</v>
      </c>
    </row>
    <row r="806" spans="5:6">
      <c r="E806" s="124">
        <f ca="1"/>
        <v>0.29830790520411876</v>
      </c>
      <c r="F806" s="125">
        <f ca="1"/>
        <v>0.63803783968138061</v>
      </c>
    </row>
    <row r="807" spans="5:6">
      <c r="E807" s="124">
        <f ca="1"/>
        <v>-0.40534943554368286</v>
      </c>
      <c r="F807" s="125">
        <f ca="1"/>
        <v>-1.8090050198141161</v>
      </c>
    </row>
    <row r="808" spans="5:6">
      <c r="E808" s="124">
        <f ca="1"/>
        <v>0.18606429310036496</v>
      </c>
      <c r="F808" s="125">
        <f ca="1"/>
        <v>8.650845498931492E-2</v>
      </c>
    </row>
    <row r="809" spans="5:6">
      <c r="E809" s="124">
        <f ca="1"/>
        <v>0.70885383608893748</v>
      </c>
      <c r="F809" s="125">
        <f ca="1"/>
        <v>6.5880209854856597E-2</v>
      </c>
    </row>
    <row r="810" spans="5:6">
      <c r="E810" s="124">
        <f ca="1"/>
        <v>0.93890142260704867</v>
      </c>
      <c r="F810" s="125">
        <f ca="1"/>
        <v>1.1712479198333452</v>
      </c>
    </row>
    <row r="811" spans="5:6">
      <c r="E811" s="124">
        <f ca="1"/>
        <v>-0.16955580767934805</v>
      </c>
      <c r="F811" s="125">
        <f ca="1"/>
        <v>-1.1459574023131796</v>
      </c>
    </row>
    <row r="812" spans="5:6">
      <c r="E812" s="124">
        <f ca="1"/>
        <v>0.65814597689454402</v>
      </c>
      <c r="F812" s="125">
        <f ca="1"/>
        <v>1.830065591382229</v>
      </c>
    </row>
    <row r="813" spans="5:6">
      <c r="E813" s="124">
        <f ca="1"/>
        <v>-2.3745622684704184</v>
      </c>
      <c r="F813" s="125">
        <f ca="1"/>
        <v>-0.65552084855278669</v>
      </c>
    </row>
    <row r="814" spans="5:6">
      <c r="E814" s="124">
        <f ca="1"/>
        <v>-0.74992079320692184</v>
      </c>
      <c r="F814" s="125">
        <f ca="1"/>
        <v>-1.0191057789724607</v>
      </c>
    </row>
    <row r="815" spans="5:6">
      <c r="E815" s="124">
        <f ca="1"/>
        <v>0.45059404378993784</v>
      </c>
      <c r="F815" s="125">
        <f ca="1"/>
        <v>1.0030534968388514</v>
      </c>
    </row>
    <row r="816" spans="5:6">
      <c r="E816" s="124">
        <f ca="1"/>
        <v>-1.3538716909505515</v>
      </c>
      <c r="F816" s="125">
        <f ca="1"/>
        <v>-1.3315785799127817</v>
      </c>
    </row>
    <row r="817" spans="5:6">
      <c r="E817" s="124">
        <f ca="1"/>
        <v>-0.51512717048741752</v>
      </c>
      <c r="F817" s="125">
        <f ca="1"/>
        <v>-0.74234443625711355</v>
      </c>
    </row>
    <row r="818" spans="5:6">
      <c r="E818" s="124">
        <f ca="1"/>
        <v>2.346141208527512E-3</v>
      </c>
      <c r="F818" s="125">
        <f ca="1"/>
        <v>8.1561781541329231E-2</v>
      </c>
    </row>
    <row r="819" spans="5:6">
      <c r="E819" s="124">
        <f ca="1"/>
        <v>-0.32056864642645633</v>
      </c>
      <c r="F819" s="125">
        <f ca="1"/>
        <v>-0.31745782275268969</v>
      </c>
    </row>
    <row r="820" spans="5:6">
      <c r="E820" s="124">
        <f ca="1"/>
        <v>-0.48541273842812505</v>
      </c>
      <c r="F820" s="125">
        <f ca="1"/>
        <v>-0.63999327893318592</v>
      </c>
    </row>
    <row r="821" spans="5:6">
      <c r="E821" s="124">
        <f ca="1"/>
        <v>-0.27467842164818418</v>
      </c>
      <c r="F821" s="125">
        <f ca="1"/>
        <v>-0.13480024913036695</v>
      </c>
    </row>
    <row r="822" spans="5:6">
      <c r="E822" s="124">
        <f ca="1"/>
        <v>-0.61895365365792698</v>
      </c>
      <c r="F822" s="125">
        <f ca="1"/>
        <v>0.31869369944853032</v>
      </c>
    </row>
    <row r="823" spans="5:6">
      <c r="E823" s="124">
        <f ca="1"/>
        <v>-0.42099858688897612</v>
      </c>
      <c r="F823" s="125">
        <f ca="1"/>
        <v>0.6553113714533132</v>
      </c>
    </row>
    <row r="824" spans="5:6">
      <c r="E824" s="124">
        <f ca="1"/>
        <v>2.3669604334977962E-2</v>
      </c>
      <c r="F824" s="125">
        <f ca="1"/>
        <v>0.79903556924693653</v>
      </c>
    </row>
    <row r="825" spans="5:6">
      <c r="E825" s="124">
        <f ca="1"/>
        <v>-0.65413172199045899</v>
      </c>
      <c r="F825" s="125">
        <f ca="1"/>
        <v>-0.26844555748145604</v>
      </c>
    </row>
    <row r="826" spans="5:6">
      <c r="E826" s="124">
        <f ca="1"/>
        <v>0.52909047628311356</v>
      </c>
      <c r="F826" s="125">
        <f ca="1"/>
        <v>0.18929726149970488</v>
      </c>
    </row>
    <row r="827" spans="5:6">
      <c r="E827" s="124">
        <f ca="1"/>
        <v>-2.1349582977901185</v>
      </c>
      <c r="F827" s="125">
        <f ca="1"/>
        <v>-1.2035856666735738</v>
      </c>
    </row>
    <row r="828" spans="5:6">
      <c r="E828" s="124">
        <f ca="1"/>
        <v>1.3236115499402115</v>
      </c>
      <c r="F828" s="125">
        <f ca="1"/>
        <v>-0.78482954958799367</v>
      </c>
    </row>
    <row r="829" spans="5:6">
      <c r="E829" s="124">
        <f ca="1"/>
        <v>0.37698503060424793</v>
      </c>
      <c r="F829" s="125">
        <f ca="1"/>
        <v>-6.6473858466971458E-2</v>
      </c>
    </row>
    <row r="830" spans="5:6">
      <c r="E830" s="124">
        <f ca="1"/>
        <v>-0.1160836639570236</v>
      </c>
      <c r="F830" s="125">
        <f ca="1"/>
        <v>0.95843082244680311</v>
      </c>
    </row>
    <row r="831" spans="5:6">
      <c r="E831" s="124">
        <f ca="1"/>
        <v>0.23394400249552488</v>
      </c>
      <c r="F831" s="125">
        <f ca="1"/>
        <v>0.24867749773033535</v>
      </c>
    </row>
    <row r="832" spans="5:6">
      <c r="E832" s="124">
        <f ca="1"/>
        <v>8.3337931146245742E-2</v>
      </c>
      <c r="F832" s="125">
        <f ca="1"/>
        <v>1.1018232839702713</v>
      </c>
    </row>
    <row r="833" spans="5:6">
      <c r="E833" s="124">
        <f ca="1"/>
        <v>4.7557962215022995E-2</v>
      </c>
      <c r="F833" s="125">
        <f ca="1"/>
        <v>-3.3608504714595692E-2</v>
      </c>
    </row>
    <row r="834" spans="5:6">
      <c r="E834" s="124">
        <f ca="1"/>
        <v>0.87353851519282666</v>
      </c>
      <c r="F834" s="125">
        <f ca="1"/>
        <v>1.8303968966992954</v>
      </c>
    </row>
    <row r="835" spans="5:6">
      <c r="E835" s="124">
        <f ca="1"/>
        <v>-0.25648642773867775</v>
      </c>
      <c r="F835" s="125">
        <f ca="1"/>
        <v>0.96420751701567042</v>
      </c>
    </row>
    <row r="836" spans="5:6">
      <c r="E836" s="124">
        <f ca="1"/>
        <v>-0.28133909774973381</v>
      </c>
      <c r="F836" s="125">
        <f ca="1"/>
        <v>0.62251004116959507</v>
      </c>
    </row>
    <row r="837" spans="5:6">
      <c r="E837" s="124">
        <f ca="1"/>
        <v>2.7855582760265261</v>
      </c>
      <c r="F837" s="125">
        <f ca="1"/>
        <v>0.48553980525895302</v>
      </c>
    </row>
    <row r="838" spans="5:6">
      <c r="E838" s="124">
        <f ca="1"/>
        <v>0.65256548468871522</v>
      </c>
      <c r="F838" s="125">
        <f ca="1"/>
        <v>1.4323826449984174</v>
      </c>
    </row>
    <row r="839" spans="5:6">
      <c r="E839" s="124">
        <f ca="1"/>
        <v>1.1335059537729328</v>
      </c>
      <c r="F839" s="125">
        <f ca="1"/>
        <v>-5.17379581212426E-2</v>
      </c>
    </row>
    <row r="840" spans="5:6">
      <c r="E840" s="124">
        <f ca="1"/>
        <v>2.1677318398029177</v>
      </c>
      <c r="F840" s="125">
        <f ca="1"/>
        <v>2.5094653486863034</v>
      </c>
    </row>
    <row r="841" spans="5:6">
      <c r="E841" s="124">
        <f ca="1"/>
        <v>-0.20771792167601996</v>
      </c>
      <c r="F841" s="125">
        <f ca="1"/>
        <v>-0.94109863874275324</v>
      </c>
    </row>
    <row r="842" spans="5:6">
      <c r="E842" s="124">
        <f ca="1"/>
        <v>-0.80384816747636778</v>
      </c>
      <c r="F842" s="125">
        <f ca="1"/>
        <v>0.60442393961541119</v>
      </c>
    </row>
    <row r="843" spans="5:6">
      <c r="E843" s="124">
        <f ca="1"/>
        <v>-0.22709396730040968</v>
      </c>
      <c r="F843" s="125">
        <f ca="1"/>
        <v>-0.83544040545604326</v>
      </c>
    </row>
    <row r="844" spans="5:6">
      <c r="E844" s="124">
        <f ca="1"/>
        <v>0.19784024616249873</v>
      </c>
      <c r="F844" s="125">
        <f ca="1"/>
        <v>1.6165634397724242</v>
      </c>
    </row>
    <row r="845" spans="5:6">
      <c r="E845" s="124">
        <f ca="1"/>
        <v>0.51642378875029527</v>
      </c>
      <c r="F845" s="125">
        <f ca="1"/>
        <v>0.2712984044210201</v>
      </c>
    </row>
    <row r="846" spans="5:6">
      <c r="E846" s="124">
        <f ca="1"/>
        <v>0.5849745822475646</v>
      </c>
      <c r="F846" s="125">
        <f ca="1"/>
        <v>0.17719673780483766</v>
      </c>
    </row>
    <row r="847" spans="5:6">
      <c r="E847" s="124">
        <f ca="1"/>
        <v>-8.922179192956228E-3</v>
      </c>
      <c r="F847" s="125">
        <f ca="1"/>
        <v>1.1875210566162337</v>
      </c>
    </row>
    <row r="848" spans="5:6">
      <c r="E848" s="124">
        <f ca="1"/>
        <v>-1.1097039477077248</v>
      </c>
      <c r="F848" s="125">
        <f ca="1"/>
        <v>0.30684351962798162</v>
      </c>
    </row>
    <row r="849" spans="5:6">
      <c r="E849" s="124">
        <f ca="1"/>
        <v>1.3312568988070563</v>
      </c>
      <c r="F849" s="125">
        <f ca="1"/>
        <v>0.35245812751375716</v>
      </c>
    </row>
    <row r="850" spans="5:6">
      <c r="E850" s="124">
        <f ca="1"/>
        <v>0.88903848355515402</v>
      </c>
      <c r="F850" s="125">
        <f ca="1"/>
        <v>-0.13087930397701636</v>
      </c>
    </row>
    <row r="851" spans="5:6">
      <c r="E851" s="124">
        <f ca="1"/>
        <v>-1.1633426839551309</v>
      </c>
      <c r="F851" s="125">
        <f ca="1"/>
        <v>-0.79229156037201121</v>
      </c>
    </row>
    <row r="852" spans="5:6">
      <c r="E852" s="124">
        <f ca="1"/>
        <v>0.63447842899491647</v>
      </c>
      <c r="F852" s="125">
        <f ca="1"/>
        <v>0.97318706153948265</v>
      </c>
    </row>
    <row r="853" spans="5:6">
      <c r="E853" s="124">
        <f ca="1"/>
        <v>-3.0042403936360602E-2</v>
      </c>
      <c r="F853" s="125">
        <f ca="1"/>
        <v>-0.22470169960502892</v>
      </c>
    </row>
    <row r="854" spans="5:6">
      <c r="E854" s="124">
        <f ca="1"/>
        <v>0.65696489259749946</v>
      </c>
      <c r="F854" s="125">
        <f ca="1"/>
        <v>1.5704649624275393</v>
      </c>
    </row>
    <row r="855" spans="5:6">
      <c r="E855" s="124">
        <f ca="1"/>
        <v>0.35882324083142481</v>
      </c>
      <c r="F855" s="125">
        <f ca="1"/>
        <v>1.4281691109883916</v>
      </c>
    </row>
    <row r="856" spans="5:6">
      <c r="E856" s="124">
        <f ca="1"/>
        <v>1.0091136445186413</v>
      </c>
      <c r="F856" s="125">
        <f ca="1"/>
        <v>0.17792907849528239</v>
      </c>
    </row>
    <row r="857" spans="5:6">
      <c r="E857" s="124">
        <f ca="1"/>
        <v>0.36634260687185627</v>
      </c>
      <c r="F857" s="125">
        <f ca="1"/>
        <v>-0.1997541937506746</v>
      </c>
    </row>
    <row r="858" spans="5:6">
      <c r="E858" s="124">
        <f ca="1"/>
        <v>0.67373176346525798</v>
      </c>
      <c r="F858" s="125">
        <f ca="1"/>
        <v>-9.477482584645669E-2</v>
      </c>
    </row>
    <row r="859" spans="5:6">
      <c r="E859" s="124">
        <f ca="1"/>
        <v>1.0755921032471445</v>
      </c>
      <c r="F859" s="125">
        <f ca="1"/>
        <v>1.165533681802299</v>
      </c>
    </row>
    <row r="860" spans="5:6">
      <c r="E860" s="124">
        <f ca="1"/>
        <v>0.64678355354010419</v>
      </c>
      <c r="F860" s="125">
        <f ca="1"/>
        <v>0.86306347725540156</v>
      </c>
    </row>
    <row r="861" spans="5:6">
      <c r="E861" s="124">
        <f ca="1"/>
        <v>0.34226450270848835</v>
      </c>
      <c r="F861" s="125">
        <f ca="1"/>
        <v>0.91251140988781854</v>
      </c>
    </row>
    <row r="862" spans="5:6">
      <c r="E862" s="124">
        <f ca="1"/>
        <v>0.36355668137753389</v>
      </c>
      <c r="F862" s="125">
        <f ca="1"/>
        <v>0.822821069928802</v>
      </c>
    </row>
    <row r="863" spans="5:6">
      <c r="E863" s="124">
        <f ca="1"/>
        <v>0.85950675675927302</v>
      </c>
      <c r="F863" s="125">
        <f ca="1"/>
        <v>-0.87184119189514719</v>
      </c>
    </row>
    <row r="864" spans="5:6">
      <c r="E864" s="124">
        <f ca="1"/>
        <v>0.35772110983640232</v>
      </c>
      <c r="F864" s="125">
        <f ca="1"/>
        <v>0.107451283095616</v>
      </c>
    </row>
    <row r="865" spans="5:6">
      <c r="E865" s="124">
        <f ca="1"/>
        <v>-1.5749205377702338</v>
      </c>
      <c r="F865" s="125">
        <f ca="1"/>
        <v>0.75311667738642396</v>
      </c>
    </row>
    <row r="866" spans="5:6">
      <c r="E866" s="124">
        <f ca="1"/>
        <v>0.94571236399953085</v>
      </c>
      <c r="F866" s="125">
        <f ca="1"/>
        <v>0.72685982769756796</v>
      </c>
    </row>
    <row r="867" spans="5:6">
      <c r="E867" s="124">
        <f ca="1"/>
        <v>-0.75414777152852686</v>
      </c>
      <c r="F867" s="125">
        <f ca="1"/>
        <v>0.59215665224779457</v>
      </c>
    </row>
    <row r="868" spans="5:6">
      <c r="E868" s="124">
        <f ca="1"/>
        <v>0.97021960468023305</v>
      </c>
      <c r="F868" s="125">
        <f ca="1"/>
        <v>0.87644480029004312</v>
      </c>
    </row>
    <row r="869" spans="5:6">
      <c r="E869" s="124">
        <f ca="1"/>
        <v>0.49677948553435886</v>
      </c>
      <c r="F869" s="125">
        <f ca="1"/>
        <v>0.51193638726422341</v>
      </c>
    </row>
    <row r="870" spans="5:6">
      <c r="E870" s="124">
        <f ca="1"/>
        <v>-0.76716749546905572</v>
      </c>
      <c r="F870" s="125">
        <f ca="1"/>
        <v>-2.4371213838828369</v>
      </c>
    </row>
    <row r="871" spans="5:6">
      <c r="E871" s="124">
        <f ca="1"/>
        <v>0.86806008351821595</v>
      </c>
      <c r="F871" s="125">
        <f ca="1"/>
        <v>0.90425099723330038</v>
      </c>
    </row>
    <row r="872" spans="5:6">
      <c r="E872" s="124">
        <f ca="1"/>
        <v>0.41840801488730012</v>
      </c>
      <c r="F872" s="125">
        <f ca="1"/>
        <v>-8.0162327561206087E-2</v>
      </c>
    </row>
    <row r="873" spans="5:6">
      <c r="E873" s="124">
        <f ca="1"/>
        <v>5.7183003031015575E-2</v>
      </c>
      <c r="F873" s="125">
        <f ca="1"/>
        <v>-0.45816494183104284</v>
      </c>
    </row>
    <row r="874" spans="5:6">
      <c r="E874" s="124">
        <f ca="1"/>
        <v>-0.91834198369629816</v>
      </c>
      <c r="F874" s="125">
        <f ca="1"/>
        <v>-1.026688397064647</v>
      </c>
    </row>
    <row r="875" spans="5:6">
      <c r="E875" s="124">
        <f ca="1"/>
        <v>0.39661453094944737</v>
      </c>
      <c r="F875" s="125">
        <f ca="1"/>
        <v>-1.4061469419275099</v>
      </c>
    </row>
    <row r="876" spans="5:6">
      <c r="E876" s="124">
        <f ca="1"/>
        <v>0.92127644803521147</v>
      </c>
      <c r="F876" s="125">
        <f ca="1"/>
        <v>1.3331643699914177</v>
      </c>
    </row>
    <row r="877" spans="5:6">
      <c r="E877" s="124">
        <f ca="1"/>
        <v>1.3193650152388889</v>
      </c>
      <c r="F877" s="125">
        <f ca="1"/>
        <v>0.27686982872269789</v>
      </c>
    </row>
    <row r="878" spans="5:6">
      <c r="E878" s="124">
        <f ca="1"/>
        <v>-1.8545487079217677</v>
      </c>
      <c r="F878" s="125">
        <f ca="1"/>
        <v>-1.5941190364041433</v>
      </c>
    </row>
    <row r="879" spans="5:6">
      <c r="E879" s="124">
        <f ca="1"/>
        <v>-0.11261678514945145</v>
      </c>
      <c r="F879" s="125">
        <f ca="1"/>
        <v>-0.32108962462141466</v>
      </c>
    </row>
    <row r="880" spans="5:6">
      <c r="E880" s="124">
        <f ca="1"/>
        <v>-1.821751521077553</v>
      </c>
      <c r="F880" s="125">
        <f ca="1"/>
        <v>0.89687640659927204</v>
      </c>
    </row>
    <row r="881" spans="5:6">
      <c r="E881" s="124">
        <f ca="1"/>
        <v>-0.67974404914497155</v>
      </c>
      <c r="F881" s="125">
        <f ca="1"/>
        <v>1.1006637552944893</v>
      </c>
    </row>
    <row r="882" spans="5:6">
      <c r="E882" s="124">
        <f ca="1"/>
        <v>-2.0656730486305879</v>
      </c>
      <c r="F882" s="125">
        <f ca="1"/>
        <v>1.2661813656590795</v>
      </c>
    </row>
    <row r="883" spans="5:6">
      <c r="E883" s="124">
        <f ca="1"/>
        <v>0.20033802798598627</v>
      </c>
      <c r="F883" s="125">
        <f ca="1"/>
        <v>1.1271334417022656</v>
      </c>
    </row>
    <row r="884" spans="5:6">
      <c r="E884" s="124">
        <f ca="1"/>
        <v>0.3734156545682677</v>
      </c>
      <c r="F884" s="125">
        <f ca="1"/>
        <v>0.41352805665766812</v>
      </c>
    </row>
    <row r="885" spans="5:6">
      <c r="E885" s="124">
        <f ca="1"/>
        <v>0.23135284241091444</v>
      </c>
      <c r="F885" s="125">
        <f ca="1"/>
        <v>1.7650983943787064</v>
      </c>
    </row>
    <row r="886" spans="5:6">
      <c r="E886" s="124">
        <f ca="1"/>
        <v>7.9432059529035398E-2</v>
      </c>
      <c r="F886" s="125">
        <f ca="1"/>
        <v>-0.73284186315632482</v>
      </c>
    </row>
    <row r="887" spans="5:6">
      <c r="E887" s="124">
        <f ca="1"/>
        <v>-0.70498881488455245</v>
      </c>
      <c r="F887" s="125">
        <f ca="1"/>
        <v>0.34030889500404249</v>
      </c>
    </row>
    <row r="888" spans="5:6">
      <c r="E888" s="124">
        <f ca="1"/>
        <v>-1.9179098099513487</v>
      </c>
      <c r="F888" s="125">
        <f ca="1"/>
        <v>-0.8869434108019324</v>
      </c>
    </row>
    <row r="889" spans="5:6">
      <c r="E889" s="124">
        <f ca="1"/>
        <v>0.13119073115176408</v>
      </c>
      <c r="F889" s="125">
        <f ca="1"/>
        <v>7.2102835418863767E-2</v>
      </c>
    </row>
    <row r="890" spans="5:6">
      <c r="E890" s="124">
        <f ca="1"/>
        <v>-1.9358567139682981</v>
      </c>
      <c r="F890" s="125">
        <f ca="1"/>
        <v>1.0402191886688068</v>
      </c>
    </row>
    <row r="891" spans="5:6">
      <c r="E891" s="124">
        <f ca="1"/>
        <v>-0.23633259796979214</v>
      </c>
      <c r="F891" s="125">
        <f ca="1"/>
        <v>0.75988717348832158</v>
      </c>
    </row>
    <row r="892" spans="5:6">
      <c r="E892" s="124">
        <f ca="1"/>
        <v>0.66721366656468262</v>
      </c>
      <c r="F892" s="125">
        <f ca="1"/>
        <v>1.9730810444561708E-2</v>
      </c>
    </row>
    <row r="893" spans="5:6">
      <c r="E893" s="124">
        <f ca="1"/>
        <v>0.36726728991126817</v>
      </c>
      <c r="F893" s="125">
        <f ca="1"/>
        <v>0.62231435496864718</v>
      </c>
    </row>
    <row r="894" spans="5:6">
      <c r="E894" s="124">
        <f ca="1"/>
        <v>0.67039238190146622</v>
      </c>
      <c r="F894" s="125">
        <f ca="1"/>
        <v>-0.47538140652588662</v>
      </c>
    </row>
    <row r="895" spans="5:6">
      <c r="E895" s="124">
        <f ca="1"/>
        <v>0.33637730279307904</v>
      </c>
      <c r="F895" s="125">
        <f ca="1"/>
        <v>0.87956769978268345</v>
      </c>
    </row>
    <row r="896" spans="5:6">
      <c r="E896" s="124">
        <f ca="1"/>
        <v>-0.73417441449581999</v>
      </c>
      <c r="F896" s="125">
        <f ca="1"/>
        <v>0.56531720575405464</v>
      </c>
    </row>
    <row r="897" spans="5:6">
      <c r="E897" s="124">
        <f ca="1"/>
        <v>-0.499141935326328</v>
      </c>
      <c r="F897" s="125">
        <f ca="1"/>
        <v>-1.7140881163327487E-2</v>
      </c>
    </row>
    <row r="898" spans="5:6">
      <c r="E898" s="124">
        <f ca="1"/>
        <v>0.78757740390485687</v>
      </c>
      <c r="F898" s="125">
        <f ca="1"/>
        <v>1.1591314757662581</v>
      </c>
    </row>
    <row r="899" spans="5:6">
      <c r="E899" s="124">
        <f ca="1"/>
        <v>-1.6124967139573227</v>
      </c>
      <c r="F899" s="125">
        <f ca="1"/>
        <v>-1.6454975205302391</v>
      </c>
    </row>
    <row r="900" spans="5:6">
      <c r="E900" s="124">
        <f ca="1"/>
        <v>1.0120289991290257</v>
      </c>
      <c r="F900" s="125">
        <f ca="1"/>
        <v>-2.2175065344089488</v>
      </c>
    </row>
    <row r="901" spans="5:6">
      <c r="E901" s="124">
        <f ca="1"/>
        <v>-0.39126788739116197</v>
      </c>
      <c r="F901" s="125">
        <f ca="1"/>
        <v>-1.7517223339358565</v>
      </c>
    </row>
    <row r="902" spans="5:6">
      <c r="E902" s="124">
        <f ca="1"/>
        <v>0.95603674142959982</v>
      </c>
      <c r="F902" s="125">
        <f ca="1"/>
        <v>0.22610364115217585</v>
      </c>
    </row>
    <row r="903" spans="5:6">
      <c r="E903" s="124">
        <f ca="1"/>
        <v>-0.45498955255905987</v>
      </c>
      <c r="F903" s="125">
        <f ca="1"/>
        <v>0.75221278530457647</v>
      </c>
    </row>
    <row r="904" spans="5:6">
      <c r="E904" s="124">
        <f ca="1"/>
        <v>0.13856466382059041</v>
      </c>
      <c r="F904" s="125">
        <f ca="1"/>
        <v>0.74252663078900261</v>
      </c>
    </row>
    <row r="905" spans="5:6">
      <c r="E905" s="124">
        <f ca="1"/>
        <v>-0.81625182522560191</v>
      </c>
      <c r="F905" s="125">
        <f ca="1"/>
        <v>0.21996431286004803</v>
      </c>
    </row>
    <row r="906" spans="5:6">
      <c r="E906" s="124">
        <f ca="1"/>
        <v>0.50097083796694597</v>
      </c>
      <c r="F906" s="125">
        <f ca="1"/>
        <v>0.15877684438022252</v>
      </c>
    </row>
    <row r="907" spans="5:6">
      <c r="E907" s="124">
        <f ca="1"/>
        <v>0.61667177523241024</v>
      </c>
      <c r="F907" s="125">
        <f ca="1"/>
        <v>-1.1974522096604709</v>
      </c>
    </row>
    <row r="908" spans="5:6">
      <c r="E908" s="124">
        <f ca="1"/>
        <v>0.74571344593257649</v>
      </c>
      <c r="F908" s="125">
        <f ca="1"/>
        <v>0.79970331221306579</v>
      </c>
    </row>
    <row r="909" spans="5:6">
      <c r="E909" s="124">
        <f ca="1"/>
        <v>-7.0320070415996999E-2</v>
      </c>
      <c r="F909" s="125">
        <f ca="1"/>
        <v>-0.34534414836041882</v>
      </c>
    </row>
    <row r="910" spans="5:6">
      <c r="E910" s="124">
        <f ca="1"/>
        <v>0.6394791306955232</v>
      </c>
      <c r="F910" s="125">
        <f ca="1"/>
        <v>1.2445636681077465</v>
      </c>
    </row>
    <row r="911" spans="5:6">
      <c r="E911" s="124">
        <f ca="1"/>
        <v>0.32990704452931047</v>
      </c>
      <c r="F911" s="125">
        <f ca="1"/>
        <v>0.45470837147766607</v>
      </c>
    </row>
    <row r="912" spans="5:6">
      <c r="E912" s="124">
        <f ca="1"/>
        <v>-0.2350904842640453</v>
      </c>
      <c r="F912" s="125">
        <f ca="1"/>
        <v>0.15301608670402328</v>
      </c>
    </row>
    <row r="913" spans="5:6">
      <c r="E913" s="124">
        <f ca="1"/>
        <v>1.2364075964552455</v>
      </c>
      <c r="F913" s="125">
        <f ca="1"/>
        <v>0.14959259028871569</v>
      </c>
    </row>
    <row r="914" spans="5:6">
      <c r="E914" s="124">
        <f ca="1"/>
        <v>0.44360049594080414</v>
      </c>
      <c r="F914" s="125">
        <f ca="1"/>
        <v>0.84555804053855899</v>
      </c>
    </row>
    <row r="915" spans="5:6">
      <c r="E915" s="124">
        <f ca="1"/>
        <v>0.1199568799870797</v>
      </c>
      <c r="F915" s="125">
        <f ca="1"/>
        <v>0.10158957799184373</v>
      </c>
    </row>
    <row r="916" spans="5:6">
      <c r="E916" s="124">
        <f ca="1"/>
        <v>0.51558225295403004</v>
      </c>
      <c r="F916" s="125">
        <f ca="1"/>
        <v>0.55188827268096396</v>
      </c>
    </row>
    <row r="917" spans="5:6">
      <c r="E917" s="124">
        <f ca="1"/>
        <v>0.21664179465650021</v>
      </c>
      <c r="F917" s="125">
        <f ca="1"/>
        <v>0.7999915123049347</v>
      </c>
    </row>
    <row r="918" spans="5:6">
      <c r="E918" s="124">
        <f ca="1"/>
        <v>0.89671214306086222</v>
      </c>
      <c r="F918" s="125">
        <f ca="1"/>
        <v>-1.0937368574540913</v>
      </c>
    </row>
    <row r="919" spans="5:6">
      <c r="E919" s="124">
        <f ca="1"/>
        <v>-0.45097084511433105</v>
      </c>
      <c r="F919" s="125">
        <f ca="1"/>
        <v>-0.19746876260281199</v>
      </c>
    </row>
    <row r="920" spans="5:6">
      <c r="E920" s="124">
        <f ca="1"/>
        <v>-0.38713320184250749</v>
      </c>
      <c r="F920" s="125">
        <f ca="1"/>
        <v>-0.79912696049559861</v>
      </c>
    </row>
    <row r="921" spans="5:6">
      <c r="E921" s="124">
        <f ca="1"/>
        <v>-1.7524732631198998</v>
      </c>
      <c r="F921" s="125">
        <f ca="1"/>
        <v>-1.2999065925448989</v>
      </c>
    </row>
    <row r="922" spans="5:6">
      <c r="E922" s="124">
        <f ca="1"/>
        <v>5.9508977920886649E-2</v>
      </c>
      <c r="F922" s="125">
        <f ca="1"/>
        <v>0.4894884041731698</v>
      </c>
    </row>
    <row r="923" spans="5:6">
      <c r="E923" s="124">
        <f ca="1"/>
        <v>-0.79035738971277736</v>
      </c>
      <c r="F923" s="125">
        <f ca="1"/>
        <v>0.99895253755351376</v>
      </c>
    </row>
    <row r="924" spans="5:6">
      <c r="E924" s="124">
        <f ca="1"/>
        <v>-0.87129314665263657</v>
      </c>
      <c r="F924" s="125">
        <f ca="1"/>
        <v>-1.5497848129095315</v>
      </c>
    </row>
    <row r="925" spans="5:6">
      <c r="E925" s="124">
        <f ca="1"/>
        <v>-0.89091058747774865</v>
      </c>
      <c r="F925" s="125">
        <f ca="1"/>
        <v>8.7736954960789204E-2</v>
      </c>
    </row>
    <row r="926" spans="5:6">
      <c r="E926" s="124">
        <f ca="1"/>
        <v>-0.66681594628989771</v>
      </c>
      <c r="F926" s="125">
        <f ca="1"/>
        <v>0.3839194351078844</v>
      </c>
    </row>
    <row r="927" spans="5:6">
      <c r="E927" s="124">
        <f ca="1"/>
        <v>0.10624491263153957</v>
      </c>
      <c r="F927" s="125">
        <f ca="1"/>
        <v>-2.5204315552371654</v>
      </c>
    </row>
    <row r="928" spans="5:6">
      <c r="E928" s="124">
        <f ca="1"/>
        <v>0.10411860721996559</v>
      </c>
      <c r="F928" s="125">
        <f ca="1"/>
        <v>-0.75425644155313998</v>
      </c>
    </row>
    <row r="929" spans="5:6">
      <c r="E929" s="124">
        <f ca="1"/>
        <v>-0.32768291384012022</v>
      </c>
      <c r="F929" s="125">
        <f ca="1"/>
        <v>7.0215086860729026E-3</v>
      </c>
    </row>
    <row r="930" spans="5:6">
      <c r="E930" s="124">
        <f ca="1"/>
        <v>-0.52009497805568194</v>
      </c>
      <c r="F930" s="125">
        <f ca="1"/>
        <v>-2.1595137612390172</v>
      </c>
    </row>
    <row r="931" spans="5:6">
      <c r="E931" s="124">
        <f ca="1"/>
        <v>0.14302862334198838</v>
      </c>
      <c r="F931" s="125">
        <f ca="1"/>
        <v>-0.71214000312006143</v>
      </c>
    </row>
    <row r="932" spans="5:6">
      <c r="E932" s="124">
        <f ca="1"/>
        <v>0.37191885261550306</v>
      </c>
      <c r="F932" s="125">
        <f ca="1"/>
        <v>0.21481994754934097</v>
      </c>
    </row>
    <row r="933" spans="5:6">
      <c r="E933" s="124">
        <f ca="1"/>
        <v>-0.18768333209570695</v>
      </c>
      <c r="F933" s="125">
        <f ca="1"/>
        <v>-1.1555630706649291</v>
      </c>
    </row>
    <row r="934" spans="5:6">
      <c r="E934" s="124">
        <f ca="1"/>
        <v>-1.655594557462897</v>
      </c>
      <c r="F934" s="125">
        <f ca="1"/>
        <v>-0.76656376216726785</v>
      </c>
    </row>
    <row r="935" spans="5:6">
      <c r="E935" s="124">
        <f ca="1"/>
        <v>0.62761761999732901</v>
      </c>
      <c r="F935" s="125">
        <f ca="1"/>
        <v>-0.73097393890505447</v>
      </c>
    </row>
    <row r="936" spans="5:6">
      <c r="E936" s="124">
        <f ca="1"/>
        <v>-1.2298426523965771</v>
      </c>
      <c r="F936" s="125">
        <f ca="1"/>
        <v>-0.65796620560440355</v>
      </c>
    </row>
    <row r="937" spans="5:6">
      <c r="E937" s="124">
        <f ca="1"/>
        <v>-1.8164118834802758</v>
      </c>
      <c r="F937" s="125">
        <f ca="1"/>
        <v>-0.6613330995100728</v>
      </c>
    </row>
    <row r="938" spans="5:6">
      <c r="E938" s="124">
        <f ca="1"/>
        <v>0.69885054404216584</v>
      </c>
      <c r="F938" s="125">
        <f ca="1"/>
        <v>-0.23598208838295892</v>
      </c>
    </row>
    <row r="939" spans="5:6">
      <c r="E939" s="124">
        <f ca="1"/>
        <v>-0.31963333093881202</v>
      </c>
      <c r="F939" s="125">
        <f ca="1"/>
        <v>-0.17750148960744727</v>
      </c>
    </row>
    <row r="940" spans="5:6">
      <c r="E940" s="124">
        <f ca="1"/>
        <v>-0.14374047793981301</v>
      </c>
      <c r="F940" s="125">
        <f ca="1"/>
        <v>-1.040724283686663</v>
      </c>
    </row>
    <row r="941" spans="5:6">
      <c r="E941" s="124">
        <f ca="1"/>
        <v>-1.5615231796655122</v>
      </c>
      <c r="F941" s="125">
        <f ca="1"/>
        <v>-1.5640959540036601</v>
      </c>
    </row>
    <row r="942" spans="5:6">
      <c r="E942" s="124">
        <f ca="1"/>
        <v>1.8764620394916647</v>
      </c>
      <c r="F942" s="125">
        <f ca="1"/>
        <v>0.80492422168931566</v>
      </c>
    </row>
    <row r="943" spans="5:6">
      <c r="E943" s="124">
        <f ca="1"/>
        <v>0.482305940058461</v>
      </c>
      <c r="F943" s="125">
        <f ca="1"/>
        <v>0.88194275940594169</v>
      </c>
    </row>
    <row r="944" spans="5:6">
      <c r="E944" s="124">
        <f ca="1"/>
        <v>-1.1624067715601167</v>
      </c>
      <c r="F944" s="125">
        <f ca="1"/>
        <v>-1.4273468963304108</v>
      </c>
    </row>
    <row r="945" spans="5:6">
      <c r="E945" s="124">
        <f ca="1"/>
        <v>0.51182524772479943</v>
      </c>
      <c r="F945" s="125">
        <f ca="1"/>
        <v>0.13207905463591821</v>
      </c>
    </row>
    <row r="946" spans="5:6">
      <c r="E946" s="124">
        <f ca="1"/>
        <v>-0.36428225544888965</v>
      </c>
      <c r="F946" s="125">
        <f ca="1"/>
        <v>-2.3135509873430662</v>
      </c>
    </row>
    <row r="947" spans="5:6">
      <c r="E947" s="124">
        <f ca="1"/>
        <v>0.93789088354296912</v>
      </c>
      <c r="F947" s="125">
        <f ca="1"/>
        <v>0.23611730549951548</v>
      </c>
    </row>
    <row r="948" spans="5:6">
      <c r="E948" s="124">
        <f ca="1"/>
        <v>1.4289849366758101</v>
      </c>
      <c r="F948" s="125">
        <f ca="1"/>
        <v>1.903258448405734</v>
      </c>
    </row>
    <row r="949" spans="5:6">
      <c r="E949" s="124">
        <f ca="1"/>
        <v>-0.68880042528221042</v>
      </c>
      <c r="F949" s="125">
        <f ca="1"/>
        <v>-1.2698580363166738</v>
      </c>
    </row>
    <row r="950" spans="5:6">
      <c r="E950" s="124">
        <f ca="1"/>
        <v>0.97764472426192472</v>
      </c>
      <c r="F950" s="125">
        <f ca="1"/>
        <v>0.30277175220695463</v>
      </c>
    </row>
    <row r="951" spans="5:6">
      <c r="E951" s="124">
        <f ca="1"/>
        <v>0.34896917904497327</v>
      </c>
      <c r="F951" s="125">
        <f ca="1"/>
        <v>-0.38223106537671631</v>
      </c>
    </row>
    <row r="952" spans="5:6">
      <c r="E952" s="124">
        <f ca="1"/>
        <v>2.0172329913293359</v>
      </c>
      <c r="F952" s="125">
        <f ca="1"/>
        <v>2.1537128315014842</v>
      </c>
    </row>
    <row r="953" spans="5:6">
      <c r="E953" s="124">
        <f ca="1"/>
        <v>-0.92093321686615026</v>
      </c>
      <c r="F953" s="125">
        <f ca="1"/>
        <v>-0.7396980089736116</v>
      </c>
    </row>
    <row r="954" spans="5:6">
      <c r="E954" s="124">
        <f ca="1"/>
        <v>-0.85765813806681723</v>
      </c>
      <c r="F954" s="125">
        <f ca="1"/>
        <v>-0.26789427625867535</v>
      </c>
    </row>
    <row r="955" spans="5:6">
      <c r="E955" s="124">
        <f ca="1"/>
        <v>-0.409172751824599</v>
      </c>
      <c r="F955" s="125">
        <f ca="1"/>
        <v>-1.1551360213279163</v>
      </c>
    </row>
    <row r="956" spans="5:6">
      <c r="E956" s="124">
        <f ca="1"/>
        <v>-0.36017582771749446</v>
      </c>
      <c r="F956" s="125">
        <f ca="1"/>
        <v>-0.4893143447106354</v>
      </c>
    </row>
    <row r="957" spans="5:6">
      <c r="E957" s="124">
        <f ca="1"/>
        <v>-0.62360926598782229</v>
      </c>
      <c r="F957" s="125">
        <f ca="1"/>
        <v>-0.77143373190472753</v>
      </c>
    </row>
    <row r="958" spans="5:6">
      <c r="E958" s="124">
        <f ca="1"/>
        <v>0.37247588722079356</v>
      </c>
      <c r="F958" s="125">
        <f ca="1"/>
        <v>0.4396157026926748</v>
      </c>
    </row>
    <row r="959" spans="5:6">
      <c r="E959" s="124">
        <f ca="1"/>
        <v>-2.1125856404373629</v>
      </c>
      <c r="F959" s="125">
        <f ca="1"/>
        <v>-1.5761859508585505</v>
      </c>
    </row>
    <row r="960" spans="5:6">
      <c r="E960" s="124">
        <f ca="1"/>
        <v>-0.59156631753968525</v>
      </c>
      <c r="F960" s="125">
        <f ca="1"/>
        <v>0.7096963108300095</v>
      </c>
    </row>
    <row r="961" spans="5:6">
      <c r="E961" s="124">
        <f ca="1"/>
        <v>-0.53894631358487199</v>
      </c>
      <c r="F961" s="125">
        <f ca="1"/>
        <v>1.1813376603987651</v>
      </c>
    </row>
    <row r="962" spans="5:6">
      <c r="E962" s="124">
        <f ca="1"/>
        <v>-1.675854024937637</v>
      </c>
      <c r="F962" s="125">
        <f ca="1"/>
        <v>-1.637228937411656</v>
      </c>
    </row>
    <row r="963" spans="5:6">
      <c r="E963" s="124">
        <f ca="1"/>
        <v>0.43983770849369375</v>
      </c>
      <c r="F963" s="125">
        <f ca="1"/>
        <v>-0.35218192894780709</v>
      </c>
    </row>
    <row r="964" spans="5:6">
      <c r="E964" s="124">
        <f ca="1"/>
        <v>0.20589115095821617</v>
      </c>
      <c r="F964" s="125">
        <f ca="1"/>
        <v>-0.48960180478224891</v>
      </c>
    </row>
    <row r="965" spans="5:6">
      <c r="E965" s="124">
        <f ca="1"/>
        <v>-0.5165674054149284</v>
      </c>
      <c r="F965" s="125">
        <f ca="1"/>
        <v>-0.10275256469030003</v>
      </c>
    </row>
    <row r="966" spans="5:6">
      <c r="E966" s="124">
        <f ca="1"/>
        <v>-0.88659415807965947</v>
      </c>
      <c r="F966" s="125">
        <f ca="1"/>
        <v>-0.4994768938677141</v>
      </c>
    </row>
    <row r="967" spans="5:6">
      <c r="E967" s="124">
        <f ca="1"/>
        <v>-8.2201345688349678E-2</v>
      </c>
      <c r="F967" s="125">
        <f ca="1"/>
        <v>1.3927362144984132</v>
      </c>
    </row>
    <row r="968" spans="5:6">
      <c r="E968" s="124">
        <f ca="1"/>
        <v>0.80410462296080021</v>
      </c>
      <c r="F968" s="125">
        <f ca="1"/>
        <v>-0.25851847549315243</v>
      </c>
    </row>
    <row r="969" spans="5:6">
      <c r="E969" s="124">
        <f ca="1"/>
        <v>-0.29760529237507038</v>
      </c>
      <c r="F969" s="125">
        <f ca="1"/>
        <v>0.38915471064444901</v>
      </c>
    </row>
    <row r="970" spans="5:6">
      <c r="E970" s="124">
        <f ca="1"/>
        <v>-0.30456253197054955</v>
      </c>
      <c r="F970" s="125">
        <f ca="1"/>
        <v>-0.15958800929359762</v>
      </c>
    </row>
    <row r="971" spans="5:6">
      <c r="E971" s="124">
        <f ca="1"/>
        <v>-2.4223824488222339</v>
      </c>
      <c r="F971" s="125">
        <f ca="1"/>
        <v>-1.4483041215113652</v>
      </c>
    </row>
    <row r="972" spans="5:6">
      <c r="E972" s="124">
        <f ca="1"/>
        <v>-0.44970274160968715</v>
      </c>
      <c r="F972" s="125">
        <f ca="1"/>
        <v>-0.41787378552392668</v>
      </c>
    </row>
    <row r="973" spans="5:6">
      <c r="E973" s="124">
        <f ca="1"/>
        <v>-0.65974818584653061</v>
      </c>
      <c r="F973" s="125">
        <f ca="1"/>
        <v>-1.4168503626872664E-2</v>
      </c>
    </row>
    <row r="974" spans="5:6">
      <c r="E974" s="124">
        <f ca="1"/>
        <v>0.38884162041133297</v>
      </c>
      <c r="F974" s="125">
        <f ca="1"/>
        <v>-0.17376773860693528</v>
      </c>
    </row>
    <row r="975" spans="5:6">
      <c r="E975" s="124">
        <f ca="1"/>
        <v>0.94380921267153084</v>
      </c>
      <c r="F975" s="125">
        <f ca="1"/>
        <v>0.49763567807569159</v>
      </c>
    </row>
    <row r="976" spans="5:6">
      <c r="E976" s="124">
        <f ca="1"/>
        <v>0.31806139923398924</v>
      </c>
      <c r="F976" s="125">
        <f ca="1"/>
        <v>-9.09808333981173E-2</v>
      </c>
    </row>
    <row r="977" spans="5:6">
      <c r="E977" s="124">
        <f ca="1"/>
        <v>0.46668934218825903</v>
      </c>
      <c r="F977" s="125">
        <f ca="1"/>
        <v>1.8463265345592478E-2</v>
      </c>
    </row>
    <row r="978" spans="5:6">
      <c r="E978" s="124">
        <f ca="1"/>
        <v>-0.49138873058696908</v>
      </c>
      <c r="F978" s="125">
        <f ca="1"/>
        <v>1.9915928210327243</v>
      </c>
    </row>
    <row r="979" spans="5:6">
      <c r="E979" s="124">
        <f ca="1"/>
        <v>0.4672388376987438</v>
      </c>
      <c r="F979" s="125">
        <f ca="1"/>
        <v>0.59931136086783432</v>
      </c>
    </row>
    <row r="980" spans="5:6">
      <c r="E980" s="124">
        <f ca="1"/>
        <v>0.66797771263163352</v>
      </c>
      <c r="F980" s="125">
        <f ca="1"/>
        <v>0.3280968042844104</v>
      </c>
    </row>
    <row r="981" spans="5:6">
      <c r="E981" s="124">
        <f ca="1"/>
        <v>-0.85331049520578028</v>
      </c>
      <c r="F981" s="125">
        <f ca="1"/>
        <v>-0.86702124078749154</v>
      </c>
    </row>
    <row r="982" spans="5:6">
      <c r="E982" s="124">
        <f ca="1"/>
        <v>-0.24509754674739209</v>
      </c>
      <c r="F982" s="125">
        <f ca="1"/>
        <v>-1.5939635438719062</v>
      </c>
    </row>
    <row r="983" spans="5:6">
      <c r="E983" s="124">
        <f ca="1"/>
        <v>1.6006743809195825</v>
      </c>
      <c r="F983" s="125">
        <f ca="1"/>
        <v>1.0867000724200897</v>
      </c>
    </row>
    <row r="984" spans="5:6">
      <c r="E984" s="124">
        <f ca="1"/>
        <v>0.72236595540749882</v>
      </c>
      <c r="F984" s="125">
        <f ca="1"/>
        <v>2.8945384689194991</v>
      </c>
    </row>
    <row r="985" spans="5:6">
      <c r="E985" s="124">
        <f ca="1"/>
        <v>-1.4658548931423838</v>
      </c>
      <c r="F985" s="125">
        <f ca="1"/>
        <v>-2.0922221008060129</v>
      </c>
    </row>
    <row r="986" spans="5:6">
      <c r="E986" s="124">
        <f ca="1"/>
        <v>-1.7037069345371143</v>
      </c>
      <c r="F986" s="125">
        <f ca="1"/>
        <v>-8.3418938389348218E-2</v>
      </c>
    </row>
    <row r="987" spans="5:6">
      <c r="E987" s="124">
        <f ca="1"/>
        <v>-0.67114715330603636</v>
      </c>
      <c r="F987" s="125">
        <f ca="1"/>
        <v>-1.8622002998030702</v>
      </c>
    </row>
    <row r="988" spans="5:6">
      <c r="E988" s="124">
        <f ca="1"/>
        <v>1.3398182621243213</v>
      </c>
      <c r="F988" s="125">
        <f ca="1"/>
        <v>0.27388476500841574</v>
      </c>
    </row>
    <row r="989" spans="5:6">
      <c r="E989" s="124">
        <f ca="1"/>
        <v>1.4783601617840056</v>
      </c>
      <c r="F989" s="125">
        <f ca="1"/>
        <v>3.8023218504483758E-2</v>
      </c>
    </row>
    <row r="990" spans="5:6">
      <c r="E990" s="124">
        <f ca="1"/>
        <v>0.3755201863980544</v>
      </c>
      <c r="F990" s="125">
        <f ca="1"/>
        <v>1.9762701171044228E-2</v>
      </c>
    </row>
    <row r="991" spans="5:6">
      <c r="E991" s="124">
        <f ca="1"/>
        <v>-0.43689625480821592</v>
      </c>
      <c r="F991" s="125">
        <f ca="1"/>
        <v>-1.1437531952406264</v>
      </c>
    </row>
    <row r="992" spans="5:6">
      <c r="E992" s="124">
        <f ca="1"/>
        <v>-0.11901485316321511</v>
      </c>
      <c r="F992" s="125">
        <f ca="1"/>
        <v>0.49327812169979479</v>
      </c>
    </row>
    <row r="993" spans="5:6">
      <c r="E993" s="124">
        <f ca="1"/>
        <v>-0.5047413926978348</v>
      </c>
      <c r="F993" s="125">
        <f ca="1"/>
        <v>-0.13620481961893172</v>
      </c>
    </row>
    <row r="994" spans="5:6">
      <c r="E994" s="124">
        <f ca="1"/>
        <v>-2.0132325058297211</v>
      </c>
      <c r="F994" s="125">
        <f ca="1"/>
        <v>-1.3527428623088</v>
      </c>
    </row>
    <row r="995" spans="5:6">
      <c r="E995" s="124">
        <f ca="1"/>
        <v>-1.9317712641675995</v>
      </c>
      <c r="F995" s="125">
        <f ca="1"/>
        <v>-2.3829018558136426</v>
      </c>
    </row>
    <row r="996" spans="5:6">
      <c r="E996" s="124">
        <f ca="1"/>
        <v>-0.81052345347640753</v>
      </c>
      <c r="F996" s="125">
        <f ca="1"/>
        <v>-0.57163982338454322</v>
      </c>
    </row>
    <row r="997" spans="5:6">
      <c r="E997" s="124">
        <f ca="1"/>
        <v>-0.6600230342112875</v>
      </c>
      <c r="F997" s="125">
        <f ca="1"/>
        <v>0.78729918684985045</v>
      </c>
    </row>
    <row r="998" spans="5:6">
      <c r="E998" s="124">
        <f ca="1"/>
        <v>0.28790735796397721</v>
      </c>
      <c r="F998" s="125">
        <f ca="1"/>
        <v>-0.18933826138829044</v>
      </c>
    </row>
    <row r="999" spans="5:6">
      <c r="E999" s="124">
        <f ca="1"/>
        <v>1.2298529729089034</v>
      </c>
      <c r="F999" s="125">
        <f ca="1"/>
        <v>-1.0616133714433997</v>
      </c>
    </row>
    <row r="1000" spans="5:6">
      <c r="E1000" s="124">
        <f ca="1"/>
        <v>1.4614649768219821</v>
      </c>
      <c r="F1000" s="125">
        <f ca="1"/>
        <v>0.64344227706023482</v>
      </c>
    </row>
    <row r="1001" spans="5:6">
      <c r="E1001" s="124">
        <f ca="1"/>
        <v>0.11569858570861982</v>
      </c>
      <c r="F1001" s="125">
        <f ca="1"/>
        <v>0.93709511093866615</v>
      </c>
    </row>
    <row r="1002" spans="5:6">
      <c r="E1002" s="124">
        <f ca="1"/>
        <v>0.26436061114567871</v>
      </c>
      <c r="F1002" s="125">
        <f ca="1"/>
        <v>0.1990994079847089</v>
      </c>
    </row>
    <row r="1003" spans="5:6">
      <c r="E1003" s="124">
        <f ca="1"/>
        <v>-1.0008545614824875</v>
      </c>
      <c r="F1003" s="125">
        <f ca="1"/>
        <v>-1.1201405882626276</v>
      </c>
    </row>
    <row r="1004" spans="5:6">
      <c r="E1004" s="124">
        <f ca="1"/>
        <v>0.15462980173400975</v>
      </c>
      <c r="F1004" s="125">
        <f ca="1"/>
        <v>1.4837330237914987</v>
      </c>
    </row>
    <row r="1005" spans="5:6">
      <c r="E1005" s="124">
        <f ca="1"/>
        <v>2.2409641360471886E-2</v>
      </c>
      <c r="F1005" s="125">
        <f ca="1"/>
        <v>6.6434042620954221E-3</v>
      </c>
    </row>
    <row r="1006" spans="5:6">
      <c r="E1006" s="124">
        <f ca="1"/>
        <v>-0.21643576868054323</v>
      </c>
      <c r="F1006" s="125">
        <f ca="1"/>
        <v>-0.60431564673384264</v>
      </c>
    </row>
    <row r="1007" spans="5:6">
      <c r="E1007" s="124">
        <f ca="1"/>
        <v>-0.42011740897379829</v>
      </c>
      <c r="F1007" s="125">
        <f ca="1"/>
        <v>0.21128656676022148</v>
      </c>
    </row>
    <row r="1008" spans="5:6">
      <c r="E1008" s="124">
        <f ca="1"/>
        <v>0.97763904608158003</v>
      </c>
      <c r="F1008" s="125">
        <f ca="1"/>
        <v>1.0718748577485711</v>
      </c>
    </row>
    <row r="1009" spans="5:6">
      <c r="E1009" s="124">
        <f ca="1"/>
        <v>0.9159252754513284</v>
      </c>
      <c r="F1009" s="125">
        <f ca="1"/>
        <v>-0.55670010398507785</v>
      </c>
    </row>
    <row r="1010" spans="5:6">
      <c r="E1010" s="124">
        <f ca="1"/>
        <v>0.2051518584213454</v>
      </c>
      <c r="F1010" s="125">
        <f ca="1"/>
        <v>-0.76309593801460274</v>
      </c>
    </row>
    <row r="1011" spans="5:6">
      <c r="E1011" s="124">
        <f ca="1"/>
        <v>-1.1226236558469003</v>
      </c>
      <c r="F1011" s="125">
        <f ca="1"/>
        <v>-0.48394730865702557</v>
      </c>
    </row>
    <row r="1012" spans="5:6">
      <c r="E1012" s="124">
        <f ca="1"/>
        <v>0.65765065852585713</v>
      </c>
      <c r="F1012" s="125">
        <f ca="1"/>
        <v>-0.64071648275900239</v>
      </c>
    </row>
    <row r="1013" spans="5:6">
      <c r="E1013" s="124">
        <f ca="1"/>
        <v>-0.80181136332307623</v>
      </c>
      <c r="F1013" s="125">
        <f ca="1"/>
        <v>-0.55602150856617705</v>
      </c>
    </row>
    <row r="1014" spans="5:6">
      <c r="E1014" s="124">
        <f ca="1"/>
        <v>-0.68789645748621342</v>
      </c>
      <c r="F1014" s="125">
        <f ca="1"/>
        <v>-0.50893161852177093</v>
      </c>
    </row>
    <row r="1015" spans="5:6">
      <c r="E1015" s="124">
        <f ca="1"/>
        <v>0.14634603009196692</v>
      </c>
      <c r="F1015" s="125">
        <f ca="1"/>
        <v>0.66931077579195153</v>
      </c>
    </row>
    <row r="1016" spans="5:6">
      <c r="E1016" s="124">
        <f ca="1"/>
        <v>-1.2034085434772599</v>
      </c>
      <c r="F1016" s="125">
        <f ca="1"/>
        <v>0.23466332429931214</v>
      </c>
    </row>
    <row r="1017" spans="5:6">
      <c r="E1017" s="124">
        <f ca="1"/>
        <v>-0.4520991190568675</v>
      </c>
      <c r="F1017" s="125">
        <f ca="1"/>
        <v>-1.3218114630701439</v>
      </c>
    </row>
    <row r="1018" spans="5:6">
      <c r="E1018" s="124">
        <f ca="1"/>
        <v>2.3180931427348619</v>
      </c>
      <c r="F1018" s="125">
        <f ca="1"/>
        <v>0.74901201004858042</v>
      </c>
    </row>
    <row r="1019" spans="5:6">
      <c r="E1019" s="124">
        <f ca="1"/>
        <v>0.11369894217055998</v>
      </c>
      <c r="F1019" s="125">
        <f ca="1"/>
        <v>-0.73060372695305764</v>
      </c>
    </row>
    <row r="1020" spans="5:6">
      <c r="E1020" s="124">
        <f ca="1"/>
        <v>-1.8441017864872626</v>
      </c>
      <c r="F1020" s="125">
        <f ca="1"/>
        <v>4.1538217627457241E-2</v>
      </c>
    </row>
    <row r="1021" spans="5:6">
      <c r="E1021" s="124">
        <f ca="1"/>
        <v>-1.6788411345939689</v>
      </c>
      <c r="F1021" s="125">
        <f ca="1"/>
        <v>-3.0719654168205088</v>
      </c>
    </row>
    <row r="1022" spans="5:6">
      <c r="E1022" s="124">
        <f ca="1"/>
        <v>-0.7671942205618999</v>
      </c>
      <c r="F1022" s="125">
        <f ca="1"/>
        <v>-1.1097642244869752</v>
      </c>
    </row>
    <row r="1023" spans="5:6">
      <c r="E1023" s="124">
        <f ca="1"/>
        <v>-0.60602629971539823</v>
      </c>
      <c r="F1023" s="125">
        <f ca="1"/>
        <v>-0.51669995913728872</v>
      </c>
    </row>
    <row r="1024" spans="5:6">
      <c r="E1024" s="124">
        <f ca="1"/>
        <v>-0.21397666283234901</v>
      </c>
      <c r="F1024" s="125">
        <f ca="1"/>
        <v>-0.47917510628191784</v>
      </c>
    </row>
    <row r="1025" spans="5:6">
      <c r="E1025" s="124">
        <f ca="1"/>
        <v>-0.97963536930867501</v>
      </c>
      <c r="F1025" s="125">
        <f ca="1"/>
        <v>0.16616047194844985</v>
      </c>
    </row>
    <row r="1026" spans="5:6">
      <c r="E1026" s="124">
        <f ca="1"/>
        <v>-0.70865572833305812</v>
      </c>
      <c r="F1026" s="125">
        <f ca="1"/>
        <v>-0.16806210096015486</v>
      </c>
    </row>
    <row r="1027" spans="5:6">
      <c r="E1027" s="124">
        <f ca="1"/>
        <v>0.20259830912181201</v>
      </c>
      <c r="F1027" s="125">
        <f ca="1"/>
        <v>7.3603763240734421E-2</v>
      </c>
    </row>
    <row r="1028" spans="5:6">
      <c r="E1028" s="124">
        <f ca="1"/>
        <v>-0.62652272270366116</v>
      </c>
      <c r="F1028" s="125">
        <f ca="1"/>
        <v>0.254654803380295</v>
      </c>
    </row>
    <row r="1029" spans="5:6">
      <c r="E1029" s="124">
        <f ca="1"/>
        <v>-1.6898547532849479</v>
      </c>
      <c r="F1029" s="125">
        <f ca="1"/>
        <v>-0.52357984051469053</v>
      </c>
    </row>
    <row r="1030" spans="5:6">
      <c r="E1030" s="124">
        <f ca="1"/>
        <v>0.14023047586251819</v>
      </c>
      <c r="F1030" s="125">
        <f ca="1"/>
        <v>0.45699365001366121</v>
      </c>
    </row>
    <row r="1031" spans="5:6">
      <c r="E1031" s="124">
        <f ca="1"/>
        <v>-0.8997642281415259</v>
      </c>
      <c r="F1031" s="125">
        <f ca="1"/>
        <v>0.46042784501222778</v>
      </c>
    </row>
    <row r="1032" spans="5:6">
      <c r="E1032" s="124">
        <f ca="1"/>
        <v>0.27919233009738892</v>
      </c>
      <c r="F1032" s="125">
        <f ca="1"/>
        <v>-0.43224628928384179</v>
      </c>
    </row>
    <row r="1033" spans="5:6">
      <c r="E1033" s="124">
        <f ca="1"/>
        <v>1.0676369177613463</v>
      </c>
      <c r="F1033" s="125">
        <f ca="1"/>
        <v>1.5396335650385997</v>
      </c>
    </row>
    <row r="1034" spans="5:6">
      <c r="E1034" s="124">
        <f ca="1"/>
        <v>0.27086919367012419</v>
      </c>
      <c r="F1034" s="125">
        <f ca="1"/>
        <v>0.65942749575988779</v>
      </c>
    </row>
    <row r="1035" spans="5:6">
      <c r="E1035" s="124">
        <f ca="1"/>
        <v>0.69793028345545249</v>
      </c>
      <c r="F1035" s="125">
        <f ca="1"/>
        <v>1.5446077054786964</v>
      </c>
    </row>
    <row r="1036" spans="5:6">
      <c r="E1036" s="124">
        <f ca="1"/>
        <v>0.71099775173200241</v>
      </c>
      <c r="F1036" s="125">
        <f ca="1"/>
        <v>-0.11275098605175654</v>
      </c>
    </row>
    <row r="1037" spans="5:6">
      <c r="E1037" s="124">
        <f ca="1"/>
        <v>-0.75773164258084824</v>
      </c>
      <c r="F1037" s="125">
        <f ca="1"/>
        <v>-0.69224759482030163</v>
      </c>
    </row>
    <row r="1038" spans="5:6">
      <c r="E1038" s="124">
        <f ca="1"/>
        <v>-0.78823136240146652</v>
      </c>
      <c r="F1038" s="125">
        <f ca="1"/>
        <v>-1.0432770559144826</v>
      </c>
    </row>
    <row r="1039" spans="5:6">
      <c r="E1039" s="124">
        <f ca="1"/>
        <v>-3.7045286346371602E-2</v>
      </c>
      <c r="F1039" s="125">
        <f ca="1"/>
        <v>-1.2056564611936202</v>
      </c>
    </row>
    <row r="1040" spans="5:6">
      <c r="E1040" s="124">
        <f ca="1"/>
        <v>1.2457502037205124</v>
      </c>
      <c r="F1040" s="125">
        <f ca="1"/>
        <v>-0.49108931088415197</v>
      </c>
    </row>
    <row r="1041" spans="5:6">
      <c r="E1041" s="124">
        <f ca="1"/>
        <v>-2.3360905223370052</v>
      </c>
      <c r="F1041" s="125">
        <f ca="1"/>
        <v>-0.37138504747926948</v>
      </c>
    </row>
    <row r="1042" spans="5:6">
      <c r="E1042" s="124">
        <f ca="1"/>
        <v>0.41348061188453022</v>
      </c>
      <c r="F1042" s="125">
        <f ca="1"/>
        <v>-0.11812750942758704</v>
      </c>
    </row>
    <row r="1043" spans="5:6">
      <c r="E1043" s="124">
        <f ca="1"/>
        <v>1.908004578692273</v>
      </c>
      <c r="F1043" s="125">
        <f ca="1"/>
        <v>1.4680252374659859</v>
      </c>
    </row>
    <row r="1044" spans="5:6">
      <c r="E1044" s="124">
        <f ca="1"/>
        <v>-1.6928607957280342</v>
      </c>
      <c r="F1044" s="125">
        <f ca="1"/>
        <v>0.13226418908584614</v>
      </c>
    </row>
    <row r="1045" spans="5:6">
      <c r="E1045" s="124">
        <f ca="1"/>
        <v>-1.8109609995966562</v>
      </c>
      <c r="F1045" s="125">
        <f ca="1"/>
        <v>-1.4319813709607279</v>
      </c>
    </row>
    <row r="1046" spans="5:6">
      <c r="E1046" s="124">
        <f ca="1"/>
        <v>0.24528946720278347</v>
      </c>
      <c r="F1046" s="125">
        <f ca="1"/>
        <v>0.8330681668032095</v>
      </c>
    </row>
    <row r="1047" spans="5:6">
      <c r="E1047" s="124">
        <f ca="1"/>
        <v>-3.1498759219615702E-2</v>
      </c>
      <c r="F1047" s="125">
        <f ca="1"/>
        <v>1.7912227615350296</v>
      </c>
    </row>
    <row r="1048" spans="5:6">
      <c r="E1048" s="124">
        <f ca="1"/>
        <v>-0.31236676926780277</v>
      </c>
      <c r="F1048" s="125">
        <f ca="1"/>
        <v>-0.93710389041140363</v>
      </c>
    </row>
    <row r="1049" spans="5:6">
      <c r="E1049" s="124">
        <f ca="1"/>
        <v>1.2164172750613722</v>
      </c>
      <c r="F1049" s="125">
        <f ca="1"/>
        <v>0.53117900287158915</v>
      </c>
    </row>
    <row r="1050" spans="5:6">
      <c r="E1050" s="124">
        <f ca="1"/>
        <v>-0.40074942359894716</v>
      </c>
      <c r="F1050" s="125">
        <f ca="1"/>
        <v>-0.7428850376775431</v>
      </c>
    </row>
    <row r="1051" spans="5:6">
      <c r="E1051" s="124">
        <f ca="1"/>
        <v>0.63871439481125303</v>
      </c>
      <c r="F1051" s="125">
        <f ca="1"/>
        <v>1.3072365138638087</v>
      </c>
    </row>
    <row r="1052" spans="5:6">
      <c r="E1052" s="124">
        <f ca="1"/>
        <v>-0.84605534933011295</v>
      </c>
      <c r="F1052" s="125">
        <f ca="1"/>
        <v>3.4082927530286633E-2</v>
      </c>
    </row>
    <row r="1053" spans="5:6">
      <c r="E1053" s="124">
        <f ca="1"/>
        <v>4.8322527933291878E-2</v>
      </c>
      <c r="F1053" s="125">
        <f ca="1"/>
        <v>-0.32429143185959258</v>
      </c>
    </row>
    <row r="1054" spans="5:6">
      <c r="E1054" s="124">
        <f ca="1"/>
        <v>0.56928666849125287</v>
      </c>
      <c r="F1054" s="125">
        <f ca="1"/>
        <v>2.0937581379835319</v>
      </c>
    </row>
    <row r="1055" spans="5:6">
      <c r="E1055" s="124">
        <f ca="1"/>
        <v>8.6905362569460867E-2</v>
      </c>
      <c r="F1055" s="125">
        <f ca="1"/>
        <v>0.20843974025467293</v>
      </c>
    </row>
    <row r="1056" spans="5:6">
      <c r="E1056" s="124">
        <f ca="1"/>
        <v>2.0008803693171808</v>
      </c>
      <c r="F1056" s="125">
        <f ca="1"/>
        <v>1.2025076069881855</v>
      </c>
    </row>
    <row r="1057" spans="5:6">
      <c r="E1057" s="124">
        <f ca="1"/>
        <v>-0.66785577005214214</v>
      </c>
      <c r="F1057" s="125">
        <f ca="1"/>
        <v>-4.7626004743464068E-2</v>
      </c>
    </row>
    <row r="1058" spans="5:6">
      <c r="E1058" s="124">
        <f ca="1"/>
        <v>-0.5892216522265683</v>
      </c>
      <c r="F1058" s="125">
        <f ca="1"/>
        <v>-0.77485363778096694</v>
      </c>
    </row>
    <row r="1059" spans="5:6">
      <c r="E1059" s="124">
        <f ca="1"/>
        <v>1.4106094260485573</v>
      </c>
      <c r="F1059" s="125">
        <f ca="1"/>
        <v>-0.28228413108701023</v>
      </c>
    </row>
    <row r="1060" spans="5:6">
      <c r="E1060" s="124">
        <f ca="1"/>
        <v>0.40019655643053931</v>
      </c>
      <c r="F1060" s="125">
        <f ca="1"/>
        <v>-1.4207822792590481</v>
      </c>
    </row>
    <row r="1061" spans="5:6">
      <c r="E1061" s="124">
        <f ca="1"/>
        <v>0.14637266840258498</v>
      </c>
      <c r="F1061" s="125">
        <f ca="1"/>
        <v>-0.93037646663766604</v>
      </c>
    </row>
    <row r="1062" spans="5:6">
      <c r="E1062" s="124">
        <f ca="1"/>
        <v>-0.15797735194459211</v>
      </c>
      <c r="F1062" s="125">
        <f ca="1"/>
        <v>-0.14156132643476443</v>
      </c>
    </row>
    <row r="1063" spans="5:6">
      <c r="E1063" s="124">
        <f ca="1"/>
        <v>0.50966492062826874</v>
      </c>
      <c r="F1063" s="125">
        <f ca="1"/>
        <v>-0.4981511849079559</v>
      </c>
    </row>
    <row r="1064" spans="5:6">
      <c r="E1064" s="124">
        <f ca="1"/>
        <v>-0.16838180198423228</v>
      </c>
      <c r="F1064" s="125">
        <f ca="1"/>
        <v>-1.3578952446782713</v>
      </c>
    </row>
    <row r="1065" spans="5:6">
      <c r="E1065" s="124">
        <f ca="1"/>
        <v>2.0327308474798893</v>
      </c>
      <c r="F1065" s="125">
        <f ca="1"/>
        <v>-0.40779650516471833</v>
      </c>
    </row>
    <row r="1066" spans="5:6">
      <c r="E1066" s="124">
        <f ca="1"/>
        <v>-1.249476013517816</v>
      </c>
      <c r="F1066" s="125">
        <f ca="1"/>
        <v>-1.5430773867659644</v>
      </c>
    </row>
    <row r="1067" spans="5:6">
      <c r="E1067" s="124">
        <f ca="1"/>
        <v>0.46931449220410321</v>
      </c>
      <c r="F1067" s="125">
        <f ca="1"/>
        <v>-0.38786397563548036</v>
      </c>
    </row>
    <row r="1068" spans="5:6">
      <c r="E1068" s="124">
        <f ca="1"/>
        <v>-0.66977542666374179</v>
      </c>
      <c r="F1068" s="125">
        <f ca="1"/>
        <v>0.50232617824359038</v>
      </c>
    </row>
    <row r="1069" spans="5:6">
      <c r="E1069" s="124">
        <f ca="1"/>
        <v>2.2331431904216999E-2</v>
      </c>
      <c r="F1069" s="125">
        <f ca="1"/>
        <v>0.67457243509395715</v>
      </c>
    </row>
    <row r="1070" spans="5:6">
      <c r="E1070" s="124">
        <f ca="1"/>
        <v>1.1177620438016282</v>
      </c>
      <c r="F1070" s="125">
        <f ca="1"/>
        <v>1.5740501287626811</v>
      </c>
    </row>
    <row r="1071" spans="5:6">
      <c r="E1071" s="124">
        <f ca="1"/>
        <v>-0.8080755776688362</v>
      </c>
      <c r="F1071" s="125">
        <f ca="1"/>
        <v>-2.8945471678394825</v>
      </c>
    </row>
    <row r="1072" spans="5:6">
      <c r="E1072" s="124">
        <f ca="1"/>
        <v>-1.1958669947760785</v>
      </c>
      <c r="F1072" s="125">
        <f ca="1"/>
        <v>-0.17326773987977939</v>
      </c>
    </row>
    <row r="1073" spans="5:6">
      <c r="E1073" s="124">
        <f ca="1"/>
        <v>1.392775010812155</v>
      </c>
      <c r="F1073" s="125">
        <f ca="1"/>
        <v>-0.38549225248423102</v>
      </c>
    </row>
    <row r="1074" spans="5:6">
      <c r="E1074" s="124">
        <f ca="1"/>
        <v>-0.47734428245283511</v>
      </c>
      <c r="F1074" s="125">
        <f ca="1"/>
        <v>-2.1822760550982236</v>
      </c>
    </row>
    <row r="1075" spans="5:6">
      <c r="E1075" s="124">
        <f ca="1"/>
        <v>-1.0753931836921622</v>
      </c>
      <c r="F1075" s="125">
        <f ca="1"/>
        <v>-1.4316584320832026</v>
      </c>
    </row>
    <row r="1076" spans="5:6">
      <c r="E1076" s="124">
        <f ca="1"/>
        <v>0.56770013685439769</v>
      </c>
      <c r="F1076" s="125">
        <f ca="1"/>
        <v>-0.11269393106029235</v>
      </c>
    </row>
    <row r="1077" spans="5:6">
      <c r="E1077" s="124">
        <f ca="1"/>
        <v>5.8982139655520766E-2</v>
      </c>
      <c r="F1077" s="125">
        <f ca="1"/>
        <v>0.50163689533314115</v>
      </c>
    </row>
    <row r="1078" spans="5:6">
      <c r="E1078" s="124">
        <f ca="1"/>
        <v>-0.30696121774291818</v>
      </c>
      <c r="F1078" s="125">
        <f ca="1"/>
        <v>1.0406183354223641</v>
      </c>
    </row>
    <row r="1079" spans="5:6">
      <c r="E1079" s="124">
        <f ca="1"/>
        <v>1.4656394754363404</v>
      </c>
      <c r="F1079" s="125">
        <f ca="1"/>
        <v>0.60292732982144914</v>
      </c>
    </row>
    <row r="1080" spans="5:6">
      <c r="E1080" s="124">
        <f ca="1"/>
        <v>-0.61143981102221878</v>
      </c>
      <c r="F1080" s="125">
        <f ca="1"/>
        <v>1.6181090116416361</v>
      </c>
    </row>
    <row r="1081" spans="5:6">
      <c r="E1081" s="124">
        <f ca="1"/>
        <v>-0.3490251531433049</v>
      </c>
      <c r="F1081" s="125">
        <f ca="1"/>
        <v>-1.7177860290568407</v>
      </c>
    </row>
    <row r="1082" spans="5:6">
      <c r="E1082" s="124">
        <f ca="1"/>
        <v>1.6155442753352063</v>
      </c>
      <c r="F1082" s="125">
        <f ca="1"/>
        <v>1.1562042901739029</v>
      </c>
    </row>
    <row r="1083" spans="5:6">
      <c r="E1083" s="124">
        <f ca="1"/>
        <v>-0.35441856846512226</v>
      </c>
      <c r="F1083" s="125">
        <f ca="1"/>
        <v>-0.25192255333013924</v>
      </c>
    </row>
    <row r="1084" spans="5:6">
      <c r="E1084" s="124">
        <f ca="1"/>
        <v>1.3408133324989167</v>
      </c>
      <c r="F1084" s="125">
        <f ca="1"/>
        <v>1.3880270517177715</v>
      </c>
    </row>
    <row r="1085" spans="5:6">
      <c r="E1085" s="124">
        <f ca="1"/>
        <v>-0.52196513447739312</v>
      </c>
      <c r="F1085" s="125">
        <f ca="1"/>
        <v>1.6139816543907768</v>
      </c>
    </row>
    <row r="1086" spans="5:6">
      <c r="E1086" s="124">
        <f ca="1"/>
        <v>0.2800187176819357</v>
      </c>
      <c r="F1086" s="125">
        <f ca="1"/>
        <v>0.2699337482602498</v>
      </c>
    </row>
    <row r="1087" spans="5:6">
      <c r="E1087" s="124">
        <f ca="1"/>
        <v>-0.3070237153097457</v>
      </c>
      <c r="F1087" s="125">
        <f ca="1"/>
        <v>0.48064294545393615</v>
      </c>
    </row>
    <row r="1088" spans="5:6">
      <c r="E1088" s="124">
        <f ca="1"/>
        <v>2.6663688257208391</v>
      </c>
      <c r="F1088" s="125">
        <f ca="1"/>
        <v>1.2363644374450926</v>
      </c>
    </row>
    <row r="1089" spans="5:6">
      <c r="E1089" s="124">
        <f ca="1"/>
        <v>-4.8929195081462026E-2</v>
      </c>
      <c r="F1089" s="125">
        <f ca="1"/>
        <v>-0.49601707862010724</v>
      </c>
    </row>
    <row r="1090" spans="5:6">
      <c r="E1090" s="124">
        <f ca="1"/>
        <v>2.2144051398147506</v>
      </c>
      <c r="F1090" s="125">
        <f ca="1"/>
        <v>0.88976165760383585</v>
      </c>
    </row>
    <row r="1091" spans="5:6">
      <c r="E1091" s="124">
        <f ca="1"/>
        <v>-1.1984626992709464</v>
      </c>
      <c r="F1091" s="125">
        <f ca="1"/>
        <v>-1.8629161713600841</v>
      </c>
    </row>
    <row r="1092" spans="5:6">
      <c r="E1092" s="124">
        <f ca="1"/>
        <v>1.1648270654966475</v>
      </c>
      <c r="F1092" s="125">
        <f ca="1"/>
        <v>0.88556092806226427</v>
      </c>
    </row>
    <row r="1093" spans="5:6">
      <c r="E1093" s="124">
        <f ca="1"/>
        <v>-1.820008747379485</v>
      </c>
      <c r="F1093" s="125">
        <f ca="1"/>
        <v>-1.7126005852587092</v>
      </c>
    </row>
    <row r="1094" spans="5:6">
      <c r="E1094" s="124">
        <f ca="1"/>
        <v>3.6993746412362005E-3</v>
      </c>
      <c r="F1094" s="125">
        <f ca="1"/>
        <v>-1.4108765815194797</v>
      </c>
    </row>
    <row r="1095" spans="5:6">
      <c r="E1095" s="124">
        <f ca="1"/>
        <v>0.99557268639311014</v>
      </c>
      <c r="F1095" s="125">
        <f ca="1"/>
        <v>-0.61130687833817743</v>
      </c>
    </row>
    <row r="1096" spans="5:6">
      <c r="E1096" s="124">
        <f ca="1"/>
        <v>0.88400286592136945</v>
      </c>
      <c r="F1096" s="125">
        <f ca="1"/>
        <v>0.65913868967044265</v>
      </c>
    </row>
    <row r="1097" spans="5:6">
      <c r="E1097" s="124">
        <f ca="1"/>
        <v>1.7154093538578313E-2</v>
      </c>
      <c r="F1097" s="125">
        <f ca="1"/>
        <v>2.2221840179678529</v>
      </c>
    </row>
    <row r="1098" spans="5:6">
      <c r="E1098" s="124">
        <f ca="1"/>
        <v>0.82707513637710273</v>
      </c>
      <c r="F1098" s="125">
        <f ca="1"/>
        <v>1.0774535421017917</v>
      </c>
    </row>
    <row r="1099" spans="5:6">
      <c r="E1099" s="124">
        <f ca="1"/>
        <v>-0.32785558621144639</v>
      </c>
      <c r="F1099" s="125">
        <f ca="1"/>
        <v>-0.70720267445503993</v>
      </c>
    </row>
    <row r="1100" spans="5:6">
      <c r="E1100" s="124">
        <f ca="1"/>
        <v>-0.92460463480820265</v>
      </c>
      <c r="F1100" s="125">
        <f ca="1"/>
        <v>-1.3530442648319303</v>
      </c>
    </row>
    <row r="1101" spans="5:6">
      <c r="E1101" s="124">
        <f ca="1"/>
        <v>0.18071795317835548</v>
      </c>
      <c r="F1101" s="125">
        <f ca="1"/>
        <v>-0.14243694093337372</v>
      </c>
    </row>
    <row r="1102" spans="5:6">
      <c r="E1102" s="124">
        <f ca="1"/>
        <v>0.27258115751279971</v>
      </c>
      <c r="F1102" s="125">
        <f ca="1"/>
        <v>-0.21562361472700123</v>
      </c>
    </row>
    <row r="1103" spans="5:6">
      <c r="E1103" s="124">
        <f ca="1"/>
        <v>-1.7083913597035749</v>
      </c>
      <c r="F1103" s="125">
        <f ca="1"/>
        <v>-2.6385968197114438</v>
      </c>
    </row>
    <row r="1104" spans="5:6">
      <c r="E1104" s="124">
        <f ca="1"/>
        <v>-1.2937366604528329</v>
      </c>
      <c r="F1104" s="125">
        <f ca="1"/>
        <v>-1.8501606253288687</v>
      </c>
    </row>
    <row r="1105" spans="5:6">
      <c r="E1105" s="124">
        <f ca="1"/>
        <v>-0.20015587003352661</v>
      </c>
      <c r="F1105" s="125">
        <f ca="1"/>
        <v>2.1165107681915276</v>
      </c>
    </row>
    <row r="1106" spans="5:6">
      <c r="E1106" s="124">
        <f ca="1"/>
        <v>-0.74273499237847862</v>
      </c>
      <c r="F1106" s="125">
        <f ca="1"/>
        <v>-1.6664599887787308</v>
      </c>
    </row>
    <row r="1107" spans="5:6">
      <c r="E1107" s="124">
        <f ca="1"/>
        <v>3.3554943321100861E-3</v>
      </c>
      <c r="F1107" s="125">
        <f ca="1"/>
        <v>-0.45825702246536187</v>
      </c>
    </row>
    <row r="1108" spans="5:6">
      <c r="E1108" s="124">
        <f ca="1"/>
        <v>-1.0658668352751124</v>
      </c>
      <c r="F1108" s="125">
        <f ca="1"/>
        <v>-1.1643932741624687</v>
      </c>
    </row>
    <row r="1109" spans="5:6">
      <c r="E1109" s="124">
        <f ca="1"/>
        <v>1.0500698989697324</v>
      </c>
      <c r="F1109" s="125">
        <f ca="1"/>
        <v>6.1324754117858704E-2</v>
      </c>
    </row>
    <row r="1110" spans="5:6">
      <c r="E1110" s="124">
        <f ca="1"/>
        <v>-0.49707739114965199</v>
      </c>
      <c r="F1110" s="125">
        <f ca="1"/>
        <v>-1.9156501183096717</v>
      </c>
    </row>
    <row r="1111" spans="5:6">
      <c r="E1111" s="124">
        <f ca="1"/>
        <v>-1.4052475284413819</v>
      </c>
      <c r="F1111" s="125">
        <f ca="1"/>
        <v>-0.5820984713139169</v>
      </c>
    </row>
    <row r="1112" spans="5:6">
      <c r="E1112" s="124">
        <f ca="1"/>
        <v>-0.11699552866605131</v>
      </c>
      <c r="F1112" s="125">
        <f ca="1"/>
        <v>0.72712458010134906</v>
      </c>
    </row>
    <row r="1113" spans="5:6">
      <c r="E1113" s="124">
        <f ca="1"/>
        <v>-0.88027932227239492</v>
      </c>
      <c r="F1113" s="125">
        <f ca="1"/>
        <v>1.3996909634652108</v>
      </c>
    </row>
    <row r="1114" spans="5:6">
      <c r="E1114" s="124">
        <f ca="1"/>
        <v>-0.53483674666253345</v>
      </c>
      <c r="F1114" s="125">
        <f ca="1"/>
        <v>0.13079090519930908</v>
      </c>
    </row>
    <row r="1115" spans="5:6">
      <c r="E1115" s="124">
        <f ca="1"/>
        <v>-0.33289810701493694</v>
      </c>
      <c r="F1115" s="125">
        <f ca="1"/>
        <v>0.69473592232276382</v>
      </c>
    </row>
    <row r="1116" spans="5:6">
      <c r="E1116" s="124">
        <f ca="1"/>
        <v>0.1497233376845698</v>
      </c>
      <c r="F1116" s="125">
        <f ca="1"/>
        <v>0.43725671611263656</v>
      </c>
    </row>
    <row r="1117" spans="5:6">
      <c r="E1117" s="124">
        <f ca="1"/>
        <v>0.59551536445071473</v>
      </c>
      <c r="F1117" s="125">
        <f ca="1"/>
        <v>1.0111406309864317</v>
      </c>
    </row>
    <row r="1118" spans="5:6">
      <c r="E1118" s="124">
        <f ca="1"/>
        <v>1.1348800429962176</v>
      </c>
      <c r="F1118" s="125">
        <f ca="1"/>
        <v>2.1595275781221583</v>
      </c>
    </row>
    <row r="1119" spans="5:6">
      <c r="E1119" s="124">
        <f ca="1"/>
        <v>-0.32935550363799487</v>
      </c>
      <c r="F1119" s="125">
        <f ca="1"/>
        <v>0.47662070191440298</v>
      </c>
    </row>
    <row r="1120" spans="5:6">
      <c r="E1120" s="124">
        <f ca="1"/>
        <v>-0.81660412137318661</v>
      </c>
      <c r="F1120" s="125">
        <f ca="1"/>
        <v>-0.47072261952170885</v>
      </c>
    </row>
    <row r="1121" spans="5:6">
      <c r="E1121" s="124">
        <f ca="1"/>
        <v>0.85095152154374287</v>
      </c>
      <c r="F1121" s="125">
        <f ca="1"/>
        <v>0.56060092771373693</v>
      </c>
    </row>
    <row r="1122" spans="5:6">
      <c r="E1122" s="124">
        <f ca="1"/>
        <v>-1.5752380367152294</v>
      </c>
      <c r="F1122" s="125">
        <f ca="1"/>
        <v>-0.4370562488254513</v>
      </c>
    </row>
    <row r="1123" spans="5:6">
      <c r="E1123" s="124">
        <f ca="1"/>
        <v>-0.9230549775444975</v>
      </c>
      <c r="F1123" s="125">
        <f ca="1"/>
        <v>-0.53748026388807557</v>
      </c>
    </row>
    <row r="1124" spans="5:6">
      <c r="E1124" s="124">
        <f ca="1"/>
        <v>1.3288876445829085</v>
      </c>
      <c r="F1124" s="125">
        <f ca="1"/>
        <v>1.2930117905361769</v>
      </c>
    </row>
    <row r="1125" spans="5:6">
      <c r="E1125" s="124">
        <f ca="1"/>
        <v>0.7388396637898218</v>
      </c>
      <c r="F1125" s="125">
        <f ca="1"/>
        <v>0.2461819642674935</v>
      </c>
    </row>
    <row r="1126" spans="5:6">
      <c r="E1126" s="124">
        <f ca="1"/>
        <v>-0.41203560428467118</v>
      </c>
      <c r="F1126" s="125">
        <f ca="1"/>
        <v>-1.1863802446950074</v>
      </c>
    </row>
    <row r="1127" spans="5:6">
      <c r="E1127" s="124">
        <f ca="1"/>
        <v>1.8971041251778748E-2</v>
      </c>
      <c r="F1127" s="125">
        <f ca="1"/>
        <v>-0.34760659974635832</v>
      </c>
    </row>
    <row r="1128" spans="5:6">
      <c r="E1128" s="124">
        <f ca="1"/>
        <v>0.99960804165856432</v>
      </c>
      <c r="F1128" s="125">
        <f ca="1"/>
        <v>0.92145586093917542</v>
      </c>
    </row>
    <row r="1129" spans="5:6">
      <c r="E1129" s="124">
        <f ca="1"/>
        <v>-0.6581944359583547</v>
      </c>
      <c r="F1129" s="125">
        <f ca="1"/>
        <v>-0.4646471314076821</v>
      </c>
    </row>
    <row r="1130" spans="5:6">
      <c r="E1130" s="124">
        <f ca="1"/>
        <v>1.4934084491156721</v>
      </c>
      <c r="F1130" s="125">
        <f ca="1"/>
        <v>1.2883928018256616</v>
      </c>
    </row>
    <row r="1131" spans="5:6">
      <c r="E1131" s="124">
        <f ca="1"/>
        <v>-0.41530830188617701</v>
      </c>
      <c r="F1131" s="125">
        <f ca="1"/>
        <v>-1.3422540249834432</v>
      </c>
    </row>
    <row r="1132" spans="5:6">
      <c r="E1132" s="124">
        <f ca="1"/>
        <v>0.87608330713804106</v>
      </c>
      <c r="F1132" s="125">
        <f ca="1"/>
        <v>0.52456797920488019</v>
      </c>
    </row>
    <row r="1133" spans="5:6">
      <c r="E1133" s="124">
        <f ca="1"/>
        <v>1.0144701611392382</v>
      </c>
      <c r="F1133" s="125">
        <f ca="1"/>
        <v>-0.1719569431585708</v>
      </c>
    </row>
    <row r="1134" spans="5:6">
      <c r="E1134" s="124">
        <f ca="1"/>
        <v>-1.5320407387520263</v>
      </c>
      <c r="F1134" s="125">
        <f ca="1"/>
        <v>0.37631813705015904</v>
      </c>
    </row>
    <row r="1135" spans="5:6">
      <c r="E1135" s="124">
        <f ca="1"/>
        <v>0.60999562142580754</v>
      </c>
      <c r="F1135" s="125">
        <f ca="1"/>
        <v>-0.55955458577943407</v>
      </c>
    </row>
    <row r="1136" spans="5:6">
      <c r="E1136" s="124">
        <f ca="1"/>
        <v>-0.24598118165702612</v>
      </c>
      <c r="F1136" s="125">
        <f ca="1"/>
        <v>-0.16849528284276311</v>
      </c>
    </row>
    <row r="1137" spans="5:6">
      <c r="E1137" s="124">
        <f ca="1"/>
        <v>6.5782924971133569E-2</v>
      </c>
      <c r="F1137" s="125">
        <f ca="1"/>
        <v>0.80057822193857442</v>
      </c>
    </row>
    <row r="1138" spans="5:6">
      <c r="E1138" s="124">
        <f ca="1"/>
        <v>-0.65337215272134386</v>
      </c>
      <c r="F1138" s="125">
        <f ca="1"/>
        <v>0.57095846495196023</v>
      </c>
    </row>
    <row r="1139" spans="5:6">
      <c r="E1139" s="124">
        <f ca="1"/>
        <v>-0.85554308157811898</v>
      </c>
      <c r="F1139" s="125">
        <f ca="1"/>
        <v>-1.0346333674821164</v>
      </c>
    </row>
    <row r="1140" spans="5:6">
      <c r="E1140" s="124">
        <f ca="1"/>
        <v>0.36942475073400671</v>
      </c>
      <c r="F1140" s="125">
        <f ca="1"/>
        <v>1.0628539850377072</v>
      </c>
    </row>
    <row r="1141" spans="5:6">
      <c r="E1141" s="124">
        <f ca="1"/>
        <v>1.4011246760926743</v>
      </c>
      <c r="F1141" s="125">
        <f ca="1"/>
        <v>0.70735094675241017</v>
      </c>
    </row>
    <row r="1142" spans="5:6">
      <c r="E1142" s="124">
        <f ca="1"/>
        <v>0.18346438590087821</v>
      </c>
      <c r="F1142" s="125">
        <f ca="1"/>
        <v>0.98811612027629292</v>
      </c>
    </row>
    <row r="1143" spans="5:6">
      <c r="E1143" s="124">
        <f ca="1"/>
        <v>-0.15009890730168202</v>
      </c>
      <c r="F1143" s="125">
        <f ca="1"/>
        <v>0.38397062180860586</v>
      </c>
    </row>
    <row r="1144" spans="5:6">
      <c r="E1144" s="124">
        <f ca="1"/>
        <v>1.4435967883064578</v>
      </c>
      <c r="F1144" s="125">
        <f ca="1"/>
        <v>1.8933415746518054</v>
      </c>
    </row>
    <row r="1145" spans="5:6">
      <c r="E1145" s="124">
        <f ca="1"/>
        <v>1.3707644335107885</v>
      </c>
      <c r="F1145" s="125">
        <f ca="1"/>
        <v>0.67746955413530308</v>
      </c>
    </row>
    <row r="1146" spans="5:6">
      <c r="E1146" s="124">
        <f ca="1"/>
        <v>-0.26922420833929117</v>
      </c>
      <c r="F1146" s="125">
        <f ca="1"/>
        <v>0.39547025229273652</v>
      </c>
    </row>
    <row r="1147" spans="5:6">
      <c r="E1147" s="124">
        <f ca="1"/>
        <v>0.30248355892634615</v>
      </c>
      <c r="F1147" s="125">
        <f ca="1"/>
        <v>-1.2350906986088872E-3</v>
      </c>
    </row>
    <row r="1148" spans="5:6">
      <c r="E1148" s="124">
        <f ca="1"/>
        <v>0.98481233285899461</v>
      </c>
      <c r="F1148" s="125">
        <f ca="1"/>
        <v>1.3737050426386834</v>
      </c>
    </row>
    <row r="1149" spans="5:6">
      <c r="E1149" s="124">
        <f ca="1"/>
        <v>1.3172790511607226</v>
      </c>
      <c r="F1149" s="125">
        <f ca="1"/>
        <v>1.3020950743868764</v>
      </c>
    </row>
    <row r="1150" spans="5:6">
      <c r="E1150" s="124">
        <f ca="1"/>
        <v>0.47373301542969976</v>
      </c>
      <c r="F1150" s="125">
        <f ca="1"/>
        <v>-4.3668725629310318E-2</v>
      </c>
    </row>
    <row r="1151" spans="5:6">
      <c r="E1151" s="124">
        <f ca="1"/>
        <v>1.3624639527954134</v>
      </c>
      <c r="F1151" s="125">
        <f ca="1"/>
        <v>0.20912725728298276</v>
      </c>
    </row>
    <row r="1152" spans="5:6">
      <c r="E1152" s="124">
        <f ca="1"/>
        <v>-0.42967755818768039</v>
      </c>
      <c r="F1152" s="125">
        <f ca="1"/>
        <v>-0.33964946098457371</v>
      </c>
    </row>
    <row r="1153" spans="5:6">
      <c r="E1153" s="124">
        <f ca="1"/>
        <v>-0.25601527497966403</v>
      </c>
      <c r="F1153" s="125">
        <f ca="1"/>
        <v>-1.4320325324868974</v>
      </c>
    </row>
    <row r="1154" spans="5:6">
      <c r="E1154" s="124">
        <f ca="1"/>
        <v>-0.57081701206611424</v>
      </c>
      <c r="F1154" s="125">
        <f ca="1"/>
        <v>0.30153205405037564</v>
      </c>
    </row>
    <row r="1155" spans="5:6">
      <c r="E1155" s="124">
        <f ca="1"/>
        <v>-0.66878944841048338</v>
      </c>
      <c r="F1155" s="125">
        <f ca="1"/>
        <v>-0.33503562167988632</v>
      </c>
    </row>
    <row r="1156" spans="5:6">
      <c r="E1156" s="124">
        <f ca="1"/>
        <v>0.53943634671219665</v>
      </c>
      <c r="F1156" s="125">
        <f ca="1"/>
        <v>-0.17421112935000332</v>
      </c>
    </row>
    <row r="1157" spans="5:6">
      <c r="E1157" s="124">
        <f ca="1"/>
        <v>1.1114569312909994</v>
      </c>
      <c r="F1157" s="125">
        <f ca="1"/>
        <v>0.82728096421762043</v>
      </c>
    </row>
    <row r="1158" spans="5:6">
      <c r="E1158" s="124">
        <f ca="1"/>
        <v>0.1796988918512972</v>
      </c>
      <c r="F1158" s="125">
        <f ca="1"/>
        <v>-0.13866352415965771</v>
      </c>
    </row>
    <row r="1159" spans="5:6">
      <c r="E1159" s="124">
        <f ca="1"/>
        <v>0.10663474097273695</v>
      </c>
      <c r="F1159" s="125">
        <f ca="1"/>
        <v>-0.25983364473945619</v>
      </c>
    </row>
    <row r="1160" spans="5:6">
      <c r="E1160" s="124">
        <f ca="1"/>
        <v>1.9005320673450026</v>
      </c>
      <c r="F1160" s="125">
        <f ca="1"/>
        <v>0.25818392915719213</v>
      </c>
    </row>
    <row r="1161" spans="5:6">
      <c r="E1161" s="124">
        <f ca="1"/>
        <v>0.64691723636414478</v>
      </c>
      <c r="F1161" s="125">
        <f ca="1"/>
        <v>0.11556659297153779</v>
      </c>
    </row>
    <row r="1162" spans="5:6">
      <c r="E1162" s="124">
        <f ca="1"/>
        <v>-0.77308573079340204</v>
      </c>
      <c r="F1162" s="125">
        <f ca="1"/>
        <v>-0.57399313062471125</v>
      </c>
    </row>
    <row r="1163" spans="5:6">
      <c r="E1163" s="124">
        <f ca="1"/>
        <v>-0.55208246169188924</v>
      </c>
      <c r="F1163" s="125">
        <f ca="1"/>
        <v>0.74058810674437825</v>
      </c>
    </row>
    <row r="1164" spans="5:6">
      <c r="E1164" s="124">
        <f ca="1"/>
        <v>-0.71932189302143879</v>
      </c>
      <c r="F1164" s="125">
        <f ca="1"/>
        <v>-0.83784474213955262</v>
      </c>
    </row>
    <row r="1165" spans="5:6">
      <c r="E1165" s="124">
        <f ca="1"/>
        <v>-0.68532566346819301</v>
      </c>
      <c r="F1165" s="125">
        <f ca="1"/>
        <v>-0.1555488103658457</v>
      </c>
    </row>
    <row r="1166" spans="5:6">
      <c r="E1166" s="124">
        <f ca="1"/>
        <v>0.50647806558276254</v>
      </c>
      <c r="F1166" s="125">
        <f ca="1"/>
        <v>0.37270872060929811</v>
      </c>
    </row>
    <row r="1167" spans="5:6">
      <c r="E1167" s="124">
        <f ca="1"/>
        <v>-0.52202489000232155</v>
      </c>
      <c r="F1167" s="125">
        <f ca="1"/>
        <v>0.8285098381005751</v>
      </c>
    </row>
    <row r="1168" spans="5:6">
      <c r="E1168" s="124">
        <f ca="1"/>
        <v>0.41639580158199085</v>
      </c>
      <c r="F1168" s="125">
        <f ca="1"/>
        <v>-7.9342197852597385E-3</v>
      </c>
    </row>
    <row r="1169" spans="5:6">
      <c r="E1169" s="124">
        <f ca="1"/>
        <v>-1.9875708142918405</v>
      </c>
      <c r="F1169" s="125">
        <f ca="1"/>
        <v>-1.6518679641375855</v>
      </c>
    </row>
    <row r="1170" spans="5:6">
      <c r="E1170" s="124">
        <f ca="1"/>
        <v>1.4041636410982983</v>
      </c>
      <c r="F1170" s="125">
        <f ca="1"/>
        <v>-0.27679900265569801</v>
      </c>
    </row>
    <row r="1171" spans="5:6">
      <c r="E1171" s="124">
        <f ca="1"/>
        <v>0.58909068655572328</v>
      </c>
      <c r="F1171" s="125">
        <f ca="1"/>
        <v>-0.67521823499238587</v>
      </c>
    </row>
    <row r="1172" spans="5:6">
      <c r="E1172" s="124">
        <f ca="1"/>
        <v>1.4184869015897803</v>
      </c>
      <c r="F1172" s="125">
        <f ca="1"/>
        <v>-1.1559365408802622</v>
      </c>
    </row>
    <row r="1173" spans="5:6">
      <c r="E1173" s="124">
        <f ca="1"/>
        <v>0.69448830892295887</v>
      </c>
      <c r="F1173" s="125">
        <f ca="1"/>
        <v>-1.182884491831482</v>
      </c>
    </row>
    <row r="1174" spans="5:6">
      <c r="E1174" s="124">
        <f ca="1"/>
        <v>-0.66460228462568449</v>
      </c>
      <c r="F1174" s="125">
        <f ca="1"/>
        <v>0.61638575278195051</v>
      </c>
    </row>
    <row r="1175" spans="5:6">
      <c r="E1175" s="124">
        <f ca="1"/>
        <v>-1.0443779085680358</v>
      </c>
      <c r="F1175" s="125">
        <f ca="1"/>
        <v>-1.9249219292410291</v>
      </c>
    </row>
    <row r="1176" spans="5:6">
      <c r="E1176" s="124">
        <f ca="1"/>
        <v>9.4060056599708813E-2</v>
      </c>
      <c r="F1176" s="125">
        <f ca="1"/>
        <v>-0.53787287820862872</v>
      </c>
    </row>
    <row r="1177" spans="5:6">
      <c r="E1177" s="124">
        <f ca="1"/>
        <v>0.35878286861800845</v>
      </c>
      <c r="F1177" s="125">
        <f ca="1"/>
        <v>0.77936379777124065</v>
      </c>
    </row>
    <row r="1178" spans="5:6">
      <c r="E1178" s="124">
        <f ca="1"/>
        <v>-0.26492898054923614</v>
      </c>
      <c r="F1178" s="125">
        <f ca="1"/>
        <v>-0.2484384426209271</v>
      </c>
    </row>
    <row r="1179" spans="5:6">
      <c r="E1179" s="124">
        <f ca="1"/>
        <v>-0.38514411063243742</v>
      </c>
      <c r="F1179" s="125">
        <f ca="1"/>
        <v>0.30574671953263721</v>
      </c>
    </row>
    <row r="1180" spans="5:6">
      <c r="E1180" s="124">
        <f ca="1"/>
        <v>-1.3311135115879917</v>
      </c>
      <c r="F1180" s="125">
        <f ca="1"/>
        <v>-1.0832874227608236</v>
      </c>
    </row>
    <row r="1181" spans="5:6">
      <c r="E1181" s="124">
        <f ca="1"/>
        <v>-0.41593394196892314</v>
      </c>
      <c r="F1181" s="125">
        <f ca="1"/>
        <v>1.0805672858900686</v>
      </c>
    </row>
    <row r="1182" spans="5:6">
      <c r="E1182" s="124">
        <f ca="1"/>
        <v>-0.60348684203378555</v>
      </c>
      <c r="F1182" s="125">
        <f ca="1"/>
        <v>-1.3596085000564486</v>
      </c>
    </row>
    <row r="1183" spans="5:6">
      <c r="E1183" s="124">
        <f ca="1"/>
        <v>-1.6689470167722735</v>
      </c>
      <c r="F1183" s="125">
        <f ca="1"/>
        <v>-1.8377234854620852</v>
      </c>
    </row>
    <row r="1184" spans="5:6">
      <c r="E1184" s="124">
        <f ca="1"/>
        <v>-1.3661753431365495</v>
      </c>
      <c r="F1184" s="125">
        <f ca="1"/>
        <v>0.90923226325022921</v>
      </c>
    </row>
    <row r="1185" spans="5:6">
      <c r="E1185" s="124">
        <f ca="1"/>
        <v>0.11868627205307963</v>
      </c>
      <c r="F1185" s="125">
        <f ca="1"/>
        <v>0.25842240441889308</v>
      </c>
    </row>
    <row r="1186" spans="5:6">
      <c r="E1186" s="124">
        <f ca="1"/>
        <v>1.9830028447579422</v>
      </c>
      <c r="F1186" s="125">
        <f ca="1"/>
        <v>0.96148012745357447</v>
      </c>
    </row>
    <row r="1187" spans="5:6">
      <c r="E1187" s="124">
        <f ca="1"/>
        <v>0.33955965836422591</v>
      </c>
      <c r="F1187" s="125">
        <f ca="1"/>
        <v>1.0473030512272796</v>
      </c>
    </row>
    <row r="1188" spans="5:6">
      <c r="E1188" s="124">
        <f ca="1"/>
        <v>1.2807369108235562</v>
      </c>
      <c r="F1188" s="125">
        <f ca="1"/>
        <v>1.3238017935434654</v>
      </c>
    </row>
    <row r="1189" spans="5:6">
      <c r="E1189" s="124">
        <f ca="1"/>
        <v>0.67495752791104946</v>
      </c>
      <c r="F1189" s="125">
        <f ca="1"/>
        <v>0.66762767618718288</v>
      </c>
    </row>
    <row r="1190" spans="5:6">
      <c r="E1190" s="124">
        <f ca="1"/>
        <v>0.96930704182309846</v>
      </c>
      <c r="F1190" s="125">
        <f ca="1"/>
        <v>1.2307811200877095E-2</v>
      </c>
    </row>
    <row r="1191" spans="5:6">
      <c r="E1191" s="124">
        <f ca="1"/>
        <v>0.22589041703542367</v>
      </c>
      <c r="F1191" s="125">
        <f ca="1"/>
        <v>-1.6809184231541124E-2</v>
      </c>
    </row>
    <row r="1192" spans="5:6">
      <c r="E1192" s="124">
        <f ca="1"/>
        <v>2.0418447029558178</v>
      </c>
      <c r="F1192" s="125">
        <f ca="1"/>
        <v>0.54871722567136061</v>
      </c>
    </row>
    <row r="1193" spans="5:6">
      <c r="E1193" s="124">
        <f ca="1"/>
        <v>1.5282236969986316</v>
      </c>
      <c r="F1193" s="125">
        <f ca="1"/>
        <v>0.32682148315005205</v>
      </c>
    </row>
    <row r="1194" spans="5:6">
      <c r="E1194" s="124">
        <f ca="1"/>
        <v>0.24669680789681875</v>
      </c>
      <c r="F1194" s="125">
        <f ca="1"/>
        <v>-0.76350088937204963</v>
      </c>
    </row>
    <row r="1195" spans="5:6">
      <c r="E1195" s="124">
        <f ca="1"/>
        <v>-0.27601408143542433</v>
      </c>
      <c r="F1195" s="125">
        <f ca="1"/>
        <v>-0.28748624238889903</v>
      </c>
    </row>
    <row r="1196" spans="5:6">
      <c r="E1196" s="124">
        <f ca="1"/>
        <v>0.46725031041465409</v>
      </c>
      <c r="F1196" s="125">
        <f ca="1"/>
        <v>-0.22060077442365469</v>
      </c>
    </row>
    <row r="1197" spans="5:6">
      <c r="E1197" s="124">
        <f ca="1"/>
        <v>0.56515057534851254</v>
      </c>
      <c r="F1197" s="125">
        <f ca="1"/>
        <v>0.22885705280342583</v>
      </c>
    </row>
    <row r="1198" spans="5:6">
      <c r="E1198" s="124">
        <f ca="1"/>
        <v>-0.76669744648645599</v>
      </c>
      <c r="F1198" s="125">
        <f ca="1"/>
        <v>-1.302218868967453</v>
      </c>
    </row>
    <row r="1199" spans="5:6">
      <c r="E1199" s="124">
        <f ca="1"/>
        <v>1.1231540971168574</v>
      </c>
      <c r="F1199" s="125">
        <f ca="1"/>
        <v>0.95929831264750343</v>
      </c>
    </row>
    <row r="1200" spans="5:6">
      <c r="E1200" s="124">
        <f ca="1"/>
        <v>1.4469290359816005</v>
      </c>
      <c r="F1200" s="125">
        <f ca="1"/>
        <v>2.3535340129116298</v>
      </c>
    </row>
    <row r="1201" spans="5:6">
      <c r="E1201" s="124">
        <f ca="1"/>
        <v>-1.778907445979655</v>
      </c>
      <c r="F1201" s="125">
        <f ca="1"/>
        <v>-0.42581497806757695</v>
      </c>
    </row>
    <row r="1202" spans="5:6">
      <c r="E1202" s="124">
        <f ca="1"/>
        <v>-1.7681029579411152</v>
      </c>
      <c r="F1202" s="125">
        <f ca="1"/>
        <v>1.9877342608725646E-2</v>
      </c>
    </row>
    <row r="1203" spans="5:6">
      <c r="E1203" s="124">
        <f ca="1"/>
        <v>0.48864957643417783</v>
      </c>
      <c r="F1203" s="125">
        <f ca="1"/>
        <v>-4.5066659867507852E-3</v>
      </c>
    </row>
    <row r="1204" spans="5:6">
      <c r="E1204" s="124">
        <f ca="1"/>
        <v>0.33750507311236355</v>
      </c>
      <c r="F1204" s="125">
        <f ca="1"/>
        <v>-0.10889646325645919</v>
      </c>
    </row>
    <row r="1205" spans="5:6">
      <c r="E1205" s="124">
        <f ca="1"/>
        <v>-0.31936023861956814</v>
      </c>
      <c r="F1205" s="125">
        <f ca="1"/>
        <v>-1.8776710144462527E-2</v>
      </c>
    </row>
    <row r="1206" spans="5:6">
      <c r="E1206" s="124">
        <f ca="1"/>
        <v>-1.7541072476280659</v>
      </c>
      <c r="F1206" s="125">
        <f ca="1"/>
        <v>-0.12596208313222901</v>
      </c>
    </row>
    <row r="1207" spans="5:6">
      <c r="E1207" s="124">
        <f ca="1"/>
        <v>0.25927991362533931</v>
      </c>
      <c r="F1207" s="125">
        <f ca="1"/>
        <v>0.19213930348456204</v>
      </c>
    </row>
    <row r="1208" spans="5:6">
      <c r="E1208" s="124">
        <f ca="1"/>
        <v>1.9327298541495113</v>
      </c>
      <c r="F1208" s="125">
        <f ca="1"/>
        <v>2.0138538698417277</v>
      </c>
    </row>
    <row r="1209" spans="5:6">
      <c r="E1209" s="124">
        <f ca="1"/>
        <v>0.64351262679725696</v>
      </c>
      <c r="F1209" s="125">
        <f ca="1"/>
        <v>0.35771277929199524</v>
      </c>
    </row>
    <row r="1210" spans="5:6">
      <c r="E1210" s="124">
        <f ca="1"/>
        <v>1.1532688571458041</v>
      </c>
      <c r="F1210" s="125">
        <f ca="1"/>
        <v>-1.8143256110990853</v>
      </c>
    </row>
    <row r="1211" spans="5:6">
      <c r="E1211" s="124">
        <f ca="1"/>
        <v>-1.5142687121399654</v>
      </c>
      <c r="F1211" s="125">
        <f ca="1"/>
        <v>-0.99888341956105131</v>
      </c>
    </row>
    <row r="1212" spans="5:6">
      <c r="E1212" s="124">
        <f ca="1"/>
        <v>9.3657313354139071E-3</v>
      </c>
      <c r="F1212" s="125">
        <f ca="1"/>
        <v>6.2606480445846881E-3</v>
      </c>
    </row>
    <row r="1213" spans="5:6">
      <c r="E1213" s="124">
        <f ca="1"/>
        <v>0.38557483358552824</v>
      </c>
      <c r="F1213" s="125">
        <f ca="1"/>
        <v>-1.1538883098057298</v>
      </c>
    </row>
    <row r="1214" spans="5:6">
      <c r="E1214" s="124">
        <f ca="1"/>
        <v>0.22593533424321491</v>
      </c>
      <c r="F1214" s="125">
        <f ca="1"/>
        <v>-1.3041518321915366</v>
      </c>
    </row>
    <row r="1215" spans="5:6">
      <c r="E1215" s="124">
        <f ca="1"/>
        <v>0.76168351430322701</v>
      </c>
      <c r="F1215" s="125">
        <f ca="1"/>
        <v>1.4035080023826385</v>
      </c>
    </row>
    <row r="1216" spans="5:6">
      <c r="E1216" s="124">
        <f ca="1"/>
        <v>-0.58039105067212826</v>
      </c>
      <c r="F1216" s="125">
        <f ca="1"/>
        <v>-0.39522193205552114</v>
      </c>
    </row>
    <row r="1217" spans="5:6">
      <c r="E1217" s="124">
        <f ca="1"/>
        <v>-1.3181407812017736</v>
      </c>
      <c r="F1217" s="125">
        <f ca="1"/>
        <v>-1.7245687166242389</v>
      </c>
    </row>
    <row r="1218" spans="5:6">
      <c r="E1218" s="124">
        <f ca="1"/>
        <v>-1.0231638950514022</v>
      </c>
      <c r="F1218" s="125">
        <f ca="1"/>
        <v>0.24965949648201513</v>
      </c>
    </row>
    <row r="1219" spans="5:6">
      <c r="E1219" s="124">
        <f ca="1"/>
        <v>-6.7789339578903249E-2</v>
      </c>
      <c r="F1219" s="125">
        <f ca="1"/>
        <v>-0.94700536475265829</v>
      </c>
    </row>
    <row r="1220" spans="5:6">
      <c r="E1220" s="124">
        <f ca="1"/>
        <v>0.95150358888955644</v>
      </c>
      <c r="F1220" s="125">
        <f ca="1"/>
        <v>0.95244949694782033</v>
      </c>
    </row>
    <row r="1221" spans="5:6">
      <c r="E1221" s="124">
        <f ca="1"/>
        <v>0.63059911393088619</v>
      </c>
      <c r="F1221" s="125">
        <f ca="1"/>
        <v>0.382668636203292</v>
      </c>
    </row>
    <row r="1222" spans="5:6">
      <c r="E1222" s="124">
        <f ca="1"/>
        <v>-1.120080058425128</v>
      </c>
      <c r="F1222" s="125">
        <f ca="1"/>
        <v>-0.14960897512614979</v>
      </c>
    </row>
    <row r="1223" spans="5:6">
      <c r="E1223" s="124">
        <f ca="1"/>
        <v>4.6759125972955999E-2</v>
      </c>
      <c r="F1223" s="125">
        <f ca="1"/>
        <v>-5.696904162514424E-2</v>
      </c>
    </row>
    <row r="1224" spans="5:6">
      <c r="E1224" s="124">
        <f ca="1"/>
        <v>-1.1159900985096232</v>
      </c>
      <c r="F1224" s="125">
        <f ca="1"/>
        <v>-0.12047010173571632</v>
      </c>
    </row>
    <row r="1225" spans="5:6">
      <c r="E1225" s="124">
        <f ca="1"/>
        <v>0.68413868864105554</v>
      </c>
      <c r="F1225" s="125">
        <f ca="1"/>
        <v>-0.5003489707840949</v>
      </c>
    </row>
    <row r="1226" spans="5:6">
      <c r="E1226" s="124">
        <f ca="1"/>
        <v>-0.40080738660924131</v>
      </c>
      <c r="F1226" s="125">
        <f ca="1"/>
        <v>0.53809411787176487</v>
      </c>
    </row>
    <row r="1227" spans="5:6">
      <c r="E1227" s="124">
        <f ca="1"/>
        <v>-2.1345196731122989E-4</v>
      </c>
      <c r="F1227" s="125">
        <f ca="1"/>
        <v>0.38398688023280592</v>
      </c>
    </row>
    <row r="1228" spans="5:6">
      <c r="E1228" s="124">
        <f ca="1"/>
        <v>2.2622125708748788</v>
      </c>
      <c r="F1228" s="125">
        <f ca="1"/>
        <v>1.7117496008113526</v>
      </c>
    </row>
    <row r="1229" spans="5:6">
      <c r="E1229" s="124">
        <f ca="1"/>
        <v>0.29203214597627164</v>
      </c>
      <c r="F1229" s="125">
        <f ca="1"/>
        <v>-0.1268538863018899</v>
      </c>
    </row>
    <row r="1230" spans="5:6">
      <c r="E1230" s="124">
        <f ca="1"/>
        <v>-4.1913607793197277E-2</v>
      </c>
      <c r="F1230" s="125">
        <f ca="1"/>
        <v>-8.4902347913987791E-2</v>
      </c>
    </row>
    <row r="1231" spans="5:6">
      <c r="E1231" s="124">
        <f ca="1"/>
        <v>0.47679028465583795</v>
      </c>
      <c r="F1231" s="125">
        <f ca="1"/>
        <v>0.44298094673181887</v>
      </c>
    </row>
    <row r="1232" spans="5:6">
      <c r="E1232" s="124">
        <f ca="1"/>
        <v>-0.50290001122079087</v>
      </c>
      <c r="F1232" s="125">
        <f ca="1"/>
        <v>0.37929060940425163</v>
      </c>
    </row>
    <row r="1233" spans="5:6">
      <c r="E1233" s="124">
        <f ca="1"/>
        <v>1.5502126375389775</v>
      </c>
      <c r="F1233" s="125">
        <f ca="1"/>
        <v>1.4850844326096082</v>
      </c>
    </row>
    <row r="1234" spans="5:6">
      <c r="E1234" s="124">
        <f ca="1"/>
        <v>-0.6742358308147739</v>
      </c>
      <c r="F1234" s="125">
        <f ca="1"/>
        <v>-0.7031170984452968</v>
      </c>
    </row>
    <row r="1235" spans="5:6">
      <c r="E1235" s="124">
        <f ca="1"/>
        <v>-0.31112641316221434</v>
      </c>
      <c r="F1235" s="125">
        <f ca="1"/>
        <v>9.1714870281294797E-2</v>
      </c>
    </row>
    <row r="1236" spans="5:6">
      <c r="E1236" s="124">
        <f ca="1"/>
        <v>0.77732044425776636</v>
      </c>
      <c r="F1236" s="125">
        <f ca="1"/>
        <v>-0.65458176145659619</v>
      </c>
    </row>
    <row r="1237" spans="5:6">
      <c r="E1237" s="124">
        <f ca="1"/>
        <v>3.7062361358497553E-2</v>
      </c>
      <c r="F1237" s="125">
        <f ca="1"/>
        <v>1.4701749971175762</v>
      </c>
    </row>
    <row r="1238" spans="5:6">
      <c r="E1238" s="124">
        <f ca="1"/>
        <v>-1.0528896254639253</v>
      </c>
      <c r="F1238" s="125">
        <f ca="1"/>
        <v>-0.47733143421277457</v>
      </c>
    </row>
    <row r="1239" spans="5:6">
      <c r="E1239" s="124">
        <f ca="1"/>
        <v>1.1429043347470784</v>
      </c>
      <c r="F1239" s="125">
        <f ca="1"/>
        <v>1.7579805816383987</v>
      </c>
    </row>
    <row r="1240" spans="5:6">
      <c r="E1240" s="124">
        <f ca="1"/>
        <v>-0.15490310091825113</v>
      </c>
      <c r="F1240" s="125">
        <f ca="1"/>
        <v>0.44487417717625788</v>
      </c>
    </row>
    <row r="1241" spans="5:6">
      <c r="E1241" s="124">
        <f ca="1"/>
        <v>2.4883574669753692</v>
      </c>
      <c r="F1241" s="125">
        <f ca="1"/>
        <v>1.8018586684956188</v>
      </c>
    </row>
    <row r="1242" spans="5:6">
      <c r="E1242" s="124">
        <f ca="1"/>
        <v>1.1173303792085347</v>
      </c>
      <c r="F1242" s="125">
        <f ca="1"/>
        <v>1.4336234482304842</v>
      </c>
    </row>
    <row r="1243" spans="5:6">
      <c r="E1243" s="124">
        <f ca="1"/>
        <v>1.7669560206216963</v>
      </c>
      <c r="F1243" s="125">
        <f ca="1"/>
        <v>1.7396255739815545</v>
      </c>
    </row>
    <row r="1244" spans="5:6">
      <c r="E1244" s="124">
        <f ca="1"/>
        <v>-2.1998169952171409</v>
      </c>
      <c r="F1244" s="125">
        <f ca="1"/>
        <v>-3.3339852212524508</v>
      </c>
    </row>
    <row r="1245" spans="5:6">
      <c r="E1245" s="124">
        <f ca="1"/>
        <v>0.22821491843325686</v>
      </c>
      <c r="F1245" s="125">
        <f ca="1"/>
        <v>-1.2626589576689478</v>
      </c>
    </row>
    <row r="1246" spans="5:6">
      <c r="E1246" s="124">
        <f ca="1"/>
        <v>0.69806845053199618</v>
      </c>
      <c r="F1246" s="125">
        <f ca="1"/>
        <v>-1.4136992272416438</v>
      </c>
    </row>
    <row r="1247" spans="5:6">
      <c r="E1247" s="124">
        <f ca="1"/>
        <v>-0.3541576285259454</v>
      </c>
      <c r="F1247" s="125">
        <f ca="1"/>
        <v>1.2225082181549258</v>
      </c>
    </row>
    <row r="1248" spans="5:6">
      <c r="E1248" s="124">
        <f ca="1"/>
        <v>2.0335284786029693</v>
      </c>
      <c r="F1248" s="125">
        <f ca="1"/>
        <v>0.86122854831880924</v>
      </c>
    </row>
    <row r="1249" spans="5:6">
      <c r="E1249" s="124">
        <f ca="1"/>
        <v>-0.66509513510413576</v>
      </c>
      <c r="F1249" s="125">
        <f ca="1"/>
        <v>0.39760016288803762</v>
      </c>
    </row>
    <row r="1250" spans="5:6">
      <c r="E1250" s="124">
        <f ca="1"/>
        <v>-0.72881213789416555</v>
      </c>
      <c r="F1250" s="125">
        <f ca="1"/>
        <v>-0.99907857173604087</v>
      </c>
    </row>
    <row r="1251" spans="5:6">
      <c r="E1251" s="124">
        <f ca="1"/>
        <v>2.8289924598023791E-2</v>
      </c>
      <c r="F1251" s="125">
        <f ca="1"/>
        <v>0.35047268144541294</v>
      </c>
    </row>
    <row r="1252" spans="5:6">
      <c r="E1252" s="124">
        <f ca="1"/>
        <v>0.64539548267882985</v>
      </c>
      <c r="F1252" s="125">
        <f ca="1"/>
        <v>1.9755747787938427E-3</v>
      </c>
    </row>
    <row r="1253" spans="5:6">
      <c r="E1253" s="124">
        <f ca="1"/>
        <v>8.5112472924015581E-2</v>
      </c>
      <c r="F1253" s="125">
        <f ca="1"/>
        <v>-0.74738058956393727</v>
      </c>
    </row>
    <row r="1254" spans="5:6">
      <c r="E1254" s="124">
        <f ca="1"/>
        <v>0.84267896935954034</v>
      </c>
      <c r="F1254" s="125">
        <f ca="1"/>
        <v>-0.72211598959218137</v>
      </c>
    </row>
    <row r="1255" spans="5:6">
      <c r="E1255" s="124">
        <f ca="1"/>
        <v>0.68929760386056871</v>
      </c>
      <c r="F1255" s="125">
        <f ca="1"/>
        <v>0.10073170694802638</v>
      </c>
    </row>
    <row r="1256" spans="5:6">
      <c r="E1256" s="124">
        <f ca="1"/>
        <v>1.1321780423235346</v>
      </c>
      <c r="F1256" s="125">
        <f ca="1"/>
        <v>1.0816940254081588</v>
      </c>
    </row>
    <row r="1257" spans="5:6">
      <c r="E1257" s="124">
        <f ca="1"/>
        <v>0.62652909585114003</v>
      </c>
      <c r="F1257" s="125">
        <f ca="1"/>
        <v>1.4738569659228484</v>
      </c>
    </row>
    <row r="1258" spans="5:6">
      <c r="E1258" s="124">
        <f ca="1"/>
        <v>0.51306589709082862</v>
      </c>
      <c r="F1258" s="125">
        <f ca="1"/>
        <v>-0.77771859601033266</v>
      </c>
    </row>
    <row r="1259" spans="5:6">
      <c r="E1259" s="124">
        <f ca="1"/>
        <v>-0.18964552163107656</v>
      </c>
      <c r="F1259" s="125">
        <f ca="1"/>
        <v>-0.26405227546656501</v>
      </c>
    </row>
    <row r="1260" spans="5:6">
      <c r="E1260" s="124">
        <f ca="1"/>
        <v>-0.76875289510145228</v>
      </c>
      <c r="F1260" s="125">
        <f ca="1"/>
        <v>-0.3395074829213201</v>
      </c>
    </row>
    <row r="1261" spans="5:6">
      <c r="E1261" s="124">
        <f ca="1"/>
        <v>0.70793696451262678</v>
      </c>
      <c r="F1261" s="125">
        <f ca="1"/>
        <v>1.1213983304431185</v>
      </c>
    </row>
    <row r="1262" spans="5:6">
      <c r="E1262" s="124">
        <f ca="1"/>
        <v>-1.3960032854408593</v>
      </c>
      <c r="F1262" s="125">
        <f ca="1"/>
        <v>0.92553608528290221</v>
      </c>
    </row>
    <row r="1263" spans="5:6">
      <c r="E1263" s="124">
        <f ca="1"/>
        <v>-1.5491067085448353</v>
      </c>
      <c r="F1263" s="125">
        <f ca="1"/>
        <v>-2.7090124091914931</v>
      </c>
    </row>
    <row r="1264" spans="5:6">
      <c r="E1264" s="124">
        <f ca="1"/>
        <v>0.14879171329011839</v>
      </c>
      <c r="F1264" s="125">
        <f ca="1"/>
        <v>1.0107116606679134</v>
      </c>
    </row>
    <row r="1265" spans="5:6">
      <c r="E1265" s="124">
        <f ca="1"/>
        <v>0.35053171503284275</v>
      </c>
      <c r="F1265" s="125">
        <f ca="1"/>
        <v>-0.2684987504374266</v>
      </c>
    </row>
    <row r="1266" spans="5:6">
      <c r="E1266" s="124">
        <f ca="1"/>
        <v>0.14945613610375211</v>
      </c>
      <c r="F1266" s="125">
        <f ca="1"/>
        <v>-1.0903628377157439</v>
      </c>
    </row>
    <row r="1267" spans="5:6">
      <c r="E1267" s="124">
        <f ca="1"/>
        <v>-0.80201950649396447</v>
      </c>
      <c r="F1267" s="125">
        <f ca="1"/>
        <v>-1.2366953716010141</v>
      </c>
    </row>
    <row r="1268" spans="5:6">
      <c r="E1268" s="124">
        <f ca="1"/>
        <v>-0.25423996076315747</v>
      </c>
      <c r="F1268" s="125">
        <f ca="1"/>
        <v>-1.426494048052859</v>
      </c>
    </row>
    <row r="1269" spans="5:6">
      <c r="E1269" s="124">
        <f ca="1"/>
        <v>-1.7759911689892622</v>
      </c>
      <c r="F1269" s="125">
        <f ca="1"/>
        <v>-0.22000611666203151</v>
      </c>
    </row>
    <row r="1270" spans="5:6">
      <c r="E1270" s="124">
        <f ca="1"/>
        <v>0.11548781505500413</v>
      </c>
      <c r="F1270" s="125">
        <f ca="1"/>
        <v>0.22737076760992347</v>
      </c>
    </row>
    <row r="1271" spans="5:6">
      <c r="E1271" s="124">
        <f ca="1"/>
        <v>0.85400309247564354</v>
      </c>
      <c r="F1271" s="125">
        <f ca="1"/>
        <v>1.0655824396157778</v>
      </c>
    </row>
    <row r="1272" spans="5:6">
      <c r="E1272" s="124">
        <f ca="1"/>
        <v>-0.96862847862716228</v>
      </c>
      <c r="F1272" s="125">
        <f ca="1"/>
        <v>-0.50949484591215488</v>
      </c>
    </row>
    <row r="1273" spans="5:6">
      <c r="E1273" s="124">
        <f ca="1"/>
        <v>-0.23549379943611096</v>
      </c>
      <c r="F1273" s="125">
        <f ca="1"/>
        <v>0.23468852281025837</v>
      </c>
    </row>
    <row r="1274" spans="5:6">
      <c r="E1274" s="124">
        <f ca="1"/>
        <v>-0.94087386737967837</v>
      </c>
      <c r="F1274" s="125">
        <f ca="1"/>
        <v>-0.94573493206026626</v>
      </c>
    </row>
    <row r="1275" spans="5:6">
      <c r="E1275" s="124">
        <f ca="1"/>
        <v>1.2657470744069375</v>
      </c>
      <c r="F1275" s="125">
        <f ca="1"/>
        <v>-1.0309263158436361</v>
      </c>
    </row>
    <row r="1276" spans="5:6">
      <c r="E1276" s="124">
        <f ca="1"/>
        <v>0.56741368244107493</v>
      </c>
      <c r="F1276" s="125">
        <f ca="1"/>
        <v>3.514292680607603E-2</v>
      </c>
    </row>
    <row r="1277" spans="5:6">
      <c r="E1277" s="124">
        <f ca="1"/>
        <v>-0.92068016777507278</v>
      </c>
      <c r="F1277" s="125">
        <f ca="1"/>
        <v>-0.18077186644999793</v>
      </c>
    </row>
    <row r="1278" spans="5:6">
      <c r="E1278" s="124">
        <f ca="1"/>
        <v>2.7255409183518378</v>
      </c>
      <c r="F1278" s="125">
        <f ca="1"/>
        <v>2.5418717122416012</v>
      </c>
    </row>
    <row r="1279" spans="5:6">
      <c r="E1279" s="124">
        <f ca="1"/>
        <v>6.0465688385382473E-2</v>
      </c>
      <c r="F1279" s="125">
        <f ca="1"/>
        <v>-0.20092510942400427</v>
      </c>
    </row>
    <row r="1280" spans="5:6">
      <c r="E1280" s="124">
        <f ca="1"/>
        <v>0.84512711038791299</v>
      </c>
      <c r="F1280" s="125">
        <f ca="1"/>
        <v>-0.33283306875655461</v>
      </c>
    </row>
    <row r="1281" spans="5:6">
      <c r="E1281" s="124">
        <f ca="1"/>
        <v>-1.3778856743729531</v>
      </c>
      <c r="F1281" s="125">
        <f ca="1"/>
        <v>-0.87479811778740757</v>
      </c>
    </row>
    <row r="1282" spans="5:6">
      <c r="E1282" s="124">
        <f ca="1"/>
        <v>-0.96966933587626758</v>
      </c>
      <c r="F1282" s="125">
        <f ca="1"/>
        <v>0.49793263945097921</v>
      </c>
    </row>
    <row r="1283" spans="5:6">
      <c r="E1283" s="124">
        <f ca="1"/>
        <v>-0.47619708070716682</v>
      </c>
      <c r="F1283" s="125">
        <f ca="1"/>
        <v>0.46145662846578622</v>
      </c>
    </row>
    <row r="1284" spans="5:6">
      <c r="E1284" s="124">
        <f ca="1"/>
        <v>0.75183520337339038</v>
      </c>
      <c r="F1284" s="125">
        <f ca="1"/>
        <v>1.7306750277955918</v>
      </c>
    </row>
    <row r="1285" spans="5:6">
      <c r="E1285" s="124">
        <f ca="1"/>
        <v>-0.30678695498986031</v>
      </c>
      <c r="F1285" s="125">
        <f ca="1"/>
        <v>0.15168929963534566</v>
      </c>
    </row>
    <row r="1286" spans="5:6">
      <c r="E1286" s="124">
        <f ca="1"/>
        <v>-0.55217072252273591</v>
      </c>
      <c r="F1286" s="125">
        <f ca="1"/>
        <v>0.86063028878541303</v>
      </c>
    </row>
    <row r="1287" spans="5:6">
      <c r="E1287" s="124">
        <f ca="1"/>
        <v>-0.39979936718423686</v>
      </c>
      <c r="F1287" s="125">
        <f ca="1"/>
        <v>-0.71370653176161847</v>
      </c>
    </row>
    <row r="1288" spans="5:6">
      <c r="E1288" s="124">
        <f ca="1"/>
        <v>1.4573738048953857</v>
      </c>
      <c r="F1288" s="125">
        <f ca="1"/>
        <v>0.42759069579865466</v>
      </c>
    </row>
    <row r="1289" spans="5:6">
      <c r="E1289" s="124">
        <f ca="1"/>
        <v>-1.0077286941559815</v>
      </c>
      <c r="F1289" s="125">
        <f ca="1"/>
        <v>-1.3173989197230505</v>
      </c>
    </row>
    <row r="1290" spans="5:6">
      <c r="E1290" s="124">
        <f ca="1"/>
        <v>-6.766777143905793E-2</v>
      </c>
      <c r="F1290" s="125">
        <f ca="1"/>
        <v>-0.3551134334389085</v>
      </c>
    </row>
    <row r="1291" spans="5:6">
      <c r="E1291" s="124">
        <f ca="1"/>
        <v>-0.30992035202386808</v>
      </c>
      <c r="F1291" s="125">
        <f ca="1"/>
        <v>-0.43600708653395448</v>
      </c>
    </row>
    <row r="1292" spans="5:6">
      <c r="E1292" s="124">
        <f ca="1"/>
        <v>-0.25847058562660241</v>
      </c>
      <c r="F1292" s="125">
        <f ca="1"/>
        <v>1.1322778773929314</v>
      </c>
    </row>
    <row r="1293" spans="5:6">
      <c r="E1293" s="124">
        <f ca="1"/>
        <v>-1.0108143407609758</v>
      </c>
      <c r="F1293" s="125">
        <f ca="1"/>
        <v>-1.292324703788938</v>
      </c>
    </row>
    <row r="1294" spans="5:6">
      <c r="E1294" s="124">
        <f ca="1"/>
        <v>-1.2841231577281325</v>
      </c>
      <c r="F1294" s="125">
        <f ca="1"/>
        <v>0.57619736820850176</v>
      </c>
    </row>
    <row r="1295" spans="5:6">
      <c r="E1295" s="124">
        <f ca="1"/>
        <v>0.86476300443060339</v>
      </c>
      <c r="F1295" s="125">
        <f ca="1"/>
        <v>0.56446788461309094</v>
      </c>
    </row>
    <row r="1296" spans="5:6">
      <c r="E1296" s="124">
        <f ca="1"/>
        <v>1.2637197782937051E-2</v>
      </c>
      <c r="F1296" s="125">
        <f ca="1"/>
        <v>-0.34806667667801394</v>
      </c>
    </row>
    <row r="1297" spans="5:6">
      <c r="E1297" s="124">
        <f ca="1"/>
        <v>0.96996681484234981</v>
      </c>
      <c r="F1297" s="125">
        <f ca="1"/>
        <v>1.0834011057858703</v>
      </c>
    </row>
    <row r="1298" spans="5:6">
      <c r="E1298" s="124">
        <f ca="1"/>
        <v>-1.352881684039861</v>
      </c>
      <c r="F1298" s="125">
        <f ca="1"/>
        <v>-1.5397719565325469</v>
      </c>
    </row>
    <row r="1299" spans="5:6">
      <c r="E1299" s="124">
        <f ca="1"/>
        <v>0.54746257292755396</v>
      </c>
      <c r="F1299" s="125">
        <f ca="1"/>
        <v>-0.36903819128092197</v>
      </c>
    </row>
    <row r="1300" spans="5:6">
      <c r="E1300" s="124">
        <f ca="1"/>
        <v>0.4810057334739149</v>
      </c>
      <c r="F1300" s="125">
        <f ca="1"/>
        <v>0.64308549903094137</v>
      </c>
    </row>
    <row r="1301" spans="5:6">
      <c r="E1301" s="124">
        <f ca="1"/>
        <v>1.2543119877268241</v>
      </c>
      <c r="F1301" s="125">
        <f ca="1"/>
        <v>1.0828506478482536</v>
      </c>
    </row>
    <row r="1302" spans="5:6">
      <c r="E1302" s="124">
        <f ca="1"/>
        <v>-1.0907065635271749</v>
      </c>
      <c r="F1302" s="125">
        <f ca="1"/>
        <v>-0.68738371248069607</v>
      </c>
    </row>
    <row r="1303" spans="5:6">
      <c r="E1303" s="124">
        <f ca="1"/>
        <v>-0.57586171744543591</v>
      </c>
      <c r="F1303" s="125">
        <f ca="1"/>
        <v>-0.42964846395570255</v>
      </c>
    </row>
    <row r="1304" spans="5:6">
      <c r="E1304" s="124">
        <f ca="1"/>
        <v>-7.5107117368445039E-2</v>
      </c>
      <c r="F1304" s="125">
        <f ca="1"/>
        <v>3.395100060958612E-2</v>
      </c>
    </row>
    <row r="1305" spans="5:6">
      <c r="E1305" s="124">
        <f ca="1"/>
        <v>0.67243416477857554</v>
      </c>
      <c r="F1305" s="125">
        <f ca="1"/>
        <v>0.52204596706434647</v>
      </c>
    </row>
    <row r="1306" spans="5:6">
      <c r="E1306" s="124">
        <f ca="1"/>
        <v>-0.68233077081513216</v>
      </c>
      <c r="F1306" s="125">
        <f ca="1"/>
        <v>4.689874187884302E-3</v>
      </c>
    </row>
    <row r="1307" spans="5:6">
      <c r="E1307" s="124">
        <f ca="1"/>
        <v>0.202829617628388</v>
      </c>
      <c r="F1307" s="125">
        <f ca="1"/>
        <v>0.39890092425258605</v>
      </c>
    </row>
    <row r="1308" spans="5:6">
      <c r="E1308" s="124">
        <f ca="1"/>
        <v>3.2891605692585819</v>
      </c>
      <c r="F1308" s="125">
        <f ca="1"/>
        <v>3.0543292412093006</v>
      </c>
    </row>
    <row r="1309" spans="5:6">
      <c r="E1309" s="124">
        <f ca="1"/>
        <v>0.26802025360337417</v>
      </c>
      <c r="F1309" s="125">
        <f ca="1"/>
        <v>-1.5013334732750012</v>
      </c>
    </row>
    <row r="1310" spans="5:6">
      <c r="E1310" s="124">
        <f ca="1"/>
        <v>-0.60530746193241947</v>
      </c>
      <c r="F1310" s="125">
        <f ca="1"/>
        <v>-0.35467989668212541</v>
      </c>
    </row>
    <row r="1311" spans="5:6">
      <c r="E1311" s="124">
        <f ca="1"/>
        <v>1.6521590511209454</v>
      </c>
      <c r="F1311" s="125">
        <f ca="1"/>
        <v>0.62284189125775313</v>
      </c>
    </row>
    <row r="1312" spans="5:6">
      <c r="E1312" s="124">
        <f ca="1"/>
        <v>0.21512810827851075</v>
      </c>
      <c r="F1312" s="125">
        <f ca="1"/>
        <v>-5.5159522106398517E-2</v>
      </c>
    </row>
    <row r="1313" spans="5:6">
      <c r="E1313" s="124">
        <f ca="1"/>
        <v>-1.7593663378135522</v>
      </c>
      <c r="F1313" s="125">
        <f ca="1"/>
        <v>-1.1892297791500146</v>
      </c>
    </row>
    <row r="1314" spans="5:6">
      <c r="E1314" s="124">
        <f ca="1"/>
        <v>-2.1860931990288535</v>
      </c>
      <c r="F1314" s="125">
        <f ca="1"/>
        <v>-1.6695954241530404</v>
      </c>
    </row>
    <row r="1315" spans="5:6">
      <c r="E1315" s="124">
        <f ca="1"/>
        <v>-1.1467559763061839</v>
      </c>
      <c r="F1315" s="125">
        <f ca="1"/>
        <v>-0.9785816400230678</v>
      </c>
    </row>
    <row r="1316" spans="5:6">
      <c r="E1316" s="124">
        <f ca="1"/>
        <v>0.28218677824140337</v>
      </c>
      <c r="F1316" s="125">
        <f ca="1"/>
        <v>6.6597956280619069E-2</v>
      </c>
    </row>
    <row r="1317" spans="5:6">
      <c r="E1317" s="124">
        <f ca="1"/>
        <v>-0.67588357626587392</v>
      </c>
      <c r="F1317" s="125">
        <f ca="1"/>
        <v>-0.56754009203020228</v>
      </c>
    </row>
    <row r="1318" spans="5:6">
      <c r="E1318" s="124">
        <f ca="1"/>
        <v>2.739528079159069E-2</v>
      </c>
      <c r="F1318" s="125">
        <f ca="1"/>
        <v>0.15717705740627533</v>
      </c>
    </row>
    <row r="1319" spans="5:6">
      <c r="E1319" s="124">
        <f ca="1"/>
        <v>-0.46053942671286535</v>
      </c>
      <c r="F1319" s="125">
        <f ca="1"/>
        <v>-0.15515739831031372</v>
      </c>
    </row>
    <row r="1320" spans="5:6">
      <c r="E1320" s="124">
        <f ca="1"/>
        <v>-4.312872449996006E-2</v>
      </c>
      <c r="F1320" s="125">
        <f ca="1"/>
        <v>8.6737966598677239E-3</v>
      </c>
    </row>
    <row r="1321" spans="5:6">
      <c r="E1321" s="124">
        <f ca="1"/>
        <v>-0.44929716110418394</v>
      </c>
      <c r="F1321" s="125">
        <f ca="1"/>
        <v>-1.7587138083726293</v>
      </c>
    </row>
    <row r="1322" spans="5:6">
      <c r="E1322" s="124">
        <f ca="1"/>
        <v>-0.24599293287787138</v>
      </c>
      <c r="F1322" s="125">
        <f ca="1"/>
        <v>-1.0888107402002967</v>
      </c>
    </row>
    <row r="1323" spans="5:6">
      <c r="E1323" s="124">
        <f ca="1"/>
        <v>8.19582857885435E-2</v>
      </c>
      <c r="F1323" s="125">
        <f ca="1"/>
        <v>0.46719749540315297</v>
      </c>
    </row>
    <row r="1324" spans="5:6">
      <c r="E1324" s="124">
        <f ca="1"/>
        <v>1.2217496339352116</v>
      </c>
      <c r="F1324" s="125">
        <f ca="1"/>
        <v>1.6275531049253971</v>
      </c>
    </row>
    <row r="1325" spans="5:6">
      <c r="E1325" s="124">
        <f ca="1"/>
        <v>0.19611957355647883</v>
      </c>
      <c r="F1325" s="125">
        <f ca="1"/>
        <v>-0.45968861582565396</v>
      </c>
    </row>
    <row r="1326" spans="5:6">
      <c r="E1326" s="124">
        <f ca="1"/>
        <v>-0.90284326312837548</v>
      </c>
      <c r="F1326" s="125">
        <f ca="1"/>
        <v>-0.83406739415465037</v>
      </c>
    </row>
    <row r="1327" spans="5:6">
      <c r="E1327" s="124">
        <f ca="1"/>
        <v>-0.93512874075065122</v>
      </c>
      <c r="F1327" s="125">
        <f ca="1"/>
        <v>-0.61793189198524423</v>
      </c>
    </row>
    <row r="1328" spans="5:6">
      <c r="E1328" s="124">
        <f ca="1"/>
        <v>0.50605573730671227</v>
      </c>
      <c r="F1328" s="125">
        <f ca="1"/>
        <v>-2.2963588369956875</v>
      </c>
    </row>
    <row r="1329" spans="5:6">
      <c r="E1329" s="124">
        <f ca="1"/>
        <v>-0.73663363212446187</v>
      </c>
      <c r="F1329" s="125">
        <f ca="1"/>
        <v>-1.6476277736914333</v>
      </c>
    </row>
    <row r="1330" spans="5:6">
      <c r="E1330" s="124">
        <f ca="1"/>
        <v>0.76414804306847606</v>
      </c>
      <c r="F1330" s="125">
        <f ca="1"/>
        <v>0.16141686581930406</v>
      </c>
    </row>
    <row r="1331" spans="5:6">
      <c r="E1331" s="124">
        <f ca="1"/>
        <v>-0.37525104438083684</v>
      </c>
      <c r="F1331" s="125">
        <f ca="1"/>
        <v>0.50036215134439654</v>
      </c>
    </row>
    <row r="1332" spans="5:6">
      <c r="E1332" s="124">
        <f ca="1"/>
        <v>0.62607250440698947</v>
      </c>
      <c r="F1332" s="125">
        <f ca="1"/>
        <v>-0.94026478448405382</v>
      </c>
    </row>
    <row r="1333" spans="5:6">
      <c r="E1333" s="124">
        <f ca="1"/>
        <v>1.8871225589305352</v>
      </c>
      <c r="F1333" s="125">
        <f ca="1"/>
        <v>6.470011817065302E-3</v>
      </c>
    </row>
    <row r="1334" spans="5:6">
      <c r="E1334" s="124">
        <f ca="1"/>
        <v>0.27138443215840408</v>
      </c>
      <c r="F1334" s="125">
        <f ca="1"/>
        <v>-1.3664982207844822</v>
      </c>
    </row>
    <row r="1335" spans="5:6">
      <c r="E1335" s="124">
        <f ca="1"/>
        <v>0.17601001469129171</v>
      </c>
      <c r="F1335" s="125">
        <f ca="1"/>
        <v>-0.72304768151381649</v>
      </c>
    </row>
    <row r="1336" spans="5:6">
      <c r="E1336" s="124">
        <f ca="1"/>
        <v>0.525564815793514</v>
      </c>
      <c r="F1336" s="125">
        <f ca="1"/>
        <v>8.0219357479038939E-2</v>
      </c>
    </row>
    <row r="1337" spans="5:6">
      <c r="E1337" s="124">
        <f ca="1"/>
        <v>-1.6245675568350666</v>
      </c>
      <c r="F1337" s="125">
        <f ca="1"/>
        <v>-0.67105364525878763</v>
      </c>
    </row>
    <row r="1338" spans="5:6">
      <c r="E1338" s="124">
        <f ca="1"/>
        <v>-0.70391216617415986</v>
      </c>
      <c r="F1338" s="125">
        <f ca="1"/>
        <v>0.22746050811041729</v>
      </c>
    </row>
    <row r="1339" spans="5:6">
      <c r="E1339" s="124">
        <f ca="1"/>
        <v>1.2063921492957652</v>
      </c>
      <c r="F1339" s="125">
        <f ca="1"/>
        <v>0.43658048517376324</v>
      </c>
    </row>
    <row r="1340" spans="5:6">
      <c r="E1340" s="124">
        <f ca="1"/>
        <v>-1.3713741630261815</v>
      </c>
      <c r="F1340" s="125">
        <f ca="1"/>
        <v>4.9346821716400258E-2</v>
      </c>
    </row>
    <row r="1341" spans="5:6">
      <c r="E1341" s="126">
        <f ca="1"/>
        <v>1.3595403253334262</v>
      </c>
      <c r="F1341" s="127">
        <f ca="1"/>
        <v>-1.5062132644018491</v>
      </c>
    </row>
  </sheetData>
  <conditionalFormatting sqref="E7:E10 I345 J342">
    <cfRule type="cellIs" dxfId="853" priority="112" stopIfTrue="1" operator="equal">
      <formula>"ERROR"</formula>
    </cfRule>
    <cfRule type="cellIs" dxfId="852" priority="113" stopIfTrue="1" operator="equal">
      <formula>"OK"</formula>
    </cfRule>
    <cfRule type="cellIs" dxfId="851" priority="114" stopIfTrue="1" operator="equal">
      <formula>"WARNING"</formula>
    </cfRule>
  </conditionalFormatting>
  <conditionalFormatting sqref="C4">
    <cfRule type="cellIs" dxfId="850" priority="109" stopIfTrue="1" operator="equal">
      <formula>"ERROR"</formula>
    </cfRule>
    <cfRule type="cellIs" dxfId="849" priority="110" stopIfTrue="1" operator="equal">
      <formula>"OK"</formula>
    </cfRule>
    <cfRule type="cellIs" dxfId="848" priority="111" stopIfTrue="1" operator="equal">
      <formula>"WARNING"</formula>
    </cfRule>
  </conditionalFormatting>
  <conditionalFormatting sqref="C17">
    <cfRule type="cellIs" dxfId="847" priority="106" stopIfTrue="1" operator="equal">
      <formula>"ERROR"</formula>
    </cfRule>
  </conditionalFormatting>
  <conditionalFormatting sqref="C17">
    <cfRule type="cellIs" dxfId="846" priority="107" stopIfTrue="1" operator="equal">
      <formula>"OK"</formula>
    </cfRule>
  </conditionalFormatting>
  <conditionalFormatting sqref="C17">
    <cfRule type="cellIs" dxfId="845" priority="108" stopIfTrue="1" operator="equal">
      <formula>"WARNING"</formula>
    </cfRule>
  </conditionalFormatting>
  <conditionalFormatting sqref="L22:N24">
    <cfRule type="cellIs" dxfId="844" priority="115" stopIfTrue="1" operator="equal">
      <formula>"ERROR"</formula>
    </cfRule>
    <cfRule type="cellIs" dxfId="843" priority="116" stopIfTrue="1" operator="equal">
      <formula>"OK"</formula>
    </cfRule>
    <cfRule type="cellIs" dxfId="842" priority="117" stopIfTrue="1" operator="equal">
      <formula>"WARNING"</formula>
    </cfRule>
  </conditionalFormatting>
  <conditionalFormatting sqref="E11">
    <cfRule type="cellIs" dxfId="841" priority="67" stopIfTrue="1" operator="equal">
      <formula>"ERROR"</formula>
    </cfRule>
    <cfRule type="cellIs" dxfId="840" priority="68" stopIfTrue="1" operator="equal">
      <formula>"OK"</formula>
    </cfRule>
    <cfRule type="cellIs" dxfId="839" priority="69" stopIfTrue="1" operator="equal">
      <formula>"WARNING"</formula>
    </cfRule>
  </conditionalFormatting>
  <conditionalFormatting sqref="Z22">
    <cfRule type="cellIs" dxfId="838" priority="64" stopIfTrue="1" operator="equal">
      <formula>"ERROR"</formula>
    </cfRule>
    <cfRule type="cellIs" dxfId="837" priority="65" stopIfTrue="1" operator="equal">
      <formula>"OK"</formula>
    </cfRule>
    <cfRule type="cellIs" dxfId="836" priority="66" stopIfTrue="1" operator="equal">
      <formula>"WARNING"</formula>
    </cfRule>
  </conditionalFormatting>
  <conditionalFormatting sqref="AL22">
    <cfRule type="cellIs" dxfId="835" priority="61" stopIfTrue="1" operator="equal">
      <formula>"ERROR"</formula>
    </cfRule>
    <cfRule type="cellIs" dxfId="834" priority="62" stopIfTrue="1" operator="equal">
      <formula>"OK"</formula>
    </cfRule>
    <cfRule type="cellIs" dxfId="833" priority="63" stopIfTrue="1" operator="equal">
      <formula>"WARNING"</formula>
    </cfRule>
  </conditionalFormatting>
  <conditionalFormatting sqref="AZ22">
    <cfRule type="cellIs" dxfId="832" priority="58" stopIfTrue="1" operator="equal">
      <formula>"ERROR"</formula>
    </cfRule>
    <cfRule type="cellIs" dxfId="831" priority="59" stopIfTrue="1" operator="equal">
      <formula>"OK"</formula>
    </cfRule>
    <cfRule type="cellIs" dxfId="830" priority="60" stopIfTrue="1" operator="equal">
      <formula>"WARNING"</formula>
    </cfRule>
  </conditionalFormatting>
  <conditionalFormatting sqref="C30">
    <cfRule type="cellIs" dxfId="829" priority="52" stopIfTrue="1" operator="equal">
      <formula>"ERROR"</formula>
    </cfRule>
  </conditionalFormatting>
  <conditionalFormatting sqref="C30">
    <cfRule type="cellIs" dxfId="828" priority="53" stopIfTrue="1" operator="equal">
      <formula>"OK"</formula>
    </cfRule>
  </conditionalFormatting>
  <conditionalFormatting sqref="C30">
    <cfRule type="cellIs" dxfId="827" priority="54" stopIfTrue="1" operator="equal">
      <formula>"WARNING"</formula>
    </cfRule>
  </conditionalFormatting>
  <conditionalFormatting sqref="L36:M37">
    <cfRule type="cellIs" dxfId="826" priority="55" stopIfTrue="1" operator="equal">
      <formula>"ERROR"</formula>
    </cfRule>
    <cfRule type="cellIs" dxfId="825" priority="56" stopIfTrue="1" operator="equal">
      <formula>"OK"</formula>
    </cfRule>
    <cfRule type="cellIs" dxfId="824" priority="57" stopIfTrue="1" operator="equal">
      <formula>"WARNING"</formula>
    </cfRule>
  </conditionalFormatting>
  <conditionalFormatting sqref="AB36:AD38">
    <cfRule type="cellIs" dxfId="823" priority="40" stopIfTrue="1" operator="equal">
      <formula>"ERROR"</formula>
    </cfRule>
    <cfRule type="cellIs" dxfId="822" priority="41" stopIfTrue="1" operator="equal">
      <formula>"OK"</formula>
    </cfRule>
    <cfRule type="cellIs" dxfId="821" priority="42" stopIfTrue="1" operator="equal">
      <formula>"WARNING"</formula>
    </cfRule>
  </conditionalFormatting>
  <conditionalFormatting sqref="C286">
    <cfRule type="cellIs" dxfId="820" priority="37" stopIfTrue="1" operator="equal">
      <formula>"ERROR"</formula>
    </cfRule>
  </conditionalFormatting>
  <conditionalFormatting sqref="C286">
    <cfRule type="cellIs" dxfId="819" priority="38" stopIfTrue="1" operator="equal">
      <formula>"OK"</formula>
    </cfRule>
  </conditionalFormatting>
  <conditionalFormatting sqref="C286">
    <cfRule type="cellIs" dxfId="818" priority="39" stopIfTrue="1" operator="equal">
      <formula>"WARNING"</formula>
    </cfRule>
  </conditionalFormatting>
  <conditionalFormatting sqref="J295:K295">
    <cfRule type="cellIs" dxfId="817" priority="34" stopIfTrue="1" operator="equal">
      <formula>"ERROR"</formula>
    </cfRule>
    <cfRule type="cellIs" dxfId="816" priority="35" stopIfTrue="1" operator="equal">
      <formula>"OK"</formula>
    </cfRule>
    <cfRule type="cellIs" dxfId="815" priority="36" stopIfTrue="1" operator="equal">
      <formula>"WARNING"</formula>
    </cfRule>
  </conditionalFormatting>
  <conditionalFormatting sqref="S295:T295">
    <cfRule type="cellIs" dxfId="814" priority="31" stopIfTrue="1" operator="equal">
      <formula>"ERROR"</formula>
    </cfRule>
    <cfRule type="cellIs" dxfId="813" priority="32" stopIfTrue="1" operator="equal">
      <formula>"OK"</formula>
    </cfRule>
    <cfRule type="cellIs" dxfId="812" priority="33" stopIfTrue="1" operator="equal">
      <formula>"WARNING"</formula>
    </cfRule>
  </conditionalFormatting>
  <conditionalFormatting sqref="AD295:AE295">
    <cfRule type="cellIs" dxfId="811" priority="22" stopIfTrue="1" operator="equal">
      <formula>"ERROR"</formula>
    </cfRule>
    <cfRule type="cellIs" dxfId="810" priority="23" stopIfTrue="1" operator="equal">
      <formula>"OK"</formula>
    </cfRule>
    <cfRule type="cellIs" dxfId="809" priority="24" stopIfTrue="1" operator="equal">
      <formula>"WARNING"</formula>
    </cfRule>
  </conditionalFormatting>
  <conditionalFormatting sqref="C337">
    <cfRule type="cellIs" dxfId="808" priority="19" stopIfTrue="1" operator="equal">
      <formula>"ERROR"</formula>
    </cfRule>
  </conditionalFormatting>
  <conditionalFormatting sqref="C337">
    <cfRule type="cellIs" dxfId="807" priority="20" stopIfTrue="1" operator="equal">
      <formula>"OK"</formula>
    </cfRule>
  </conditionalFormatting>
  <conditionalFormatting sqref="C337">
    <cfRule type="cellIs" dxfId="806" priority="21" stopIfTrue="1" operator="equal">
      <formula>"WARNING"</formula>
    </cfRule>
  </conditionalFormatting>
  <conditionalFormatting sqref="S345 U342">
    <cfRule type="cellIs" dxfId="805" priority="13" stopIfTrue="1" operator="equal">
      <formula>"ERROR"</formula>
    </cfRule>
    <cfRule type="cellIs" dxfId="804" priority="14" stopIfTrue="1" operator="equal">
      <formula>"OK"</formula>
    </cfRule>
    <cfRule type="cellIs" dxfId="803" priority="15" stopIfTrue="1" operator="equal">
      <formula>"WARNING"</formula>
    </cfRule>
  </conditionalFormatting>
  <conditionalFormatting sqref="E12">
    <cfRule type="cellIs" dxfId="802" priority="10" stopIfTrue="1" operator="equal">
      <formula>"ERROR"</formula>
    </cfRule>
    <cfRule type="cellIs" dxfId="801" priority="11" stopIfTrue="1" operator="equal">
      <formula>"OK"</formula>
    </cfRule>
    <cfRule type="cellIs" dxfId="800" priority="12" stopIfTrue="1" operator="equal">
      <formula>"WARNING"</formula>
    </cfRule>
  </conditionalFormatting>
  <conditionalFormatting sqref="AD345 AJ342">
    <cfRule type="cellIs" dxfId="799" priority="7" stopIfTrue="1" operator="equal">
      <formula>"ERROR"</formula>
    </cfRule>
    <cfRule type="cellIs" dxfId="798" priority="8" stopIfTrue="1" operator="equal">
      <formula>"OK"</formula>
    </cfRule>
    <cfRule type="cellIs" dxfId="797" priority="9" stopIfTrue="1" operator="equal">
      <formula>"WARNING"</formula>
    </cfRule>
  </conditionalFormatting>
  <conditionalFormatting sqref="C46">
    <cfRule type="cellIs" dxfId="796" priority="4" stopIfTrue="1" operator="equal">
      <formula>"ERROR"</formula>
    </cfRule>
  </conditionalFormatting>
  <conditionalFormatting sqref="C46">
    <cfRule type="cellIs" dxfId="795" priority="5" stopIfTrue="1" operator="equal">
      <formula>"OK"</formula>
    </cfRule>
  </conditionalFormatting>
  <conditionalFormatting sqref="C46">
    <cfRule type="cellIs" dxfId="794" priority="6" stopIfTrue="1" operator="equal">
      <formula>"WARNING"</formula>
    </cfRule>
  </conditionalFormatting>
  <conditionalFormatting sqref="C62">
    <cfRule type="cellIs" dxfId="793" priority="1" stopIfTrue="1" operator="equal">
      <formula>"ERROR"</formula>
    </cfRule>
  </conditionalFormatting>
  <conditionalFormatting sqref="C62">
    <cfRule type="cellIs" dxfId="792" priority="2" stopIfTrue="1" operator="equal">
      <formula>"OK"</formula>
    </cfRule>
  </conditionalFormatting>
  <conditionalFormatting sqref="C62">
    <cfRule type="cellIs" dxfId="791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11:C11" location="$B$42" display="$B$42" xr:uid="{24C28D86-8B3F-4361-83C0-98370FFAED2D}"/>
    <hyperlink ref="B12:C12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11" location="$B$42" display="$B$42" xr:uid="{46ED86AF-F2BD-421A-80EF-8714A1F9D2A0}"/>
    <hyperlink ref="D12" location="$B$93" display="$B$93" xr:uid="{03786670-9E38-472D-8660-5200ECDE28F8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topLeftCell="A28" zoomScaleNormal="100" workbookViewId="0">
      <selection activeCell="F33" sqref="F33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9.625" style="430" customWidth="1"/>
    <col min="4" max="8" width="11.5" style="430" customWidth="1"/>
    <col min="9" max="9" width="14.75" style="430"/>
    <col min="10" max="10" width="12.125" style="430" customWidth="1"/>
    <col min="11" max="12" width="14.75" style="430"/>
    <col min="13" max="13" width="10.875" style="430" customWidth="1"/>
    <col min="14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70" style="430" bestFit="1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372</v>
      </c>
    </row>
    <row r="2" spans="1:72" ht="26.25">
      <c r="B2" s="2" t="s">
        <v>499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aca="1" ref="C4" ca="1">_xll.d.TestUtils_And(D7:D7)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9" t="s">
        <v>10</v>
      </c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378</v>
      </c>
      <c r="C7" s="406"/>
      <c r="D7" s="291" t="str">
        <f ca="1">C12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378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aca="1" ref="C12" ca="1">_xll.d.TestUtils_And(I17,R17:S20,AB17,AK17)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500</v>
      </c>
      <c r="C14" s="298"/>
      <c r="D14" s="298"/>
      <c r="E14" s="298"/>
      <c r="F14" s="298"/>
      <c r="G14" s="298"/>
      <c r="H14" s="298"/>
      <c r="I14" s="298"/>
      <c r="K14" s="4" t="s">
        <v>501</v>
      </c>
      <c r="L14" s="298"/>
      <c r="M14" s="298"/>
      <c r="N14" s="298"/>
      <c r="O14" s="298"/>
      <c r="P14" s="298"/>
      <c r="Q14" s="298"/>
      <c r="R14" s="298"/>
      <c r="S14" s="298"/>
      <c r="U14" s="4" t="s">
        <v>493</v>
      </c>
      <c r="V14" s="298"/>
      <c r="W14" s="298"/>
      <c r="X14" s="298"/>
      <c r="Y14" s="298"/>
      <c r="Z14" s="298"/>
      <c r="AA14" s="298"/>
      <c r="AB14" s="298"/>
      <c r="AD14" s="4" t="s">
        <v>497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407</v>
      </c>
      <c r="G16" s="120" t="s">
        <v>408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404</v>
      </c>
      <c r="C17" s="123">
        <v>120</v>
      </c>
      <c r="D17" s="289"/>
      <c r="E17" s="396" cm="1">
        <f t="array" aca="1" ref="E17" ca="1">_xll.d.Equity_BlackScholesSpotOptionPricer(C17,C18,C19,C20,C21,C22,C23,C24)</f>
        <v>49.931353791528799</v>
      </c>
      <c r="F17" s="435">
        <f ca="1">((LN(C17/C18)+(C19-C20+0.5*C21^2)*C22))/(C21*SQRT(C22))</f>
        <v>1.0422804977154678</v>
      </c>
      <c r="G17" s="435">
        <f ca="1">F17-C21*SQRT(C22)</f>
        <v>0.29817029082404245</v>
      </c>
      <c r="H17" s="329">
        <f ca="1">C17*EXP(-C20*C22)*_xlfn.NORM.S.DIST(F17,TRUE) -C18*EXP(-C19*C22)*_xlfn.NORM.S.DIST(G17,TRUE)</f>
        <v>49.931353791528799</v>
      </c>
      <c r="I17" s="580" t="str" cm="1">
        <f t="array" aca="1" ref="I17" ca="1">_xll.d.TestUtils_Equal(E17,H17)</f>
        <v>Ok</v>
      </c>
      <c r="K17" s="432" t="s">
        <v>404</v>
      </c>
      <c r="L17" s="123">
        <v>120</v>
      </c>
      <c r="M17" s="289"/>
      <c r="N17" s="122" t="str" cm="1">
        <f t="array" aca="1" ref="N17:O20" ca="1">_xll.d.Equity_BlackScholesSpotOptionPricer(L17,L18,L19,L20,L21,L22,L23,L24,"VERBOSE")</f>
        <v>Price</v>
      </c>
      <c r="O17" s="567">
        <f ca="1"/>
        <v>49.931353791528799</v>
      </c>
      <c r="P17" s="122" t="s">
        <v>487</v>
      </c>
      <c r="Q17" s="567">
        <v>49.931353791528799</v>
      </c>
      <c r="R17" s="580" t="str" cm="1">
        <f t="array" aca="1" ref="R17" ca="1">_xll.d.TestUtils_Equal(N17,P17)</f>
        <v>Ok</v>
      </c>
      <c r="S17" s="580" t="str" cm="1">
        <f t="array" aca="1" ref="S17" ca="1">_xll.d.TestUtils_Equal(O17,Q17)</f>
        <v>Ok</v>
      </c>
      <c r="U17" s="432" t="s">
        <v>404</v>
      </c>
      <c r="V17" s="123">
        <v>120</v>
      </c>
      <c r="W17" s="289"/>
      <c r="X17" s="450" t="str" cm="1">
        <f t="array" aca="1" ref="X17" ca="1">_xll.d.Equity_BlackScholesSpotOptionPricer(V17,V18,V19,V20,V21,V22,V23,V24)</f>
        <v>#∂Excel Error: Invalid option type: 'Q'</v>
      </c>
      <c r="Y17" s="451"/>
      <c r="Z17" s="452" t="s">
        <v>494</v>
      </c>
      <c r="AA17" s="453"/>
      <c r="AB17" s="329" t="str" cm="1">
        <f t="array" aca="1" ref="AB17" ca="1">_xll.d.TestUtils_Equal(X17,Z17)</f>
        <v>Ok</v>
      </c>
      <c r="AD17" s="432" t="s">
        <v>404</v>
      </c>
      <c r="AE17" s="123">
        <v>120</v>
      </c>
      <c r="AF17" s="289"/>
      <c r="AG17" s="450" t="str" cm="1">
        <f t="array" aca="1" ref="AG17" ca="1">_xll.d.Equity_BlackScholesSpotOptionPricer(AE17,AE18,AE19,AE20,AE21,AE22,AE23,AE24)</f>
        <v>#∂Excel Error: Invalid direction: 'Q'</v>
      </c>
      <c r="AH17" s="451"/>
      <c r="AI17" s="452" t="s">
        <v>498</v>
      </c>
      <c r="AJ17" s="453"/>
      <c r="AK17" s="329" t="str" cm="1">
        <f t="array" aca="1" ref="AK17" ca="1">_xll.d.TestUtils_Equal(AG17,AI17)</f>
        <v>Ok</v>
      </c>
    </row>
    <row r="18" spans="2:37">
      <c r="B18" s="433" t="s">
        <v>405</v>
      </c>
      <c r="C18" s="125">
        <v>100</v>
      </c>
      <c r="D18" s="289"/>
      <c r="K18" s="433" t="s">
        <v>405</v>
      </c>
      <c r="L18" s="125">
        <v>100</v>
      </c>
      <c r="M18" s="289"/>
      <c r="N18" s="124" t="str">
        <f ca="1"/>
        <v>d1</v>
      </c>
      <c r="O18" s="568">
        <f ca="1"/>
        <v>1.0422804977154678</v>
      </c>
      <c r="P18" s="124" t="s">
        <v>488</v>
      </c>
      <c r="Q18" s="568">
        <v>1.0422804977154678</v>
      </c>
      <c r="R18" s="580" t="str" cm="1">
        <f t="array" aca="1" ref="R18" ca="1">_xll.d.TestUtils_Equal(N18,P18)</f>
        <v>Ok</v>
      </c>
      <c r="S18" s="580" t="str" cm="1">
        <f t="array" aca="1" ref="S18" ca="1">_xll.d.TestUtils_Equal(O18,Q18)</f>
        <v>Ok</v>
      </c>
      <c r="U18" s="433" t="s">
        <v>405</v>
      </c>
      <c r="V18" s="125">
        <v>100</v>
      </c>
      <c r="W18" s="289"/>
      <c r="AD18" s="433" t="s">
        <v>405</v>
      </c>
      <c r="AE18" s="125">
        <v>100</v>
      </c>
      <c r="AF18" s="289"/>
    </row>
    <row r="19" spans="2:37">
      <c r="B19" s="433" t="s">
        <v>414</v>
      </c>
      <c r="C19" s="125">
        <v>0.1</v>
      </c>
      <c r="D19" s="289"/>
      <c r="K19" s="433" t="s">
        <v>414</v>
      </c>
      <c r="L19" s="125">
        <v>0.1</v>
      </c>
      <c r="M19" s="289"/>
      <c r="N19" s="124" t="str">
        <f ca="1"/>
        <v>d2</v>
      </c>
      <c r="O19" s="568">
        <f ca="1"/>
        <v>0.29817029082404245</v>
      </c>
      <c r="P19" s="124" t="s">
        <v>489</v>
      </c>
      <c r="Q19" s="568">
        <v>0.29817029082404245</v>
      </c>
      <c r="R19" s="580" t="str" cm="1">
        <f t="array" aca="1" ref="R19" ca="1">_xll.d.TestUtils_Equal(N19,P19)</f>
        <v>Ok</v>
      </c>
      <c r="S19" s="580" t="str" cm="1">
        <f t="array" aca="1" ref="S19" ca="1">_xll.d.TestUtils_Equal(O19,Q19)</f>
        <v>Ok</v>
      </c>
      <c r="U19" s="433" t="s">
        <v>414</v>
      </c>
      <c r="V19" s="125">
        <v>0.1</v>
      </c>
      <c r="W19" s="289"/>
      <c r="AD19" s="433" t="s">
        <v>414</v>
      </c>
      <c r="AE19" s="125">
        <v>0.1</v>
      </c>
      <c r="AF19" s="289"/>
    </row>
    <row r="20" spans="2:37">
      <c r="B20" s="433" t="s">
        <v>413</v>
      </c>
      <c r="C20" s="125">
        <v>0.03</v>
      </c>
      <c r="D20" s="289"/>
      <c r="E20" s="290"/>
      <c r="K20" s="433" t="s">
        <v>413</v>
      </c>
      <c r="L20" s="125">
        <v>0.03</v>
      </c>
      <c r="M20" s="289"/>
      <c r="N20" s="126" t="str">
        <f ca="1"/>
        <v>Discount Factor</v>
      </c>
      <c r="O20" s="569">
        <f ca="1"/>
        <v>0.63635416972508707</v>
      </c>
      <c r="P20" s="126" t="s">
        <v>490</v>
      </c>
      <c r="Q20" s="569">
        <v>0.63635416972508707</v>
      </c>
      <c r="R20" s="580" t="str" cm="1">
        <f t="array" aca="1" ref="R20" ca="1">_xll.d.TestUtils_Equal(N20,P20)</f>
        <v>Ok</v>
      </c>
      <c r="S20" s="580" t="str" cm="1">
        <f t="array" aca="1" ref="S20" ca="1">_xll.d.TestUtils_Equal(O20,Q20)</f>
        <v>Ok</v>
      </c>
      <c r="U20" s="433" t="s">
        <v>413</v>
      </c>
      <c r="V20" s="125">
        <v>0.03</v>
      </c>
      <c r="W20" s="289"/>
      <c r="AD20" s="433" t="s">
        <v>413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406</v>
      </c>
      <c r="C22" s="125">
        <v>4.5199999999999996</v>
      </c>
      <c r="D22" s="289"/>
      <c r="E22" s="290"/>
      <c r="K22" s="433" t="s">
        <v>406</v>
      </c>
      <c r="L22" s="125">
        <v>4.5199999999999996</v>
      </c>
      <c r="M22" s="289"/>
      <c r="U22" s="433" t="s">
        <v>406</v>
      </c>
      <c r="V22" s="125">
        <v>4.5199999999999996</v>
      </c>
      <c r="W22" s="289"/>
      <c r="AD22" s="433" t="s">
        <v>406</v>
      </c>
      <c r="AE22" s="125">
        <v>4.5199999999999996</v>
      </c>
      <c r="AF22" s="289"/>
    </row>
    <row r="23" spans="2:37">
      <c r="B23" s="433" t="s">
        <v>403</v>
      </c>
      <c r="C23" s="125" t="s">
        <v>410</v>
      </c>
      <c r="D23" s="289"/>
      <c r="E23" s="290"/>
      <c r="K23" s="433" t="s">
        <v>403</v>
      </c>
      <c r="L23" s="125" t="s">
        <v>410</v>
      </c>
      <c r="M23" s="289"/>
      <c r="U23" s="433" t="s">
        <v>403</v>
      </c>
      <c r="V23" s="125" t="s">
        <v>492</v>
      </c>
      <c r="W23" s="289"/>
      <c r="AD23" s="433" t="s">
        <v>403</v>
      </c>
      <c r="AE23" s="125" t="s">
        <v>410</v>
      </c>
      <c r="AF23" s="289"/>
    </row>
    <row r="24" spans="2:37">
      <c r="B24" s="434" t="s">
        <v>409</v>
      </c>
      <c r="C24" s="127" t="s">
        <v>411</v>
      </c>
      <c r="D24" s="289"/>
      <c r="E24" s="290"/>
      <c r="F24" s="290"/>
      <c r="G24" s="290"/>
      <c r="K24" s="434" t="s">
        <v>409</v>
      </c>
      <c r="L24" s="127" t="s">
        <v>411</v>
      </c>
      <c r="M24" s="289"/>
      <c r="U24" s="434" t="s">
        <v>409</v>
      </c>
      <c r="V24" s="127" t="s">
        <v>411</v>
      </c>
      <c r="W24" s="289"/>
      <c r="AD24" s="434" t="s">
        <v>409</v>
      </c>
      <c r="AE24" s="127" t="s">
        <v>492</v>
      </c>
      <c r="AF24" s="289"/>
    </row>
    <row r="25" spans="2:37">
      <c r="D25" s="289"/>
      <c r="E25" s="290"/>
      <c r="F25" s="290"/>
      <c r="G25" s="290"/>
    </row>
    <row r="26" spans="2:37">
      <c r="D26" s="289"/>
      <c r="E26" s="290"/>
      <c r="F26" s="290"/>
      <c r="G26" s="290"/>
    </row>
    <row r="27" spans="2:37" ht="18.75">
      <c r="B27" s="3" t="s">
        <v>651</v>
      </c>
      <c r="C27" s="297"/>
      <c r="D27" s="297"/>
      <c r="E27" s="297"/>
      <c r="F27" s="297"/>
      <c r="G27" s="297"/>
      <c r="H27" s="297"/>
      <c r="I27" s="297"/>
      <c r="J27" s="297"/>
    </row>
    <row r="29" spans="2:37" ht="15.75">
      <c r="B29" s="4" t="s">
        <v>500</v>
      </c>
      <c r="C29" s="298"/>
      <c r="D29" s="298"/>
      <c r="E29" s="298"/>
      <c r="F29" s="298"/>
      <c r="G29" s="298"/>
      <c r="H29" s="298"/>
      <c r="I29" s="298"/>
    </row>
    <row r="30" spans="2:37">
      <c r="B30" s="289"/>
      <c r="C30" s="289"/>
      <c r="D30" s="289"/>
      <c r="E30" s="290"/>
    </row>
    <row r="31" spans="2:37">
      <c r="B31" s="120" t="s">
        <v>212</v>
      </c>
      <c r="C31" s="121"/>
      <c r="D31" s="289"/>
      <c r="E31" s="120" t="s">
        <v>65</v>
      </c>
      <c r="F31" s="120" t="s">
        <v>407</v>
      </c>
      <c r="G31" s="120" t="s">
        <v>408</v>
      </c>
      <c r="H31" s="191" t="s">
        <v>66</v>
      </c>
      <c r="I31" s="121" t="s">
        <v>67</v>
      </c>
    </row>
    <row r="32" spans="2:37">
      <c r="B32" s="432" t="s">
        <v>652</v>
      </c>
      <c r="C32" s="292">
        <v>45016</v>
      </c>
      <c r="D32" s="289"/>
      <c r="E32" s="396" t="e" cm="1">
        <f t="array" ref="E32">_xll.d.Equity_BlackScholesSpotOptionPricer(C34,C35,C36,C37,C38,C39,C41,C42)</f>
        <v>#VALUE!</v>
      </c>
      <c r="F32" s="435" t="e">
        <f>((LN(C34/C35)+(C36-C37+0.5*C38^2)*C39))/(C38*SQRT(C39))</f>
        <v>#VALUE!</v>
      </c>
      <c r="G32" s="435" t="e">
        <f>F32-C38*SQRT(C39)</f>
        <v>#VALUE!</v>
      </c>
      <c r="H32" s="329" t="e">
        <f>C34*EXP(-C37*C39)*_xlfn.NORM.S.DIST(F32,TRUE) -C35*EXP(-C36*C39)*_xlfn.NORM.S.DIST(G32,TRUE)</f>
        <v>#VALUE!</v>
      </c>
      <c r="I32" s="580" t="str" cm="1">
        <f t="array" ref="I32">_xll.d.TestUtils_Equal(E32,H32)</f>
        <v>Error</v>
      </c>
    </row>
    <row r="33" spans="2:9">
      <c r="B33" s="433" t="s">
        <v>382</v>
      </c>
      <c r="C33" s="304">
        <f>EDATE(C32,12)</f>
        <v>45382</v>
      </c>
      <c r="D33" s="289"/>
      <c r="E33" s="870"/>
      <c r="F33" s="870"/>
      <c r="G33" s="870"/>
      <c r="H33" s="870"/>
      <c r="I33" s="870"/>
    </row>
    <row r="34" spans="2:9" s="54" customFormat="1">
      <c r="B34" s="433" t="s">
        <v>404</v>
      </c>
      <c r="C34" s="125">
        <v>130</v>
      </c>
      <c r="D34" s="667"/>
    </row>
    <row r="35" spans="2:9">
      <c r="B35" s="433" t="s">
        <v>405</v>
      </c>
      <c r="C35" s="125">
        <v>100</v>
      </c>
      <c r="D35" s="289"/>
    </row>
    <row r="36" spans="2:9">
      <c r="B36" s="433" t="s">
        <v>414</v>
      </c>
      <c r="C36" s="125">
        <v>0.1</v>
      </c>
      <c r="D36" s="289"/>
      <c r="E36" s="290" t="str" cm="1">
        <f t="array" ref="E36">_xll.d.Equity_CreateEuropeanOption("EquityEuropeanOption",C34,C35,C36,C37,C38,C32,C33,C39,C40,C41)</f>
        <v>@@EquityEuropeanOption::08:30:48</v>
      </c>
    </row>
    <row r="37" spans="2:9">
      <c r="B37" s="433" t="s">
        <v>413</v>
      </c>
      <c r="C37" s="125">
        <v>0.03</v>
      </c>
      <c r="E37" s="290"/>
    </row>
    <row r="38" spans="2:9">
      <c r="B38" s="433" t="s">
        <v>72</v>
      </c>
      <c r="C38" s="125">
        <v>0.2</v>
      </c>
      <c r="D38" s="289"/>
      <c r="E38" s="290"/>
    </row>
    <row r="39" spans="2:9">
      <c r="B39" s="433" t="s">
        <v>201</v>
      </c>
      <c r="C39" s="125" t="s">
        <v>54</v>
      </c>
      <c r="D39" s="289"/>
      <c r="E39" s="871" t="str" cm="1">
        <f t="array" ref="E39:F41">_xll.d.Equity_GetPrice(E36, TRUE)</f>
        <v>Price</v>
      </c>
      <c r="F39" s="430">
        <v>36.117493907875513</v>
      </c>
    </row>
    <row r="40" spans="2:9">
      <c r="B40" s="433" t="s">
        <v>653</v>
      </c>
      <c r="C40" s="125" t="s">
        <v>244</v>
      </c>
      <c r="D40" s="289"/>
      <c r="E40" s="290" t="str">
        <v>Delta</v>
      </c>
      <c r="F40" s="430">
        <v>0.9323765968934391</v>
      </c>
    </row>
    <row r="41" spans="2:9">
      <c r="B41" s="433" t="s">
        <v>403</v>
      </c>
      <c r="C41" s="125" t="s">
        <v>410</v>
      </c>
      <c r="D41" s="289"/>
      <c r="E41" s="290" t="str">
        <v>Vega</v>
      </c>
      <c r="F41" s="871">
        <v>10.696836617978546</v>
      </c>
      <c r="G41" s="290"/>
    </row>
    <row r="42" spans="2:9">
      <c r="B42" s="434" t="s">
        <v>409</v>
      </c>
      <c r="C42" s="127" t="s">
        <v>411</v>
      </c>
    </row>
  </sheetData>
  <conditionalFormatting sqref="D7">
    <cfRule type="cellIs" dxfId="790" priority="55" stopIfTrue="1" operator="equal">
      <formula>"ERROR"</formula>
    </cfRule>
    <cfRule type="cellIs" dxfId="789" priority="56" stopIfTrue="1" operator="equal">
      <formula>"OK"</formula>
    </cfRule>
    <cfRule type="cellIs" dxfId="788" priority="57" stopIfTrue="1" operator="equal">
      <formula>"WARNING"</formula>
    </cfRule>
  </conditionalFormatting>
  <conditionalFormatting sqref="C4">
    <cfRule type="cellIs" dxfId="787" priority="52" stopIfTrue="1" operator="equal">
      <formula>"ERROR"</formula>
    </cfRule>
    <cfRule type="cellIs" dxfId="786" priority="53" stopIfTrue="1" operator="equal">
      <formula>"OK"</formula>
    </cfRule>
    <cfRule type="cellIs" dxfId="785" priority="54" stopIfTrue="1" operator="equal">
      <formula>"WARNING"</formula>
    </cfRule>
  </conditionalFormatting>
  <conditionalFormatting sqref="C12">
    <cfRule type="cellIs" dxfId="784" priority="49" stopIfTrue="1" operator="equal">
      <formula>"ERROR"</formula>
    </cfRule>
  </conditionalFormatting>
  <conditionalFormatting sqref="C12">
    <cfRule type="cellIs" dxfId="783" priority="50" stopIfTrue="1" operator="equal">
      <formula>"OK"</formula>
    </cfRule>
  </conditionalFormatting>
  <conditionalFormatting sqref="C12">
    <cfRule type="cellIs" dxfId="782" priority="51" stopIfTrue="1" operator="equal">
      <formula>"WARNING"</formula>
    </cfRule>
  </conditionalFormatting>
  <conditionalFormatting sqref="I17:J17 T17">
    <cfRule type="cellIs" dxfId="781" priority="61" stopIfTrue="1" operator="equal">
      <formula>"ERROR"</formula>
    </cfRule>
    <cfRule type="cellIs" dxfId="780" priority="62" stopIfTrue="1" operator="equal">
      <formula>"OK"</formula>
    </cfRule>
    <cfRule type="cellIs" dxfId="779" priority="63" stopIfTrue="1" operator="equal">
      <formula>"WARNING"</formula>
    </cfRule>
  </conditionalFormatting>
  <conditionalFormatting sqref="AB17">
    <cfRule type="cellIs" dxfId="778" priority="37" stopIfTrue="1" operator="equal">
      <formula>"ERROR"</formula>
    </cfRule>
    <cfRule type="cellIs" dxfId="777" priority="38" stopIfTrue="1" operator="equal">
      <formula>"OK"</formula>
    </cfRule>
    <cfRule type="cellIs" dxfId="776" priority="39" stopIfTrue="1" operator="equal">
      <formula>"WARNING"</formula>
    </cfRule>
  </conditionalFormatting>
  <conditionalFormatting sqref="AK17">
    <cfRule type="cellIs" dxfId="775" priority="31" stopIfTrue="1" operator="equal">
      <formula>"ERROR"</formula>
    </cfRule>
    <cfRule type="cellIs" dxfId="774" priority="32" stopIfTrue="1" operator="equal">
      <formula>"OK"</formula>
    </cfRule>
    <cfRule type="cellIs" dxfId="773" priority="33" stopIfTrue="1" operator="equal">
      <formula>"WARNING"</formula>
    </cfRule>
  </conditionalFormatting>
  <conditionalFormatting sqref="R17:S20">
    <cfRule type="cellIs" dxfId="772" priority="25" stopIfTrue="1" operator="equal">
      <formula>"ERROR"</formula>
    </cfRule>
    <cfRule type="cellIs" dxfId="771" priority="26" stopIfTrue="1" operator="equal">
      <formula>"OK"</formula>
    </cfRule>
    <cfRule type="cellIs" dxfId="770" priority="27" stopIfTrue="1" operator="equal">
      <formula>"WARNING"</formula>
    </cfRule>
  </conditionalFormatting>
  <conditionalFormatting sqref="I32:I33">
    <cfRule type="cellIs" dxfId="769" priority="1" stopIfTrue="1" operator="equal">
      <formula>"ERROR"</formula>
    </cfRule>
    <cfRule type="cellIs" dxfId="768" priority="2" stopIfTrue="1" operator="equal">
      <formula>"OK"</formula>
    </cfRule>
    <cfRule type="cellIs" dxfId="767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AB1273"/>
  <sheetViews>
    <sheetView showGridLines="0" topLeftCell="R2" zoomScale="85" zoomScaleNormal="85" workbookViewId="0">
      <selection activeCell="Z26" sqref="Z26"/>
    </sheetView>
  </sheetViews>
  <sheetFormatPr defaultColWidth="14.75" defaultRowHeight="1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</cols>
  <sheetData>
    <row r="1" spans="1:28">
      <c r="B1" s="399" t="s">
        <v>372</v>
      </c>
    </row>
    <row r="2" spans="1:28" ht="26.25">
      <c r="B2" s="2" t="s">
        <v>377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</row>
    <row r="4" spans="1:28">
      <c r="B4" s="50" t="s">
        <v>139</v>
      </c>
      <c r="C4" s="291" t="str" cm="1">
        <f t="array" aca="1" ref="C4" ca="1">_xll.d.TestUtils_And(D7:D7)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</row>
    <row r="5" spans="1:28">
      <c r="G5" s="289"/>
      <c r="H5" s="289"/>
      <c r="I5" s="289"/>
    </row>
    <row r="6" spans="1:28">
      <c r="B6" s="188" t="s">
        <v>196</v>
      </c>
      <c r="C6" s="188"/>
      <c r="D6" s="189" t="s">
        <v>10</v>
      </c>
      <c r="E6" s="486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</row>
    <row r="7" spans="1:28">
      <c r="B7" s="406" t="s">
        <v>379</v>
      </c>
      <c r="C7" s="406"/>
      <c r="D7" s="291" t="str">
        <f ca="1">C12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</row>
    <row r="8" spans="1:28">
      <c r="G8" s="289"/>
      <c r="H8" s="289"/>
      <c r="I8" s="289"/>
    </row>
    <row r="9" spans="1:28">
      <c r="G9" s="289"/>
      <c r="H9" s="289"/>
      <c r="I9" s="289"/>
    </row>
    <row r="10" spans="1:28" s="289" customFormat="1" ht="18.75">
      <c r="A10"/>
      <c r="B10" s="3" t="s">
        <v>379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</row>
    <row r="12" spans="1:28" s="289" customFormat="1">
      <c r="A12"/>
      <c r="B12" s="50" t="s">
        <v>139</v>
      </c>
      <c r="C12" s="291" t="str" cm="1">
        <f t="array" aca="1" ref="C12" ca="1">_xll.d.TestUtils_And(H17,S17,Z17)</f>
        <v>Ok</v>
      </c>
    </row>
    <row r="13" spans="1:28">
      <c r="M13" s="408"/>
      <c r="N13" s="408"/>
      <c r="O13" s="408"/>
      <c r="P13" s="408"/>
      <c r="Q13" s="408"/>
      <c r="R13" s="408"/>
      <c r="S13" s="408"/>
      <c r="T13" s="408"/>
      <c r="U13" s="408"/>
      <c r="V13" s="408"/>
      <c r="W13" s="408"/>
      <c r="X13" s="408"/>
      <c r="Y13" s="408"/>
      <c r="Z13" s="408"/>
      <c r="AA13" s="408"/>
      <c r="AB13" s="408"/>
    </row>
    <row r="14" spans="1:28" ht="15.75">
      <c r="B14" s="4" t="s">
        <v>396</v>
      </c>
      <c r="C14" s="298"/>
      <c r="D14" s="298"/>
      <c r="E14" s="298"/>
      <c r="F14" s="298"/>
      <c r="G14" s="298"/>
      <c r="H14" s="298"/>
      <c r="I14" s="408"/>
      <c r="J14" s="4" t="s">
        <v>397</v>
      </c>
      <c r="K14" s="4"/>
      <c r="L14" s="4"/>
      <c r="M14" s="408"/>
      <c r="N14" s="4" t="s">
        <v>400</v>
      </c>
      <c r="O14" s="298"/>
      <c r="P14" s="298"/>
      <c r="Q14" s="298"/>
      <c r="R14" s="298"/>
      <c r="S14" s="298"/>
      <c r="T14" s="408"/>
      <c r="U14" s="4" t="s">
        <v>401</v>
      </c>
      <c r="V14" s="298"/>
      <c r="W14" s="298"/>
      <c r="X14" s="298"/>
      <c r="Y14" s="298"/>
      <c r="Z14" s="298"/>
      <c r="AA14" s="408"/>
      <c r="AB14" s="408"/>
    </row>
    <row r="15" spans="1:28">
      <c r="B15" s="289"/>
      <c r="C15" s="289"/>
      <c r="D15" s="289"/>
      <c r="E15" s="289"/>
      <c r="F15" s="289"/>
      <c r="G15" s="849" t="s">
        <v>650</v>
      </c>
      <c r="I15" s="408"/>
      <c r="J15" s="408"/>
      <c r="K15" s="408"/>
      <c r="L15" s="408"/>
      <c r="M15" s="408"/>
      <c r="N15" s="289"/>
      <c r="O15" s="289"/>
      <c r="P15" s="289"/>
      <c r="Q15" s="289"/>
      <c r="R15" s="407"/>
      <c r="S15" s="408"/>
      <c r="T15" s="408"/>
      <c r="U15" s="289"/>
      <c r="V15" s="289"/>
      <c r="W15" s="289"/>
      <c r="X15" s="289"/>
      <c r="Y15" s="407"/>
      <c r="Z15" s="408"/>
      <c r="AA15" s="408"/>
      <c r="AB15" s="408"/>
    </row>
    <row r="16" spans="1:28">
      <c r="B16" s="120" t="s">
        <v>212</v>
      </c>
      <c r="C16" s="121"/>
      <c r="E16" s="120" t="s">
        <v>113</v>
      </c>
      <c r="F16" s="120" t="s">
        <v>389</v>
      </c>
      <c r="G16" s="120" t="s">
        <v>214</v>
      </c>
      <c r="H16" s="120" t="s">
        <v>67</v>
      </c>
      <c r="I16" s="408"/>
      <c r="J16" s="429" t="s">
        <v>554</v>
      </c>
      <c r="K16" s="408"/>
      <c r="L16" s="408"/>
      <c r="M16" s="408"/>
      <c r="N16" s="120" t="s">
        <v>212</v>
      </c>
      <c r="O16" s="121"/>
      <c r="P16" s="408"/>
      <c r="Q16" s="120" t="s">
        <v>113</v>
      </c>
      <c r="R16" s="120" t="s">
        <v>214</v>
      </c>
      <c r="S16" s="120" t="s">
        <v>67</v>
      </c>
      <c r="T16" s="408"/>
      <c r="U16" s="120" t="s">
        <v>212</v>
      </c>
      <c r="V16" s="121"/>
      <c r="W16" s="408"/>
      <c r="X16" s="120" t="s">
        <v>113</v>
      </c>
      <c r="Y16" s="120" t="s">
        <v>214</v>
      </c>
      <c r="Z16" s="120" t="s">
        <v>67</v>
      </c>
      <c r="AA16" s="408"/>
      <c r="AB16" s="408"/>
    </row>
    <row r="17" spans="2:28">
      <c r="B17" s="122" t="s">
        <v>381</v>
      </c>
      <c r="C17" s="292">
        <v>44104</v>
      </c>
      <c r="E17" s="421" cm="1">
        <f t="array" aca="1" ref="E17" ca="1">_xll.d.Equity_Volatility(C17,C18,C19,C20,C21,C25:C1273,D25:D1273)</f>
        <v>0.27437833409372492</v>
      </c>
      <c r="F17" s="422">
        <v>0.27437800000000001</v>
      </c>
      <c r="G17" s="422">
        <f ca="1">STDEV(F26:F1273)*SQRT(C19)</f>
        <v>0.27437833409372464</v>
      </c>
      <c r="H17" s="301" t="str" cm="1">
        <f t="array" aca="1" ref="H17" ca="1">_xll.d.TestUtils_Equal(E17,F17,0.00001)</f>
        <v>Ok</v>
      </c>
      <c r="I17" s="408"/>
      <c r="J17" s="429" t="s">
        <v>555</v>
      </c>
      <c r="K17" s="408"/>
      <c r="L17" s="408"/>
      <c r="M17" s="408"/>
      <c r="N17" s="122" t="s">
        <v>381</v>
      </c>
      <c r="O17" s="292">
        <v>44104</v>
      </c>
      <c r="P17" s="408"/>
      <c r="Q17" s="421" t="str" cm="1">
        <f t="array" aca="1" ref="Q17" ca="1">_xll.d.Equity_Volatility(O17,O18,O19,O20,O21,C25:C1273,D25:D1273)</f>
        <v>#∂Excel Error: Invalid weighting style: ASDF</v>
      </c>
      <c r="R17" s="422" t="s">
        <v>399</v>
      </c>
      <c r="S17" s="301" t="str" cm="1">
        <f t="array" aca="1" ref="S17" ca="1">_xll.d.TestUtils_Equal(Q17,R17)</f>
        <v>Ok</v>
      </c>
      <c r="T17" s="408"/>
      <c r="U17" s="122" t="s">
        <v>381</v>
      </c>
      <c r="V17" s="292">
        <v>44104</v>
      </c>
      <c r="W17" s="408"/>
      <c r="X17" s="421" t="str" cm="1">
        <f t="array" aca="1" ref="X17" ca="1">_xll.d.Equity_Volatility(V17,V18,V19,V20,V21,C25:C1273,D26:D1273)</f>
        <v>#∂Excel Error: Date array and stock price array have different sizes.</v>
      </c>
      <c r="Y17" s="422" t="s">
        <v>402</v>
      </c>
      <c r="Z17" s="301" t="str" cm="1">
        <f t="array" aca="1" ref="Z17" ca="1">_xll.d.TestUtils_Equal(X17,Y17)</f>
        <v>Ok</v>
      </c>
      <c r="AA17" s="408"/>
      <c r="AB17" s="408"/>
    </row>
    <row r="18" spans="2:28">
      <c r="B18" s="124" t="s">
        <v>382</v>
      </c>
      <c r="C18" s="304">
        <v>45930</v>
      </c>
      <c r="E18" s="289"/>
      <c r="F18" s="849" t="s">
        <v>642</v>
      </c>
      <c r="I18" s="408"/>
      <c r="J18" s="408"/>
      <c r="K18" s="408"/>
      <c r="L18" s="408"/>
      <c r="M18" s="408"/>
      <c r="N18" s="124" t="s">
        <v>382</v>
      </c>
      <c r="O18" s="304">
        <v>45930</v>
      </c>
      <c r="P18" s="408"/>
      <c r="Q18" s="289"/>
      <c r="R18" s="408"/>
      <c r="S18" s="408"/>
      <c r="T18" s="408"/>
      <c r="U18" s="124" t="s">
        <v>382</v>
      </c>
      <c r="V18" s="304">
        <v>45930</v>
      </c>
      <c r="W18" s="408"/>
      <c r="X18" s="289"/>
      <c r="Y18" s="408"/>
      <c r="Z18" s="408"/>
      <c r="AA18" s="408"/>
      <c r="AB18" s="408"/>
    </row>
    <row r="19" spans="2:28">
      <c r="B19" s="124" t="s">
        <v>390</v>
      </c>
      <c r="C19" s="427">
        <f ca="1">ROUND(COUNT(C25:C1273)*365/(C1273-C25),0)</f>
        <v>250</v>
      </c>
      <c r="F19" s="582"/>
      <c r="J19" s="408"/>
      <c r="K19" s="408"/>
      <c r="L19" s="408"/>
      <c r="M19" s="408"/>
      <c r="N19" s="124" t="s">
        <v>390</v>
      </c>
      <c r="O19" s="427">
        <f ca="1">C19</f>
        <v>250</v>
      </c>
      <c r="P19" s="408"/>
      <c r="Q19" s="408"/>
      <c r="R19" s="408"/>
      <c r="S19" s="408"/>
      <c r="T19" s="408"/>
      <c r="U19" s="124" t="s">
        <v>390</v>
      </c>
      <c r="V19" s="427">
        <f ca="1">C19</f>
        <v>250</v>
      </c>
      <c r="W19" s="408"/>
      <c r="X19" s="408"/>
      <c r="Y19" s="408"/>
      <c r="Z19" s="408"/>
      <c r="AA19" s="408"/>
      <c r="AB19" s="408"/>
    </row>
    <row r="20" spans="2:28" s="408" customFormat="1">
      <c r="B20" s="124" t="s">
        <v>391</v>
      </c>
      <c r="C20" s="304" t="s">
        <v>412</v>
      </c>
      <c r="N20" s="124" t="s">
        <v>391</v>
      </c>
      <c r="O20" s="304" t="s">
        <v>398</v>
      </c>
      <c r="U20" s="124" t="s">
        <v>391</v>
      </c>
      <c r="V20" s="304" t="s">
        <v>392</v>
      </c>
    </row>
    <row r="21" spans="2:28" s="408" customFormat="1">
      <c r="B21" s="423" t="s">
        <v>380</v>
      </c>
      <c r="C21" s="424">
        <v>0.97</v>
      </c>
      <c r="N21" s="423" t="s">
        <v>380</v>
      </c>
      <c r="O21" s="424">
        <v>0.97</v>
      </c>
      <c r="U21" s="423" t="s">
        <v>380</v>
      </c>
      <c r="V21" s="424">
        <v>0.97</v>
      </c>
    </row>
    <row r="22" spans="2:28" s="408" customFormat="1"/>
    <row r="23" spans="2:28" s="408" customFormat="1"/>
    <row r="24" spans="2:28">
      <c r="B24" s="409" t="s">
        <v>383</v>
      </c>
      <c r="C24" s="410" t="s">
        <v>384</v>
      </c>
      <c r="D24" s="410" t="s">
        <v>385</v>
      </c>
      <c r="E24" s="410" t="s">
        <v>386</v>
      </c>
      <c r="F24" s="410" t="s">
        <v>387</v>
      </c>
      <c r="G24" s="408"/>
      <c r="J24" s="408"/>
      <c r="K24" s="408"/>
      <c r="L24" s="408"/>
      <c r="M24" s="408"/>
    </row>
    <row r="25" spans="2:28">
      <c r="B25" s="411" t="s">
        <v>388</v>
      </c>
      <c r="C25" s="415">
        <v>42278</v>
      </c>
      <c r="D25" s="412">
        <v>18750</v>
      </c>
      <c r="E25" s="417">
        <v>558349</v>
      </c>
      <c r="F25" s="425"/>
      <c r="G25" s="408"/>
      <c r="J25" s="408"/>
      <c r="K25" s="408"/>
      <c r="L25" s="408"/>
      <c r="M25" s="408"/>
    </row>
    <row r="26" spans="2:28">
      <c r="B26" s="411" t="s">
        <v>388</v>
      </c>
      <c r="C26" s="415">
        <v>42279</v>
      </c>
      <c r="D26" s="412">
        <v>18575</v>
      </c>
      <c r="E26" s="417">
        <v>194391</v>
      </c>
      <c r="F26" s="425">
        <v>-9.3771618125969309E-3</v>
      </c>
      <c r="G26" s="408"/>
      <c r="J26" s="408"/>
      <c r="K26" s="408"/>
      <c r="L26" s="408"/>
      <c r="M26" s="408"/>
    </row>
    <row r="27" spans="2:28">
      <c r="B27" s="411" t="s">
        <v>388</v>
      </c>
      <c r="C27" s="415">
        <v>42282</v>
      </c>
      <c r="D27" s="412">
        <v>19005</v>
      </c>
      <c r="E27" s="417">
        <v>493407</v>
      </c>
      <c r="F27" s="425">
        <v>2.2885511837389235E-2</v>
      </c>
      <c r="G27" s="408"/>
      <c r="J27" s="408"/>
      <c r="K27" s="408"/>
      <c r="L27" s="408"/>
      <c r="M27" s="408"/>
    </row>
    <row r="28" spans="2:28">
      <c r="B28" s="411" t="s">
        <v>388</v>
      </c>
      <c r="C28" s="415">
        <v>42283</v>
      </c>
      <c r="D28" s="412">
        <v>19168</v>
      </c>
      <c r="E28" s="417">
        <v>238782</v>
      </c>
      <c r="F28" s="425">
        <v>8.5401194918268853E-3</v>
      </c>
      <c r="G28" s="408"/>
      <c r="J28" s="408"/>
      <c r="K28" s="408"/>
      <c r="L28" s="408"/>
      <c r="M28" s="408"/>
    </row>
    <row r="29" spans="2:28">
      <c r="B29" s="411" t="s">
        <v>388</v>
      </c>
      <c r="C29" s="415">
        <v>42284</v>
      </c>
      <c r="D29" s="412">
        <v>19389</v>
      </c>
      <c r="E29" s="417">
        <v>635104</v>
      </c>
      <c r="F29" s="425">
        <v>1.1463673015829247E-2</v>
      </c>
      <c r="G29" s="408"/>
      <c r="J29" s="408"/>
      <c r="K29" s="408"/>
      <c r="L29" s="408"/>
      <c r="M29" s="408"/>
    </row>
    <row r="30" spans="2:28">
      <c r="B30" s="411" t="s">
        <v>388</v>
      </c>
      <c r="C30" s="415">
        <v>42285</v>
      </c>
      <c r="D30" s="412">
        <v>19117</v>
      </c>
      <c r="E30" s="417">
        <v>554222</v>
      </c>
      <c r="F30" s="425">
        <v>-1.4127903401986788E-2</v>
      </c>
      <c r="G30" s="408"/>
      <c r="J30" s="408"/>
      <c r="K30" s="408"/>
      <c r="L30" s="408"/>
      <c r="M30" s="408"/>
    </row>
    <row r="31" spans="2:28">
      <c r="B31" s="411" t="s">
        <v>388</v>
      </c>
      <c r="C31" s="415">
        <v>42286</v>
      </c>
      <c r="D31" s="412">
        <v>19418</v>
      </c>
      <c r="E31" s="417">
        <v>878356</v>
      </c>
      <c r="F31" s="425">
        <v>1.5622479401071887E-2</v>
      </c>
      <c r="G31" s="408"/>
      <c r="J31" s="408"/>
      <c r="K31" s="408"/>
      <c r="L31" s="408"/>
      <c r="M31" s="408"/>
    </row>
    <row r="32" spans="2:28">
      <c r="B32" s="411" t="s">
        <v>388</v>
      </c>
      <c r="C32" s="415">
        <v>42289</v>
      </c>
      <c r="D32" s="412">
        <v>19314</v>
      </c>
      <c r="E32" s="417">
        <v>467609</v>
      </c>
      <c r="F32" s="425">
        <v>-5.37024940322704E-3</v>
      </c>
      <c r="G32" s="408"/>
      <c r="J32" s="408"/>
      <c r="K32" s="408"/>
      <c r="L32" s="408"/>
      <c r="M32" s="408"/>
    </row>
    <row r="33" spans="2:18">
      <c r="B33" s="411" t="s">
        <v>388</v>
      </c>
      <c r="C33" s="415">
        <v>42290</v>
      </c>
      <c r="D33" s="412">
        <v>19163</v>
      </c>
      <c r="E33" s="417">
        <v>393514</v>
      </c>
      <c r="F33" s="425">
        <v>-7.8488850583679822E-3</v>
      </c>
      <c r="G33" s="408"/>
      <c r="J33" s="408"/>
      <c r="K33" s="408"/>
      <c r="L33" s="408"/>
      <c r="M33" s="408"/>
    </row>
    <row r="34" spans="2:18">
      <c r="B34" s="411" t="s">
        <v>388</v>
      </c>
      <c r="C34" s="415">
        <v>42291</v>
      </c>
      <c r="D34" s="412">
        <v>19183</v>
      </c>
      <c r="E34" s="417">
        <v>383229</v>
      </c>
      <c r="F34" s="425">
        <v>1.0431336678427205E-3</v>
      </c>
      <c r="G34" s="408"/>
      <c r="J34" s="408"/>
      <c r="K34" s="408"/>
      <c r="L34" s="408"/>
      <c r="M34" s="408"/>
    </row>
    <row r="35" spans="2:18">
      <c r="B35" s="411" t="s">
        <v>388</v>
      </c>
      <c r="C35" s="415">
        <v>42292</v>
      </c>
      <c r="D35" s="412">
        <v>19209</v>
      </c>
      <c r="E35" s="417">
        <v>266297</v>
      </c>
      <c r="F35" s="425">
        <v>1.3544490505739543E-3</v>
      </c>
      <c r="G35" s="408"/>
      <c r="J35" s="408"/>
      <c r="K35" s="408"/>
      <c r="L35" s="408"/>
      <c r="M35" s="408"/>
    </row>
    <row r="36" spans="2:18">
      <c r="B36" s="411" t="s">
        <v>388</v>
      </c>
      <c r="C36" s="415">
        <v>42293</v>
      </c>
      <c r="D36" s="412">
        <v>19060</v>
      </c>
      <c r="E36" s="417">
        <v>994705</v>
      </c>
      <c r="F36" s="425">
        <v>-7.7870209787187887E-3</v>
      </c>
      <c r="G36" s="408"/>
      <c r="J36" s="408"/>
      <c r="K36" s="408"/>
      <c r="L36" s="408"/>
      <c r="M36" s="408"/>
    </row>
    <row r="37" spans="2:18">
      <c r="B37" s="411" t="s">
        <v>388</v>
      </c>
      <c r="C37" s="415">
        <v>42296</v>
      </c>
      <c r="D37" s="412">
        <v>19200</v>
      </c>
      <c r="E37" s="417">
        <v>599328</v>
      </c>
      <c r="F37" s="425">
        <v>7.3183808076797011E-3</v>
      </c>
      <c r="G37" s="408"/>
      <c r="J37" s="408"/>
      <c r="K37" s="408"/>
      <c r="L37" s="408"/>
      <c r="M37" s="408"/>
    </row>
    <row r="38" spans="2:18">
      <c r="B38" s="411" t="s">
        <v>388</v>
      </c>
      <c r="C38" s="415">
        <v>42297</v>
      </c>
      <c r="D38" s="412">
        <v>19315</v>
      </c>
      <c r="E38" s="417">
        <v>1247516</v>
      </c>
      <c r="F38" s="425">
        <v>5.9717170845088674E-3</v>
      </c>
      <c r="G38" s="408"/>
      <c r="J38" s="408"/>
      <c r="K38" s="408"/>
      <c r="L38" s="408"/>
      <c r="M38" s="408"/>
      <c r="N38" s="408"/>
      <c r="O38" s="408"/>
      <c r="P38" s="408"/>
      <c r="Q38" s="408"/>
      <c r="R38" s="408"/>
    </row>
    <row r="39" spans="2:18">
      <c r="B39" s="411" t="s">
        <v>388</v>
      </c>
      <c r="C39" s="415">
        <v>42298</v>
      </c>
      <c r="D39" s="412">
        <v>19325</v>
      </c>
      <c r="E39" s="417">
        <v>420391</v>
      </c>
      <c r="F39" s="425">
        <v>5.1759835524104207E-4</v>
      </c>
      <c r="G39" s="408"/>
      <c r="J39" s="408"/>
      <c r="K39" s="408"/>
      <c r="L39" s="408"/>
      <c r="M39" s="408"/>
      <c r="N39" s="408"/>
      <c r="O39" s="408"/>
      <c r="P39" s="408"/>
      <c r="Q39" s="408"/>
      <c r="R39" s="408"/>
    </row>
    <row r="40" spans="2:18">
      <c r="B40" s="411" t="s">
        <v>388</v>
      </c>
      <c r="C40" s="415">
        <v>42299</v>
      </c>
      <c r="D40" s="412">
        <v>19712</v>
      </c>
      <c r="E40" s="417">
        <v>532987</v>
      </c>
      <c r="F40" s="425">
        <v>1.9827992877623535E-2</v>
      </c>
      <c r="G40" s="408"/>
      <c r="J40" s="408"/>
      <c r="K40" s="408"/>
      <c r="L40" s="408"/>
      <c r="M40" s="408"/>
      <c r="N40" s="408"/>
      <c r="O40" s="408"/>
      <c r="P40" s="408"/>
      <c r="Q40" s="408"/>
      <c r="R40" s="408"/>
    </row>
    <row r="41" spans="2:18">
      <c r="B41" s="411" t="s">
        <v>388</v>
      </c>
      <c r="C41" s="415">
        <v>42300</v>
      </c>
      <c r="D41" s="412">
        <v>19893</v>
      </c>
      <c r="E41" s="417">
        <v>211943</v>
      </c>
      <c r="F41" s="425">
        <v>9.140323703730982E-3</v>
      </c>
      <c r="G41" s="408"/>
      <c r="J41" s="408"/>
      <c r="K41" s="408"/>
      <c r="L41" s="408"/>
      <c r="M41" s="408"/>
      <c r="N41" s="408"/>
      <c r="O41" s="408"/>
      <c r="P41" s="408"/>
      <c r="Q41" s="408"/>
      <c r="R41" s="408"/>
    </row>
    <row r="42" spans="2:18">
      <c r="B42" s="411" t="s">
        <v>388</v>
      </c>
      <c r="C42" s="415">
        <v>42303</v>
      </c>
      <c r="D42" s="412">
        <v>20146</v>
      </c>
      <c r="E42" s="417">
        <v>410901</v>
      </c>
      <c r="F42" s="425">
        <v>1.2637846465649158E-2</v>
      </c>
      <c r="G42" s="408"/>
      <c r="J42" s="408"/>
      <c r="K42" s="408"/>
      <c r="L42" s="408"/>
      <c r="M42" s="408"/>
      <c r="N42" s="408"/>
      <c r="O42" s="408"/>
      <c r="P42" s="408"/>
      <c r="Q42" s="408"/>
      <c r="R42" s="408"/>
    </row>
    <row r="43" spans="2:18">
      <c r="B43" s="411" t="s">
        <v>388</v>
      </c>
      <c r="C43" s="415">
        <v>42304</v>
      </c>
      <c r="D43" s="412">
        <v>20022</v>
      </c>
      <c r="E43" s="417">
        <v>319921</v>
      </c>
      <c r="F43" s="425">
        <v>-6.1740885231974171E-3</v>
      </c>
      <c r="G43" s="408"/>
      <c r="J43" s="408"/>
      <c r="K43" s="408"/>
      <c r="L43" s="408"/>
      <c r="M43" s="408"/>
      <c r="N43" s="408"/>
      <c r="O43" s="408"/>
      <c r="P43" s="408"/>
      <c r="Q43" s="408"/>
      <c r="R43" s="408"/>
    </row>
    <row r="44" spans="2:18">
      <c r="B44" s="411" t="s">
        <v>388</v>
      </c>
      <c r="C44" s="415">
        <v>42305</v>
      </c>
      <c r="D44" s="412">
        <v>20183</v>
      </c>
      <c r="E44" s="417">
        <v>345157</v>
      </c>
      <c r="F44" s="425">
        <v>8.0089969206899835E-3</v>
      </c>
      <c r="G44" s="408"/>
      <c r="J44" s="408"/>
      <c r="K44" s="408"/>
      <c r="L44" s="408"/>
      <c r="M44" s="408"/>
      <c r="N44" s="408"/>
      <c r="O44" s="408"/>
      <c r="P44" s="408"/>
      <c r="Q44" s="408"/>
      <c r="R44" s="408"/>
    </row>
    <row r="45" spans="2:18">
      <c r="B45" s="411" t="s">
        <v>388</v>
      </c>
      <c r="C45" s="415">
        <v>42306</v>
      </c>
      <c r="D45" s="412">
        <v>19855</v>
      </c>
      <c r="E45" s="417">
        <v>307561</v>
      </c>
      <c r="F45" s="425">
        <v>-1.6384801334767177E-2</v>
      </c>
      <c r="G45" s="408"/>
    </row>
    <row r="46" spans="2:18">
      <c r="B46" s="411" t="s">
        <v>388</v>
      </c>
      <c r="C46" s="415">
        <v>42307</v>
      </c>
      <c r="D46" s="412">
        <v>19884</v>
      </c>
      <c r="E46" s="417">
        <v>359706</v>
      </c>
      <c r="F46" s="425">
        <v>1.4595236492114623E-3</v>
      </c>
      <c r="G46" s="408"/>
    </row>
    <row r="47" spans="2:18">
      <c r="B47" s="411" t="s">
        <v>388</v>
      </c>
      <c r="C47" s="415">
        <v>42310</v>
      </c>
      <c r="D47" s="412">
        <v>20239</v>
      </c>
      <c r="E47" s="417">
        <v>391481</v>
      </c>
      <c r="F47" s="425">
        <v>1.769604785164253E-2</v>
      </c>
      <c r="G47" s="408"/>
    </row>
    <row r="48" spans="2:18">
      <c r="B48" s="411" t="s">
        <v>388</v>
      </c>
      <c r="C48" s="415">
        <v>42311</v>
      </c>
      <c r="D48" s="412">
        <v>20210</v>
      </c>
      <c r="E48" s="417">
        <v>384567</v>
      </c>
      <c r="F48" s="425">
        <v>-1.4339046685389004E-3</v>
      </c>
      <c r="G48" s="408"/>
    </row>
    <row r="49" spans="2:7">
      <c r="B49" s="411" t="s">
        <v>388</v>
      </c>
      <c r="C49" s="415">
        <v>42312</v>
      </c>
      <c r="D49" s="412">
        <v>20460</v>
      </c>
      <c r="E49" s="417">
        <v>641572</v>
      </c>
      <c r="F49" s="425">
        <v>1.2294229107950709E-2</v>
      </c>
      <c r="G49" s="408"/>
    </row>
    <row r="50" spans="2:7">
      <c r="B50" s="411" t="s">
        <v>388</v>
      </c>
      <c r="C50" s="415">
        <v>42313</v>
      </c>
      <c r="D50" s="412">
        <v>20400</v>
      </c>
      <c r="E50" s="417">
        <v>1470654</v>
      </c>
      <c r="F50" s="425">
        <v>-2.9368596733097135E-3</v>
      </c>
      <c r="G50" s="408"/>
    </row>
    <row r="51" spans="2:7">
      <c r="B51" s="411" t="s">
        <v>388</v>
      </c>
      <c r="C51" s="415">
        <v>42314</v>
      </c>
      <c r="D51" s="412">
        <v>19876</v>
      </c>
      <c r="E51" s="417">
        <v>226669</v>
      </c>
      <c r="F51" s="425">
        <v>-2.6021927110096515E-2</v>
      </c>
      <c r="G51" s="408"/>
    </row>
    <row r="52" spans="2:7">
      <c r="B52" s="411" t="s">
        <v>388</v>
      </c>
      <c r="C52" s="415">
        <v>42317</v>
      </c>
      <c r="D52" s="412">
        <v>20044</v>
      </c>
      <c r="E52" s="417">
        <v>427324</v>
      </c>
      <c r="F52" s="425">
        <v>8.4168833574041688E-3</v>
      </c>
      <c r="G52" s="408"/>
    </row>
    <row r="53" spans="2:7">
      <c r="B53" s="411" t="s">
        <v>388</v>
      </c>
      <c r="C53" s="415">
        <v>42318</v>
      </c>
      <c r="D53" s="412">
        <v>19538</v>
      </c>
      <c r="E53" s="417">
        <v>319303</v>
      </c>
      <c r="F53" s="425">
        <v>-2.5568569866727429E-2</v>
      </c>
      <c r="G53" s="408"/>
    </row>
    <row r="54" spans="2:7">
      <c r="B54" s="411" t="s">
        <v>388</v>
      </c>
      <c r="C54" s="415">
        <v>42319</v>
      </c>
      <c r="D54" s="412">
        <v>18950</v>
      </c>
      <c r="E54" s="417">
        <v>761159</v>
      </c>
      <c r="F54" s="425">
        <v>-3.0557355702315464E-2</v>
      </c>
      <c r="G54" s="408"/>
    </row>
    <row r="55" spans="2:7">
      <c r="B55" s="411" t="s">
        <v>388</v>
      </c>
      <c r="C55" s="415">
        <v>42320</v>
      </c>
      <c r="D55" s="412">
        <v>19300</v>
      </c>
      <c r="E55" s="417">
        <v>1880367</v>
      </c>
      <c r="F55" s="425">
        <v>1.8301164382404443E-2</v>
      </c>
      <c r="G55" s="408"/>
    </row>
    <row r="56" spans="2:7">
      <c r="B56" s="411" t="s">
        <v>388</v>
      </c>
      <c r="C56" s="415">
        <v>42321</v>
      </c>
      <c r="D56" s="412">
        <v>19099</v>
      </c>
      <c r="E56" s="417">
        <v>958021</v>
      </c>
      <c r="F56" s="425">
        <v>-1.0469118249822353E-2</v>
      </c>
      <c r="G56" s="408"/>
    </row>
    <row r="57" spans="2:7">
      <c r="B57" s="411" t="s">
        <v>388</v>
      </c>
      <c r="C57" s="415">
        <v>42324</v>
      </c>
      <c r="D57" s="412">
        <v>18900</v>
      </c>
      <c r="E57" s="417">
        <v>682562</v>
      </c>
      <c r="F57" s="425">
        <v>-1.0474055595420747E-2</v>
      </c>
      <c r="G57" s="408"/>
    </row>
    <row r="58" spans="2:7">
      <c r="B58" s="411" t="s">
        <v>388</v>
      </c>
      <c r="C58" s="415">
        <v>42325</v>
      </c>
      <c r="D58" s="412">
        <v>19140</v>
      </c>
      <c r="E58" s="417">
        <v>627249</v>
      </c>
      <c r="F58" s="425">
        <v>1.2618463959211464E-2</v>
      </c>
      <c r="G58" s="408"/>
    </row>
    <row r="59" spans="2:7">
      <c r="B59" s="411" t="s">
        <v>388</v>
      </c>
      <c r="C59" s="415">
        <v>42326</v>
      </c>
      <c r="D59" s="412">
        <v>18600</v>
      </c>
      <c r="E59" s="417">
        <v>534537</v>
      </c>
      <c r="F59" s="425">
        <v>-2.8618805305652677E-2</v>
      </c>
      <c r="G59" s="408"/>
    </row>
    <row r="60" spans="2:7">
      <c r="B60" s="411" t="s">
        <v>388</v>
      </c>
      <c r="C60" s="415">
        <v>42327</v>
      </c>
      <c r="D60" s="412">
        <v>19000</v>
      </c>
      <c r="E60" s="417">
        <v>812986</v>
      </c>
      <c r="F60" s="425">
        <v>2.1277398447284879E-2</v>
      </c>
      <c r="G60" s="408"/>
    </row>
    <row r="61" spans="2:7">
      <c r="B61" s="411" t="s">
        <v>388</v>
      </c>
      <c r="C61" s="415">
        <v>42328</v>
      </c>
      <c r="D61" s="412">
        <v>19040</v>
      </c>
      <c r="E61" s="417">
        <v>635647</v>
      </c>
      <c r="F61" s="425">
        <v>2.10305019677889E-3</v>
      </c>
      <c r="G61" s="408"/>
    </row>
    <row r="62" spans="2:7">
      <c r="B62" s="411" t="s">
        <v>388</v>
      </c>
      <c r="C62" s="415">
        <v>42331</v>
      </c>
      <c r="D62" s="412">
        <v>18900</v>
      </c>
      <c r="E62" s="417">
        <v>378561</v>
      </c>
      <c r="F62" s="425">
        <v>-7.3801072976225337E-3</v>
      </c>
      <c r="G62" s="408"/>
    </row>
    <row r="63" spans="2:7">
      <c r="B63" s="411" t="s">
        <v>388</v>
      </c>
      <c r="C63" s="415">
        <v>42332</v>
      </c>
      <c r="D63" s="412">
        <v>19002</v>
      </c>
      <c r="E63" s="417">
        <v>687659</v>
      </c>
      <c r="F63" s="425">
        <v>5.382314718960942E-3</v>
      </c>
      <c r="G63" s="408"/>
    </row>
    <row r="64" spans="2:7">
      <c r="B64" s="411" t="s">
        <v>388</v>
      </c>
      <c r="C64" s="415">
        <v>42333</v>
      </c>
      <c r="D64" s="412">
        <v>18703</v>
      </c>
      <c r="E64" s="417">
        <v>486181</v>
      </c>
      <c r="F64" s="425">
        <v>-1.5860297983694722E-2</v>
      </c>
      <c r="G64" s="408"/>
    </row>
    <row r="65" spans="2:7">
      <c r="B65" s="411" t="s">
        <v>388</v>
      </c>
      <c r="C65" s="415">
        <v>42334</v>
      </c>
      <c r="D65" s="412">
        <v>18945</v>
      </c>
      <c r="E65" s="417">
        <v>360964</v>
      </c>
      <c r="F65" s="425">
        <v>1.2856105669701027E-2</v>
      </c>
      <c r="G65" s="408"/>
    </row>
    <row r="66" spans="2:7">
      <c r="B66" s="411" t="s">
        <v>388</v>
      </c>
      <c r="C66" s="415">
        <v>42335</v>
      </c>
      <c r="D66" s="412">
        <v>19000</v>
      </c>
      <c r="E66" s="417">
        <v>466488</v>
      </c>
      <c r="F66" s="425">
        <v>2.8989346958764452E-3</v>
      </c>
      <c r="G66" s="408"/>
    </row>
    <row r="67" spans="2:7">
      <c r="B67" s="411" t="s">
        <v>388</v>
      </c>
      <c r="C67" s="415">
        <v>42338</v>
      </c>
      <c r="D67" s="412">
        <v>18159</v>
      </c>
      <c r="E67" s="417">
        <v>760169</v>
      </c>
      <c r="F67" s="425">
        <v>-4.5272673588780635E-2</v>
      </c>
      <c r="G67" s="408"/>
    </row>
    <row r="68" spans="2:7">
      <c r="B68" s="411" t="s">
        <v>388</v>
      </c>
      <c r="C68" s="415">
        <v>42339</v>
      </c>
      <c r="D68" s="412">
        <v>18489</v>
      </c>
      <c r="E68" s="417">
        <v>493530</v>
      </c>
      <c r="F68" s="425">
        <v>1.8009655070555998E-2</v>
      </c>
      <c r="G68" s="408"/>
    </row>
    <row r="69" spans="2:7">
      <c r="B69" s="411" t="s">
        <v>388</v>
      </c>
      <c r="C69" s="415">
        <v>42340</v>
      </c>
      <c r="D69" s="412">
        <v>18664</v>
      </c>
      <c r="E69" s="417">
        <v>878695</v>
      </c>
      <c r="F69" s="425">
        <v>9.4205740709131704E-3</v>
      </c>
      <c r="G69" s="408"/>
    </row>
    <row r="70" spans="2:7">
      <c r="B70" s="411" t="s">
        <v>388</v>
      </c>
      <c r="C70" s="415">
        <v>42341</v>
      </c>
      <c r="D70" s="412">
        <v>18051</v>
      </c>
      <c r="E70" s="417">
        <v>746211</v>
      </c>
      <c r="F70" s="425">
        <v>-3.3395449812804463E-2</v>
      </c>
      <c r="G70" s="408"/>
    </row>
    <row r="71" spans="2:7">
      <c r="B71" s="411" t="s">
        <v>388</v>
      </c>
      <c r="C71" s="415">
        <v>42342</v>
      </c>
      <c r="D71" s="412">
        <v>17424</v>
      </c>
      <c r="E71" s="417">
        <v>837458</v>
      </c>
      <c r="F71" s="425">
        <v>-3.5352518715719719E-2</v>
      </c>
      <c r="G71" s="408"/>
    </row>
    <row r="72" spans="2:7">
      <c r="B72" s="411" t="s">
        <v>388</v>
      </c>
      <c r="C72" s="415">
        <v>42345</v>
      </c>
      <c r="D72" s="412">
        <v>17705</v>
      </c>
      <c r="E72" s="417">
        <v>399387</v>
      </c>
      <c r="F72" s="425">
        <v>1.5998519373262392E-2</v>
      </c>
      <c r="G72" s="408"/>
    </row>
    <row r="73" spans="2:7">
      <c r="B73" s="411" t="s">
        <v>388</v>
      </c>
      <c r="C73" s="415">
        <v>42346</v>
      </c>
      <c r="D73" s="412">
        <v>17552</v>
      </c>
      <c r="E73" s="417">
        <v>770754</v>
      </c>
      <c r="F73" s="425">
        <v>-8.6791820309926014E-3</v>
      </c>
      <c r="G73" s="408"/>
    </row>
    <row r="74" spans="2:7">
      <c r="B74" s="411" t="s">
        <v>388</v>
      </c>
      <c r="C74" s="415">
        <v>42347</v>
      </c>
      <c r="D74" s="412">
        <v>18150</v>
      </c>
      <c r="E74" s="417">
        <v>397018</v>
      </c>
      <c r="F74" s="425">
        <v>3.3502657177985271E-2</v>
      </c>
      <c r="G74" s="408"/>
    </row>
    <row r="75" spans="2:7">
      <c r="B75" s="411" t="s">
        <v>388</v>
      </c>
      <c r="C75" s="415">
        <v>42348</v>
      </c>
      <c r="D75" s="412">
        <v>17588</v>
      </c>
      <c r="E75" s="417">
        <v>1096001</v>
      </c>
      <c r="F75" s="425">
        <v>-3.1453709392296095E-2</v>
      </c>
      <c r="G75" s="408"/>
    </row>
    <row r="76" spans="2:7">
      <c r="B76" s="411" t="s">
        <v>388</v>
      </c>
      <c r="C76" s="415">
        <v>42349</v>
      </c>
      <c r="D76" s="412">
        <v>16860</v>
      </c>
      <c r="E76" s="417">
        <v>802549</v>
      </c>
      <c r="F76" s="425">
        <v>-4.2272898744854258E-2</v>
      </c>
      <c r="G76" s="408"/>
    </row>
    <row r="77" spans="2:7">
      <c r="B77" s="411" t="s">
        <v>388</v>
      </c>
      <c r="C77" s="415">
        <v>42352</v>
      </c>
      <c r="D77" s="412">
        <v>17636</v>
      </c>
      <c r="E77" s="417">
        <v>991264</v>
      </c>
      <c r="F77" s="425">
        <v>4.499831492198178E-2</v>
      </c>
      <c r="G77" s="408"/>
    </row>
    <row r="78" spans="2:7">
      <c r="B78" s="411" t="s">
        <v>388</v>
      </c>
      <c r="C78" s="415">
        <v>42353</v>
      </c>
      <c r="D78" s="412">
        <v>18296</v>
      </c>
      <c r="E78" s="417">
        <v>475454</v>
      </c>
      <c r="F78" s="425">
        <v>3.6740189224788854E-2</v>
      </c>
      <c r="G78" s="408"/>
    </row>
    <row r="79" spans="2:7">
      <c r="B79" s="411" t="s">
        <v>388</v>
      </c>
      <c r="C79" s="415">
        <v>42355</v>
      </c>
      <c r="D79" s="412">
        <v>18421</v>
      </c>
      <c r="E79" s="417">
        <v>706577</v>
      </c>
      <c r="F79" s="425">
        <v>6.8088614496000762E-3</v>
      </c>
      <c r="G79" s="408"/>
    </row>
    <row r="80" spans="2:7">
      <c r="B80" s="411" t="s">
        <v>388</v>
      </c>
      <c r="C80" s="415">
        <v>42356</v>
      </c>
      <c r="D80" s="412">
        <v>19005</v>
      </c>
      <c r="E80" s="417">
        <v>869532</v>
      </c>
      <c r="F80" s="425">
        <v>3.1210784271131931E-2</v>
      </c>
      <c r="G80" s="408"/>
    </row>
    <row r="81" spans="2:7">
      <c r="B81" s="411" t="s">
        <v>388</v>
      </c>
      <c r="C81" s="415">
        <v>42359</v>
      </c>
      <c r="D81" s="412">
        <v>18621</v>
      </c>
      <c r="E81" s="417">
        <v>567029</v>
      </c>
      <c r="F81" s="425">
        <v>-2.0412126341586709E-2</v>
      </c>
      <c r="G81" s="408"/>
    </row>
    <row r="82" spans="2:7">
      <c r="B82" s="411" t="s">
        <v>388</v>
      </c>
      <c r="C82" s="415">
        <v>42360</v>
      </c>
      <c r="D82" s="412">
        <v>18628</v>
      </c>
      <c r="E82" s="417">
        <v>236015</v>
      </c>
      <c r="F82" s="425">
        <v>3.7584902050552261E-4</v>
      </c>
      <c r="G82" s="408"/>
    </row>
    <row r="83" spans="2:7">
      <c r="B83" s="411" t="s">
        <v>388</v>
      </c>
      <c r="C83" s="415">
        <v>42361</v>
      </c>
      <c r="D83" s="412">
        <v>18874</v>
      </c>
      <c r="E83" s="417">
        <v>295227</v>
      </c>
      <c r="F83" s="425">
        <v>1.3119488479010481E-2</v>
      </c>
      <c r="G83" s="408"/>
    </row>
    <row r="84" spans="2:7">
      <c r="B84" s="411" t="s">
        <v>388</v>
      </c>
      <c r="C84" s="415">
        <v>42362</v>
      </c>
      <c r="D84" s="412">
        <v>18851</v>
      </c>
      <c r="E84" s="417">
        <v>142680</v>
      </c>
      <c r="F84" s="425">
        <v>-1.219350714366138E-3</v>
      </c>
      <c r="G84" s="408"/>
    </row>
    <row r="85" spans="2:7">
      <c r="B85" s="411" t="s">
        <v>388</v>
      </c>
      <c r="C85" s="415">
        <v>42366</v>
      </c>
      <c r="D85" s="412">
        <v>18962</v>
      </c>
      <c r="E85" s="417">
        <v>101181</v>
      </c>
      <c r="F85" s="425">
        <v>5.8710136109921375E-3</v>
      </c>
      <c r="G85" s="408"/>
    </row>
    <row r="86" spans="2:7">
      <c r="B86" s="411" t="s">
        <v>388</v>
      </c>
      <c r="C86" s="415">
        <v>42367</v>
      </c>
      <c r="D86" s="412">
        <v>18796</v>
      </c>
      <c r="E86" s="417">
        <v>170178</v>
      </c>
      <c r="F86" s="425">
        <v>-8.7928952551981077E-3</v>
      </c>
      <c r="G86" s="408"/>
    </row>
    <row r="87" spans="2:7">
      <c r="B87" s="411" t="s">
        <v>388</v>
      </c>
      <c r="C87" s="415">
        <v>42368</v>
      </c>
      <c r="D87" s="412">
        <v>18324</v>
      </c>
      <c r="E87" s="417">
        <v>121000</v>
      </c>
      <c r="F87" s="425">
        <v>-2.5432405216073584E-2</v>
      </c>
      <c r="G87" s="408"/>
    </row>
    <row r="88" spans="2:7">
      <c r="B88" s="411" t="s">
        <v>388</v>
      </c>
      <c r="C88" s="415">
        <v>42369</v>
      </c>
      <c r="D88" s="412">
        <v>18410</v>
      </c>
      <c r="E88" s="417">
        <v>76430</v>
      </c>
      <c r="F88" s="425">
        <v>4.682319220490702E-3</v>
      </c>
      <c r="G88" s="408"/>
    </row>
    <row r="89" spans="2:7">
      <c r="B89" s="411" t="s">
        <v>388</v>
      </c>
      <c r="C89" s="415">
        <v>42373</v>
      </c>
      <c r="D89" s="412">
        <v>17493</v>
      </c>
      <c r="E89" s="417">
        <v>454386</v>
      </c>
      <c r="F89" s="425">
        <v>-5.10931943368578E-2</v>
      </c>
      <c r="G89" s="408"/>
    </row>
    <row r="90" spans="2:7">
      <c r="B90" s="411" t="s">
        <v>388</v>
      </c>
      <c r="C90" s="415">
        <v>42374</v>
      </c>
      <c r="D90" s="412">
        <v>17797</v>
      </c>
      <c r="E90" s="417">
        <v>363485</v>
      </c>
      <c r="F90" s="425">
        <v>1.7229102859719975E-2</v>
      </c>
      <c r="G90" s="408"/>
    </row>
    <row r="91" spans="2:7">
      <c r="B91" s="411" t="s">
        <v>388</v>
      </c>
      <c r="C91" s="415">
        <v>42375</v>
      </c>
      <c r="D91" s="412">
        <v>17930</v>
      </c>
      <c r="E91" s="417">
        <v>296636</v>
      </c>
      <c r="F91" s="425">
        <v>7.445383849192984E-3</v>
      </c>
      <c r="G91" s="408"/>
    </row>
    <row r="92" spans="2:7">
      <c r="B92" s="411" t="s">
        <v>388</v>
      </c>
      <c r="C92" s="415">
        <v>42376</v>
      </c>
      <c r="D92" s="412">
        <v>17342</v>
      </c>
      <c r="E92" s="417">
        <v>478207</v>
      </c>
      <c r="F92" s="425">
        <v>-3.3343982662072835E-2</v>
      </c>
      <c r="G92" s="408"/>
    </row>
    <row r="93" spans="2:7">
      <c r="B93" s="411" t="s">
        <v>388</v>
      </c>
      <c r="C93" s="415">
        <v>42377</v>
      </c>
      <c r="D93" s="412">
        <v>17401</v>
      </c>
      <c r="E93" s="417">
        <v>202739</v>
      </c>
      <c r="F93" s="425">
        <v>3.3963708784726463E-3</v>
      </c>
      <c r="G93" s="408"/>
    </row>
    <row r="94" spans="2:7">
      <c r="B94" s="411" t="s">
        <v>388</v>
      </c>
      <c r="C94" s="415">
        <v>42380</v>
      </c>
      <c r="D94" s="412">
        <v>16631</v>
      </c>
      <c r="E94" s="417">
        <v>539627</v>
      </c>
      <c r="F94" s="425">
        <v>-4.5259252145438501E-2</v>
      </c>
      <c r="G94" s="408"/>
    </row>
    <row r="95" spans="2:7">
      <c r="B95" s="411" t="s">
        <v>388</v>
      </c>
      <c r="C95" s="415">
        <v>42381</v>
      </c>
      <c r="D95" s="412">
        <v>17323</v>
      </c>
      <c r="E95" s="417">
        <v>689681</v>
      </c>
      <c r="F95" s="425">
        <v>4.0766674608800978E-2</v>
      </c>
      <c r="G95" s="408"/>
    </row>
    <row r="96" spans="2:7">
      <c r="B96" s="411" t="s">
        <v>388</v>
      </c>
      <c r="C96" s="415">
        <v>42382</v>
      </c>
      <c r="D96" s="412">
        <v>17745</v>
      </c>
      <c r="E96" s="417">
        <v>677757</v>
      </c>
      <c r="F96" s="425">
        <v>2.4068687801655851E-2</v>
      </c>
      <c r="G96" s="408"/>
    </row>
    <row r="97" spans="2:7">
      <c r="B97" s="411" t="s">
        <v>388</v>
      </c>
      <c r="C97" s="415">
        <v>42383</v>
      </c>
      <c r="D97" s="412">
        <v>17801</v>
      </c>
      <c r="E97" s="417">
        <v>411540</v>
      </c>
      <c r="F97" s="425">
        <v>3.1508493968360695E-3</v>
      </c>
      <c r="G97" s="408"/>
    </row>
    <row r="98" spans="2:7">
      <c r="B98" s="411" t="s">
        <v>388</v>
      </c>
      <c r="C98" s="415">
        <v>42384</v>
      </c>
      <c r="D98" s="412">
        <v>16700</v>
      </c>
      <c r="E98" s="417">
        <v>844721</v>
      </c>
      <c r="F98" s="425">
        <v>-6.3845916072586439E-2</v>
      </c>
      <c r="G98" s="408"/>
    </row>
    <row r="99" spans="2:7">
      <c r="B99" s="411" t="s">
        <v>388</v>
      </c>
      <c r="C99" s="415">
        <v>42387</v>
      </c>
      <c r="D99" s="412">
        <v>16543</v>
      </c>
      <c r="E99" s="417">
        <v>612690</v>
      </c>
      <c r="F99" s="425">
        <v>-9.4456677978304818E-3</v>
      </c>
      <c r="G99" s="408"/>
    </row>
    <row r="100" spans="2:7">
      <c r="B100" s="411" t="s">
        <v>388</v>
      </c>
      <c r="C100" s="415">
        <v>42388</v>
      </c>
      <c r="D100" s="412">
        <v>16891</v>
      </c>
      <c r="E100" s="417">
        <v>622604</v>
      </c>
      <c r="F100" s="425">
        <v>2.0817884073329039E-2</v>
      </c>
      <c r="G100" s="408"/>
    </row>
    <row r="101" spans="2:7">
      <c r="B101" s="411" t="s">
        <v>388</v>
      </c>
      <c r="C101" s="415">
        <v>42389</v>
      </c>
      <c r="D101" s="412">
        <v>16597</v>
      </c>
      <c r="E101" s="417">
        <v>924997</v>
      </c>
      <c r="F101" s="425">
        <v>-1.7558979559626198E-2</v>
      </c>
      <c r="G101" s="408"/>
    </row>
    <row r="102" spans="2:7">
      <c r="B102" s="411" t="s">
        <v>388</v>
      </c>
      <c r="C102" s="415">
        <v>42390</v>
      </c>
      <c r="D102" s="412">
        <v>16800</v>
      </c>
      <c r="E102" s="417">
        <v>393136</v>
      </c>
      <c r="F102" s="425">
        <v>1.2156930270631446E-2</v>
      </c>
      <c r="G102" s="408"/>
    </row>
    <row r="103" spans="2:7">
      <c r="B103" s="411" t="s">
        <v>388</v>
      </c>
      <c r="C103" s="415">
        <v>42391</v>
      </c>
      <c r="D103" s="412">
        <v>16793</v>
      </c>
      <c r="E103" s="417">
        <v>398990</v>
      </c>
      <c r="F103" s="425">
        <v>-4.1675349634236837E-4</v>
      </c>
      <c r="G103" s="408"/>
    </row>
    <row r="104" spans="2:7">
      <c r="B104" s="411" t="s">
        <v>388</v>
      </c>
      <c r="C104" s="415">
        <v>42394</v>
      </c>
      <c r="D104" s="412">
        <v>16760</v>
      </c>
      <c r="E104" s="417">
        <v>425756</v>
      </c>
      <c r="F104" s="425">
        <v>-1.9670378589338069E-3</v>
      </c>
      <c r="G104" s="408"/>
    </row>
    <row r="105" spans="2:7">
      <c r="B105" s="411" t="s">
        <v>388</v>
      </c>
      <c r="C105" s="415">
        <v>42395</v>
      </c>
      <c r="D105" s="412">
        <v>16584</v>
      </c>
      <c r="E105" s="417">
        <v>676294</v>
      </c>
      <c r="F105" s="425">
        <v>-1.0556719920458469E-2</v>
      </c>
      <c r="G105" s="408"/>
    </row>
    <row r="106" spans="2:7">
      <c r="B106" s="411" t="s">
        <v>388</v>
      </c>
      <c r="C106" s="415">
        <v>42396</v>
      </c>
      <c r="D106" s="412">
        <v>17407</v>
      </c>
      <c r="E106" s="417">
        <v>650723</v>
      </c>
      <c r="F106" s="425">
        <v>4.8434049037093821E-2</v>
      </c>
      <c r="G106" s="408"/>
    </row>
    <row r="107" spans="2:7">
      <c r="B107" s="411" t="s">
        <v>388</v>
      </c>
      <c r="C107" s="415">
        <v>42397</v>
      </c>
      <c r="D107" s="412">
        <v>17998</v>
      </c>
      <c r="E107" s="417">
        <v>338941</v>
      </c>
      <c r="F107" s="425">
        <v>3.3388216441184643E-2</v>
      </c>
      <c r="G107" s="408"/>
    </row>
    <row r="108" spans="2:7">
      <c r="B108" s="411" t="s">
        <v>388</v>
      </c>
      <c r="C108" s="415">
        <v>42398</v>
      </c>
      <c r="D108" s="412">
        <v>18303</v>
      </c>
      <c r="E108" s="417">
        <v>933155</v>
      </c>
      <c r="F108" s="425">
        <v>1.6804340226068241E-2</v>
      </c>
      <c r="G108" s="408"/>
    </row>
    <row r="109" spans="2:7">
      <c r="B109" s="411" t="s">
        <v>388</v>
      </c>
      <c r="C109" s="415">
        <v>42401</v>
      </c>
      <c r="D109" s="412">
        <v>17620</v>
      </c>
      <c r="E109" s="417">
        <v>835407</v>
      </c>
      <c r="F109" s="425">
        <v>-3.8030360329791575E-2</v>
      </c>
      <c r="G109" s="408"/>
    </row>
    <row r="110" spans="2:7">
      <c r="B110" s="411" t="s">
        <v>388</v>
      </c>
      <c r="C110" s="415">
        <v>42402</v>
      </c>
      <c r="D110" s="412">
        <v>17450</v>
      </c>
      <c r="E110" s="417">
        <v>440120</v>
      </c>
      <c r="F110" s="425">
        <v>-9.6949718595972945E-3</v>
      </c>
      <c r="G110" s="408"/>
    </row>
    <row r="111" spans="2:7">
      <c r="B111" s="411" t="s">
        <v>388</v>
      </c>
      <c r="C111" s="415">
        <v>42403</v>
      </c>
      <c r="D111" s="412">
        <v>17820</v>
      </c>
      <c r="E111" s="417">
        <v>388381</v>
      </c>
      <c r="F111" s="425">
        <v>2.0981773394226997E-2</v>
      </c>
      <c r="G111" s="408"/>
    </row>
    <row r="112" spans="2:7">
      <c r="B112" s="411" t="s">
        <v>388</v>
      </c>
      <c r="C112" s="415">
        <v>42404</v>
      </c>
      <c r="D112" s="412">
        <v>18077</v>
      </c>
      <c r="E112" s="417">
        <v>630105</v>
      </c>
      <c r="F112" s="425">
        <v>1.4318989950054017E-2</v>
      </c>
      <c r="G112" s="408"/>
    </row>
    <row r="113" spans="2:7">
      <c r="B113" s="411" t="s">
        <v>388</v>
      </c>
      <c r="C113" s="415">
        <v>42405</v>
      </c>
      <c r="D113" s="412">
        <v>17904</v>
      </c>
      <c r="E113" s="417">
        <v>629239</v>
      </c>
      <c r="F113" s="425">
        <v>-9.6162604231478897E-3</v>
      </c>
      <c r="G113" s="408"/>
    </row>
    <row r="114" spans="2:7">
      <c r="B114" s="411" t="s">
        <v>388</v>
      </c>
      <c r="C114" s="415">
        <v>42408</v>
      </c>
      <c r="D114" s="412">
        <v>17921</v>
      </c>
      <c r="E114" s="417">
        <v>151608</v>
      </c>
      <c r="F114" s="425">
        <v>9.4905799168209018E-4</v>
      </c>
      <c r="G114" s="408"/>
    </row>
    <row r="115" spans="2:7">
      <c r="B115" s="411" t="s">
        <v>388</v>
      </c>
      <c r="C115" s="415">
        <v>42409</v>
      </c>
      <c r="D115" s="412">
        <v>18011</v>
      </c>
      <c r="E115" s="417">
        <v>236988</v>
      </c>
      <c r="F115" s="425">
        <v>5.0094727936689162E-3</v>
      </c>
      <c r="G115" s="408"/>
    </row>
    <row r="116" spans="2:7">
      <c r="B116" s="411" t="s">
        <v>388</v>
      </c>
      <c r="C116" s="415">
        <v>42410</v>
      </c>
      <c r="D116" s="412">
        <v>18000</v>
      </c>
      <c r="E116" s="417">
        <v>354493</v>
      </c>
      <c r="F116" s="425">
        <v>-6.1092445875571017E-4</v>
      </c>
      <c r="G116" s="408"/>
    </row>
    <row r="117" spans="2:7">
      <c r="B117" s="411" t="s">
        <v>388</v>
      </c>
      <c r="C117" s="415">
        <v>42411</v>
      </c>
      <c r="D117" s="412">
        <v>17650</v>
      </c>
      <c r="E117" s="417">
        <v>243067</v>
      </c>
      <c r="F117" s="425">
        <v>-1.9635974516858962E-2</v>
      </c>
      <c r="G117" s="408"/>
    </row>
    <row r="118" spans="2:7">
      <c r="B118" s="411" t="s">
        <v>388</v>
      </c>
      <c r="C118" s="415">
        <v>42412</v>
      </c>
      <c r="D118" s="412">
        <v>17600</v>
      </c>
      <c r="E118" s="417">
        <v>540437</v>
      </c>
      <c r="F118" s="425">
        <v>-2.8368813351997263E-3</v>
      </c>
      <c r="G118" s="408"/>
    </row>
    <row r="119" spans="2:7">
      <c r="B119" s="411" t="s">
        <v>388</v>
      </c>
      <c r="C119" s="415">
        <v>42415</v>
      </c>
      <c r="D119" s="412">
        <v>18098</v>
      </c>
      <c r="E119" s="417">
        <v>450343</v>
      </c>
      <c r="F119" s="425">
        <v>2.7902532884835424E-2</v>
      </c>
      <c r="G119" s="408"/>
    </row>
    <row r="120" spans="2:7">
      <c r="B120" s="411" t="s">
        <v>388</v>
      </c>
      <c r="C120" s="415">
        <v>42416</v>
      </c>
      <c r="D120" s="412">
        <v>18053</v>
      </c>
      <c r="E120" s="417">
        <v>478874</v>
      </c>
      <c r="F120" s="425">
        <v>-2.4895589744205024E-3</v>
      </c>
      <c r="G120" s="408"/>
    </row>
    <row r="121" spans="2:7">
      <c r="B121" s="411" t="s">
        <v>388</v>
      </c>
      <c r="C121" s="415">
        <v>42417</v>
      </c>
      <c r="D121" s="412">
        <v>18490</v>
      </c>
      <c r="E121" s="417">
        <v>259028</v>
      </c>
      <c r="F121" s="425">
        <v>2.3918169444512458E-2</v>
      </c>
      <c r="G121" s="408"/>
    </row>
    <row r="122" spans="2:7">
      <c r="B122" s="411" t="s">
        <v>388</v>
      </c>
      <c r="C122" s="415">
        <v>42418</v>
      </c>
      <c r="D122" s="412">
        <v>18630</v>
      </c>
      <c r="E122" s="417">
        <v>684092</v>
      </c>
      <c r="F122" s="425">
        <v>7.5431392144636898E-3</v>
      </c>
      <c r="G122" s="408"/>
    </row>
    <row r="123" spans="2:7">
      <c r="B123" s="411" t="s">
        <v>388</v>
      </c>
      <c r="C123" s="415">
        <v>42419</v>
      </c>
      <c r="D123" s="412">
        <v>18350</v>
      </c>
      <c r="E123" s="417">
        <v>838785</v>
      </c>
      <c r="F123" s="425">
        <v>-1.5143610112917765E-2</v>
      </c>
      <c r="G123" s="408"/>
    </row>
    <row r="124" spans="2:7">
      <c r="B124" s="411" t="s">
        <v>388</v>
      </c>
      <c r="C124" s="415">
        <v>42422</v>
      </c>
      <c r="D124" s="412">
        <v>17835</v>
      </c>
      <c r="E124" s="417">
        <v>363227</v>
      </c>
      <c r="F124" s="425">
        <v>-2.8466755689724461E-2</v>
      </c>
      <c r="G124" s="408"/>
    </row>
    <row r="125" spans="2:7">
      <c r="B125" s="411" t="s">
        <v>388</v>
      </c>
      <c r="C125" s="415">
        <v>42423</v>
      </c>
      <c r="D125" s="412">
        <v>17800</v>
      </c>
      <c r="E125" s="417">
        <v>185073</v>
      </c>
      <c r="F125" s="425">
        <v>-1.9643615128153843E-3</v>
      </c>
      <c r="G125" s="408"/>
    </row>
    <row r="126" spans="2:7">
      <c r="B126" s="411" t="s">
        <v>388</v>
      </c>
      <c r="C126" s="415">
        <v>42424</v>
      </c>
      <c r="D126" s="412">
        <v>17402</v>
      </c>
      <c r="E126" s="417">
        <v>358212</v>
      </c>
      <c r="F126" s="425">
        <v>-2.261331515420676E-2</v>
      </c>
      <c r="G126" s="408"/>
    </row>
    <row r="127" spans="2:7">
      <c r="B127" s="411" t="s">
        <v>388</v>
      </c>
      <c r="C127" s="415">
        <v>42425</v>
      </c>
      <c r="D127" s="412">
        <v>18341</v>
      </c>
      <c r="E127" s="417">
        <v>452219</v>
      </c>
      <c r="F127" s="425">
        <v>5.2553848825062768E-2</v>
      </c>
      <c r="G127" s="408"/>
    </row>
    <row r="128" spans="2:7">
      <c r="B128" s="411" t="s">
        <v>388</v>
      </c>
      <c r="C128" s="415">
        <v>42426</v>
      </c>
      <c r="D128" s="412">
        <v>18250</v>
      </c>
      <c r="E128" s="417">
        <v>251773</v>
      </c>
      <c r="F128" s="425">
        <v>-4.9739109403950169E-3</v>
      </c>
      <c r="G128" s="408"/>
    </row>
    <row r="129" spans="2:7">
      <c r="B129" s="411" t="s">
        <v>388</v>
      </c>
      <c r="C129" s="415">
        <v>42429</v>
      </c>
      <c r="D129" s="412">
        <v>17866</v>
      </c>
      <c r="E129" s="417">
        <v>463702</v>
      </c>
      <c r="F129" s="425">
        <v>-2.1265614748853134E-2</v>
      </c>
      <c r="G129" s="408"/>
    </row>
    <row r="130" spans="2:7">
      <c r="B130" s="411" t="s">
        <v>388</v>
      </c>
      <c r="C130" s="415">
        <v>42430</v>
      </c>
      <c r="D130" s="412">
        <v>18571</v>
      </c>
      <c r="E130" s="417">
        <v>412737</v>
      </c>
      <c r="F130" s="425">
        <v>3.8701758931268482E-2</v>
      </c>
      <c r="G130" s="408"/>
    </row>
    <row r="131" spans="2:7">
      <c r="B131" s="411" t="s">
        <v>388</v>
      </c>
      <c r="C131" s="415">
        <v>42431</v>
      </c>
      <c r="D131" s="412">
        <v>18705</v>
      </c>
      <c r="E131" s="417">
        <v>614475</v>
      </c>
      <c r="F131" s="425">
        <v>7.1896435891935064E-3</v>
      </c>
      <c r="G131" s="408"/>
    </row>
    <row r="132" spans="2:7">
      <c r="B132" s="411" t="s">
        <v>388</v>
      </c>
      <c r="C132" s="415">
        <v>42432</v>
      </c>
      <c r="D132" s="412">
        <v>18941</v>
      </c>
      <c r="E132" s="417">
        <v>268312</v>
      </c>
      <c r="F132" s="425">
        <v>1.2538016874494996E-2</v>
      </c>
      <c r="G132" s="408"/>
    </row>
    <row r="133" spans="2:7">
      <c r="B133" s="411" t="s">
        <v>388</v>
      </c>
      <c r="C133" s="415">
        <v>42433</v>
      </c>
      <c r="D133" s="412">
        <v>18435</v>
      </c>
      <c r="E133" s="417">
        <v>463065</v>
      </c>
      <c r="F133" s="425">
        <v>-2.7077852988496708E-2</v>
      </c>
      <c r="G133" s="408"/>
    </row>
    <row r="134" spans="2:7">
      <c r="B134" s="411" t="s">
        <v>388</v>
      </c>
      <c r="C134" s="415">
        <v>42436</v>
      </c>
      <c r="D134" s="412">
        <v>19006</v>
      </c>
      <c r="E134" s="417">
        <v>535519</v>
      </c>
      <c r="F134" s="425">
        <v>3.0503687103015723E-2</v>
      </c>
      <c r="G134" s="408"/>
    </row>
    <row r="135" spans="2:7">
      <c r="B135" s="411" t="s">
        <v>388</v>
      </c>
      <c r="C135" s="415">
        <v>42437</v>
      </c>
      <c r="D135" s="412">
        <v>19294</v>
      </c>
      <c r="E135" s="417">
        <v>510368</v>
      </c>
      <c r="F135" s="425">
        <v>1.5039447959238377E-2</v>
      </c>
      <c r="G135" s="408"/>
    </row>
    <row r="136" spans="2:7">
      <c r="B136" s="411" t="s">
        <v>388</v>
      </c>
      <c r="C136" s="415">
        <v>42438</v>
      </c>
      <c r="D136" s="412">
        <v>19306</v>
      </c>
      <c r="E136" s="417">
        <v>432004</v>
      </c>
      <c r="F136" s="425">
        <v>6.2176167806158884E-4</v>
      </c>
      <c r="G136" s="408"/>
    </row>
    <row r="137" spans="2:7">
      <c r="B137" s="411" t="s">
        <v>388</v>
      </c>
      <c r="C137" s="415">
        <v>42439</v>
      </c>
      <c r="D137" s="412">
        <v>18552</v>
      </c>
      <c r="E137" s="417">
        <v>1843615</v>
      </c>
      <c r="F137" s="425">
        <v>-3.9838328473192873E-2</v>
      </c>
      <c r="G137" s="408"/>
    </row>
    <row r="138" spans="2:7">
      <c r="B138" s="411" t="s">
        <v>388</v>
      </c>
      <c r="C138" s="415">
        <v>42440</v>
      </c>
      <c r="D138" s="412">
        <v>18700</v>
      </c>
      <c r="E138" s="417">
        <v>1328061</v>
      </c>
      <c r="F138" s="425">
        <v>7.9459239073104426E-3</v>
      </c>
      <c r="G138" s="408"/>
    </row>
    <row r="139" spans="2:7">
      <c r="B139" s="411" t="s">
        <v>388</v>
      </c>
      <c r="C139" s="415">
        <v>42443</v>
      </c>
      <c r="D139" s="412">
        <v>18750</v>
      </c>
      <c r="E139" s="417">
        <v>338045</v>
      </c>
      <c r="F139" s="425">
        <v>2.6702285558788921E-3</v>
      </c>
      <c r="G139" s="408"/>
    </row>
    <row r="140" spans="2:7">
      <c r="B140" s="411" t="s">
        <v>388</v>
      </c>
      <c r="C140" s="415">
        <v>42444</v>
      </c>
      <c r="D140" s="412">
        <v>18526</v>
      </c>
      <c r="E140" s="417">
        <v>306168</v>
      </c>
      <c r="F140" s="425">
        <v>-1.201860158458405E-2</v>
      </c>
      <c r="G140" s="408"/>
    </row>
    <row r="141" spans="2:7">
      <c r="B141" s="411" t="s">
        <v>388</v>
      </c>
      <c r="C141" s="415">
        <v>42445</v>
      </c>
      <c r="D141" s="412">
        <v>18653</v>
      </c>
      <c r="E141" s="417">
        <v>553116</v>
      </c>
      <c r="F141" s="425">
        <v>6.8318402305896867E-3</v>
      </c>
      <c r="G141" s="408"/>
    </row>
    <row r="142" spans="2:7">
      <c r="B142" s="411" t="s">
        <v>388</v>
      </c>
      <c r="C142" s="415">
        <v>42446</v>
      </c>
      <c r="D142" s="412">
        <v>18700</v>
      </c>
      <c r="E142" s="417">
        <v>587344</v>
      </c>
      <c r="F142" s="425">
        <v>2.5165327981154693E-3</v>
      </c>
      <c r="G142" s="408"/>
    </row>
    <row r="143" spans="2:7">
      <c r="B143" s="411" t="s">
        <v>388</v>
      </c>
      <c r="C143" s="415">
        <v>42447</v>
      </c>
      <c r="D143" s="412">
        <v>19646</v>
      </c>
      <c r="E143" s="417">
        <v>739467</v>
      </c>
      <c r="F143" s="425">
        <v>4.9350231392136866E-2</v>
      </c>
      <c r="G143" s="408"/>
    </row>
    <row r="144" spans="2:7">
      <c r="B144" s="411" t="s">
        <v>388</v>
      </c>
      <c r="C144" s="415">
        <v>42451</v>
      </c>
      <c r="D144" s="412">
        <v>19034</v>
      </c>
      <c r="E144" s="417">
        <v>965103</v>
      </c>
      <c r="F144" s="425">
        <v>-3.1646901602526215E-2</v>
      </c>
      <c r="G144" s="408"/>
    </row>
    <row r="145" spans="2:7">
      <c r="B145" s="411" t="s">
        <v>388</v>
      </c>
      <c r="C145" s="415">
        <v>42452</v>
      </c>
      <c r="D145" s="412">
        <v>19029</v>
      </c>
      <c r="E145" s="417">
        <v>796862</v>
      </c>
      <c r="F145" s="425">
        <v>-2.627223302819156E-4</v>
      </c>
      <c r="G145" s="408"/>
    </row>
    <row r="146" spans="2:7">
      <c r="B146" s="411" t="s">
        <v>388</v>
      </c>
      <c r="C146" s="415">
        <v>42453</v>
      </c>
      <c r="D146" s="412">
        <v>19073</v>
      </c>
      <c r="E146" s="417">
        <v>641652</v>
      </c>
      <c r="F146" s="425">
        <v>2.3095910744197245E-3</v>
      </c>
      <c r="G146" s="408"/>
    </row>
    <row r="147" spans="2:7">
      <c r="B147" s="411" t="s">
        <v>388</v>
      </c>
      <c r="C147" s="415">
        <v>42458</v>
      </c>
      <c r="D147" s="412">
        <v>19212</v>
      </c>
      <c r="E147" s="417">
        <v>803932</v>
      </c>
      <c r="F147" s="425">
        <v>7.2613614082883832E-3</v>
      </c>
      <c r="G147" s="408"/>
    </row>
    <row r="148" spans="2:7">
      <c r="B148" s="411" t="s">
        <v>388</v>
      </c>
      <c r="C148" s="415">
        <v>42459</v>
      </c>
      <c r="D148" s="412">
        <v>19500</v>
      </c>
      <c r="E148" s="417">
        <v>2838198</v>
      </c>
      <c r="F148" s="425">
        <v>1.4879381767123275E-2</v>
      </c>
      <c r="G148" s="408"/>
    </row>
    <row r="149" spans="2:7">
      <c r="B149" s="411" t="s">
        <v>388</v>
      </c>
      <c r="C149" s="415">
        <v>42460</v>
      </c>
      <c r="D149" s="412">
        <v>19900</v>
      </c>
      <c r="E149" s="417">
        <v>2296339</v>
      </c>
      <c r="F149" s="425">
        <v>2.0305266160745523E-2</v>
      </c>
      <c r="G149" s="408"/>
    </row>
    <row r="150" spans="2:7">
      <c r="B150" s="411" t="s">
        <v>388</v>
      </c>
      <c r="C150" s="415">
        <v>42461</v>
      </c>
      <c r="D150" s="412">
        <v>20080</v>
      </c>
      <c r="E150" s="417">
        <v>1151775</v>
      </c>
      <c r="F150" s="425">
        <v>9.0045630930817525E-3</v>
      </c>
      <c r="G150" s="408"/>
    </row>
    <row r="151" spans="2:7">
      <c r="B151" s="411" t="s">
        <v>388</v>
      </c>
      <c r="C151" s="415">
        <v>42464</v>
      </c>
      <c r="D151" s="412">
        <v>20551</v>
      </c>
      <c r="E151" s="417">
        <v>631642</v>
      </c>
      <c r="F151" s="425">
        <v>2.3185306735254728E-2</v>
      </c>
      <c r="G151" s="408"/>
    </row>
    <row r="152" spans="2:7">
      <c r="B152" s="411" t="s">
        <v>388</v>
      </c>
      <c r="C152" s="415">
        <v>42465</v>
      </c>
      <c r="D152" s="412">
        <v>20541</v>
      </c>
      <c r="E152" s="417">
        <v>854140</v>
      </c>
      <c r="F152" s="425">
        <v>-4.8671275174767321E-4</v>
      </c>
      <c r="G152" s="408"/>
    </row>
    <row r="153" spans="2:7">
      <c r="B153" s="411" t="s">
        <v>388</v>
      </c>
      <c r="C153" s="415">
        <v>42466</v>
      </c>
      <c r="D153" s="412">
        <v>20600</v>
      </c>
      <c r="E153" s="417">
        <v>944277</v>
      </c>
      <c r="F153" s="425">
        <v>2.8681869884997864E-3</v>
      </c>
      <c r="G153" s="408"/>
    </row>
    <row r="154" spans="2:7">
      <c r="B154" s="411" t="s">
        <v>388</v>
      </c>
      <c r="C154" s="415">
        <v>42467</v>
      </c>
      <c r="D154" s="412">
        <v>21298</v>
      </c>
      <c r="E154" s="417">
        <v>1610984</v>
      </c>
      <c r="F154" s="425">
        <v>3.332209579765661E-2</v>
      </c>
      <c r="G154" s="408"/>
    </row>
    <row r="155" spans="2:7">
      <c r="B155" s="411" t="s">
        <v>388</v>
      </c>
      <c r="C155" s="415">
        <v>42468</v>
      </c>
      <c r="D155" s="412">
        <v>21070</v>
      </c>
      <c r="E155" s="417">
        <v>2309013</v>
      </c>
      <c r="F155" s="425">
        <v>-1.0762943777094367E-2</v>
      </c>
      <c r="G155" s="408"/>
    </row>
    <row r="156" spans="2:7">
      <c r="B156" s="411" t="s">
        <v>388</v>
      </c>
      <c r="C156" s="415">
        <v>42471</v>
      </c>
      <c r="D156" s="412">
        <v>20949</v>
      </c>
      <c r="E156" s="417">
        <v>574544</v>
      </c>
      <c r="F156" s="425">
        <v>-5.7593152840897362E-3</v>
      </c>
      <c r="G156" s="408"/>
    </row>
    <row r="157" spans="2:7">
      <c r="B157" s="411" t="s">
        <v>388</v>
      </c>
      <c r="C157" s="415">
        <v>42472</v>
      </c>
      <c r="D157" s="412">
        <v>21240</v>
      </c>
      <c r="E157" s="417">
        <v>576421</v>
      </c>
      <c r="F157" s="425">
        <v>1.3795283841730155E-2</v>
      </c>
      <c r="G157" s="408"/>
    </row>
    <row r="158" spans="2:7">
      <c r="B158" s="411" t="s">
        <v>388</v>
      </c>
      <c r="C158" s="415">
        <v>42473</v>
      </c>
      <c r="D158" s="412">
        <v>21195</v>
      </c>
      <c r="E158" s="417">
        <v>910660</v>
      </c>
      <c r="F158" s="425">
        <v>-2.1208915691376244E-3</v>
      </c>
      <c r="G158" s="408"/>
    </row>
    <row r="159" spans="2:7">
      <c r="B159" s="411" t="s">
        <v>388</v>
      </c>
      <c r="C159" s="415">
        <v>42474</v>
      </c>
      <c r="D159" s="412">
        <v>21200</v>
      </c>
      <c r="E159" s="417">
        <v>522968</v>
      </c>
      <c r="F159" s="425">
        <v>2.3587687336641341E-4</v>
      </c>
      <c r="G159" s="408"/>
    </row>
    <row r="160" spans="2:7">
      <c r="B160" s="411" t="s">
        <v>388</v>
      </c>
      <c r="C160" s="415">
        <v>42475</v>
      </c>
      <c r="D160" s="412">
        <v>21129</v>
      </c>
      <c r="E160" s="417">
        <v>642993</v>
      </c>
      <c r="F160" s="425">
        <v>-3.354677246583801E-3</v>
      </c>
      <c r="G160" s="408"/>
    </row>
    <row r="161" spans="2:7">
      <c r="B161" s="411" t="s">
        <v>388</v>
      </c>
      <c r="C161" s="415">
        <v>42478</v>
      </c>
      <c r="D161" s="412">
        <v>21000</v>
      </c>
      <c r="E161" s="417">
        <v>698077</v>
      </c>
      <c r="F161" s="425">
        <v>-6.124066707959965E-3</v>
      </c>
      <c r="G161" s="408"/>
    </row>
    <row r="162" spans="2:7">
      <c r="B162" s="411" t="s">
        <v>388</v>
      </c>
      <c r="C162" s="415">
        <v>42479</v>
      </c>
      <c r="D162" s="412">
        <v>21195</v>
      </c>
      <c r="E162" s="417">
        <v>521359</v>
      </c>
      <c r="F162" s="425">
        <v>9.2428670811775127E-3</v>
      </c>
      <c r="G162" s="408"/>
    </row>
    <row r="163" spans="2:7">
      <c r="B163" s="411" t="s">
        <v>388</v>
      </c>
      <c r="C163" s="415">
        <v>42480</v>
      </c>
      <c r="D163" s="412">
        <v>21286</v>
      </c>
      <c r="E163" s="417">
        <v>527818</v>
      </c>
      <c r="F163" s="425">
        <v>4.2842748142520766E-3</v>
      </c>
      <c r="G163" s="408"/>
    </row>
    <row r="164" spans="2:7">
      <c r="B164" s="411" t="s">
        <v>388</v>
      </c>
      <c r="C164" s="415">
        <v>42481</v>
      </c>
      <c r="D164" s="412">
        <v>21321</v>
      </c>
      <c r="E164" s="417">
        <v>775529</v>
      </c>
      <c r="F164" s="425">
        <v>1.6429228940152815E-3</v>
      </c>
      <c r="G164" s="408"/>
    </row>
    <row r="165" spans="2:7">
      <c r="B165" s="411" t="s">
        <v>388</v>
      </c>
      <c r="C165" s="415">
        <v>42482</v>
      </c>
      <c r="D165" s="412">
        <v>20900</v>
      </c>
      <c r="E165" s="417">
        <v>378669</v>
      </c>
      <c r="F165" s="425">
        <v>-1.9943343542102466E-2</v>
      </c>
      <c r="G165" s="408"/>
    </row>
    <row r="166" spans="2:7">
      <c r="B166" s="411" t="s">
        <v>388</v>
      </c>
      <c r="C166" s="415">
        <v>42485</v>
      </c>
      <c r="D166" s="412">
        <v>21113</v>
      </c>
      <c r="E166" s="417">
        <v>360326</v>
      </c>
      <c r="F166" s="425">
        <v>1.0139805535180547E-2</v>
      </c>
      <c r="G166" s="408"/>
    </row>
    <row r="167" spans="2:7">
      <c r="B167" s="411" t="s">
        <v>388</v>
      </c>
      <c r="C167" s="415">
        <v>42486</v>
      </c>
      <c r="D167" s="412">
        <v>21145</v>
      </c>
      <c r="E167" s="417">
        <v>265634</v>
      </c>
      <c r="F167" s="425">
        <v>1.5145064185059613E-3</v>
      </c>
      <c r="G167" s="408"/>
    </row>
    <row r="168" spans="2:7">
      <c r="B168" s="411" t="s">
        <v>388</v>
      </c>
      <c r="C168" s="415">
        <v>42488</v>
      </c>
      <c r="D168" s="412">
        <v>21150</v>
      </c>
      <c r="E168" s="417">
        <v>492914</v>
      </c>
      <c r="F168" s="425">
        <v>2.3643456783514169E-4</v>
      </c>
      <c r="G168" s="408"/>
    </row>
    <row r="169" spans="2:7">
      <c r="B169" s="411" t="s">
        <v>388</v>
      </c>
      <c r="C169" s="415">
        <v>42489</v>
      </c>
      <c r="D169" s="412">
        <v>21275</v>
      </c>
      <c r="E169" s="417">
        <v>731195</v>
      </c>
      <c r="F169" s="425">
        <v>5.8927689671509197E-3</v>
      </c>
      <c r="G169" s="408"/>
    </row>
    <row r="170" spans="2:7">
      <c r="B170" s="411" t="s">
        <v>388</v>
      </c>
      <c r="C170" s="415">
        <v>42493</v>
      </c>
      <c r="D170" s="412">
        <v>21120</v>
      </c>
      <c r="E170" s="417">
        <v>761616</v>
      </c>
      <c r="F170" s="425">
        <v>-7.3122156213771359E-3</v>
      </c>
      <c r="G170" s="408"/>
    </row>
    <row r="171" spans="2:7">
      <c r="B171" s="411" t="s">
        <v>388</v>
      </c>
      <c r="C171" s="415">
        <v>42494</v>
      </c>
      <c r="D171" s="412">
        <v>21300</v>
      </c>
      <c r="E171" s="417">
        <v>1380718</v>
      </c>
      <c r="F171" s="425">
        <v>8.4866138773187251E-3</v>
      </c>
      <c r="G171" s="408"/>
    </row>
    <row r="172" spans="2:7">
      <c r="B172" s="411" t="s">
        <v>388</v>
      </c>
      <c r="C172" s="415">
        <v>42495</v>
      </c>
      <c r="D172" s="412">
        <v>20933</v>
      </c>
      <c r="E172" s="417">
        <v>794094</v>
      </c>
      <c r="F172" s="425">
        <v>-1.7380211602996475E-2</v>
      </c>
      <c r="G172" s="408"/>
    </row>
    <row r="173" spans="2:7">
      <c r="B173" s="411" t="s">
        <v>388</v>
      </c>
      <c r="C173" s="415">
        <v>42496</v>
      </c>
      <c r="D173" s="412">
        <v>20835</v>
      </c>
      <c r="E173" s="417">
        <v>1174419</v>
      </c>
      <c r="F173" s="425">
        <v>-4.6925962379662494E-3</v>
      </c>
      <c r="G173" s="408"/>
    </row>
    <row r="174" spans="2:7">
      <c r="B174" s="411" t="s">
        <v>388</v>
      </c>
      <c r="C174" s="415">
        <v>42499</v>
      </c>
      <c r="D174" s="412">
        <v>21000</v>
      </c>
      <c r="E174" s="417">
        <v>760538</v>
      </c>
      <c r="F174" s="425">
        <v>7.8881728490062999E-3</v>
      </c>
      <c r="G174" s="408"/>
    </row>
    <row r="175" spans="2:7">
      <c r="B175" s="411" t="s">
        <v>388</v>
      </c>
      <c r="C175" s="415">
        <v>42500</v>
      </c>
      <c r="D175" s="412">
        <v>21069</v>
      </c>
      <c r="E175" s="417">
        <v>574400</v>
      </c>
      <c r="F175" s="425">
        <v>3.2803281215701505E-3</v>
      </c>
      <c r="G175" s="408"/>
    </row>
    <row r="176" spans="2:7">
      <c r="B176" s="411" t="s">
        <v>388</v>
      </c>
      <c r="C176" s="415">
        <v>42501</v>
      </c>
      <c r="D176" s="412">
        <v>21391</v>
      </c>
      <c r="E176" s="417">
        <v>1145647</v>
      </c>
      <c r="F176" s="425">
        <v>1.5167506974675064E-2</v>
      </c>
      <c r="G176" s="408"/>
    </row>
    <row r="177" spans="2:7">
      <c r="B177" s="411" t="s">
        <v>388</v>
      </c>
      <c r="C177" s="415">
        <v>42502</v>
      </c>
      <c r="D177" s="412">
        <v>21870</v>
      </c>
      <c r="E177" s="417">
        <v>2351228</v>
      </c>
      <c r="F177" s="425">
        <v>2.2145561869008311E-2</v>
      </c>
      <c r="G177" s="408"/>
    </row>
    <row r="178" spans="2:7">
      <c r="B178" s="411" t="s">
        <v>388</v>
      </c>
      <c r="C178" s="415">
        <v>42503</v>
      </c>
      <c r="D178" s="412">
        <v>21400</v>
      </c>
      <c r="E178" s="417">
        <v>1030684</v>
      </c>
      <c r="F178" s="425">
        <v>-2.1724912660870625E-2</v>
      </c>
      <c r="G178" s="408"/>
    </row>
    <row r="179" spans="2:7">
      <c r="B179" s="411" t="s">
        <v>388</v>
      </c>
      <c r="C179" s="415">
        <v>42506</v>
      </c>
      <c r="D179" s="412">
        <v>21300</v>
      </c>
      <c r="E179" s="417">
        <v>420817</v>
      </c>
      <c r="F179" s="425">
        <v>-4.6838493124263143E-3</v>
      </c>
      <c r="G179" s="408"/>
    </row>
    <row r="180" spans="2:7">
      <c r="B180" s="411" t="s">
        <v>388</v>
      </c>
      <c r="C180" s="415">
        <v>42507</v>
      </c>
      <c r="D180" s="412">
        <v>21125</v>
      </c>
      <c r="E180" s="417">
        <v>451237</v>
      </c>
      <c r="F180" s="425">
        <v>-8.2498994721418358E-3</v>
      </c>
      <c r="G180" s="408"/>
    </row>
    <row r="181" spans="2:7">
      <c r="B181" s="411" t="s">
        <v>388</v>
      </c>
      <c r="C181" s="415">
        <v>42508</v>
      </c>
      <c r="D181" s="412">
        <v>20886</v>
      </c>
      <c r="E181" s="417">
        <v>1571049</v>
      </c>
      <c r="F181" s="425">
        <v>-1.1378095185880704E-2</v>
      </c>
      <c r="G181" s="408"/>
    </row>
    <row r="182" spans="2:7">
      <c r="B182" s="411" t="s">
        <v>388</v>
      </c>
      <c r="C182" s="415">
        <v>42509</v>
      </c>
      <c r="D182" s="412">
        <v>20953</v>
      </c>
      <c r="E182" s="417">
        <v>436294</v>
      </c>
      <c r="F182" s="425">
        <v>3.2027561496140323E-3</v>
      </c>
      <c r="G182" s="408"/>
    </row>
    <row r="183" spans="2:7">
      <c r="B183" s="411" t="s">
        <v>388</v>
      </c>
      <c r="C183" s="415">
        <v>42510</v>
      </c>
      <c r="D183" s="412">
        <v>20572</v>
      </c>
      <c r="E183" s="417">
        <v>705986</v>
      </c>
      <c r="F183" s="425">
        <v>-1.8350906294301146E-2</v>
      </c>
      <c r="G183" s="408"/>
    </row>
    <row r="184" spans="2:7">
      <c r="B184" s="411" t="s">
        <v>388</v>
      </c>
      <c r="C184" s="415">
        <v>42513</v>
      </c>
      <c r="D184" s="412">
        <v>20500</v>
      </c>
      <c r="E184" s="417">
        <v>597849</v>
      </c>
      <c r="F184" s="425">
        <v>-3.5060417683072461E-3</v>
      </c>
      <c r="G184" s="408"/>
    </row>
    <row r="185" spans="2:7">
      <c r="B185" s="411" t="s">
        <v>388</v>
      </c>
      <c r="C185" s="415">
        <v>42514</v>
      </c>
      <c r="D185" s="412">
        <v>20578</v>
      </c>
      <c r="E185" s="417">
        <v>670108</v>
      </c>
      <c r="F185" s="425">
        <v>3.7976578092559993E-3</v>
      </c>
      <c r="G185" s="408"/>
    </row>
    <row r="186" spans="2:7">
      <c r="B186" s="411" t="s">
        <v>388</v>
      </c>
      <c r="C186" s="415">
        <v>42515</v>
      </c>
      <c r="D186" s="412">
        <v>20100</v>
      </c>
      <c r="E186" s="417">
        <v>762777</v>
      </c>
      <c r="F186" s="425">
        <v>-2.3502728888588453E-2</v>
      </c>
      <c r="G186" s="408"/>
    </row>
    <row r="187" spans="2:7">
      <c r="B187" s="411" t="s">
        <v>388</v>
      </c>
      <c r="C187" s="415">
        <v>42516</v>
      </c>
      <c r="D187" s="412">
        <v>20795</v>
      </c>
      <c r="E187" s="417">
        <v>386109</v>
      </c>
      <c r="F187" s="425">
        <v>3.3992758129844834E-2</v>
      </c>
      <c r="G187" s="408"/>
    </row>
    <row r="188" spans="2:7">
      <c r="B188" s="411" t="s">
        <v>388</v>
      </c>
      <c r="C188" s="415">
        <v>42517</v>
      </c>
      <c r="D188" s="412">
        <v>20545</v>
      </c>
      <c r="E188" s="417">
        <v>654216</v>
      </c>
      <c r="F188" s="425">
        <v>-1.2094970859501923E-2</v>
      </c>
      <c r="G188" s="408"/>
    </row>
    <row r="189" spans="2:7">
      <c r="B189" s="411" t="s">
        <v>388</v>
      </c>
      <c r="C189" s="415">
        <v>42520</v>
      </c>
      <c r="D189" s="412">
        <v>20558</v>
      </c>
      <c r="E189" s="417">
        <v>218363</v>
      </c>
      <c r="F189" s="425">
        <v>6.3255725535712863E-4</v>
      </c>
      <c r="G189" s="408"/>
    </row>
    <row r="190" spans="2:7">
      <c r="B190" s="411" t="s">
        <v>388</v>
      </c>
      <c r="C190" s="415">
        <v>42521</v>
      </c>
      <c r="D190" s="412">
        <v>20233</v>
      </c>
      <c r="E190" s="417">
        <v>1307944</v>
      </c>
      <c r="F190" s="425">
        <v>-1.5935224793672719E-2</v>
      </c>
      <c r="G190" s="408"/>
    </row>
    <row r="191" spans="2:7">
      <c r="B191" s="411" t="s">
        <v>388</v>
      </c>
      <c r="C191" s="415">
        <v>42522</v>
      </c>
      <c r="D191" s="412">
        <v>20301</v>
      </c>
      <c r="E191" s="417">
        <v>752796</v>
      </c>
      <c r="F191" s="425">
        <v>3.3552111211406668E-3</v>
      </c>
      <c r="G191" s="408"/>
    </row>
    <row r="192" spans="2:7">
      <c r="B192" s="411" t="s">
        <v>388</v>
      </c>
      <c r="C192" s="415">
        <v>42523</v>
      </c>
      <c r="D192" s="412">
        <v>20454</v>
      </c>
      <c r="E192" s="417">
        <v>462723</v>
      </c>
      <c r="F192" s="425">
        <v>7.5083164656228355E-3</v>
      </c>
      <c r="G192" s="408"/>
    </row>
    <row r="193" spans="2:7">
      <c r="B193" s="411" t="s">
        <v>388</v>
      </c>
      <c r="C193" s="415">
        <v>42524</v>
      </c>
      <c r="D193" s="412">
        <v>21200</v>
      </c>
      <c r="E193" s="417">
        <v>509490</v>
      </c>
      <c r="F193" s="425">
        <v>3.5822719294145815E-2</v>
      </c>
      <c r="G193" s="408"/>
    </row>
    <row r="194" spans="2:7">
      <c r="B194" s="411" t="s">
        <v>388</v>
      </c>
      <c r="C194" s="415">
        <v>42527</v>
      </c>
      <c r="D194" s="412">
        <v>20674</v>
      </c>
      <c r="E194" s="417">
        <v>353209</v>
      </c>
      <c r="F194" s="425">
        <v>-2.5124309531673692E-2</v>
      </c>
      <c r="G194" s="408"/>
    </row>
    <row r="195" spans="2:7">
      <c r="B195" s="411" t="s">
        <v>388</v>
      </c>
      <c r="C195" s="415">
        <v>42528</v>
      </c>
      <c r="D195" s="412">
        <v>21311</v>
      </c>
      <c r="E195" s="417">
        <v>667289</v>
      </c>
      <c r="F195" s="425">
        <v>3.0346499188895884E-2</v>
      </c>
      <c r="G195" s="408"/>
    </row>
    <row r="196" spans="2:7">
      <c r="B196" s="411" t="s">
        <v>388</v>
      </c>
      <c r="C196" s="415">
        <v>42529</v>
      </c>
      <c r="D196" s="412">
        <v>20500</v>
      </c>
      <c r="E196" s="417">
        <v>452177</v>
      </c>
      <c r="F196" s="425">
        <v>-3.879848519082639E-2</v>
      </c>
      <c r="G196" s="408"/>
    </row>
    <row r="197" spans="2:7">
      <c r="B197" s="411" t="s">
        <v>388</v>
      </c>
      <c r="C197" s="415">
        <v>42530</v>
      </c>
      <c r="D197" s="412">
        <v>20170</v>
      </c>
      <c r="E197" s="417">
        <v>279577</v>
      </c>
      <c r="F197" s="425">
        <v>-1.6228534178242104E-2</v>
      </c>
      <c r="G197" s="408"/>
    </row>
    <row r="198" spans="2:7">
      <c r="B198" s="411" t="s">
        <v>388</v>
      </c>
      <c r="C198" s="415">
        <v>42531</v>
      </c>
      <c r="D198" s="412">
        <v>20070</v>
      </c>
      <c r="E198" s="417">
        <v>526947</v>
      </c>
      <c r="F198" s="425">
        <v>-4.9701891578735951E-3</v>
      </c>
      <c r="G198" s="408"/>
    </row>
    <row r="199" spans="2:7">
      <c r="B199" s="411" t="s">
        <v>388</v>
      </c>
      <c r="C199" s="415">
        <v>42534</v>
      </c>
      <c r="D199" s="412">
        <v>19770</v>
      </c>
      <c r="E199" s="417">
        <v>390878</v>
      </c>
      <c r="F199" s="425">
        <v>-1.5060525625721237E-2</v>
      </c>
      <c r="G199" s="408"/>
    </row>
    <row r="200" spans="2:7">
      <c r="B200" s="411" t="s">
        <v>388</v>
      </c>
      <c r="C200" s="415">
        <v>42535</v>
      </c>
      <c r="D200" s="412">
        <v>19210</v>
      </c>
      <c r="E200" s="417">
        <v>379010</v>
      </c>
      <c r="F200" s="425">
        <v>-2.8734660402060304E-2</v>
      </c>
      <c r="G200" s="408"/>
    </row>
    <row r="201" spans="2:7">
      <c r="B201" s="411" t="s">
        <v>388</v>
      </c>
      <c r="C201" s="415">
        <v>42536</v>
      </c>
      <c r="D201" s="412">
        <v>19490</v>
      </c>
      <c r="E201" s="417">
        <v>411856</v>
      </c>
      <c r="F201" s="425">
        <v>1.4470536739004107E-2</v>
      </c>
      <c r="G201" s="408"/>
    </row>
    <row r="202" spans="2:7">
      <c r="B202" s="411" t="s">
        <v>388</v>
      </c>
      <c r="C202" s="415">
        <v>42538</v>
      </c>
      <c r="D202" s="412">
        <v>19554</v>
      </c>
      <c r="E202" s="417">
        <v>870458</v>
      </c>
      <c r="F202" s="425">
        <v>3.278355564009996E-3</v>
      </c>
      <c r="G202" s="408"/>
    </row>
    <row r="203" spans="2:7">
      <c r="B203" s="411" t="s">
        <v>388</v>
      </c>
      <c r="C203" s="415">
        <v>42541</v>
      </c>
      <c r="D203" s="412">
        <v>19759</v>
      </c>
      <c r="E203" s="417">
        <v>337033</v>
      </c>
      <c r="F203" s="425">
        <v>1.0429214668200871E-2</v>
      </c>
      <c r="G203" s="408"/>
    </row>
    <row r="204" spans="2:7">
      <c r="B204" s="411" t="s">
        <v>388</v>
      </c>
      <c r="C204" s="415">
        <v>42542</v>
      </c>
      <c r="D204" s="412">
        <v>19999</v>
      </c>
      <c r="E204" s="417">
        <v>637282</v>
      </c>
      <c r="F204" s="425">
        <v>1.2073188552269E-2</v>
      </c>
      <c r="G204" s="408"/>
    </row>
    <row r="205" spans="2:7">
      <c r="B205" s="411" t="s">
        <v>388</v>
      </c>
      <c r="C205" s="415">
        <v>42543</v>
      </c>
      <c r="D205" s="412">
        <v>20475</v>
      </c>
      <c r="E205" s="417">
        <v>563547</v>
      </c>
      <c r="F205" s="425">
        <v>2.3522357435183806E-2</v>
      </c>
      <c r="G205" s="408"/>
    </row>
    <row r="206" spans="2:7">
      <c r="B206" s="411" t="s">
        <v>388</v>
      </c>
      <c r="C206" s="415">
        <v>42544</v>
      </c>
      <c r="D206" s="412">
        <v>20519</v>
      </c>
      <c r="E206" s="417">
        <v>508656</v>
      </c>
      <c r="F206" s="425">
        <v>2.1466564324773567E-3</v>
      </c>
      <c r="G206" s="408"/>
    </row>
    <row r="207" spans="2:7">
      <c r="B207" s="411" t="s">
        <v>388</v>
      </c>
      <c r="C207" s="415">
        <v>42545</v>
      </c>
      <c r="D207" s="412">
        <v>20190</v>
      </c>
      <c r="E207" s="417">
        <v>788577</v>
      </c>
      <c r="F207" s="425">
        <v>-1.6163853846864425E-2</v>
      </c>
      <c r="G207" s="408"/>
    </row>
    <row r="208" spans="2:7">
      <c r="B208" s="411" t="s">
        <v>388</v>
      </c>
      <c r="C208" s="415">
        <v>42548</v>
      </c>
      <c r="D208" s="412">
        <v>19365</v>
      </c>
      <c r="E208" s="417">
        <v>554356</v>
      </c>
      <c r="F208" s="425">
        <v>-4.1720119358030577E-2</v>
      </c>
      <c r="G208" s="408"/>
    </row>
    <row r="209" spans="2:7">
      <c r="B209" s="411" t="s">
        <v>388</v>
      </c>
      <c r="C209" s="415">
        <v>42549</v>
      </c>
      <c r="D209" s="412">
        <v>20155</v>
      </c>
      <c r="E209" s="417">
        <v>649559</v>
      </c>
      <c r="F209" s="425">
        <v>3.9985083602413575E-2</v>
      </c>
      <c r="G209" s="408"/>
    </row>
    <row r="210" spans="2:7">
      <c r="B210" s="411" t="s">
        <v>388</v>
      </c>
      <c r="C210" s="415">
        <v>42550</v>
      </c>
      <c r="D210" s="412">
        <v>20370</v>
      </c>
      <c r="E210" s="417">
        <v>588001</v>
      </c>
      <c r="F210" s="425">
        <v>1.0610833669585429E-2</v>
      </c>
      <c r="G210" s="408"/>
    </row>
    <row r="211" spans="2:7">
      <c r="B211" s="411" t="s">
        <v>388</v>
      </c>
      <c r="C211" s="415">
        <v>42551</v>
      </c>
      <c r="D211" s="412">
        <v>20200</v>
      </c>
      <c r="E211" s="417">
        <v>1129021</v>
      </c>
      <c r="F211" s="425">
        <v>-8.3806258315553446E-3</v>
      </c>
      <c r="G211" s="408"/>
    </row>
    <row r="212" spans="2:7">
      <c r="B212" s="411" t="s">
        <v>388</v>
      </c>
      <c r="C212" s="415">
        <v>42552</v>
      </c>
      <c r="D212" s="412">
        <v>20126</v>
      </c>
      <c r="E212" s="417">
        <v>428103</v>
      </c>
      <c r="F212" s="425">
        <v>-3.6700928960176028E-3</v>
      </c>
      <c r="G212" s="408"/>
    </row>
    <row r="213" spans="2:7">
      <c r="B213" s="411" t="s">
        <v>388</v>
      </c>
      <c r="C213" s="415">
        <v>42555</v>
      </c>
      <c r="D213" s="412">
        <v>20002</v>
      </c>
      <c r="E213" s="417">
        <v>317588</v>
      </c>
      <c r="F213" s="425">
        <v>-6.1802429568172069E-3</v>
      </c>
      <c r="G213" s="408"/>
    </row>
    <row r="214" spans="2:7">
      <c r="B214" s="411" t="s">
        <v>388</v>
      </c>
      <c r="C214" s="415">
        <v>42556</v>
      </c>
      <c r="D214" s="412">
        <v>19798</v>
      </c>
      <c r="E214" s="417">
        <v>604643</v>
      </c>
      <c r="F214" s="425">
        <v>-1.0251346056708695E-2</v>
      </c>
      <c r="G214" s="408"/>
    </row>
    <row r="215" spans="2:7">
      <c r="B215" s="411" t="s">
        <v>388</v>
      </c>
      <c r="C215" s="415">
        <v>42557</v>
      </c>
      <c r="D215" s="412">
        <v>19300</v>
      </c>
      <c r="E215" s="417">
        <v>965022</v>
      </c>
      <c r="F215" s="425">
        <v>-2.5475826586775753E-2</v>
      </c>
      <c r="G215" s="408"/>
    </row>
    <row r="216" spans="2:7">
      <c r="B216" s="411" t="s">
        <v>388</v>
      </c>
      <c r="C216" s="415">
        <v>42558</v>
      </c>
      <c r="D216" s="412">
        <v>19529</v>
      </c>
      <c r="E216" s="417">
        <v>443291</v>
      </c>
      <c r="F216" s="425">
        <v>1.1795444389805395E-2</v>
      </c>
      <c r="G216" s="408"/>
    </row>
    <row r="217" spans="2:7">
      <c r="B217" s="411" t="s">
        <v>388</v>
      </c>
      <c r="C217" s="415">
        <v>42559</v>
      </c>
      <c r="D217" s="412">
        <v>19501</v>
      </c>
      <c r="E217" s="417">
        <v>270244</v>
      </c>
      <c r="F217" s="425">
        <v>-1.4347939945415947E-3</v>
      </c>
      <c r="G217" s="408"/>
    </row>
    <row r="218" spans="2:7">
      <c r="B218" s="411" t="s">
        <v>388</v>
      </c>
      <c r="C218" s="415">
        <v>42562</v>
      </c>
      <c r="D218" s="412">
        <v>20204</v>
      </c>
      <c r="E218" s="417">
        <v>454744</v>
      </c>
      <c r="F218" s="425">
        <v>3.5414858299702486E-2</v>
      </c>
      <c r="G218" s="408"/>
    </row>
    <row r="219" spans="2:7">
      <c r="B219" s="411" t="s">
        <v>388</v>
      </c>
      <c r="C219" s="415">
        <v>42563</v>
      </c>
      <c r="D219" s="412">
        <v>20153</v>
      </c>
      <c r="E219" s="417">
        <v>494611</v>
      </c>
      <c r="F219" s="425">
        <v>-2.527443920454057E-3</v>
      </c>
      <c r="G219" s="408"/>
    </row>
    <row r="220" spans="2:7">
      <c r="B220" s="411" t="s">
        <v>388</v>
      </c>
      <c r="C220" s="415">
        <v>42564</v>
      </c>
      <c r="D220" s="412">
        <v>20261</v>
      </c>
      <c r="E220" s="417">
        <v>555303</v>
      </c>
      <c r="F220" s="425">
        <v>5.3446952586620466E-3</v>
      </c>
      <c r="G220" s="408"/>
    </row>
    <row r="221" spans="2:7">
      <c r="B221" s="411" t="s">
        <v>388</v>
      </c>
      <c r="C221" s="415">
        <v>42565</v>
      </c>
      <c r="D221" s="412">
        <v>19851</v>
      </c>
      <c r="E221" s="417">
        <v>429518</v>
      </c>
      <c r="F221" s="425">
        <v>-2.0443472245982048E-2</v>
      </c>
      <c r="G221" s="408"/>
    </row>
    <row r="222" spans="2:7">
      <c r="B222" s="411" t="s">
        <v>388</v>
      </c>
      <c r="C222" s="415">
        <v>42566</v>
      </c>
      <c r="D222" s="412">
        <v>20323</v>
      </c>
      <c r="E222" s="417">
        <v>465789</v>
      </c>
      <c r="F222" s="425">
        <v>2.3498865910137817E-2</v>
      </c>
      <c r="G222" s="408"/>
    </row>
    <row r="223" spans="2:7">
      <c r="B223" s="411" t="s">
        <v>388</v>
      </c>
      <c r="C223" s="415">
        <v>42569</v>
      </c>
      <c r="D223" s="412">
        <v>20258</v>
      </c>
      <c r="E223" s="417">
        <v>200864</v>
      </c>
      <c r="F223" s="425">
        <v>-3.2034723435645516E-3</v>
      </c>
      <c r="G223" s="408"/>
    </row>
    <row r="224" spans="2:7">
      <c r="B224" s="411" t="s">
        <v>388</v>
      </c>
      <c r="C224" s="415">
        <v>42570</v>
      </c>
      <c r="D224" s="412">
        <v>20234</v>
      </c>
      <c r="E224" s="417">
        <v>345977</v>
      </c>
      <c r="F224" s="425">
        <v>-1.1854194809068166E-3</v>
      </c>
      <c r="G224" s="408"/>
    </row>
    <row r="225" spans="2:7">
      <c r="B225" s="411" t="s">
        <v>388</v>
      </c>
      <c r="C225" s="415">
        <v>42571</v>
      </c>
      <c r="D225" s="412">
        <v>20971</v>
      </c>
      <c r="E225" s="417">
        <v>621910</v>
      </c>
      <c r="F225" s="425">
        <v>3.5776173165283649E-2</v>
      </c>
      <c r="G225" s="408"/>
    </row>
    <row r="226" spans="2:7">
      <c r="B226" s="411" t="s">
        <v>388</v>
      </c>
      <c r="C226" s="415">
        <v>42572</v>
      </c>
      <c r="D226" s="412">
        <v>20700</v>
      </c>
      <c r="E226" s="417">
        <v>556560</v>
      </c>
      <c r="F226" s="425">
        <v>-1.3006830677658867E-2</v>
      </c>
      <c r="G226" s="408"/>
    </row>
    <row r="227" spans="2:7">
      <c r="B227" s="411" t="s">
        <v>388</v>
      </c>
      <c r="C227" s="415">
        <v>42573</v>
      </c>
      <c r="D227" s="412">
        <v>20726</v>
      </c>
      <c r="E227" s="417">
        <v>285073</v>
      </c>
      <c r="F227" s="425">
        <v>1.2552504907023189E-3</v>
      </c>
      <c r="G227" s="408"/>
    </row>
    <row r="228" spans="2:7">
      <c r="B228" s="411" t="s">
        <v>388</v>
      </c>
      <c r="C228" s="415">
        <v>42576</v>
      </c>
      <c r="D228" s="412">
        <v>21141</v>
      </c>
      <c r="E228" s="417">
        <v>367060</v>
      </c>
      <c r="F228" s="425">
        <v>1.9825332250969392E-2</v>
      </c>
      <c r="G228" s="408"/>
    </row>
    <row r="229" spans="2:7">
      <c r="B229" s="411" t="s">
        <v>388</v>
      </c>
      <c r="C229" s="415">
        <v>42577</v>
      </c>
      <c r="D229" s="412">
        <v>21697</v>
      </c>
      <c r="E229" s="417">
        <v>786253</v>
      </c>
      <c r="F229" s="425">
        <v>2.5959719128239644E-2</v>
      </c>
      <c r="G229" s="408"/>
    </row>
    <row r="230" spans="2:7">
      <c r="B230" s="411" t="s">
        <v>388</v>
      </c>
      <c r="C230" s="415">
        <v>42578</v>
      </c>
      <c r="D230" s="412">
        <v>21509</v>
      </c>
      <c r="E230" s="417">
        <v>668818</v>
      </c>
      <c r="F230" s="425">
        <v>-8.702549946938835E-3</v>
      </c>
      <c r="G230" s="408"/>
    </row>
    <row r="231" spans="2:7">
      <c r="B231" s="411" t="s">
        <v>388</v>
      </c>
      <c r="C231" s="415">
        <v>42579</v>
      </c>
      <c r="D231" s="412">
        <v>20996</v>
      </c>
      <c r="E231" s="417">
        <v>412256</v>
      </c>
      <c r="F231" s="425">
        <v>-2.4139508804242617E-2</v>
      </c>
      <c r="G231" s="408"/>
    </row>
    <row r="232" spans="2:7">
      <c r="B232" s="411" t="s">
        <v>388</v>
      </c>
      <c r="C232" s="415">
        <v>42580</v>
      </c>
      <c r="D232" s="412">
        <v>20708</v>
      </c>
      <c r="E232" s="417">
        <v>649270</v>
      </c>
      <c r="F232" s="425">
        <v>-1.3811844350398367E-2</v>
      </c>
      <c r="G232" s="408"/>
    </row>
    <row r="233" spans="2:7">
      <c r="B233" s="411" t="s">
        <v>388</v>
      </c>
      <c r="C233" s="415">
        <v>42583</v>
      </c>
      <c r="D233" s="412">
        <v>20521</v>
      </c>
      <c r="E233" s="417">
        <v>1058056</v>
      </c>
      <c r="F233" s="425">
        <v>-9.0713469810277027E-3</v>
      </c>
      <c r="G233" s="408"/>
    </row>
    <row r="234" spans="2:7">
      <c r="B234" s="411" t="s">
        <v>388</v>
      </c>
      <c r="C234" s="415">
        <v>42584</v>
      </c>
      <c r="D234" s="412">
        <v>20555</v>
      </c>
      <c r="E234" s="417">
        <v>677703</v>
      </c>
      <c r="F234" s="425">
        <v>1.655468291214562E-3</v>
      </c>
      <c r="G234" s="408"/>
    </row>
    <row r="235" spans="2:7">
      <c r="B235" s="411" t="s">
        <v>388</v>
      </c>
      <c r="C235" s="415">
        <v>42586</v>
      </c>
      <c r="D235" s="412">
        <v>20700</v>
      </c>
      <c r="E235" s="417">
        <v>282292</v>
      </c>
      <c r="F235" s="425">
        <v>7.0294799214816696E-3</v>
      </c>
      <c r="G235" s="408"/>
    </row>
    <row r="236" spans="2:7">
      <c r="B236" s="411" t="s">
        <v>388</v>
      </c>
      <c r="C236" s="415">
        <v>42587</v>
      </c>
      <c r="D236" s="412">
        <v>20600</v>
      </c>
      <c r="E236" s="417">
        <v>333658</v>
      </c>
      <c r="F236" s="425">
        <v>-4.8426244757880151E-3</v>
      </c>
      <c r="G236" s="408"/>
    </row>
    <row r="237" spans="2:7">
      <c r="B237" s="411" t="s">
        <v>388</v>
      </c>
      <c r="C237" s="415">
        <v>42590</v>
      </c>
      <c r="D237" s="412">
        <v>21078</v>
      </c>
      <c r="E237" s="417">
        <v>342039</v>
      </c>
      <c r="F237" s="425">
        <v>2.2938766716209529E-2</v>
      </c>
      <c r="G237" s="408"/>
    </row>
    <row r="238" spans="2:7">
      <c r="B238" s="411" t="s">
        <v>388</v>
      </c>
      <c r="C238" s="415">
        <v>42592</v>
      </c>
      <c r="D238" s="412">
        <v>21103</v>
      </c>
      <c r="E238" s="417">
        <v>648702</v>
      </c>
      <c r="F238" s="425">
        <v>1.1853679584308665E-3</v>
      </c>
      <c r="G238" s="408"/>
    </row>
    <row r="239" spans="2:7">
      <c r="B239" s="411" t="s">
        <v>388</v>
      </c>
      <c r="C239" s="415">
        <v>42593</v>
      </c>
      <c r="D239" s="412">
        <v>21161</v>
      </c>
      <c r="E239" s="417">
        <v>303010</v>
      </c>
      <c r="F239" s="425">
        <v>2.7446543824584946E-3</v>
      </c>
      <c r="G239" s="408"/>
    </row>
    <row r="240" spans="2:7">
      <c r="B240" s="411" t="s">
        <v>388</v>
      </c>
      <c r="C240" s="415">
        <v>42594</v>
      </c>
      <c r="D240" s="412">
        <v>21305</v>
      </c>
      <c r="E240" s="417">
        <v>293009</v>
      </c>
      <c r="F240" s="425">
        <v>6.7819220992410565E-3</v>
      </c>
      <c r="G240" s="408"/>
    </row>
    <row r="241" spans="2:7">
      <c r="B241" s="411" t="s">
        <v>388</v>
      </c>
      <c r="C241" s="415">
        <v>42597</v>
      </c>
      <c r="D241" s="412">
        <v>21015</v>
      </c>
      <c r="E241" s="417">
        <v>449357</v>
      </c>
      <c r="F241" s="425">
        <v>-1.3705318494795289E-2</v>
      </c>
      <c r="G241" s="408"/>
    </row>
    <row r="242" spans="2:7">
      <c r="B242" s="411" t="s">
        <v>388</v>
      </c>
      <c r="C242" s="415">
        <v>42598</v>
      </c>
      <c r="D242" s="412">
        <v>20790</v>
      </c>
      <c r="E242" s="417">
        <v>467966</v>
      </c>
      <c r="F242" s="425">
        <v>-1.076436658715843E-2</v>
      </c>
      <c r="G242" s="408"/>
    </row>
    <row r="243" spans="2:7">
      <c r="B243" s="411" t="s">
        <v>388</v>
      </c>
      <c r="C243" s="415">
        <v>42599</v>
      </c>
      <c r="D243" s="412">
        <v>20690</v>
      </c>
      <c r="E243" s="417">
        <v>614303</v>
      </c>
      <c r="F243" s="425">
        <v>-4.8216101124699028E-3</v>
      </c>
      <c r="G243" s="408"/>
    </row>
    <row r="244" spans="2:7">
      <c r="B244" s="411" t="s">
        <v>388</v>
      </c>
      <c r="C244" s="415">
        <v>42600</v>
      </c>
      <c r="D244" s="412">
        <v>20680</v>
      </c>
      <c r="E244" s="417">
        <v>461964</v>
      </c>
      <c r="F244" s="425">
        <v>-4.8344211722330734E-4</v>
      </c>
      <c r="G244" s="408"/>
    </row>
    <row r="245" spans="2:7">
      <c r="B245" s="411" t="s">
        <v>388</v>
      </c>
      <c r="C245" s="415">
        <v>42601</v>
      </c>
      <c r="D245" s="412">
        <v>20744</v>
      </c>
      <c r="E245" s="417">
        <v>1460397</v>
      </c>
      <c r="F245" s="425">
        <v>3.0899985961349041E-3</v>
      </c>
      <c r="G245" s="408"/>
    </row>
    <row r="246" spans="2:7">
      <c r="B246" s="411" t="s">
        <v>388</v>
      </c>
      <c r="C246" s="415">
        <v>42604</v>
      </c>
      <c r="D246" s="412">
        <v>20700</v>
      </c>
      <c r="E246" s="417">
        <v>259621</v>
      </c>
      <c r="F246" s="425">
        <v>-2.1233479650398209E-3</v>
      </c>
      <c r="G246" s="408"/>
    </row>
    <row r="247" spans="2:7">
      <c r="B247" s="411" t="s">
        <v>388</v>
      </c>
      <c r="C247" s="415">
        <v>42605</v>
      </c>
      <c r="D247" s="412">
        <v>20775</v>
      </c>
      <c r="E247" s="417">
        <v>907464</v>
      </c>
      <c r="F247" s="425">
        <v>3.6166404701885148E-3</v>
      </c>
      <c r="G247" s="408"/>
    </row>
    <row r="248" spans="2:7">
      <c r="B248" s="411" t="s">
        <v>388</v>
      </c>
      <c r="C248" s="415">
        <v>42606</v>
      </c>
      <c r="D248" s="412">
        <v>19650</v>
      </c>
      <c r="E248" s="417">
        <v>2673163</v>
      </c>
      <c r="F248" s="425">
        <v>-5.5673002426241638E-2</v>
      </c>
      <c r="G248" s="408"/>
    </row>
    <row r="249" spans="2:7">
      <c r="B249" s="411" t="s">
        <v>388</v>
      </c>
      <c r="C249" s="415">
        <v>42607</v>
      </c>
      <c r="D249" s="412">
        <v>19371</v>
      </c>
      <c r="E249" s="417">
        <v>1742612</v>
      </c>
      <c r="F249" s="425">
        <v>-1.4300236002830587E-2</v>
      </c>
      <c r="G249" s="408"/>
    </row>
    <row r="250" spans="2:7">
      <c r="B250" s="411" t="s">
        <v>388</v>
      </c>
      <c r="C250" s="415">
        <v>42608</v>
      </c>
      <c r="D250" s="412">
        <v>19698</v>
      </c>
      <c r="E250" s="417">
        <v>853507</v>
      </c>
      <c r="F250" s="425">
        <v>1.6740005435071009E-2</v>
      </c>
      <c r="G250" s="408"/>
    </row>
    <row r="251" spans="2:7">
      <c r="B251" s="411" t="s">
        <v>388</v>
      </c>
      <c r="C251" s="415">
        <v>42611</v>
      </c>
      <c r="D251" s="412">
        <v>19700</v>
      </c>
      <c r="E251" s="417">
        <v>954086</v>
      </c>
      <c r="F251" s="425">
        <v>1.0152799643213796E-4</v>
      </c>
      <c r="G251" s="408"/>
    </row>
    <row r="252" spans="2:7">
      <c r="B252" s="411" t="s">
        <v>388</v>
      </c>
      <c r="C252" s="415">
        <v>42612</v>
      </c>
      <c r="D252" s="412">
        <v>19728</v>
      </c>
      <c r="E252" s="417">
        <v>648727</v>
      </c>
      <c r="F252" s="425">
        <v>1.4203106780457139E-3</v>
      </c>
      <c r="G252" s="408"/>
    </row>
    <row r="253" spans="2:7">
      <c r="B253" s="411" t="s">
        <v>388</v>
      </c>
      <c r="C253" s="415">
        <v>42613</v>
      </c>
      <c r="D253" s="412">
        <v>19200</v>
      </c>
      <c r="E253" s="417">
        <v>1133445</v>
      </c>
      <c r="F253" s="425">
        <v>-2.7128667388252585E-2</v>
      </c>
      <c r="G253" s="408"/>
    </row>
    <row r="254" spans="2:7">
      <c r="B254" s="411" t="s">
        <v>388</v>
      </c>
      <c r="C254" s="415">
        <v>42614</v>
      </c>
      <c r="D254" s="412">
        <v>18950</v>
      </c>
      <c r="E254" s="417">
        <v>841851</v>
      </c>
      <c r="F254" s="425">
        <v>-1.3106347505300547E-2</v>
      </c>
      <c r="G254" s="408"/>
    </row>
    <row r="255" spans="2:7">
      <c r="B255" s="411" t="s">
        <v>388</v>
      </c>
      <c r="C255" s="415">
        <v>42615</v>
      </c>
      <c r="D255" s="412">
        <v>19126</v>
      </c>
      <c r="E255" s="417">
        <v>1307172</v>
      </c>
      <c r="F255" s="425">
        <v>9.2447343989156272E-3</v>
      </c>
      <c r="G255" s="408"/>
    </row>
    <row r="256" spans="2:7">
      <c r="B256" s="411" t="s">
        <v>388</v>
      </c>
      <c r="C256" s="415">
        <v>42618</v>
      </c>
      <c r="D256" s="412">
        <v>19242</v>
      </c>
      <c r="E256" s="417">
        <v>687074</v>
      </c>
      <c r="F256" s="425">
        <v>6.0467240117218664E-3</v>
      </c>
      <c r="G256" s="408"/>
    </row>
    <row r="257" spans="2:7">
      <c r="B257" s="411" t="s">
        <v>388</v>
      </c>
      <c r="C257" s="415">
        <v>42619</v>
      </c>
      <c r="D257" s="412">
        <v>19365</v>
      </c>
      <c r="E257" s="417">
        <v>678235</v>
      </c>
      <c r="F257" s="425">
        <v>6.3719230276425998E-3</v>
      </c>
      <c r="G257" s="408"/>
    </row>
    <row r="258" spans="2:7">
      <c r="B258" s="411" t="s">
        <v>388</v>
      </c>
      <c r="C258" s="415">
        <v>42620</v>
      </c>
      <c r="D258" s="412">
        <v>19175</v>
      </c>
      <c r="E258" s="417">
        <v>1319404</v>
      </c>
      <c r="F258" s="425">
        <v>-9.8599657133955753E-3</v>
      </c>
      <c r="G258" s="408"/>
    </row>
    <row r="259" spans="2:7">
      <c r="B259" s="411" t="s">
        <v>388</v>
      </c>
      <c r="C259" s="415">
        <v>42621</v>
      </c>
      <c r="D259" s="412">
        <v>19073</v>
      </c>
      <c r="E259" s="417">
        <v>1191975</v>
      </c>
      <c r="F259" s="425">
        <v>-5.3336248590303134E-3</v>
      </c>
      <c r="G259" s="408"/>
    </row>
    <row r="260" spans="2:7">
      <c r="B260" s="411" t="s">
        <v>388</v>
      </c>
      <c r="C260" s="415">
        <v>42622</v>
      </c>
      <c r="D260" s="412">
        <v>19000</v>
      </c>
      <c r="E260" s="417">
        <v>990356</v>
      </c>
      <c r="F260" s="425">
        <v>-3.8347432278491279E-3</v>
      </c>
      <c r="G260" s="408"/>
    </row>
    <row r="261" spans="2:7">
      <c r="B261" s="411" t="s">
        <v>388</v>
      </c>
      <c r="C261" s="415">
        <v>42625</v>
      </c>
      <c r="D261" s="412">
        <v>18868</v>
      </c>
      <c r="E261" s="417">
        <v>724032</v>
      </c>
      <c r="F261" s="425">
        <v>-6.9716137444251801E-3</v>
      </c>
      <c r="G261" s="408"/>
    </row>
    <row r="262" spans="2:7">
      <c r="B262" s="411" t="s">
        <v>388</v>
      </c>
      <c r="C262" s="415">
        <v>42626</v>
      </c>
      <c r="D262" s="412">
        <v>18857</v>
      </c>
      <c r="E262" s="417">
        <v>389079</v>
      </c>
      <c r="F262" s="425">
        <v>-5.8316767722960453E-4</v>
      </c>
      <c r="G262" s="408"/>
    </row>
    <row r="263" spans="2:7">
      <c r="B263" s="411" t="s">
        <v>388</v>
      </c>
      <c r="C263" s="415">
        <v>42627</v>
      </c>
      <c r="D263" s="412">
        <v>18952</v>
      </c>
      <c r="E263" s="417">
        <v>717012</v>
      </c>
      <c r="F263" s="425">
        <v>5.0252691116987351E-3</v>
      </c>
      <c r="G263" s="408"/>
    </row>
    <row r="264" spans="2:7">
      <c r="B264" s="411" t="s">
        <v>388</v>
      </c>
      <c r="C264" s="415">
        <v>42628</v>
      </c>
      <c r="D264" s="412">
        <v>18711</v>
      </c>
      <c r="E264" s="417">
        <v>820671</v>
      </c>
      <c r="F264" s="425">
        <v>-1.2797880644389106E-2</v>
      </c>
      <c r="G264" s="408"/>
    </row>
    <row r="265" spans="2:7">
      <c r="B265" s="411" t="s">
        <v>388</v>
      </c>
      <c r="C265" s="415">
        <v>42629</v>
      </c>
      <c r="D265" s="412">
        <v>18963</v>
      </c>
      <c r="E265" s="417">
        <v>2965580</v>
      </c>
      <c r="F265" s="425">
        <v>1.337812594617605E-2</v>
      </c>
      <c r="G265" s="408"/>
    </row>
    <row r="266" spans="2:7">
      <c r="B266" s="411" t="s">
        <v>388</v>
      </c>
      <c r="C266" s="415">
        <v>42632</v>
      </c>
      <c r="D266" s="412">
        <v>18857</v>
      </c>
      <c r="E266" s="417">
        <v>947573</v>
      </c>
      <c r="F266" s="425">
        <v>-5.6055144134857194E-3</v>
      </c>
      <c r="G266" s="408"/>
    </row>
    <row r="267" spans="2:7">
      <c r="B267" s="411" t="s">
        <v>388</v>
      </c>
      <c r="C267" s="415">
        <v>42633</v>
      </c>
      <c r="D267" s="412">
        <v>19000</v>
      </c>
      <c r="E267" s="417">
        <v>524454</v>
      </c>
      <c r="F267" s="425">
        <v>7.5547814216547779E-3</v>
      </c>
      <c r="G267" s="408"/>
    </row>
    <row r="268" spans="2:7">
      <c r="B268" s="411" t="s">
        <v>388</v>
      </c>
      <c r="C268" s="415">
        <v>42634</v>
      </c>
      <c r="D268" s="412">
        <v>19029</v>
      </c>
      <c r="E268" s="417">
        <v>687117</v>
      </c>
      <c r="F268" s="425">
        <v>1.525152153429231E-3</v>
      </c>
      <c r="G268" s="408"/>
    </row>
    <row r="269" spans="2:7">
      <c r="B269" s="411" t="s">
        <v>388</v>
      </c>
      <c r="C269" s="415">
        <v>42635</v>
      </c>
      <c r="D269" s="412">
        <v>19350</v>
      </c>
      <c r="E269" s="417">
        <v>872982</v>
      </c>
      <c r="F269" s="425">
        <v>1.672828815592094E-2</v>
      </c>
      <c r="G269" s="408"/>
    </row>
    <row r="270" spans="2:7">
      <c r="B270" s="411" t="s">
        <v>388</v>
      </c>
      <c r="C270" s="415">
        <v>42636</v>
      </c>
      <c r="D270" s="412">
        <v>19175</v>
      </c>
      <c r="E270" s="417">
        <v>1204051</v>
      </c>
      <c r="F270" s="425">
        <v>-9.0850722224709822E-3</v>
      </c>
      <c r="G270" s="408"/>
    </row>
    <row r="271" spans="2:7">
      <c r="B271" s="411" t="s">
        <v>388</v>
      </c>
      <c r="C271" s="415">
        <v>42639</v>
      </c>
      <c r="D271" s="412">
        <v>18805</v>
      </c>
      <c r="E271" s="417">
        <v>421530</v>
      </c>
      <c r="F271" s="425">
        <v>-1.9484555331020139E-2</v>
      </c>
      <c r="G271" s="408"/>
    </row>
    <row r="272" spans="2:7">
      <c r="B272" s="411" t="s">
        <v>388</v>
      </c>
      <c r="C272" s="415">
        <v>42640</v>
      </c>
      <c r="D272" s="412">
        <v>18903</v>
      </c>
      <c r="E272" s="417">
        <v>1174035</v>
      </c>
      <c r="F272" s="425">
        <v>5.1978477057285245E-3</v>
      </c>
      <c r="G272" s="408"/>
    </row>
    <row r="273" spans="2:7">
      <c r="B273" s="411" t="s">
        <v>388</v>
      </c>
      <c r="C273" s="415">
        <v>42641</v>
      </c>
      <c r="D273" s="412">
        <v>19047</v>
      </c>
      <c r="E273" s="417">
        <v>1231795</v>
      </c>
      <c r="F273" s="425">
        <v>7.588969228394477E-3</v>
      </c>
      <c r="G273" s="408"/>
    </row>
    <row r="274" spans="2:7">
      <c r="B274" s="411" t="s">
        <v>388</v>
      </c>
      <c r="C274" s="415">
        <v>42642</v>
      </c>
      <c r="D274" s="412">
        <v>19370</v>
      </c>
      <c r="E274" s="417">
        <v>1074399</v>
      </c>
      <c r="F274" s="425">
        <v>1.6815868562482062E-2</v>
      </c>
      <c r="G274" s="408"/>
    </row>
    <row r="275" spans="2:7">
      <c r="B275" s="411" t="s">
        <v>388</v>
      </c>
      <c r="C275" s="415">
        <v>42643</v>
      </c>
      <c r="D275" s="412">
        <v>19222</v>
      </c>
      <c r="E275" s="417">
        <v>651753</v>
      </c>
      <c r="F275" s="425">
        <v>-7.6700210178118709E-3</v>
      </c>
      <c r="G275" s="408"/>
    </row>
    <row r="276" spans="2:7">
      <c r="B276" s="411" t="s">
        <v>388</v>
      </c>
      <c r="C276" s="415">
        <v>42646</v>
      </c>
      <c r="D276" s="412">
        <v>19200</v>
      </c>
      <c r="E276" s="417">
        <v>569226</v>
      </c>
      <c r="F276" s="425">
        <v>-1.1451773673567694E-3</v>
      </c>
      <c r="G276" s="408"/>
    </row>
    <row r="277" spans="2:7">
      <c r="B277" s="411" t="s">
        <v>388</v>
      </c>
      <c r="C277" s="415">
        <v>42647</v>
      </c>
      <c r="D277" s="412">
        <v>19350</v>
      </c>
      <c r="E277" s="417">
        <v>499095</v>
      </c>
      <c r="F277" s="425">
        <v>7.782140442054949E-3</v>
      </c>
      <c r="G277" s="408"/>
    </row>
    <row r="278" spans="2:7">
      <c r="B278" s="411" t="s">
        <v>388</v>
      </c>
      <c r="C278" s="415">
        <v>42648</v>
      </c>
      <c r="D278" s="412">
        <v>19386</v>
      </c>
      <c r="E278" s="417">
        <v>290212</v>
      </c>
      <c r="F278" s="425">
        <v>1.858736594625342E-3</v>
      </c>
      <c r="G278" s="408"/>
    </row>
    <row r="279" spans="2:7">
      <c r="B279" s="411" t="s">
        <v>388</v>
      </c>
      <c r="C279" s="415">
        <v>42649</v>
      </c>
      <c r="D279" s="412">
        <v>19139</v>
      </c>
      <c r="E279" s="417">
        <v>626650</v>
      </c>
      <c r="F279" s="425">
        <v>-1.2823018014480086E-2</v>
      </c>
      <c r="G279" s="408"/>
    </row>
    <row r="280" spans="2:7">
      <c r="B280" s="411" t="s">
        <v>388</v>
      </c>
      <c r="C280" s="415">
        <v>42650</v>
      </c>
      <c r="D280" s="412">
        <v>19200</v>
      </c>
      <c r="E280" s="417">
        <v>609589</v>
      </c>
      <c r="F280" s="425">
        <v>3.1821409777998359E-3</v>
      </c>
      <c r="G280" s="408"/>
    </row>
    <row r="281" spans="2:7">
      <c r="B281" s="411" t="s">
        <v>388</v>
      </c>
      <c r="C281" s="415">
        <v>42653</v>
      </c>
      <c r="D281" s="412">
        <v>19202</v>
      </c>
      <c r="E281" s="417">
        <v>722567</v>
      </c>
      <c r="F281" s="425">
        <v>1.041612416960805E-4</v>
      </c>
      <c r="G281" s="408"/>
    </row>
    <row r="282" spans="2:7">
      <c r="B282" s="411" t="s">
        <v>388</v>
      </c>
      <c r="C282" s="415">
        <v>42654</v>
      </c>
      <c r="D282" s="412">
        <v>19196</v>
      </c>
      <c r="E282" s="417">
        <v>951118</v>
      </c>
      <c r="F282" s="425">
        <v>-3.1251627943299154E-4</v>
      </c>
      <c r="G282" s="408"/>
    </row>
    <row r="283" spans="2:7">
      <c r="B283" s="411" t="s">
        <v>388</v>
      </c>
      <c r="C283" s="415">
        <v>42655</v>
      </c>
      <c r="D283" s="412">
        <v>19100</v>
      </c>
      <c r="E283" s="417">
        <v>716897</v>
      </c>
      <c r="F283" s="425">
        <v>-5.0135889434148664E-3</v>
      </c>
      <c r="G283" s="408"/>
    </row>
    <row r="284" spans="2:7">
      <c r="B284" s="411" t="s">
        <v>388</v>
      </c>
      <c r="C284" s="415">
        <v>42656</v>
      </c>
      <c r="D284" s="412">
        <v>18727</v>
      </c>
      <c r="E284" s="417">
        <v>787843</v>
      </c>
      <c r="F284" s="425">
        <v>-1.9722002274212856E-2</v>
      </c>
      <c r="G284" s="408"/>
    </row>
    <row r="285" spans="2:7">
      <c r="B285" s="411" t="s">
        <v>388</v>
      </c>
      <c r="C285" s="415">
        <v>42657</v>
      </c>
      <c r="D285" s="412">
        <v>19135</v>
      </c>
      <c r="E285" s="417">
        <v>734731</v>
      </c>
      <c r="F285" s="425">
        <v>2.1552786099294251E-2</v>
      </c>
      <c r="G285" s="408"/>
    </row>
    <row r="286" spans="2:7">
      <c r="B286" s="411" t="s">
        <v>388</v>
      </c>
      <c r="C286" s="415">
        <v>42660</v>
      </c>
      <c r="D286" s="412">
        <v>19287</v>
      </c>
      <c r="E286" s="417">
        <v>574439</v>
      </c>
      <c r="F286" s="425">
        <v>7.9121749499937166E-3</v>
      </c>
      <c r="G286" s="408"/>
    </row>
    <row r="287" spans="2:7">
      <c r="B287" s="411" t="s">
        <v>388</v>
      </c>
      <c r="C287" s="415">
        <v>42661</v>
      </c>
      <c r="D287" s="412">
        <v>19152</v>
      </c>
      <c r="E287" s="417">
        <v>814874</v>
      </c>
      <c r="F287" s="425">
        <v>-7.0241450120420122E-3</v>
      </c>
      <c r="G287" s="408"/>
    </row>
    <row r="288" spans="2:7">
      <c r="B288" s="411" t="s">
        <v>388</v>
      </c>
      <c r="C288" s="415">
        <v>42662</v>
      </c>
      <c r="D288" s="412">
        <v>19198</v>
      </c>
      <c r="E288" s="417">
        <v>426991</v>
      </c>
      <c r="F288" s="425">
        <v>2.3989581257277616E-3</v>
      </c>
      <c r="G288" s="408"/>
    </row>
    <row r="289" spans="2:7">
      <c r="B289" s="411" t="s">
        <v>388</v>
      </c>
      <c r="C289" s="415">
        <v>42663</v>
      </c>
      <c r="D289" s="412">
        <v>19020</v>
      </c>
      <c r="E289" s="417">
        <v>366473</v>
      </c>
      <c r="F289" s="425">
        <v>-9.3150498241009756E-3</v>
      </c>
      <c r="G289" s="408"/>
    </row>
    <row r="290" spans="2:7">
      <c r="B290" s="411" t="s">
        <v>388</v>
      </c>
      <c r="C290" s="415">
        <v>42664</v>
      </c>
      <c r="D290" s="412">
        <v>19185</v>
      </c>
      <c r="E290" s="417">
        <v>469906</v>
      </c>
      <c r="F290" s="425">
        <v>8.6376665816714042E-3</v>
      </c>
      <c r="G290" s="408"/>
    </row>
    <row r="291" spans="2:7">
      <c r="B291" s="411" t="s">
        <v>388</v>
      </c>
      <c r="C291" s="415">
        <v>42667</v>
      </c>
      <c r="D291" s="412">
        <v>19286</v>
      </c>
      <c r="E291" s="417">
        <v>497640</v>
      </c>
      <c r="F291" s="425">
        <v>5.2507203892768594E-3</v>
      </c>
      <c r="G291" s="408"/>
    </row>
    <row r="292" spans="2:7">
      <c r="B292" s="411" t="s">
        <v>388</v>
      </c>
      <c r="C292" s="415">
        <v>42668</v>
      </c>
      <c r="D292" s="412">
        <v>19272</v>
      </c>
      <c r="E292" s="417">
        <v>732640</v>
      </c>
      <c r="F292" s="425">
        <v>-7.2617877562246845E-4</v>
      </c>
      <c r="G292" s="408"/>
    </row>
    <row r="293" spans="2:7">
      <c r="B293" s="411" t="s">
        <v>388</v>
      </c>
      <c r="C293" s="415">
        <v>42669</v>
      </c>
      <c r="D293" s="412">
        <v>19168</v>
      </c>
      <c r="E293" s="417">
        <v>450394</v>
      </c>
      <c r="F293" s="425">
        <v>-5.4110433795313811E-3</v>
      </c>
      <c r="G293" s="408"/>
    </row>
    <row r="294" spans="2:7">
      <c r="B294" s="411" t="s">
        <v>388</v>
      </c>
      <c r="C294" s="415">
        <v>42670</v>
      </c>
      <c r="D294" s="412">
        <v>19094</v>
      </c>
      <c r="E294" s="417">
        <v>442270</v>
      </c>
      <c r="F294" s="425">
        <v>-3.8680723571973595E-3</v>
      </c>
      <c r="G294" s="408"/>
    </row>
    <row r="295" spans="2:7">
      <c r="B295" s="411" t="s">
        <v>388</v>
      </c>
      <c r="C295" s="415">
        <v>42671</v>
      </c>
      <c r="D295" s="412">
        <v>18832</v>
      </c>
      <c r="E295" s="417">
        <v>428756</v>
      </c>
      <c r="F295" s="425">
        <v>-1.3816599057920508E-2</v>
      </c>
      <c r="G295" s="408"/>
    </row>
    <row r="296" spans="2:7">
      <c r="B296" s="411" t="s">
        <v>388</v>
      </c>
      <c r="C296" s="415">
        <v>42674</v>
      </c>
      <c r="D296" s="412">
        <v>19100</v>
      </c>
      <c r="E296" s="417">
        <v>385416</v>
      </c>
      <c r="F296" s="425">
        <v>1.4130784534663186E-2</v>
      </c>
      <c r="G296" s="408"/>
    </row>
    <row r="297" spans="2:7">
      <c r="B297" s="411" t="s">
        <v>388</v>
      </c>
      <c r="C297" s="415">
        <v>42675</v>
      </c>
      <c r="D297" s="412">
        <v>18965</v>
      </c>
      <c r="E297" s="417">
        <v>505024</v>
      </c>
      <c r="F297" s="425">
        <v>-7.0931599117219617E-3</v>
      </c>
      <c r="G297" s="408"/>
    </row>
    <row r="298" spans="2:7">
      <c r="B298" s="411" t="s">
        <v>388</v>
      </c>
      <c r="C298" s="415">
        <v>42676</v>
      </c>
      <c r="D298" s="412">
        <v>18778</v>
      </c>
      <c r="E298" s="417">
        <v>666108</v>
      </c>
      <c r="F298" s="425">
        <v>-9.9092033045065538E-3</v>
      </c>
      <c r="G298" s="408"/>
    </row>
    <row r="299" spans="2:7">
      <c r="B299" s="411" t="s">
        <v>388</v>
      </c>
      <c r="C299" s="415">
        <v>42677</v>
      </c>
      <c r="D299" s="412">
        <v>18600</v>
      </c>
      <c r="E299" s="417">
        <v>629533</v>
      </c>
      <c r="F299" s="425">
        <v>-9.5243911172000987E-3</v>
      </c>
      <c r="G299" s="408"/>
    </row>
    <row r="300" spans="2:7">
      <c r="B300" s="411" t="s">
        <v>388</v>
      </c>
      <c r="C300" s="415">
        <v>42678</v>
      </c>
      <c r="D300" s="412">
        <v>18350</v>
      </c>
      <c r="E300" s="417">
        <v>545521</v>
      </c>
      <c r="F300" s="425">
        <v>-1.3532006218576273E-2</v>
      </c>
      <c r="G300" s="408"/>
    </row>
    <row r="301" spans="2:7">
      <c r="B301" s="411" t="s">
        <v>388</v>
      </c>
      <c r="C301" s="415">
        <v>42681</v>
      </c>
      <c r="D301" s="412">
        <v>18701</v>
      </c>
      <c r="E301" s="417">
        <v>1147571</v>
      </c>
      <c r="F301" s="425">
        <v>1.8947423866003659E-2</v>
      </c>
      <c r="G301" s="408"/>
    </row>
    <row r="302" spans="2:7">
      <c r="B302" s="411" t="s">
        <v>388</v>
      </c>
      <c r="C302" s="415">
        <v>42682</v>
      </c>
      <c r="D302" s="412">
        <v>18898</v>
      </c>
      <c r="E302" s="417">
        <v>637296</v>
      </c>
      <c r="F302" s="425">
        <v>1.0479097993851272E-2</v>
      </c>
      <c r="G302" s="408"/>
    </row>
    <row r="303" spans="2:7">
      <c r="B303" s="411" t="s">
        <v>388</v>
      </c>
      <c r="C303" s="415">
        <v>42683</v>
      </c>
      <c r="D303" s="412">
        <v>18500</v>
      </c>
      <c r="E303" s="417">
        <v>587808</v>
      </c>
      <c r="F303" s="425">
        <v>-2.1285364276155058E-2</v>
      </c>
      <c r="G303" s="408"/>
    </row>
    <row r="304" spans="2:7">
      <c r="B304" s="411" t="s">
        <v>388</v>
      </c>
      <c r="C304" s="415">
        <v>42684</v>
      </c>
      <c r="D304" s="412">
        <v>17991</v>
      </c>
      <c r="E304" s="417">
        <v>611867</v>
      </c>
      <c r="F304" s="425">
        <v>-2.7899099229796727E-2</v>
      </c>
      <c r="G304" s="408"/>
    </row>
    <row r="305" spans="2:7">
      <c r="B305" s="411" t="s">
        <v>388</v>
      </c>
      <c r="C305" s="415">
        <v>42685</v>
      </c>
      <c r="D305" s="412">
        <v>17287</v>
      </c>
      <c r="E305" s="417">
        <v>1631269</v>
      </c>
      <c r="F305" s="425">
        <v>-3.9916858913832676E-2</v>
      </c>
      <c r="G305" s="408"/>
    </row>
    <row r="306" spans="2:7">
      <c r="B306" s="411" t="s">
        <v>388</v>
      </c>
      <c r="C306" s="415">
        <v>42688</v>
      </c>
      <c r="D306" s="412">
        <v>17100</v>
      </c>
      <c r="E306" s="417">
        <v>1300508</v>
      </c>
      <c r="F306" s="425">
        <v>-1.0876310432035527E-2</v>
      </c>
      <c r="G306" s="408"/>
    </row>
    <row r="307" spans="2:7">
      <c r="B307" s="411" t="s">
        <v>388</v>
      </c>
      <c r="C307" s="415">
        <v>42689</v>
      </c>
      <c r="D307" s="412">
        <v>17510</v>
      </c>
      <c r="E307" s="417">
        <v>1508301</v>
      </c>
      <c r="F307" s="425">
        <v>2.3693682789146252E-2</v>
      </c>
      <c r="G307" s="408"/>
    </row>
    <row r="308" spans="2:7">
      <c r="B308" s="411" t="s">
        <v>388</v>
      </c>
      <c r="C308" s="415">
        <v>42690</v>
      </c>
      <c r="D308" s="412">
        <v>18200</v>
      </c>
      <c r="E308" s="417">
        <v>1406267</v>
      </c>
      <c r="F308" s="425">
        <v>3.8649447784989202E-2</v>
      </c>
      <c r="G308" s="408"/>
    </row>
    <row r="309" spans="2:7">
      <c r="B309" s="411" t="s">
        <v>388</v>
      </c>
      <c r="C309" s="415">
        <v>42691</v>
      </c>
      <c r="D309" s="412">
        <v>18140</v>
      </c>
      <c r="E309" s="417">
        <v>622961</v>
      </c>
      <c r="F309" s="425">
        <v>-3.3021493957591107E-3</v>
      </c>
      <c r="G309" s="408"/>
    </row>
    <row r="310" spans="2:7">
      <c r="B310" s="411" t="s">
        <v>388</v>
      </c>
      <c r="C310" s="415">
        <v>42692</v>
      </c>
      <c r="D310" s="412">
        <v>18200</v>
      </c>
      <c r="E310" s="417">
        <v>655231</v>
      </c>
      <c r="F310" s="425">
        <v>3.3021493957590318E-3</v>
      </c>
      <c r="G310" s="408"/>
    </row>
    <row r="311" spans="2:7">
      <c r="B311" s="411" t="s">
        <v>388</v>
      </c>
      <c r="C311" s="415">
        <v>42695</v>
      </c>
      <c r="D311" s="412">
        <v>18256</v>
      </c>
      <c r="E311" s="417">
        <v>717065</v>
      </c>
      <c r="F311" s="425">
        <v>3.0721990369700588E-3</v>
      </c>
      <c r="G311" s="408"/>
    </row>
    <row r="312" spans="2:7">
      <c r="B312" s="411" t="s">
        <v>388</v>
      </c>
      <c r="C312" s="415">
        <v>42696</v>
      </c>
      <c r="D312" s="412">
        <v>18764</v>
      </c>
      <c r="E312" s="417">
        <v>755337</v>
      </c>
      <c r="F312" s="425">
        <v>2.7446347346491814E-2</v>
      </c>
      <c r="G312" s="408"/>
    </row>
    <row r="313" spans="2:7">
      <c r="B313" s="411" t="s">
        <v>388</v>
      </c>
      <c r="C313" s="415">
        <v>42697</v>
      </c>
      <c r="D313" s="412">
        <v>18897</v>
      </c>
      <c r="E313" s="417">
        <v>1038386</v>
      </c>
      <c r="F313" s="425">
        <v>7.0630388416900785E-3</v>
      </c>
      <c r="G313" s="408"/>
    </row>
    <row r="314" spans="2:7">
      <c r="B314" s="411" t="s">
        <v>388</v>
      </c>
      <c r="C314" s="415">
        <v>42698</v>
      </c>
      <c r="D314" s="412">
        <v>18683</v>
      </c>
      <c r="E314" s="417">
        <v>525379</v>
      </c>
      <c r="F314" s="425">
        <v>-1.1389159830201299E-2</v>
      </c>
      <c r="G314" s="408"/>
    </row>
    <row r="315" spans="2:7">
      <c r="B315" s="411" t="s">
        <v>388</v>
      </c>
      <c r="C315" s="415">
        <v>42699</v>
      </c>
      <c r="D315" s="412">
        <v>18691</v>
      </c>
      <c r="E315" s="417">
        <v>531893</v>
      </c>
      <c r="F315" s="425">
        <v>4.2810510634029082E-4</v>
      </c>
      <c r="G315" s="408"/>
    </row>
    <row r="316" spans="2:7">
      <c r="B316" s="411" t="s">
        <v>388</v>
      </c>
      <c r="C316" s="415">
        <v>42702</v>
      </c>
      <c r="D316" s="412">
        <v>19049</v>
      </c>
      <c r="E316" s="417">
        <v>3161109</v>
      </c>
      <c r="F316" s="425">
        <v>1.8972482172520209E-2</v>
      </c>
      <c r="G316" s="408"/>
    </row>
    <row r="317" spans="2:7">
      <c r="B317" s="411" t="s">
        <v>388</v>
      </c>
      <c r="C317" s="415">
        <v>42703</v>
      </c>
      <c r="D317" s="412">
        <v>18972</v>
      </c>
      <c r="E317" s="417">
        <v>556724</v>
      </c>
      <c r="F317" s="425">
        <v>-4.0503987412256783E-3</v>
      </c>
      <c r="G317" s="408"/>
    </row>
    <row r="318" spans="2:7">
      <c r="B318" s="411" t="s">
        <v>388</v>
      </c>
      <c r="C318" s="415">
        <v>42704</v>
      </c>
      <c r="D318" s="412">
        <v>18950</v>
      </c>
      <c r="E318" s="417">
        <v>1475076</v>
      </c>
      <c r="F318" s="425">
        <v>-1.160276486899903E-3</v>
      </c>
      <c r="G318" s="408"/>
    </row>
    <row r="319" spans="2:7">
      <c r="B319" s="411" t="s">
        <v>388</v>
      </c>
      <c r="C319" s="415">
        <v>42705</v>
      </c>
      <c r="D319" s="412">
        <v>18976</v>
      </c>
      <c r="E319" s="417">
        <v>623538</v>
      </c>
      <c r="F319" s="425">
        <v>1.3710912868796436E-3</v>
      </c>
      <c r="G319" s="408"/>
    </row>
    <row r="320" spans="2:7">
      <c r="B320" s="411" t="s">
        <v>388</v>
      </c>
      <c r="C320" s="415">
        <v>42706</v>
      </c>
      <c r="D320" s="412">
        <v>18420</v>
      </c>
      <c r="E320" s="417">
        <v>995162</v>
      </c>
      <c r="F320" s="425">
        <v>-2.9737991988154119E-2</v>
      </c>
      <c r="G320" s="408"/>
    </row>
    <row r="321" spans="2:7">
      <c r="B321" s="411" t="s">
        <v>388</v>
      </c>
      <c r="C321" s="415">
        <v>42709</v>
      </c>
      <c r="D321" s="412">
        <v>18892</v>
      </c>
      <c r="E321" s="417">
        <v>925699</v>
      </c>
      <c r="F321" s="425">
        <v>2.5301521206709948E-2</v>
      </c>
      <c r="G321" s="408"/>
    </row>
    <row r="322" spans="2:7">
      <c r="B322" s="411" t="s">
        <v>388</v>
      </c>
      <c r="C322" s="415">
        <v>42710</v>
      </c>
      <c r="D322" s="412">
        <v>18630</v>
      </c>
      <c r="E322" s="417">
        <v>1086380</v>
      </c>
      <c r="F322" s="425">
        <v>-1.3965367420373612E-2</v>
      </c>
      <c r="G322" s="408"/>
    </row>
    <row r="323" spans="2:7">
      <c r="B323" s="411" t="s">
        <v>388</v>
      </c>
      <c r="C323" s="415">
        <v>42711</v>
      </c>
      <c r="D323" s="412">
        <v>18500</v>
      </c>
      <c r="E323" s="417">
        <v>519710</v>
      </c>
      <c r="F323" s="425">
        <v>-7.0024525292179847E-3</v>
      </c>
      <c r="G323" s="408"/>
    </row>
    <row r="324" spans="2:7">
      <c r="B324" s="411" t="s">
        <v>388</v>
      </c>
      <c r="C324" s="415">
        <v>42712</v>
      </c>
      <c r="D324" s="412">
        <v>19100</v>
      </c>
      <c r="E324" s="417">
        <v>1061519</v>
      </c>
      <c r="F324" s="425">
        <v>3.1917602968304946E-2</v>
      </c>
      <c r="G324" s="408"/>
    </row>
    <row r="325" spans="2:7">
      <c r="B325" s="411" t="s">
        <v>388</v>
      </c>
      <c r="C325" s="415">
        <v>42713</v>
      </c>
      <c r="D325" s="412">
        <v>19239</v>
      </c>
      <c r="E325" s="417">
        <v>819695</v>
      </c>
      <c r="F325" s="425">
        <v>7.2511337822514423E-3</v>
      </c>
      <c r="G325" s="408"/>
    </row>
    <row r="326" spans="2:7">
      <c r="B326" s="411" t="s">
        <v>388</v>
      </c>
      <c r="C326" s="415">
        <v>42716</v>
      </c>
      <c r="D326" s="412">
        <v>19239</v>
      </c>
      <c r="E326" s="417">
        <v>687926</v>
      </c>
      <c r="F326" s="425">
        <v>0</v>
      </c>
      <c r="G326" s="408"/>
    </row>
    <row r="327" spans="2:7">
      <c r="B327" s="411" t="s">
        <v>388</v>
      </c>
      <c r="C327" s="415">
        <v>42717</v>
      </c>
      <c r="D327" s="412">
        <v>19514</v>
      </c>
      <c r="E327" s="417">
        <v>1184426</v>
      </c>
      <c r="F327" s="425">
        <v>1.4192687850922647E-2</v>
      </c>
      <c r="G327" s="408"/>
    </row>
    <row r="328" spans="2:7">
      <c r="B328" s="411" t="s">
        <v>388</v>
      </c>
      <c r="C328" s="415">
        <v>42718</v>
      </c>
      <c r="D328" s="412">
        <v>19300</v>
      </c>
      <c r="E328" s="417">
        <v>1100956</v>
      </c>
      <c r="F328" s="425">
        <v>-1.1027060774918386E-2</v>
      </c>
      <c r="G328" s="408"/>
    </row>
    <row r="329" spans="2:7">
      <c r="B329" s="411" t="s">
        <v>388</v>
      </c>
      <c r="C329" s="415">
        <v>42719</v>
      </c>
      <c r="D329" s="412">
        <v>19150</v>
      </c>
      <c r="E329" s="417">
        <v>2173077</v>
      </c>
      <c r="F329" s="425">
        <v>-7.802380284184899E-3</v>
      </c>
      <c r="G329" s="408"/>
    </row>
    <row r="330" spans="2:7">
      <c r="B330" s="411" t="s">
        <v>388</v>
      </c>
      <c r="C330" s="415">
        <v>42723</v>
      </c>
      <c r="D330" s="412">
        <v>19500</v>
      </c>
      <c r="E330" s="417">
        <v>597597</v>
      </c>
      <c r="F330" s="425">
        <v>1.8111749943046103E-2</v>
      </c>
      <c r="G330" s="408"/>
    </row>
    <row r="331" spans="2:7">
      <c r="B331" s="411" t="s">
        <v>388</v>
      </c>
      <c r="C331" s="415">
        <v>42724</v>
      </c>
      <c r="D331" s="412">
        <v>19706</v>
      </c>
      <c r="E331" s="417">
        <v>591176</v>
      </c>
      <c r="F331" s="425">
        <v>1.0508692330581696E-2</v>
      </c>
      <c r="G331" s="408"/>
    </row>
    <row r="332" spans="2:7">
      <c r="B332" s="411" t="s">
        <v>388</v>
      </c>
      <c r="C332" s="415">
        <v>42725</v>
      </c>
      <c r="D332" s="412">
        <v>19576</v>
      </c>
      <c r="E332" s="417">
        <v>714261</v>
      </c>
      <c r="F332" s="425">
        <v>-6.6188317599123253E-3</v>
      </c>
      <c r="G332" s="408"/>
    </row>
    <row r="333" spans="2:7">
      <c r="B333" s="411" t="s">
        <v>388</v>
      </c>
      <c r="C333" s="415">
        <v>42726</v>
      </c>
      <c r="D333" s="412">
        <v>19499</v>
      </c>
      <c r="E333" s="417">
        <v>398980</v>
      </c>
      <c r="F333" s="425">
        <v>-3.9411439369208007E-3</v>
      </c>
      <c r="G333" s="408"/>
    </row>
    <row r="334" spans="2:7">
      <c r="B334" s="411" t="s">
        <v>388</v>
      </c>
      <c r="C334" s="415">
        <v>42727</v>
      </c>
      <c r="D334" s="412">
        <v>19184</v>
      </c>
      <c r="E334" s="417">
        <v>185531</v>
      </c>
      <c r="F334" s="425">
        <v>-1.628658391829127E-2</v>
      </c>
      <c r="G334" s="408"/>
    </row>
    <row r="335" spans="2:7">
      <c r="B335" s="411" t="s">
        <v>388</v>
      </c>
      <c r="C335" s="415">
        <v>42732</v>
      </c>
      <c r="D335" s="412">
        <v>19800</v>
      </c>
      <c r="E335" s="417">
        <v>586612</v>
      </c>
      <c r="F335" s="425">
        <v>3.1605339415331044E-2</v>
      </c>
      <c r="G335" s="408"/>
    </row>
    <row r="336" spans="2:7">
      <c r="B336" s="411" t="s">
        <v>388</v>
      </c>
      <c r="C336" s="415">
        <v>42733</v>
      </c>
      <c r="D336" s="412">
        <v>20019</v>
      </c>
      <c r="E336" s="417">
        <v>363404</v>
      </c>
      <c r="F336" s="425">
        <v>1.0999884889089569E-2</v>
      </c>
      <c r="G336" s="408"/>
    </row>
    <row r="337" spans="2:7">
      <c r="B337" s="411" t="s">
        <v>388</v>
      </c>
      <c r="C337" s="415">
        <v>42734</v>
      </c>
      <c r="D337" s="412">
        <v>19858</v>
      </c>
      <c r="E337" s="417">
        <v>199862</v>
      </c>
      <c r="F337" s="425">
        <v>-8.0748739781767876E-3</v>
      </c>
      <c r="G337" s="408"/>
    </row>
    <row r="338" spans="2:7">
      <c r="B338" s="411" t="s">
        <v>388</v>
      </c>
      <c r="C338" s="415">
        <v>42738</v>
      </c>
      <c r="D338" s="412">
        <v>19775</v>
      </c>
      <c r="E338" s="417">
        <v>478446</v>
      </c>
      <c r="F338" s="425">
        <v>-4.188434957684806E-3</v>
      </c>
      <c r="G338" s="408"/>
    </row>
    <row r="339" spans="2:7">
      <c r="B339" s="411" t="s">
        <v>388</v>
      </c>
      <c r="C339" s="415">
        <v>42739</v>
      </c>
      <c r="D339" s="412">
        <v>19859</v>
      </c>
      <c r="E339" s="417">
        <v>492747</v>
      </c>
      <c r="F339" s="425">
        <v>4.238791228310064E-3</v>
      </c>
      <c r="G339" s="408"/>
    </row>
    <row r="340" spans="2:7">
      <c r="B340" s="411" t="s">
        <v>388</v>
      </c>
      <c r="C340" s="415">
        <v>42740</v>
      </c>
      <c r="D340" s="412">
        <v>19848</v>
      </c>
      <c r="E340" s="417">
        <v>496118</v>
      </c>
      <c r="F340" s="425">
        <v>-5.5405849252776126E-4</v>
      </c>
      <c r="G340" s="408"/>
    </row>
    <row r="341" spans="2:7">
      <c r="B341" s="411" t="s">
        <v>388</v>
      </c>
      <c r="C341" s="415">
        <v>42741</v>
      </c>
      <c r="D341" s="412">
        <v>19601</v>
      </c>
      <c r="E341" s="417">
        <v>699085</v>
      </c>
      <c r="F341" s="425">
        <v>-1.2522661046361802E-2</v>
      </c>
      <c r="G341" s="408"/>
    </row>
    <row r="342" spans="2:7">
      <c r="B342" s="411" t="s">
        <v>388</v>
      </c>
      <c r="C342" s="415">
        <v>42744</v>
      </c>
      <c r="D342" s="412">
        <v>19685</v>
      </c>
      <c r="E342" s="417">
        <v>464250</v>
      </c>
      <c r="F342" s="425">
        <v>4.2763390525627767E-3</v>
      </c>
      <c r="G342" s="408"/>
    </row>
    <row r="343" spans="2:7">
      <c r="B343" s="411" t="s">
        <v>388</v>
      </c>
      <c r="C343" s="415">
        <v>42745</v>
      </c>
      <c r="D343" s="412">
        <v>19612</v>
      </c>
      <c r="E343" s="417">
        <v>354041</v>
      </c>
      <c r="F343" s="425">
        <v>-3.7153006067140752E-3</v>
      </c>
      <c r="G343" s="408"/>
    </row>
    <row r="344" spans="2:7">
      <c r="B344" s="411" t="s">
        <v>388</v>
      </c>
      <c r="C344" s="415">
        <v>42746</v>
      </c>
      <c r="D344" s="412">
        <v>19501</v>
      </c>
      <c r="E344" s="417">
        <v>826777</v>
      </c>
      <c r="F344" s="425">
        <v>-5.6758774828831347E-3</v>
      </c>
      <c r="G344" s="408"/>
    </row>
    <row r="345" spans="2:7">
      <c r="B345" s="411" t="s">
        <v>388</v>
      </c>
      <c r="C345" s="415">
        <v>42747</v>
      </c>
      <c r="D345" s="412">
        <v>19401</v>
      </c>
      <c r="E345" s="417">
        <v>1332468</v>
      </c>
      <c r="F345" s="425">
        <v>-5.1411351735382825E-3</v>
      </c>
      <c r="G345" s="408"/>
    </row>
    <row r="346" spans="2:7">
      <c r="B346" s="411" t="s">
        <v>388</v>
      </c>
      <c r="C346" s="415">
        <v>42748</v>
      </c>
      <c r="D346" s="412">
        <v>19329</v>
      </c>
      <c r="E346" s="417">
        <v>799046</v>
      </c>
      <c r="F346" s="425">
        <v>-3.718052307950376E-3</v>
      </c>
      <c r="G346" s="408"/>
    </row>
    <row r="347" spans="2:7">
      <c r="B347" s="411" t="s">
        <v>388</v>
      </c>
      <c r="C347" s="415">
        <v>42751</v>
      </c>
      <c r="D347" s="412">
        <v>19700</v>
      </c>
      <c r="E347" s="417">
        <v>759768</v>
      </c>
      <c r="F347" s="425">
        <v>1.9012076919327745E-2</v>
      </c>
      <c r="G347" s="408"/>
    </row>
    <row r="348" spans="2:7">
      <c r="B348" s="411" t="s">
        <v>388</v>
      </c>
      <c r="C348" s="415">
        <v>42752</v>
      </c>
      <c r="D348" s="412">
        <v>19544</v>
      </c>
      <c r="E348" s="417">
        <v>511050</v>
      </c>
      <c r="F348" s="425">
        <v>-7.9503017885034881E-3</v>
      </c>
      <c r="G348" s="408"/>
    </row>
    <row r="349" spans="2:7">
      <c r="B349" s="411" t="s">
        <v>388</v>
      </c>
      <c r="C349" s="415">
        <v>42753</v>
      </c>
      <c r="D349" s="412">
        <v>19600</v>
      </c>
      <c r="E349" s="417">
        <v>438802</v>
      </c>
      <c r="F349" s="425">
        <v>2.8612322810321949E-3</v>
      </c>
      <c r="G349" s="408"/>
    </row>
    <row r="350" spans="2:7">
      <c r="B350" s="411" t="s">
        <v>388</v>
      </c>
      <c r="C350" s="415">
        <v>42754</v>
      </c>
      <c r="D350" s="412">
        <v>19746</v>
      </c>
      <c r="E350" s="417">
        <v>515165</v>
      </c>
      <c r="F350" s="425">
        <v>7.4213729527862647E-3</v>
      </c>
      <c r="G350" s="408"/>
    </row>
    <row r="351" spans="2:7">
      <c r="B351" s="411" t="s">
        <v>388</v>
      </c>
      <c r="C351" s="415">
        <v>42755</v>
      </c>
      <c r="D351" s="412">
        <v>19575</v>
      </c>
      <c r="E351" s="417">
        <v>329663</v>
      </c>
      <c r="F351" s="425">
        <v>-8.6976973123910426E-3</v>
      </c>
      <c r="G351" s="408"/>
    </row>
    <row r="352" spans="2:7">
      <c r="B352" s="411" t="s">
        <v>388</v>
      </c>
      <c r="C352" s="415">
        <v>42758</v>
      </c>
      <c r="D352" s="412">
        <v>19561</v>
      </c>
      <c r="E352" s="417">
        <v>270308</v>
      </c>
      <c r="F352" s="425">
        <v>-7.1545383264444299E-4</v>
      </c>
      <c r="G352" s="408"/>
    </row>
    <row r="353" spans="2:7">
      <c r="B353" s="411" t="s">
        <v>388</v>
      </c>
      <c r="C353" s="415">
        <v>42759</v>
      </c>
      <c r="D353" s="412">
        <v>19592</v>
      </c>
      <c r="E353" s="417">
        <v>623075</v>
      </c>
      <c r="F353" s="425">
        <v>1.5835316056442201E-3</v>
      </c>
      <c r="G353" s="408"/>
    </row>
    <row r="354" spans="2:7">
      <c r="B354" s="411" t="s">
        <v>388</v>
      </c>
      <c r="C354" s="415">
        <v>42760</v>
      </c>
      <c r="D354" s="412">
        <v>19751</v>
      </c>
      <c r="E354" s="417">
        <v>554092</v>
      </c>
      <c r="F354" s="425">
        <v>8.0828033268541231E-3</v>
      </c>
      <c r="G354" s="408"/>
    </row>
    <row r="355" spans="2:7">
      <c r="B355" s="411" t="s">
        <v>388</v>
      </c>
      <c r="C355" s="415">
        <v>42761</v>
      </c>
      <c r="D355" s="412">
        <v>19590</v>
      </c>
      <c r="E355" s="417">
        <v>424263</v>
      </c>
      <c r="F355" s="425">
        <v>-8.1848910202712878E-3</v>
      </c>
      <c r="G355" s="408"/>
    </row>
    <row r="356" spans="2:7">
      <c r="B356" s="411" t="s">
        <v>388</v>
      </c>
      <c r="C356" s="415">
        <v>42762</v>
      </c>
      <c r="D356" s="412">
        <v>19295</v>
      </c>
      <c r="E356" s="417">
        <v>606955</v>
      </c>
      <c r="F356" s="425">
        <v>-1.5173236966867289E-2</v>
      </c>
      <c r="G356" s="408"/>
    </row>
    <row r="357" spans="2:7">
      <c r="B357" s="411" t="s">
        <v>388</v>
      </c>
      <c r="C357" s="415">
        <v>42765</v>
      </c>
      <c r="D357" s="412">
        <v>19029</v>
      </c>
      <c r="E357" s="417">
        <v>747659</v>
      </c>
      <c r="F357" s="425">
        <v>-1.3881863669712342E-2</v>
      </c>
      <c r="G357" s="408"/>
    </row>
    <row r="358" spans="2:7">
      <c r="B358" s="411" t="s">
        <v>388</v>
      </c>
      <c r="C358" s="415">
        <v>42766</v>
      </c>
      <c r="D358" s="412">
        <v>19050</v>
      </c>
      <c r="E358" s="417">
        <v>376620</v>
      </c>
      <c r="F358" s="425">
        <v>1.1029702528401108E-3</v>
      </c>
      <c r="G358" s="408"/>
    </row>
    <row r="359" spans="2:7">
      <c r="B359" s="411" t="s">
        <v>388</v>
      </c>
      <c r="C359" s="415">
        <v>42767</v>
      </c>
      <c r="D359" s="412">
        <v>19138</v>
      </c>
      <c r="E359" s="417">
        <v>547564</v>
      </c>
      <c r="F359" s="425">
        <v>4.6087857843611852E-3</v>
      </c>
      <c r="G359" s="408"/>
    </row>
    <row r="360" spans="2:7">
      <c r="B360" s="411" t="s">
        <v>388</v>
      </c>
      <c r="C360" s="415">
        <v>42768</v>
      </c>
      <c r="D360" s="412">
        <v>18463</v>
      </c>
      <c r="E360" s="417">
        <v>1713360</v>
      </c>
      <c r="F360" s="425">
        <v>-3.5907157943465065E-2</v>
      </c>
      <c r="G360" s="408"/>
    </row>
    <row r="361" spans="2:7">
      <c r="B361" s="411" t="s">
        <v>388</v>
      </c>
      <c r="C361" s="415">
        <v>42769</v>
      </c>
      <c r="D361" s="412">
        <v>18551</v>
      </c>
      <c r="E361" s="417">
        <v>831426</v>
      </c>
      <c r="F361" s="425">
        <v>4.7549665426300956E-3</v>
      </c>
      <c r="G361" s="408"/>
    </row>
    <row r="362" spans="2:7">
      <c r="B362" s="411" t="s">
        <v>388</v>
      </c>
      <c r="C362" s="415">
        <v>42772</v>
      </c>
      <c r="D362" s="412">
        <v>18355</v>
      </c>
      <c r="E362" s="417">
        <v>1222617</v>
      </c>
      <c r="F362" s="425">
        <v>-1.0621679007438475E-2</v>
      </c>
      <c r="G362" s="408"/>
    </row>
    <row r="363" spans="2:7">
      <c r="B363" s="411" t="s">
        <v>388</v>
      </c>
      <c r="C363" s="415">
        <v>42773</v>
      </c>
      <c r="D363" s="412">
        <v>17400</v>
      </c>
      <c r="E363" s="417">
        <v>1386113</v>
      </c>
      <c r="F363" s="425">
        <v>-5.3431810728314322E-2</v>
      </c>
      <c r="G363" s="408"/>
    </row>
    <row r="364" spans="2:7">
      <c r="B364" s="411" t="s">
        <v>388</v>
      </c>
      <c r="C364" s="415">
        <v>42774</v>
      </c>
      <c r="D364" s="412">
        <v>17780</v>
      </c>
      <c r="E364" s="417">
        <v>3270504</v>
      </c>
      <c r="F364" s="425">
        <v>2.1604023865275181E-2</v>
      </c>
      <c r="G364" s="408"/>
    </row>
    <row r="365" spans="2:7">
      <c r="B365" s="411" t="s">
        <v>388</v>
      </c>
      <c r="C365" s="415">
        <v>42775</v>
      </c>
      <c r="D365" s="412">
        <v>17586</v>
      </c>
      <c r="E365" s="417">
        <v>798747</v>
      </c>
      <c r="F365" s="425">
        <v>-1.097109912894819E-2</v>
      </c>
      <c r="G365" s="408"/>
    </row>
    <row r="366" spans="2:7">
      <c r="B366" s="411" t="s">
        <v>388</v>
      </c>
      <c r="C366" s="415">
        <v>42776</v>
      </c>
      <c r="D366" s="412">
        <v>17593</v>
      </c>
      <c r="E366" s="417">
        <v>1096436</v>
      </c>
      <c r="F366" s="425">
        <v>3.9796470009860062E-4</v>
      </c>
      <c r="G366" s="408"/>
    </row>
    <row r="367" spans="2:7">
      <c r="B367" s="411" t="s">
        <v>388</v>
      </c>
      <c r="C367" s="415">
        <v>42779</v>
      </c>
      <c r="D367" s="412">
        <v>17947</v>
      </c>
      <c r="E367" s="417">
        <v>353946</v>
      </c>
      <c r="F367" s="425">
        <v>1.992187439023043E-2</v>
      </c>
      <c r="G367" s="408"/>
    </row>
    <row r="368" spans="2:7">
      <c r="B368" s="411" t="s">
        <v>388</v>
      </c>
      <c r="C368" s="415">
        <v>42780</v>
      </c>
      <c r="D368" s="412">
        <v>17595</v>
      </c>
      <c r="E368" s="417">
        <v>1222781</v>
      </c>
      <c r="F368" s="425">
        <v>-1.9808199273590905E-2</v>
      </c>
      <c r="G368" s="408"/>
    </row>
    <row r="369" spans="2:7">
      <c r="B369" s="411" t="s">
        <v>388</v>
      </c>
      <c r="C369" s="415">
        <v>42781</v>
      </c>
      <c r="D369" s="412">
        <v>17844</v>
      </c>
      <c r="E369" s="417">
        <v>828867</v>
      </c>
      <c r="F369" s="425">
        <v>1.4052546492469797E-2</v>
      </c>
      <c r="G369" s="408"/>
    </row>
    <row r="370" spans="2:7">
      <c r="B370" s="411" t="s">
        <v>388</v>
      </c>
      <c r="C370" s="415">
        <v>42782</v>
      </c>
      <c r="D370" s="412">
        <v>18146</v>
      </c>
      <c r="E370" s="417">
        <v>790702</v>
      </c>
      <c r="F370" s="425">
        <v>1.6782833481418759E-2</v>
      </c>
      <c r="G370" s="408"/>
    </row>
    <row r="371" spans="2:7">
      <c r="B371" s="411" t="s">
        <v>388</v>
      </c>
      <c r="C371" s="415">
        <v>42783</v>
      </c>
      <c r="D371" s="412">
        <v>18200</v>
      </c>
      <c r="E371" s="417">
        <v>702263</v>
      </c>
      <c r="F371" s="425">
        <v>2.9714433353125024E-3</v>
      </c>
      <c r="G371" s="408"/>
    </row>
    <row r="372" spans="2:7">
      <c r="B372" s="411" t="s">
        <v>388</v>
      </c>
      <c r="C372" s="415">
        <v>42786</v>
      </c>
      <c r="D372" s="412">
        <v>18344</v>
      </c>
      <c r="E372" s="417">
        <v>556481</v>
      </c>
      <c r="F372" s="425">
        <v>7.8809514728537099E-3</v>
      </c>
      <c r="G372" s="408"/>
    </row>
    <row r="373" spans="2:7">
      <c r="B373" s="411" t="s">
        <v>388</v>
      </c>
      <c r="C373" s="415">
        <v>42787</v>
      </c>
      <c r="D373" s="412">
        <v>18372</v>
      </c>
      <c r="E373" s="417">
        <v>759356</v>
      </c>
      <c r="F373" s="425">
        <v>1.5252209079436763E-3</v>
      </c>
      <c r="G373" s="408"/>
    </row>
    <row r="374" spans="2:7">
      <c r="B374" s="411" t="s">
        <v>388</v>
      </c>
      <c r="C374" s="415">
        <v>42788</v>
      </c>
      <c r="D374" s="412">
        <v>18019</v>
      </c>
      <c r="E374" s="417">
        <v>685394</v>
      </c>
      <c r="F374" s="425">
        <v>-1.9401009718869867E-2</v>
      </c>
      <c r="G374" s="408"/>
    </row>
    <row r="375" spans="2:7">
      <c r="B375" s="411" t="s">
        <v>388</v>
      </c>
      <c r="C375" s="415">
        <v>42789</v>
      </c>
      <c r="D375" s="412">
        <v>18373</v>
      </c>
      <c r="E375" s="417">
        <v>815803</v>
      </c>
      <c r="F375" s="425">
        <v>1.9455438892920611E-2</v>
      </c>
      <c r="G375" s="408"/>
    </row>
    <row r="376" spans="2:7">
      <c r="B376" s="411" t="s">
        <v>388</v>
      </c>
      <c r="C376" s="415">
        <v>42790</v>
      </c>
      <c r="D376" s="412">
        <v>18250</v>
      </c>
      <c r="E376" s="417">
        <v>1086910</v>
      </c>
      <c r="F376" s="425">
        <v>-6.7171156090972562E-3</v>
      </c>
      <c r="G376" s="408"/>
    </row>
    <row r="377" spans="2:7">
      <c r="B377" s="411" t="s">
        <v>388</v>
      </c>
      <c r="C377" s="415">
        <v>42793</v>
      </c>
      <c r="D377" s="412">
        <v>18400</v>
      </c>
      <c r="E377" s="417">
        <v>476266</v>
      </c>
      <c r="F377" s="425">
        <v>8.1855845864395021E-3</v>
      </c>
      <c r="G377" s="408"/>
    </row>
    <row r="378" spans="2:7">
      <c r="B378" s="411" t="s">
        <v>388</v>
      </c>
      <c r="C378" s="415">
        <v>42794</v>
      </c>
      <c r="D378" s="412">
        <v>17850</v>
      </c>
      <c r="E378" s="417">
        <v>1223372</v>
      </c>
      <c r="F378" s="425">
        <v>-3.0347156389291818E-2</v>
      </c>
      <c r="G378" s="408"/>
    </row>
    <row r="379" spans="2:7">
      <c r="B379" s="411" t="s">
        <v>388</v>
      </c>
      <c r="C379" s="415">
        <v>42795</v>
      </c>
      <c r="D379" s="412">
        <v>17975</v>
      </c>
      <c r="E379" s="417">
        <v>597397</v>
      </c>
      <c r="F379" s="425">
        <v>6.9783953814622776E-3</v>
      </c>
      <c r="G379" s="408"/>
    </row>
    <row r="380" spans="2:7">
      <c r="B380" s="411" t="s">
        <v>388</v>
      </c>
      <c r="C380" s="415">
        <v>42796</v>
      </c>
      <c r="D380" s="412">
        <v>17900</v>
      </c>
      <c r="E380" s="417">
        <v>439694</v>
      </c>
      <c r="F380" s="425">
        <v>-4.1811907604010464E-3</v>
      </c>
      <c r="G380" s="408"/>
    </row>
    <row r="381" spans="2:7">
      <c r="B381" s="411" t="s">
        <v>388</v>
      </c>
      <c r="C381" s="415">
        <v>42797</v>
      </c>
      <c r="D381" s="412">
        <v>17986</v>
      </c>
      <c r="E381" s="417">
        <v>492380</v>
      </c>
      <c r="F381" s="425">
        <v>4.7929646456143964E-3</v>
      </c>
      <c r="G381" s="408"/>
    </row>
    <row r="382" spans="2:7">
      <c r="B382" s="411" t="s">
        <v>388</v>
      </c>
      <c r="C382" s="415">
        <v>42800</v>
      </c>
      <c r="D382" s="412">
        <v>18298</v>
      </c>
      <c r="E382" s="417">
        <v>470863</v>
      </c>
      <c r="F382" s="425">
        <v>1.7198086765019799E-2</v>
      </c>
      <c r="G382" s="408"/>
    </row>
    <row r="383" spans="2:7">
      <c r="B383" s="411" t="s">
        <v>388</v>
      </c>
      <c r="C383" s="415">
        <v>42801</v>
      </c>
      <c r="D383" s="412">
        <v>17905</v>
      </c>
      <c r="E383" s="417">
        <v>441369</v>
      </c>
      <c r="F383" s="425">
        <v>-2.1711760806947512E-2</v>
      </c>
      <c r="G383" s="408"/>
    </row>
    <row r="384" spans="2:7">
      <c r="B384" s="411" t="s">
        <v>388</v>
      </c>
      <c r="C384" s="415">
        <v>42802</v>
      </c>
      <c r="D384" s="412">
        <v>17905</v>
      </c>
      <c r="E384" s="417">
        <v>747829</v>
      </c>
      <c r="F384" s="425">
        <v>0</v>
      </c>
      <c r="G384" s="408"/>
    </row>
    <row r="385" spans="2:7">
      <c r="B385" s="411" t="s">
        <v>388</v>
      </c>
      <c r="C385" s="415">
        <v>42803</v>
      </c>
      <c r="D385" s="412">
        <v>18113</v>
      </c>
      <c r="E385" s="417">
        <v>445207</v>
      </c>
      <c r="F385" s="425">
        <v>1.1549909060383484E-2</v>
      </c>
      <c r="G385" s="408"/>
    </row>
    <row r="386" spans="2:7">
      <c r="B386" s="411" t="s">
        <v>388</v>
      </c>
      <c r="C386" s="415">
        <v>42804</v>
      </c>
      <c r="D386" s="412">
        <v>17951</v>
      </c>
      <c r="E386" s="417">
        <v>714569</v>
      </c>
      <c r="F386" s="425">
        <v>-8.9840888218464341E-3</v>
      </c>
      <c r="G386" s="408"/>
    </row>
    <row r="387" spans="2:7">
      <c r="B387" s="411" t="s">
        <v>388</v>
      </c>
      <c r="C387" s="415">
        <v>42807</v>
      </c>
      <c r="D387" s="412">
        <v>18000</v>
      </c>
      <c r="E387" s="417">
        <v>471815</v>
      </c>
      <c r="F387" s="425">
        <v>2.7259342072315776E-3</v>
      </c>
      <c r="G387" s="408"/>
    </row>
    <row r="388" spans="2:7">
      <c r="B388" s="411" t="s">
        <v>388</v>
      </c>
      <c r="C388" s="415">
        <v>42808</v>
      </c>
      <c r="D388" s="412">
        <v>18143</v>
      </c>
      <c r="E388" s="417">
        <v>580563</v>
      </c>
      <c r="F388" s="425">
        <v>7.913053491861494E-3</v>
      </c>
      <c r="G388" s="408"/>
    </row>
    <row r="389" spans="2:7">
      <c r="B389" s="411" t="s">
        <v>388</v>
      </c>
      <c r="C389" s="415">
        <v>42809</v>
      </c>
      <c r="D389" s="412">
        <v>18110</v>
      </c>
      <c r="E389" s="417">
        <v>721096</v>
      </c>
      <c r="F389" s="425">
        <v>-1.8205394927041107E-3</v>
      </c>
      <c r="G389" s="408"/>
    </row>
    <row r="390" spans="2:7">
      <c r="B390" s="411" t="s">
        <v>388</v>
      </c>
      <c r="C390" s="415">
        <v>42810</v>
      </c>
      <c r="D390" s="412">
        <v>18727</v>
      </c>
      <c r="E390" s="417">
        <v>2045465</v>
      </c>
      <c r="F390" s="425">
        <v>3.3502060883049273E-2</v>
      </c>
      <c r="G390" s="408"/>
    </row>
    <row r="391" spans="2:7">
      <c r="B391" s="411" t="s">
        <v>388</v>
      </c>
      <c r="C391" s="415">
        <v>42811</v>
      </c>
      <c r="D391" s="412">
        <v>18661</v>
      </c>
      <c r="E391" s="417">
        <v>1138323</v>
      </c>
      <c r="F391" s="425">
        <v>-3.5305482270367823E-3</v>
      </c>
      <c r="G391" s="408"/>
    </row>
    <row r="392" spans="2:7">
      <c r="B392" s="411" t="s">
        <v>388</v>
      </c>
      <c r="C392" s="415">
        <v>42814</v>
      </c>
      <c r="D392" s="412">
        <v>18443</v>
      </c>
      <c r="E392" s="417">
        <v>464638</v>
      </c>
      <c r="F392" s="425">
        <v>-1.1750889850665651E-2</v>
      </c>
      <c r="G392" s="408"/>
    </row>
    <row r="393" spans="2:7">
      <c r="B393" s="411" t="s">
        <v>388</v>
      </c>
      <c r="C393" s="415">
        <v>42816</v>
      </c>
      <c r="D393" s="412">
        <v>18074</v>
      </c>
      <c r="E393" s="417">
        <v>891870</v>
      </c>
      <c r="F393" s="425">
        <v>-2.0210453220904798E-2</v>
      </c>
      <c r="G393" s="408"/>
    </row>
    <row r="394" spans="2:7">
      <c r="B394" s="411" t="s">
        <v>388</v>
      </c>
      <c r="C394" s="415">
        <v>42817</v>
      </c>
      <c r="D394" s="412">
        <v>18087</v>
      </c>
      <c r="E394" s="417">
        <v>570347</v>
      </c>
      <c r="F394" s="425">
        <v>7.1900669561403556E-4</v>
      </c>
      <c r="G394" s="408"/>
    </row>
    <row r="395" spans="2:7">
      <c r="B395" s="411" t="s">
        <v>388</v>
      </c>
      <c r="C395" s="415">
        <v>42818</v>
      </c>
      <c r="D395" s="412">
        <v>17890</v>
      </c>
      <c r="E395" s="417">
        <v>1033226</v>
      </c>
      <c r="F395" s="425">
        <v>-1.0951550654750409E-2</v>
      </c>
      <c r="G395" s="408"/>
    </row>
    <row r="396" spans="2:7">
      <c r="B396" s="411" t="s">
        <v>388</v>
      </c>
      <c r="C396" s="415">
        <v>42821</v>
      </c>
      <c r="D396" s="412">
        <v>17850</v>
      </c>
      <c r="E396" s="417">
        <v>467098</v>
      </c>
      <c r="F396" s="425">
        <v>-2.2383892949796678E-3</v>
      </c>
      <c r="G396" s="408"/>
    </row>
    <row r="397" spans="2:7">
      <c r="B397" s="411" t="s">
        <v>388</v>
      </c>
      <c r="C397" s="415">
        <v>42822</v>
      </c>
      <c r="D397" s="412">
        <v>17620</v>
      </c>
      <c r="E397" s="417">
        <v>825703</v>
      </c>
      <c r="F397" s="425">
        <v>-1.2968887717614588E-2</v>
      </c>
      <c r="G397" s="408"/>
    </row>
    <row r="398" spans="2:7">
      <c r="B398" s="411" t="s">
        <v>388</v>
      </c>
      <c r="C398" s="415">
        <v>42823</v>
      </c>
      <c r="D398" s="412">
        <v>17840</v>
      </c>
      <c r="E398" s="417">
        <v>555722</v>
      </c>
      <c r="F398" s="425">
        <v>1.2408506643829951E-2</v>
      </c>
      <c r="G398" s="408"/>
    </row>
    <row r="399" spans="2:7">
      <c r="B399" s="411" t="s">
        <v>388</v>
      </c>
      <c r="C399" s="415">
        <v>42824</v>
      </c>
      <c r="D399" s="412">
        <v>17739</v>
      </c>
      <c r="E399" s="417">
        <v>489065</v>
      </c>
      <c r="F399" s="425">
        <v>-5.6775216450607371E-3</v>
      </c>
      <c r="G399" s="408"/>
    </row>
    <row r="400" spans="2:7">
      <c r="B400" s="411" t="s">
        <v>388</v>
      </c>
      <c r="C400" s="415">
        <v>42825</v>
      </c>
      <c r="D400" s="412">
        <v>17426</v>
      </c>
      <c r="E400" s="417">
        <v>1246964</v>
      </c>
      <c r="F400" s="425">
        <v>-1.7802261697707433E-2</v>
      </c>
      <c r="G400" s="408"/>
    </row>
    <row r="401" spans="2:7">
      <c r="B401" s="411" t="s">
        <v>388</v>
      </c>
      <c r="C401" s="415">
        <v>42828</v>
      </c>
      <c r="D401" s="412">
        <v>17630</v>
      </c>
      <c r="E401" s="417">
        <v>871463</v>
      </c>
      <c r="F401" s="425">
        <v>1.1638652600683832E-2</v>
      </c>
      <c r="G401" s="408"/>
    </row>
    <row r="402" spans="2:7">
      <c r="B402" s="411" t="s">
        <v>388</v>
      </c>
      <c r="C402" s="415">
        <v>42829</v>
      </c>
      <c r="D402" s="412">
        <v>17455</v>
      </c>
      <c r="E402" s="417">
        <v>784618</v>
      </c>
      <c r="F402" s="425">
        <v>-9.9758558527795541E-3</v>
      </c>
      <c r="G402" s="408"/>
    </row>
    <row r="403" spans="2:7">
      <c r="B403" s="411" t="s">
        <v>388</v>
      </c>
      <c r="C403" s="415">
        <v>42830</v>
      </c>
      <c r="D403" s="412">
        <v>17221</v>
      </c>
      <c r="E403" s="417">
        <v>1220572</v>
      </c>
      <c r="F403" s="425">
        <v>-1.3496571234236997E-2</v>
      </c>
      <c r="G403" s="408"/>
    </row>
    <row r="404" spans="2:7">
      <c r="B404" s="411" t="s">
        <v>388</v>
      </c>
      <c r="C404" s="415">
        <v>42831</v>
      </c>
      <c r="D404" s="412">
        <v>17100</v>
      </c>
      <c r="E404" s="417">
        <v>475905</v>
      </c>
      <c r="F404" s="425">
        <v>-7.0511058141482516E-3</v>
      </c>
      <c r="G404" s="408"/>
    </row>
    <row r="405" spans="2:7">
      <c r="B405" s="411" t="s">
        <v>388</v>
      </c>
      <c r="C405" s="415">
        <v>42832</v>
      </c>
      <c r="D405" s="412">
        <v>17260</v>
      </c>
      <c r="E405" s="417">
        <v>728598</v>
      </c>
      <c r="F405" s="425">
        <v>9.3132221466676827E-3</v>
      </c>
      <c r="G405" s="408"/>
    </row>
    <row r="406" spans="2:7">
      <c r="B406" s="411" t="s">
        <v>388</v>
      </c>
      <c r="C406" s="415">
        <v>42835</v>
      </c>
      <c r="D406" s="412">
        <v>17003</v>
      </c>
      <c r="E406" s="417">
        <v>629507</v>
      </c>
      <c r="F406" s="425">
        <v>-1.5001886579933128E-2</v>
      </c>
      <c r="G406" s="408"/>
    </row>
    <row r="407" spans="2:7">
      <c r="B407" s="411" t="s">
        <v>388</v>
      </c>
      <c r="C407" s="415">
        <v>42836</v>
      </c>
      <c r="D407" s="412">
        <v>17165</v>
      </c>
      <c r="E407" s="417">
        <v>340362</v>
      </c>
      <c r="F407" s="425">
        <v>9.4826278343065375E-3</v>
      </c>
      <c r="G407" s="408"/>
    </row>
    <row r="408" spans="2:7">
      <c r="B408" s="411" t="s">
        <v>388</v>
      </c>
      <c r="C408" s="415">
        <v>42837</v>
      </c>
      <c r="D408" s="412">
        <v>17688</v>
      </c>
      <c r="E408" s="417">
        <v>519651</v>
      </c>
      <c r="F408" s="425">
        <v>3.0014016645489801E-2</v>
      </c>
      <c r="G408" s="408"/>
    </row>
    <row r="409" spans="2:7">
      <c r="B409" s="411" t="s">
        <v>388</v>
      </c>
      <c r="C409" s="415">
        <v>42838</v>
      </c>
      <c r="D409" s="412">
        <v>18100</v>
      </c>
      <c r="E409" s="417">
        <v>1204981</v>
      </c>
      <c r="F409" s="425">
        <v>2.3025494716634842E-2</v>
      </c>
      <c r="G409" s="408"/>
    </row>
    <row r="410" spans="2:7">
      <c r="B410" s="411" t="s">
        <v>388</v>
      </c>
      <c r="C410" s="415">
        <v>42843</v>
      </c>
      <c r="D410" s="412">
        <v>17900</v>
      </c>
      <c r="E410" s="417">
        <v>643139</v>
      </c>
      <c r="F410" s="425">
        <v>-1.1111225425070722E-2</v>
      </c>
      <c r="G410" s="408"/>
    </row>
    <row r="411" spans="2:7">
      <c r="B411" s="411" t="s">
        <v>388</v>
      </c>
      <c r="C411" s="415">
        <v>42844</v>
      </c>
      <c r="D411" s="412">
        <v>17950</v>
      </c>
      <c r="E411" s="417">
        <v>760710</v>
      </c>
      <c r="F411" s="425">
        <v>2.7894020875785922E-3</v>
      </c>
      <c r="G411" s="408"/>
    </row>
    <row r="412" spans="2:7">
      <c r="B412" s="411" t="s">
        <v>388</v>
      </c>
      <c r="C412" s="415">
        <v>42845</v>
      </c>
      <c r="D412" s="412">
        <v>17850</v>
      </c>
      <c r="E412" s="417">
        <v>430995</v>
      </c>
      <c r="F412" s="425">
        <v>-5.5866067086398231E-3</v>
      </c>
      <c r="G412" s="408"/>
    </row>
    <row r="413" spans="2:7">
      <c r="B413" s="411" t="s">
        <v>388</v>
      </c>
      <c r="C413" s="415">
        <v>42846</v>
      </c>
      <c r="D413" s="412">
        <v>17772</v>
      </c>
      <c r="E413" s="417">
        <v>415607</v>
      </c>
      <c r="F413" s="425">
        <v>-4.3793231519860497E-3</v>
      </c>
      <c r="G413" s="408"/>
    </row>
    <row r="414" spans="2:7">
      <c r="B414" s="411" t="s">
        <v>388</v>
      </c>
      <c r="C414" s="415">
        <v>42849</v>
      </c>
      <c r="D414" s="412">
        <v>18250</v>
      </c>
      <c r="E414" s="417">
        <v>682280</v>
      </c>
      <c r="F414" s="425">
        <v>2.6540894954838485E-2</v>
      </c>
      <c r="G414" s="408"/>
    </row>
    <row r="415" spans="2:7">
      <c r="B415" s="411" t="s">
        <v>388</v>
      </c>
      <c r="C415" s="415">
        <v>42850</v>
      </c>
      <c r="D415" s="412">
        <v>17950</v>
      </c>
      <c r="E415" s="417">
        <v>789510</v>
      </c>
      <c r="F415" s="425">
        <v>-1.6574965094212676E-2</v>
      </c>
      <c r="G415" s="408"/>
    </row>
    <row r="416" spans="2:7">
      <c r="B416" s="411" t="s">
        <v>388</v>
      </c>
      <c r="C416" s="415">
        <v>42851</v>
      </c>
      <c r="D416" s="412">
        <v>17970</v>
      </c>
      <c r="E416" s="417">
        <v>471972</v>
      </c>
      <c r="F416" s="425">
        <v>1.1135858611798202E-3</v>
      </c>
      <c r="G416" s="408"/>
    </row>
    <row r="417" spans="2:7">
      <c r="B417" s="411" t="s">
        <v>388</v>
      </c>
      <c r="C417" s="415">
        <v>42853</v>
      </c>
      <c r="D417" s="412">
        <v>18018</v>
      </c>
      <c r="E417" s="417">
        <v>791637</v>
      </c>
      <c r="F417" s="425">
        <v>2.6675574337804982E-3</v>
      </c>
      <c r="G417" s="408"/>
    </row>
    <row r="418" spans="2:7">
      <c r="B418" s="411" t="s">
        <v>388</v>
      </c>
      <c r="C418" s="415">
        <v>42857</v>
      </c>
      <c r="D418" s="412">
        <v>18275</v>
      </c>
      <c r="E418" s="417">
        <v>444885</v>
      </c>
      <c r="F418" s="425">
        <v>1.4162747406594066E-2</v>
      </c>
      <c r="G418" s="408"/>
    </row>
    <row r="419" spans="2:7">
      <c r="B419" s="411" t="s">
        <v>388</v>
      </c>
      <c r="C419" s="415">
        <v>42858</v>
      </c>
      <c r="D419" s="412">
        <v>18144</v>
      </c>
      <c r="E419" s="417">
        <v>423502</v>
      </c>
      <c r="F419" s="425">
        <v>-7.1940780905006716E-3</v>
      </c>
      <c r="G419" s="408"/>
    </row>
    <row r="420" spans="2:7">
      <c r="B420" s="411" t="s">
        <v>388</v>
      </c>
      <c r="C420" s="415">
        <v>42859</v>
      </c>
      <c r="D420" s="412">
        <v>18052</v>
      </c>
      <c r="E420" s="417">
        <v>537249</v>
      </c>
      <c r="F420" s="425">
        <v>-5.083445580586818E-3</v>
      </c>
      <c r="G420" s="408"/>
    </row>
    <row r="421" spans="2:7">
      <c r="B421" s="411" t="s">
        <v>388</v>
      </c>
      <c r="C421" s="415">
        <v>42860</v>
      </c>
      <c r="D421" s="412">
        <v>18045</v>
      </c>
      <c r="E421" s="417">
        <v>339940</v>
      </c>
      <c r="F421" s="425">
        <v>-3.8784387000286025E-4</v>
      </c>
      <c r="G421" s="408"/>
    </row>
    <row r="422" spans="2:7">
      <c r="B422" s="411" t="s">
        <v>388</v>
      </c>
      <c r="C422" s="415">
        <v>42863</v>
      </c>
      <c r="D422" s="412">
        <v>18201</v>
      </c>
      <c r="E422" s="417">
        <v>325635</v>
      </c>
      <c r="F422" s="425">
        <v>8.6078995335185544E-3</v>
      </c>
      <c r="G422" s="408"/>
    </row>
    <row r="423" spans="2:7">
      <c r="B423" s="411" t="s">
        <v>388</v>
      </c>
      <c r="C423" s="415">
        <v>42864</v>
      </c>
      <c r="D423" s="412">
        <v>17920</v>
      </c>
      <c r="E423" s="417">
        <v>1264233</v>
      </c>
      <c r="F423" s="425">
        <v>-1.5559130081486119E-2</v>
      </c>
      <c r="G423" s="408"/>
    </row>
    <row r="424" spans="2:7">
      <c r="B424" s="411" t="s">
        <v>388</v>
      </c>
      <c r="C424" s="415">
        <v>42865</v>
      </c>
      <c r="D424" s="412">
        <v>17803</v>
      </c>
      <c r="E424" s="417">
        <v>1848708</v>
      </c>
      <c r="F424" s="425">
        <v>-6.5504251240588425E-3</v>
      </c>
      <c r="G424" s="408"/>
    </row>
    <row r="425" spans="2:7">
      <c r="B425" s="411" t="s">
        <v>388</v>
      </c>
      <c r="C425" s="415">
        <v>42866</v>
      </c>
      <c r="D425" s="412">
        <v>17850</v>
      </c>
      <c r="E425" s="417">
        <v>712306</v>
      </c>
      <c r="F425" s="425">
        <v>2.6365258029223773E-3</v>
      </c>
      <c r="G425" s="408"/>
    </row>
    <row r="426" spans="2:7">
      <c r="B426" s="411" t="s">
        <v>388</v>
      </c>
      <c r="C426" s="415">
        <v>42867</v>
      </c>
      <c r="D426" s="412">
        <v>17877</v>
      </c>
      <c r="E426" s="417">
        <v>511374</v>
      </c>
      <c r="F426" s="425">
        <v>1.5114622073035407E-3</v>
      </c>
      <c r="G426" s="408"/>
    </row>
    <row r="427" spans="2:7">
      <c r="B427" s="411" t="s">
        <v>388</v>
      </c>
      <c r="C427" s="415">
        <v>42870</v>
      </c>
      <c r="D427" s="412">
        <v>17750</v>
      </c>
      <c r="E427" s="417">
        <v>298799</v>
      </c>
      <c r="F427" s="425">
        <v>-7.129454511526751E-3</v>
      </c>
      <c r="G427" s="408"/>
    </row>
    <row r="428" spans="2:7">
      <c r="B428" s="411" t="s">
        <v>388</v>
      </c>
      <c r="C428" s="415">
        <v>42871</v>
      </c>
      <c r="D428" s="412">
        <v>17692</v>
      </c>
      <c r="E428" s="417">
        <v>1210624</v>
      </c>
      <c r="F428" s="425">
        <v>-3.2729559153444544E-3</v>
      </c>
      <c r="G428" s="408"/>
    </row>
    <row r="429" spans="2:7">
      <c r="B429" s="411" t="s">
        <v>388</v>
      </c>
      <c r="C429" s="415">
        <v>42872</v>
      </c>
      <c r="D429" s="412">
        <v>17565</v>
      </c>
      <c r="E429" s="417">
        <v>576507</v>
      </c>
      <c r="F429" s="425">
        <v>-7.2042742882900161E-3</v>
      </c>
      <c r="G429" s="408"/>
    </row>
    <row r="430" spans="2:7">
      <c r="B430" s="411" t="s">
        <v>388</v>
      </c>
      <c r="C430" s="415">
        <v>42873</v>
      </c>
      <c r="D430" s="412">
        <v>17400</v>
      </c>
      <c r="E430" s="417">
        <v>1022660</v>
      </c>
      <c r="F430" s="425">
        <v>-9.4380794973070413E-3</v>
      </c>
      <c r="G430" s="408"/>
    </row>
    <row r="431" spans="2:7">
      <c r="B431" s="411" t="s">
        <v>388</v>
      </c>
      <c r="C431" s="415">
        <v>42874</v>
      </c>
      <c r="D431" s="412">
        <v>17508</v>
      </c>
      <c r="E431" s="417">
        <v>874427</v>
      </c>
      <c r="F431" s="425">
        <v>6.1877131081655504E-3</v>
      </c>
      <c r="G431" s="408"/>
    </row>
    <row r="432" spans="2:7">
      <c r="B432" s="411" t="s">
        <v>388</v>
      </c>
      <c r="C432" s="415">
        <v>42877</v>
      </c>
      <c r="D432" s="412">
        <v>17561</v>
      </c>
      <c r="E432" s="417">
        <v>757123</v>
      </c>
      <c r="F432" s="425">
        <v>3.0226148650685995E-3</v>
      </c>
      <c r="G432" s="408"/>
    </row>
    <row r="433" spans="2:7">
      <c r="B433" s="411" t="s">
        <v>388</v>
      </c>
      <c r="C433" s="415">
        <v>42878</v>
      </c>
      <c r="D433" s="412">
        <v>17600</v>
      </c>
      <c r="E433" s="417">
        <v>601753</v>
      </c>
      <c r="F433" s="425">
        <v>2.2183678503885406E-3</v>
      </c>
      <c r="G433" s="408"/>
    </row>
    <row r="434" spans="2:7">
      <c r="B434" s="411" t="s">
        <v>388</v>
      </c>
      <c r="C434" s="415">
        <v>42879</v>
      </c>
      <c r="D434" s="412">
        <v>17229</v>
      </c>
      <c r="E434" s="417">
        <v>1030166</v>
      </c>
      <c r="F434" s="425">
        <v>-2.1304891493836974E-2</v>
      </c>
      <c r="G434" s="408"/>
    </row>
    <row r="435" spans="2:7">
      <c r="B435" s="411" t="s">
        <v>388</v>
      </c>
      <c r="C435" s="415">
        <v>42880</v>
      </c>
      <c r="D435" s="412">
        <v>17220</v>
      </c>
      <c r="E435" s="417">
        <v>2475151</v>
      </c>
      <c r="F435" s="425">
        <v>-5.225115506843766E-4</v>
      </c>
      <c r="G435" s="408"/>
    </row>
    <row r="436" spans="2:7">
      <c r="B436" s="411" t="s">
        <v>388</v>
      </c>
      <c r="C436" s="415">
        <v>42881</v>
      </c>
      <c r="D436" s="412">
        <v>17400</v>
      </c>
      <c r="E436" s="417">
        <v>1154294</v>
      </c>
      <c r="F436" s="425">
        <v>1.0398707220898517E-2</v>
      </c>
      <c r="G436" s="408"/>
    </row>
    <row r="437" spans="2:7">
      <c r="B437" s="411" t="s">
        <v>388</v>
      </c>
      <c r="C437" s="415">
        <v>42884</v>
      </c>
      <c r="D437" s="412">
        <v>17401</v>
      </c>
      <c r="E437" s="417">
        <v>252488</v>
      </c>
      <c r="F437" s="425">
        <v>5.746961295788363E-5</v>
      </c>
      <c r="G437" s="408"/>
    </row>
    <row r="438" spans="2:7">
      <c r="B438" s="411" t="s">
        <v>388</v>
      </c>
      <c r="C438" s="415">
        <v>42885</v>
      </c>
      <c r="D438" s="412">
        <v>17578</v>
      </c>
      <c r="E438" s="417">
        <v>423554</v>
      </c>
      <c r="F438" s="425">
        <v>1.0120444309012256E-2</v>
      </c>
      <c r="G438" s="408"/>
    </row>
    <row r="439" spans="2:7">
      <c r="B439" s="411" t="s">
        <v>388</v>
      </c>
      <c r="C439" s="415">
        <v>42886</v>
      </c>
      <c r="D439" s="412">
        <v>17092</v>
      </c>
      <c r="E439" s="417">
        <v>2931847</v>
      </c>
      <c r="F439" s="425">
        <v>-2.8037602360674943E-2</v>
      </c>
      <c r="G439" s="408"/>
    </row>
    <row r="440" spans="2:7">
      <c r="B440" s="411" t="s">
        <v>388</v>
      </c>
      <c r="C440" s="415">
        <v>42887</v>
      </c>
      <c r="D440" s="412">
        <v>16025</v>
      </c>
      <c r="E440" s="417">
        <v>2507576</v>
      </c>
      <c r="F440" s="425">
        <v>-6.4460514975044736E-2</v>
      </c>
      <c r="G440" s="408"/>
    </row>
    <row r="441" spans="2:7">
      <c r="B441" s="411" t="s">
        <v>388</v>
      </c>
      <c r="C441" s="415">
        <v>42888</v>
      </c>
      <c r="D441" s="412">
        <v>16077</v>
      </c>
      <c r="E441" s="417">
        <v>4692908</v>
      </c>
      <c r="F441" s="425">
        <v>3.2396763740892018E-3</v>
      </c>
      <c r="G441" s="408"/>
    </row>
    <row r="442" spans="2:7">
      <c r="B442" s="411" t="s">
        <v>388</v>
      </c>
      <c r="C442" s="415">
        <v>42891</v>
      </c>
      <c r="D442" s="412">
        <v>15805</v>
      </c>
      <c r="E442" s="417">
        <v>1008954</v>
      </c>
      <c r="F442" s="425">
        <v>-1.7063333513241838E-2</v>
      </c>
      <c r="G442" s="408"/>
    </row>
    <row r="443" spans="2:7">
      <c r="B443" s="411" t="s">
        <v>388</v>
      </c>
      <c r="C443" s="415">
        <v>42892</v>
      </c>
      <c r="D443" s="412">
        <v>15550</v>
      </c>
      <c r="E443" s="417">
        <v>2293218</v>
      </c>
      <c r="F443" s="425">
        <v>-1.6265707042337867E-2</v>
      </c>
      <c r="G443" s="408"/>
    </row>
    <row r="444" spans="2:7">
      <c r="B444" s="411" t="s">
        <v>388</v>
      </c>
      <c r="C444" s="415">
        <v>42893</v>
      </c>
      <c r="D444" s="412">
        <v>15494</v>
      </c>
      <c r="E444" s="417">
        <v>4951895</v>
      </c>
      <c r="F444" s="425">
        <v>-3.6077864155323433E-3</v>
      </c>
      <c r="G444" s="408"/>
    </row>
    <row r="445" spans="2:7">
      <c r="B445" s="411" t="s">
        <v>388</v>
      </c>
      <c r="C445" s="415">
        <v>42894</v>
      </c>
      <c r="D445" s="412">
        <v>15440</v>
      </c>
      <c r="E445" s="417">
        <v>1209480</v>
      </c>
      <c r="F445" s="425">
        <v>-3.49130761308065E-3</v>
      </c>
      <c r="G445" s="408"/>
    </row>
    <row r="446" spans="2:7">
      <c r="B446" s="411" t="s">
        <v>388</v>
      </c>
      <c r="C446" s="415">
        <v>42895</v>
      </c>
      <c r="D446" s="412">
        <v>15515</v>
      </c>
      <c r="E446" s="417">
        <v>1160299</v>
      </c>
      <c r="F446" s="425">
        <v>4.8457533037134281E-3</v>
      </c>
      <c r="G446" s="408"/>
    </row>
    <row r="447" spans="2:7">
      <c r="B447" s="411" t="s">
        <v>388</v>
      </c>
      <c r="C447" s="415">
        <v>42898</v>
      </c>
      <c r="D447" s="412">
        <v>15568</v>
      </c>
      <c r="E447" s="417">
        <v>1103405</v>
      </c>
      <c r="F447" s="425">
        <v>3.4102275433057277E-3</v>
      </c>
      <c r="G447" s="408"/>
    </row>
    <row r="448" spans="2:7">
      <c r="B448" s="411" t="s">
        <v>388</v>
      </c>
      <c r="C448" s="415">
        <v>42899</v>
      </c>
      <c r="D448" s="412">
        <v>15600</v>
      </c>
      <c r="E448" s="417">
        <v>808996</v>
      </c>
      <c r="F448" s="425">
        <v>2.0533888118420066E-3</v>
      </c>
      <c r="G448" s="408"/>
    </row>
    <row r="449" spans="2:7">
      <c r="B449" s="411" t="s">
        <v>388</v>
      </c>
      <c r="C449" s="415">
        <v>42900</v>
      </c>
      <c r="D449" s="412">
        <v>15565</v>
      </c>
      <c r="E449" s="417">
        <v>1576910</v>
      </c>
      <c r="F449" s="425">
        <v>-2.2461103619198629E-3</v>
      </c>
      <c r="G449" s="408"/>
    </row>
    <row r="450" spans="2:7">
      <c r="B450" s="411" t="s">
        <v>388</v>
      </c>
      <c r="C450" s="415">
        <v>42901</v>
      </c>
      <c r="D450" s="412">
        <v>15250</v>
      </c>
      <c r="E450" s="417">
        <v>2512259</v>
      </c>
      <c r="F450" s="425">
        <v>-2.0445300840150834E-2</v>
      </c>
      <c r="G450" s="408"/>
    </row>
    <row r="451" spans="2:7">
      <c r="B451" s="411" t="s">
        <v>388</v>
      </c>
      <c r="C451" s="415">
        <v>42905</v>
      </c>
      <c r="D451" s="412">
        <v>15250</v>
      </c>
      <c r="E451" s="417">
        <v>654496</v>
      </c>
      <c r="F451" s="425">
        <v>0</v>
      </c>
      <c r="G451" s="408"/>
    </row>
    <row r="452" spans="2:7">
      <c r="B452" s="411" t="s">
        <v>388</v>
      </c>
      <c r="C452" s="415">
        <v>42906</v>
      </c>
      <c r="D452" s="412">
        <v>15288</v>
      </c>
      <c r="E452" s="417">
        <v>592354</v>
      </c>
      <c r="F452" s="425">
        <v>2.4887038845512353E-3</v>
      </c>
      <c r="G452" s="408"/>
    </row>
    <row r="453" spans="2:7">
      <c r="B453" s="411" t="s">
        <v>388</v>
      </c>
      <c r="C453" s="415">
        <v>42907</v>
      </c>
      <c r="D453" s="412">
        <v>15227</v>
      </c>
      <c r="E453" s="417">
        <v>1612369</v>
      </c>
      <c r="F453" s="425">
        <v>-3.998039079376561E-3</v>
      </c>
      <c r="G453" s="408"/>
    </row>
    <row r="454" spans="2:7">
      <c r="B454" s="411" t="s">
        <v>388</v>
      </c>
      <c r="C454" s="415">
        <v>42908</v>
      </c>
      <c r="D454" s="412">
        <v>15225</v>
      </c>
      <c r="E454" s="417">
        <v>973783</v>
      </c>
      <c r="F454" s="425">
        <v>-1.3135426263466337E-4</v>
      </c>
      <c r="G454" s="408"/>
    </row>
    <row r="455" spans="2:7">
      <c r="B455" s="411" t="s">
        <v>388</v>
      </c>
      <c r="C455" s="415">
        <v>42909</v>
      </c>
      <c r="D455" s="412">
        <v>15352</v>
      </c>
      <c r="E455" s="417">
        <v>546110</v>
      </c>
      <c r="F455" s="425">
        <v>8.3069451094380867E-3</v>
      </c>
      <c r="G455" s="408"/>
    </row>
    <row r="456" spans="2:7">
      <c r="B456" s="411" t="s">
        <v>388</v>
      </c>
      <c r="C456" s="415">
        <v>42912</v>
      </c>
      <c r="D456" s="412">
        <v>15399</v>
      </c>
      <c r="E456" s="417">
        <v>1184674</v>
      </c>
      <c r="F456" s="425">
        <v>3.0568135408770183E-3</v>
      </c>
      <c r="G456" s="408"/>
    </row>
    <row r="457" spans="2:7">
      <c r="B457" s="411" t="s">
        <v>388</v>
      </c>
      <c r="C457" s="415">
        <v>42913</v>
      </c>
      <c r="D457" s="412">
        <v>15400</v>
      </c>
      <c r="E457" s="417">
        <v>568258</v>
      </c>
      <c r="F457" s="425">
        <v>6.4937173307659055E-5</v>
      </c>
      <c r="G457" s="408"/>
    </row>
    <row r="458" spans="2:7">
      <c r="B458" s="411" t="s">
        <v>388</v>
      </c>
      <c r="C458" s="415">
        <v>42914</v>
      </c>
      <c r="D458" s="412">
        <v>15390</v>
      </c>
      <c r="E458" s="417">
        <v>988600</v>
      </c>
      <c r="F458" s="425">
        <v>-6.4956156879564502E-4</v>
      </c>
      <c r="G458" s="408"/>
    </row>
    <row r="459" spans="2:7">
      <c r="B459" s="411" t="s">
        <v>388</v>
      </c>
      <c r="C459" s="415">
        <v>42915</v>
      </c>
      <c r="D459" s="412">
        <v>15384</v>
      </c>
      <c r="E459" s="417">
        <v>994661</v>
      </c>
      <c r="F459" s="425">
        <v>-3.8993956430923899E-4</v>
      </c>
      <c r="G459" s="408"/>
    </row>
    <row r="460" spans="2:7">
      <c r="B460" s="411" t="s">
        <v>388</v>
      </c>
      <c r="C460" s="415">
        <v>42916</v>
      </c>
      <c r="D460" s="412">
        <v>15411</v>
      </c>
      <c r="E460" s="417">
        <v>432807</v>
      </c>
      <c r="F460" s="425">
        <v>1.7535318667619595E-3</v>
      </c>
      <c r="G460" s="408"/>
    </row>
    <row r="461" spans="2:7">
      <c r="B461" s="411" t="s">
        <v>388</v>
      </c>
      <c r="C461" s="415">
        <v>42919</v>
      </c>
      <c r="D461" s="412">
        <v>15400</v>
      </c>
      <c r="E461" s="417">
        <v>718682</v>
      </c>
      <c r="F461" s="425">
        <v>-7.1403073365706277E-4</v>
      </c>
      <c r="G461" s="408"/>
    </row>
    <row r="462" spans="2:7">
      <c r="B462" s="411" t="s">
        <v>388</v>
      </c>
      <c r="C462" s="415">
        <v>42920</v>
      </c>
      <c r="D462" s="412">
        <v>15563</v>
      </c>
      <c r="E462" s="417">
        <v>784946</v>
      </c>
      <c r="F462" s="425">
        <v>1.0528792803289366E-2</v>
      </c>
      <c r="G462" s="408"/>
    </row>
    <row r="463" spans="2:7">
      <c r="B463" s="411" t="s">
        <v>388</v>
      </c>
      <c r="C463" s="415">
        <v>42921</v>
      </c>
      <c r="D463" s="412">
        <v>15414</v>
      </c>
      <c r="E463" s="417">
        <v>1228869</v>
      </c>
      <c r="F463" s="425">
        <v>-9.6201148670714276E-3</v>
      </c>
      <c r="G463" s="408"/>
    </row>
    <row r="464" spans="2:7">
      <c r="B464" s="411" t="s">
        <v>388</v>
      </c>
      <c r="C464" s="415">
        <v>42922</v>
      </c>
      <c r="D464" s="412">
        <v>15475</v>
      </c>
      <c r="E464" s="417">
        <v>259042</v>
      </c>
      <c r="F464" s="425">
        <v>3.9496312148581975E-3</v>
      </c>
      <c r="G464" s="408"/>
    </row>
    <row r="465" spans="2:7">
      <c r="B465" s="411" t="s">
        <v>388</v>
      </c>
      <c r="C465" s="415">
        <v>42923</v>
      </c>
      <c r="D465" s="412">
        <v>15515</v>
      </c>
      <c r="E465" s="417">
        <v>440052</v>
      </c>
      <c r="F465" s="425">
        <v>2.5814793296836925E-3</v>
      </c>
      <c r="G465" s="408"/>
    </row>
    <row r="466" spans="2:7">
      <c r="B466" s="411" t="s">
        <v>388</v>
      </c>
      <c r="C466" s="415">
        <v>42926</v>
      </c>
      <c r="D466" s="412">
        <v>15401</v>
      </c>
      <c r="E466" s="417">
        <v>314208</v>
      </c>
      <c r="F466" s="425">
        <v>-7.3748555240150107E-3</v>
      </c>
      <c r="G466" s="408"/>
    </row>
    <row r="467" spans="2:7">
      <c r="B467" s="411" t="s">
        <v>388</v>
      </c>
      <c r="C467" s="415">
        <v>42927</v>
      </c>
      <c r="D467" s="412">
        <v>15320</v>
      </c>
      <c r="E467" s="417">
        <v>481953</v>
      </c>
      <c r="F467" s="425">
        <v>-5.2732780638832331E-3</v>
      </c>
      <c r="G467" s="408"/>
    </row>
    <row r="468" spans="2:7">
      <c r="B468" s="411" t="s">
        <v>388</v>
      </c>
      <c r="C468" s="415">
        <v>42928</v>
      </c>
      <c r="D468" s="412">
        <v>15409</v>
      </c>
      <c r="E468" s="417">
        <v>508388</v>
      </c>
      <c r="F468" s="425">
        <v>5.7925899872710868E-3</v>
      </c>
      <c r="G468" s="408"/>
    </row>
    <row r="469" spans="2:7">
      <c r="B469" s="411" t="s">
        <v>388</v>
      </c>
      <c r="C469" s="415">
        <v>42929</v>
      </c>
      <c r="D469" s="412">
        <v>15599</v>
      </c>
      <c r="E469" s="417">
        <v>702522</v>
      </c>
      <c r="F469" s="425">
        <v>1.2255055337015354E-2</v>
      </c>
      <c r="G469" s="408"/>
    </row>
    <row r="470" spans="2:7">
      <c r="B470" s="411" t="s">
        <v>388</v>
      </c>
      <c r="C470" s="415">
        <v>42930</v>
      </c>
      <c r="D470" s="412">
        <v>16070</v>
      </c>
      <c r="E470" s="417">
        <v>514321</v>
      </c>
      <c r="F470" s="425">
        <v>2.9747370112689488E-2</v>
      </c>
      <c r="G470" s="408"/>
    </row>
    <row r="471" spans="2:7">
      <c r="B471" s="411" t="s">
        <v>388</v>
      </c>
      <c r="C471" s="415">
        <v>42933</v>
      </c>
      <c r="D471" s="412">
        <v>16032</v>
      </c>
      <c r="E471" s="417">
        <v>737206</v>
      </c>
      <c r="F471" s="425">
        <v>-2.3674548469669724E-3</v>
      </c>
      <c r="G471" s="408"/>
    </row>
    <row r="472" spans="2:7">
      <c r="B472" s="411" t="s">
        <v>388</v>
      </c>
      <c r="C472" s="415">
        <v>42934</v>
      </c>
      <c r="D472" s="412">
        <v>16245</v>
      </c>
      <c r="E472" s="417">
        <v>782947</v>
      </c>
      <c r="F472" s="425">
        <v>1.3198444218609301E-2</v>
      </c>
      <c r="G472" s="408"/>
    </row>
    <row r="473" spans="2:7">
      <c r="B473" s="411" t="s">
        <v>388</v>
      </c>
      <c r="C473" s="415">
        <v>42935</v>
      </c>
      <c r="D473" s="412">
        <v>16250</v>
      </c>
      <c r="E473" s="417">
        <v>894800</v>
      </c>
      <c r="F473" s="425">
        <v>3.0773965468286355E-4</v>
      </c>
      <c r="G473" s="408"/>
    </row>
    <row r="474" spans="2:7">
      <c r="B474" s="411" t="s">
        <v>388</v>
      </c>
      <c r="C474" s="415">
        <v>42936</v>
      </c>
      <c r="D474" s="412">
        <v>16705</v>
      </c>
      <c r="E474" s="417">
        <v>715806</v>
      </c>
      <c r="F474" s="425">
        <v>2.7615167032973391E-2</v>
      </c>
      <c r="G474" s="408"/>
    </row>
    <row r="475" spans="2:7">
      <c r="B475" s="411" t="s">
        <v>388</v>
      </c>
      <c r="C475" s="415">
        <v>42937</v>
      </c>
      <c r="D475" s="412">
        <v>16551</v>
      </c>
      <c r="E475" s="417">
        <v>456028</v>
      </c>
      <c r="F475" s="425">
        <v>-9.2615528503164016E-3</v>
      </c>
      <c r="G475" s="408"/>
    </row>
    <row r="476" spans="2:7">
      <c r="B476" s="411" t="s">
        <v>388</v>
      </c>
      <c r="C476" s="415">
        <v>42940</v>
      </c>
      <c r="D476" s="412">
        <v>16391</v>
      </c>
      <c r="E476" s="417">
        <v>284410</v>
      </c>
      <c r="F476" s="425">
        <v>-9.7141192511803528E-3</v>
      </c>
      <c r="G476" s="408"/>
    </row>
    <row r="477" spans="2:7">
      <c r="B477" s="411" t="s">
        <v>388</v>
      </c>
      <c r="C477" s="415">
        <v>42941</v>
      </c>
      <c r="D477" s="412">
        <v>16003</v>
      </c>
      <c r="E477" s="417">
        <v>510620</v>
      </c>
      <c r="F477" s="425">
        <v>-2.3956199043369882E-2</v>
      </c>
      <c r="G477" s="408"/>
    </row>
    <row r="478" spans="2:7">
      <c r="B478" s="411" t="s">
        <v>388</v>
      </c>
      <c r="C478" s="415">
        <v>42942</v>
      </c>
      <c r="D478" s="412">
        <v>15994</v>
      </c>
      <c r="E478" s="417">
        <v>982942</v>
      </c>
      <c r="F478" s="425">
        <v>-5.6255275415503792E-4</v>
      </c>
      <c r="G478" s="408"/>
    </row>
    <row r="479" spans="2:7">
      <c r="B479" s="411" t="s">
        <v>388</v>
      </c>
      <c r="C479" s="415">
        <v>42943</v>
      </c>
      <c r="D479" s="412">
        <v>16297</v>
      </c>
      <c r="E479" s="417">
        <v>966462</v>
      </c>
      <c r="F479" s="425">
        <v>1.8767389884153642E-2</v>
      </c>
      <c r="G479" s="408"/>
    </row>
    <row r="480" spans="2:7">
      <c r="B480" s="411" t="s">
        <v>388</v>
      </c>
      <c r="C480" s="415">
        <v>42944</v>
      </c>
      <c r="D480" s="412">
        <v>16605</v>
      </c>
      <c r="E480" s="417">
        <v>351356</v>
      </c>
      <c r="F480" s="425">
        <v>1.8722813034858093E-2</v>
      </c>
      <c r="G480" s="408"/>
    </row>
    <row r="481" spans="2:7">
      <c r="B481" s="411" t="s">
        <v>388</v>
      </c>
      <c r="C481" s="415">
        <v>42947</v>
      </c>
      <c r="D481" s="412">
        <v>16515</v>
      </c>
      <c r="E481" s="417">
        <v>780674</v>
      </c>
      <c r="F481" s="425">
        <v>-5.4347959859569446E-3</v>
      </c>
      <c r="G481" s="408"/>
    </row>
    <row r="482" spans="2:7">
      <c r="B482" s="411" t="s">
        <v>388</v>
      </c>
      <c r="C482" s="415">
        <v>42948</v>
      </c>
      <c r="D482" s="412">
        <v>16500</v>
      </c>
      <c r="E482" s="417">
        <v>856714</v>
      </c>
      <c r="F482" s="425">
        <v>-9.0867793621806432E-4</v>
      </c>
      <c r="G482" s="408"/>
    </row>
    <row r="483" spans="2:7">
      <c r="B483" s="411" t="s">
        <v>388</v>
      </c>
      <c r="C483" s="415">
        <v>42949</v>
      </c>
      <c r="D483" s="412">
        <v>16800</v>
      </c>
      <c r="E483" s="417">
        <v>602251</v>
      </c>
      <c r="F483" s="425">
        <v>1.8018505502678212E-2</v>
      </c>
      <c r="G483" s="408"/>
    </row>
    <row r="484" spans="2:7">
      <c r="B484" s="411" t="s">
        <v>388</v>
      </c>
      <c r="C484" s="415">
        <v>42950</v>
      </c>
      <c r="D484" s="412">
        <v>16949</v>
      </c>
      <c r="E484" s="417">
        <v>470875</v>
      </c>
      <c r="F484" s="425">
        <v>8.8299486267041077E-3</v>
      </c>
      <c r="G484" s="408"/>
    </row>
    <row r="485" spans="2:7">
      <c r="B485" s="411" t="s">
        <v>388</v>
      </c>
      <c r="C485" s="415">
        <v>42951</v>
      </c>
      <c r="D485" s="412">
        <v>16931</v>
      </c>
      <c r="E485" s="417">
        <v>413281</v>
      </c>
      <c r="F485" s="425">
        <v>-1.0625738898225757E-3</v>
      </c>
      <c r="G485" s="408"/>
    </row>
    <row r="486" spans="2:7">
      <c r="B486" s="411" t="s">
        <v>388</v>
      </c>
      <c r="C486" s="415">
        <v>42954</v>
      </c>
      <c r="D486" s="412">
        <v>16800</v>
      </c>
      <c r="E486" s="417">
        <v>522783</v>
      </c>
      <c r="F486" s="425">
        <v>-7.7673747368815034E-3</v>
      </c>
      <c r="G486" s="408"/>
    </row>
    <row r="487" spans="2:7">
      <c r="B487" s="411" t="s">
        <v>388</v>
      </c>
      <c r="C487" s="415">
        <v>42955</v>
      </c>
      <c r="D487" s="412">
        <v>16805</v>
      </c>
      <c r="E487" s="417">
        <v>801857</v>
      </c>
      <c r="F487" s="425">
        <v>2.975747678558542E-4</v>
      </c>
      <c r="G487" s="408"/>
    </row>
    <row r="488" spans="2:7">
      <c r="B488" s="411" t="s">
        <v>388</v>
      </c>
      <c r="C488" s="415">
        <v>42957</v>
      </c>
      <c r="D488" s="412">
        <v>16662</v>
      </c>
      <c r="E488" s="417">
        <v>426592</v>
      </c>
      <c r="F488" s="425">
        <v>-8.5457836243515196E-3</v>
      </c>
      <c r="G488" s="408"/>
    </row>
    <row r="489" spans="2:7">
      <c r="B489" s="411" t="s">
        <v>388</v>
      </c>
      <c r="C489" s="415">
        <v>42958</v>
      </c>
      <c r="D489" s="412">
        <v>16665</v>
      </c>
      <c r="E489" s="417">
        <v>493765</v>
      </c>
      <c r="F489" s="425">
        <v>1.8003420698562144E-4</v>
      </c>
      <c r="G489" s="408"/>
    </row>
    <row r="490" spans="2:7">
      <c r="B490" s="411" t="s">
        <v>388</v>
      </c>
      <c r="C490" s="415">
        <v>42961</v>
      </c>
      <c r="D490" s="412">
        <v>16734</v>
      </c>
      <c r="E490" s="417">
        <v>267850</v>
      </c>
      <c r="F490" s="425">
        <v>4.1318661137038368E-3</v>
      </c>
      <c r="G490" s="408"/>
    </row>
    <row r="491" spans="2:7">
      <c r="B491" s="411" t="s">
        <v>388</v>
      </c>
      <c r="C491" s="415">
        <v>42962</v>
      </c>
      <c r="D491" s="412">
        <v>16837</v>
      </c>
      <c r="E491" s="417">
        <v>270575</v>
      </c>
      <c r="F491" s="425">
        <v>6.1362678022556932E-3</v>
      </c>
      <c r="G491" s="408"/>
    </row>
    <row r="492" spans="2:7">
      <c r="B492" s="411" t="s">
        <v>388</v>
      </c>
      <c r="C492" s="415">
        <v>42963</v>
      </c>
      <c r="D492" s="412">
        <v>16704</v>
      </c>
      <c r="E492" s="417">
        <v>455002</v>
      </c>
      <c r="F492" s="425">
        <v>-7.9306339754344462E-3</v>
      </c>
      <c r="G492" s="408"/>
    </row>
    <row r="493" spans="2:7">
      <c r="B493" s="411" t="s">
        <v>388</v>
      </c>
      <c r="C493" s="415">
        <v>42964</v>
      </c>
      <c r="D493" s="412">
        <v>16800</v>
      </c>
      <c r="E493" s="417">
        <v>421825</v>
      </c>
      <c r="F493" s="425">
        <v>5.7306747089850745E-3</v>
      </c>
      <c r="G493" s="408"/>
    </row>
    <row r="494" spans="2:7">
      <c r="B494" s="411" t="s">
        <v>388</v>
      </c>
      <c r="C494" s="415">
        <v>42965</v>
      </c>
      <c r="D494" s="412">
        <v>16814</v>
      </c>
      <c r="E494" s="417">
        <v>230778</v>
      </c>
      <c r="F494" s="425">
        <v>8.3298630389177098E-4</v>
      </c>
      <c r="G494" s="408"/>
    </row>
    <row r="495" spans="2:7">
      <c r="B495" s="411" t="s">
        <v>388</v>
      </c>
      <c r="C495" s="415">
        <v>42968</v>
      </c>
      <c r="D495" s="412">
        <v>17115</v>
      </c>
      <c r="E495" s="417">
        <v>341557</v>
      </c>
      <c r="F495" s="425">
        <v>1.7743399269043576E-2</v>
      </c>
      <c r="G495" s="408"/>
    </row>
    <row r="496" spans="2:7">
      <c r="B496" s="411" t="s">
        <v>388</v>
      </c>
      <c r="C496" s="415">
        <v>42969</v>
      </c>
      <c r="D496" s="412">
        <v>17412</v>
      </c>
      <c r="E496" s="417">
        <v>477602</v>
      </c>
      <c r="F496" s="425">
        <v>1.7204351707902386E-2</v>
      </c>
      <c r="G496" s="408"/>
    </row>
    <row r="497" spans="2:7">
      <c r="B497" s="411" t="s">
        <v>388</v>
      </c>
      <c r="C497" s="415">
        <v>42970</v>
      </c>
      <c r="D497" s="412">
        <v>17200</v>
      </c>
      <c r="E497" s="417">
        <v>618561</v>
      </c>
      <c r="F497" s="425">
        <v>-1.2250239870643732E-2</v>
      </c>
      <c r="G497" s="408"/>
    </row>
    <row r="498" spans="2:7">
      <c r="B498" s="411" t="s">
        <v>388</v>
      </c>
      <c r="C498" s="415">
        <v>42971</v>
      </c>
      <c r="D498" s="412">
        <v>17561</v>
      </c>
      <c r="E498" s="417">
        <v>493845</v>
      </c>
      <c r="F498" s="425">
        <v>2.0771150374310248E-2</v>
      </c>
      <c r="G498" s="408"/>
    </row>
    <row r="499" spans="2:7">
      <c r="B499" s="411" t="s">
        <v>388</v>
      </c>
      <c r="C499" s="415">
        <v>42972</v>
      </c>
      <c r="D499" s="412">
        <v>17243</v>
      </c>
      <c r="E499" s="417">
        <v>308295</v>
      </c>
      <c r="F499" s="425">
        <v>-1.8274270175723036E-2</v>
      </c>
      <c r="G499" s="408"/>
    </row>
    <row r="500" spans="2:7">
      <c r="B500" s="411" t="s">
        <v>388</v>
      </c>
      <c r="C500" s="415">
        <v>42975</v>
      </c>
      <c r="D500" s="412">
        <v>17150</v>
      </c>
      <c r="E500" s="417">
        <v>338075</v>
      </c>
      <c r="F500" s="425">
        <v>-5.4080904060456562E-3</v>
      </c>
      <c r="G500" s="408"/>
    </row>
    <row r="501" spans="2:7">
      <c r="B501" s="411" t="s">
        <v>388</v>
      </c>
      <c r="C501" s="415">
        <v>42976</v>
      </c>
      <c r="D501" s="412">
        <v>17170</v>
      </c>
      <c r="E501" s="417">
        <v>849516</v>
      </c>
      <c r="F501" s="425">
        <v>1.1655012974351919E-3</v>
      </c>
      <c r="G501" s="408"/>
    </row>
    <row r="502" spans="2:7">
      <c r="B502" s="411" t="s">
        <v>388</v>
      </c>
      <c r="C502" s="415">
        <v>42977</v>
      </c>
      <c r="D502" s="412">
        <v>16800</v>
      </c>
      <c r="E502" s="417">
        <v>1120067</v>
      </c>
      <c r="F502" s="425">
        <v>-2.1784788500170949E-2</v>
      </c>
      <c r="G502" s="408"/>
    </row>
    <row r="503" spans="2:7">
      <c r="B503" s="411" t="s">
        <v>388</v>
      </c>
      <c r="C503" s="415">
        <v>42978</v>
      </c>
      <c r="D503" s="412">
        <v>16905</v>
      </c>
      <c r="E503" s="417">
        <v>780991</v>
      </c>
      <c r="F503" s="425">
        <v>6.2305497506361628E-3</v>
      </c>
      <c r="G503" s="408"/>
    </row>
    <row r="504" spans="2:7">
      <c r="B504" s="411" t="s">
        <v>388</v>
      </c>
      <c r="C504" s="415">
        <v>42979</v>
      </c>
      <c r="D504" s="412">
        <v>17119</v>
      </c>
      <c r="E504" s="417">
        <v>969239</v>
      </c>
      <c r="F504" s="425">
        <v>1.2579521632791942E-2</v>
      </c>
      <c r="G504" s="408"/>
    </row>
    <row r="505" spans="2:7">
      <c r="B505" s="411" t="s">
        <v>388</v>
      </c>
      <c r="C505" s="415">
        <v>42982</v>
      </c>
      <c r="D505" s="412">
        <v>16785</v>
      </c>
      <c r="E505" s="417">
        <v>568912</v>
      </c>
      <c r="F505" s="425">
        <v>-1.9703327360643078E-2</v>
      </c>
      <c r="G505" s="408"/>
    </row>
    <row r="506" spans="2:7">
      <c r="B506" s="411" t="s">
        <v>388</v>
      </c>
      <c r="C506" s="415">
        <v>42983</v>
      </c>
      <c r="D506" s="412">
        <v>16650</v>
      </c>
      <c r="E506" s="417">
        <v>746670</v>
      </c>
      <c r="F506" s="425">
        <v>-8.0754140055454178E-3</v>
      </c>
      <c r="G506" s="408"/>
    </row>
    <row r="507" spans="2:7">
      <c r="B507" s="411" t="s">
        <v>388</v>
      </c>
      <c r="C507" s="415">
        <v>42984</v>
      </c>
      <c r="D507" s="412">
        <v>16710</v>
      </c>
      <c r="E507" s="417">
        <v>1102799</v>
      </c>
      <c r="F507" s="425">
        <v>3.5971261808494747E-3</v>
      </c>
      <c r="G507" s="408"/>
    </row>
    <row r="508" spans="2:7">
      <c r="B508" s="411" t="s">
        <v>388</v>
      </c>
      <c r="C508" s="415">
        <v>42985</v>
      </c>
      <c r="D508" s="412">
        <v>16834</v>
      </c>
      <c r="E508" s="417">
        <v>271459</v>
      </c>
      <c r="F508" s="425">
        <v>7.3933081820820642E-3</v>
      </c>
      <c r="G508" s="408"/>
    </row>
    <row r="509" spans="2:7">
      <c r="B509" s="411" t="s">
        <v>388</v>
      </c>
      <c r="C509" s="415">
        <v>42986</v>
      </c>
      <c r="D509" s="412">
        <v>16650</v>
      </c>
      <c r="E509" s="417">
        <v>234859</v>
      </c>
      <c r="F509" s="425">
        <v>-1.0990434362931551E-2</v>
      </c>
      <c r="G509" s="408"/>
    </row>
    <row r="510" spans="2:7">
      <c r="B510" s="411" t="s">
        <v>388</v>
      </c>
      <c r="C510" s="415">
        <v>42989</v>
      </c>
      <c r="D510" s="412">
        <v>16601</v>
      </c>
      <c r="E510" s="417">
        <v>297900</v>
      </c>
      <c r="F510" s="425">
        <v>-2.9472819145138656E-3</v>
      </c>
      <c r="G510" s="408"/>
    </row>
    <row r="511" spans="2:7">
      <c r="B511" s="411" t="s">
        <v>388</v>
      </c>
      <c r="C511" s="415">
        <v>42990</v>
      </c>
      <c r="D511" s="412">
        <v>16752</v>
      </c>
      <c r="E511" s="417">
        <v>830608</v>
      </c>
      <c r="F511" s="425">
        <v>9.0547196162421469E-3</v>
      </c>
      <c r="G511" s="408"/>
    </row>
    <row r="512" spans="2:7">
      <c r="B512" s="411" t="s">
        <v>388</v>
      </c>
      <c r="C512" s="415">
        <v>42991</v>
      </c>
      <c r="D512" s="412">
        <v>16852</v>
      </c>
      <c r="E512" s="417">
        <v>221871</v>
      </c>
      <c r="F512" s="425">
        <v>5.9516899885891407E-3</v>
      </c>
      <c r="G512" s="408"/>
    </row>
    <row r="513" spans="2:7">
      <c r="B513" s="411" t="s">
        <v>388</v>
      </c>
      <c r="C513" s="415">
        <v>42992</v>
      </c>
      <c r="D513" s="412">
        <v>16653</v>
      </c>
      <c r="E513" s="417">
        <v>808450</v>
      </c>
      <c r="F513" s="425">
        <v>-1.1878963740636116E-2</v>
      </c>
      <c r="G513" s="408"/>
    </row>
    <row r="514" spans="2:7">
      <c r="B514" s="411" t="s">
        <v>388</v>
      </c>
      <c r="C514" s="415">
        <v>42993</v>
      </c>
      <c r="D514" s="412">
        <v>16705</v>
      </c>
      <c r="E514" s="417">
        <v>842514</v>
      </c>
      <c r="F514" s="425">
        <v>3.1176954325859312E-3</v>
      </c>
      <c r="G514" s="408"/>
    </row>
    <row r="515" spans="2:7">
      <c r="B515" s="411" t="s">
        <v>388</v>
      </c>
      <c r="C515" s="415">
        <v>42996</v>
      </c>
      <c r="D515" s="412">
        <v>16690</v>
      </c>
      <c r="E515" s="417">
        <v>291405</v>
      </c>
      <c r="F515" s="425">
        <v>-8.9833813497614543E-4</v>
      </c>
      <c r="G515" s="408"/>
    </row>
    <row r="516" spans="2:7">
      <c r="B516" s="411" t="s">
        <v>388</v>
      </c>
      <c r="C516" s="415">
        <v>42997</v>
      </c>
      <c r="D516" s="412">
        <v>16726</v>
      </c>
      <c r="E516" s="417">
        <v>358626</v>
      </c>
      <c r="F516" s="425">
        <v>2.1546572855903616E-3</v>
      </c>
      <c r="G516" s="408"/>
    </row>
    <row r="517" spans="2:7">
      <c r="B517" s="411" t="s">
        <v>388</v>
      </c>
      <c r="C517" s="415">
        <v>42998</v>
      </c>
      <c r="D517" s="412">
        <v>16726</v>
      </c>
      <c r="E517" s="417">
        <v>351284</v>
      </c>
      <c r="F517" s="425">
        <v>0</v>
      </c>
      <c r="G517" s="408"/>
    </row>
    <row r="518" spans="2:7">
      <c r="B518" s="411" t="s">
        <v>388</v>
      </c>
      <c r="C518" s="415">
        <v>42999</v>
      </c>
      <c r="D518" s="412">
        <v>16690</v>
      </c>
      <c r="E518" s="417">
        <v>1747788</v>
      </c>
      <c r="F518" s="425">
        <v>-2.154657285590343E-3</v>
      </c>
      <c r="G518" s="408"/>
    </row>
    <row r="519" spans="2:7">
      <c r="B519" s="411" t="s">
        <v>388</v>
      </c>
      <c r="C519" s="415">
        <v>43000</v>
      </c>
      <c r="D519" s="412">
        <v>16790</v>
      </c>
      <c r="E519" s="417">
        <v>1170206</v>
      </c>
      <c r="F519" s="425">
        <v>5.9737334157057261E-3</v>
      </c>
      <c r="G519" s="408"/>
    </row>
    <row r="520" spans="2:7">
      <c r="B520" s="411" t="s">
        <v>388</v>
      </c>
      <c r="C520" s="415">
        <v>43004</v>
      </c>
      <c r="D520" s="412">
        <v>16625</v>
      </c>
      <c r="E520" s="417">
        <v>322973</v>
      </c>
      <c r="F520" s="425">
        <v>-9.8758845475315667E-3</v>
      </c>
      <c r="G520" s="408"/>
    </row>
    <row r="521" spans="2:7">
      <c r="B521" s="411" t="s">
        <v>388</v>
      </c>
      <c r="C521" s="415">
        <v>43005</v>
      </c>
      <c r="D521" s="412">
        <v>16600</v>
      </c>
      <c r="E521" s="417">
        <v>440492</v>
      </c>
      <c r="F521" s="425">
        <v>-1.5048911794202768E-3</v>
      </c>
      <c r="G521" s="408"/>
    </row>
    <row r="522" spans="2:7">
      <c r="B522" s="411" t="s">
        <v>388</v>
      </c>
      <c r="C522" s="415">
        <v>43006</v>
      </c>
      <c r="D522" s="412">
        <v>16600</v>
      </c>
      <c r="E522" s="417">
        <v>446980</v>
      </c>
      <c r="F522" s="425">
        <v>0</v>
      </c>
      <c r="G522" s="408"/>
    </row>
    <row r="523" spans="2:7">
      <c r="B523" s="411" t="s">
        <v>388</v>
      </c>
      <c r="C523" s="415">
        <v>43007</v>
      </c>
      <c r="D523" s="412">
        <v>16708</v>
      </c>
      <c r="E523" s="417">
        <v>539260</v>
      </c>
      <c r="F523" s="425">
        <v>6.484951272431266E-3</v>
      </c>
      <c r="G523" s="408"/>
    </row>
    <row r="524" spans="2:7">
      <c r="B524" s="411" t="s">
        <v>388</v>
      </c>
      <c r="C524" s="415">
        <v>43010</v>
      </c>
      <c r="D524" s="412">
        <v>16615</v>
      </c>
      <c r="E524" s="417">
        <v>518606</v>
      </c>
      <c r="F524" s="425">
        <v>-5.5817448283712635E-3</v>
      </c>
      <c r="G524" s="408"/>
    </row>
    <row r="525" spans="2:7">
      <c r="B525" s="411" t="s">
        <v>388</v>
      </c>
      <c r="C525" s="415">
        <v>43011</v>
      </c>
      <c r="D525" s="412">
        <v>16660</v>
      </c>
      <c r="E525" s="417">
        <v>1215909</v>
      </c>
      <c r="F525" s="425">
        <v>2.704734932139114E-3</v>
      </c>
      <c r="G525" s="408"/>
    </row>
    <row r="526" spans="2:7">
      <c r="B526" s="411" t="s">
        <v>388</v>
      </c>
      <c r="C526" s="415">
        <v>43012</v>
      </c>
      <c r="D526" s="412">
        <v>16698</v>
      </c>
      <c r="E526" s="417">
        <v>343419</v>
      </c>
      <c r="F526" s="425">
        <v>2.2783150331119927E-3</v>
      </c>
      <c r="G526" s="408"/>
    </row>
    <row r="527" spans="2:7">
      <c r="B527" s="411" t="s">
        <v>388</v>
      </c>
      <c r="C527" s="415">
        <v>43013</v>
      </c>
      <c r="D527" s="412">
        <v>16650</v>
      </c>
      <c r="E527" s="417">
        <v>250568</v>
      </c>
      <c r="F527" s="425">
        <v>-2.8787353453559278E-3</v>
      </c>
      <c r="G527" s="408"/>
    </row>
    <row r="528" spans="2:7">
      <c r="B528" s="411" t="s">
        <v>388</v>
      </c>
      <c r="C528" s="415">
        <v>43014</v>
      </c>
      <c r="D528" s="412">
        <v>17115</v>
      </c>
      <c r="E528" s="417">
        <v>459939</v>
      </c>
      <c r="F528" s="425">
        <v>2.7545055555695759E-2</v>
      </c>
      <c r="G528" s="408"/>
    </row>
    <row r="529" spans="2:7">
      <c r="B529" s="411" t="s">
        <v>388</v>
      </c>
      <c r="C529" s="415">
        <v>43017</v>
      </c>
      <c r="D529" s="412">
        <v>17047</v>
      </c>
      <c r="E529" s="417">
        <v>257077</v>
      </c>
      <c r="F529" s="425">
        <v>-3.9810368133607792E-3</v>
      </c>
      <c r="G529" s="408"/>
    </row>
    <row r="530" spans="2:7">
      <c r="B530" s="411" t="s">
        <v>388</v>
      </c>
      <c r="C530" s="415">
        <v>43018</v>
      </c>
      <c r="D530" s="412">
        <v>17176</v>
      </c>
      <c r="E530" s="417">
        <v>320104</v>
      </c>
      <c r="F530" s="425">
        <v>7.5388254076919885E-3</v>
      </c>
      <c r="G530" s="408"/>
    </row>
    <row r="531" spans="2:7">
      <c r="B531" s="411" t="s">
        <v>388</v>
      </c>
      <c r="C531" s="415">
        <v>43019</v>
      </c>
      <c r="D531" s="412">
        <v>17400</v>
      </c>
      <c r="E531" s="417">
        <v>442340</v>
      </c>
      <c r="F531" s="425">
        <v>1.295714564400339E-2</v>
      </c>
      <c r="G531" s="408"/>
    </row>
    <row r="532" spans="2:7">
      <c r="B532" s="411" t="s">
        <v>388</v>
      </c>
      <c r="C532" s="415">
        <v>43020</v>
      </c>
      <c r="D532" s="412">
        <v>17553</v>
      </c>
      <c r="E532" s="417">
        <v>481195</v>
      </c>
      <c r="F532" s="425">
        <v>8.7546692537253112E-3</v>
      </c>
      <c r="G532" s="408"/>
    </row>
    <row r="533" spans="2:7">
      <c r="B533" s="411" t="s">
        <v>388</v>
      </c>
      <c r="C533" s="415">
        <v>43021</v>
      </c>
      <c r="D533" s="412">
        <v>17527</v>
      </c>
      <c r="E533" s="417">
        <v>392919</v>
      </c>
      <c r="F533" s="425">
        <v>-1.4823263831698411E-3</v>
      </c>
      <c r="G533" s="408"/>
    </row>
    <row r="534" spans="2:7">
      <c r="B534" s="411" t="s">
        <v>388</v>
      </c>
      <c r="C534" s="415">
        <v>43024</v>
      </c>
      <c r="D534" s="412">
        <v>17568</v>
      </c>
      <c r="E534" s="417">
        <v>448640</v>
      </c>
      <c r="F534" s="425">
        <v>2.3365162360812573E-3</v>
      </c>
      <c r="G534" s="408"/>
    </row>
    <row r="535" spans="2:7">
      <c r="B535" s="411" t="s">
        <v>388</v>
      </c>
      <c r="C535" s="415">
        <v>43025</v>
      </c>
      <c r="D535" s="412">
        <v>17246</v>
      </c>
      <c r="E535" s="417">
        <v>257252</v>
      </c>
      <c r="F535" s="425">
        <v>-1.8498832796987393E-2</v>
      </c>
      <c r="G535" s="408"/>
    </row>
    <row r="536" spans="2:7">
      <c r="B536" s="411" t="s">
        <v>388</v>
      </c>
      <c r="C536" s="415">
        <v>43026</v>
      </c>
      <c r="D536" s="412">
        <v>17554</v>
      </c>
      <c r="E536" s="417">
        <v>221262</v>
      </c>
      <c r="F536" s="425">
        <v>1.7701611639793072E-2</v>
      </c>
      <c r="G536" s="408"/>
    </row>
    <row r="537" spans="2:7">
      <c r="B537" s="411" t="s">
        <v>388</v>
      </c>
      <c r="C537" s="415">
        <v>43027</v>
      </c>
      <c r="D537" s="412">
        <v>17470</v>
      </c>
      <c r="E537" s="417">
        <v>484694</v>
      </c>
      <c r="F537" s="425">
        <v>-4.796720023960639E-3</v>
      </c>
      <c r="G537" s="408"/>
    </row>
    <row r="538" spans="2:7">
      <c r="B538" s="411" t="s">
        <v>388</v>
      </c>
      <c r="C538" s="415">
        <v>43028</v>
      </c>
      <c r="D538" s="412">
        <v>17229</v>
      </c>
      <c r="E538" s="417">
        <v>997947</v>
      </c>
      <c r="F538" s="425">
        <v>-1.3891113595696039E-2</v>
      </c>
      <c r="G538" s="408"/>
    </row>
    <row r="539" spans="2:7">
      <c r="B539" s="411" t="s">
        <v>388</v>
      </c>
      <c r="C539" s="415">
        <v>43031</v>
      </c>
      <c r="D539" s="412">
        <v>16862</v>
      </c>
      <c r="E539" s="417">
        <v>294038</v>
      </c>
      <c r="F539" s="425">
        <v>-2.1531441049785275E-2</v>
      </c>
      <c r="G539" s="408"/>
    </row>
    <row r="540" spans="2:7">
      <c r="B540" s="411" t="s">
        <v>388</v>
      </c>
      <c r="C540" s="415">
        <v>43032</v>
      </c>
      <c r="D540" s="412">
        <v>16855</v>
      </c>
      <c r="E540" s="417">
        <v>485752</v>
      </c>
      <c r="F540" s="425">
        <v>-4.1522081445989558E-4</v>
      </c>
      <c r="G540" s="408"/>
    </row>
    <row r="541" spans="2:7">
      <c r="B541" s="411" t="s">
        <v>388</v>
      </c>
      <c r="C541" s="415">
        <v>43033</v>
      </c>
      <c r="D541" s="412">
        <v>16708</v>
      </c>
      <c r="E541" s="417">
        <v>395555</v>
      </c>
      <c r="F541" s="425">
        <v>-8.7597020510951779E-3</v>
      </c>
      <c r="G541" s="408"/>
    </row>
    <row r="542" spans="2:7">
      <c r="B542" s="411" t="s">
        <v>388</v>
      </c>
      <c r="C542" s="415">
        <v>43034</v>
      </c>
      <c r="D542" s="412">
        <v>16650</v>
      </c>
      <c r="E542" s="417">
        <v>579124</v>
      </c>
      <c r="F542" s="425">
        <v>-3.4774302084760768E-3</v>
      </c>
      <c r="G542" s="408"/>
    </row>
    <row r="543" spans="2:7">
      <c r="B543" s="411" t="s">
        <v>388</v>
      </c>
      <c r="C543" s="415">
        <v>43035</v>
      </c>
      <c r="D543" s="412">
        <v>16650</v>
      </c>
      <c r="E543" s="417">
        <v>869827</v>
      </c>
      <c r="F543" s="425">
        <v>0</v>
      </c>
      <c r="G543" s="408"/>
    </row>
    <row r="544" spans="2:7">
      <c r="B544" s="411" t="s">
        <v>388</v>
      </c>
      <c r="C544" s="415">
        <v>43038</v>
      </c>
      <c r="D544" s="412">
        <v>16621</v>
      </c>
      <c r="E544" s="417">
        <v>957305</v>
      </c>
      <c r="F544" s="425">
        <v>-1.7432603374797175E-3</v>
      </c>
      <c r="G544" s="408"/>
    </row>
    <row r="545" spans="2:7">
      <c r="B545" s="411" t="s">
        <v>388</v>
      </c>
      <c r="C545" s="415">
        <v>43039</v>
      </c>
      <c r="D545" s="412">
        <v>16636</v>
      </c>
      <c r="E545" s="417">
        <v>546386</v>
      </c>
      <c r="F545" s="425">
        <v>9.0206579169212903E-4</v>
      </c>
      <c r="G545" s="408"/>
    </row>
    <row r="546" spans="2:7">
      <c r="B546" s="411" t="s">
        <v>388</v>
      </c>
      <c r="C546" s="415">
        <v>43040</v>
      </c>
      <c r="D546" s="412">
        <v>16650</v>
      </c>
      <c r="E546" s="417">
        <v>656665</v>
      </c>
      <c r="F546" s="425">
        <v>8.4119454578757884E-4</v>
      </c>
      <c r="G546" s="408"/>
    </row>
    <row r="547" spans="2:7">
      <c r="B547" s="411" t="s">
        <v>388</v>
      </c>
      <c r="C547" s="415">
        <v>43041</v>
      </c>
      <c r="D547" s="412">
        <v>16750</v>
      </c>
      <c r="E547" s="417">
        <v>357583</v>
      </c>
      <c r="F547" s="425">
        <v>5.9880418446226933E-3</v>
      </c>
      <c r="G547" s="408"/>
    </row>
    <row r="548" spans="2:7">
      <c r="B548" s="411" t="s">
        <v>388</v>
      </c>
      <c r="C548" s="415">
        <v>43042</v>
      </c>
      <c r="D548" s="412">
        <v>16650</v>
      </c>
      <c r="E548" s="417">
        <v>559253</v>
      </c>
      <c r="F548" s="425">
        <v>-5.9880418446225572E-3</v>
      </c>
      <c r="G548" s="408"/>
    </row>
    <row r="549" spans="2:7">
      <c r="B549" s="411" t="s">
        <v>388</v>
      </c>
      <c r="C549" s="415">
        <v>43045</v>
      </c>
      <c r="D549" s="412">
        <v>16650</v>
      </c>
      <c r="E549" s="417">
        <v>311776</v>
      </c>
      <c r="F549" s="425">
        <v>0</v>
      </c>
      <c r="G549" s="408"/>
    </row>
    <row r="550" spans="2:7">
      <c r="B550" s="411" t="s">
        <v>388</v>
      </c>
      <c r="C550" s="415">
        <v>43046</v>
      </c>
      <c r="D550" s="412">
        <v>16650</v>
      </c>
      <c r="E550" s="417">
        <v>421869</v>
      </c>
      <c r="F550" s="425">
        <v>0</v>
      </c>
      <c r="G550" s="408"/>
    </row>
    <row r="551" spans="2:7">
      <c r="B551" s="411" t="s">
        <v>388</v>
      </c>
      <c r="C551" s="415">
        <v>43047</v>
      </c>
      <c r="D551" s="412">
        <v>16749</v>
      </c>
      <c r="E551" s="417">
        <v>288739</v>
      </c>
      <c r="F551" s="425">
        <v>5.9283385698801943E-3</v>
      </c>
      <c r="G551" s="408"/>
    </row>
    <row r="552" spans="2:7">
      <c r="B552" s="411" t="s">
        <v>388</v>
      </c>
      <c r="C552" s="415">
        <v>43048</v>
      </c>
      <c r="D552" s="412">
        <v>16665</v>
      </c>
      <c r="E552" s="417">
        <v>324335</v>
      </c>
      <c r="F552" s="425">
        <v>-5.0278432366300451E-3</v>
      </c>
      <c r="G552" s="408"/>
    </row>
    <row r="553" spans="2:7">
      <c r="B553" s="411" t="s">
        <v>388</v>
      </c>
      <c r="C553" s="415">
        <v>43049</v>
      </c>
      <c r="D553" s="412">
        <v>16650</v>
      </c>
      <c r="E553" s="417">
        <v>459314</v>
      </c>
      <c r="F553" s="425">
        <v>-9.0049533325020626E-4</v>
      </c>
      <c r="G553" s="408"/>
    </row>
    <row r="554" spans="2:7">
      <c r="B554" s="411" t="s">
        <v>388</v>
      </c>
      <c r="C554" s="415">
        <v>43052</v>
      </c>
      <c r="D554" s="412">
        <v>16650</v>
      </c>
      <c r="E554" s="417">
        <v>319793</v>
      </c>
      <c r="F554" s="425">
        <v>0</v>
      </c>
      <c r="G554" s="408"/>
    </row>
    <row r="555" spans="2:7">
      <c r="B555" s="411" t="s">
        <v>388</v>
      </c>
      <c r="C555" s="415">
        <v>43053</v>
      </c>
      <c r="D555" s="412">
        <v>17070</v>
      </c>
      <c r="E555" s="417">
        <v>614361</v>
      </c>
      <c r="F555" s="425">
        <v>2.4912320379896376E-2</v>
      </c>
      <c r="G555" s="408"/>
    </row>
    <row r="556" spans="2:7">
      <c r="B556" s="411" t="s">
        <v>388</v>
      </c>
      <c r="C556" s="415">
        <v>43054</v>
      </c>
      <c r="D556" s="412">
        <v>16921</v>
      </c>
      <c r="E556" s="417">
        <v>1055602</v>
      </c>
      <c r="F556" s="425">
        <v>-8.7670827198596275E-3</v>
      </c>
      <c r="G556" s="408"/>
    </row>
    <row r="557" spans="2:7">
      <c r="B557" s="411" t="s">
        <v>388</v>
      </c>
      <c r="C557" s="415">
        <v>43055</v>
      </c>
      <c r="D557" s="412">
        <v>17863</v>
      </c>
      <c r="E557" s="417">
        <v>1187269</v>
      </c>
      <c r="F557" s="425">
        <v>5.417608038025791E-2</v>
      </c>
      <c r="G557" s="408"/>
    </row>
    <row r="558" spans="2:7">
      <c r="B558" s="411" t="s">
        <v>388</v>
      </c>
      <c r="C558" s="415">
        <v>43056</v>
      </c>
      <c r="D558" s="412">
        <v>18887</v>
      </c>
      <c r="E558" s="417">
        <v>1254453</v>
      </c>
      <c r="F558" s="425">
        <v>5.5742320246961526E-2</v>
      </c>
      <c r="G558" s="408"/>
    </row>
    <row r="559" spans="2:7">
      <c r="B559" s="411" t="s">
        <v>388</v>
      </c>
      <c r="C559" s="415">
        <v>43059</v>
      </c>
      <c r="D559" s="412">
        <v>19150</v>
      </c>
      <c r="E559" s="417">
        <v>728207</v>
      </c>
      <c r="F559" s="425">
        <v>1.3828860912945874E-2</v>
      </c>
      <c r="G559" s="408"/>
    </row>
    <row r="560" spans="2:7">
      <c r="B560" s="411" t="s">
        <v>388</v>
      </c>
      <c r="C560" s="415">
        <v>43060</v>
      </c>
      <c r="D560" s="412">
        <v>18828</v>
      </c>
      <c r="E560" s="417">
        <v>1268269</v>
      </c>
      <c r="F560" s="425">
        <v>-1.6957592087759099E-2</v>
      </c>
      <c r="G560" s="408"/>
    </row>
    <row r="561" spans="2:7">
      <c r="B561" s="411" t="s">
        <v>388</v>
      </c>
      <c r="C561" s="415">
        <v>43061</v>
      </c>
      <c r="D561" s="412">
        <v>18740</v>
      </c>
      <c r="E561" s="417">
        <v>861817</v>
      </c>
      <c r="F561" s="425">
        <v>-4.684846728619717E-3</v>
      </c>
      <c r="G561" s="408"/>
    </row>
    <row r="562" spans="2:7">
      <c r="B562" s="411" t="s">
        <v>388</v>
      </c>
      <c r="C562" s="415">
        <v>43062</v>
      </c>
      <c r="D562" s="412">
        <v>18797</v>
      </c>
      <c r="E562" s="417">
        <v>434841</v>
      </c>
      <c r="F562" s="425">
        <v>3.037005824182253E-3</v>
      </c>
      <c r="G562" s="408"/>
    </row>
    <row r="563" spans="2:7">
      <c r="B563" s="411" t="s">
        <v>388</v>
      </c>
      <c r="C563" s="415">
        <v>43063</v>
      </c>
      <c r="D563" s="412">
        <v>18594</v>
      </c>
      <c r="E563" s="417">
        <v>405305</v>
      </c>
      <c r="F563" s="425">
        <v>-1.0858334600792193E-2</v>
      </c>
      <c r="G563" s="408"/>
    </row>
    <row r="564" spans="2:7">
      <c r="B564" s="411" t="s">
        <v>388</v>
      </c>
      <c r="C564" s="415">
        <v>43066</v>
      </c>
      <c r="D564" s="412">
        <v>18375</v>
      </c>
      <c r="E564" s="417">
        <v>624085</v>
      </c>
      <c r="F564" s="425">
        <v>-1.1847902934765869E-2</v>
      </c>
      <c r="G564" s="408"/>
    </row>
    <row r="565" spans="2:7">
      <c r="B565" s="411" t="s">
        <v>388</v>
      </c>
      <c r="C565" s="415">
        <v>43067</v>
      </c>
      <c r="D565" s="412">
        <v>19300</v>
      </c>
      <c r="E565" s="417">
        <v>662116</v>
      </c>
      <c r="F565" s="425">
        <v>4.9114050811939508E-2</v>
      </c>
      <c r="G565" s="408"/>
    </row>
    <row r="566" spans="2:7">
      <c r="B566" s="411" t="s">
        <v>388</v>
      </c>
      <c r="C566" s="415">
        <v>43068</v>
      </c>
      <c r="D566" s="412">
        <v>19219</v>
      </c>
      <c r="E566" s="417">
        <v>540961</v>
      </c>
      <c r="F566" s="425">
        <v>-4.2057228585722405E-3</v>
      </c>
      <c r="G566" s="408"/>
    </row>
    <row r="567" spans="2:7">
      <c r="B567" s="411" t="s">
        <v>388</v>
      </c>
      <c r="C567" s="415">
        <v>43069</v>
      </c>
      <c r="D567" s="412">
        <v>18980</v>
      </c>
      <c r="E567" s="417">
        <v>1902197</v>
      </c>
      <c r="F567" s="425">
        <v>-1.2513579870485859E-2</v>
      </c>
      <c r="G567" s="408"/>
    </row>
    <row r="568" spans="2:7">
      <c r="B568" s="411" t="s">
        <v>388</v>
      </c>
      <c r="C568" s="415">
        <v>43070</v>
      </c>
      <c r="D568" s="412">
        <v>19731</v>
      </c>
      <c r="E568" s="417">
        <v>604490</v>
      </c>
      <c r="F568" s="425">
        <v>3.8805209805541821E-2</v>
      </c>
      <c r="G568" s="408"/>
    </row>
    <row r="569" spans="2:7">
      <c r="B569" s="411" t="s">
        <v>388</v>
      </c>
      <c r="C569" s="415">
        <v>43073</v>
      </c>
      <c r="D569" s="412">
        <v>19890</v>
      </c>
      <c r="E569" s="417">
        <v>574393</v>
      </c>
      <c r="F569" s="425">
        <v>8.0260898785571907E-3</v>
      </c>
      <c r="G569" s="408"/>
    </row>
    <row r="570" spans="2:7">
      <c r="B570" s="411" t="s">
        <v>388</v>
      </c>
      <c r="C570" s="415">
        <v>43074</v>
      </c>
      <c r="D570" s="412">
        <v>20050</v>
      </c>
      <c r="E570" s="417">
        <v>692180</v>
      </c>
      <c r="F570" s="425">
        <v>8.0120608866973333E-3</v>
      </c>
      <c r="G570" s="408"/>
    </row>
    <row r="571" spans="2:7">
      <c r="B571" s="411" t="s">
        <v>388</v>
      </c>
      <c r="C571" s="415">
        <v>43075</v>
      </c>
      <c r="D571" s="412">
        <v>19746</v>
      </c>
      <c r="E571" s="417">
        <v>685936</v>
      </c>
      <c r="F571" s="425">
        <v>-1.5278214563320307E-2</v>
      </c>
      <c r="G571" s="408"/>
    </row>
    <row r="572" spans="2:7">
      <c r="B572" s="411" t="s">
        <v>388</v>
      </c>
      <c r="C572" s="415">
        <v>43076</v>
      </c>
      <c r="D572" s="412">
        <v>19380</v>
      </c>
      <c r="E572" s="417">
        <v>508699</v>
      </c>
      <c r="F572" s="425">
        <v>-1.8709332726637704E-2</v>
      </c>
      <c r="G572" s="408"/>
    </row>
    <row r="573" spans="2:7">
      <c r="B573" s="411" t="s">
        <v>388</v>
      </c>
      <c r="C573" s="415">
        <v>43077</v>
      </c>
      <c r="D573" s="412">
        <v>19186</v>
      </c>
      <c r="E573" s="417">
        <v>291397</v>
      </c>
      <c r="F573" s="425">
        <v>-1.0060760066864287E-2</v>
      </c>
      <c r="G573" s="408"/>
    </row>
    <row r="574" spans="2:7">
      <c r="B574" s="411" t="s">
        <v>388</v>
      </c>
      <c r="C574" s="415">
        <v>43080</v>
      </c>
      <c r="D574" s="412">
        <v>19173</v>
      </c>
      <c r="E574" s="417">
        <v>332786</v>
      </c>
      <c r="F574" s="425">
        <v>-6.7780705950137952E-4</v>
      </c>
      <c r="G574" s="408"/>
    </row>
    <row r="575" spans="2:7">
      <c r="B575" s="411" t="s">
        <v>388</v>
      </c>
      <c r="C575" s="415">
        <v>43081</v>
      </c>
      <c r="D575" s="412">
        <v>19144</v>
      </c>
      <c r="E575" s="417">
        <v>450037</v>
      </c>
      <c r="F575" s="425">
        <v>-1.5136887301821693E-3</v>
      </c>
      <c r="G575" s="408"/>
    </row>
    <row r="576" spans="2:7">
      <c r="B576" s="411" t="s">
        <v>388</v>
      </c>
      <c r="C576" s="415">
        <v>43082</v>
      </c>
      <c r="D576" s="412">
        <v>19049</v>
      </c>
      <c r="E576" s="417">
        <v>621987</v>
      </c>
      <c r="F576" s="425">
        <v>-4.974743849511183E-3</v>
      </c>
      <c r="G576" s="408"/>
    </row>
    <row r="577" spans="2:7">
      <c r="B577" s="411" t="s">
        <v>388</v>
      </c>
      <c r="C577" s="415">
        <v>43083</v>
      </c>
      <c r="D577" s="412">
        <v>19489</v>
      </c>
      <c r="E577" s="417">
        <v>775746</v>
      </c>
      <c r="F577" s="425">
        <v>2.2835597083326099E-2</v>
      </c>
      <c r="G577" s="408"/>
    </row>
    <row r="578" spans="2:7">
      <c r="B578" s="411" t="s">
        <v>388</v>
      </c>
      <c r="C578" s="415">
        <v>43084</v>
      </c>
      <c r="D578" s="412">
        <v>19902</v>
      </c>
      <c r="E578" s="417">
        <v>1046644</v>
      </c>
      <c r="F578" s="425">
        <v>2.0970025353083125E-2</v>
      </c>
      <c r="G578" s="408"/>
    </row>
    <row r="579" spans="2:7">
      <c r="B579" s="411" t="s">
        <v>388</v>
      </c>
      <c r="C579" s="415">
        <v>43087</v>
      </c>
      <c r="D579" s="412">
        <v>19877</v>
      </c>
      <c r="E579" s="417">
        <v>730477</v>
      </c>
      <c r="F579" s="425">
        <v>-1.2569447845084169E-3</v>
      </c>
      <c r="G579" s="408"/>
    </row>
    <row r="580" spans="2:7">
      <c r="B580" s="411" t="s">
        <v>388</v>
      </c>
      <c r="C580" s="415">
        <v>43088</v>
      </c>
      <c r="D580" s="412">
        <v>19514</v>
      </c>
      <c r="E580" s="417">
        <v>809310</v>
      </c>
      <c r="F580" s="425">
        <v>-1.8431127722703666E-2</v>
      </c>
      <c r="G580" s="408"/>
    </row>
    <row r="581" spans="2:7">
      <c r="B581" s="411" t="s">
        <v>388</v>
      </c>
      <c r="C581" s="415">
        <v>43089</v>
      </c>
      <c r="D581" s="412">
        <v>19561</v>
      </c>
      <c r="E581" s="417">
        <v>756965</v>
      </c>
      <c r="F581" s="425">
        <v>2.405631358463957E-3</v>
      </c>
      <c r="G581" s="408"/>
    </row>
    <row r="582" spans="2:7">
      <c r="B582" s="411" t="s">
        <v>388</v>
      </c>
      <c r="C582" s="415">
        <v>43090</v>
      </c>
      <c r="D582" s="412">
        <v>19343</v>
      </c>
      <c r="E582" s="417">
        <v>1503319</v>
      </c>
      <c r="F582" s="425">
        <v>-1.1207191124261674E-2</v>
      </c>
      <c r="G582" s="408"/>
    </row>
    <row r="583" spans="2:7">
      <c r="B583" s="411" t="s">
        <v>388</v>
      </c>
      <c r="C583" s="415">
        <v>43091</v>
      </c>
      <c r="D583" s="412">
        <v>19093</v>
      </c>
      <c r="E583" s="417">
        <v>131702</v>
      </c>
      <c r="F583" s="425">
        <v>-1.3008821188633312E-2</v>
      </c>
      <c r="G583" s="408"/>
    </row>
    <row r="584" spans="2:7">
      <c r="B584" s="411" t="s">
        <v>388</v>
      </c>
      <c r="C584" s="415">
        <v>43096</v>
      </c>
      <c r="D584" s="412">
        <v>19670</v>
      </c>
      <c r="E584" s="417">
        <v>229132</v>
      </c>
      <c r="F584" s="425">
        <v>2.9772856669640385E-2</v>
      </c>
      <c r="G584" s="408"/>
    </row>
    <row r="585" spans="2:7">
      <c r="B585" s="411" t="s">
        <v>388</v>
      </c>
      <c r="C585" s="415">
        <v>43097</v>
      </c>
      <c r="D585" s="412">
        <v>19693</v>
      </c>
      <c r="E585" s="417">
        <v>141640</v>
      </c>
      <c r="F585" s="425">
        <v>1.1686102490916722E-3</v>
      </c>
      <c r="G585" s="408"/>
    </row>
    <row r="586" spans="2:7">
      <c r="B586" s="411" t="s">
        <v>388</v>
      </c>
      <c r="C586" s="415">
        <v>43098</v>
      </c>
      <c r="D586" s="412">
        <v>20333</v>
      </c>
      <c r="E586" s="417">
        <v>223931</v>
      </c>
      <c r="F586" s="425">
        <v>3.1981939278145438E-2</v>
      </c>
      <c r="G586" s="408"/>
    </row>
    <row r="587" spans="2:7">
      <c r="B587" s="411" t="s">
        <v>388</v>
      </c>
      <c r="C587" s="415">
        <v>43102</v>
      </c>
      <c r="D587" s="412">
        <v>19912</v>
      </c>
      <c r="E587" s="417">
        <v>353968</v>
      </c>
      <c r="F587" s="425">
        <v>-2.0922616862913825E-2</v>
      </c>
      <c r="G587" s="408"/>
    </row>
    <row r="588" spans="2:7">
      <c r="B588" s="411" t="s">
        <v>388</v>
      </c>
      <c r="C588" s="415">
        <v>43103</v>
      </c>
      <c r="D588" s="412">
        <v>19426</v>
      </c>
      <c r="E588" s="417">
        <v>259347</v>
      </c>
      <c r="F588" s="425">
        <v>-2.4710190085152059E-2</v>
      </c>
      <c r="G588" s="408"/>
    </row>
    <row r="589" spans="2:7">
      <c r="B589" s="411" t="s">
        <v>388</v>
      </c>
      <c r="C589" s="415">
        <v>43104</v>
      </c>
      <c r="D589" s="412">
        <v>19368</v>
      </c>
      <c r="E589" s="417">
        <v>397097</v>
      </c>
      <c r="F589" s="425">
        <v>-2.9901553443814829E-3</v>
      </c>
      <c r="G589" s="408"/>
    </row>
    <row r="590" spans="2:7">
      <c r="B590" s="411" t="s">
        <v>388</v>
      </c>
      <c r="C590" s="415">
        <v>43105</v>
      </c>
      <c r="D590" s="412">
        <v>19370</v>
      </c>
      <c r="E590" s="417">
        <v>360517</v>
      </c>
      <c r="F590" s="425">
        <v>1.0325778314716572E-4</v>
      </c>
      <c r="G590" s="408"/>
    </row>
    <row r="591" spans="2:7">
      <c r="B591" s="411" t="s">
        <v>388</v>
      </c>
      <c r="C591" s="415">
        <v>43108</v>
      </c>
      <c r="D591" s="412">
        <v>19478</v>
      </c>
      <c r="E591" s="417">
        <v>331897</v>
      </c>
      <c r="F591" s="425">
        <v>5.5601461201028931E-3</v>
      </c>
      <c r="G591" s="408"/>
    </row>
    <row r="592" spans="2:7">
      <c r="B592" s="411" t="s">
        <v>388</v>
      </c>
      <c r="C592" s="415">
        <v>43109</v>
      </c>
      <c r="D592" s="412">
        <v>19630</v>
      </c>
      <c r="E592" s="417">
        <v>291208</v>
      </c>
      <c r="F592" s="425">
        <v>7.7733847493622133E-3</v>
      </c>
      <c r="G592" s="408"/>
    </row>
    <row r="593" spans="2:7">
      <c r="B593" s="411" t="s">
        <v>388</v>
      </c>
      <c r="C593" s="415">
        <v>43110</v>
      </c>
      <c r="D593" s="412">
        <v>19380</v>
      </c>
      <c r="E593" s="417">
        <v>285771</v>
      </c>
      <c r="F593" s="425">
        <v>-1.2817401825749477E-2</v>
      </c>
      <c r="G593" s="408"/>
    </row>
    <row r="594" spans="2:7">
      <c r="B594" s="411" t="s">
        <v>388</v>
      </c>
      <c r="C594" s="415">
        <v>43111</v>
      </c>
      <c r="D594" s="412">
        <v>19094</v>
      </c>
      <c r="E594" s="417">
        <v>258418</v>
      </c>
      <c r="F594" s="425">
        <v>-1.4867456886778731E-2</v>
      </c>
      <c r="G594" s="408"/>
    </row>
    <row r="595" spans="2:7">
      <c r="B595" s="411" t="s">
        <v>388</v>
      </c>
      <c r="C595" s="415">
        <v>43112</v>
      </c>
      <c r="D595" s="412">
        <v>19334</v>
      </c>
      <c r="E595" s="417">
        <v>203496</v>
      </c>
      <c r="F595" s="425">
        <v>1.2491054466572246E-2</v>
      </c>
      <c r="G595" s="408"/>
    </row>
    <row r="596" spans="2:7">
      <c r="B596" s="411" t="s">
        <v>388</v>
      </c>
      <c r="C596" s="415">
        <v>43115</v>
      </c>
      <c r="D596" s="412">
        <v>19417</v>
      </c>
      <c r="E596" s="417">
        <v>245313</v>
      </c>
      <c r="F596" s="425">
        <v>4.2837669699030924E-3</v>
      </c>
      <c r="G596" s="408"/>
    </row>
    <row r="597" spans="2:7">
      <c r="B597" s="411" t="s">
        <v>388</v>
      </c>
      <c r="C597" s="415">
        <v>43116</v>
      </c>
      <c r="D597" s="412">
        <v>19261</v>
      </c>
      <c r="E597" s="417">
        <v>559484</v>
      </c>
      <c r="F597" s="425">
        <v>-8.0666449102312892E-3</v>
      </c>
      <c r="G597" s="408"/>
    </row>
    <row r="598" spans="2:7">
      <c r="B598" s="411" t="s">
        <v>388</v>
      </c>
      <c r="C598" s="415">
        <v>43117</v>
      </c>
      <c r="D598" s="412">
        <v>20000</v>
      </c>
      <c r="E598" s="417">
        <v>360769</v>
      </c>
      <c r="F598" s="425">
        <v>3.7649947451905544E-2</v>
      </c>
      <c r="G598" s="408"/>
    </row>
    <row r="599" spans="2:7">
      <c r="B599" s="411" t="s">
        <v>388</v>
      </c>
      <c r="C599" s="415">
        <v>43118</v>
      </c>
      <c r="D599" s="412">
        <v>20659</v>
      </c>
      <c r="E599" s="417">
        <v>515206</v>
      </c>
      <c r="F599" s="425">
        <v>3.2418786255500744E-2</v>
      </c>
      <c r="G599" s="408"/>
    </row>
    <row r="600" spans="2:7">
      <c r="B600" s="411" t="s">
        <v>388</v>
      </c>
      <c r="C600" s="415">
        <v>43119</v>
      </c>
      <c r="D600" s="412">
        <v>20415</v>
      </c>
      <c r="E600" s="417">
        <v>724616</v>
      </c>
      <c r="F600" s="425">
        <v>-1.1881135037952621E-2</v>
      </c>
      <c r="G600" s="408"/>
    </row>
    <row r="601" spans="2:7">
      <c r="B601" s="411" t="s">
        <v>388</v>
      </c>
      <c r="C601" s="415">
        <v>43122</v>
      </c>
      <c r="D601" s="412">
        <v>20000</v>
      </c>
      <c r="E601" s="417">
        <v>557622</v>
      </c>
      <c r="F601" s="425">
        <v>-2.0537651217548095E-2</v>
      </c>
      <c r="G601" s="408"/>
    </row>
    <row r="602" spans="2:7">
      <c r="B602" s="411" t="s">
        <v>388</v>
      </c>
      <c r="C602" s="415">
        <v>43123</v>
      </c>
      <c r="D602" s="412">
        <v>20256</v>
      </c>
      <c r="E602" s="417">
        <v>401471</v>
      </c>
      <c r="F602" s="425">
        <v>1.2718772407774612E-2</v>
      </c>
      <c r="G602" s="408"/>
    </row>
    <row r="603" spans="2:7">
      <c r="B603" s="411" t="s">
        <v>388</v>
      </c>
      <c r="C603" s="415">
        <v>43124</v>
      </c>
      <c r="D603" s="412">
        <v>20921</v>
      </c>
      <c r="E603" s="417">
        <v>466165</v>
      </c>
      <c r="F603" s="425">
        <v>3.2302393239745625E-2</v>
      </c>
      <c r="G603" s="408"/>
    </row>
    <row r="604" spans="2:7">
      <c r="B604" s="411" t="s">
        <v>388</v>
      </c>
      <c r="C604" s="415">
        <v>43125</v>
      </c>
      <c r="D604" s="412">
        <v>21153</v>
      </c>
      <c r="E604" s="417">
        <v>468385</v>
      </c>
      <c r="F604" s="425">
        <v>1.1028300203501887E-2</v>
      </c>
      <c r="G604" s="408"/>
    </row>
    <row r="605" spans="2:7">
      <c r="B605" s="411" t="s">
        <v>388</v>
      </c>
      <c r="C605" s="415">
        <v>43126</v>
      </c>
      <c r="D605" s="412">
        <v>20919</v>
      </c>
      <c r="E605" s="417">
        <v>487914</v>
      </c>
      <c r="F605" s="425">
        <v>-1.1123902498029808E-2</v>
      </c>
      <c r="G605" s="408"/>
    </row>
    <row r="606" spans="2:7">
      <c r="B606" s="411" t="s">
        <v>388</v>
      </c>
      <c r="C606" s="415">
        <v>43129</v>
      </c>
      <c r="D606" s="412">
        <v>20125</v>
      </c>
      <c r="E606" s="417">
        <v>440193</v>
      </c>
      <c r="F606" s="425">
        <v>-3.8695013602356297E-2</v>
      </c>
      <c r="G606" s="408"/>
    </row>
    <row r="607" spans="2:7">
      <c r="B607" s="411" t="s">
        <v>388</v>
      </c>
      <c r="C607" s="415">
        <v>43130</v>
      </c>
      <c r="D607" s="412">
        <v>20287</v>
      </c>
      <c r="E607" s="417">
        <v>649677</v>
      </c>
      <c r="F607" s="425">
        <v>8.0174635145653424E-3</v>
      </c>
      <c r="G607" s="408"/>
    </row>
    <row r="608" spans="2:7">
      <c r="B608" s="411" t="s">
        <v>388</v>
      </c>
      <c r="C608" s="415">
        <v>43131</v>
      </c>
      <c r="D608" s="412">
        <v>20500</v>
      </c>
      <c r="E608" s="417">
        <v>823752</v>
      </c>
      <c r="F608" s="425">
        <v>1.0444599325170214E-2</v>
      </c>
      <c r="G608" s="408"/>
    </row>
    <row r="609" spans="2:7">
      <c r="B609" s="411" t="s">
        <v>388</v>
      </c>
      <c r="C609" s="415">
        <v>43132</v>
      </c>
      <c r="D609" s="412">
        <v>20000</v>
      </c>
      <c r="E609" s="417">
        <v>445889</v>
      </c>
      <c r="F609" s="425">
        <v>-2.4692612590371522E-2</v>
      </c>
      <c r="G609" s="408"/>
    </row>
    <row r="610" spans="2:7">
      <c r="B610" s="411" t="s">
        <v>388</v>
      </c>
      <c r="C610" s="415">
        <v>43133</v>
      </c>
      <c r="D610" s="412">
        <v>19926</v>
      </c>
      <c r="E610" s="417">
        <v>704180</v>
      </c>
      <c r="F610" s="425">
        <v>-3.7068619313265121E-3</v>
      </c>
      <c r="G610" s="408"/>
    </row>
    <row r="611" spans="2:7">
      <c r="B611" s="411" t="s">
        <v>388</v>
      </c>
      <c r="C611" s="415">
        <v>43136</v>
      </c>
      <c r="D611" s="412">
        <v>18963</v>
      </c>
      <c r="E611" s="417">
        <v>484196</v>
      </c>
      <c r="F611" s="425">
        <v>-4.9535699464393179E-2</v>
      </c>
      <c r="G611" s="408"/>
    </row>
    <row r="612" spans="2:7">
      <c r="B612" s="411" t="s">
        <v>388</v>
      </c>
      <c r="C612" s="415">
        <v>43137</v>
      </c>
      <c r="D612" s="412">
        <v>19025</v>
      </c>
      <c r="E612" s="417">
        <v>938584</v>
      </c>
      <c r="F612" s="425">
        <v>3.2641915894780923E-3</v>
      </c>
      <c r="G612" s="408"/>
    </row>
    <row r="613" spans="2:7">
      <c r="B613" s="411" t="s">
        <v>388</v>
      </c>
      <c r="C613" s="415">
        <v>43138</v>
      </c>
      <c r="D613" s="412">
        <v>19200</v>
      </c>
      <c r="E613" s="417">
        <v>1030946</v>
      </c>
      <c r="F613" s="425">
        <v>9.1563752859862412E-3</v>
      </c>
      <c r="G613" s="408"/>
    </row>
    <row r="614" spans="2:7">
      <c r="B614" s="411" t="s">
        <v>388</v>
      </c>
      <c r="C614" s="415">
        <v>43139</v>
      </c>
      <c r="D614" s="412">
        <v>19625</v>
      </c>
      <c r="E614" s="417">
        <v>610149</v>
      </c>
      <c r="F614" s="425">
        <v>2.1893984634736338E-2</v>
      </c>
      <c r="G614" s="408"/>
    </row>
    <row r="615" spans="2:7">
      <c r="B615" s="411" t="s">
        <v>388</v>
      </c>
      <c r="C615" s="415">
        <v>43140</v>
      </c>
      <c r="D615" s="412">
        <v>19376</v>
      </c>
      <c r="E615" s="417">
        <v>548429</v>
      </c>
      <c r="F615" s="425">
        <v>-1.2769076857735638E-2</v>
      </c>
      <c r="G615" s="408"/>
    </row>
    <row r="616" spans="2:7">
      <c r="B616" s="411" t="s">
        <v>388</v>
      </c>
      <c r="C616" s="415">
        <v>43143</v>
      </c>
      <c r="D616" s="412">
        <v>19887</v>
      </c>
      <c r="E616" s="417">
        <v>440398</v>
      </c>
      <c r="F616" s="425">
        <v>2.60310651166277E-2</v>
      </c>
      <c r="G616" s="408"/>
    </row>
    <row r="617" spans="2:7">
      <c r="B617" s="411" t="s">
        <v>388</v>
      </c>
      <c r="C617" s="415">
        <v>43144</v>
      </c>
      <c r="D617" s="412">
        <v>20832</v>
      </c>
      <c r="E617" s="417">
        <v>655727</v>
      </c>
      <c r="F617" s="425">
        <v>4.6424014098794569E-2</v>
      </c>
      <c r="G617" s="408"/>
    </row>
    <row r="618" spans="2:7">
      <c r="B618" s="411" t="s">
        <v>388</v>
      </c>
      <c r="C618" s="415">
        <v>43145</v>
      </c>
      <c r="D618" s="412">
        <v>21224</v>
      </c>
      <c r="E618" s="417">
        <v>566544</v>
      </c>
      <c r="F618" s="425">
        <v>1.8642350809279774E-2</v>
      </c>
      <c r="G618" s="408"/>
    </row>
    <row r="619" spans="2:7">
      <c r="B619" s="411" t="s">
        <v>388</v>
      </c>
      <c r="C619" s="415">
        <v>43146</v>
      </c>
      <c r="D619" s="412">
        <v>21784</v>
      </c>
      <c r="E619" s="417">
        <v>573221</v>
      </c>
      <c r="F619" s="425">
        <v>2.6043138536019875E-2</v>
      </c>
      <c r="G619" s="408"/>
    </row>
    <row r="620" spans="2:7">
      <c r="B620" s="411" t="s">
        <v>388</v>
      </c>
      <c r="C620" s="415">
        <v>43147</v>
      </c>
      <c r="D620" s="412">
        <v>21780</v>
      </c>
      <c r="E620" s="417">
        <v>736818</v>
      </c>
      <c r="F620" s="425">
        <v>-1.8363786664408747E-4</v>
      </c>
      <c r="G620" s="408"/>
    </row>
    <row r="621" spans="2:7">
      <c r="B621" s="411" t="s">
        <v>388</v>
      </c>
      <c r="C621" s="415">
        <v>43150</v>
      </c>
      <c r="D621" s="412">
        <v>21092</v>
      </c>
      <c r="E621" s="417">
        <v>316044</v>
      </c>
      <c r="F621" s="425">
        <v>-3.2098295836591031E-2</v>
      </c>
      <c r="G621" s="408"/>
    </row>
    <row r="622" spans="2:7">
      <c r="B622" s="411" t="s">
        <v>388</v>
      </c>
      <c r="C622" s="415">
        <v>43151</v>
      </c>
      <c r="D622" s="412">
        <v>21196</v>
      </c>
      <c r="E622" s="417">
        <v>312822</v>
      </c>
      <c r="F622" s="425">
        <v>4.9186629622923568E-3</v>
      </c>
      <c r="G622" s="408"/>
    </row>
    <row r="623" spans="2:7">
      <c r="B623" s="411" t="s">
        <v>388</v>
      </c>
      <c r="C623" s="415">
        <v>43152</v>
      </c>
      <c r="D623" s="412">
        <v>20850</v>
      </c>
      <c r="E623" s="417">
        <v>999065</v>
      </c>
      <c r="F623" s="425">
        <v>-1.6458536385705217E-2</v>
      </c>
      <c r="G623" s="408"/>
    </row>
    <row r="624" spans="2:7">
      <c r="B624" s="411" t="s">
        <v>388</v>
      </c>
      <c r="C624" s="415">
        <v>43153</v>
      </c>
      <c r="D624" s="412">
        <v>21085</v>
      </c>
      <c r="E624" s="417">
        <v>473596</v>
      </c>
      <c r="F624" s="425">
        <v>1.1207938953712703E-2</v>
      </c>
      <c r="G624" s="408"/>
    </row>
    <row r="625" spans="2:7">
      <c r="B625" s="411" t="s">
        <v>388</v>
      </c>
      <c r="C625" s="415">
        <v>43154</v>
      </c>
      <c r="D625" s="412">
        <v>22112</v>
      </c>
      <c r="E625" s="417">
        <v>618254</v>
      </c>
      <c r="F625" s="425">
        <v>4.7558560386736115E-2</v>
      </c>
      <c r="G625" s="408"/>
    </row>
    <row r="626" spans="2:7">
      <c r="B626" s="411" t="s">
        <v>388</v>
      </c>
      <c r="C626" s="415">
        <v>43157</v>
      </c>
      <c r="D626" s="412">
        <v>22000</v>
      </c>
      <c r="E626" s="417">
        <v>960182</v>
      </c>
      <c r="F626" s="425">
        <v>-5.0779942269435826E-3</v>
      </c>
      <c r="G626" s="408"/>
    </row>
    <row r="627" spans="2:7">
      <c r="B627" s="411" t="s">
        <v>388</v>
      </c>
      <c r="C627" s="415">
        <v>43158</v>
      </c>
      <c r="D627" s="412">
        <v>22265</v>
      </c>
      <c r="E627" s="417">
        <v>603624</v>
      </c>
      <c r="F627" s="425">
        <v>1.1973485415349773E-2</v>
      </c>
      <c r="G627" s="408"/>
    </row>
    <row r="628" spans="2:7">
      <c r="B628" s="411" t="s">
        <v>388</v>
      </c>
      <c r="C628" s="415">
        <v>43159</v>
      </c>
      <c r="D628" s="412">
        <v>21860</v>
      </c>
      <c r="E628" s="417">
        <v>601759</v>
      </c>
      <c r="F628" s="425">
        <v>-1.8357456025273229E-2</v>
      </c>
      <c r="G628" s="408"/>
    </row>
    <row r="629" spans="2:7">
      <c r="B629" s="411" t="s">
        <v>388</v>
      </c>
      <c r="C629" s="415">
        <v>43160</v>
      </c>
      <c r="D629" s="412">
        <v>21701</v>
      </c>
      <c r="E629" s="417">
        <v>717208</v>
      </c>
      <c r="F629" s="425">
        <v>-7.3001403144563578E-3</v>
      </c>
      <c r="G629" s="408"/>
    </row>
    <row r="630" spans="2:7">
      <c r="B630" s="411" t="s">
        <v>388</v>
      </c>
      <c r="C630" s="415">
        <v>43161</v>
      </c>
      <c r="D630" s="412">
        <v>21965</v>
      </c>
      <c r="E630" s="417">
        <v>509488</v>
      </c>
      <c r="F630" s="425">
        <v>1.2091934993806758E-2</v>
      </c>
      <c r="G630" s="408"/>
    </row>
    <row r="631" spans="2:7">
      <c r="B631" s="411" t="s">
        <v>388</v>
      </c>
      <c r="C631" s="415">
        <v>43164</v>
      </c>
      <c r="D631" s="412">
        <v>21918</v>
      </c>
      <c r="E631" s="417">
        <v>619814</v>
      </c>
      <c r="F631" s="425">
        <v>-2.1420603865424334E-3</v>
      </c>
      <c r="G631" s="408"/>
    </row>
    <row r="632" spans="2:7">
      <c r="B632" s="411" t="s">
        <v>388</v>
      </c>
      <c r="C632" s="415">
        <v>43165</v>
      </c>
      <c r="D632" s="412">
        <v>21983</v>
      </c>
      <c r="E632" s="417">
        <v>701689</v>
      </c>
      <c r="F632" s="425">
        <v>2.9612103367794677E-3</v>
      </c>
      <c r="G632" s="408"/>
    </row>
    <row r="633" spans="2:7">
      <c r="B633" s="411" t="s">
        <v>388</v>
      </c>
      <c r="C633" s="415">
        <v>43166</v>
      </c>
      <c r="D633" s="412">
        <v>22175</v>
      </c>
      <c r="E633" s="417">
        <v>762288</v>
      </c>
      <c r="F633" s="425">
        <v>8.6961008176632427E-3</v>
      </c>
      <c r="G633" s="408"/>
    </row>
    <row r="634" spans="2:7">
      <c r="B634" s="411" t="s">
        <v>388</v>
      </c>
      <c r="C634" s="415">
        <v>43167</v>
      </c>
      <c r="D634" s="412">
        <v>21346</v>
      </c>
      <c r="E634" s="417">
        <v>652957</v>
      </c>
      <c r="F634" s="425">
        <v>-3.8101159703869944E-2</v>
      </c>
      <c r="G634" s="408"/>
    </row>
    <row r="635" spans="2:7">
      <c r="B635" s="411" t="s">
        <v>388</v>
      </c>
      <c r="C635" s="415">
        <v>43168</v>
      </c>
      <c r="D635" s="412">
        <v>21507</v>
      </c>
      <c r="E635" s="417">
        <v>500585</v>
      </c>
      <c r="F635" s="425">
        <v>7.5140950470715551E-3</v>
      </c>
      <c r="G635" s="408"/>
    </row>
    <row r="636" spans="2:7">
      <c r="B636" s="411" t="s">
        <v>388</v>
      </c>
      <c r="C636" s="415">
        <v>43171</v>
      </c>
      <c r="D636" s="412">
        <v>21270</v>
      </c>
      <c r="E636" s="417">
        <v>610941</v>
      </c>
      <c r="F636" s="425">
        <v>-1.1080834326699008E-2</v>
      </c>
      <c r="G636" s="408"/>
    </row>
    <row r="637" spans="2:7">
      <c r="B637" s="411" t="s">
        <v>388</v>
      </c>
      <c r="C637" s="415">
        <v>43172</v>
      </c>
      <c r="D637" s="412">
        <v>20997</v>
      </c>
      <c r="E637" s="417">
        <v>451203</v>
      </c>
      <c r="F637" s="425">
        <v>-1.2918058836633481E-2</v>
      </c>
      <c r="G637" s="408"/>
    </row>
    <row r="638" spans="2:7">
      <c r="B638" s="411" t="s">
        <v>388</v>
      </c>
      <c r="C638" s="415">
        <v>43173</v>
      </c>
      <c r="D638" s="412">
        <v>20501</v>
      </c>
      <c r="E638" s="417">
        <v>367756</v>
      </c>
      <c r="F638" s="425">
        <v>-2.3905904933074189E-2</v>
      </c>
      <c r="G638" s="408"/>
    </row>
    <row r="639" spans="2:7">
      <c r="B639" s="411" t="s">
        <v>388</v>
      </c>
      <c r="C639" s="415">
        <v>43174</v>
      </c>
      <c r="D639" s="412">
        <v>20444</v>
      </c>
      <c r="E639" s="417">
        <v>1404757</v>
      </c>
      <c r="F639" s="425">
        <v>-2.7842245364049865E-3</v>
      </c>
      <c r="G639" s="408"/>
    </row>
    <row r="640" spans="2:7">
      <c r="B640" s="411" t="s">
        <v>388</v>
      </c>
      <c r="C640" s="415">
        <v>43175</v>
      </c>
      <c r="D640" s="412">
        <v>20962</v>
      </c>
      <c r="E640" s="417">
        <v>2083514</v>
      </c>
      <c r="F640" s="425">
        <v>2.5021833841952484E-2</v>
      </c>
      <c r="G640" s="408"/>
    </row>
    <row r="641" spans="2:7">
      <c r="B641" s="411" t="s">
        <v>388</v>
      </c>
      <c r="C641" s="415">
        <v>43178</v>
      </c>
      <c r="D641" s="412">
        <v>20958</v>
      </c>
      <c r="E641" s="417">
        <v>293347</v>
      </c>
      <c r="F641" s="425">
        <v>-1.9083969523570784E-4</v>
      </c>
      <c r="G641" s="408"/>
    </row>
    <row r="642" spans="2:7">
      <c r="B642" s="411" t="s">
        <v>388</v>
      </c>
      <c r="C642" s="415">
        <v>43179</v>
      </c>
      <c r="D642" s="412">
        <v>20950</v>
      </c>
      <c r="E642" s="417">
        <v>340031</v>
      </c>
      <c r="F642" s="425">
        <v>-3.8178868460315551E-4</v>
      </c>
      <c r="G642" s="408"/>
    </row>
    <row r="643" spans="2:7">
      <c r="B643" s="411" t="s">
        <v>388</v>
      </c>
      <c r="C643" s="415">
        <v>43181</v>
      </c>
      <c r="D643" s="412">
        <v>21000</v>
      </c>
      <c r="E643" s="417">
        <v>586495</v>
      </c>
      <c r="F643" s="425">
        <v>2.3837913552761975E-3</v>
      </c>
      <c r="G643" s="408"/>
    </row>
    <row r="644" spans="2:7">
      <c r="B644" s="411" t="s">
        <v>388</v>
      </c>
      <c r="C644" s="415">
        <v>43182</v>
      </c>
      <c r="D644" s="412">
        <v>20900</v>
      </c>
      <c r="E644" s="417">
        <v>411890</v>
      </c>
      <c r="F644" s="425">
        <v>-4.7732787526576599E-3</v>
      </c>
      <c r="G644" s="408"/>
    </row>
    <row r="645" spans="2:7">
      <c r="B645" s="411" t="s">
        <v>388</v>
      </c>
      <c r="C645" s="415">
        <v>43185</v>
      </c>
      <c r="D645" s="412">
        <v>20798</v>
      </c>
      <c r="E645" s="417">
        <v>467976</v>
      </c>
      <c r="F645" s="425">
        <v>-4.8923307327242739E-3</v>
      </c>
      <c r="G645" s="408"/>
    </row>
    <row r="646" spans="2:7">
      <c r="B646" s="411" t="s">
        <v>388</v>
      </c>
      <c r="C646" s="415">
        <v>43186</v>
      </c>
      <c r="D646" s="412">
        <v>20367</v>
      </c>
      <c r="E646" s="417">
        <v>484051</v>
      </c>
      <c r="F646" s="425">
        <v>-2.0940884250421343E-2</v>
      </c>
      <c r="G646" s="408"/>
    </row>
    <row r="647" spans="2:7">
      <c r="B647" s="411" t="s">
        <v>388</v>
      </c>
      <c r="C647" s="415">
        <v>43187</v>
      </c>
      <c r="D647" s="412">
        <v>20135</v>
      </c>
      <c r="E647" s="417">
        <v>651229</v>
      </c>
      <c r="F647" s="425">
        <v>-1.1456349684202175E-2</v>
      </c>
      <c r="G647" s="408"/>
    </row>
    <row r="648" spans="2:7">
      <c r="B648" s="411" t="s">
        <v>388</v>
      </c>
      <c r="C648" s="415">
        <v>43188</v>
      </c>
      <c r="D648" s="412">
        <v>20256</v>
      </c>
      <c r="E648" s="417">
        <v>860904</v>
      </c>
      <c r="F648" s="425">
        <v>5.9914516583482111E-3</v>
      </c>
      <c r="G648" s="408"/>
    </row>
    <row r="649" spans="2:7">
      <c r="B649" s="411" t="s">
        <v>388</v>
      </c>
      <c r="C649" s="415">
        <v>43193</v>
      </c>
      <c r="D649" s="412">
        <v>20099</v>
      </c>
      <c r="E649" s="417">
        <v>785611</v>
      </c>
      <c r="F649" s="425">
        <v>-7.7809833781508717E-3</v>
      </c>
      <c r="G649" s="408"/>
    </row>
    <row r="650" spans="2:7">
      <c r="B650" s="411" t="s">
        <v>388</v>
      </c>
      <c r="C650" s="415">
        <v>43194</v>
      </c>
      <c r="D650" s="412">
        <v>20108</v>
      </c>
      <c r="E650" s="417">
        <v>638625</v>
      </c>
      <c r="F650" s="425">
        <v>4.4768324671411993E-4</v>
      </c>
      <c r="G650" s="408"/>
    </row>
    <row r="651" spans="2:7">
      <c r="B651" s="411" t="s">
        <v>388</v>
      </c>
      <c r="C651" s="415">
        <v>43195</v>
      </c>
      <c r="D651" s="412">
        <v>20100</v>
      </c>
      <c r="E651" s="417">
        <v>573843</v>
      </c>
      <c r="F651" s="425">
        <v>-3.9793076529879754E-4</v>
      </c>
      <c r="G651" s="408"/>
    </row>
    <row r="652" spans="2:7">
      <c r="B652" s="411" t="s">
        <v>388</v>
      </c>
      <c r="C652" s="415">
        <v>43196</v>
      </c>
      <c r="D652" s="412">
        <v>20000</v>
      </c>
      <c r="E652" s="417">
        <v>519641</v>
      </c>
      <c r="F652" s="425">
        <v>-4.9875415110390512E-3</v>
      </c>
      <c r="G652" s="408"/>
    </row>
    <row r="653" spans="2:7">
      <c r="B653" s="411" t="s">
        <v>388</v>
      </c>
      <c r="C653" s="415">
        <v>43199</v>
      </c>
      <c r="D653" s="412">
        <v>20000</v>
      </c>
      <c r="E653" s="417">
        <v>748752</v>
      </c>
      <c r="F653" s="425">
        <v>0</v>
      </c>
      <c r="G653" s="408"/>
    </row>
    <row r="654" spans="2:7">
      <c r="B654" s="411" t="s">
        <v>388</v>
      </c>
      <c r="C654" s="415">
        <v>43200</v>
      </c>
      <c r="D654" s="412">
        <v>20165</v>
      </c>
      <c r="E654" s="417">
        <v>393949</v>
      </c>
      <c r="F654" s="425">
        <v>8.2161547713405642E-3</v>
      </c>
      <c r="G654" s="408"/>
    </row>
    <row r="655" spans="2:7">
      <c r="B655" s="411" t="s">
        <v>388</v>
      </c>
      <c r="C655" s="415">
        <v>43201</v>
      </c>
      <c r="D655" s="412">
        <v>20206</v>
      </c>
      <c r="E655" s="417">
        <v>389338</v>
      </c>
      <c r="F655" s="425">
        <v>2.0311616802089934E-3</v>
      </c>
      <c r="G655" s="408"/>
    </row>
    <row r="656" spans="2:7">
      <c r="B656" s="411" t="s">
        <v>388</v>
      </c>
      <c r="C656" s="415">
        <v>43202</v>
      </c>
      <c r="D656" s="412">
        <v>20009</v>
      </c>
      <c r="E656" s="417">
        <v>297389</v>
      </c>
      <c r="F656" s="425">
        <v>-9.7974176711848066E-3</v>
      </c>
      <c r="G656" s="408"/>
    </row>
    <row r="657" spans="2:7">
      <c r="B657" s="411" t="s">
        <v>388</v>
      </c>
      <c r="C657" s="415">
        <v>43203</v>
      </c>
      <c r="D657" s="412">
        <v>20186</v>
      </c>
      <c r="E657" s="417">
        <v>407070</v>
      </c>
      <c r="F657" s="425">
        <v>8.8071224823120017E-3</v>
      </c>
      <c r="G657" s="408"/>
    </row>
    <row r="658" spans="2:7">
      <c r="B658" s="411" t="s">
        <v>388</v>
      </c>
      <c r="C658" s="415">
        <v>43206</v>
      </c>
      <c r="D658" s="412">
        <v>20270</v>
      </c>
      <c r="E658" s="417">
        <v>339124</v>
      </c>
      <c r="F658" s="425">
        <v>4.1526656472409863E-3</v>
      </c>
      <c r="G658" s="408"/>
    </row>
    <row r="659" spans="2:7">
      <c r="B659" s="411" t="s">
        <v>388</v>
      </c>
      <c r="C659" s="415">
        <v>43207</v>
      </c>
      <c r="D659" s="412">
        <v>20744</v>
      </c>
      <c r="E659" s="417">
        <v>421297</v>
      </c>
      <c r="F659" s="425">
        <v>2.3115087772454614E-2</v>
      </c>
      <c r="G659" s="408"/>
    </row>
    <row r="660" spans="2:7">
      <c r="B660" s="411" t="s">
        <v>388</v>
      </c>
      <c r="C660" s="415">
        <v>43208</v>
      </c>
      <c r="D660" s="412">
        <v>20700</v>
      </c>
      <c r="E660" s="417">
        <v>596430</v>
      </c>
      <c r="F660" s="425">
        <v>-2.1233479650398209E-3</v>
      </c>
      <c r="G660" s="408"/>
    </row>
    <row r="661" spans="2:7">
      <c r="B661" s="411" t="s">
        <v>388</v>
      </c>
      <c r="C661" s="415">
        <v>43209</v>
      </c>
      <c r="D661" s="412">
        <v>20715</v>
      </c>
      <c r="E661" s="417">
        <v>364460</v>
      </c>
      <c r="F661" s="425">
        <v>7.2437525804170159E-4</v>
      </c>
      <c r="G661" s="408"/>
    </row>
    <row r="662" spans="2:7">
      <c r="B662" s="411" t="s">
        <v>388</v>
      </c>
      <c r="C662" s="415">
        <v>43210</v>
      </c>
      <c r="D662" s="412">
        <v>20914</v>
      </c>
      <c r="E662" s="417">
        <v>454275</v>
      </c>
      <c r="F662" s="425">
        <v>9.560715647031974E-3</v>
      </c>
      <c r="G662" s="408"/>
    </row>
    <row r="663" spans="2:7">
      <c r="B663" s="411" t="s">
        <v>388</v>
      </c>
      <c r="C663" s="415">
        <v>43213</v>
      </c>
      <c r="D663" s="412">
        <v>20865</v>
      </c>
      <c r="E663" s="417">
        <v>342519</v>
      </c>
      <c r="F663" s="425">
        <v>-2.3456771328811414E-3</v>
      </c>
      <c r="G663" s="408"/>
    </row>
    <row r="664" spans="2:7">
      <c r="B664" s="411" t="s">
        <v>388</v>
      </c>
      <c r="C664" s="415">
        <v>43214</v>
      </c>
      <c r="D664" s="412">
        <v>20676</v>
      </c>
      <c r="E664" s="417">
        <v>171520</v>
      </c>
      <c r="F664" s="425">
        <v>-9.099506709723015E-3</v>
      </c>
      <c r="G664" s="408"/>
    </row>
    <row r="665" spans="2:7">
      <c r="B665" s="411" t="s">
        <v>388</v>
      </c>
      <c r="C665" s="415">
        <v>43215</v>
      </c>
      <c r="D665" s="412">
        <v>20930</v>
      </c>
      <c r="E665" s="417">
        <v>266323</v>
      </c>
      <c r="F665" s="425">
        <v>1.2209929124115435E-2</v>
      </c>
      <c r="G665" s="408"/>
    </row>
    <row r="666" spans="2:7">
      <c r="B666" s="411" t="s">
        <v>388</v>
      </c>
      <c r="C666" s="415">
        <v>43216</v>
      </c>
      <c r="D666" s="412">
        <v>20864</v>
      </c>
      <c r="E666" s="417">
        <v>308483</v>
      </c>
      <c r="F666" s="425">
        <v>-3.1583507136658758E-3</v>
      </c>
      <c r="G666" s="408"/>
    </row>
    <row r="667" spans="2:7">
      <c r="B667" s="411" t="s">
        <v>388</v>
      </c>
      <c r="C667" s="415">
        <v>43220</v>
      </c>
      <c r="D667" s="412">
        <v>21145</v>
      </c>
      <c r="E667" s="417">
        <v>433489</v>
      </c>
      <c r="F667" s="425">
        <v>1.3378285180209348E-2</v>
      </c>
      <c r="G667" s="408"/>
    </row>
    <row r="668" spans="2:7">
      <c r="B668" s="411" t="s">
        <v>388</v>
      </c>
      <c r="C668" s="415">
        <v>43222</v>
      </c>
      <c r="D668" s="412">
        <v>21000</v>
      </c>
      <c r="E668" s="417">
        <v>274677</v>
      </c>
      <c r="F668" s="425">
        <v>-6.8810332010288949E-3</v>
      </c>
      <c r="G668" s="408"/>
    </row>
    <row r="669" spans="2:7">
      <c r="B669" s="411" t="s">
        <v>388</v>
      </c>
      <c r="C669" s="415">
        <v>43223</v>
      </c>
      <c r="D669" s="412">
        <v>20390</v>
      </c>
      <c r="E669" s="417">
        <v>498541</v>
      </c>
      <c r="F669" s="425">
        <v>-2.9477853137059244E-2</v>
      </c>
      <c r="G669" s="408"/>
    </row>
    <row r="670" spans="2:7">
      <c r="B670" s="411" t="s">
        <v>388</v>
      </c>
      <c r="C670" s="415">
        <v>43224</v>
      </c>
      <c r="D670" s="412">
        <v>20400</v>
      </c>
      <c r="E670" s="417">
        <v>350649</v>
      </c>
      <c r="F670" s="425">
        <v>4.903162638069552E-4</v>
      </c>
      <c r="G670" s="408"/>
    </row>
    <row r="671" spans="2:7">
      <c r="B671" s="411" t="s">
        <v>388</v>
      </c>
      <c r="C671" s="415">
        <v>43227</v>
      </c>
      <c r="D671" s="412">
        <v>20261</v>
      </c>
      <c r="E671" s="417">
        <v>218563</v>
      </c>
      <c r="F671" s="425">
        <v>-6.8370449061565409E-3</v>
      </c>
      <c r="G671" s="408"/>
    </row>
    <row r="672" spans="2:7">
      <c r="B672" s="411" t="s">
        <v>388</v>
      </c>
      <c r="C672" s="415">
        <v>43228</v>
      </c>
      <c r="D672" s="412">
        <v>19916</v>
      </c>
      <c r="E672" s="417">
        <v>423507</v>
      </c>
      <c r="F672" s="425">
        <v>-1.717442716407791E-2</v>
      </c>
      <c r="G672" s="408"/>
    </row>
    <row r="673" spans="2:7">
      <c r="B673" s="411" t="s">
        <v>388</v>
      </c>
      <c r="C673" s="415">
        <v>43229</v>
      </c>
      <c r="D673" s="412">
        <v>20078</v>
      </c>
      <c r="E673" s="417">
        <v>455738</v>
      </c>
      <c r="F673" s="425">
        <v>8.1012594893984987E-3</v>
      </c>
      <c r="G673" s="408"/>
    </row>
    <row r="674" spans="2:7">
      <c r="B674" s="411" t="s">
        <v>388</v>
      </c>
      <c r="C674" s="415">
        <v>43230</v>
      </c>
      <c r="D674" s="412">
        <v>19925</v>
      </c>
      <c r="E674" s="417">
        <v>751137</v>
      </c>
      <c r="F674" s="425">
        <v>-7.64946359305607E-3</v>
      </c>
      <c r="G674" s="408"/>
    </row>
    <row r="675" spans="2:7">
      <c r="B675" s="411" t="s">
        <v>388</v>
      </c>
      <c r="C675" s="415">
        <v>43231</v>
      </c>
      <c r="D675" s="412">
        <v>20236</v>
      </c>
      <c r="E675" s="417">
        <v>600077</v>
      </c>
      <c r="F675" s="425">
        <v>1.5487971753410988E-2</v>
      </c>
      <c r="G675" s="408"/>
    </row>
    <row r="676" spans="2:7">
      <c r="B676" s="411" t="s">
        <v>388</v>
      </c>
      <c r="C676" s="415">
        <v>43234</v>
      </c>
      <c r="D676" s="412">
        <v>20316</v>
      </c>
      <c r="E676" s="417">
        <v>526715</v>
      </c>
      <c r="F676" s="425">
        <v>3.9455565093088462E-3</v>
      </c>
      <c r="G676" s="408"/>
    </row>
    <row r="677" spans="2:7">
      <c r="B677" s="411" t="s">
        <v>388</v>
      </c>
      <c r="C677" s="415">
        <v>43235</v>
      </c>
      <c r="D677" s="412">
        <v>19853</v>
      </c>
      <c r="E677" s="417">
        <v>516693</v>
      </c>
      <c r="F677" s="425">
        <v>-2.3053623724056754E-2</v>
      </c>
      <c r="G677" s="408"/>
    </row>
    <row r="678" spans="2:7">
      <c r="B678" s="411" t="s">
        <v>388</v>
      </c>
      <c r="C678" s="415">
        <v>43236</v>
      </c>
      <c r="D678" s="412">
        <v>19979</v>
      </c>
      <c r="E678" s="417">
        <v>646023</v>
      </c>
      <c r="F678" s="425">
        <v>6.3265927028700996E-3</v>
      </c>
      <c r="G678" s="408"/>
    </row>
    <row r="679" spans="2:7">
      <c r="B679" s="411" t="s">
        <v>388</v>
      </c>
      <c r="C679" s="415">
        <v>43237</v>
      </c>
      <c r="D679" s="412">
        <v>19124</v>
      </c>
      <c r="E679" s="417">
        <v>577862</v>
      </c>
      <c r="F679" s="425">
        <v>-4.3737631153954924E-2</v>
      </c>
      <c r="G679" s="408"/>
    </row>
    <row r="680" spans="2:7">
      <c r="B680" s="411" t="s">
        <v>388</v>
      </c>
      <c r="C680" s="415">
        <v>43238</v>
      </c>
      <c r="D680" s="412">
        <v>18998</v>
      </c>
      <c r="E680" s="417">
        <v>703581</v>
      </c>
      <c r="F680" s="425">
        <v>-6.61038029586619E-3</v>
      </c>
      <c r="G680" s="408"/>
    </row>
    <row r="681" spans="2:7">
      <c r="B681" s="411" t="s">
        <v>388</v>
      </c>
      <c r="C681" s="415">
        <v>43241</v>
      </c>
      <c r="D681" s="412">
        <v>18766</v>
      </c>
      <c r="E681" s="417">
        <v>720891</v>
      </c>
      <c r="F681" s="425">
        <v>-1.228698860013284E-2</v>
      </c>
      <c r="G681" s="408"/>
    </row>
    <row r="682" spans="2:7">
      <c r="B682" s="411" t="s">
        <v>388</v>
      </c>
      <c r="C682" s="415">
        <v>43242</v>
      </c>
      <c r="D682" s="412">
        <v>18955</v>
      </c>
      <c r="E682" s="417">
        <v>635168</v>
      </c>
      <c r="F682" s="425">
        <v>1.0021027100440248E-2</v>
      </c>
      <c r="G682" s="408"/>
    </row>
    <row r="683" spans="2:7">
      <c r="B683" s="411" t="s">
        <v>388</v>
      </c>
      <c r="C683" s="415">
        <v>43243</v>
      </c>
      <c r="D683" s="412">
        <v>18880</v>
      </c>
      <c r="E683" s="417">
        <v>477148</v>
      </c>
      <c r="F683" s="425">
        <v>-3.9645882509434776E-3</v>
      </c>
      <c r="G683" s="408"/>
    </row>
    <row r="684" spans="2:7">
      <c r="B684" s="411" t="s">
        <v>388</v>
      </c>
      <c r="C684" s="415">
        <v>43244</v>
      </c>
      <c r="D684" s="412">
        <v>18490</v>
      </c>
      <c r="E684" s="417">
        <v>543309</v>
      </c>
      <c r="F684" s="425">
        <v>-2.087311531832118E-2</v>
      </c>
      <c r="G684" s="408"/>
    </row>
    <row r="685" spans="2:7">
      <c r="B685" s="411" t="s">
        <v>388</v>
      </c>
      <c r="C685" s="415">
        <v>43245</v>
      </c>
      <c r="D685" s="412">
        <v>18985</v>
      </c>
      <c r="E685" s="417">
        <v>403231</v>
      </c>
      <c r="F685" s="425">
        <v>2.641914828473213E-2</v>
      </c>
      <c r="G685" s="408"/>
    </row>
    <row r="686" spans="2:7">
      <c r="B686" s="411" t="s">
        <v>388</v>
      </c>
      <c r="C686" s="415">
        <v>43248</v>
      </c>
      <c r="D686" s="412">
        <v>19100</v>
      </c>
      <c r="E686" s="417">
        <v>258422</v>
      </c>
      <c r="F686" s="425">
        <v>6.0391413688186306E-3</v>
      </c>
      <c r="G686" s="408"/>
    </row>
    <row r="687" spans="2:7">
      <c r="B687" s="411" t="s">
        <v>388</v>
      </c>
      <c r="C687" s="415">
        <v>43249</v>
      </c>
      <c r="D687" s="412">
        <v>18725</v>
      </c>
      <c r="E687" s="417">
        <v>370913</v>
      </c>
      <c r="F687" s="425">
        <v>-1.9828805649300993E-2</v>
      </c>
      <c r="G687" s="408"/>
    </row>
    <row r="688" spans="2:7">
      <c r="B688" s="411" t="s">
        <v>388</v>
      </c>
      <c r="C688" s="415">
        <v>43250</v>
      </c>
      <c r="D688" s="412">
        <v>19262</v>
      </c>
      <c r="E688" s="417">
        <v>768074</v>
      </c>
      <c r="F688" s="425">
        <v>2.8274713735389284E-2</v>
      </c>
      <c r="G688" s="408"/>
    </row>
    <row r="689" spans="2:7">
      <c r="B689" s="411" t="s">
        <v>388</v>
      </c>
      <c r="C689" s="415">
        <v>43251</v>
      </c>
      <c r="D689" s="412">
        <v>19275</v>
      </c>
      <c r="E689" s="417">
        <v>1457840</v>
      </c>
      <c r="F689" s="425">
        <v>6.7467631072060444E-4</v>
      </c>
      <c r="G689" s="408"/>
    </row>
    <row r="690" spans="2:7">
      <c r="B690" s="411" t="s">
        <v>388</v>
      </c>
      <c r="C690" s="415">
        <v>43252</v>
      </c>
      <c r="D690" s="412">
        <v>19334</v>
      </c>
      <c r="E690" s="417">
        <v>463345</v>
      </c>
      <c r="F690" s="425">
        <v>3.0562845930205275E-3</v>
      </c>
      <c r="G690" s="408"/>
    </row>
    <row r="691" spans="2:7">
      <c r="B691" s="411" t="s">
        <v>388</v>
      </c>
      <c r="C691" s="415">
        <v>43255</v>
      </c>
      <c r="D691" s="412">
        <v>19735</v>
      </c>
      <c r="E691" s="417">
        <v>590202</v>
      </c>
      <c r="F691" s="425">
        <v>2.0528505072396744E-2</v>
      </c>
      <c r="G691" s="408"/>
    </row>
    <row r="692" spans="2:7">
      <c r="B692" s="411" t="s">
        <v>388</v>
      </c>
      <c r="C692" s="415">
        <v>43256</v>
      </c>
      <c r="D692" s="412">
        <v>19345</v>
      </c>
      <c r="E692" s="417">
        <v>692638</v>
      </c>
      <c r="F692" s="425">
        <v>-1.9959720962334095E-2</v>
      </c>
      <c r="G692" s="408"/>
    </row>
    <row r="693" spans="2:7">
      <c r="B693" s="411" t="s">
        <v>388</v>
      </c>
      <c r="C693" s="415">
        <v>43257</v>
      </c>
      <c r="D693" s="412">
        <v>19475</v>
      </c>
      <c r="E693" s="417">
        <v>487947</v>
      </c>
      <c r="F693" s="425">
        <v>6.6976036043355771E-3</v>
      </c>
      <c r="G693" s="408"/>
    </row>
    <row r="694" spans="2:7">
      <c r="B694" s="411" t="s">
        <v>388</v>
      </c>
      <c r="C694" s="415">
        <v>43258</v>
      </c>
      <c r="D694" s="412">
        <v>19244</v>
      </c>
      <c r="E694" s="417">
        <v>667268</v>
      </c>
      <c r="F694" s="425">
        <v>-1.1932267919604682E-2</v>
      </c>
      <c r="G694" s="408"/>
    </row>
    <row r="695" spans="2:7">
      <c r="B695" s="411" t="s">
        <v>388</v>
      </c>
      <c r="C695" s="415">
        <v>43259</v>
      </c>
      <c r="D695" s="412">
        <v>19261</v>
      </c>
      <c r="E695" s="417">
        <v>638394</v>
      </c>
      <c r="F695" s="425">
        <v>8.8300226487807762E-4</v>
      </c>
      <c r="G695" s="408"/>
    </row>
    <row r="696" spans="2:7">
      <c r="B696" s="411" t="s">
        <v>388</v>
      </c>
      <c r="C696" s="415">
        <v>43262</v>
      </c>
      <c r="D696" s="412">
        <v>19139</v>
      </c>
      <c r="E696" s="417">
        <v>328187</v>
      </c>
      <c r="F696" s="425">
        <v>-6.3541880461491923E-3</v>
      </c>
      <c r="G696" s="408"/>
    </row>
    <row r="697" spans="2:7">
      <c r="B697" s="411" t="s">
        <v>388</v>
      </c>
      <c r="C697" s="415">
        <v>43263</v>
      </c>
      <c r="D697" s="412">
        <v>19205</v>
      </c>
      <c r="E697" s="417">
        <v>853997</v>
      </c>
      <c r="F697" s="425">
        <v>3.4425237419321102E-3</v>
      </c>
      <c r="G697" s="408"/>
    </row>
    <row r="698" spans="2:7">
      <c r="B698" s="411" t="s">
        <v>388</v>
      </c>
      <c r="C698" s="415">
        <v>43264</v>
      </c>
      <c r="D698" s="412">
        <v>18878</v>
      </c>
      <c r="E698" s="417">
        <v>573420</v>
      </c>
      <c r="F698" s="425">
        <v>-1.7173438895115412E-2</v>
      </c>
      <c r="G698" s="408"/>
    </row>
    <row r="699" spans="2:7">
      <c r="B699" s="411" t="s">
        <v>388</v>
      </c>
      <c r="C699" s="415">
        <v>43265</v>
      </c>
      <c r="D699" s="412">
        <v>19000</v>
      </c>
      <c r="E699" s="417">
        <v>1184373</v>
      </c>
      <c r="F699" s="425">
        <v>6.4417562636877547E-3</v>
      </c>
      <c r="G699" s="408"/>
    </row>
    <row r="700" spans="2:7">
      <c r="B700" s="411" t="s">
        <v>388</v>
      </c>
      <c r="C700" s="415">
        <v>43266</v>
      </c>
      <c r="D700" s="412">
        <v>18866</v>
      </c>
      <c r="E700" s="417">
        <v>1437045</v>
      </c>
      <c r="F700" s="425">
        <v>-7.0776189387790588E-3</v>
      </c>
      <c r="G700" s="408"/>
    </row>
    <row r="701" spans="2:7">
      <c r="B701" s="411" t="s">
        <v>388</v>
      </c>
      <c r="C701" s="415">
        <v>43269</v>
      </c>
      <c r="D701" s="412">
        <v>18484</v>
      </c>
      <c r="E701" s="417">
        <v>365325</v>
      </c>
      <c r="F701" s="425">
        <v>-2.0455867219641512E-2</v>
      </c>
      <c r="G701" s="408"/>
    </row>
    <row r="702" spans="2:7">
      <c r="B702" s="411" t="s">
        <v>388</v>
      </c>
      <c r="C702" s="415">
        <v>43270</v>
      </c>
      <c r="D702" s="412">
        <v>18434</v>
      </c>
      <c r="E702" s="417">
        <v>862112</v>
      </c>
      <c r="F702" s="425">
        <v>-2.7087074365474604E-3</v>
      </c>
      <c r="G702" s="408"/>
    </row>
    <row r="703" spans="2:7">
      <c r="B703" s="411" t="s">
        <v>388</v>
      </c>
      <c r="C703" s="415">
        <v>43271</v>
      </c>
      <c r="D703" s="412">
        <v>18649</v>
      </c>
      <c r="E703" s="417">
        <v>706353</v>
      </c>
      <c r="F703" s="425">
        <v>1.1595739777836688E-2</v>
      </c>
      <c r="G703" s="408"/>
    </row>
    <row r="704" spans="2:7">
      <c r="B704" s="411" t="s">
        <v>388</v>
      </c>
      <c r="C704" s="415">
        <v>43272</v>
      </c>
      <c r="D704" s="412">
        <v>18691</v>
      </c>
      <c r="E704" s="417">
        <v>1154224</v>
      </c>
      <c r="F704" s="425">
        <v>2.2495992347315902E-3</v>
      </c>
      <c r="G704" s="408"/>
    </row>
    <row r="705" spans="2:7">
      <c r="B705" s="411" t="s">
        <v>388</v>
      </c>
      <c r="C705" s="415">
        <v>43273</v>
      </c>
      <c r="D705" s="412">
        <v>18658</v>
      </c>
      <c r="E705" s="417">
        <v>526140</v>
      </c>
      <c r="F705" s="425">
        <v>-1.7671160452715131E-3</v>
      </c>
      <c r="G705" s="408"/>
    </row>
    <row r="706" spans="2:7">
      <c r="B706" s="411" t="s">
        <v>388</v>
      </c>
      <c r="C706" s="415">
        <v>43276</v>
      </c>
      <c r="D706" s="412">
        <v>18446</v>
      </c>
      <c r="E706" s="417">
        <v>362257</v>
      </c>
      <c r="F706" s="425">
        <v>-1.1427463725242179E-2</v>
      </c>
      <c r="G706" s="408"/>
    </row>
    <row r="707" spans="2:7">
      <c r="B707" s="411" t="s">
        <v>388</v>
      </c>
      <c r="C707" s="415">
        <v>43277</v>
      </c>
      <c r="D707" s="412">
        <v>18541</v>
      </c>
      <c r="E707" s="417">
        <v>579364</v>
      </c>
      <c r="F707" s="425">
        <v>5.1369513021892101E-3</v>
      </c>
      <c r="G707" s="408"/>
    </row>
    <row r="708" spans="2:7">
      <c r="B708" s="411" t="s">
        <v>388</v>
      </c>
      <c r="C708" s="415">
        <v>43278</v>
      </c>
      <c r="D708" s="412">
        <v>18146</v>
      </c>
      <c r="E708" s="417">
        <v>804627</v>
      </c>
      <c r="F708" s="425">
        <v>-2.1534345368279171E-2</v>
      </c>
      <c r="G708" s="408"/>
    </row>
    <row r="709" spans="2:7">
      <c r="B709" s="411" t="s">
        <v>388</v>
      </c>
      <c r="C709" s="415">
        <v>43279</v>
      </c>
      <c r="D709" s="412">
        <v>17960</v>
      </c>
      <c r="E709" s="417">
        <v>495745</v>
      </c>
      <c r="F709" s="425">
        <v>-1.0303087873383614E-2</v>
      </c>
      <c r="G709" s="408"/>
    </row>
    <row r="710" spans="2:7">
      <c r="B710" s="411" t="s">
        <v>388</v>
      </c>
      <c r="C710" s="415">
        <v>43280</v>
      </c>
      <c r="D710" s="412">
        <v>18542</v>
      </c>
      <c r="E710" s="417">
        <v>577117</v>
      </c>
      <c r="F710" s="425">
        <v>3.1891366310737163E-2</v>
      </c>
      <c r="G710" s="408"/>
    </row>
    <row r="711" spans="2:7">
      <c r="B711" s="411" t="s">
        <v>388</v>
      </c>
      <c r="C711" s="415">
        <v>43283</v>
      </c>
      <c r="D711" s="412">
        <v>18657</v>
      </c>
      <c r="E711" s="417">
        <v>301242</v>
      </c>
      <c r="F711" s="425">
        <v>6.1829816050712541E-3</v>
      </c>
      <c r="G711" s="408"/>
    </row>
    <row r="712" spans="2:7">
      <c r="B712" s="411" t="s">
        <v>388</v>
      </c>
      <c r="C712" s="415">
        <v>43284</v>
      </c>
      <c r="D712" s="412">
        <v>19040</v>
      </c>
      <c r="E712" s="417">
        <v>509979</v>
      </c>
      <c r="F712" s="425">
        <v>2.0320618573357357E-2</v>
      </c>
      <c r="G712" s="408"/>
    </row>
    <row r="713" spans="2:7">
      <c r="B713" s="411" t="s">
        <v>388</v>
      </c>
      <c r="C713" s="415">
        <v>43285</v>
      </c>
      <c r="D713" s="412">
        <v>19139</v>
      </c>
      <c r="E713" s="417">
        <v>235953</v>
      </c>
      <c r="F713" s="425">
        <v>5.1861086927169446E-3</v>
      </c>
      <c r="G713" s="408"/>
    </row>
    <row r="714" spans="2:7">
      <c r="B714" s="411" t="s">
        <v>388</v>
      </c>
      <c r="C714" s="415">
        <v>43286</v>
      </c>
      <c r="D714" s="412">
        <v>19141</v>
      </c>
      <c r="E714" s="417">
        <v>242339</v>
      </c>
      <c r="F714" s="425">
        <v>1.0449320803652502E-4</v>
      </c>
      <c r="G714" s="408"/>
    </row>
    <row r="715" spans="2:7">
      <c r="B715" s="411" t="s">
        <v>388</v>
      </c>
      <c r="C715" s="415">
        <v>43287</v>
      </c>
      <c r="D715" s="412">
        <v>18940</v>
      </c>
      <c r="E715" s="417">
        <v>285840</v>
      </c>
      <c r="F715" s="425">
        <v>-1.0556543506040445E-2</v>
      </c>
      <c r="G715" s="408"/>
    </row>
    <row r="716" spans="2:7">
      <c r="B716" s="411" t="s">
        <v>388</v>
      </c>
      <c r="C716" s="415">
        <v>43290</v>
      </c>
      <c r="D716" s="412">
        <v>19207</v>
      </c>
      <c r="E716" s="417">
        <v>249141</v>
      </c>
      <c r="F716" s="425">
        <v>1.3998708164782825E-2</v>
      </c>
      <c r="G716" s="408"/>
    </row>
    <row r="717" spans="2:7">
      <c r="B717" s="411" t="s">
        <v>388</v>
      </c>
      <c r="C717" s="415">
        <v>43291</v>
      </c>
      <c r="D717" s="412">
        <v>19280</v>
      </c>
      <c r="E717" s="417">
        <v>296680</v>
      </c>
      <c r="F717" s="425">
        <v>3.7934932596846507E-3</v>
      </c>
      <c r="G717" s="408"/>
    </row>
    <row r="718" spans="2:7">
      <c r="B718" s="411" t="s">
        <v>388</v>
      </c>
      <c r="C718" s="415">
        <v>43292</v>
      </c>
      <c r="D718" s="412">
        <v>18920</v>
      </c>
      <c r="E718" s="417">
        <v>222792</v>
      </c>
      <c r="F718" s="425">
        <v>-1.8848725558667383E-2</v>
      </c>
      <c r="G718" s="408"/>
    </row>
    <row r="719" spans="2:7">
      <c r="B719" s="411" t="s">
        <v>388</v>
      </c>
      <c r="C719" s="415">
        <v>43293</v>
      </c>
      <c r="D719" s="412">
        <v>18941</v>
      </c>
      <c r="E719" s="417">
        <v>226144</v>
      </c>
      <c r="F719" s="425">
        <v>1.1093210508723165E-3</v>
      </c>
      <c r="G719" s="408"/>
    </row>
    <row r="720" spans="2:7">
      <c r="B720" s="411" t="s">
        <v>388</v>
      </c>
      <c r="C720" s="415">
        <v>43294</v>
      </c>
      <c r="D720" s="412">
        <v>18702</v>
      </c>
      <c r="E720" s="417">
        <v>146969</v>
      </c>
      <c r="F720" s="425">
        <v>-1.2698414661349505E-2</v>
      </c>
      <c r="G720" s="408"/>
    </row>
    <row r="721" spans="2:7">
      <c r="B721" s="411" t="s">
        <v>388</v>
      </c>
      <c r="C721" s="415">
        <v>43297</v>
      </c>
      <c r="D721" s="412">
        <v>18200</v>
      </c>
      <c r="E721" s="417">
        <v>224893</v>
      </c>
      <c r="F721" s="425">
        <v>-2.7208875930505406E-2</v>
      </c>
      <c r="G721" s="408"/>
    </row>
    <row r="722" spans="2:7">
      <c r="B722" s="411" t="s">
        <v>388</v>
      </c>
      <c r="C722" s="415">
        <v>43298</v>
      </c>
      <c r="D722" s="412">
        <v>18510</v>
      </c>
      <c r="E722" s="417">
        <v>224052</v>
      </c>
      <c r="F722" s="425">
        <v>1.6889532502656412E-2</v>
      </c>
      <c r="G722" s="408"/>
    </row>
    <row r="723" spans="2:7">
      <c r="B723" s="411" t="s">
        <v>388</v>
      </c>
      <c r="C723" s="415">
        <v>43299</v>
      </c>
      <c r="D723" s="412">
        <v>18250</v>
      </c>
      <c r="E723" s="417">
        <v>459367</v>
      </c>
      <c r="F723" s="425">
        <v>-1.41460465569056E-2</v>
      </c>
      <c r="G723" s="408"/>
    </row>
    <row r="724" spans="2:7">
      <c r="B724" s="411" t="s">
        <v>388</v>
      </c>
      <c r="C724" s="415">
        <v>43300</v>
      </c>
      <c r="D724" s="412">
        <v>18250</v>
      </c>
      <c r="E724" s="417">
        <v>229997</v>
      </c>
      <c r="F724" s="425">
        <v>0</v>
      </c>
      <c r="G724" s="408"/>
    </row>
    <row r="725" spans="2:7">
      <c r="B725" s="411" t="s">
        <v>388</v>
      </c>
      <c r="C725" s="415">
        <v>43301</v>
      </c>
      <c r="D725" s="412">
        <v>18477</v>
      </c>
      <c r="E725" s="417">
        <v>279787</v>
      </c>
      <c r="F725" s="425">
        <v>1.2361635344515322E-2</v>
      </c>
      <c r="G725" s="408"/>
    </row>
    <row r="726" spans="2:7">
      <c r="B726" s="411" t="s">
        <v>388</v>
      </c>
      <c r="C726" s="415">
        <v>43304</v>
      </c>
      <c r="D726" s="412">
        <v>18369</v>
      </c>
      <c r="E726" s="417">
        <v>196827</v>
      </c>
      <c r="F726" s="425">
        <v>-5.8622542090887297E-3</v>
      </c>
      <c r="G726" s="408"/>
    </row>
    <row r="727" spans="2:7">
      <c r="B727" s="411" t="s">
        <v>388</v>
      </c>
      <c r="C727" s="415">
        <v>43305</v>
      </c>
      <c r="D727" s="412">
        <v>18440</v>
      </c>
      <c r="E727" s="417">
        <v>246097</v>
      </c>
      <c r="F727" s="425">
        <v>3.8577569645206213E-3</v>
      </c>
      <c r="G727" s="408"/>
    </row>
    <row r="728" spans="2:7">
      <c r="B728" s="411" t="s">
        <v>388</v>
      </c>
      <c r="C728" s="415">
        <v>43306</v>
      </c>
      <c r="D728" s="412">
        <v>18360</v>
      </c>
      <c r="E728" s="417">
        <v>228602</v>
      </c>
      <c r="F728" s="425">
        <v>-4.3478329361033982E-3</v>
      </c>
      <c r="G728" s="408"/>
    </row>
    <row r="729" spans="2:7">
      <c r="B729" s="411" t="s">
        <v>388</v>
      </c>
      <c r="C729" s="415">
        <v>43307</v>
      </c>
      <c r="D729" s="412">
        <v>18369</v>
      </c>
      <c r="E729" s="417">
        <v>457986</v>
      </c>
      <c r="F729" s="425">
        <v>4.9007597158271725E-4</v>
      </c>
      <c r="G729" s="408"/>
    </row>
    <row r="730" spans="2:7">
      <c r="B730" s="411" t="s">
        <v>388</v>
      </c>
      <c r="C730" s="415">
        <v>43308</v>
      </c>
      <c r="D730" s="412">
        <v>18522</v>
      </c>
      <c r="E730" s="417">
        <v>305792</v>
      </c>
      <c r="F730" s="425">
        <v>8.2947535841502058E-3</v>
      </c>
      <c r="G730" s="408"/>
    </row>
    <row r="731" spans="2:7">
      <c r="B731" s="411" t="s">
        <v>388</v>
      </c>
      <c r="C731" s="415">
        <v>43311</v>
      </c>
      <c r="D731" s="412">
        <v>18707</v>
      </c>
      <c r="E731" s="417">
        <v>342282</v>
      </c>
      <c r="F731" s="425">
        <v>9.9385706186903185E-3</v>
      </c>
      <c r="G731" s="408"/>
    </row>
    <row r="732" spans="2:7">
      <c r="B732" s="411" t="s">
        <v>388</v>
      </c>
      <c r="C732" s="415">
        <v>43312</v>
      </c>
      <c r="D732" s="412">
        <v>19158</v>
      </c>
      <c r="E732" s="417">
        <v>612489</v>
      </c>
      <c r="F732" s="425">
        <v>2.3822597593932491E-2</v>
      </c>
      <c r="G732" s="408"/>
    </row>
    <row r="733" spans="2:7">
      <c r="B733" s="411" t="s">
        <v>388</v>
      </c>
      <c r="C733" s="415">
        <v>43313</v>
      </c>
      <c r="D733" s="412">
        <v>19366</v>
      </c>
      <c r="E733" s="417">
        <v>626403</v>
      </c>
      <c r="F733" s="425">
        <v>1.0798568228639479E-2</v>
      </c>
      <c r="G733" s="408"/>
    </row>
    <row r="734" spans="2:7">
      <c r="B734" s="411" t="s">
        <v>388</v>
      </c>
      <c r="C734" s="415">
        <v>43314</v>
      </c>
      <c r="D734" s="412">
        <v>19150</v>
      </c>
      <c r="E734" s="417">
        <v>548700</v>
      </c>
      <c r="F734" s="425">
        <v>-1.1216235562684357E-2</v>
      </c>
      <c r="G734" s="408"/>
    </row>
    <row r="735" spans="2:7">
      <c r="B735" s="411" t="s">
        <v>388</v>
      </c>
      <c r="C735" s="415">
        <v>43315</v>
      </c>
      <c r="D735" s="412">
        <v>19226</v>
      </c>
      <c r="E735" s="417">
        <v>392395</v>
      </c>
      <c r="F735" s="425">
        <v>3.960814016969523E-3</v>
      </c>
      <c r="G735" s="408"/>
    </row>
    <row r="736" spans="2:7">
      <c r="B736" s="411" t="s">
        <v>388</v>
      </c>
      <c r="C736" s="415">
        <v>43318</v>
      </c>
      <c r="D736" s="412">
        <v>19401</v>
      </c>
      <c r="E736" s="417">
        <v>1065414</v>
      </c>
      <c r="F736" s="425">
        <v>9.0610814889409402E-3</v>
      </c>
      <c r="G736" s="408"/>
    </row>
    <row r="737" spans="2:7">
      <c r="B737" s="411" t="s">
        <v>388</v>
      </c>
      <c r="C737" s="415">
        <v>43319</v>
      </c>
      <c r="D737" s="412">
        <v>19661</v>
      </c>
      <c r="E737" s="417">
        <v>392403</v>
      </c>
      <c r="F737" s="425">
        <v>1.3312366992788262E-2</v>
      </c>
      <c r="G737" s="408"/>
    </row>
    <row r="738" spans="2:7">
      <c r="B738" s="411" t="s">
        <v>388</v>
      </c>
      <c r="C738" s="415">
        <v>43320</v>
      </c>
      <c r="D738" s="412">
        <v>19738</v>
      </c>
      <c r="E738" s="417">
        <v>309394</v>
      </c>
      <c r="F738" s="425">
        <v>3.9087336244615694E-3</v>
      </c>
      <c r="G738" s="408"/>
    </row>
    <row r="739" spans="2:7">
      <c r="B739" s="411" t="s">
        <v>388</v>
      </c>
      <c r="C739" s="415">
        <v>43322</v>
      </c>
      <c r="D739" s="412">
        <v>19467</v>
      </c>
      <c r="E739" s="417">
        <v>342861</v>
      </c>
      <c r="F739" s="425">
        <v>-1.3824987442674328E-2</v>
      </c>
      <c r="G739" s="408"/>
    </row>
    <row r="740" spans="2:7">
      <c r="B740" s="411" t="s">
        <v>388</v>
      </c>
      <c r="C740" s="415">
        <v>43325</v>
      </c>
      <c r="D740" s="412">
        <v>19300</v>
      </c>
      <c r="E740" s="417">
        <v>610758</v>
      </c>
      <c r="F740" s="425">
        <v>-8.6156283963012802E-3</v>
      </c>
      <c r="G740" s="408"/>
    </row>
    <row r="741" spans="2:7">
      <c r="B741" s="411" t="s">
        <v>388</v>
      </c>
      <c r="C741" s="415">
        <v>43326</v>
      </c>
      <c r="D741" s="412">
        <v>19225</v>
      </c>
      <c r="E741" s="417">
        <v>346699</v>
      </c>
      <c r="F741" s="425">
        <v>-3.8935805191322101E-3</v>
      </c>
      <c r="G741" s="408"/>
    </row>
    <row r="742" spans="2:7">
      <c r="B742" s="411" t="s">
        <v>388</v>
      </c>
      <c r="C742" s="415">
        <v>43327</v>
      </c>
      <c r="D742" s="412">
        <v>18802</v>
      </c>
      <c r="E742" s="417">
        <v>529800</v>
      </c>
      <c r="F742" s="425">
        <v>-2.2248268235348548E-2</v>
      </c>
      <c r="G742" s="408"/>
    </row>
    <row r="743" spans="2:7">
      <c r="B743" s="411" t="s">
        <v>388</v>
      </c>
      <c r="C743" s="415">
        <v>43328</v>
      </c>
      <c r="D743" s="412">
        <v>19018</v>
      </c>
      <c r="E743" s="417">
        <v>757274</v>
      </c>
      <c r="F743" s="425">
        <v>1.1422651960893404E-2</v>
      </c>
      <c r="G743" s="408"/>
    </row>
    <row r="744" spans="2:7">
      <c r="B744" s="411" t="s">
        <v>388</v>
      </c>
      <c r="C744" s="415">
        <v>43329</v>
      </c>
      <c r="D744" s="412">
        <v>18869</v>
      </c>
      <c r="E744" s="417">
        <v>383509</v>
      </c>
      <c r="F744" s="425">
        <v>-7.8655353116755707E-3</v>
      </c>
      <c r="G744" s="408"/>
    </row>
    <row r="745" spans="2:7">
      <c r="B745" s="411" t="s">
        <v>388</v>
      </c>
      <c r="C745" s="415">
        <v>43332</v>
      </c>
      <c r="D745" s="412">
        <v>18913</v>
      </c>
      <c r="E745" s="417">
        <v>395529</v>
      </c>
      <c r="F745" s="425">
        <v>2.3291525007402801E-3</v>
      </c>
      <c r="G745" s="408"/>
    </row>
    <row r="746" spans="2:7">
      <c r="B746" s="411" t="s">
        <v>388</v>
      </c>
      <c r="C746" s="415">
        <v>43333</v>
      </c>
      <c r="D746" s="412">
        <v>19018</v>
      </c>
      <c r="E746" s="417">
        <v>677919</v>
      </c>
      <c r="F746" s="425">
        <v>5.5363828109352402E-3</v>
      </c>
      <c r="G746" s="408"/>
    </row>
    <row r="747" spans="2:7">
      <c r="B747" s="411" t="s">
        <v>388</v>
      </c>
      <c r="C747" s="415">
        <v>43334</v>
      </c>
      <c r="D747" s="412">
        <v>19526</v>
      </c>
      <c r="E747" s="417">
        <v>730428</v>
      </c>
      <c r="F747" s="425">
        <v>2.6361011686227138E-2</v>
      </c>
      <c r="G747" s="408"/>
    </row>
    <row r="748" spans="2:7">
      <c r="B748" s="411" t="s">
        <v>388</v>
      </c>
      <c r="C748" s="415">
        <v>43335</v>
      </c>
      <c r="D748" s="412">
        <v>19740</v>
      </c>
      <c r="E748" s="417">
        <v>471971</v>
      </c>
      <c r="F748" s="425">
        <v>1.090012320185571E-2</v>
      </c>
      <c r="G748" s="408"/>
    </row>
    <row r="749" spans="2:7">
      <c r="B749" s="411" t="s">
        <v>388</v>
      </c>
      <c r="C749" s="415">
        <v>43336</v>
      </c>
      <c r="D749" s="412">
        <v>19790</v>
      </c>
      <c r="E749" s="417">
        <v>344779</v>
      </c>
      <c r="F749" s="425">
        <v>2.5297256091388301E-3</v>
      </c>
      <c r="G749" s="408"/>
    </row>
    <row r="750" spans="2:7">
      <c r="B750" s="411" t="s">
        <v>388</v>
      </c>
      <c r="C750" s="415">
        <v>43339</v>
      </c>
      <c r="D750" s="412">
        <v>20472</v>
      </c>
      <c r="E750" s="417">
        <v>510657</v>
      </c>
      <c r="F750" s="425">
        <v>3.38813392430133E-2</v>
      </c>
      <c r="G750" s="408"/>
    </row>
    <row r="751" spans="2:7">
      <c r="B751" s="411" t="s">
        <v>388</v>
      </c>
      <c r="C751" s="415">
        <v>43340</v>
      </c>
      <c r="D751" s="412">
        <v>20800</v>
      </c>
      <c r="E751" s="417">
        <v>701694</v>
      </c>
      <c r="F751" s="425">
        <v>1.5894887849784628E-2</v>
      </c>
      <c r="G751" s="408"/>
    </row>
    <row r="752" spans="2:7">
      <c r="B752" s="411" t="s">
        <v>388</v>
      </c>
      <c r="C752" s="415">
        <v>43341</v>
      </c>
      <c r="D752" s="412">
        <v>20700</v>
      </c>
      <c r="E752" s="417">
        <v>800464</v>
      </c>
      <c r="F752" s="425">
        <v>-4.8192864359488828E-3</v>
      </c>
      <c r="G752" s="408"/>
    </row>
    <row r="753" spans="2:7">
      <c r="B753" s="411" t="s">
        <v>388</v>
      </c>
      <c r="C753" s="415">
        <v>43342</v>
      </c>
      <c r="D753" s="412">
        <v>20300</v>
      </c>
      <c r="E753" s="417">
        <v>447719</v>
      </c>
      <c r="F753" s="425">
        <v>-1.9512814223581715E-2</v>
      </c>
      <c r="G753" s="408"/>
    </row>
    <row r="754" spans="2:7">
      <c r="B754" s="411" t="s">
        <v>388</v>
      </c>
      <c r="C754" s="415">
        <v>43343</v>
      </c>
      <c r="D754" s="412">
        <v>20500</v>
      </c>
      <c r="E754" s="417">
        <v>775064</v>
      </c>
      <c r="F754" s="425">
        <v>9.8040000966208348E-3</v>
      </c>
      <c r="G754" s="408"/>
    </row>
    <row r="755" spans="2:7">
      <c r="B755" s="411" t="s">
        <v>388</v>
      </c>
      <c r="C755" s="415">
        <v>43346</v>
      </c>
      <c r="D755" s="412">
        <v>20393</v>
      </c>
      <c r="E755" s="417">
        <v>349678</v>
      </c>
      <c r="F755" s="425">
        <v>-5.2331814341524275E-3</v>
      </c>
      <c r="G755" s="408"/>
    </row>
    <row r="756" spans="2:7">
      <c r="B756" s="411" t="s">
        <v>388</v>
      </c>
      <c r="C756" s="415">
        <v>43347</v>
      </c>
      <c r="D756" s="412">
        <v>19888</v>
      </c>
      <c r="E756" s="417">
        <v>681809</v>
      </c>
      <c r="F756" s="425">
        <v>-2.5075169941854776E-2</v>
      </c>
      <c r="G756" s="408"/>
    </row>
    <row r="757" spans="2:7">
      <c r="B757" s="411" t="s">
        <v>388</v>
      </c>
      <c r="C757" s="415">
        <v>43348</v>
      </c>
      <c r="D757" s="412">
        <v>19500</v>
      </c>
      <c r="E757" s="417">
        <v>693910</v>
      </c>
      <c r="F757" s="425">
        <v>-1.9702069198654155E-2</v>
      </c>
      <c r="G757" s="408"/>
    </row>
    <row r="758" spans="2:7">
      <c r="B758" s="411" t="s">
        <v>388</v>
      </c>
      <c r="C758" s="415">
        <v>43349</v>
      </c>
      <c r="D758" s="412">
        <v>19841</v>
      </c>
      <c r="E758" s="417">
        <v>340945</v>
      </c>
      <c r="F758" s="425">
        <v>1.7336038242632267E-2</v>
      </c>
      <c r="G758" s="408"/>
    </row>
    <row r="759" spans="2:7">
      <c r="B759" s="411" t="s">
        <v>388</v>
      </c>
      <c r="C759" s="415">
        <v>43350</v>
      </c>
      <c r="D759" s="412">
        <v>19788</v>
      </c>
      <c r="E759" s="417">
        <v>476923</v>
      </c>
      <c r="F759" s="425">
        <v>-2.6748104468711019E-3</v>
      </c>
      <c r="G759" s="408"/>
    </row>
    <row r="760" spans="2:7">
      <c r="B760" s="411" t="s">
        <v>388</v>
      </c>
      <c r="C760" s="415">
        <v>43353</v>
      </c>
      <c r="D760" s="412">
        <v>19541</v>
      </c>
      <c r="E760" s="417">
        <v>313407</v>
      </c>
      <c r="F760" s="425">
        <v>-1.2560870987655697E-2</v>
      </c>
      <c r="G760" s="408"/>
    </row>
    <row r="761" spans="2:7">
      <c r="B761" s="411" t="s">
        <v>388</v>
      </c>
      <c r="C761" s="415">
        <v>43354</v>
      </c>
      <c r="D761" s="412">
        <v>19236</v>
      </c>
      <c r="E761" s="417">
        <v>564246</v>
      </c>
      <c r="F761" s="425">
        <v>-1.5731298962390221E-2</v>
      </c>
      <c r="G761" s="408"/>
    </row>
    <row r="762" spans="2:7">
      <c r="B762" s="411" t="s">
        <v>388</v>
      </c>
      <c r="C762" s="415">
        <v>43355</v>
      </c>
      <c r="D762" s="412">
        <v>18977</v>
      </c>
      <c r="E762" s="417">
        <v>934689</v>
      </c>
      <c r="F762" s="425">
        <v>-1.3555803843574419E-2</v>
      </c>
      <c r="G762" s="408"/>
    </row>
    <row r="763" spans="2:7">
      <c r="B763" s="411" t="s">
        <v>388</v>
      </c>
      <c r="C763" s="415">
        <v>43356</v>
      </c>
      <c r="D763" s="412">
        <v>19341</v>
      </c>
      <c r="E763" s="417">
        <v>1765011</v>
      </c>
      <c r="F763" s="425">
        <v>1.8999475424750906E-2</v>
      </c>
      <c r="G763" s="408"/>
    </row>
    <row r="764" spans="2:7">
      <c r="B764" s="411" t="s">
        <v>388</v>
      </c>
      <c r="C764" s="415">
        <v>43357</v>
      </c>
      <c r="D764" s="412">
        <v>19330</v>
      </c>
      <c r="E764" s="417">
        <v>312922</v>
      </c>
      <c r="F764" s="425">
        <v>-5.6890177635329211E-4</v>
      </c>
      <c r="G764" s="408"/>
    </row>
    <row r="765" spans="2:7">
      <c r="B765" s="411" t="s">
        <v>388</v>
      </c>
      <c r="C765" s="415">
        <v>43360</v>
      </c>
      <c r="D765" s="412">
        <v>18754</v>
      </c>
      <c r="E765" s="417">
        <v>440164</v>
      </c>
      <c r="F765" s="425">
        <v>-3.0251230222806066E-2</v>
      </c>
      <c r="G765" s="408"/>
    </row>
    <row r="766" spans="2:7">
      <c r="B766" s="411" t="s">
        <v>388</v>
      </c>
      <c r="C766" s="415">
        <v>43361</v>
      </c>
      <c r="D766" s="412">
        <v>19189</v>
      </c>
      <c r="E766" s="417">
        <v>555020</v>
      </c>
      <c r="F766" s="425">
        <v>2.2930135190171813E-2</v>
      </c>
      <c r="G766" s="408"/>
    </row>
    <row r="767" spans="2:7">
      <c r="B767" s="411" t="s">
        <v>388</v>
      </c>
      <c r="C767" s="415">
        <v>43362</v>
      </c>
      <c r="D767" s="412">
        <v>19064</v>
      </c>
      <c r="E767" s="417">
        <v>455824</v>
      </c>
      <c r="F767" s="425">
        <v>-6.5354583911643041E-3</v>
      </c>
      <c r="G767" s="408"/>
    </row>
    <row r="768" spans="2:7">
      <c r="B768" s="411" t="s">
        <v>388</v>
      </c>
      <c r="C768" s="415">
        <v>43363</v>
      </c>
      <c r="D768" s="412">
        <v>18856</v>
      </c>
      <c r="E768" s="417">
        <v>2046491</v>
      </c>
      <c r="F768" s="425">
        <v>-1.0970574162611012E-2</v>
      </c>
      <c r="G768" s="408"/>
    </row>
    <row r="769" spans="2:7">
      <c r="B769" s="411" t="s">
        <v>388</v>
      </c>
      <c r="C769" s="415">
        <v>43364</v>
      </c>
      <c r="D769" s="412">
        <v>18819</v>
      </c>
      <c r="E769" s="417">
        <v>963627</v>
      </c>
      <c r="F769" s="425">
        <v>-1.9641678511141268E-3</v>
      </c>
      <c r="G769" s="408"/>
    </row>
    <row r="770" spans="2:7">
      <c r="B770" s="411" t="s">
        <v>388</v>
      </c>
      <c r="C770" s="415">
        <v>43368</v>
      </c>
      <c r="D770" s="412">
        <v>18776</v>
      </c>
      <c r="E770" s="417">
        <v>635963</v>
      </c>
      <c r="F770" s="425">
        <v>-2.2875392339934985E-3</v>
      </c>
      <c r="G770" s="408"/>
    </row>
    <row r="771" spans="2:7">
      <c r="B771" s="411" t="s">
        <v>388</v>
      </c>
      <c r="C771" s="415">
        <v>43369</v>
      </c>
      <c r="D771" s="412">
        <v>18800</v>
      </c>
      <c r="E771" s="417">
        <v>580616</v>
      </c>
      <c r="F771" s="425">
        <v>1.2774112871811244E-3</v>
      </c>
      <c r="G771" s="408"/>
    </row>
    <row r="772" spans="2:7">
      <c r="B772" s="411" t="s">
        <v>388</v>
      </c>
      <c r="C772" s="415">
        <v>43370</v>
      </c>
      <c r="D772" s="412">
        <v>18617</v>
      </c>
      <c r="E772" s="417">
        <v>640504</v>
      </c>
      <c r="F772" s="425">
        <v>-9.7817280461435438E-3</v>
      </c>
      <c r="G772" s="408"/>
    </row>
    <row r="773" spans="2:7">
      <c r="B773" s="411" t="s">
        <v>388</v>
      </c>
      <c r="C773" s="415">
        <v>43371</v>
      </c>
      <c r="D773" s="412">
        <v>18413</v>
      </c>
      <c r="E773" s="417">
        <v>651738</v>
      </c>
      <c r="F773" s="425">
        <v>-1.1018204904676924E-2</v>
      </c>
      <c r="G773" s="408"/>
    </row>
    <row r="774" spans="2:7">
      <c r="B774" s="411" t="s">
        <v>388</v>
      </c>
      <c r="C774" s="415">
        <v>43374</v>
      </c>
      <c r="D774" s="412">
        <v>18132</v>
      </c>
      <c r="E774" s="417">
        <v>483488</v>
      </c>
      <c r="F774" s="425">
        <v>-1.5378603806480226E-2</v>
      </c>
      <c r="G774" s="408"/>
    </row>
    <row r="775" spans="2:7">
      <c r="B775" s="411" t="s">
        <v>388</v>
      </c>
      <c r="C775" s="415">
        <v>43375</v>
      </c>
      <c r="D775" s="412">
        <v>17950</v>
      </c>
      <c r="E775" s="417">
        <v>620771</v>
      </c>
      <c r="F775" s="425">
        <v>-1.0088218144314905E-2</v>
      </c>
      <c r="G775" s="408"/>
    </row>
    <row r="776" spans="2:7">
      <c r="B776" s="411" t="s">
        <v>388</v>
      </c>
      <c r="C776" s="415">
        <v>43376</v>
      </c>
      <c r="D776" s="412">
        <v>17929</v>
      </c>
      <c r="E776" s="417">
        <v>490840</v>
      </c>
      <c r="F776" s="425">
        <v>-1.1706013209976372E-3</v>
      </c>
      <c r="G776" s="408"/>
    </row>
    <row r="777" spans="2:7">
      <c r="B777" s="411" t="s">
        <v>388</v>
      </c>
      <c r="C777" s="415">
        <v>43377</v>
      </c>
      <c r="D777" s="412">
        <v>17428</v>
      </c>
      <c r="E777" s="417">
        <v>704991</v>
      </c>
      <c r="F777" s="425">
        <v>-2.8341405358094558E-2</v>
      </c>
      <c r="G777" s="408"/>
    </row>
    <row r="778" spans="2:7">
      <c r="B778" s="411" t="s">
        <v>388</v>
      </c>
      <c r="C778" s="415">
        <v>43378</v>
      </c>
      <c r="D778" s="412">
        <v>17380</v>
      </c>
      <c r="E778" s="417">
        <v>622759</v>
      </c>
      <c r="F778" s="425">
        <v>-2.7579884179496994E-3</v>
      </c>
      <c r="G778" s="408"/>
    </row>
    <row r="779" spans="2:7">
      <c r="B779" s="411" t="s">
        <v>388</v>
      </c>
      <c r="C779" s="415">
        <v>43381</v>
      </c>
      <c r="D779" s="412">
        <v>17264</v>
      </c>
      <c r="E779" s="417">
        <v>632273</v>
      </c>
      <c r="F779" s="425">
        <v>-6.69671132146713E-3</v>
      </c>
      <c r="G779" s="408"/>
    </row>
    <row r="780" spans="2:7">
      <c r="B780" s="411" t="s">
        <v>388</v>
      </c>
      <c r="C780" s="415">
        <v>43382</v>
      </c>
      <c r="D780" s="412">
        <v>17411</v>
      </c>
      <c r="E780" s="417">
        <v>380303</v>
      </c>
      <c r="F780" s="425">
        <v>8.4787818686825472E-3</v>
      </c>
      <c r="G780" s="408"/>
    </row>
    <row r="781" spans="2:7">
      <c r="B781" s="411" t="s">
        <v>388</v>
      </c>
      <c r="C781" s="415">
        <v>43383</v>
      </c>
      <c r="D781" s="412">
        <v>17179</v>
      </c>
      <c r="E781" s="417">
        <v>596988</v>
      </c>
      <c r="F781" s="425">
        <v>-1.3414482740152949E-2</v>
      </c>
      <c r="G781" s="408"/>
    </row>
    <row r="782" spans="2:7">
      <c r="B782" s="411" t="s">
        <v>388</v>
      </c>
      <c r="C782" s="415">
        <v>43384</v>
      </c>
      <c r="D782" s="412">
        <v>16800</v>
      </c>
      <c r="E782" s="417">
        <v>893189</v>
      </c>
      <c r="F782" s="425">
        <v>-2.2308821235095248E-2</v>
      </c>
      <c r="G782" s="408"/>
    </row>
    <row r="783" spans="2:7">
      <c r="B783" s="411" t="s">
        <v>388</v>
      </c>
      <c r="C783" s="415">
        <v>43385</v>
      </c>
      <c r="D783" s="412">
        <v>17142</v>
      </c>
      <c r="E783" s="417">
        <v>942004</v>
      </c>
      <c r="F783" s="425">
        <v>2.0152706067477884E-2</v>
      </c>
      <c r="G783" s="408"/>
    </row>
    <row r="784" spans="2:7">
      <c r="B784" s="411" t="s">
        <v>388</v>
      </c>
      <c r="C784" s="415">
        <v>43388</v>
      </c>
      <c r="D784" s="412">
        <v>16970</v>
      </c>
      <c r="E784" s="417">
        <v>623077</v>
      </c>
      <c r="F784" s="425">
        <v>-1.0084513230556078E-2</v>
      </c>
      <c r="G784" s="408"/>
    </row>
    <row r="785" spans="2:7">
      <c r="B785" s="411" t="s">
        <v>388</v>
      </c>
      <c r="C785" s="415">
        <v>43389</v>
      </c>
      <c r="D785" s="412">
        <v>17490</v>
      </c>
      <c r="E785" s="417">
        <v>847670</v>
      </c>
      <c r="F785" s="425">
        <v>3.0182209784375743E-2</v>
      </c>
      <c r="G785" s="408"/>
    </row>
    <row r="786" spans="2:7">
      <c r="B786" s="411" t="s">
        <v>388</v>
      </c>
      <c r="C786" s="415">
        <v>43390</v>
      </c>
      <c r="D786" s="412">
        <v>17257</v>
      </c>
      <c r="E786" s="417">
        <v>592968</v>
      </c>
      <c r="F786" s="425">
        <v>-1.3411430765068812E-2</v>
      </c>
      <c r="G786" s="408"/>
    </row>
    <row r="787" spans="2:7">
      <c r="B787" s="411" t="s">
        <v>388</v>
      </c>
      <c r="C787" s="415">
        <v>43391</v>
      </c>
      <c r="D787" s="412">
        <v>17689</v>
      </c>
      <c r="E787" s="417">
        <v>634469</v>
      </c>
      <c r="F787" s="425">
        <v>2.472511919592861E-2</v>
      </c>
      <c r="G787" s="408"/>
    </row>
    <row r="788" spans="2:7">
      <c r="B788" s="411" t="s">
        <v>388</v>
      </c>
      <c r="C788" s="415">
        <v>43392</v>
      </c>
      <c r="D788" s="412">
        <v>17307</v>
      </c>
      <c r="E788" s="417">
        <v>891580</v>
      </c>
      <c r="F788" s="425">
        <v>-2.183193351850846E-2</v>
      </c>
      <c r="G788" s="408"/>
    </row>
    <row r="789" spans="2:7">
      <c r="B789" s="411" t="s">
        <v>388</v>
      </c>
      <c r="C789" s="415">
        <v>43395</v>
      </c>
      <c r="D789" s="412">
        <v>17210</v>
      </c>
      <c r="E789" s="417">
        <v>436617</v>
      </c>
      <c r="F789" s="425">
        <v>-5.6204337194140103E-3</v>
      </c>
      <c r="G789" s="408"/>
    </row>
    <row r="790" spans="2:7">
      <c r="B790" s="411" t="s">
        <v>388</v>
      </c>
      <c r="C790" s="415">
        <v>43396</v>
      </c>
      <c r="D790" s="412">
        <v>17009</v>
      </c>
      <c r="E790" s="417">
        <v>759104</v>
      </c>
      <c r="F790" s="425">
        <v>-1.1747994491493358E-2</v>
      </c>
      <c r="G790" s="408"/>
    </row>
    <row r="791" spans="2:7">
      <c r="B791" s="411" t="s">
        <v>388</v>
      </c>
      <c r="C791" s="415">
        <v>43397</v>
      </c>
      <c r="D791" s="412">
        <v>17200</v>
      </c>
      <c r="E791" s="417">
        <v>669306</v>
      </c>
      <c r="F791" s="425">
        <v>1.1166768087452721E-2</v>
      </c>
      <c r="G791" s="408"/>
    </row>
    <row r="792" spans="2:7">
      <c r="B792" s="411" t="s">
        <v>388</v>
      </c>
      <c r="C792" s="415">
        <v>43398</v>
      </c>
      <c r="D792" s="412">
        <v>17492</v>
      </c>
      <c r="E792" s="417">
        <v>615826</v>
      </c>
      <c r="F792" s="425">
        <v>1.6834249731266737E-2</v>
      </c>
      <c r="G792" s="408"/>
    </row>
    <row r="793" spans="2:7">
      <c r="B793" s="411" t="s">
        <v>388</v>
      </c>
      <c r="C793" s="415">
        <v>43399</v>
      </c>
      <c r="D793" s="412">
        <v>17136</v>
      </c>
      <c r="E793" s="417">
        <v>642259</v>
      </c>
      <c r="F793" s="425">
        <v>-2.056211984528121E-2</v>
      </c>
      <c r="G793" s="408"/>
    </row>
    <row r="794" spans="2:7">
      <c r="B794" s="411" t="s">
        <v>388</v>
      </c>
      <c r="C794" s="415">
        <v>43402</v>
      </c>
      <c r="D794" s="412">
        <v>17124</v>
      </c>
      <c r="E794" s="417">
        <v>563871</v>
      </c>
      <c r="F794" s="425">
        <v>-7.0052542269327623E-4</v>
      </c>
      <c r="G794" s="408"/>
    </row>
    <row r="795" spans="2:7">
      <c r="B795" s="411" t="s">
        <v>388</v>
      </c>
      <c r="C795" s="415">
        <v>43403</v>
      </c>
      <c r="D795" s="412">
        <v>17247</v>
      </c>
      <c r="E795" s="417">
        <v>375361</v>
      </c>
      <c r="F795" s="425">
        <v>7.1572270265639207E-3</v>
      </c>
      <c r="G795" s="408"/>
    </row>
    <row r="796" spans="2:7">
      <c r="B796" s="411" t="s">
        <v>388</v>
      </c>
      <c r="C796" s="415">
        <v>43404</v>
      </c>
      <c r="D796" s="412">
        <v>17583</v>
      </c>
      <c r="E796" s="417">
        <v>1143092</v>
      </c>
      <c r="F796" s="425">
        <v>1.9294310853138246E-2</v>
      </c>
      <c r="G796" s="408"/>
    </row>
    <row r="797" spans="2:7">
      <c r="B797" s="411" t="s">
        <v>388</v>
      </c>
      <c r="C797" s="415">
        <v>43405</v>
      </c>
      <c r="D797" s="412">
        <v>17831</v>
      </c>
      <c r="E797" s="417">
        <v>658015</v>
      </c>
      <c r="F797" s="425">
        <v>1.4005989389507773E-2</v>
      </c>
      <c r="G797" s="408"/>
    </row>
    <row r="798" spans="2:7">
      <c r="B798" s="411" t="s">
        <v>388</v>
      </c>
      <c r="C798" s="415">
        <v>43406</v>
      </c>
      <c r="D798" s="412">
        <v>17762</v>
      </c>
      <c r="E798" s="417">
        <v>940141</v>
      </c>
      <c r="F798" s="425">
        <v>-3.8771717155972074E-3</v>
      </c>
      <c r="G798" s="408"/>
    </row>
    <row r="799" spans="2:7">
      <c r="B799" s="411" t="s">
        <v>388</v>
      </c>
      <c r="C799" s="415">
        <v>43409</v>
      </c>
      <c r="D799" s="412">
        <v>18369</v>
      </c>
      <c r="E799" s="417">
        <v>604393</v>
      </c>
      <c r="F799" s="425">
        <v>3.3603117327614757E-2</v>
      </c>
      <c r="G799" s="408"/>
    </row>
    <row r="800" spans="2:7">
      <c r="B800" s="411" t="s">
        <v>388</v>
      </c>
      <c r="C800" s="415">
        <v>43410</v>
      </c>
      <c r="D800" s="412">
        <v>18250</v>
      </c>
      <c r="E800" s="417">
        <v>756260</v>
      </c>
      <c r="F800" s="425">
        <v>-6.4993811354266667E-3</v>
      </c>
      <c r="G800" s="408"/>
    </row>
    <row r="801" spans="2:7">
      <c r="B801" s="411" t="s">
        <v>388</v>
      </c>
      <c r="C801" s="415">
        <v>43411</v>
      </c>
      <c r="D801" s="412">
        <v>18917</v>
      </c>
      <c r="E801" s="417">
        <v>620818</v>
      </c>
      <c r="F801" s="425">
        <v>3.5895908655025836E-2</v>
      </c>
      <c r="G801" s="408"/>
    </row>
    <row r="802" spans="2:7">
      <c r="B802" s="411" t="s">
        <v>388</v>
      </c>
      <c r="C802" s="415">
        <v>43412</v>
      </c>
      <c r="D802" s="412">
        <v>18421</v>
      </c>
      <c r="E802" s="417">
        <v>1222392</v>
      </c>
      <c r="F802" s="425">
        <v>-2.6569670513446143E-2</v>
      </c>
      <c r="G802" s="408"/>
    </row>
    <row r="803" spans="2:7">
      <c r="B803" s="411" t="s">
        <v>388</v>
      </c>
      <c r="C803" s="415">
        <v>43413</v>
      </c>
      <c r="D803" s="412">
        <v>18389</v>
      </c>
      <c r="E803" s="417">
        <v>620404</v>
      </c>
      <c r="F803" s="425">
        <v>-1.7386584113639931E-3</v>
      </c>
      <c r="G803" s="408"/>
    </row>
    <row r="804" spans="2:7">
      <c r="B804" s="411" t="s">
        <v>388</v>
      </c>
      <c r="C804" s="415">
        <v>43416</v>
      </c>
      <c r="D804" s="412">
        <v>17755</v>
      </c>
      <c r="E804" s="417">
        <v>503319</v>
      </c>
      <c r="F804" s="425">
        <v>-3.5085493363664927E-2</v>
      </c>
      <c r="G804" s="408"/>
    </row>
    <row r="805" spans="2:7">
      <c r="B805" s="411" t="s">
        <v>388</v>
      </c>
      <c r="C805" s="415">
        <v>43417</v>
      </c>
      <c r="D805" s="412">
        <v>17520</v>
      </c>
      <c r="E805" s="417">
        <v>669197</v>
      </c>
      <c r="F805" s="425">
        <v>-1.3324080886805787E-2</v>
      </c>
      <c r="G805" s="408"/>
    </row>
    <row r="806" spans="2:7">
      <c r="B806" s="411" t="s">
        <v>388</v>
      </c>
      <c r="C806" s="415">
        <v>43418</v>
      </c>
      <c r="D806" s="412">
        <v>17733</v>
      </c>
      <c r="E806" s="417">
        <v>986201</v>
      </c>
      <c r="F806" s="425">
        <v>1.2084225002096801E-2</v>
      </c>
      <c r="G806" s="408"/>
    </row>
    <row r="807" spans="2:7">
      <c r="B807" s="411" t="s">
        <v>388</v>
      </c>
      <c r="C807" s="415">
        <v>43419</v>
      </c>
      <c r="D807" s="412">
        <v>18200</v>
      </c>
      <c r="E807" s="417">
        <v>4473950</v>
      </c>
      <c r="F807" s="425">
        <v>2.5994283572407646E-2</v>
      </c>
      <c r="G807" s="408"/>
    </row>
    <row r="808" spans="2:7">
      <c r="B808" s="411" t="s">
        <v>388</v>
      </c>
      <c r="C808" s="415">
        <v>43420</v>
      </c>
      <c r="D808" s="412">
        <v>18000</v>
      </c>
      <c r="E808" s="417">
        <v>2745665</v>
      </c>
      <c r="F808" s="425">
        <v>-1.1049836186584935E-2</v>
      </c>
      <c r="G808" s="408"/>
    </row>
    <row r="809" spans="2:7">
      <c r="B809" s="411" t="s">
        <v>388</v>
      </c>
      <c r="C809" s="415">
        <v>43423</v>
      </c>
      <c r="D809" s="412">
        <v>17900</v>
      </c>
      <c r="E809" s="417">
        <v>1883074</v>
      </c>
      <c r="F809" s="425">
        <v>-5.5710450494553601E-3</v>
      </c>
      <c r="G809" s="408"/>
    </row>
    <row r="810" spans="2:7">
      <c r="B810" s="411" t="s">
        <v>388</v>
      </c>
      <c r="C810" s="415">
        <v>43424</v>
      </c>
      <c r="D810" s="412">
        <v>17745</v>
      </c>
      <c r="E810" s="417">
        <v>1146164</v>
      </c>
      <c r="F810" s="425">
        <v>-8.6969267482495533E-3</v>
      </c>
      <c r="G810" s="408"/>
    </row>
    <row r="811" spans="2:7">
      <c r="B811" s="411" t="s">
        <v>388</v>
      </c>
      <c r="C811" s="415">
        <v>43425</v>
      </c>
      <c r="D811" s="412">
        <v>17900</v>
      </c>
      <c r="E811" s="417">
        <v>1056074</v>
      </c>
      <c r="F811" s="425">
        <v>8.6969267482494388E-3</v>
      </c>
      <c r="G811" s="408"/>
    </row>
    <row r="812" spans="2:7">
      <c r="B812" s="411" t="s">
        <v>388</v>
      </c>
      <c r="C812" s="415">
        <v>43426</v>
      </c>
      <c r="D812" s="412">
        <v>17960</v>
      </c>
      <c r="E812" s="417">
        <v>960912</v>
      </c>
      <c r="F812" s="425">
        <v>3.346350027344173E-3</v>
      </c>
      <c r="G812" s="408"/>
    </row>
    <row r="813" spans="2:7">
      <c r="B813" s="411" t="s">
        <v>388</v>
      </c>
      <c r="C813" s="415">
        <v>43427</v>
      </c>
      <c r="D813" s="412">
        <v>18126</v>
      </c>
      <c r="E813" s="417">
        <v>1588137</v>
      </c>
      <c r="F813" s="425">
        <v>9.2003087585363161E-3</v>
      </c>
      <c r="G813" s="408"/>
    </row>
    <row r="814" spans="2:7">
      <c r="B814" s="411" t="s">
        <v>388</v>
      </c>
      <c r="C814" s="415">
        <v>43430</v>
      </c>
      <c r="D814" s="412">
        <v>18900</v>
      </c>
      <c r="E814" s="417">
        <v>1020418</v>
      </c>
      <c r="F814" s="425">
        <v>4.181455043300681E-2</v>
      </c>
      <c r="G814" s="408"/>
    </row>
    <row r="815" spans="2:7">
      <c r="B815" s="411" t="s">
        <v>388</v>
      </c>
      <c r="C815" s="415">
        <v>43431</v>
      </c>
      <c r="D815" s="412">
        <v>19676</v>
      </c>
      <c r="E815" s="417">
        <v>1022304</v>
      </c>
      <c r="F815" s="425">
        <v>4.023769686749664E-2</v>
      </c>
      <c r="G815" s="408"/>
    </row>
    <row r="816" spans="2:7">
      <c r="B816" s="411" t="s">
        <v>388</v>
      </c>
      <c r="C816" s="415">
        <v>43432</v>
      </c>
      <c r="D816" s="412">
        <v>19850</v>
      </c>
      <c r="E816" s="417">
        <v>897058</v>
      </c>
      <c r="F816" s="425">
        <v>8.8043882001060461E-3</v>
      </c>
      <c r="G816" s="408"/>
    </row>
    <row r="817" spans="2:7">
      <c r="B817" s="411" t="s">
        <v>388</v>
      </c>
      <c r="C817" s="415">
        <v>43433</v>
      </c>
      <c r="D817" s="412">
        <v>20036</v>
      </c>
      <c r="E817" s="417">
        <v>1147819</v>
      </c>
      <c r="F817" s="425">
        <v>9.326648362170991E-3</v>
      </c>
      <c r="G817" s="408"/>
    </row>
    <row r="818" spans="2:7">
      <c r="B818" s="411" t="s">
        <v>388</v>
      </c>
      <c r="C818" s="415">
        <v>43434</v>
      </c>
      <c r="D818" s="412">
        <v>19577</v>
      </c>
      <c r="E818" s="417">
        <v>963481</v>
      </c>
      <c r="F818" s="425">
        <v>-2.3175247700964817E-2</v>
      </c>
      <c r="G818" s="408"/>
    </row>
    <row r="819" spans="2:7">
      <c r="B819" s="411" t="s">
        <v>388</v>
      </c>
      <c r="C819" s="415">
        <v>43437</v>
      </c>
      <c r="D819" s="412">
        <v>19800</v>
      </c>
      <c r="E819" s="417">
        <v>765536</v>
      </c>
      <c r="F819" s="425">
        <v>1.1326529906083892E-2</v>
      </c>
      <c r="G819" s="408"/>
    </row>
    <row r="820" spans="2:7">
      <c r="B820" s="411" t="s">
        <v>388</v>
      </c>
      <c r="C820" s="415">
        <v>43438</v>
      </c>
      <c r="D820" s="412">
        <v>20149</v>
      </c>
      <c r="E820" s="417">
        <v>794479</v>
      </c>
      <c r="F820" s="425">
        <v>1.7472721669139598E-2</v>
      </c>
      <c r="G820" s="408"/>
    </row>
    <row r="821" spans="2:7">
      <c r="B821" s="411" t="s">
        <v>388</v>
      </c>
      <c r="C821" s="415">
        <v>43439</v>
      </c>
      <c r="D821" s="412">
        <v>19736</v>
      </c>
      <c r="E821" s="417">
        <v>533361</v>
      </c>
      <c r="F821" s="425">
        <v>-2.0710280142573503E-2</v>
      </c>
      <c r="G821" s="408"/>
    </row>
    <row r="822" spans="2:7">
      <c r="B822" s="411" t="s">
        <v>388</v>
      </c>
      <c r="C822" s="415">
        <v>43440</v>
      </c>
      <c r="D822" s="412">
        <v>19498</v>
      </c>
      <c r="E822" s="417">
        <v>627400</v>
      </c>
      <c r="F822" s="425">
        <v>-1.2132483019975828E-2</v>
      </c>
      <c r="G822" s="408"/>
    </row>
    <row r="823" spans="2:7">
      <c r="B823" s="411" t="s">
        <v>388</v>
      </c>
      <c r="C823" s="415">
        <v>43441</v>
      </c>
      <c r="D823" s="412">
        <v>19448</v>
      </c>
      <c r="E823" s="417">
        <v>510643</v>
      </c>
      <c r="F823" s="425">
        <v>-2.5676591932575557E-3</v>
      </c>
      <c r="G823" s="408"/>
    </row>
    <row r="824" spans="2:7">
      <c r="B824" s="411" t="s">
        <v>388</v>
      </c>
      <c r="C824" s="415">
        <v>43444</v>
      </c>
      <c r="D824" s="412">
        <v>19218</v>
      </c>
      <c r="E824" s="417">
        <v>701945</v>
      </c>
      <c r="F824" s="425">
        <v>-1.1896897158746183E-2</v>
      </c>
      <c r="G824" s="408"/>
    </row>
    <row r="825" spans="2:7">
      <c r="B825" s="411" t="s">
        <v>388</v>
      </c>
      <c r="C825" s="415">
        <v>43445</v>
      </c>
      <c r="D825" s="412">
        <v>19303</v>
      </c>
      <c r="E825" s="417">
        <v>904972</v>
      </c>
      <c r="F825" s="425">
        <v>4.4131843906621507E-3</v>
      </c>
      <c r="G825" s="408"/>
    </row>
    <row r="826" spans="2:7">
      <c r="B826" s="411" t="s">
        <v>388</v>
      </c>
      <c r="C826" s="415">
        <v>43446</v>
      </c>
      <c r="D826" s="412">
        <v>19398</v>
      </c>
      <c r="E826" s="417">
        <v>611469</v>
      </c>
      <c r="F826" s="425">
        <v>4.9094437256128973E-3</v>
      </c>
      <c r="G826" s="408"/>
    </row>
    <row r="827" spans="2:7">
      <c r="B827" s="411" t="s">
        <v>388</v>
      </c>
      <c r="C827" s="415">
        <v>43447</v>
      </c>
      <c r="D827" s="412">
        <v>19739</v>
      </c>
      <c r="E827" s="417">
        <v>700477</v>
      </c>
      <c r="F827" s="425">
        <v>1.7426406189499363E-2</v>
      </c>
      <c r="G827" s="408"/>
    </row>
    <row r="828" spans="2:7">
      <c r="B828" s="411" t="s">
        <v>388</v>
      </c>
      <c r="C828" s="415">
        <v>43448</v>
      </c>
      <c r="D828" s="412">
        <v>19714</v>
      </c>
      <c r="E828" s="417">
        <v>471018</v>
      </c>
      <c r="F828" s="425">
        <v>-1.2673309176032242E-3</v>
      </c>
      <c r="G828" s="408"/>
    </row>
    <row r="829" spans="2:7">
      <c r="B829" s="411" t="s">
        <v>388</v>
      </c>
      <c r="C829" s="415">
        <v>43452</v>
      </c>
      <c r="D829" s="412">
        <v>19826</v>
      </c>
      <c r="E829" s="417">
        <v>666903</v>
      </c>
      <c r="F829" s="425">
        <v>5.6651643674584008E-3</v>
      </c>
      <c r="G829" s="408"/>
    </row>
    <row r="830" spans="2:7">
      <c r="B830" s="411" t="s">
        <v>388</v>
      </c>
      <c r="C830" s="415">
        <v>43453</v>
      </c>
      <c r="D830" s="412">
        <v>20007</v>
      </c>
      <c r="E830" s="417">
        <v>767554</v>
      </c>
      <c r="F830" s="425">
        <v>9.0880047075731982E-3</v>
      </c>
      <c r="G830" s="408"/>
    </row>
    <row r="831" spans="2:7">
      <c r="B831" s="411" t="s">
        <v>388</v>
      </c>
      <c r="C831" s="415">
        <v>43454</v>
      </c>
      <c r="D831" s="412">
        <v>19999</v>
      </c>
      <c r="E831" s="417">
        <v>1215245</v>
      </c>
      <c r="F831" s="425">
        <v>-3.9994001432957582E-4</v>
      </c>
      <c r="G831" s="408"/>
    </row>
    <row r="832" spans="2:7">
      <c r="B832" s="411" t="s">
        <v>388</v>
      </c>
      <c r="C832" s="415">
        <v>43455</v>
      </c>
      <c r="D832" s="412">
        <v>19986</v>
      </c>
      <c r="E832" s="417">
        <v>972317</v>
      </c>
      <c r="F832" s="425">
        <v>-6.5024386435173992E-4</v>
      </c>
      <c r="G832" s="408"/>
    </row>
    <row r="833" spans="2:7">
      <c r="B833" s="411" t="s">
        <v>388</v>
      </c>
      <c r="C833" s="415">
        <v>43458</v>
      </c>
      <c r="D833" s="412">
        <v>20046</v>
      </c>
      <c r="E833" s="417">
        <v>139089</v>
      </c>
      <c r="F833" s="425">
        <v>2.997604163076911E-3</v>
      </c>
      <c r="G833" s="408"/>
    </row>
    <row r="834" spans="2:7">
      <c r="B834" s="411" t="s">
        <v>388</v>
      </c>
      <c r="C834" s="415">
        <v>43461</v>
      </c>
      <c r="D834" s="412">
        <v>19842</v>
      </c>
      <c r="E834" s="417">
        <v>232481</v>
      </c>
      <c r="F834" s="425">
        <v>-1.0228729374963715E-2</v>
      </c>
      <c r="G834" s="408"/>
    </row>
    <row r="835" spans="2:7">
      <c r="B835" s="411" t="s">
        <v>388</v>
      </c>
      <c r="C835" s="415">
        <v>43462</v>
      </c>
      <c r="D835" s="412">
        <v>20250</v>
      </c>
      <c r="E835" s="417">
        <v>350238</v>
      </c>
      <c r="F835" s="425">
        <v>2.0353890324837493E-2</v>
      </c>
      <c r="G835" s="408"/>
    </row>
    <row r="836" spans="2:7">
      <c r="B836" s="411" t="s">
        <v>388</v>
      </c>
      <c r="C836" s="415">
        <v>43465</v>
      </c>
      <c r="D836" s="412">
        <v>20750</v>
      </c>
      <c r="E836" s="417">
        <v>251239</v>
      </c>
      <c r="F836" s="425">
        <v>2.4391453124159263E-2</v>
      </c>
      <c r="G836" s="408"/>
    </row>
    <row r="837" spans="2:7">
      <c r="B837" s="411" t="s">
        <v>388</v>
      </c>
      <c r="C837" s="415">
        <v>43467</v>
      </c>
      <c r="D837" s="412">
        <v>20039</v>
      </c>
      <c r="E837" s="417">
        <v>324378</v>
      </c>
      <c r="F837" s="425">
        <v>-3.4865871904700453E-2</v>
      </c>
      <c r="G837" s="408"/>
    </row>
    <row r="838" spans="2:7">
      <c r="B838" s="411" t="s">
        <v>388</v>
      </c>
      <c r="C838" s="415">
        <v>43468</v>
      </c>
      <c r="D838" s="412">
        <v>20193</v>
      </c>
      <c r="E838" s="417">
        <v>352394</v>
      </c>
      <c r="F838" s="425">
        <v>7.6556349246789338E-3</v>
      </c>
      <c r="G838" s="408"/>
    </row>
    <row r="839" spans="2:7">
      <c r="B839" s="411" t="s">
        <v>388</v>
      </c>
      <c r="C839" s="415">
        <v>43469</v>
      </c>
      <c r="D839" s="412">
        <v>20400</v>
      </c>
      <c r="E839" s="417">
        <v>718161</v>
      </c>
      <c r="F839" s="425">
        <v>1.0198891153485037E-2</v>
      </c>
      <c r="G839" s="408"/>
    </row>
    <row r="840" spans="2:7">
      <c r="B840" s="411" t="s">
        <v>388</v>
      </c>
      <c r="C840" s="415">
        <v>43472</v>
      </c>
      <c r="D840" s="412">
        <v>20000</v>
      </c>
      <c r="E840" s="417">
        <v>320525</v>
      </c>
      <c r="F840" s="425">
        <v>-1.9802627296179754E-2</v>
      </c>
      <c r="G840" s="408"/>
    </row>
    <row r="841" spans="2:7">
      <c r="B841" s="411" t="s">
        <v>388</v>
      </c>
      <c r="C841" s="415">
        <v>43473</v>
      </c>
      <c r="D841" s="412">
        <v>19988</v>
      </c>
      <c r="E841" s="417">
        <v>207583</v>
      </c>
      <c r="F841" s="425">
        <v>-6.0018007203246058E-4</v>
      </c>
      <c r="G841" s="408"/>
    </row>
    <row r="842" spans="2:7">
      <c r="B842" s="411" t="s">
        <v>388</v>
      </c>
      <c r="C842" s="415">
        <v>43474</v>
      </c>
      <c r="D842" s="412">
        <v>20064</v>
      </c>
      <c r="E842" s="417">
        <v>971907</v>
      </c>
      <c r="F842" s="425">
        <v>3.7950709685515343E-3</v>
      </c>
      <c r="G842" s="408"/>
    </row>
    <row r="843" spans="2:7">
      <c r="B843" s="411" t="s">
        <v>388</v>
      </c>
      <c r="C843" s="415">
        <v>43475</v>
      </c>
      <c r="D843" s="412">
        <v>20225</v>
      </c>
      <c r="E843" s="417">
        <v>595387</v>
      </c>
      <c r="F843" s="425">
        <v>7.9922984940452024E-3</v>
      </c>
      <c r="G843" s="408"/>
    </row>
    <row r="844" spans="2:7">
      <c r="B844" s="411" t="s">
        <v>388</v>
      </c>
      <c r="C844" s="415">
        <v>43476</v>
      </c>
      <c r="D844" s="412">
        <v>20479</v>
      </c>
      <c r="E844" s="417">
        <v>598039</v>
      </c>
      <c r="F844" s="425">
        <v>1.2480507909619982E-2</v>
      </c>
      <c r="G844" s="408"/>
    </row>
    <row r="845" spans="2:7">
      <c r="B845" s="411" t="s">
        <v>388</v>
      </c>
      <c r="C845" s="415">
        <v>43479</v>
      </c>
      <c r="D845" s="412">
        <v>20746</v>
      </c>
      <c r="E845" s="417">
        <v>749412</v>
      </c>
      <c r="F845" s="425">
        <v>1.2953486155460917E-2</v>
      </c>
      <c r="G845" s="408"/>
    </row>
    <row r="846" spans="2:7">
      <c r="B846" s="411" t="s">
        <v>388</v>
      </c>
      <c r="C846" s="415">
        <v>43480</v>
      </c>
      <c r="D846" s="412">
        <v>20677</v>
      </c>
      <c r="E846" s="417">
        <v>617238</v>
      </c>
      <c r="F846" s="425">
        <v>-3.3314855910033568E-3</v>
      </c>
      <c r="G846" s="408"/>
    </row>
    <row r="847" spans="2:7">
      <c r="B847" s="411" t="s">
        <v>388</v>
      </c>
      <c r="C847" s="415">
        <v>43481</v>
      </c>
      <c r="D847" s="412">
        <v>21072</v>
      </c>
      <c r="E847" s="417">
        <v>530134</v>
      </c>
      <c r="F847" s="425">
        <v>1.8923173582292278E-2</v>
      </c>
      <c r="G847" s="408"/>
    </row>
    <row r="848" spans="2:7">
      <c r="B848" s="411" t="s">
        <v>388</v>
      </c>
      <c r="C848" s="415">
        <v>43482</v>
      </c>
      <c r="D848" s="412">
        <v>20150</v>
      </c>
      <c r="E848" s="417">
        <v>1017700</v>
      </c>
      <c r="F848" s="425">
        <v>-4.4740856608233244E-2</v>
      </c>
      <c r="G848" s="408"/>
    </row>
    <row r="849" spans="2:7">
      <c r="B849" s="411" t="s">
        <v>388</v>
      </c>
      <c r="C849" s="415">
        <v>43483</v>
      </c>
      <c r="D849" s="412">
        <v>20273</v>
      </c>
      <c r="E849" s="417">
        <v>519071</v>
      </c>
      <c r="F849" s="425">
        <v>6.0856630933647168E-3</v>
      </c>
      <c r="G849" s="408"/>
    </row>
    <row r="850" spans="2:7">
      <c r="B850" s="411" t="s">
        <v>388</v>
      </c>
      <c r="C850" s="415">
        <v>43486</v>
      </c>
      <c r="D850" s="412">
        <v>20163</v>
      </c>
      <c r="E850" s="417">
        <v>439055</v>
      </c>
      <c r="F850" s="425">
        <v>-5.4407098301182252E-3</v>
      </c>
      <c r="G850" s="408"/>
    </row>
    <row r="851" spans="2:7">
      <c r="B851" s="411" t="s">
        <v>388</v>
      </c>
      <c r="C851" s="415">
        <v>43487</v>
      </c>
      <c r="D851" s="412">
        <v>20139</v>
      </c>
      <c r="E851" s="417">
        <v>594821</v>
      </c>
      <c r="F851" s="425">
        <v>-1.1910080312143082E-3</v>
      </c>
      <c r="G851" s="408"/>
    </row>
    <row r="852" spans="2:7">
      <c r="B852" s="411" t="s">
        <v>388</v>
      </c>
      <c r="C852" s="415">
        <v>43488</v>
      </c>
      <c r="D852" s="412">
        <v>20551</v>
      </c>
      <c r="E852" s="417">
        <v>658878</v>
      </c>
      <c r="F852" s="425">
        <v>2.0251367934059007E-2</v>
      </c>
      <c r="G852" s="408"/>
    </row>
    <row r="853" spans="2:7">
      <c r="B853" s="411" t="s">
        <v>388</v>
      </c>
      <c r="C853" s="415">
        <v>43489</v>
      </c>
      <c r="D853" s="412">
        <v>20799</v>
      </c>
      <c r="E853" s="417">
        <v>548881</v>
      </c>
      <c r="F853" s="425">
        <v>1.1995307069679806E-2</v>
      </c>
      <c r="G853" s="408"/>
    </row>
    <row r="854" spans="2:7">
      <c r="B854" s="411" t="s">
        <v>388</v>
      </c>
      <c r="C854" s="415">
        <v>43490</v>
      </c>
      <c r="D854" s="412">
        <v>20025</v>
      </c>
      <c r="E854" s="417">
        <v>906739</v>
      </c>
      <c r="F854" s="425">
        <v>-3.7923415674040187E-2</v>
      </c>
      <c r="G854" s="408"/>
    </row>
    <row r="855" spans="2:7">
      <c r="B855" s="411" t="s">
        <v>388</v>
      </c>
      <c r="C855" s="415">
        <v>43493</v>
      </c>
      <c r="D855" s="412">
        <v>20000</v>
      </c>
      <c r="E855" s="417">
        <v>619293</v>
      </c>
      <c r="F855" s="425">
        <v>-1.2492194004319278E-3</v>
      </c>
      <c r="G855" s="408"/>
    </row>
    <row r="856" spans="2:7">
      <c r="B856" s="411" t="s">
        <v>388</v>
      </c>
      <c r="C856" s="415">
        <v>43494</v>
      </c>
      <c r="D856" s="412">
        <v>20078</v>
      </c>
      <c r="E856" s="417">
        <v>656553</v>
      </c>
      <c r="F856" s="425">
        <v>3.8924147153438535E-3</v>
      </c>
      <c r="G856" s="408"/>
    </row>
    <row r="857" spans="2:7">
      <c r="B857" s="411" t="s">
        <v>388</v>
      </c>
      <c r="C857" s="415">
        <v>43495</v>
      </c>
      <c r="D857" s="412">
        <v>19511</v>
      </c>
      <c r="E857" s="417">
        <v>783322</v>
      </c>
      <c r="F857" s="425">
        <v>-2.8646279181573198E-2</v>
      </c>
      <c r="G857" s="408"/>
    </row>
    <row r="858" spans="2:7">
      <c r="B858" s="411" t="s">
        <v>388</v>
      </c>
      <c r="C858" s="415">
        <v>43496</v>
      </c>
      <c r="D858" s="412">
        <v>19940</v>
      </c>
      <c r="E858" s="417">
        <v>1118921</v>
      </c>
      <c r="F858" s="425">
        <v>2.1749355445930547E-2</v>
      </c>
      <c r="G858" s="408"/>
    </row>
    <row r="859" spans="2:7">
      <c r="B859" s="411" t="s">
        <v>388</v>
      </c>
      <c r="C859" s="415">
        <v>43497</v>
      </c>
      <c r="D859" s="412">
        <v>19867</v>
      </c>
      <c r="E859" s="417">
        <v>466052</v>
      </c>
      <c r="F859" s="425">
        <v>-3.6677007477658018E-3</v>
      </c>
      <c r="G859" s="408"/>
    </row>
    <row r="860" spans="2:7">
      <c r="B860" s="411" t="s">
        <v>388</v>
      </c>
      <c r="C860" s="415">
        <v>43500</v>
      </c>
      <c r="D860" s="412">
        <v>19120</v>
      </c>
      <c r="E860" s="417">
        <v>477589</v>
      </c>
      <c r="F860" s="425">
        <v>-3.8325156162671244E-2</v>
      </c>
      <c r="G860" s="408"/>
    </row>
    <row r="861" spans="2:7">
      <c r="B861" s="411" t="s">
        <v>388</v>
      </c>
      <c r="C861" s="415">
        <v>43501</v>
      </c>
      <c r="D861" s="412">
        <v>19435</v>
      </c>
      <c r="E861" s="417">
        <v>451337</v>
      </c>
      <c r="F861" s="425">
        <v>1.6340656680931303E-2</v>
      </c>
      <c r="G861" s="408"/>
    </row>
    <row r="862" spans="2:7">
      <c r="B862" s="411" t="s">
        <v>388</v>
      </c>
      <c r="C862" s="415">
        <v>43502</v>
      </c>
      <c r="D862" s="412">
        <v>19417</v>
      </c>
      <c r="E862" s="417">
        <v>573164</v>
      </c>
      <c r="F862" s="425">
        <v>-9.2659329186984413E-4</v>
      </c>
      <c r="G862" s="408"/>
    </row>
    <row r="863" spans="2:7">
      <c r="B863" s="411" t="s">
        <v>388</v>
      </c>
      <c r="C863" s="415">
        <v>43503</v>
      </c>
      <c r="D863" s="412">
        <v>18952</v>
      </c>
      <c r="E863" s="417">
        <v>454758</v>
      </c>
      <c r="F863" s="425">
        <v>-2.4239504155832387E-2</v>
      </c>
      <c r="G863" s="408"/>
    </row>
    <row r="864" spans="2:7">
      <c r="B864" s="411" t="s">
        <v>388</v>
      </c>
      <c r="C864" s="415">
        <v>43504</v>
      </c>
      <c r="D864" s="412">
        <v>19216</v>
      </c>
      <c r="E864" s="417">
        <v>998572</v>
      </c>
      <c r="F864" s="425">
        <v>1.3833798481143354E-2</v>
      </c>
      <c r="G864" s="408"/>
    </row>
    <row r="865" spans="2:7">
      <c r="B865" s="411" t="s">
        <v>388</v>
      </c>
      <c r="C865" s="415">
        <v>43507</v>
      </c>
      <c r="D865" s="412">
        <v>19021</v>
      </c>
      <c r="E865" s="417">
        <v>552656</v>
      </c>
      <c r="F865" s="425">
        <v>-1.019963336692379E-2</v>
      </c>
      <c r="G865" s="408"/>
    </row>
    <row r="866" spans="2:7">
      <c r="B866" s="411" t="s">
        <v>388</v>
      </c>
      <c r="C866" s="415">
        <v>43508</v>
      </c>
      <c r="D866" s="412">
        <v>19978</v>
      </c>
      <c r="E866" s="417">
        <v>1142335</v>
      </c>
      <c r="F866" s="425">
        <v>4.9088036139253943E-2</v>
      </c>
      <c r="G866" s="408"/>
    </row>
    <row r="867" spans="2:7">
      <c r="B867" s="411" t="s">
        <v>388</v>
      </c>
      <c r="C867" s="415">
        <v>43509</v>
      </c>
      <c r="D867" s="412">
        <v>20500</v>
      </c>
      <c r="E867" s="417">
        <v>1641381</v>
      </c>
      <c r="F867" s="425">
        <v>2.5793218034404545E-2</v>
      </c>
      <c r="G867" s="408"/>
    </row>
    <row r="868" spans="2:7">
      <c r="B868" s="411" t="s">
        <v>388</v>
      </c>
      <c r="C868" s="415">
        <v>43510</v>
      </c>
      <c r="D868" s="412">
        <v>20235</v>
      </c>
      <c r="E868" s="417">
        <v>826571</v>
      </c>
      <c r="F868" s="425">
        <v>-1.3011107816533611E-2</v>
      </c>
      <c r="G868" s="408"/>
    </row>
    <row r="869" spans="2:7">
      <c r="B869" s="411" t="s">
        <v>388</v>
      </c>
      <c r="C869" s="415">
        <v>43511</v>
      </c>
      <c r="D869" s="412">
        <v>20338</v>
      </c>
      <c r="E869" s="417">
        <v>508251</v>
      </c>
      <c r="F869" s="425">
        <v>5.0772790411168171E-3</v>
      </c>
      <c r="G869" s="408"/>
    </row>
    <row r="870" spans="2:7">
      <c r="B870" s="411" t="s">
        <v>388</v>
      </c>
      <c r="C870" s="415">
        <v>43514</v>
      </c>
      <c r="D870" s="412">
        <v>20382</v>
      </c>
      <c r="E870" s="417">
        <v>1292425</v>
      </c>
      <c r="F870" s="425">
        <v>2.1611010375562675E-3</v>
      </c>
      <c r="G870" s="408"/>
    </row>
    <row r="871" spans="2:7">
      <c r="B871" s="411" t="s">
        <v>388</v>
      </c>
      <c r="C871" s="415">
        <v>43515</v>
      </c>
      <c r="D871" s="412">
        <v>19958</v>
      </c>
      <c r="E871" s="417">
        <v>304305</v>
      </c>
      <c r="F871" s="425">
        <v>-2.1022092944381097E-2</v>
      </c>
      <c r="G871" s="408"/>
    </row>
    <row r="872" spans="2:7">
      <c r="B872" s="411" t="s">
        <v>388</v>
      </c>
      <c r="C872" s="415">
        <v>43516</v>
      </c>
      <c r="D872" s="412">
        <v>20000</v>
      </c>
      <c r="E872" s="417">
        <v>612055</v>
      </c>
      <c r="F872" s="425">
        <v>2.1022080918702809E-3</v>
      </c>
      <c r="G872" s="408"/>
    </row>
    <row r="873" spans="2:7">
      <c r="B873" s="411" t="s">
        <v>388</v>
      </c>
      <c r="C873" s="415">
        <v>43517</v>
      </c>
      <c r="D873" s="412">
        <v>19679</v>
      </c>
      <c r="E873" s="417">
        <v>342915</v>
      </c>
      <c r="F873" s="425">
        <v>-1.6180196229038352E-2</v>
      </c>
      <c r="G873" s="408"/>
    </row>
    <row r="874" spans="2:7">
      <c r="B874" s="411" t="s">
        <v>388</v>
      </c>
      <c r="C874" s="415">
        <v>43518</v>
      </c>
      <c r="D874" s="412">
        <v>19862</v>
      </c>
      <c r="E874" s="417">
        <v>389715</v>
      </c>
      <c r="F874" s="425">
        <v>9.2562811562142324E-3</v>
      </c>
      <c r="G874" s="408"/>
    </row>
    <row r="875" spans="2:7">
      <c r="B875" s="411" t="s">
        <v>388</v>
      </c>
      <c r="C875" s="415">
        <v>43521</v>
      </c>
      <c r="D875" s="412">
        <v>19968</v>
      </c>
      <c r="E875" s="417">
        <v>589119</v>
      </c>
      <c r="F875" s="425">
        <v>5.3226337058504504E-3</v>
      </c>
      <c r="G875" s="408"/>
    </row>
    <row r="876" spans="2:7">
      <c r="B876" s="411" t="s">
        <v>388</v>
      </c>
      <c r="C876" s="415">
        <v>43522</v>
      </c>
      <c r="D876" s="412">
        <v>20054</v>
      </c>
      <c r="E876" s="417">
        <v>719871</v>
      </c>
      <c r="F876" s="425">
        <v>4.2976429147163851E-3</v>
      </c>
      <c r="G876" s="408"/>
    </row>
    <row r="877" spans="2:7">
      <c r="B877" s="411" t="s">
        <v>388</v>
      </c>
      <c r="C877" s="415">
        <v>43523</v>
      </c>
      <c r="D877" s="412">
        <v>20133</v>
      </c>
      <c r="E877" s="417">
        <v>364148</v>
      </c>
      <c r="F877" s="425">
        <v>3.9316247424782749E-3</v>
      </c>
      <c r="G877" s="408"/>
    </row>
    <row r="878" spans="2:7">
      <c r="B878" s="411" t="s">
        <v>388</v>
      </c>
      <c r="C878" s="415">
        <v>43524</v>
      </c>
      <c r="D878" s="412">
        <v>19970</v>
      </c>
      <c r="E878" s="417">
        <v>834757</v>
      </c>
      <c r="F878" s="425">
        <v>-8.1291124164880393E-3</v>
      </c>
      <c r="G878" s="408"/>
    </row>
    <row r="879" spans="2:7">
      <c r="B879" s="411" t="s">
        <v>388</v>
      </c>
      <c r="C879" s="415">
        <v>43525</v>
      </c>
      <c r="D879" s="412">
        <v>19867</v>
      </c>
      <c r="E879" s="417">
        <v>307684</v>
      </c>
      <c r="F879" s="425">
        <v>-5.1710836417973903E-3</v>
      </c>
      <c r="G879" s="408"/>
    </row>
    <row r="880" spans="2:7">
      <c r="B880" s="411" t="s">
        <v>388</v>
      </c>
      <c r="C880" s="415">
        <v>43528</v>
      </c>
      <c r="D880" s="412">
        <v>20132</v>
      </c>
      <c r="E880" s="417">
        <v>502275</v>
      </c>
      <c r="F880" s="425">
        <v>1.3250525128187123E-2</v>
      </c>
      <c r="G880" s="408"/>
    </row>
    <row r="881" spans="2:7">
      <c r="B881" s="411" t="s">
        <v>388</v>
      </c>
      <c r="C881" s="415">
        <v>43529</v>
      </c>
      <c r="D881" s="412">
        <v>20246</v>
      </c>
      <c r="E881" s="417">
        <v>339588</v>
      </c>
      <c r="F881" s="425">
        <v>5.64665426244632E-3</v>
      </c>
      <c r="G881" s="408"/>
    </row>
    <row r="882" spans="2:7">
      <c r="B882" s="411" t="s">
        <v>388</v>
      </c>
      <c r="C882" s="415">
        <v>43530</v>
      </c>
      <c r="D882" s="412">
        <v>20049</v>
      </c>
      <c r="E882" s="417">
        <v>414514</v>
      </c>
      <c r="F882" s="425">
        <v>-9.7779659795171562E-3</v>
      </c>
      <c r="G882" s="408"/>
    </row>
    <row r="883" spans="2:7">
      <c r="B883" s="411" t="s">
        <v>388</v>
      </c>
      <c r="C883" s="415">
        <v>43531</v>
      </c>
      <c r="D883" s="412">
        <v>19970</v>
      </c>
      <c r="E883" s="417">
        <v>455074</v>
      </c>
      <c r="F883" s="425">
        <v>-3.9481297693188836E-3</v>
      </c>
      <c r="G883" s="408"/>
    </row>
    <row r="884" spans="2:7">
      <c r="B884" s="411" t="s">
        <v>388</v>
      </c>
      <c r="C884" s="415">
        <v>43532</v>
      </c>
      <c r="D884" s="412">
        <v>20095</v>
      </c>
      <c r="E884" s="417">
        <v>670521</v>
      </c>
      <c r="F884" s="425">
        <v>6.2398804734404793E-3</v>
      </c>
      <c r="G884" s="408"/>
    </row>
    <row r="885" spans="2:7">
      <c r="B885" s="411" t="s">
        <v>388</v>
      </c>
      <c r="C885" s="415">
        <v>43535</v>
      </c>
      <c r="D885" s="412">
        <v>20047</v>
      </c>
      <c r="E885" s="417">
        <v>272889</v>
      </c>
      <c r="F885" s="425">
        <v>-2.3915112788252622E-3</v>
      </c>
      <c r="G885" s="408"/>
    </row>
    <row r="886" spans="2:7">
      <c r="B886" s="411" t="s">
        <v>388</v>
      </c>
      <c r="C886" s="415">
        <v>43536</v>
      </c>
      <c r="D886" s="412">
        <v>20286</v>
      </c>
      <c r="E886" s="417">
        <v>360252</v>
      </c>
      <c r="F886" s="425">
        <v>1.1851476331464883E-2</v>
      </c>
      <c r="G886" s="408"/>
    </row>
    <row r="887" spans="2:7">
      <c r="B887" s="411" t="s">
        <v>388</v>
      </c>
      <c r="C887" s="415">
        <v>43537</v>
      </c>
      <c r="D887" s="412">
        <v>19922</v>
      </c>
      <c r="E887" s="417">
        <v>411602</v>
      </c>
      <c r="F887" s="425">
        <v>-1.8106344230829994E-2</v>
      </c>
      <c r="G887" s="408"/>
    </row>
    <row r="888" spans="2:7">
      <c r="B888" s="411" t="s">
        <v>388</v>
      </c>
      <c r="C888" s="415">
        <v>43538</v>
      </c>
      <c r="D888" s="412">
        <v>19600</v>
      </c>
      <c r="E888" s="417">
        <v>403683</v>
      </c>
      <c r="F888" s="425">
        <v>-1.6295082486502337E-2</v>
      </c>
      <c r="G888" s="408"/>
    </row>
    <row r="889" spans="2:7">
      <c r="B889" s="411" t="s">
        <v>388</v>
      </c>
      <c r="C889" s="415">
        <v>43539</v>
      </c>
      <c r="D889" s="412">
        <v>19500</v>
      </c>
      <c r="E889" s="417">
        <v>1932413</v>
      </c>
      <c r="F889" s="425">
        <v>-5.1151006667703768E-3</v>
      </c>
      <c r="G889" s="408"/>
    </row>
    <row r="890" spans="2:7">
      <c r="B890" s="411" t="s">
        <v>388</v>
      </c>
      <c r="C890" s="415">
        <v>43542</v>
      </c>
      <c r="D890" s="412">
        <v>19800</v>
      </c>
      <c r="E890" s="417">
        <v>1029768</v>
      </c>
      <c r="F890" s="425">
        <v>1.5267472130788381E-2</v>
      </c>
      <c r="G890" s="408"/>
    </row>
    <row r="891" spans="2:7">
      <c r="B891" s="411" t="s">
        <v>388</v>
      </c>
      <c r="C891" s="415">
        <v>43543</v>
      </c>
      <c r="D891" s="412">
        <v>19543</v>
      </c>
      <c r="E891" s="417">
        <v>960986</v>
      </c>
      <c r="F891" s="425">
        <v>-1.3064771652549795E-2</v>
      </c>
      <c r="G891" s="408"/>
    </row>
    <row r="892" spans="2:7">
      <c r="B892" s="411" t="s">
        <v>388</v>
      </c>
      <c r="C892" s="415">
        <v>43544</v>
      </c>
      <c r="D892" s="412">
        <v>18894</v>
      </c>
      <c r="E892" s="417">
        <v>2166175</v>
      </c>
      <c r="F892" s="425">
        <v>-3.3772754700997137E-2</v>
      </c>
      <c r="G892" s="408"/>
    </row>
    <row r="893" spans="2:7">
      <c r="B893" s="411" t="s">
        <v>388</v>
      </c>
      <c r="C893" s="415">
        <v>43546</v>
      </c>
      <c r="D893" s="412">
        <v>18787</v>
      </c>
      <c r="E893" s="417">
        <v>551655</v>
      </c>
      <c r="F893" s="425">
        <v>-5.6792700617806641E-3</v>
      </c>
      <c r="G893" s="408"/>
    </row>
    <row r="894" spans="2:7">
      <c r="B894" s="411" t="s">
        <v>388</v>
      </c>
      <c r="C894" s="415">
        <v>43549</v>
      </c>
      <c r="D894" s="412">
        <v>18500</v>
      </c>
      <c r="E894" s="417">
        <v>389756</v>
      </c>
      <c r="F894" s="425">
        <v>-1.5394409200882746E-2</v>
      </c>
      <c r="G894" s="408"/>
    </row>
    <row r="895" spans="2:7">
      <c r="B895" s="411" t="s">
        <v>388</v>
      </c>
      <c r="C895" s="415">
        <v>43550</v>
      </c>
      <c r="D895" s="412">
        <v>18744</v>
      </c>
      <c r="E895" s="417">
        <v>472639</v>
      </c>
      <c r="F895" s="425">
        <v>1.3102969121215309E-2</v>
      </c>
      <c r="G895" s="408"/>
    </row>
    <row r="896" spans="2:7">
      <c r="B896" s="411" t="s">
        <v>388</v>
      </c>
      <c r="C896" s="415">
        <v>43551</v>
      </c>
      <c r="D896" s="412">
        <v>18875</v>
      </c>
      <c r="E896" s="417">
        <v>537975</v>
      </c>
      <c r="F896" s="425">
        <v>6.9645939295937698E-3</v>
      </c>
      <c r="G896" s="408"/>
    </row>
    <row r="897" spans="2:7">
      <c r="B897" s="411" t="s">
        <v>388</v>
      </c>
      <c r="C897" s="415">
        <v>43552</v>
      </c>
      <c r="D897" s="412">
        <v>18652</v>
      </c>
      <c r="E897" s="417">
        <v>312540</v>
      </c>
      <c r="F897" s="425">
        <v>-1.1884916189013923E-2</v>
      </c>
      <c r="G897" s="408"/>
    </row>
    <row r="898" spans="2:7">
      <c r="B898" s="411" t="s">
        <v>388</v>
      </c>
      <c r="C898" s="415">
        <v>43553</v>
      </c>
      <c r="D898" s="412">
        <v>19188</v>
      </c>
      <c r="E898" s="417">
        <v>706521</v>
      </c>
      <c r="F898" s="425">
        <v>2.8331704693742965E-2</v>
      </c>
      <c r="G898" s="408"/>
    </row>
    <row r="899" spans="2:7">
      <c r="B899" s="411" t="s">
        <v>388</v>
      </c>
      <c r="C899" s="415">
        <v>43556</v>
      </c>
      <c r="D899" s="412">
        <v>19571</v>
      </c>
      <c r="E899" s="417">
        <v>359111</v>
      </c>
      <c r="F899" s="425">
        <v>1.9763795083014537E-2</v>
      </c>
      <c r="G899" s="408"/>
    </row>
    <row r="900" spans="2:7">
      <c r="B900" s="411" t="s">
        <v>388</v>
      </c>
      <c r="C900" s="415">
        <v>43557</v>
      </c>
      <c r="D900" s="412">
        <v>19287</v>
      </c>
      <c r="E900" s="417">
        <v>522942</v>
      </c>
      <c r="F900" s="425">
        <v>-1.4617584895172744E-2</v>
      </c>
      <c r="G900" s="408"/>
    </row>
    <row r="901" spans="2:7">
      <c r="B901" s="411" t="s">
        <v>388</v>
      </c>
      <c r="C901" s="415">
        <v>43558</v>
      </c>
      <c r="D901" s="412">
        <v>19287</v>
      </c>
      <c r="E901" s="417">
        <v>569505</v>
      </c>
      <c r="F901" s="425">
        <v>0</v>
      </c>
      <c r="G901" s="408"/>
    </row>
    <row r="902" spans="2:7">
      <c r="B902" s="411" t="s">
        <v>388</v>
      </c>
      <c r="C902" s="415">
        <v>43559</v>
      </c>
      <c r="D902" s="412">
        <v>18969</v>
      </c>
      <c r="E902" s="417">
        <v>362338</v>
      </c>
      <c r="F902" s="425">
        <v>-1.6625226083073458E-2</v>
      </c>
      <c r="G902" s="408"/>
    </row>
    <row r="903" spans="2:7">
      <c r="B903" s="411" t="s">
        <v>388</v>
      </c>
      <c r="C903" s="415">
        <v>43560</v>
      </c>
      <c r="D903" s="412">
        <v>19141</v>
      </c>
      <c r="E903" s="417">
        <v>370456</v>
      </c>
      <c r="F903" s="425">
        <v>9.0265635193867953E-3</v>
      </c>
      <c r="G903" s="408"/>
    </row>
    <row r="904" spans="2:7">
      <c r="B904" s="411" t="s">
        <v>388</v>
      </c>
      <c r="C904" s="415">
        <v>43563</v>
      </c>
      <c r="D904" s="412">
        <v>19035</v>
      </c>
      <c r="E904" s="417">
        <v>339411</v>
      </c>
      <c r="F904" s="425">
        <v>-5.5532414295120089E-3</v>
      </c>
      <c r="G904" s="408"/>
    </row>
    <row r="905" spans="2:7">
      <c r="B905" s="411" t="s">
        <v>388</v>
      </c>
      <c r="C905" s="415">
        <v>43564</v>
      </c>
      <c r="D905" s="412">
        <v>19285</v>
      </c>
      <c r="E905" s="417">
        <v>554126</v>
      </c>
      <c r="F905" s="425">
        <v>1.3048201825730386E-2</v>
      </c>
      <c r="G905" s="408"/>
    </row>
    <row r="906" spans="2:7">
      <c r="B906" s="411" t="s">
        <v>388</v>
      </c>
      <c r="C906" s="415">
        <v>43565</v>
      </c>
      <c r="D906" s="412">
        <v>20100</v>
      </c>
      <c r="E906" s="417">
        <v>897385</v>
      </c>
      <c r="F906" s="425">
        <v>4.1392223404838877E-2</v>
      </c>
      <c r="G906" s="408"/>
    </row>
    <row r="907" spans="2:7">
      <c r="B907" s="411" t="s">
        <v>388</v>
      </c>
      <c r="C907" s="415">
        <v>43566</v>
      </c>
      <c r="D907" s="412">
        <v>19837</v>
      </c>
      <c r="E907" s="417">
        <v>745097</v>
      </c>
      <c r="F907" s="425">
        <v>-1.3170934319058566E-2</v>
      </c>
      <c r="G907" s="408"/>
    </row>
    <row r="908" spans="2:7">
      <c r="B908" s="411" t="s">
        <v>388</v>
      </c>
      <c r="C908" s="415">
        <v>43567</v>
      </c>
      <c r="D908" s="412">
        <v>20173</v>
      </c>
      <c r="E908" s="417">
        <v>470096</v>
      </c>
      <c r="F908" s="425">
        <v>1.6796195906242078E-2</v>
      </c>
      <c r="G908" s="408"/>
    </row>
    <row r="909" spans="2:7">
      <c r="B909" s="411" t="s">
        <v>388</v>
      </c>
      <c r="C909" s="415">
        <v>43570</v>
      </c>
      <c r="D909" s="412">
        <v>20214</v>
      </c>
      <c r="E909" s="417">
        <v>846729</v>
      </c>
      <c r="F909" s="425">
        <v>2.0303570002571658E-3</v>
      </c>
      <c r="G909" s="408"/>
    </row>
    <row r="910" spans="2:7">
      <c r="B910" s="411" t="s">
        <v>388</v>
      </c>
      <c r="C910" s="415">
        <v>43571</v>
      </c>
      <c r="D910" s="412">
        <v>20523</v>
      </c>
      <c r="E910" s="417">
        <v>794943</v>
      </c>
      <c r="F910" s="425">
        <v>1.5170774794499855E-2</v>
      </c>
      <c r="G910" s="408"/>
    </row>
    <row r="911" spans="2:7">
      <c r="B911" s="411" t="s">
        <v>388</v>
      </c>
      <c r="C911" s="415">
        <v>43572</v>
      </c>
      <c r="D911" s="412">
        <v>20550</v>
      </c>
      <c r="E911" s="417">
        <v>308502</v>
      </c>
      <c r="F911" s="425">
        <v>1.3147324952728612E-3</v>
      </c>
      <c r="G911" s="408"/>
    </row>
    <row r="912" spans="2:7">
      <c r="B912" s="411" t="s">
        <v>388</v>
      </c>
      <c r="C912" s="415">
        <v>43573</v>
      </c>
      <c r="D912" s="412">
        <v>20266</v>
      </c>
      <c r="E912" s="417">
        <v>392496</v>
      </c>
      <c r="F912" s="425">
        <v>-1.391633591611776E-2</v>
      </c>
      <c r="G912" s="408"/>
    </row>
    <row r="913" spans="2:7">
      <c r="B913" s="411" t="s">
        <v>388</v>
      </c>
      <c r="C913" s="415">
        <v>43578</v>
      </c>
      <c r="D913" s="412">
        <v>19800</v>
      </c>
      <c r="E913" s="417">
        <v>559146</v>
      </c>
      <c r="F913" s="425">
        <v>-2.3262667325636276E-2</v>
      </c>
      <c r="G913" s="408"/>
    </row>
    <row r="914" spans="2:7">
      <c r="B914" s="411" t="s">
        <v>388</v>
      </c>
      <c r="C914" s="415">
        <v>43579</v>
      </c>
      <c r="D914" s="412">
        <v>19255</v>
      </c>
      <c r="E914" s="417">
        <v>923390</v>
      </c>
      <c r="F914" s="425">
        <v>-2.7911170433617322E-2</v>
      </c>
      <c r="G914" s="408"/>
    </row>
    <row r="915" spans="2:7">
      <c r="B915" s="411" t="s">
        <v>388</v>
      </c>
      <c r="C915" s="415">
        <v>43580</v>
      </c>
      <c r="D915" s="412">
        <v>19350</v>
      </c>
      <c r="E915" s="417">
        <v>721195</v>
      </c>
      <c r="F915" s="425">
        <v>4.9216522089186709E-3</v>
      </c>
      <c r="G915" s="408"/>
    </row>
    <row r="916" spans="2:7">
      <c r="B916" s="411" t="s">
        <v>388</v>
      </c>
      <c r="C916" s="415">
        <v>43581</v>
      </c>
      <c r="D916" s="412">
        <v>19449</v>
      </c>
      <c r="E916" s="417">
        <v>486202</v>
      </c>
      <c r="F916" s="425">
        <v>5.1032353851774657E-3</v>
      </c>
      <c r="G916" s="408"/>
    </row>
    <row r="917" spans="2:7">
      <c r="B917" s="411" t="s">
        <v>388</v>
      </c>
      <c r="C917" s="415">
        <v>43584</v>
      </c>
      <c r="D917" s="412">
        <v>19461</v>
      </c>
      <c r="E917" s="417">
        <v>532282</v>
      </c>
      <c r="F917" s="425">
        <v>6.1680803805974822E-4</v>
      </c>
      <c r="G917" s="408"/>
    </row>
    <row r="918" spans="2:7">
      <c r="B918" s="411" t="s">
        <v>388</v>
      </c>
      <c r="C918" s="415">
        <v>43585</v>
      </c>
      <c r="D918" s="412">
        <v>19400</v>
      </c>
      <c r="E918" s="417">
        <v>991171</v>
      </c>
      <c r="F918" s="425">
        <v>-3.1393968297455561E-3</v>
      </c>
      <c r="G918" s="408"/>
    </row>
    <row r="919" spans="2:7">
      <c r="B919" s="411" t="s">
        <v>388</v>
      </c>
      <c r="C919" s="415">
        <v>43587</v>
      </c>
      <c r="D919" s="412">
        <v>19418</v>
      </c>
      <c r="E919" s="417">
        <v>551098</v>
      </c>
      <c r="F919" s="425">
        <v>9.274048786707895E-4</v>
      </c>
      <c r="G919" s="408"/>
    </row>
    <row r="920" spans="2:7">
      <c r="B920" s="411" t="s">
        <v>388</v>
      </c>
      <c r="C920" s="415">
        <v>43588</v>
      </c>
      <c r="D920" s="412">
        <v>19600</v>
      </c>
      <c r="E920" s="417">
        <v>895619</v>
      </c>
      <c r="F920" s="425">
        <v>9.3290952885183385E-3</v>
      </c>
      <c r="G920" s="408"/>
    </row>
    <row r="921" spans="2:7">
      <c r="B921" s="411" t="s">
        <v>388</v>
      </c>
      <c r="C921" s="415">
        <v>43591</v>
      </c>
      <c r="D921" s="412">
        <v>20035</v>
      </c>
      <c r="E921" s="417">
        <v>826524</v>
      </c>
      <c r="F921" s="425">
        <v>2.1951177851636351E-2</v>
      </c>
      <c r="G921" s="408"/>
    </row>
    <row r="922" spans="2:7">
      <c r="B922" s="411" t="s">
        <v>388</v>
      </c>
      <c r="C922" s="415">
        <v>43592</v>
      </c>
      <c r="D922" s="412">
        <v>19835</v>
      </c>
      <c r="E922" s="417">
        <v>640477</v>
      </c>
      <c r="F922" s="425">
        <v>-1.0032690121814434E-2</v>
      </c>
      <c r="G922" s="408"/>
    </row>
    <row r="923" spans="2:7">
      <c r="B923" s="411" t="s">
        <v>388</v>
      </c>
      <c r="C923" s="415">
        <v>43594</v>
      </c>
      <c r="D923" s="412">
        <v>19297</v>
      </c>
      <c r="E923" s="417">
        <v>818019</v>
      </c>
      <c r="F923" s="425">
        <v>-2.7498410552074661E-2</v>
      </c>
      <c r="G923" s="408"/>
    </row>
    <row r="924" spans="2:7">
      <c r="B924" s="411" t="s">
        <v>388</v>
      </c>
      <c r="C924" s="415">
        <v>43595</v>
      </c>
      <c r="D924" s="412">
        <v>19503</v>
      </c>
      <c r="E924" s="417">
        <v>877201</v>
      </c>
      <c r="F924" s="425">
        <v>1.0618656476222567E-2</v>
      </c>
      <c r="G924" s="408"/>
    </row>
    <row r="925" spans="2:7">
      <c r="B925" s="411" t="s">
        <v>388</v>
      </c>
      <c r="C925" s="415">
        <v>43598</v>
      </c>
      <c r="D925" s="412">
        <v>19533</v>
      </c>
      <c r="E925" s="417">
        <v>612456</v>
      </c>
      <c r="F925" s="425">
        <v>1.5370430323933997E-3</v>
      </c>
      <c r="G925" s="408"/>
    </row>
    <row r="926" spans="2:7">
      <c r="B926" s="411" t="s">
        <v>388</v>
      </c>
      <c r="C926" s="415">
        <v>43599</v>
      </c>
      <c r="D926" s="412">
        <v>19779</v>
      </c>
      <c r="E926" s="417">
        <v>655954</v>
      </c>
      <c r="F926" s="425">
        <v>1.2515425876437555E-2</v>
      </c>
      <c r="G926" s="408"/>
    </row>
    <row r="927" spans="2:7">
      <c r="B927" s="411" t="s">
        <v>388</v>
      </c>
      <c r="C927" s="415">
        <v>43600</v>
      </c>
      <c r="D927" s="412">
        <v>19800</v>
      </c>
      <c r="E927" s="417">
        <v>1006906</v>
      </c>
      <c r="F927" s="425">
        <v>1.0611689012173259E-3</v>
      </c>
      <c r="G927" s="408"/>
    </row>
    <row r="928" spans="2:7">
      <c r="B928" s="411" t="s">
        <v>388</v>
      </c>
      <c r="C928" s="415">
        <v>43601</v>
      </c>
      <c r="D928" s="412">
        <v>20000</v>
      </c>
      <c r="E928" s="417">
        <v>990674</v>
      </c>
      <c r="F928" s="425">
        <v>1.0050335853501506E-2</v>
      </c>
      <c r="G928" s="408"/>
    </row>
    <row r="929" spans="2:7">
      <c r="B929" s="411" t="s">
        <v>388</v>
      </c>
      <c r="C929" s="415">
        <v>43602</v>
      </c>
      <c r="D929" s="412">
        <v>19780</v>
      </c>
      <c r="E929" s="417">
        <v>888662</v>
      </c>
      <c r="F929" s="425">
        <v>-1.1060947359424948E-2</v>
      </c>
      <c r="G929" s="408"/>
    </row>
    <row r="930" spans="2:7">
      <c r="B930" s="411" t="s">
        <v>388</v>
      </c>
      <c r="C930" s="415">
        <v>43605</v>
      </c>
      <c r="D930" s="412">
        <v>19713</v>
      </c>
      <c r="E930" s="417">
        <v>461791</v>
      </c>
      <c r="F930" s="425">
        <v>-3.393009610725581E-3</v>
      </c>
      <c r="G930" s="408"/>
    </row>
    <row r="931" spans="2:7">
      <c r="B931" s="411" t="s">
        <v>388</v>
      </c>
      <c r="C931" s="415">
        <v>43606</v>
      </c>
      <c r="D931" s="412">
        <v>19615</v>
      </c>
      <c r="E931" s="417">
        <v>1275545</v>
      </c>
      <c r="F931" s="425">
        <v>-4.9837369223246072E-3</v>
      </c>
      <c r="G931" s="408"/>
    </row>
    <row r="932" spans="2:7">
      <c r="B932" s="411" t="s">
        <v>388</v>
      </c>
      <c r="C932" s="415">
        <v>43607</v>
      </c>
      <c r="D932" s="412">
        <v>19850</v>
      </c>
      <c r="E932" s="417">
        <v>733556</v>
      </c>
      <c r="F932" s="425">
        <v>1.1909427471683623E-2</v>
      </c>
      <c r="G932" s="408"/>
    </row>
    <row r="933" spans="2:7">
      <c r="B933" s="411" t="s">
        <v>388</v>
      </c>
      <c r="C933" s="415">
        <v>43608</v>
      </c>
      <c r="D933" s="412">
        <v>19404</v>
      </c>
      <c r="E933" s="417">
        <v>642763</v>
      </c>
      <c r="F933" s="425">
        <v>-2.272477675022928E-2</v>
      </c>
      <c r="G933" s="408"/>
    </row>
    <row r="934" spans="2:7">
      <c r="B934" s="411" t="s">
        <v>388</v>
      </c>
      <c r="C934" s="415">
        <v>43609</v>
      </c>
      <c r="D934" s="412">
        <v>18980</v>
      </c>
      <c r="E934" s="417">
        <v>773678</v>
      </c>
      <c r="F934" s="425">
        <v>-2.2093437201188348E-2</v>
      </c>
      <c r="G934" s="408"/>
    </row>
    <row r="935" spans="2:7">
      <c r="B935" s="411" t="s">
        <v>388</v>
      </c>
      <c r="C935" s="415">
        <v>43612</v>
      </c>
      <c r="D935" s="412">
        <v>18952</v>
      </c>
      <c r="E935" s="417">
        <v>249963</v>
      </c>
      <c r="F935" s="425">
        <v>-1.4763263252974286E-3</v>
      </c>
      <c r="G935" s="408"/>
    </row>
    <row r="936" spans="2:7">
      <c r="B936" s="411" t="s">
        <v>388</v>
      </c>
      <c r="C936" s="415">
        <v>43613</v>
      </c>
      <c r="D936" s="412">
        <v>18471</v>
      </c>
      <c r="E936" s="417">
        <v>1418419</v>
      </c>
      <c r="F936" s="425">
        <v>-2.5707532259301606E-2</v>
      </c>
      <c r="G936" s="408"/>
    </row>
    <row r="937" spans="2:7">
      <c r="B937" s="411" t="s">
        <v>388</v>
      </c>
      <c r="C937" s="415">
        <v>43614</v>
      </c>
      <c r="D937" s="412">
        <v>18464</v>
      </c>
      <c r="E937" s="417">
        <v>854216</v>
      </c>
      <c r="F937" s="425">
        <v>-3.7904427149367112E-4</v>
      </c>
      <c r="G937" s="408"/>
    </row>
    <row r="938" spans="2:7">
      <c r="B938" s="411" t="s">
        <v>388</v>
      </c>
      <c r="C938" s="415">
        <v>43615</v>
      </c>
      <c r="D938" s="412">
        <v>19135</v>
      </c>
      <c r="E938" s="417">
        <v>813332</v>
      </c>
      <c r="F938" s="425">
        <v>3.5696228551976621E-2</v>
      </c>
      <c r="G938" s="408"/>
    </row>
    <row r="939" spans="2:7">
      <c r="B939" s="411" t="s">
        <v>388</v>
      </c>
      <c r="C939" s="415">
        <v>43616</v>
      </c>
      <c r="D939" s="412">
        <v>19149</v>
      </c>
      <c r="E939" s="417">
        <v>594062</v>
      </c>
      <c r="F939" s="425">
        <v>7.3137606436431276E-4</v>
      </c>
      <c r="G939" s="408"/>
    </row>
    <row r="940" spans="2:7">
      <c r="B940" s="411" t="s">
        <v>388</v>
      </c>
      <c r="C940" s="415">
        <v>43619</v>
      </c>
      <c r="D940" s="412">
        <v>19232</v>
      </c>
      <c r="E940" s="417">
        <v>348518</v>
      </c>
      <c r="F940" s="425">
        <v>4.3250634107670329E-3</v>
      </c>
      <c r="G940" s="408"/>
    </row>
    <row r="941" spans="2:7">
      <c r="B941" s="411" t="s">
        <v>388</v>
      </c>
      <c r="C941" s="415">
        <v>43620</v>
      </c>
      <c r="D941" s="412">
        <v>18714</v>
      </c>
      <c r="E941" s="417">
        <v>573216</v>
      </c>
      <c r="F941" s="425">
        <v>-2.7303651499075897E-2</v>
      </c>
      <c r="G941" s="408"/>
    </row>
    <row r="942" spans="2:7">
      <c r="B942" s="411" t="s">
        <v>388</v>
      </c>
      <c r="C942" s="415">
        <v>43621</v>
      </c>
      <c r="D942" s="412">
        <v>18633</v>
      </c>
      <c r="E942" s="417">
        <v>403356</v>
      </c>
      <c r="F942" s="425">
        <v>-4.3377046084456198E-3</v>
      </c>
      <c r="G942" s="408"/>
    </row>
    <row r="943" spans="2:7">
      <c r="B943" s="411" t="s">
        <v>388</v>
      </c>
      <c r="C943" s="415">
        <v>43622</v>
      </c>
      <c r="D943" s="412">
        <v>18652</v>
      </c>
      <c r="E943" s="417">
        <v>352524</v>
      </c>
      <c r="F943" s="425">
        <v>1.0191767007987145E-3</v>
      </c>
      <c r="G943" s="408"/>
    </row>
    <row r="944" spans="2:7">
      <c r="B944" s="411" t="s">
        <v>388</v>
      </c>
      <c r="C944" s="415">
        <v>43623</v>
      </c>
      <c r="D944" s="412">
        <v>18849</v>
      </c>
      <c r="E944" s="417">
        <v>314586</v>
      </c>
      <c r="F944" s="425">
        <v>1.0506483142845311E-2</v>
      </c>
      <c r="G944" s="408"/>
    </row>
    <row r="945" spans="2:7">
      <c r="B945" s="411" t="s">
        <v>388</v>
      </c>
      <c r="C945" s="415">
        <v>43626</v>
      </c>
      <c r="D945" s="412">
        <v>19500</v>
      </c>
      <c r="E945" s="417">
        <v>495529</v>
      </c>
      <c r="F945" s="425">
        <v>3.3954603480781533E-2</v>
      </c>
      <c r="G945" s="408"/>
    </row>
    <row r="946" spans="2:7">
      <c r="B946" s="411" t="s">
        <v>388</v>
      </c>
      <c r="C946" s="415">
        <v>43627</v>
      </c>
      <c r="D946" s="412">
        <v>19500</v>
      </c>
      <c r="E946" s="417">
        <v>393191</v>
      </c>
      <c r="F946" s="425">
        <v>0</v>
      </c>
      <c r="G946" s="408"/>
    </row>
    <row r="947" spans="2:7">
      <c r="B947" s="411" t="s">
        <v>388</v>
      </c>
      <c r="C947" s="415">
        <v>43628</v>
      </c>
      <c r="D947" s="412">
        <v>19275</v>
      </c>
      <c r="E947" s="417">
        <v>648531</v>
      </c>
      <c r="F947" s="425">
        <v>-1.160554612030789E-2</v>
      </c>
      <c r="G947" s="408"/>
    </row>
    <row r="948" spans="2:7">
      <c r="B948" s="411" t="s">
        <v>388</v>
      </c>
      <c r="C948" s="415">
        <v>43629</v>
      </c>
      <c r="D948" s="412">
        <v>19000</v>
      </c>
      <c r="E948" s="417">
        <v>746069</v>
      </c>
      <c r="F948" s="425">
        <v>-1.4369940282952675E-2</v>
      </c>
      <c r="G948" s="408"/>
    </row>
    <row r="949" spans="2:7">
      <c r="B949" s="411" t="s">
        <v>388</v>
      </c>
      <c r="C949" s="415">
        <v>43630</v>
      </c>
      <c r="D949" s="412">
        <v>19000</v>
      </c>
      <c r="E949" s="417">
        <v>551069</v>
      </c>
      <c r="F949" s="425">
        <v>0</v>
      </c>
      <c r="G949" s="408"/>
    </row>
    <row r="950" spans="2:7">
      <c r="B950" s="411" t="s">
        <v>388</v>
      </c>
      <c r="C950" s="415">
        <v>43634</v>
      </c>
      <c r="D950" s="412">
        <v>19264</v>
      </c>
      <c r="E950" s="417">
        <v>779765</v>
      </c>
      <c r="F950" s="425">
        <v>1.3799089959969993E-2</v>
      </c>
      <c r="G950" s="408"/>
    </row>
    <row r="951" spans="2:7">
      <c r="B951" s="411" t="s">
        <v>388</v>
      </c>
      <c r="C951" s="415">
        <v>43635</v>
      </c>
      <c r="D951" s="412">
        <v>19409</v>
      </c>
      <c r="E951" s="417">
        <v>703898</v>
      </c>
      <c r="F951" s="425">
        <v>7.4988068921796013E-3</v>
      </c>
      <c r="G951" s="408"/>
    </row>
    <row r="952" spans="2:7">
      <c r="B952" s="411" t="s">
        <v>388</v>
      </c>
      <c r="C952" s="415">
        <v>43636</v>
      </c>
      <c r="D952" s="412">
        <v>19790</v>
      </c>
      <c r="E952" s="417">
        <v>2542984</v>
      </c>
      <c r="F952" s="425">
        <v>1.9439883595884281E-2</v>
      </c>
      <c r="G952" s="408"/>
    </row>
    <row r="953" spans="2:7">
      <c r="B953" s="411" t="s">
        <v>388</v>
      </c>
      <c r="C953" s="415">
        <v>43637</v>
      </c>
      <c r="D953" s="412">
        <v>19599</v>
      </c>
      <c r="E953" s="417">
        <v>966635</v>
      </c>
      <c r="F953" s="425">
        <v>-9.698215087751377E-3</v>
      </c>
      <c r="G953" s="408"/>
    </row>
    <row r="954" spans="2:7">
      <c r="B954" s="411" t="s">
        <v>388</v>
      </c>
      <c r="C954" s="415">
        <v>43640</v>
      </c>
      <c r="D954" s="412">
        <v>19639</v>
      </c>
      <c r="E954" s="417">
        <v>274393</v>
      </c>
      <c r="F954" s="425">
        <v>2.0388406063630146E-3</v>
      </c>
      <c r="G954" s="408"/>
    </row>
    <row r="955" spans="2:7">
      <c r="B955" s="411" t="s">
        <v>388</v>
      </c>
      <c r="C955" s="415">
        <v>43641</v>
      </c>
      <c r="D955" s="412">
        <v>19431</v>
      </c>
      <c r="E955" s="417">
        <v>249839</v>
      </c>
      <c r="F955" s="425">
        <v>-1.0647656264196306E-2</v>
      </c>
      <c r="G955" s="408"/>
    </row>
    <row r="956" spans="2:7">
      <c r="B956" s="411" t="s">
        <v>388</v>
      </c>
      <c r="C956" s="415">
        <v>43642</v>
      </c>
      <c r="D956" s="412">
        <v>19374</v>
      </c>
      <c r="E956" s="417">
        <v>341532</v>
      </c>
      <c r="F956" s="425">
        <v>-2.9377678646965062E-3</v>
      </c>
      <c r="G956" s="408"/>
    </row>
    <row r="957" spans="2:7">
      <c r="B957" s="411" t="s">
        <v>388</v>
      </c>
      <c r="C957" s="415">
        <v>43643</v>
      </c>
      <c r="D957" s="412">
        <v>19004</v>
      </c>
      <c r="E957" s="417">
        <v>504953</v>
      </c>
      <c r="F957" s="425">
        <v>-1.928247767951826E-2</v>
      </c>
      <c r="G957" s="408"/>
    </row>
    <row r="958" spans="2:7">
      <c r="B958" s="411" t="s">
        <v>388</v>
      </c>
      <c r="C958" s="415">
        <v>43644</v>
      </c>
      <c r="D958" s="412">
        <v>18683</v>
      </c>
      <c r="E958" s="417">
        <v>634657</v>
      </c>
      <c r="F958" s="425">
        <v>-1.7035463846974529E-2</v>
      </c>
      <c r="G958" s="408"/>
    </row>
    <row r="959" spans="2:7">
      <c r="B959" s="411" t="s">
        <v>388</v>
      </c>
      <c r="C959" s="415">
        <v>43647</v>
      </c>
      <c r="D959" s="412">
        <v>18605</v>
      </c>
      <c r="E959" s="417">
        <v>509819</v>
      </c>
      <c r="F959" s="425">
        <v>-4.1836576791145471E-3</v>
      </c>
      <c r="G959" s="408"/>
    </row>
    <row r="960" spans="2:7">
      <c r="B960" s="411" t="s">
        <v>388</v>
      </c>
      <c r="C960" s="415">
        <v>43648</v>
      </c>
      <c r="D960" s="412">
        <v>18464</v>
      </c>
      <c r="E960" s="417">
        <v>326441</v>
      </c>
      <c r="F960" s="425">
        <v>-7.6074714728967844E-3</v>
      </c>
      <c r="G960" s="408"/>
    </row>
    <row r="961" spans="2:7">
      <c r="B961" s="411" t="s">
        <v>388</v>
      </c>
      <c r="C961" s="415">
        <v>43649</v>
      </c>
      <c r="D961" s="412">
        <v>18630</v>
      </c>
      <c r="E961" s="417">
        <v>409988</v>
      </c>
      <c r="F961" s="425">
        <v>8.9502942878079833E-3</v>
      </c>
      <c r="G961" s="408"/>
    </row>
    <row r="962" spans="2:7">
      <c r="B962" s="411" t="s">
        <v>388</v>
      </c>
      <c r="C962" s="415">
        <v>43650</v>
      </c>
      <c r="D962" s="412">
        <v>18718</v>
      </c>
      <c r="E962" s="417">
        <v>284073</v>
      </c>
      <c r="F962" s="425">
        <v>4.7124431215677613E-3</v>
      </c>
      <c r="G962" s="408"/>
    </row>
    <row r="963" spans="2:7">
      <c r="B963" s="411" t="s">
        <v>388</v>
      </c>
      <c r="C963" s="415">
        <v>43651</v>
      </c>
      <c r="D963" s="412">
        <v>18658</v>
      </c>
      <c r="E963" s="417">
        <v>223075</v>
      </c>
      <c r="F963" s="425">
        <v>-3.2106191962954409E-3</v>
      </c>
      <c r="G963" s="408"/>
    </row>
    <row r="964" spans="2:7">
      <c r="B964" s="411" t="s">
        <v>388</v>
      </c>
      <c r="C964" s="415">
        <v>43654</v>
      </c>
      <c r="D964" s="412">
        <v>18661</v>
      </c>
      <c r="E964" s="417">
        <v>413500</v>
      </c>
      <c r="F964" s="425">
        <v>1.6077601256530633E-4</v>
      </c>
      <c r="G964" s="408"/>
    </row>
    <row r="965" spans="2:7">
      <c r="B965" s="411" t="s">
        <v>388</v>
      </c>
      <c r="C965" s="415">
        <v>43655</v>
      </c>
      <c r="D965" s="412">
        <v>18335</v>
      </c>
      <c r="E965" s="417">
        <v>573016</v>
      </c>
      <c r="F965" s="425">
        <v>-1.7623983028045225E-2</v>
      </c>
      <c r="G965" s="408"/>
    </row>
    <row r="966" spans="2:7">
      <c r="B966" s="411" t="s">
        <v>388</v>
      </c>
      <c r="C966" s="415">
        <v>43656</v>
      </c>
      <c r="D966" s="412">
        <v>18818</v>
      </c>
      <c r="E966" s="417">
        <v>548622</v>
      </c>
      <c r="F966" s="425">
        <v>2.6002057061284573E-2</v>
      </c>
      <c r="G966" s="408"/>
    </row>
    <row r="967" spans="2:7">
      <c r="B967" s="411" t="s">
        <v>388</v>
      </c>
      <c r="C967" s="415">
        <v>43657</v>
      </c>
      <c r="D967" s="412">
        <v>19000</v>
      </c>
      <c r="E967" s="417">
        <v>651835</v>
      </c>
      <c r="F967" s="425">
        <v>9.6251205818665697E-3</v>
      </c>
      <c r="G967" s="408"/>
    </row>
    <row r="968" spans="2:7">
      <c r="B968" s="411" t="s">
        <v>388</v>
      </c>
      <c r="C968" s="415">
        <v>43658</v>
      </c>
      <c r="D968" s="412">
        <v>19273</v>
      </c>
      <c r="E968" s="417">
        <v>529442</v>
      </c>
      <c r="F968" s="425">
        <v>1.4266173550474028E-2</v>
      </c>
      <c r="G968" s="408"/>
    </row>
    <row r="969" spans="2:7">
      <c r="B969" s="411" t="s">
        <v>388</v>
      </c>
      <c r="C969" s="415">
        <v>43661</v>
      </c>
      <c r="D969" s="412">
        <v>19213</v>
      </c>
      <c r="E969" s="417">
        <v>364393</v>
      </c>
      <c r="F969" s="425">
        <v>-3.1180194673501378E-3</v>
      </c>
      <c r="G969" s="408"/>
    </row>
    <row r="970" spans="2:7">
      <c r="B970" s="411" t="s">
        <v>388</v>
      </c>
      <c r="C970" s="415">
        <v>43662</v>
      </c>
      <c r="D970" s="412">
        <v>19593</v>
      </c>
      <c r="E970" s="417">
        <v>403358</v>
      </c>
      <c r="F970" s="425">
        <v>1.9585226339065374E-2</v>
      </c>
      <c r="G970" s="408"/>
    </row>
    <row r="971" spans="2:7">
      <c r="B971" s="411" t="s">
        <v>388</v>
      </c>
      <c r="C971" s="415">
        <v>43663</v>
      </c>
      <c r="D971" s="412">
        <v>19406</v>
      </c>
      <c r="E971" s="417">
        <v>682864</v>
      </c>
      <c r="F971" s="425">
        <v>-9.5900629855220059E-3</v>
      </c>
      <c r="G971" s="408"/>
    </row>
    <row r="972" spans="2:7">
      <c r="B972" s="411" t="s">
        <v>388</v>
      </c>
      <c r="C972" s="415">
        <v>43664</v>
      </c>
      <c r="D972" s="412">
        <v>19388</v>
      </c>
      <c r="E972" s="417">
        <v>568542</v>
      </c>
      <c r="F972" s="425">
        <v>-9.2797861997816601E-4</v>
      </c>
      <c r="G972" s="408"/>
    </row>
    <row r="973" spans="2:7">
      <c r="B973" s="411" t="s">
        <v>388</v>
      </c>
      <c r="C973" s="415">
        <v>43665</v>
      </c>
      <c r="D973" s="412">
        <v>19468</v>
      </c>
      <c r="E973" s="417">
        <v>412217</v>
      </c>
      <c r="F973" s="425">
        <v>4.1177739880783335E-3</v>
      </c>
      <c r="G973" s="408"/>
    </row>
    <row r="974" spans="2:7">
      <c r="B974" s="411" t="s">
        <v>388</v>
      </c>
      <c r="C974" s="415">
        <v>43668</v>
      </c>
      <c r="D974" s="412">
        <v>19400</v>
      </c>
      <c r="E974" s="417">
        <v>510399</v>
      </c>
      <c r="F974" s="425">
        <v>-3.4990259019254612E-3</v>
      </c>
      <c r="G974" s="408"/>
    </row>
    <row r="975" spans="2:7">
      <c r="B975" s="411" t="s">
        <v>388</v>
      </c>
      <c r="C975" s="415">
        <v>43669</v>
      </c>
      <c r="D975" s="412">
        <v>19375</v>
      </c>
      <c r="E975" s="417">
        <v>459533</v>
      </c>
      <c r="F975" s="425">
        <v>-1.2894908298717507E-3</v>
      </c>
      <c r="G975" s="408"/>
    </row>
    <row r="976" spans="2:7">
      <c r="B976" s="411" t="s">
        <v>388</v>
      </c>
      <c r="C976" s="415">
        <v>43670</v>
      </c>
      <c r="D976" s="412">
        <v>19167</v>
      </c>
      <c r="E976" s="417">
        <v>272192</v>
      </c>
      <c r="F976" s="425">
        <v>-1.0793524951094828E-2</v>
      </c>
      <c r="G976" s="408"/>
    </row>
    <row r="977" spans="2:7">
      <c r="B977" s="411" t="s">
        <v>388</v>
      </c>
      <c r="C977" s="415">
        <v>43671</v>
      </c>
      <c r="D977" s="412">
        <v>18781</v>
      </c>
      <c r="E977" s="417">
        <v>759666</v>
      </c>
      <c r="F977" s="425">
        <v>-2.0344329789515527E-2</v>
      </c>
      <c r="G977" s="408"/>
    </row>
    <row r="978" spans="2:7">
      <c r="B978" s="411" t="s">
        <v>388</v>
      </c>
      <c r="C978" s="415">
        <v>43672</v>
      </c>
      <c r="D978" s="412">
        <v>18433</v>
      </c>
      <c r="E978" s="417">
        <v>580340</v>
      </c>
      <c r="F978" s="425">
        <v>-1.8703183984763803E-2</v>
      </c>
      <c r="G978" s="408"/>
    </row>
    <row r="979" spans="2:7">
      <c r="B979" s="411" t="s">
        <v>388</v>
      </c>
      <c r="C979" s="415">
        <v>43675</v>
      </c>
      <c r="D979" s="412">
        <v>18656</v>
      </c>
      <c r="E979" s="417">
        <v>388963</v>
      </c>
      <c r="F979" s="425">
        <v>1.2025273654045286E-2</v>
      </c>
      <c r="G979" s="408"/>
    </row>
    <row r="980" spans="2:7">
      <c r="B980" s="411" t="s">
        <v>388</v>
      </c>
      <c r="C980" s="415">
        <v>43676</v>
      </c>
      <c r="D980" s="412">
        <v>18617</v>
      </c>
      <c r="E980" s="417">
        <v>1034199</v>
      </c>
      <c r="F980" s="425">
        <v>-2.0926683783219968E-3</v>
      </c>
      <c r="G980" s="408"/>
    </row>
    <row r="981" spans="2:7">
      <c r="B981" s="411" t="s">
        <v>388</v>
      </c>
      <c r="C981" s="415">
        <v>43677</v>
      </c>
      <c r="D981" s="412">
        <v>18420</v>
      </c>
      <c r="E981" s="417">
        <v>1091837</v>
      </c>
      <c r="F981" s="425">
        <v>-1.0638110962599083E-2</v>
      </c>
      <c r="G981" s="408"/>
    </row>
    <row r="982" spans="2:7">
      <c r="B982" s="411" t="s">
        <v>388</v>
      </c>
      <c r="C982" s="415">
        <v>43678</v>
      </c>
      <c r="D982" s="412">
        <v>18596</v>
      </c>
      <c r="E982" s="417">
        <v>488650</v>
      </c>
      <c r="F982" s="425">
        <v>9.5094730011774358E-3</v>
      </c>
      <c r="G982" s="408"/>
    </row>
    <row r="983" spans="2:7">
      <c r="B983" s="411" t="s">
        <v>388</v>
      </c>
      <c r="C983" s="415">
        <v>43679</v>
      </c>
      <c r="D983" s="412">
        <v>18700</v>
      </c>
      <c r="E983" s="417">
        <v>613263</v>
      </c>
      <c r="F983" s="425">
        <v>5.5770200322027199E-3</v>
      </c>
      <c r="G983" s="408"/>
    </row>
    <row r="984" spans="2:7">
      <c r="B984" s="411" t="s">
        <v>388</v>
      </c>
      <c r="C984" s="415">
        <v>43682</v>
      </c>
      <c r="D984" s="412">
        <v>18601</v>
      </c>
      <c r="E984" s="417">
        <v>589522</v>
      </c>
      <c r="F984" s="425">
        <v>-5.3081811457271087E-3</v>
      </c>
      <c r="G984" s="408"/>
    </row>
    <row r="985" spans="2:7">
      <c r="B985" s="411" t="s">
        <v>388</v>
      </c>
      <c r="C985" s="415">
        <v>43683</v>
      </c>
      <c r="D985" s="412">
        <v>18834</v>
      </c>
      <c r="E985" s="417">
        <v>597316</v>
      </c>
      <c r="F985" s="425">
        <v>1.244840437305763E-2</v>
      </c>
      <c r="G985" s="408"/>
    </row>
    <row r="986" spans="2:7">
      <c r="B986" s="411" t="s">
        <v>388</v>
      </c>
      <c r="C986" s="415">
        <v>43684</v>
      </c>
      <c r="D986" s="412">
        <v>18560</v>
      </c>
      <c r="E986" s="417">
        <v>1279406</v>
      </c>
      <c r="F986" s="425">
        <v>-1.4655019729817014E-2</v>
      </c>
      <c r="G986" s="408"/>
    </row>
    <row r="987" spans="2:7">
      <c r="B987" s="411" t="s">
        <v>388</v>
      </c>
      <c r="C987" s="415">
        <v>43685</v>
      </c>
      <c r="D987" s="412">
        <v>18772</v>
      </c>
      <c r="E987" s="417">
        <v>607493</v>
      </c>
      <c r="F987" s="425">
        <v>1.135767057411664E-2</v>
      </c>
      <c r="G987" s="408"/>
    </row>
    <row r="988" spans="2:7">
      <c r="B988" s="411" t="s">
        <v>388</v>
      </c>
      <c r="C988" s="415">
        <v>43689</v>
      </c>
      <c r="D988" s="412">
        <v>18481</v>
      </c>
      <c r="E988" s="417">
        <v>329306</v>
      </c>
      <c r="F988" s="425">
        <v>-1.5623220628552002E-2</v>
      </c>
      <c r="G988" s="408"/>
    </row>
    <row r="989" spans="2:7">
      <c r="B989" s="411" t="s">
        <v>388</v>
      </c>
      <c r="C989" s="415">
        <v>43690</v>
      </c>
      <c r="D989" s="412">
        <v>18693</v>
      </c>
      <c r="E989" s="417">
        <v>644190</v>
      </c>
      <c r="F989" s="425">
        <v>1.1405944926575411E-2</v>
      </c>
      <c r="G989" s="408"/>
    </row>
    <row r="990" spans="2:7">
      <c r="B990" s="411" t="s">
        <v>388</v>
      </c>
      <c r="C990" s="415">
        <v>43691</v>
      </c>
      <c r="D990" s="412">
        <v>18228</v>
      </c>
      <c r="E990" s="417">
        <v>567152</v>
      </c>
      <c r="F990" s="425">
        <v>-2.5190248828558519E-2</v>
      </c>
      <c r="G990" s="408"/>
    </row>
    <row r="991" spans="2:7">
      <c r="B991" s="411" t="s">
        <v>388</v>
      </c>
      <c r="C991" s="415">
        <v>43692</v>
      </c>
      <c r="D991" s="412">
        <v>18400</v>
      </c>
      <c r="E991" s="417">
        <v>681922</v>
      </c>
      <c r="F991" s="425">
        <v>9.3917912133038173E-3</v>
      </c>
      <c r="G991" s="408"/>
    </row>
    <row r="992" spans="2:7">
      <c r="B992" s="411" t="s">
        <v>388</v>
      </c>
      <c r="C992" s="415">
        <v>43693</v>
      </c>
      <c r="D992" s="412">
        <v>18434</v>
      </c>
      <c r="E992" s="417">
        <v>897109</v>
      </c>
      <c r="F992" s="425">
        <v>1.8461209565325857E-3</v>
      </c>
      <c r="G992" s="408"/>
    </row>
    <row r="993" spans="2:7">
      <c r="B993" s="411" t="s">
        <v>388</v>
      </c>
      <c r="C993" s="415">
        <v>43696</v>
      </c>
      <c r="D993" s="412">
        <v>18425</v>
      </c>
      <c r="E993" s="417">
        <v>381922</v>
      </c>
      <c r="F993" s="425">
        <v>-4.8834749607213972E-4</v>
      </c>
      <c r="G993" s="408"/>
    </row>
    <row r="994" spans="2:7">
      <c r="B994" s="411" t="s">
        <v>388</v>
      </c>
      <c r="C994" s="415">
        <v>43697</v>
      </c>
      <c r="D994" s="412">
        <v>18172</v>
      </c>
      <c r="E994" s="417">
        <v>761942</v>
      </c>
      <c r="F994" s="425">
        <v>-1.3826490178243398E-2</v>
      </c>
      <c r="G994" s="408"/>
    </row>
    <row r="995" spans="2:7">
      <c r="B995" s="411" t="s">
        <v>388</v>
      </c>
      <c r="C995" s="415">
        <v>43698</v>
      </c>
      <c r="D995" s="412">
        <v>18341</v>
      </c>
      <c r="E995" s="417">
        <v>550603</v>
      </c>
      <c r="F995" s="425">
        <v>9.2570430717386475E-3</v>
      </c>
      <c r="G995" s="408"/>
    </row>
    <row r="996" spans="2:7">
      <c r="B996" s="411" t="s">
        <v>388</v>
      </c>
      <c r="C996" s="415">
        <v>43699</v>
      </c>
      <c r="D996" s="412">
        <v>17343</v>
      </c>
      <c r="E996" s="417">
        <v>980190</v>
      </c>
      <c r="F996" s="425">
        <v>-5.5950024200446764E-2</v>
      </c>
      <c r="G996" s="408"/>
    </row>
    <row r="997" spans="2:7">
      <c r="B997" s="411" t="s">
        <v>388</v>
      </c>
      <c r="C997" s="415">
        <v>43700</v>
      </c>
      <c r="D997" s="412">
        <v>17124</v>
      </c>
      <c r="E997" s="417">
        <v>535941</v>
      </c>
      <c r="F997" s="425">
        <v>-1.2707978485749016E-2</v>
      </c>
      <c r="G997" s="408"/>
    </row>
    <row r="998" spans="2:7">
      <c r="B998" s="411" t="s">
        <v>388</v>
      </c>
      <c r="C998" s="415">
        <v>43703</v>
      </c>
      <c r="D998" s="412">
        <v>16793</v>
      </c>
      <c r="E998" s="417">
        <v>518373</v>
      </c>
      <c r="F998" s="425">
        <v>-1.9518855369828825E-2</v>
      </c>
      <c r="G998" s="408"/>
    </row>
    <row r="999" spans="2:7">
      <c r="B999" s="411" t="s">
        <v>388</v>
      </c>
      <c r="C999" s="415">
        <v>43704</v>
      </c>
      <c r="D999" s="412">
        <v>16724</v>
      </c>
      <c r="E999" s="417">
        <v>1291039</v>
      </c>
      <c r="F999" s="425">
        <v>-4.1173194185522791E-3</v>
      </c>
      <c r="G999" s="408"/>
    </row>
    <row r="1000" spans="2:7">
      <c r="B1000" s="411" t="s">
        <v>388</v>
      </c>
      <c r="C1000" s="415">
        <v>43705</v>
      </c>
      <c r="D1000" s="412">
        <v>17256</v>
      </c>
      <c r="E1000" s="417">
        <v>858292</v>
      </c>
      <c r="F1000" s="425">
        <v>3.1315095592536778E-2</v>
      </c>
      <c r="G1000" s="408"/>
    </row>
    <row r="1001" spans="2:7">
      <c r="B1001" s="411" t="s">
        <v>388</v>
      </c>
      <c r="C1001" s="415">
        <v>43706</v>
      </c>
      <c r="D1001" s="412">
        <v>16891</v>
      </c>
      <c r="E1001" s="417">
        <v>673074</v>
      </c>
      <c r="F1001" s="425">
        <v>-2.1378973388647311E-2</v>
      </c>
      <c r="G1001" s="408"/>
    </row>
    <row r="1002" spans="2:7">
      <c r="B1002" s="411" t="s">
        <v>388</v>
      </c>
      <c r="C1002" s="415">
        <v>43707</v>
      </c>
      <c r="D1002" s="412">
        <v>17383</v>
      </c>
      <c r="E1002" s="417">
        <v>697469</v>
      </c>
      <c r="F1002" s="425">
        <v>2.8711781441195419E-2</v>
      </c>
      <c r="G1002" s="408"/>
    </row>
    <row r="1003" spans="2:7">
      <c r="B1003" s="411" t="s">
        <v>388</v>
      </c>
      <c r="C1003" s="415">
        <v>43710</v>
      </c>
      <c r="D1003" s="412">
        <v>17130</v>
      </c>
      <c r="E1003" s="417">
        <v>420902</v>
      </c>
      <c r="F1003" s="425">
        <v>-1.4661404803374757E-2</v>
      </c>
      <c r="G1003" s="408"/>
    </row>
    <row r="1004" spans="2:7">
      <c r="B1004" s="411" t="s">
        <v>388</v>
      </c>
      <c r="C1004" s="415">
        <v>43711</v>
      </c>
      <c r="D1004" s="412">
        <v>17292</v>
      </c>
      <c r="E1004" s="417">
        <v>351363</v>
      </c>
      <c r="F1004" s="425">
        <v>9.4126544693568046E-3</v>
      </c>
      <c r="G1004" s="408"/>
    </row>
    <row r="1005" spans="2:7">
      <c r="B1005" s="411" t="s">
        <v>388</v>
      </c>
      <c r="C1005" s="415">
        <v>43712</v>
      </c>
      <c r="D1005" s="412">
        <v>17436</v>
      </c>
      <c r="E1005" s="417">
        <v>585123</v>
      </c>
      <c r="F1005" s="425">
        <v>8.2930675707607298E-3</v>
      </c>
      <c r="G1005" s="408"/>
    </row>
    <row r="1006" spans="2:7">
      <c r="B1006" s="411" t="s">
        <v>388</v>
      </c>
      <c r="C1006" s="415">
        <v>43713</v>
      </c>
      <c r="D1006" s="412">
        <v>17875</v>
      </c>
      <c r="E1006" s="417">
        <v>601240</v>
      </c>
      <c r="F1006" s="425">
        <v>2.4866054203925292E-2</v>
      </c>
      <c r="G1006" s="408"/>
    </row>
    <row r="1007" spans="2:7">
      <c r="B1007" s="411" t="s">
        <v>388</v>
      </c>
      <c r="C1007" s="415">
        <v>43714</v>
      </c>
      <c r="D1007" s="412">
        <v>18200</v>
      </c>
      <c r="E1007" s="417">
        <v>728858</v>
      </c>
      <c r="F1007" s="425">
        <v>1.8018505502678212E-2</v>
      </c>
      <c r="G1007" s="408"/>
    </row>
    <row r="1008" spans="2:7">
      <c r="B1008" s="411" t="s">
        <v>388</v>
      </c>
      <c r="C1008" s="415">
        <v>43717</v>
      </c>
      <c r="D1008" s="412">
        <v>18463</v>
      </c>
      <c r="E1008" s="417">
        <v>606384</v>
      </c>
      <c r="F1008" s="425">
        <v>1.4347135330856296E-2</v>
      </c>
      <c r="G1008" s="408"/>
    </row>
    <row r="1009" spans="2:7">
      <c r="B1009" s="411" t="s">
        <v>388</v>
      </c>
      <c r="C1009" s="415">
        <v>43718</v>
      </c>
      <c r="D1009" s="412">
        <v>18389</v>
      </c>
      <c r="E1009" s="417">
        <v>390954</v>
      </c>
      <c r="F1009" s="425">
        <v>-4.0160696548899432E-3</v>
      </c>
      <c r="G1009" s="408"/>
    </row>
    <row r="1010" spans="2:7">
      <c r="B1010" s="411" t="s">
        <v>388</v>
      </c>
      <c r="C1010" s="415">
        <v>43719</v>
      </c>
      <c r="D1010" s="412">
        <v>18276</v>
      </c>
      <c r="E1010" s="417">
        <v>444429</v>
      </c>
      <c r="F1010" s="425">
        <v>-6.1639360576910751E-3</v>
      </c>
      <c r="G1010" s="408"/>
    </row>
    <row r="1011" spans="2:7">
      <c r="B1011" s="411" t="s">
        <v>388</v>
      </c>
      <c r="C1011" s="415">
        <v>43720</v>
      </c>
      <c r="D1011" s="412">
        <v>18712</v>
      </c>
      <c r="E1011" s="417">
        <v>1137744</v>
      </c>
      <c r="F1011" s="425">
        <v>2.3576305580852865E-2</v>
      </c>
      <c r="G1011" s="408"/>
    </row>
    <row r="1012" spans="2:7">
      <c r="B1012" s="411" t="s">
        <v>388</v>
      </c>
      <c r="C1012" s="415">
        <v>43721</v>
      </c>
      <c r="D1012" s="412">
        <v>18738</v>
      </c>
      <c r="E1012" s="417">
        <v>489774</v>
      </c>
      <c r="F1012" s="425">
        <v>1.3885182471186693E-3</v>
      </c>
      <c r="G1012" s="408"/>
    </row>
    <row r="1013" spans="2:7">
      <c r="B1013" s="411" t="s">
        <v>388</v>
      </c>
      <c r="C1013" s="415">
        <v>43724</v>
      </c>
      <c r="D1013" s="412">
        <v>19674</v>
      </c>
      <c r="E1013" s="417">
        <v>1157230</v>
      </c>
      <c r="F1013" s="425">
        <v>4.8744419561569594E-2</v>
      </c>
      <c r="G1013" s="408"/>
    </row>
    <row r="1014" spans="2:7">
      <c r="B1014" s="411" t="s">
        <v>388</v>
      </c>
      <c r="C1014" s="415">
        <v>43725</v>
      </c>
      <c r="D1014" s="412">
        <v>19201</v>
      </c>
      <c r="E1014" s="417">
        <v>856210</v>
      </c>
      <c r="F1014" s="425">
        <v>-2.433560607978677E-2</v>
      </c>
      <c r="G1014" s="408"/>
    </row>
    <row r="1015" spans="2:7">
      <c r="B1015" s="411" t="s">
        <v>388</v>
      </c>
      <c r="C1015" s="415">
        <v>43726</v>
      </c>
      <c r="D1015" s="412">
        <v>19300</v>
      </c>
      <c r="E1015" s="417">
        <v>465314</v>
      </c>
      <c r="F1015" s="425">
        <v>5.1427349000603521E-3</v>
      </c>
      <c r="G1015" s="408"/>
    </row>
    <row r="1016" spans="2:7">
      <c r="B1016" s="411" t="s">
        <v>388</v>
      </c>
      <c r="C1016" s="415">
        <v>43727</v>
      </c>
      <c r="D1016" s="412">
        <v>19201</v>
      </c>
      <c r="E1016" s="417">
        <v>1727679</v>
      </c>
      <c r="F1016" s="425">
        <v>-5.142734900060366E-3</v>
      </c>
      <c r="G1016" s="408"/>
    </row>
    <row r="1017" spans="2:7">
      <c r="B1017" s="411" t="s">
        <v>388</v>
      </c>
      <c r="C1017" s="415">
        <v>43728</v>
      </c>
      <c r="D1017" s="412">
        <v>19217</v>
      </c>
      <c r="E1017" s="417">
        <v>1526656</v>
      </c>
      <c r="F1017" s="425">
        <v>8.3294293951063415E-4</v>
      </c>
      <c r="G1017" s="408"/>
    </row>
    <row r="1018" spans="2:7">
      <c r="B1018" s="411" t="s">
        <v>388</v>
      </c>
      <c r="C1018" s="415">
        <v>43731</v>
      </c>
      <c r="D1018" s="412">
        <v>19113</v>
      </c>
      <c r="E1018" s="417">
        <v>567317</v>
      </c>
      <c r="F1018" s="425">
        <v>-5.4265721478292004E-3</v>
      </c>
      <c r="G1018" s="408"/>
    </row>
    <row r="1019" spans="2:7">
      <c r="B1019" s="411" t="s">
        <v>388</v>
      </c>
      <c r="C1019" s="415">
        <v>43733</v>
      </c>
      <c r="D1019" s="412">
        <v>18666</v>
      </c>
      <c r="E1019" s="417">
        <v>596353</v>
      </c>
      <c r="F1019" s="425">
        <v>-2.366504465890585E-2</v>
      </c>
      <c r="G1019" s="408"/>
    </row>
    <row r="1020" spans="2:7">
      <c r="B1020" s="411" t="s">
        <v>388</v>
      </c>
      <c r="C1020" s="415">
        <v>43734</v>
      </c>
      <c r="D1020" s="412">
        <v>19139</v>
      </c>
      <c r="E1020" s="417">
        <v>558468</v>
      </c>
      <c r="F1020" s="425">
        <v>2.5024450912381233E-2</v>
      </c>
      <c r="G1020" s="408"/>
    </row>
    <row r="1021" spans="2:7">
      <c r="B1021" s="411" t="s">
        <v>388</v>
      </c>
      <c r="C1021" s="415">
        <v>43735</v>
      </c>
      <c r="D1021" s="412">
        <v>19272</v>
      </c>
      <c r="E1021" s="417">
        <v>569684</v>
      </c>
      <c r="F1021" s="425">
        <v>6.9251272566341979E-3</v>
      </c>
      <c r="G1021" s="408"/>
    </row>
    <row r="1022" spans="2:7">
      <c r="B1022" s="411" t="s">
        <v>388</v>
      </c>
      <c r="C1022" s="415">
        <v>43738</v>
      </c>
      <c r="D1022" s="412">
        <v>19101</v>
      </c>
      <c r="E1022" s="417">
        <v>639856</v>
      </c>
      <c r="F1022" s="425">
        <v>-8.912575609572251E-3</v>
      </c>
      <c r="G1022" s="408"/>
    </row>
    <row r="1023" spans="2:7">
      <c r="B1023" s="411" t="s">
        <v>388</v>
      </c>
      <c r="C1023" s="415">
        <v>43739</v>
      </c>
      <c r="D1023" s="412">
        <v>19093</v>
      </c>
      <c r="E1023" s="417">
        <v>549606</v>
      </c>
      <c r="F1023" s="425">
        <v>-4.1891397167053009E-4</v>
      </c>
      <c r="G1023" s="408"/>
    </row>
    <row r="1024" spans="2:7">
      <c r="B1024" s="411" t="s">
        <v>388</v>
      </c>
      <c r="C1024" s="415">
        <v>43740</v>
      </c>
      <c r="D1024" s="412">
        <v>18905</v>
      </c>
      <c r="E1024" s="417">
        <v>665248</v>
      </c>
      <c r="F1024" s="425">
        <v>-9.8953383884312837E-3</v>
      </c>
      <c r="G1024" s="408"/>
    </row>
    <row r="1025" spans="2:7">
      <c r="B1025" s="411" t="s">
        <v>388</v>
      </c>
      <c r="C1025" s="415">
        <v>43741</v>
      </c>
      <c r="D1025" s="412">
        <v>18989</v>
      </c>
      <c r="E1025" s="417">
        <v>322272</v>
      </c>
      <c r="F1025" s="425">
        <v>4.4334268003836056E-3</v>
      </c>
      <c r="G1025" s="408"/>
    </row>
    <row r="1026" spans="2:7">
      <c r="B1026" s="411" t="s">
        <v>388</v>
      </c>
      <c r="C1026" s="415">
        <v>43742</v>
      </c>
      <c r="D1026" s="412">
        <v>19033</v>
      </c>
      <c r="E1026" s="417">
        <v>520770</v>
      </c>
      <c r="F1026" s="425">
        <v>2.3144505623671789E-3</v>
      </c>
      <c r="G1026" s="408"/>
    </row>
    <row r="1027" spans="2:7">
      <c r="B1027" s="411" t="s">
        <v>388</v>
      </c>
      <c r="C1027" s="415">
        <v>43745</v>
      </c>
      <c r="D1027" s="412">
        <v>19283</v>
      </c>
      <c r="E1027" s="417">
        <v>525138</v>
      </c>
      <c r="F1027" s="425">
        <v>1.304956403182103E-2</v>
      </c>
      <c r="G1027" s="408"/>
    </row>
    <row r="1028" spans="2:7">
      <c r="B1028" s="411" t="s">
        <v>388</v>
      </c>
      <c r="C1028" s="415">
        <v>43746</v>
      </c>
      <c r="D1028" s="412">
        <v>19405</v>
      </c>
      <c r="E1028" s="417">
        <v>603416</v>
      </c>
      <c r="F1028" s="425">
        <v>6.3068860834015368E-3</v>
      </c>
      <c r="G1028" s="408"/>
    </row>
    <row r="1029" spans="2:7">
      <c r="B1029" s="411" t="s">
        <v>388</v>
      </c>
      <c r="C1029" s="415">
        <v>43747</v>
      </c>
      <c r="D1029" s="412">
        <v>19080</v>
      </c>
      <c r="E1029" s="417">
        <v>484993</v>
      </c>
      <c r="F1029" s="425">
        <v>-1.6890098800729215E-2</v>
      </c>
      <c r="G1029" s="408"/>
    </row>
    <row r="1030" spans="2:7">
      <c r="B1030" s="411" t="s">
        <v>388</v>
      </c>
      <c r="C1030" s="415">
        <v>43748</v>
      </c>
      <c r="D1030" s="412">
        <v>19146</v>
      </c>
      <c r="E1030" s="417">
        <v>606069</v>
      </c>
      <c r="F1030" s="425">
        <v>3.4531505040210448E-3</v>
      </c>
      <c r="G1030" s="408"/>
    </row>
    <row r="1031" spans="2:7">
      <c r="B1031" s="411" t="s">
        <v>388</v>
      </c>
      <c r="C1031" s="415">
        <v>43749</v>
      </c>
      <c r="D1031" s="412">
        <v>19173</v>
      </c>
      <c r="E1031" s="417">
        <v>460591</v>
      </c>
      <c r="F1031" s="425">
        <v>1.4092228120929401E-3</v>
      </c>
      <c r="G1031" s="408"/>
    </row>
    <row r="1032" spans="2:7">
      <c r="B1032" s="411" t="s">
        <v>388</v>
      </c>
      <c r="C1032" s="415">
        <v>43752</v>
      </c>
      <c r="D1032" s="412">
        <v>18765</v>
      </c>
      <c r="E1032" s="417">
        <v>758548</v>
      </c>
      <c r="F1032" s="425">
        <v>-2.1509606749270216E-2</v>
      </c>
      <c r="G1032" s="408"/>
    </row>
    <row r="1033" spans="2:7">
      <c r="B1033" s="411" t="s">
        <v>388</v>
      </c>
      <c r="C1033" s="415">
        <v>43753</v>
      </c>
      <c r="D1033" s="412">
        <v>18759</v>
      </c>
      <c r="E1033" s="417">
        <v>537473</v>
      </c>
      <c r="F1033" s="425">
        <v>-3.1979533371362574E-4</v>
      </c>
      <c r="G1033" s="408"/>
    </row>
    <row r="1034" spans="2:7">
      <c r="B1034" s="411" t="s">
        <v>388</v>
      </c>
      <c r="C1034" s="415">
        <v>43754</v>
      </c>
      <c r="D1034" s="412">
        <v>19100</v>
      </c>
      <c r="E1034" s="417">
        <v>615879</v>
      </c>
      <c r="F1034" s="425">
        <v>1.8014697799313684E-2</v>
      </c>
      <c r="G1034" s="408"/>
    </row>
    <row r="1035" spans="2:7">
      <c r="B1035" s="411" t="s">
        <v>388</v>
      </c>
      <c r="C1035" s="415">
        <v>43755</v>
      </c>
      <c r="D1035" s="412">
        <v>19188</v>
      </c>
      <c r="E1035" s="417">
        <v>794961</v>
      </c>
      <c r="F1035" s="425">
        <v>4.5967485872332476E-3</v>
      </c>
      <c r="G1035" s="408"/>
    </row>
    <row r="1036" spans="2:7">
      <c r="B1036" s="411" t="s">
        <v>388</v>
      </c>
      <c r="C1036" s="415">
        <v>43756</v>
      </c>
      <c r="D1036" s="412">
        <v>19244</v>
      </c>
      <c r="E1036" s="417">
        <v>1316274</v>
      </c>
      <c r="F1036" s="425">
        <v>2.9142401973898152E-3</v>
      </c>
      <c r="G1036" s="408"/>
    </row>
    <row r="1037" spans="2:7">
      <c r="B1037" s="411" t="s">
        <v>388</v>
      </c>
      <c r="C1037" s="415">
        <v>43759</v>
      </c>
      <c r="D1037" s="412">
        <v>19000</v>
      </c>
      <c r="E1037" s="417">
        <v>544990</v>
      </c>
      <c r="F1037" s="425">
        <v>-1.2760344670766836E-2</v>
      </c>
      <c r="G1037" s="408"/>
    </row>
    <row r="1038" spans="2:7">
      <c r="B1038" s="411" t="s">
        <v>388</v>
      </c>
      <c r="C1038" s="415">
        <v>43760</v>
      </c>
      <c r="D1038" s="412">
        <v>20029</v>
      </c>
      <c r="E1038" s="417">
        <v>1320722</v>
      </c>
      <c r="F1038" s="425">
        <v>5.2742244152655091E-2</v>
      </c>
      <c r="G1038" s="408"/>
    </row>
    <row r="1039" spans="2:7">
      <c r="B1039" s="411" t="s">
        <v>388</v>
      </c>
      <c r="C1039" s="415">
        <v>43761</v>
      </c>
      <c r="D1039" s="412">
        <v>20205</v>
      </c>
      <c r="E1039" s="417">
        <v>538723</v>
      </c>
      <c r="F1039" s="425">
        <v>8.7488752113414649E-3</v>
      </c>
      <c r="G1039" s="408"/>
    </row>
    <row r="1040" spans="2:7">
      <c r="B1040" s="411" t="s">
        <v>388</v>
      </c>
      <c r="C1040" s="415">
        <v>43762</v>
      </c>
      <c r="D1040" s="412">
        <v>20069</v>
      </c>
      <c r="E1040" s="417">
        <v>485959</v>
      </c>
      <c r="F1040" s="425">
        <v>-6.7537625738909191E-3</v>
      </c>
      <c r="G1040" s="408"/>
    </row>
    <row r="1041" spans="2:7">
      <c r="B1041" s="411" t="s">
        <v>388</v>
      </c>
      <c r="C1041" s="415">
        <v>43763</v>
      </c>
      <c r="D1041" s="412">
        <v>19894</v>
      </c>
      <c r="E1041" s="417">
        <v>259071</v>
      </c>
      <c r="F1041" s="425">
        <v>-8.7581572263239031E-3</v>
      </c>
      <c r="G1041" s="408"/>
    </row>
    <row r="1042" spans="2:7">
      <c r="B1042" s="411" t="s">
        <v>388</v>
      </c>
      <c r="C1042" s="415">
        <v>43766</v>
      </c>
      <c r="D1042" s="412">
        <v>20016</v>
      </c>
      <c r="E1042" s="417">
        <v>633333</v>
      </c>
      <c r="F1042" s="425">
        <v>6.1137749943330575E-3</v>
      </c>
      <c r="G1042" s="408"/>
    </row>
    <row r="1043" spans="2:7">
      <c r="B1043" s="411" t="s">
        <v>388</v>
      </c>
      <c r="C1043" s="415">
        <v>43767</v>
      </c>
      <c r="D1043" s="412">
        <v>20222</v>
      </c>
      <c r="E1043" s="417">
        <v>574755</v>
      </c>
      <c r="F1043" s="425">
        <v>1.0239166944651981E-2</v>
      </c>
      <c r="G1043" s="408"/>
    </row>
    <row r="1044" spans="2:7">
      <c r="B1044" s="411" t="s">
        <v>388</v>
      </c>
      <c r="C1044" s="415">
        <v>43768</v>
      </c>
      <c r="D1044" s="412">
        <v>19641</v>
      </c>
      <c r="E1044" s="417">
        <v>1724658</v>
      </c>
      <c r="F1044" s="425">
        <v>-2.9151902542143289E-2</v>
      </c>
      <c r="G1044" s="408"/>
    </row>
    <row r="1045" spans="2:7">
      <c r="B1045" s="411" t="s">
        <v>388</v>
      </c>
      <c r="C1045" s="415">
        <v>43769</v>
      </c>
      <c r="D1045" s="412">
        <v>20303</v>
      </c>
      <c r="E1045" s="417">
        <v>1327395</v>
      </c>
      <c r="F1045" s="425">
        <v>3.3149440253040334E-2</v>
      </c>
      <c r="G1045" s="408"/>
    </row>
    <row r="1046" spans="2:7">
      <c r="B1046" s="411" t="s">
        <v>388</v>
      </c>
      <c r="C1046" s="415">
        <v>43770</v>
      </c>
      <c r="D1046" s="412">
        <v>20232</v>
      </c>
      <c r="E1046" s="417">
        <v>322290</v>
      </c>
      <c r="F1046" s="425">
        <v>-3.5031490124402703E-3</v>
      </c>
      <c r="G1046" s="408"/>
    </row>
    <row r="1047" spans="2:7">
      <c r="B1047" s="411" t="s">
        <v>388</v>
      </c>
      <c r="C1047" s="415">
        <v>43773</v>
      </c>
      <c r="D1047" s="412">
        <v>20407</v>
      </c>
      <c r="E1047" s="417">
        <v>692842</v>
      </c>
      <c r="F1047" s="425">
        <v>8.6124698792847711E-3</v>
      </c>
      <c r="G1047" s="408"/>
    </row>
    <row r="1048" spans="2:7">
      <c r="B1048" s="411" t="s">
        <v>388</v>
      </c>
      <c r="C1048" s="415">
        <v>43774</v>
      </c>
      <c r="D1048" s="412">
        <v>20311</v>
      </c>
      <c r="E1048" s="417">
        <v>682787</v>
      </c>
      <c r="F1048" s="425">
        <v>-4.7153680376000812E-3</v>
      </c>
      <c r="G1048" s="408"/>
    </row>
    <row r="1049" spans="2:7">
      <c r="B1049" s="411" t="s">
        <v>388</v>
      </c>
      <c r="C1049" s="415">
        <v>43775</v>
      </c>
      <c r="D1049" s="412">
        <v>20554</v>
      </c>
      <c r="E1049" s="417">
        <v>580805</v>
      </c>
      <c r="F1049" s="425">
        <v>1.1892957993532714E-2</v>
      </c>
      <c r="G1049" s="408"/>
    </row>
    <row r="1050" spans="2:7">
      <c r="B1050" s="411" t="s">
        <v>388</v>
      </c>
      <c r="C1050" s="415">
        <v>43776</v>
      </c>
      <c r="D1050" s="412">
        <v>20339</v>
      </c>
      <c r="E1050" s="417">
        <v>1307698</v>
      </c>
      <c r="F1050" s="425">
        <v>-1.0515343999523008E-2</v>
      </c>
      <c r="G1050" s="408"/>
    </row>
    <row r="1051" spans="2:7">
      <c r="B1051" s="411" t="s">
        <v>388</v>
      </c>
      <c r="C1051" s="415">
        <v>43777</v>
      </c>
      <c r="D1051" s="412">
        <v>20148</v>
      </c>
      <c r="E1051" s="417">
        <v>915745</v>
      </c>
      <c r="F1051" s="425">
        <v>-9.4351973199542118E-3</v>
      </c>
      <c r="G1051" s="408"/>
    </row>
    <row r="1052" spans="2:7">
      <c r="B1052" s="411" t="s">
        <v>388</v>
      </c>
      <c r="C1052" s="415">
        <v>43780</v>
      </c>
      <c r="D1052" s="412">
        <v>19790</v>
      </c>
      <c r="E1052" s="417">
        <v>566048</v>
      </c>
      <c r="F1052" s="425">
        <v>-1.7928268268929768E-2</v>
      </c>
      <c r="G1052" s="408"/>
    </row>
    <row r="1053" spans="2:7">
      <c r="B1053" s="411" t="s">
        <v>388</v>
      </c>
      <c r="C1053" s="415">
        <v>43781</v>
      </c>
      <c r="D1053" s="412">
        <v>19801</v>
      </c>
      <c r="E1053" s="417">
        <v>1423972</v>
      </c>
      <c r="F1053" s="425">
        <v>5.5568186118305231E-4</v>
      </c>
      <c r="G1053" s="408"/>
    </row>
    <row r="1054" spans="2:7">
      <c r="B1054" s="411" t="s">
        <v>388</v>
      </c>
      <c r="C1054" s="415">
        <v>43782</v>
      </c>
      <c r="D1054" s="412">
        <v>20900</v>
      </c>
      <c r="E1054" s="417">
        <v>2143048</v>
      </c>
      <c r="F1054" s="425">
        <v>5.401671749510778E-2</v>
      </c>
      <c r="G1054" s="408"/>
    </row>
    <row r="1055" spans="2:7">
      <c r="B1055" s="411" t="s">
        <v>388</v>
      </c>
      <c r="C1055" s="415">
        <v>43783</v>
      </c>
      <c r="D1055" s="412">
        <v>20801</v>
      </c>
      <c r="E1055" s="417">
        <v>1128039</v>
      </c>
      <c r="F1055" s="425">
        <v>-4.748096496074326E-3</v>
      </c>
      <c r="G1055" s="408"/>
    </row>
    <row r="1056" spans="2:7">
      <c r="B1056" s="411" t="s">
        <v>388</v>
      </c>
      <c r="C1056" s="415">
        <v>43784</v>
      </c>
      <c r="D1056" s="412">
        <v>21275</v>
      </c>
      <c r="E1056" s="417">
        <v>1070269</v>
      </c>
      <c r="F1056" s="425">
        <v>2.2531611984746923E-2</v>
      </c>
      <c r="G1056" s="408"/>
    </row>
    <row r="1057" spans="2:7">
      <c r="B1057" s="411" t="s">
        <v>388</v>
      </c>
      <c r="C1057" s="415">
        <v>43787</v>
      </c>
      <c r="D1057" s="412">
        <v>21081</v>
      </c>
      <c r="E1057" s="417">
        <v>848898</v>
      </c>
      <c r="F1057" s="425">
        <v>-9.1605135812674373E-3</v>
      </c>
      <c r="G1057" s="408"/>
    </row>
    <row r="1058" spans="2:7">
      <c r="B1058" s="411" t="s">
        <v>388</v>
      </c>
      <c r="C1058" s="415">
        <v>43788</v>
      </c>
      <c r="D1058" s="412">
        <v>21085</v>
      </c>
      <c r="E1058" s="417">
        <v>819066</v>
      </c>
      <c r="F1058" s="425">
        <v>1.8972632035273398E-4</v>
      </c>
      <c r="G1058" s="408"/>
    </row>
    <row r="1059" spans="2:7">
      <c r="B1059" s="411" t="s">
        <v>388</v>
      </c>
      <c r="C1059" s="415">
        <v>43789</v>
      </c>
      <c r="D1059" s="412">
        <v>21016</v>
      </c>
      <c r="E1059" s="417">
        <v>901072</v>
      </c>
      <c r="F1059" s="425">
        <v>-3.2778348152843863E-3</v>
      </c>
      <c r="G1059" s="408"/>
    </row>
    <row r="1060" spans="2:7">
      <c r="B1060" s="411" t="s">
        <v>388</v>
      </c>
      <c r="C1060" s="415">
        <v>43790</v>
      </c>
      <c r="D1060" s="412">
        <v>20657</v>
      </c>
      <c r="E1060" s="417">
        <v>985324</v>
      </c>
      <c r="F1060" s="425">
        <v>-1.7229807367123075E-2</v>
      </c>
      <c r="G1060" s="408"/>
    </row>
    <row r="1061" spans="2:7">
      <c r="B1061" s="411" t="s">
        <v>388</v>
      </c>
      <c r="C1061" s="415">
        <v>43791</v>
      </c>
      <c r="D1061" s="412">
        <v>20415</v>
      </c>
      <c r="E1061" s="417">
        <v>954794</v>
      </c>
      <c r="F1061" s="425">
        <v>-1.1784320244576615E-2</v>
      </c>
      <c r="G1061" s="408"/>
    </row>
    <row r="1062" spans="2:7">
      <c r="B1062" s="411" t="s">
        <v>388</v>
      </c>
      <c r="C1062" s="415">
        <v>43794</v>
      </c>
      <c r="D1062" s="412">
        <v>20647</v>
      </c>
      <c r="E1062" s="417">
        <v>1062132</v>
      </c>
      <c r="F1062" s="425">
        <v>1.130010563120319E-2</v>
      </c>
      <c r="G1062" s="408"/>
    </row>
    <row r="1063" spans="2:7">
      <c r="B1063" s="411" t="s">
        <v>388</v>
      </c>
      <c r="C1063" s="415">
        <v>43795</v>
      </c>
      <c r="D1063" s="412">
        <v>20103</v>
      </c>
      <c r="E1063" s="417">
        <v>2102640</v>
      </c>
      <c r="F1063" s="425">
        <v>-2.6700972743598946E-2</v>
      </c>
      <c r="G1063" s="408"/>
    </row>
    <row r="1064" spans="2:7">
      <c r="B1064" s="411" t="s">
        <v>388</v>
      </c>
      <c r="C1064" s="415">
        <v>43796</v>
      </c>
      <c r="D1064" s="412">
        <v>20411</v>
      </c>
      <c r="E1064" s="417">
        <v>643416</v>
      </c>
      <c r="F1064" s="425">
        <v>1.5204913552762139E-2</v>
      </c>
      <c r="G1064" s="408"/>
    </row>
    <row r="1065" spans="2:7">
      <c r="B1065" s="411" t="s">
        <v>388</v>
      </c>
      <c r="C1065" s="415">
        <v>43797</v>
      </c>
      <c r="D1065" s="412">
        <v>20341</v>
      </c>
      <c r="E1065" s="417">
        <v>981241</v>
      </c>
      <c r="F1065" s="425">
        <v>-3.4354175915554674E-3</v>
      </c>
      <c r="G1065" s="408"/>
    </row>
    <row r="1066" spans="2:7">
      <c r="B1066" s="411" t="s">
        <v>388</v>
      </c>
      <c r="C1066" s="415">
        <v>43798</v>
      </c>
      <c r="D1066" s="412">
        <v>20592</v>
      </c>
      <c r="E1066" s="417">
        <v>1125840</v>
      </c>
      <c r="F1066" s="425">
        <v>1.2264097233420795E-2</v>
      </c>
      <c r="G1066" s="408"/>
    </row>
    <row r="1067" spans="2:7">
      <c r="B1067" s="411" t="s">
        <v>388</v>
      </c>
      <c r="C1067" s="415">
        <v>43801</v>
      </c>
      <c r="D1067" s="412">
        <v>20261</v>
      </c>
      <c r="E1067" s="417">
        <v>1073976</v>
      </c>
      <c r="F1067" s="425">
        <v>-1.6204794909756615E-2</v>
      </c>
      <c r="G1067" s="408"/>
    </row>
    <row r="1068" spans="2:7">
      <c r="B1068" s="411" t="s">
        <v>388</v>
      </c>
      <c r="C1068" s="415">
        <v>43802</v>
      </c>
      <c r="D1068" s="412">
        <v>20285</v>
      </c>
      <c r="E1068" s="417">
        <v>1182234</v>
      </c>
      <c r="F1068" s="425">
        <v>1.1838407143964791E-3</v>
      </c>
      <c r="G1068" s="408"/>
    </row>
    <row r="1069" spans="2:7">
      <c r="B1069" s="411" t="s">
        <v>388</v>
      </c>
      <c r="C1069" s="415">
        <v>43803</v>
      </c>
      <c r="D1069" s="412">
        <v>20244</v>
      </c>
      <c r="E1069" s="417">
        <v>1026118</v>
      </c>
      <c r="F1069" s="425">
        <v>-2.0232433065790522E-3</v>
      </c>
      <c r="G1069" s="408"/>
    </row>
    <row r="1070" spans="2:7">
      <c r="B1070" s="411" t="s">
        <v>388</v>
      </c>
      <c r="C1070" s="415">
        <v>43804</v>
      </c>
      <c r="D1070" s="412">
        <v>19980</v>
      </c>
      <c r="E1070" s="417">
        <v>1120127</v>
      </c>
      <c r="F1070" s="425">
        <v>-1.3126680131424052E-2</v>
      </c>
      <c r="G1070" s="408"/>
    </row>
    <row r="1071" spans="2:7">
      <c r="B1071" s="411" t="s">
        <v>388</v>
      </c>
      <c r="C1071" s="415">
        <v>43805</v>
      </c>
      <c r="D1071" s="412">
        <v>20027</v>
      </c>
      <c r="E1071" s="417">
        <v>627135</v>
      </c>
      <c r="F1071" s="425">
        <v>2.3495899028790164E-3</v>
      </c>
      <c r="G1071" s="408"/>
    </row>
    <row r="1072" spans="2:7">
      <c r="B1072" s="411" t="s">
        <v>388</v>
      </c>
      <c r="C1072" s="415">
        <v>43808</v>
      </c>
      <c r="D1072" s="412">
        <v>19969</v>
      </c>
      <c r="E1072" s="417">
        <v>375766</v>
      </c>
      <c r="F1072" s="425">
        <v>-2.9002920620319885E-3</v>
      </c>
      <c r="G1072" s="408"/>
    </row>
    <row r="1073" spans="2:7">
      <c r="B1073" s="411" t="s">
        <v>388</v>
      </c>
      <c r="C1073" s="415">
        <v>43809</v>
      </c>
      <c r="D1073" s="412">
        <v>19766</v>
      </c>
      <c r="E1073" s="417">
        <v>784866</v>
      </c>
      <c r="F1073" s="425">
        <v>-1.0217781107262338E-2</v>
      </c>
      <c r="G1073" s="408"/>
    </row>
    <row r="1074" spans="2:7">
      <c r="B1074" s="411" t="s">
        <v>388</v>
      </c>
      <c r="C1074" s="415">
        <v>43810</v>
      </c>
      <c r="D1074" s="412">
        <v>19819</v>
      </c>
      <c r="E1074" s="417">
        <v>757698</v>
      </c>
      <c r="F1074" s="425">
        <v>2.6777835882184908E-3</v>
      </c>
      <c r="G1074" s="408"/>
    </row>
    <row r="1075" spans="2:7">
      <c r="B1075" s="411" t="s">
        <v>388</v>
      </c>
      <c r="C1075" s="415">
        <v>43811</v>
      </c>
      <c r="D1075" s="412">
        <v>19582</v>
      </c>
      <c r="E1075" s="417">
        <v>741092</v>
      </c>
      <c r="F1075" s="425">
        <v>-1.2030296610331098E-2</v>
      </c>
      <c r="G1075" s="408"/>
    </row>
    <row r="1076" spans="2:7">
      <c r="B1076" s="411" t="s">
        <v>388</v>
      </c>
      <c r="C1076" s="415">
        <v>43812</v>
      </c>
      <c r="D1076" s="412">
        <v>20003</v>
      </c>
      <c r="E1076" s="417">
        <v>783135</v>
      </c>
      <c r="F1076" s="425">
        <v>2.1271485373236362E-2</v>
      </c>
      <c r="G1076" s="408"/>
    </row>
    <row r="1077" spans="2:7">
      <c r="B1077" s="411" t="s">
        <v>388</v>
      </c>
      <c r="C1077" s="415">
        <v>43816</v>
      </c>
      <c r="D1077" s="412">
        <v>20233</v>
      </c>
      <c r="E1077" s="417">
        <v>1030007</v>
      </c>
      <c r="F1077" s="425">
        <v>1.143267249194161E-2</v>
      </c>
      <c r="G1077" s="408"/>
    </row>
    <row r="1078" spans="2:7">
      <c r="B1078" s="411" t="s">
        <v>388</v>
      </c>
      <c r="C1078" s="415">
        <v>43817</v>
      </c>
      <c r="D1078" s="412">
        <v>20611</v>
      </c>
      <c r="E1078" s="417">
        <v>790606</v>
      </c>
      <c r="F1078" s="425">
        <v>1.8509979064102736E-2</v>
      </c>
      <c r="G1078" s="408"/>
    </row>
    <row r="1079" spans="2:7">
      <c r="B1079" s="411" t="s">
        <v>388</v>
      </c>
      <c r="C1079" s="415">
        <v>43818</v>
      </c>
      <c r="D1079" s="412">
        <v>20365</v>
      </c>
      <c r="E1079" s="417">
        <v>1735560</v>
      </c>
      <c r="F1079" s="425">
        <v>-1.2007172760784479E-2</v>
      </c>
      <c r="G1079" s="408"/>
    </row>
    <row r="1080" spans="2:7">
      <c r="B1080" s="411" t="s">
        <v>388</v>
      </c>
      <c r="C1080" s="415">
        <v>43819</v>
      </c>
      <c r="D1080" s="412">
        <v>20153</v>
      </c>
      <c r="E1080" s="417">
        <v>1013446</v>
      </c>
      <c r="F1080" s="425">
        <v>-1.0464580415023801E-2</v>
      </c>
      <c r="G1080" s="408"/>
    </row>
    <row r="1081" spans="2:7">
      <c r="B1081" s="411" t="s">
        <v>388</v>
      </c>
      <c r="C1081" s="415">
        <v>43822</v>
      </c>
      <c r="D1081" s="412">
        <v>19837</v>
      </c>
      <c r="E1081" s="417">
        <v>452733</v>
      </c>
      <c r="F1081" s="425">
        <v>-1.5804279939380557E-2</v>
      </c>
      <c r="G1081" s="408"/>
    </row>
    <row r="1082" spans="2:7">
      <c r="B1082" s="411" t="s">
        <v>388</v>
      </c>
      <c r="C1082" s="415">
        <v>43823</v>
      </c>
      <c r="D1082" s="412">
        <v>19757</v>
      </c>
      <c r="E1082" s="417">
        <v>135884</v>
      </c>
      <c r="F1082" s="425">
        <v>-4.0410218147034797E-3</v>
      </c>
      <c r="G1082" s="408"/>
    </row>
    <row r="1083" spans="2:7">
      <c r="B1083" s="411" t="s">
        <v>388</v>
      </c>
      <c r="C1083" s="415">
        <v>43826</v>
      </c>
      <c r="D1083" s="412">
        <v>19690</v>
      </c>
      <c r="E1083" s="417">
        <v>340310</v>
      </c>
      <c r="F1083" s="425">
        <v>-3.3969662802338929E-3</v>
      </c>
      <c r="G1083" s="408"/>
    </row>
    <row r="1084" spans="2:7">
      <c r="B1084" s="411" t="s">
        <v>388</v>
      </c>
      <c r="C1084" s="415">
        <v>43829</v>
      </c>
      <c r="D1084" s="412">
        <v>20023</v>
      </c>
      <c r="E1084" s="417">
        <v>353684</v>
      </c>
      <c r="F1084" s="425">
        <v>1.6770720159478409E-2</v>
      </c>
      <c r="G1084" s="408"/>
    </row>
    <row r="1085" spans="2:7">
      <c r="B1085" s="411" t="s">
        <v>388</v>
      </c>
      <c r="C1085" s="415">
        <v>43830</v>
      </c>
      <c r="D1085" s="412">
        <v>19751</v>
      </c>
      <c r="E1085" s="417">
        <v>203189</v>
      </c>
      <c r="F1085" s="425">
        <v>-1.3677489833791773E-2</v>
      </c>
      <c r="G1085" s="408"/>
    </row>
    <row r="1086" spans="2:7">
      <c r="B1086" s="411" t="s">
        <v>388</v>
      </c>
      <c r="C1086" s="415">
        <v>43832</v>
      </c>
      <c r="D1086" s="412">
        <v>19779</v>
      </c>
      <c r="E1086" s="417">
        <v>334470</v>
      </c>
      <c r="F1086" s="425">
        <v>1.4166458225516277E-3</v>
      </c>
      <c r="G1086" s="408"/>
    </row>
    <row r="1087" spans="2:7">
      <c r="B1087" s="411" t="s">
        <v>388</v>
      </c>
      <c r="C1087" s="415">
        <v>43833</v>
      </c>
      <c r="D1087" s="412">
        <v>19565</v>
      </c>
      <c r="E1087" s="417">
        <v>339573</v>
      </c>
      <c r="F1087" s="425">
        <v>-1.0878513136896516E-2</v>
      </c>
      <c r="G1087" s="408"/>
    </row>
    <row r="1088" spans="2:7">
      <c r="B1088" s="411" t="s">
        <v>388</v>
      </c>
      <c r="C1088" s="415">
        <v>43836</v>
      </c>
      <c r="D1088" s="412">
        <v>19136</v>
      </c>
      <c r="E1088" s="417">
        <v>410713</v>
      </c>
      <c r="F1088" s="425">
        <v>-2.217087789415452E-2</v>
      </c>
      <c r="G1088" s="408"/>
    </row>
    <row r="1089" spans="2:7">
      <c r="B1089" s="411" t="s">
        <v>388</v>
      </c>
      <c r="C1089" s="415">
        <v>43837</v>
      </c>
      <c r="D1089" s="412">
        <v>19227</v>
      </c>
      <c r="E1089" s="417">
        <v>452902</v>
      </c>
      <c r="F1089" s="425">
        <v>4.7441634219782033E-3</v>
      </c>
      <c r="G1089" s="408"/>
    </row>
    <row r="1090" spans="2:7">
      <c r="B1090" s="411" t="s">
        <v>388</v>
      </c>
      <c r="C1090" s="415">
        <v>43838</v>
      </c>
      <c r="D1090" s="412">
        <v>19175</v>
      </c>
      <c r="E1090" s="417">
        <v>604212</v>
      </c>
      <c r="F1090" s="425">
        <v>-2.7081939368796548E-3</v>
      </c>
      <c r="G1090" s="408"/>
    </row>
    <row r="1091" spans="2:7">
      <c r="B1091" s="411" t="s">
        <v>388</v>
      </c>
      <c r="C1091" s="415">
        <v>43839</v>
      </c>
      <c r="D1091" s="412">
        <v>19274</v>
      </c>
      <c r="E1091" s="417">
        <v>654126</v>
      </c>
      <c r="F1091" s="425">
        <v>5.1496901757757821E-3</v>
      </c>
      <c r="G1091" s="408"/>
    </row>
    <row r="1092" spans="2:7">
      <c r="B1092" s="411" t="s">
        <v>388</v>
      </c>
      <c r="C1092" s="415">
        <v>43840</v>
      </c>
      <c r="D1092" s="412">
        <v>19270</v>
      </c>
      <c r="E1092" s="417">
        <v>857899</v>
      </c>
      <c r="F1092" s="425">
        <v>-2.0755500282066569E-4</v>
      </c>
      <c r="G1092" s="408"/>
    </row>
    <row r="1093" spans="2:7">
      <c r="B1093" s="411" t="s">
        <v>388</v>
      </c>
      <c r="C1093" s="415">
        <v>43843</v>
      </c>
      <c r="D1093" s="412">
        <v>19185</v>
      </c>
      <c r="E1093" s="417">
        <v>504180</v>
      </c>
      <c r="F1093" s="425">
        <v>-4.4207587273592964E-3</v>
      </c>
      <c r="G1093" s="408"/>
    </row>
    <row r="1094" spans="2:7">
      <c r="B1094" s="411" t="s">
        <v>388</v>
      </c>
      <c r="C1094" s="415">
        <v>43844</v>
      </c>
      <c r="D1094" s="412">
        <v>19631</v>
      </c>
      <c r="E1094" s="417">
        <v>762730</v>
      </c>
      <c r="F1094" s="425">
        <v>2.2981225726980633E-2</v>
      </c>
      <c r="G1094" s="408"/>
    </row>
    <row r="1095" spans="2:7">
      <c r="B1095" s="411" t="s">
        <v>388</v>
      </c>
      <c r="C1095" s="415">
        <v>43845</v>
      </c>
      <c r="D1095" s="412">
        <v>19972</v>
      </c>
      <c r="E1095" s="417">
        <v>762079</v>
      </c>
      <c r="F1095" s="425">
        <v>1.7221343212466503E-2</v>
      </c>
      <c r="G1095" s="408"/>
    </row>
    <row r="1096" spans="2:7">
      <c r="B1096" s="411" t="s">
        <v>388</v>
      </c>
      <c r="C1096" s="415">
        <v>43846</v>
      </c>
      <c r="D1096" s="412">
        <v>19820</v>
      </c>
      <c r="E1096" s="417">
        <v>769334</v>
      </c>
      <c r="F1096" s="425">
        <v>-7.6397637365209006E-3</v>
      </c>
      <c r="G1096" s="408"/>
    </row>
    <row r="1097" spans="2:7">
      <c r="B1097" s="411" t="s">
        <v>388</v>
      </c>
      <c r="C1097" s="415">
        <v>43847</v>
      </c>
      <c r="D1097" s="412">
        <v>19958</v>
      </c>
      <c r="E1097" s="417">
        <v>676392</v>
      </c>
      <c r="F1097" s="425">
        <v>6.9385365602788627E-3</v>
      </c>
      <c r="G1097" s="408"/>
    </row>
    <row r="1098" spans="2:7">
      <c r="B1098" s="411" t="s">
        <v>388</v>
      </c>
      <c r="C1098" s="415">
        <v>43850</v>
      </c>
      <c r="D1098" s="412">
        <v>19964</v>
      </c>
      <c r="E1098" s="417">
        <v>187989</v>
      </c>
      <c r="F1098" s="425">
        <v>3.0058614524193809E-4</v>
      </c>
      <c r="G1098" s="408"/>
    </row>
    <row r="1099" spans="2:7">
      <c r="B1099" s="411" t="s">
        <v>388</v>
      </c>
      <c r="C1099" s="415">
        <v>43851</v>
      </c>
      <c r="D1099" s="412">
        <v>20176</v>
      </c>
      <c r="E1099" s="417">
        <v>399939</v>
      </c>
      <c r="F1099" s="425">
        <v>1.0563127615200923E-2</v>
      </c>
      <c r="G1099" s="408"/>
    </row>
    <row r="1100" spans="2:7">
      <c r="B1100" s="411" t="s">
        <v>388</v>
      </c>
      <c r="C1100" s="415">
        <v>43852</v>
      </c>
      <c r="D1100" s="412">
        <v>20487</v>
      </c>
      <c r="E1100" s="417">
        <v>744079</v>
      </c>
      <c r="F1100" s="425">
        <v>1.5296759424498098E-2</v>
      </c>
      <c r="G1100" s="408"/>
    </row>
    <row r="1101" spans="2:7">
      <c r="B1101" s="411" t="s">
        <v>388</v>
      </c>
      <c r="C1101" s="415">
        <v>43853</v>
      </c>
      <c r="D1101" s="412">
        <v>20015</v>
      </c>
      <c r="E1101" s="417">
        <v>634411</v>
      </c>
      <c r="F1101" s="425">
        <v>-2.3308546202524916E-2</v>
      </c>
      <c r="G1101" s="408"/>
    </row>
    <row r="1102" spans="2:7">
      <c r="B1102" s="411" t="s">
        <v>388</v>
      </c>
      <c r="C1102" s="415">
        <v>43854</v>
      </c>
      <c r="D1102" s="412">
        <v>20403</v>
      </c>
      <c r="E1102" s="417">
        <v>408094</v>
      </c>
      <c r="F1102" s="425">
        <v>1.9199956417074431E-2</v>
      </c>
      <c r="G1102" s="408"/>
    </row>
    <row r="1103" spans="2:7">
      <c r="B1103" s="411" t="s">
        <v>388</v>
      </c>
      <c r="C1103" s="415">
        <v>43857</v>
      </c>
      <c r="D1103" s="412">
        <v>19978</v>
      </c>
      <c r="E1103" s="417">
        <v>649594</v>
      </c>
      <c r="F1103" s="425">
        <v>-2.1050280751653307E-2</v>
      </c>
      <c r="G1103" s="408"/>
    </row>
    <row r="1104" spans="2:7">
      <c r="B1104" s="411" t="s">
        <v>388</v>
      </c>
      <c r="C1104" s="415">
        <v>43858</v>
      </c>
      <c r="D1104" s="412">
        <v>19480</v>
      </c>
      <c r="E1104" s="417">
        <v>478163</v>
      </c>
      <c r="F1104" s="425">
        <v>-2.5243369895568957E-2</v>
      </c>
      <c r="G1104" s="408"/>
    </row>
    <row r="1105" spans="2:7">
      <c r="B1105" s="411" t="s">
        <v>388</v>
      </c>
      <c r="C1105" s="415">
        <v>43859</v>
      </c>
      <c r="D1105" s="412">
        <v>19628</v>
      </c>
      <c r="E1105" s="417">
        <v>327626</v>
      </c>
      <c r="F1105" s="425">
        <v>7.5688200132680268E-3</v>
      </c>
      <c r="G1105" s="408"/>
    </row>
    <row r="1106" spans="2:7">
      <c r="B1106" s="411" t="s">
        <v>388</v>
      </c>
      <c r="C1106" s="415">
        <v>43860</v>
      </c>
      <c r="D1106" s="412">
        <v>19442</v>
      </c>
      <c r="E1106" s="417">
        <v>588316</v>
      </c>
      <c r="F1106" s="425">
        <v>-9.5214438287796969E-3</v>
      </c>
      <c r="G1106" s="408"/>
    </row>
    <row r="1107" spans="2:7">
      <c r="B1107" s="411" t="s">
        <v>388</v>
      </c>
      <c r="C1107" s="415">
        <v>43861</v>
      </c>
      <c r="D1107" s="412">
        <v>19172</v>
      </c>
      <c r="E1107" s="417">
        <v>584388</v>
      </c>
      <c r="F1107" s="425">
        <v>-1.3984793101492411E-2</v>
      </c>
      <c r="G1107" s="408"/>
    </row>
    <row r="1108" spans="2:7">
      <c r="B1108" s="411" t="s">
        <v>388</v>
      </c>
      <c r="C1108" s="415">
        <v>43864</v>
      </c>
      <c r="D1108" s="412">
        <v>19084</v>
      </c>
      <c r="E1108" s="417">
        <v>357664</v>
      </c>
      <c r="F1108" s="425">
        <v>-4.6005936435243155E-3</v>
      </c>
      <c r="G1108" s="408"/>
    </row>
    <row r="1109" spans="2:7">
      <c r="B1109" s="411" t="s">
        <v>388</v>
      </c>
      <c r="C1109" s="415">
        <v>43865</v>
      </c>
      <c r="D1109" s="412">
        <v>19300</v>
      </c>
      <c r="E1109" s="417">
        <v>373764</v>
      </c>
      <c r="F1109" s="425">
        <v>1.1254808256979188E-2</v>
      </c>
      <c r="G1109" s="408"/>
    </row>
    <row r="1110" spans="2:7">
      <c r="B1110" s="411" t="s">
        <v>388</v>
      </c>
      <c r="C1110" s="415">
        <v>43866</v>
      </c>
      <c r="D1110" s="412">
        <v>19296</v>
      </c>
      <c r="E1110" s="417">
        <v>415306</v>
      </c>
      <c r="F1110" s="425">
        <v>-2.0727536606496218E-4</v>
      </c>
      <c r="G1110" s="408"/>
    </row>
    <row r="1111" spans="2:7">
      <c r="B1111" s="411" t="s">
        <v>388</v>
      </c>
      <c r="C1111" s="415">
        <v>43867</v>
      </c>
      <c r="D1111" s="412">
        <v>19200</v>
      </c>
      <c r="E1111" s="417">
        <v>221209</v>
      </c>
      <c r="F1111" s="425">
        <v>-4.9875415110390512E-3</v>
      </c>
      <c r="G1111" s="408"/>
    </row>
    <row r="1112" spans="2:7">
      <c r="B1112" s="411" t="s">
        <v>388</v>
      </c>
      <c r="C1112" s="415">
        <v>43868</v>
      </c>
      <c r="D1112" s="412">
        <v>19321</v>
      </c>
      <c r="E1112" s="417">
        <v>499561</v>
      </c>
      <c r="F1112" s="425">
        <v>6.2823082455106399E-3</v>
      </c>
      <c r="G1112" s="408"/>
    </row>
    <row r="1113" spans="2:7">
      <c r="B1113" s="411" t="s">
        <v>388</v>
      </c>
      <c r="C1113" s="415">
        <v>43871</v>
      </c>
      <c r="D1113" s="412">
        <v>19380</v>
      </c>
      <c r="E1113" s="417">
        <v>300727</v>
      </c>
      <c r="F1113" s="425">
        <v>3.0490191833736744E-3</v>
      </c>
      <c r="G1113" s="408"/>
    </row>
    <row r="1114" spans="2:7">
      <c r="B1114" s="411" t="s">
        <v>388</v>
      </c>
      <c r="C1114" s="415">
        <v>43872</v>
      </c>
      <c r="D1114" s="412">
        <v>18650</v>
      </c>
      <c r="E1114" s="417">
        <v>1397990</v>
      </c>
      <c r="F1114" s="425">
        <v>-3.8395460372795578E-2</v>
      </c>
      <c r="G1114" s="408"/>
    </row>
    <row r="1115" spans="2:7">
      <c r="B1115" s="411" t="s">
        <v>388</v>
      </c>
      <c r="C1115" s="415">
        <v>43873</v>
      </c>
      <c r="D1115" s="412">
        <v>18300</v>
      </c>
      <c r="E1115" s="417">
        <v>1540438</v>
      </c>
      <c r="F1115" s="425">
        <v>-1.8945086242449304E-2</v>
      </c>
      <c r="G1115" s="408"/>
    </row>
    <row r="1116" spans="2:7">
      <c r="B1116" s="411" t="s">
        <v>388</v>
      </c>
      <c r="C1116" s="415">
        <v>43874</v>
      </c>
      <c r="D1116" s="412">
        <v>17892</v>
      </c>
      <c r="E1116" s="417">
        <v>1745713</v>
      </c>
      <c r="F1116" s="425">
        <v>-2.2547374276773547E-2</v>
      </c>
      <c r="G1116" s="408"/>
    </row>
    <row r="1117" spans="2:7">
      <c r="B1117" s="411" t="s">
        <v>388</v>
      </c>
      <c r="C1117" s="415">
        <v>43875</v>
      </c>
      <c r="D1117" s="412">
        <v>17820</v>
      </c>
      <c r="E1117" s="417">
        <v>678261</v>
      </c>
      <c r="F1117" s="425">
        <v>-4.0322635279384511E-3</v>
      </c>
      <c r="G1117" s="408"/>
    </row>
    <row r="1118" spans="2:7">
      <c r="B1118" s="411" t="s">
        <v>388</v>
      </c>
      <c r="C1118" s="415">
        <v>43878</v>
      </c>
      <c r="D1118" s="412">
        <v>17723</v>
      </c>
      <c r="E1118" s="417">
        <v>766854</v>
      </c>
      <c r="F1118" s="425">
        <v>-5.4581909696606156E-3</v>
      </c>
      <c r="G1118" s="408"/>
    </row>
    <row r="1119" spans="2:7">
      <c r="B1119" s="411" t="s">
        <v>388</v>
      </c>
      <c r="C1119" s="415">
        <v>43879</v>
      </c>
      <c r="D1119" s="412">
        <v>17599</v>
      </c>
      <c r="E1119" s="417">
        <v>734400</v>
      </c>
      <c r="F1119" s="425">
        <v>-7.0211488249287499E-3</v>
      </c>
      <c r="G1119" s="408"/>
    </row>
    <row r="1120" spans="2:7">
      <c r="B1120" s="411" t="s">
        <v>388</v>
      </c>
      <c r="C1120" s="415">
        <v>43880</v>
      </c>
      <c r="D1120" s="412">
        <v>17649</v>
      </c>
      <c r="E1120" s="417">
        <v>1826779</v>
      </c>
      <c r="F1120" s="425">
        <v>2.8370423023546206E-3</v>
      </c>
      <c r="G1120" s="408"/>
    </row>
    <row r="1121" spans="2:7">
      <c r="B1121" s="411" t="s">
        <v>388</v>
      </c>
      <c r="C1121" s="415">
        <v>43881</v>
      </c>
      <c r="D1121" s="412">
        <v>17300</v>
      </c>
      <c r="E1121" s="417">
        <v>898595</v>
      </c>
      <c r="F1121" s="425">
        <v>-1.9972623046695347E-2</v>
      </c>
      <c r="G1121" s="408"/>
    </row>
    <row r="1122" spans="2:7">
      <c r="B1122" s="411" t="s">
        <v>388</v>
      </c>
      <c r="C1122" s="415">
        <v>43882</v>
      </c>
      <c r="D1122" s="412">
        <v>17240</v>
      </c>
      <c r="E1122" s="417">
        <v>647326</v>
      </c>
      <c r="F1122" s="425">
        <v>-3.4742362681862782E-3</v>
      </c>
      <c r="G1122" s="408"/>
    </row>
    <row r="1123" spans="2:7">
      <c r="B1123" s="411" t="s">
        <v>388</v>
      </c>
      <c r="C1123" s="415">
        <v>43885</v>
      </c>
      <c r="D1123" s="412">
        <v>16750</v>
      </c>
      <c r="E1123" s="417">
        <v>623217</v>
      </c>
      <c r="F1123" s="425">
        <v>-2.8834006964471585E-2</v>
      </c>
      <c r="G1123" s="408"/>
    </row>
    <row r="1124" spans="2:7">
      <c r="B1124" s="411" t="s">
        <v>388</v>
      </c>
      <c r="C1124" s="415">
        <v>43886</v>
      </c>
      <c r="D1124" s="412">
        <v>16648</v>
      </c>
      <c r="E1124" s="417">
        <v>743444</v>
      </c>
      <c r="F1124" s="425">
        <v>-6.1081691797420868E-3</v>
      </c>
      <c r="G1124" s="408"/>
    </row>
    <row r="1125" spans="2:7">
      <c r="B1125" s="411" t="s">
        <v>388</v>
      </c>
      <c r="C1125" s="415">
        <v>43887</v>
      </c>
      <c r="D1125" s="412">
        <v>17450</v>
      </c>
      <c r="E1125" s="417">
        <v>1146900</v>
      </c>
      <c r="F1125" s="425">
        <v>4.7049559557102827E-2</v>
      </c>
      <c r="G1125" s="408"/>
    </row>
    <row r="1126" spans="2:7">
      <c r="B1126" s="411" t="s">
        <v>388</v>
      </c>
      <c r="C1126" s="415">
        <v>43888</v>
      </c>
      <c r="D1126" s="412">
        <v>16336</v>
      </c>
      <c r="E1126" s="417">
        <v>1043165</v>
      </c>
      <c r="F1126" s="425">
        <v>-6.5968387226126371E-2</v>
      </c>
      <c r="G1126" s="408"/>
    </row>
    <row r="1127" spans="2:7">
      <c r="B1127" s="411" t="s">
        <v>388</v>
      </c>
      <c r="C1127" s="415">
        <v>43889</v>
      </c>
      <c r="D1127" s="412">
        <v>16400</v>
      </c>
      <c r="E1127" s="417">
        <v>2295550</v>
      </c>
      <c r="F1127" s="425">
        <v>3.9100734078430397E-3</v>
      </c>
      <c r="G1127" s="408"/>
    </row>
    <row r="1128" spans="2:7">
      <c r="B1128" s="411" t="s">
        <v>388</v>
      </c>
      <c r="C1128" s="415">
        <v>43892</v>
      </c>
      <c r="D1128" s="412">
        <v>16515</v>
      </c>
      <c r="E1128" s="417">
        <v>798132</v>
      </c>
      <c r="F1128" s="425">
        <v>6.9877240126003E-3</v>
      </c>
      <c r="G1128" s="408"/>
    </row>
    <row r="1129" spans="2:7">
      <c r="B1129" s="411" t="s">
        <v>388</v>
      </c>
      <c r="C1129" s="415">
        <v>43893</v>
      </c>
      <c r="D1129" s="412">
        <v>16897</v>
      </c>
      <c r="E1129" s="417">
        <v>2260292</v>
      </c>
      <c r="F1129" s="425">
        <v>2.2867032535759765E-2</v>
      </c>
      <c r="G1129" s="408"/>
    </row>
    <row r="1130" spans="2:7">
      <c r="B1130" s="411" t="s">
        <v>388</v>
      </c>
      <c r="C1130" s="415">
        <v>43894</v>
      </c>
      <c r="D1130" s="412">
        <v>16975</v>
      </c>
      <c r="E1130" s="417">
        <v>1969433</v>
      </c>
      <c r="F1130" s="425">
        <v>4.6055820662471098E-3</v>
      </c>
      <c r="G1130" s="408"/>
    </row>
    <row r="1131" spans="2:7">
      <c r="B1131" s="411" t="s">
        <v>388</v>
      </c>
      <c r="C1131" s="415">
        <v>43895</v>
      </c>
      <c r="D1131" s="412">
        <v>17157</v>
      </c>
      <c r="E1131" s="417">
        <v>1135832</v>
      </c>
      <c r="F1131" s="425">
        <v>1.0664580156529054E-2</v>
      </c>
      <c r="G1131" s="408"/>
    </row>
    <row r="1132" spans="2:7">
      <c r="B1132" s="411" t="s">
        <v>388</v>
      </c>
      <c r="C1132" s="415">
        <v>43896</v>
      </c>
      <c r="D1132" s="412">
        <v>16998</v>
      </c>
      <c r="E1132" s="417">
        <v>1029519</v>
      </c>
      <c r="F1132" s="425">
        <v>-9.3105635248542946E-3</v>
      </c>
      <c r="G1132" s="408"/>
    </row>
    <row r="1133" spans="2:7">
      <c r="B1133" s="411" t="s">
        <v>388</v>
      </c>
      <c r="C1133" s="415">
        <v>43899</v>
      </c>
      <c r="D1133" s="412">
        <v>17000</v>
      </c>
      <c r="E1133" s="417">
        <v>1249250</v>
      </c>
      <c r="F1133" s="425">
        <v>1.1765397978158856E-4</v>
      </c>
      <c r="G1133" s="408"/>
    </row>
    <row r="1134" spans="2:7">
      <c r="B1134" s="411" t="s">
        <v>388</v>
      </c>
      <c r="C1134" s="415">
        <v>43900</v>
      </c>
      <c r="D1134" s="412">
        <v>17032</v>
      </c>
      <c r="E1134" s="417">
        <v>845478</v>
      </c>
      <c r="F1134" s="425">
        <v>1.8805835349622422E-3</v>
      </c>
      <c r="G1134" s="408"/>
    </row>
    <row r="1135" spans="2:7">
      <c r="B1135" s="411" t="s">
        <v>388</v>
      </c>
      <c r="C1135" s="415">
        <v>43901</v>
      </c>
      <c r="D1135" s="412">
        <v>17107</v>
      </c>
      <c r="E1135" s="417">
        <v>1120914</v>
      </c>
      <c r="F1135" s="425">
        <v>4.3938088789765217E-3</v>
      </c>
      <c r="G1135" s="408"/>
    </row>
    <row r="1136" spans="2:7">
      <c r="B1136" s="411" t="s">
        <v>388</v>
      </c>
      <c r="C1136" s="415">
        <v>43902</v>
      </c>
      <c r="D1136" s="412">
        <v>16012</v>
      </c>
      <c r="E1136" s="417">
        <v>1712186</v>
      </c>
      <c r="F1136" s="425">
        <v>-6.6149295339827663E-2</v>
      </c>
      <c r="G1136" s="408"/>
    </row>
    <row r="1137" spans="2:7">
      <c r="B1137" s="411" t="s">
        <v>388</v>
      </c>
      <c r="C1137" s="415">
        <v>43903</v>
      </c>
      <c r="D1137" s="412">
        <v>15562</v>
      </c>
      <c r="E1137" s="417">
        <v>1623750</v>
      </c>
      <c r="F1137" s="425">
        <v>-2.8506395935588767E-2</v>
      </c>
      <c r="G1137" s="408"/>
    </row>
    <row r="1138" spans="2:7">
      <c r="B1138" s="411" t="s">
        <v>388</v>
      </c>
      <c r="C1138" s="415">
        <v>43906</v>
      </c>
      <c r="D1138" s="412">
        <v>15712</v>
      </c>
      <c r="E1138" s="417">
        <v>2820605</v>
      </c>
      <c r="F1138" s="425">
        <v>9.5927064173716766E-3</v>
      </c>
      <c r="G1138" s="408"/>
    </row>
    <row r="1139" spans="2:7">
      <c r="B1139" s="411" t="s">
        <v>388</v>
      </c>
      <c r="C1139" s="415">
        <v>43907</v>
      </c>
      <c r="D1139" s="412">
        <v>17493</v>
      </c>
      <c r="E1139" s="417">
        <v>2475860</v>
      </c>
      <c r="F1139" s="425">
        <v>0.10737604929601853</v>
      </c>
      <c r="G1139" s="408"/>
    </row>
    <row r="1140" spans="2:7">
      <c r="B1140" s="411" t="s">
        <v>388</v>
      </c>
      <c r="C1140" s="415">
        <v>43908</v>
      </c>
      <c r="D1140" s="412">
        <v>16776</v>
      </c>
      <c r="E1140" s="417">
        <v>1957471</v>
      </c>
      <c r="F1140" s="425">
        <v>-4.1851507308509797E-2</v>
      </c>
      <c r="G1140" s="408"/>
    </row>
    <row r="1141" spans="2:7">
      <c r="B1141" s="411" t="s">
        <v>388</v>
      </c>
      <c r="C1141" s="415">
        <v>43909</v>
      </c>
      <c r="D1141" s="412">
        <v>17963</v>
      </c>
      <c r="E1141" s="417">
        <v>2932646</v>
      </c>
      <c r="F1141" s="425">
        <v>6.8364793187079817E-2</v>
      </c>
      <c r="G1141" s="408"/>
    </row>
    <row r="1142" spans="2:7">
      <c r="B1142" s="411" t="s">
        <v>388</v>
      </c>
      <c r="C1142" s="415">
        <v>43910</v>
      </c>
      <c r="D1142" s="412">
        <v>18050</v>
      </c>
      <c r="E1142" s="417">
        <v>3604249</v>
      </c>
      <c r="F1142" s="425">
        <v>4.8315979921913195E-3</v>
      </c>
      <c r="G1142" s="408"/>
    </row>
    <row r="1143" spans="2:7">
      <c r="B1143" s="411" t="s">
        <v>388</v>
      </c>
      <c r="C1143" s="415">
        <v>43913</v>
      </c>
      <c r="D1143" s="412">
        <v>17735</v>
      </c>
      <c r="E1143" s="417">
        <v>1818299</v>
      </c>
      <c r="F1143" s="425">
        <v>-1.760559655330474E-2</v>
      </c>
      <c r="G1143" s="408"/>
    </row>
    <row r="1144" spans="2:7">
      <c r="B1144" s="411" t="s">
        <v>388</v>
      </c>
      <c r="C1144" s="415">
        <v>43914</v>
      </c>
      <c r="D1144" s="412">
        <v>17283</v>
      </c>
      <c r="E1144" s="417">
        <v>2035197</v>
      </c>
      <c r="F1144" s="425">
        <v>-2.581672880722936E-2</v>
      </c>
      <c r="G1144" s="408"/>
    </row>
    <row r="1145" spans="2:7">
      <c r="B1145" s="411" t="s">
        <v>388</v>
      </c>
      <c r="C1145" s="415">
        <v>43915</v>
      </c>
      <c r="D1145" s="412">
        <v>17874</v>
      </c>
      <c r="E1145" s="417">
        <v>1426185</v>
      </c>
      <c r="F1145" s="425">
        <v>3.3623783540844561E-2</v>
      </c>
      <c r="G1145" s="408"/>
    </row>
    <row r="1146" spans="2:7">
      <c r="B1146" s="411" t="s">
        <v>388</v>
      </c>
      <c r="C1146" s="415">
        <v>43916</v>
      </c>
      <c r="D1146" s="412">
        <v>18283</v>
      </c>
      <c r="E1146" s="417">
        <v>1461185</v>
      </c>
      <c r="F1146" s="425">
        <v>2.262452338716758E-2</v>
      </c>
      <c r="G1146" s="408"/>
    </row>
    <row r="1147" spans="2:7">
      <c r="B1147" s="411" t="s">
        <v>388</v>
      </c>
      <c r="C1147" s="415">
        <v>43917</v>
      </c>
      <c r="D1147" s="412">
        <v>17902</v>
      </c>
      <c r="E1147" s="417">
        <v>1337889</v>
      </c>
      <c r="F1147" s="425">
        <v>-2.1059227897620662E-2</v>
      </c>
      <c r="G1147" s="408"/>
    </row>
    <row r="1148" spans="2:7">
      <c r="B1148" s="411" t="s">
        <v>388</v>
      </c>
      <c r="C1148" s="415">
        <v>43920</v>
      </c>
      <c r="D1148" s="412">
        <v>17810</v>
      </c>
      <c r="E1148" s="417">
        <v>1078518</v>
      </c>
      <c r="F1148" s="425">
        <v>-5.152341147176949E-3</v>
      </c>
      <c r="G1148" s="408"/>
    </row>
    <row r="1149" spans="2:7">
      <c r="B1149" s="411" t="s">
        <v>388</v>
      </c>
      <c r="C1149" s="415">
        <v>43921</v>
      </c>
      <c r="D1149" s="412">
        <v>18175</v>
      </c>
      <c r="E1149" s="417">
        <v>1062598</v>
      </c>
      <c r="F1149" s="425">
        <v>2.0286926118012819E-2</v>
      </c>
      <c r="G1149" s="408"/>
    </row>
    <row r="1150" spans="2:7">
      <c r="B1150" s="411" t="s">
        <v>388</v>
      </c>
      <c r="C1150" s="415">
        <v>43922</v>
      </c>
      <c r="D1150" s="412">
        <v>18353</v>
      </c>
      <c r="E1150" s="417">
        <v>952933</v>
      </c>
      <c r="F1150" s="425">
        <v>9.7460254567518986E-3</v>
      </c>
      <c r="G1150" s="408"/>
    </row>
    <row r="1151" spans="2:7">
      <c r="B1151" s="411" t="s">
        <v>388</v>
      </c>
      <c r="C1151" s="415">
        <v>43923</v>
      </c>
      <c r="D1151" s="412">
        <v>17960</v>
      </c>
      <c r="E1151" s="417">
        <v>1067266</v>
      </c>
      <c r="F1151" s="425">
        <v>-2.1645986002281393E-2</v>
      </c>
      <c r="G1151" s="408"/>
    </row>
    <row r="1152" spans="2:7">
      <c r="B1152" s="411" t="s">
        <v>388</v>
      </c>
      <c r="C1152" s="415">
        <v>43924</v>
      </c>
      <c r="D1152" s="412">
        <v>18125</v>
      </c>
      <c r="E1152" s="417">
        <v>784018</v>
      </c>
      <c r="F1152" s="425">
        <v>9.145137866684987E-3</v>
      </c>
      <c r="G1152" s="408"/>
    </row>
    <row r="1153" spans="2:7">
      <c r="B1153" s="411" t="s">
        <v>388</v>
      </c>
      <c r="C1153" s="415">
        <v>43927</v>
      </c>
      <c r="D1153" s="412">
        <v>18289</v>
      </c>
      <c r="E1153" s="417">
        <v>685405</v>
      </c>
      <c r="F1153" s="425">
        <v>9.0075854817001366E-3</v>
      </c>
      <c r="G1153" s="408"/>
    </row>
    <row r="1154" spans="2:7">
      <c r="B1154" s="411" t="s">
        <v>388</v>
      </c>
      <c r="C1154" s="415">
        <v>43928</v>
      </c>
      <c r="D1154" s="412">
        <v>17077</v>
      </c>
      <c r="E1154" s="417">
        <v>1144255</v>
      </c>
      <c r="F1154" s="425">
        <v>-6.8567257317336747E-2</v>
      </c>
      <c r="G1154" s="408"/>
    </row>
    <row r="1155" spans="2:7">
      <c r="B1155" s="411" t="s">
        <v>388</v>
      </c>
      <c r="C1155" s="415">
        <v>43929</v>
      </c>
      <c r="D1155" s="412">
        <v>17028</v>
      </c>
      <c r="E1155" s="417">
        <v>989750</v>
      </c>
      <c r="F1155" s="425">
        <v>-2.8734809391960932E-3</v>
      </c>
      <c r="G1155" s="408"/>
    </row>
    <row r="1156" spans="2:7">
      <c r="B1156" s="411" t="s">
        <v>388</v>
      </c>
      <c r="C1156" s="415">
        <v>43930</v>
      </c>
      <c r="D1156" s="412">
        <v>18078</v>
      </c>
      <c r="E1156" s="417">
        <v>1371953</v>
      </c>
      <c r="F1156" s="425">
        <v>5.9836681410313335E-2</v>
      </c>
      <c r="G1156" s="408"/>
    </row>
    <row r="1157" spans="2:7">
      <c r="B1157" s="411" t="s">
        <v>388</v>
      </c>
      <c r="C1157" s="415">
        <v>43935</v>
      </c>
      <c r="D1157" s="412">
        <v>18162</v>
      </c>
      <c r="E1157" s="417">
        <v>936298</v>
      </c>
      <c r="F1157" s="425">
        <v>4.6357698914174014E-3</v>
      </c>
      <c r="G1157" s="408"/>
    </row>
    <row r="1158" spans="2:7">
      <c r="B1158" s="411" t="s">
        <v>388</v>
      </c>
      <c r="C1158" s="415">
        <v>43936</v>
      </c>
      <c r="D1158" s="412">
        <v>18264</v>
      </c>
      <c r="E1158" s="417">
        <v>1204217</v>
      </c>
      <c r="F1158" s="425">
        <v>5.6004099598578874E-3</v>
      </c>
      <c r="G1158" s="408"/>
    </row>
    <row r="1159" spans="2:7">
      <c r="B1159" s="411" t="s">
        <v>388</v>
      </c>
      <c r="C1159" s="415">
        <v>43937</v>
      </c>
      <c r="D1159" s="412">
        <v>18205</v>
      </c>
      <c r="E1159" s="417">
        <v>1375762</v>
      </c>
      <c r="F1159" s="425">
        <v>-3.2356276000976287E-3</v>
      </c>
      <c r="G1159" s="408"/>
    </row>
    <row r="1160" spans="2:7">
      <c r="B1160" s="411" t="s">
        <v>388</v>
      </c>
      <c r="C1160" s="415">
        <v>43938</v>
      </c>
      <c r="D1160" s="412">
        <v>18496</v>
      </c>
      <c r="E1160" s="417">
        <v>666247</v>
      </c>
      <c r="F1160" s="425">
        <v>1.5858210862570252E-2</v>
      </c>
      <c r="G1160" s="408"/>
    </row>
    <row r="1161" spans="2:7">
      <c r="B1161" s="411" t="s">
        <v>388</v>
      </c>
      <c r="C1161" s="415">
        <v>43941</v>
      </c>
      <c r="D1161" s="412">
        <v>18454</v>
      </c>
      <c r="E1161" s="417">
        <v>490569</v>
      </c>
      <c r="F1161" s="425">
        <v>-2.2733433336028482E-3</v>
      </c>
      <c r="G1161" s="408"/>
    </row>
    <row r="1162" spans="2:7">
      <c r="B1162" s="411" t="s">
        <v>388</v>
      </c>
      <c r="C1162" s="415">
        <v>43942</v>
      </c>
      <c r="D1162" s="412">
        <v>18002</v>
      </c>
      <c r="E1162" s="417">
        <v>960175</v>
      </c>
      <c r="F1162" s="425">
        <v>-2.479828632147054E-2</v>
      </c>
      <c r="G1162" s="408"/>
    </row>
    <row r="1163" spans="2:7">
      <c r="B1163" s="411" t="s">
        <v>388</v>
      </c>
      <c r="C1163" s="415">
        <v>43943</v>
      </c>
      <c r="D1163" s="412">
        <v>18452</v>
      </c>
      <c r="E1163" s="417">
        <v>1309754</v>
      </c>
      <c r="F1163" s="425">
        <v>2.4689902860680599E-2</v>
      </c>
      <c r="G1163" s="408"/>
    </row>
    <row r="1164" spans="2:7">
      <c r="B1164" s="411" t="s">
        <v>388</v>
      </c>
      <c r="C1164" s="415">
        <v>43944</v>
      </c>
      <c r="D1164" s="412">
        <v>18871</v>
      </c>
      <c r="E1164" s="417">
        <v>1331096</v>
      </c>
      <c r="F1164" s="425">
        <v>2.2453586451384486E-2</v>
      </c>
      <c r="G1164" s="408"/>
    </row>
    <row r="1165" spans="2:7">
      <c r="B1165" s="411" t="s">
        <v>388</v>
      </c>
      <c r="C1165" s="415">
        <v>43945</v>
      </c>
      <c r="D1165" s="412">
        <v>18950</v>
      </c>
      <c r="E1165" s="417">
        <v>1565002</v>
      </c>
      <c r="F1165" s="425">
        <v>4.1775793814768231E-3</v>
      </c>
      <c r="G1165" s="408"/>
    </row>
    <row r="1166" spans="2:7">
      <c r="B1166" s="411" t="s">
        <v>388</v>
      </c>
      <c r="C1166" s="415">
        <v>43949</v>
      </c>
      <c r="D1166" s="412">
        <v>18628</v>
      </c>
      <c r="E1166" s="417">
        <v>1137941</v>
      </c>
      <c r="F1166" s="425">
        <v>-1.7138106408304613E-2</v>
      </c>
      <c r="G1166" s="408"/>
    </row>
    <row r="1167" spans="2:7">
      <c r="B1167" s="411" t="s">
        <v>388</v>
      </c>
      <c r="C1167" s="415">
        <v>43950</v>
      </c>
      <c r="D1167" s="412">
        <v>18169</v>
      </c>
      <c r="E1167" s="417">
        <v>1150222</v>
      </c>
      <c r="F1167" s="425">
        <v>-2.494897999982729E-2</v>
      </c>
      <c r="G1167" s="408"/>
    </row>
    <row r="1168" spans="2:7">
      <c r="B1168" s="411" t="s">
        <v>388</v>
      </c>
      <c r="C1168" s="415">
        <v>43951</v>
      </c>
      <c r="D1168" s="412">
        <v>17688</v>
      </c>
      <c r="E1168" s="417">
        <v>1264895</v>
      </c>
      <c r="F1168" s="425">
        <v>-2.6830401565158299E-2</v>
      </c>
      <c r="G1168" s="408"/>
    </row>
    <row r="1169" spans="2:7">
      <c r="B1169" s="411" t="s">
        <v>388</v>
      </c>
      <c r="C1169" s="415">
        <v>43955</v>
      </c>
      <c r="D1169" s="412">
        <v>17540</v>
      </c>
      <c r="E1169" s="417">
        <v>1205312</v>
      </c>
      <c r="F1169" s="425">
        <v>-8.4024566111082066E-3</v>
      </c>
      <c r="G1169" s="408"/>
    </row>
    <row r="1170" spans="2:7">
      <c r="B1170" s="411" t="s">
        <v>388</v>
      </c>
      <c r="C1170" s="415">
        <v>43956</v>
      </c>
      <c r="D1170" s="412">
        <v>18084</v>
      </c>
      <c r="E1170" s="417">
        <v>793553</v>
      </c>
      <c r="F1170" s="425">
        <v>3.0543582488321668E-2</v>
      </c>
      <c r="G1170" s="408"/>
    </row>
    <row r="1171" spans="2:7">
      <c r="B1171" s="411" t="s">
        <v>388</v>
      </c>
      <c r="C1171" s="415">
        <v>43957</v>
      </c>
      <c r="D1171" s="412">
        <v>18404</v>
      </c>
      <c r="E1171" s="417">
        <v>714786</v>
      </c>
      <c r="F1171" s="425">
        <v>1.7540462860863366E-2</v>
      </c>
      <c r="G1171" s="408"/>
    </row>
    <row r="1172" spans="2:7">
      <c r="B1172" s="411" t="s">
        <v>388</v>
      </c>
      <c r="C1172" s="415">
        <v>43958</v>
      </c>
      <c r="D1172" s="412">
        <v>18200</v>
      </c>
      <c r="E1172" s="417">
        <v>455959</v>
      </c>
      <c r="F1172" s="425">
        <v>-1.1146438210472545E-2</v>
      </c>
      <c r="G1172" s="408"/>
    </row>
    <row r="1173" spans="2:7">
      <c r="B1173" s="411" t="s">
        <v>388</v>
      </c>
      <c r="C1173" s="415">
        <v>43959</v>
      </c>
      <c r="D1173" s="412">
        <v>18535</v>
      </c>
      <c r="E1173" s="417">
        <v>913195</v>
      </c>
      <c r="F1173" s="425">
        <v>1.823924251994586E-2</v>
      </c>
      <c r="G1173" s="408"/>
    </row>
    <row r="1174" spans="2:7">
      <c r="B1174" s="411" t="s">
        <v>388</v>
      </c>
      <c r="C1174" s="415">
        <v>43962</v>
      </c>
      <c r="D1174" s="412">
        <v>18483</v>
      </c>
      <c r="E1174" s="417">
        <v>366940</v>
      </c>
      <c r="F1174" s="425">
        <v>-2.8094459021522824E-3</v>
      </c>
      <c r="G1174" s="408"/>
    </row>
    <row r="1175" spans="2:7">
      <c r="B1175" s="411" t="s">
        <v>388</v>
      </c>
      <c r="C1175" s="415">
        <v>43963</v>
      </c>
      <c r="D1175" s="412">
        <v>17515</v>
      </c>
      <c r="E1175" s="417">
        <v>1721135</v>
      </c>
      <c r="F1175" s="425">
        <v>-5.379373405109323E-2</v>
      </c>
      <c r="G1175" s="408"/>
    </row>
    <row r="1176" spans="2:7">
      <c r="B1176" s="411" t="s">
        <v>388</v>
      </c>
      <c r="C1176" s="415">
        <v>43964</v>
      </c>
      <c r="D1176" s="412">
        <v>17505</v>
      </c>
      <c r="E1176" s="417">
        <v>768206</v>
      </c>
      <c r="F1176" s="425">
        <v>-5.7110224282115412E-4</v>
      </c>
      <c r="G1176" s="408"/>
    </row>
    <row r="1177" spans="2:7">
      <c r="B1177" s="411" t="s">
        <v>388</v>
      </c>
      <c r="C1177" s="415">
        <v>43965</v>
      </c>
      <c r="D1177" s="412">
        <v>16830</v>
      </c>
      <c r="E1177" s="417">
        <v>953051</v>
      </c>
      <c r="F1177" s="425">
        <v>-3.9323546203914407E-2</v>
      </c>
      <c r="G1177" s="408"/>
    </row>
    <row r="1178" spans="2:7">
      <c r="B1178" s="411" t="s">
        <v>388</v>
      </c>
      <c r="C1178" s="415">
        <v>43966</v>
      </c>
      <c r="D1178" s="412">
        <v>16400</v>
      </c>
      <c r="E1178" s="417">
        <v>2003944</v>
      </c>
      <c r="F1178" s="425">
        <v>-2.5881673372561941E-2</v>
      </c>
      <c r="G1178" s="408"/>
    </row>
    <row r="1179" spans="2:7">
      <c r="B1179" s="411" t="s">
        <v>388</v>
      </c>
      <c r="C1179" s="415">
        <v>43969</v>
      </c>
      <c r="D1179" s="412">
        <v>16300</v>
      </c>
      <c r="E1179" s="417">
        <v>938546</v>
      </c>
      <c r="F1179" s="425">
        <v>-6.1162270174360944E-3</v>
      </c>
      <c r="G1179" s="408"/>
    </row>
    <row r="1180" spans="2:7">
      <c r="B1180" s="411" t="s">
        <v>388</v>
      </c>
      <c r="C1180" s="415">
        <v>43970</v>
      </c>
      <c r="D1180" s="412">
        <v>16727</v>
      </c>
      <c r="E1180" s="417">
        <v>838609</v>
      </c>
      <c r="F1180" s="425">
        <v>2.5859072517155017E-2</v>
      </c>
      <c r="G1180" s="408"/>
    </row>
    <row r="1181" spans="2:7">
      <c r="B1181" s="411" t="s">
        <v>388</v>
      </c>
      <c r="C1181" s="415">
        <v>43971</v>
      </c>
      <c r="D1181" s="412">
        <v>16826</v>
      </c>
      <c r="E1181" s="417">
        <v>701791</v>
      </c>
      <c r="F1181" s="425">
        <v>5.9011287987501748E-3</v>
      </c>
      <c r="G1181" s="408"/>
    </row>
    <row r="1182" spans="2:7">
      <c r="B1182" s="411" t="s">
        <v>388</v>
      </c>
      <c r="C1182" s="415">
        <v>43972</v>
      </c>
      <c r="D1182" s="412">
        <v>17890</v>
      </c>
      <c r="E1182" s="417">
        <v>1454623</v>
      </c>
      <c r="F1182" s="425">
        <v>6.1316588392005857E-2</v>
      </c>
      <c r="G1182" s="408"/>
    </row>
    <row r="1183" spans="2:7">
      <c r="B1183" s="411" t="s">
        <v>388</v>
      </c>
      <c r="C1183" s="415">
        <v>43973</v>
      </c>
      <c r="D1183" s="412">
        <v>17910</v>
      </c>
      <c r="E1183" s="417">
        <v>897896</v>
      </c>
      <c r="F1183" s="425">
        <v>1.1173185519925981E-3</v>
      </c>
      <c r="G1183" s="408"/>
    </row>
    <row r="1184" spans="2:7">
      <c r="B1184" s="411" t="s">
        <v>388</v>
      </c>
      <c r="C1184" s="415">
        <v>43976</v>
      </c>
      <c r="D1184" s="412">
        <v>17548</v>
      </c>
      <c r="E1184" s="417">
        <v>577440</v>
      </c>
      <c r="F1184" s="425">
        <v>-2.0419232768652845E-2</v>
      </c>
      <c r="G1184" s="408"/>
    </row>
    <row r="1185" spans="2:7">
      <c r="B1185" s="411" t="s">
        <v>388</v>
      </c>
      <c r="C1185" s="415">
        <v>43977</v>
      </c>
      <c r="D1185" s="412">
        <v>17813</v>
      </c>
      <c r="E1185" s="417">
        <v>718788</v>
      </c>
      <c r="F1185" s="425">
        <v>1.4988544506380248E-2</v>
      </c>
      <c r="G1185" s="408"/>
    </row>
    <row r="1186" spans="2:7">
      <c r="B1186" s="411" t="s">
        <v>388</v>
      </c>
      <c r="C1186" s="415">
        <v>43978</v>
      </c>
      <c r="D1186" s="412">
        <v>17598</v>
      </c>
      <c r="E1186" s="417">
        <v>530780</v>
      </c>
      <c r="F1186" s="425">
        <v>-1.2143268586978864E-2</v>
      </c>
      <c r="G1186" s="408"/>
    </row>
    <row r="1187" spans="2:7">
      <c r="B1187" s="411" t="s">
        <v>388</v>
      </c>
      <c r="C1187" s="415">
        <v>43979</v>
      </c>
      <c r="D1187" s="412">
        <v>17443</v>
      </c>
      <c r="E1187" s="417">
        <v>650958</v>
      </c>
      <c r="F1187" s="425">
        <v>-8.8468371873712051E-3</v>
      </c>
      <c r="G1187" s="408"/>
    </row>
    <row r="1188" spans="2:7">
      <c r="B1188" s="411" t="s">
        <v>388</v>
      </c>
      <c r="C1188" s="415">
        <v>43980</v>
      </c>
      <c r="D1188" s="412">
        <v>17519</v>
      </c>
      <c r="E1188" s="417">
        <v>2431593</v>
      </c>
      <c r="F1188" s="425">
        <v>4.3475842176870817E-3</v>
      </c>
      <c r="G1188" s="408"/>
    </row>
    <row r="1189" spans="2:7">
      <c r="B1189" s="411" t="s">
        <v>388</v>
      </c>
      <c r="C1189" s="415">
        <v>43983</v>
      </c>
      <c r="D1189" s="412">
        <v>17633</v>
      </c>
      <c r="E1189" s="417">
        <v>516398</v>
      </c>
      <c r="F1189" s="425">
        <v>6.4861401721014672E-3</v>
      </c>
      <c r="G1189" s="408"/>
    </row>
    <row r="1190" spans="2:7">
      <c r="B1190" s="411" t="s">
        <v>388</v>
      </c>
      <c r="C1190" s="415">
        <v>43984</v>
      </c>
      <c r="D1190" s="412">
        <v>17978</v>
      </c>
      <c r="E1190" s="417">
        <v>971019</v>
      </c>
      <c r="F1190" s="425">
        <v>1.9376641725421181E-2</v>
      </c>
      <c r="G1190" s="408"/>
    </row>
    <row r="1191" spans="2:7">
      <c r="B1191" s="411" t="s">
        <v>388</v>
      </c>
      <c r="C1191" s="415">
        <v>43985</v>
      </c>
      <c r="D1191" s="412">
        <v>18648</v>
      </c>
      <c r="E1191" s="417">
        <v>753488</v>
      </c>
      <c r="F1191" s="425">
        <v>3.6590113582248521E-2</v>
      </c>
      <c r="G1191" s="408"/>
    </row>
    <row r="1192" spans="2:7">
      <c r="B1192" s="411" t="s">
        <v>388</v>
      </c>
      <c r="C1192" s="415">
        <v>43986</v>
      </c>
      <c r="D1192" s="412">
        <v>18558</v>
      </c>
      <c r="E1192" s="417">
        <v>868893</v>
      </c>
      <c r="F1192" s="425">
        <v>-4.8379388024684892E-3</v>
      </c>
      <c r="G1192" s="408"/>
    </row>
    <row r="1193" spans="2:7">
      <c r="B1193" s="411" t="s">
        <v>388</v>
      </c>
      <c r="C1193" s="415">
        <v>43987</v>
      </c>
      <c r="D1193" s="412">
        <v>18929</v>
      </c>
      <c r="E1193" s="417">
        <v>911879</v>
      </c>
      <c r="F1193" s="425">
        <v>1.9794174693094857E-2</v>
      </c>
      <c r="G1193" s="408"/>
    </row>
    <row r="1194" spans="2:7">
      <c r="B1194" s="411" t="s">
        <v>388</v>
      </c>
      <c r="C1194" s="415">
        <v>43990</v>
      </c>
      <c r="D1194" s="412">
        <v>18688</v>
      </c>
      <c r="E1194" s="417">
        <v>941602</v>
      </c>
      <c r="F1194" s="425">
        <v>-1.2813530978265941E-2</v>
      </c>
      <c r="G1194" s="408"/>
    </row>
    <row r="1195" spans="2:7">
      <c r="B1195" s="411" t="s">
        <v>388</v>
      </c>
      <c r="C1195" s="415">
        <v>43991</v>
      </c>
      <c r="D1195" s="412">
        <v>18689</v>
      </c>
      <c r="E1195" s="417">
        <v>1438542</v>
      </c>
      <c r="F1195" s="425">
        <v>5.3508842349072747E-5</v>
      </c>
      <c r="G1195" s="408"/>
    </row>
    <row r="1196" spans="2:7">
      <c r="B1196" s="411" t="s">
        <v>388</v>
      </c>
      <c r="C1196" s="415">
        <v>43992</v>
      </c>
      <c r="D1196" s="412">
        <v>18363</v>
      </c>
      <c r="E1196" s="417">
        <v>589826</v>
      </c>
      <c r="F1196" s="425">
        <v>-1.7597344951123015E-2</v>
      </c>
      <c r="G1196" s="408"/>
    </row>
    <row r="1197" spans="2:7">
      <c r="B1197" s="411" t="s">
        <v>388</v>
      </c>
      <c r="C1197" s="415">
        <v>43993</v>
      </c>
      <c r="D1197" s="412">
        <v>18008</v>
      </c>
      <c r="E1197" s="417">
        <v>878855</v>
      </c>
      <c r="F1197" s="425">
        <v>-1.9521666932611332E-2</v>
      </c>
      <c r="G1197" s="408"/>
    </row>
    <row r="1198" spans="2:7">
      <c r="B1198" s="411" t="s">
        <v>388</v>
      </c>
      <c r="C1198" s="415">
        <v>43994</v>
      </c>
      <c r="D1198" s="412">
        <v>17762</v>
      </c>
      <c r="E1198" s="417">
        <v>731594</v>
      </c>
      <c r="F1198" s="425">
        <v>-1.3754759768118715E-2</v>
      </c>
      <c r="G1198" s="408"/>
    </row>
    <row r="1199" spans="2:7">
      <c r="B1199" s="411" t="s">
        <v>388</v>
      </c>
      <c r="C1199" s="415">
        <v>43997</v>
      </c>
      <c r="D1199" s="412">
        <v>17120</v>
      </c>
      <c r="E1199" s="417">
        <v>928187</v>
      </c>
      <c r="F1199" s="425">
        <v>-3.6813973122716316E-2</v>
      </c>
      <c r="G1199" s="408"/>
    </row>
    <row r="1200" spans="2:7">
      <c r="B1200" s="411" t="s">
        <v>388</v>
      </c>
      <c r="C1200" s="415">
        <v>43999</v>
      </c>
      <c r="D1200" s="412">
        <v>17500</v>
      </c>
      <c r="E1200" s="417">
        <v>1378003</v>
      </c>
      <c r="F1200" s="425">
        <v>2.1953510215872423E-2</v>
      </c>
      <c r="G1200" s="408"/>
    </row>
    <row r="1201" spans="2:7">
      <c r="B1201" s="411" t="s">
        <v>388</v>
      </c>
      <c r="C1201" s="415">
        <v>44000</v>
      </c>
      <c r="D1201" s="412">
        <v>17343</v>
      </c>
      <c r="E1201" s="417">
        <v>1744373</v>
      </c>
      <c r="F1201" s="425">
        <v>-9.0119141610195963E-3</v>
      </c>
      <c r="G1201" s="408"/>
    </row>
    <row r="1202" spans="2:7">
      <c r="B1202" s="411" t="s">
        <v>388</v>
      </c>
      <c r="C1202" s="415">
        <v>44001</v>
      </c>
      <c r="D1202" s="412">
        <v>17558</v>
      </c>
      <c r="E1202" s="417">
        <v>1919770</v>
      </c>
      <c r="F1202" s="425">
        <v>1.2320719735568277E-2</v>
      </c>
      <c r="G1202" s="408"/>
    </row>
    <row r="1203" spans="2:7">
      <c r="B1203" s="411" t="s">
        <v>388</v>
      </c>
      <c r="C1203" s="415">
        <v>44004</v>
      </c>
      <c r="D1203" s="412">
        <v>17595</v>
      </c>
      <c r="E1203" s="417">
        <v>345635</v>
      </c>
      <c r="F1203" s="425">
        <v>2.1050842695313921E-3</v>
      </c>
      <c r="G1203" s="408"/>
    </row>
    <row r="1204" spans="2:7">
      <c r="B1204" s="411" t="s">
        <v>388</v>
      </c>
      <c r="C1204" s="415">
        <v>44005</v>
      </c>
      <c r="D1204" s="412">
        <v>17410</v>
      </c>
      <c r="E1204" s="417">
        <v>904290</v>
      </c>
      <c r="F1204" s="425">
        <v>-1.0570016993450823E-2</v>
      </c>
      <c r="G1204" s="408"/>
    </row>
    <row r="1205" spans="2:7">
      <c r="B1205" s="411" t="s">
        <v>388</v>
      </c>
      <c r="C1205" s="415">
        <v>44006</v>
      </c>
      <c r="D1205" s="412">
        <v>17500</v>
      </c>
      <c r="E1205" s="417">
        <v>537597</v>
      </c>
      <c r="F1205" s="425">
        <v>5.156127149370803E-3</v>
      </c>
      <c r="G1205" s="408"/>
    </row>
    <row r="1206" spans="2:7">
      <c r="B1206" s="411" t="s">
        <v>388</v>
      </c>
      <c r="C1206" s="415">
        <v>44007</v>
      </c>
      <c r="D1206" s="412">
        <v>17254</v>
      </c>
      <c r="E1206" s="417">
        <v>822834</v>
      </c>
      <c r="F1206" s="425">
        <v>-1.4156880275081355E-2</v>
      </c>
      <c r="G1206" s="408"/>
    </row>
    <row r="1207" spans="2:7">
      <c r="B1207" s="411" t="s">
        <v>388</v>
      </c>
      <c r="C1207" s="415">
        <v>44008</v>
      </c>
      <c r="D1207" s="412">
        <v>17376</v>
      </c>
      <c r="E1207" s="417">
        <v>718750</v>
      </c>
      <c r="F1207" s="425">
        <v>7.0459430971378401E-3</v>
      </c>
      <c r="G1207" s="408"/>
    </row>
    <row r="1208" spans="2:7">
      <c r="B1208" s="411" t="s">
        <v>388</v>
      </c>
      <c r="C1208" s="415">
        <v>44011</v>
      </c>
      <c r="D1208" s="412">
        <v>17490</v>
      </c>
      <c r="E1208" s="417">
        <v>551005</v>
      </c>
      <c r="F1208" s="425">
        <v>6.5393452789857583E-3</v>
      </c>
      <c r="G1208" s="408"/>
    </row>
    <row r="1209" spans="2:7">
      <c r="B1209" s="411" t="s">
        <v>388</v>
      </c>
      <c r="C1209" s="415">
        <v>44012</v>
      </c>
      <c r="D1209" s="412">
        <v>17160</v>
      </c>
      <c r="E1209" s="417">
        <v>755995</v>
      </c>
      <c r="F1209" s="425">
        <v>-1.9048194970694474E-2</v>
      </c>
      <c r="G1209" s="408"/>
    </row>
    <row r="1210" spans="2:7">
      <c r="B1210" s="411" t="s">
        <v>388</v>
      </c>
      <c r="C1210" s="415">
        <v>44013</v>
      </c>
      <c r="D1210" s="412">
        <v>17574</v>
      </c>
      <c r="E1210" s="417">
        <v>618521</v>
      </c>
      <c r="F1210" s="425">
        <v>2.3839443013835161E-2</v>
      </c>
      <c r="G1210" s="408"/>
    </row>
    <row r="1211" spans="2:7">
      <c r="B1211" s="411" t="s">
        <v>388</v>
      </c>
      <c r="C1211" s="415">
        <v>44014</v>
      </c>
      <c r="D1211" s="412">
        <v>17708</v>
      </c>
      <c r="E1211" s="417">
        <v>688052</v>
      </c>
      <c r="F1211" s="425">
        <v>7.5959777962432374E-3</v>
      </c>
      <c r="G1211" s="408"/>
    </row>
    <row r="1212" spans="2:7">
      <c r="B1212" s="411" t="s">
        <v>388</v>
      </c>
      <c r="C1212" s="415">
        <v>44015</v>
      </c>
      <c r="D1212" s="412">
        <v>17666</v>
      </c>
      <c r="E1212" s="417">
        <v>248834</v>
      </c>
      <c r="F1212" s="425">
        <v>-2.3746265469541186E-3</v>
      </c>
      <c r="G1212" s="408"/>
    </row>
    <row r="1213" spans="2:7">
      <c r="B1213" s="411" t="s">
        <v>388</v>
      </c>
      <c r="C1213" s="415">
        <v>44018</v>
      </c>
      <c r="D1213" s="412">
        <v>17554</v>
      </c>
      <c r="E1213" s="417">
        <v>337576</v>
      </c>
      <c r="F1213" s="425">
        <v>-6.360044153014598E-3</v>
      </c>
      <c r="G1213" s="408"/>
    </row>
    <row r="1214" spans="2:7">
      <c r="B1214" s="411" t="s">
        <v>388</v>
      </c>
      <c r="C1214" s="415">
        <v>44019</v>
      </c>
      <c r="D1214" s="412">
        <v>17462</v>
      </c>
      <c r="E1214" s="417">
        <v>714865</v>
      </c>
      <c r="F1214" s="425">
        <v>-5.2547527813099782E-3</v>
      </c>
      <c r="G1214" s="408"/>
    </row>
    <row r="1215" spans="2:7">
      <c r="B1215" s="411" t="s">
        <v>388</v>
      </c>
      <c r="C1215" s="415">
        <v>44020</v>
      </c>
      <c r="D1215" s="412">
        <v>17720</v>
      </c>
      <c r="E1215" s="417">
        <v>790618</v>
      </c>
      <c r="F1215" s="425">
        <v>1.4666853788319008E-2</v>
      </c>
      <c r="G1215" s="408"/>
    </row>
    <row r="1216" spans="2:7">
      <c r="B1216" s="411" t="s">
        <v>388</v>
      </c>
      <c r="C1216" s="415">
        <v>44021</v>
      </c>
      <c r="D1216" s="412">
        <v>17501</v>
      </c>
      <c r="E1216" s="417">
        <v>483780</v>
      </c>
      <c r="F1216" s="425">
        <v>-1.2435923022914585E-2</v>
      </c>
      <c r="G1216" s="408"/>
    </row>
    <row r="1217" spans="2:7">
      <c r="B1217" s="411" t="s">
        <v>388</v>
      </c>
      <c r="C1217" s="415">
        <v>44022</v>
      </c>
      <c r="D1217" s="412">
        <v>17450</v>
      </c>
      <c r="E1217" s="417">
        <v>819291</v>
      </c>
      <c r="F1217" s="425">
        <v>-2.9183735055841871E-3</v>
      </c>
      <c r="G1217" s="408"/>
    </row>
    <row r="1218" spans="2:7">
      <c r="B1218" s="411" t="s">
        <v>388</v>
      </c>
      <c r="C1218" s="415">
        <v>44025</v>
      </c>
      <c r="D1218" s="412">
        <v>17539</v>
      </c>
      <c r="E1218" s="417">
        <v>440909</v>
      </c>
      <c r="F1218" s="425">
        <v>5.0873241275645733E-3</v>
      </c>
      <c r="G1218" s="408"/>
    </row>
    <row r="1219" spans="2:7">
      <c r="B1219" s="411" t="s">
        <v>388</v>
      </c>
      <c r="C1219" s="415">
        <v>44026</v>
      </c>
      <c r="D1219" s="412">
        <v>17370</v>
      </c>
      <c r="E1219" s="417">
        <v>574325</v>
      </c>
      <c r="F1219" s="425">
        <v>-9.682392522987273E-3</v>
      </c>
      <c r="G1219" s="408"/>
    </row>
    <row r="1220" spans="2:7">
      <c r="B1220" s="411" t="s">
        <v>388</v>
      </c>
      <c r="C1220" s="415">
        <v>44027</v>
      </c>
      <c r="D1220" s="412">
        <v>17370</v>
      </c>
      <c r="E1220" s="417">
        <v>492391</v>
      </c>
      <c r="F1220" s="425">
        <v>0</v>
      </c>
      <c r="G1220" s="408"/>
    </row>
    <row r="1221" spans="2:7">
      <c r="B1221" s="411" t="s">
        <v>388</v>
      </c>
      <c r="C1221" s="415">
        <v>44028</v>
      </c>
      <c r="D1221" s="412">
        <v>17465</v>
      </c>
      <c r="E1221" s="417">
        <v>612030</v>
      </c>
      <c r="F1221" s="425">
        <v>5.4542980057816475E-3</v>
      </c>
      <c r="G1221" s="408"/>
    </row>
    <row r="1222" spans="2:7">
      <c r="B1222" s="411" t="s">
        <v>388</v>
      </c>
      <c r="C1222" s="415">
        <v>44029</v>
      </c>
      <c r="D1222" s="412">
        <v>17450</v>
      </c>
      <c r="E1222" s="417">
        <v>1135048</v>
      </c>
      <c r="F1222" s="425">
        <v>-8.5922961035909224E-4</v>
      </c>
      <c r="G1222" s="408"/>
    </row>
    <row r="1223" spans="2:7">
      <c r="B1223" s="411" t="s">
        <v>388</v>
      </c>
      <c r="C1223" s="415">
        <v>44032</v>
      </c>
      <c r="D1223" s="412">
        <v>17207</v>
      </c>
      <c r="E1223" s="417">
        <v>550411</v>
      </c>
      <c r="F1223" s="425">
        <v>-1.4023370877415623E-2</v>
      </c>
      <c r="G1223" s="408"/>
    </row>
    <row r="1224" spans="2:7">
      <c r="B1224" s="411" t="s">
        <v>388</v>
      </c>
      <c r="C1224" s="415">
        <v>44033</v>
      </c>
      <c r="D1224" s="412">
        <v>17200</v>
      </c>
      <c r="E1224" s="417">
        <v>877503</v>
      </c>
      <c r="F1224" s="425">
        <v>-4.068939516132098E-4</v>
      </c>
      <c r="G1224" s="408"/>
    </row>
    <row r="1225" spans="2:7">
      <c r="B1225" s="411" t="s">
        <v>388</v>
      </c>
      <c r="C1225" s="415">
        <v>44034</v>
      </c>
      <c r="D1225" s="412">
        <v>16900</v>
      </c>
      <c r="E1225" s="417">
        <v>627099</v>
      </c>
      <c r="F1225" s="425">
        <v>-1.7595761890379601E-2</v>
      </c>
      <c r="G1225" s="408"/>
    </row>
    <row r="1226" spans="2:7">
      <c r="B1226" s="411" t="s">
        <v>388</v>
      </c>
      <c r="C1226" s="415">
        <v>44035</v>
      </c>
      <c r="D1226" s="412">
        <v>16683</v>
      </c>
      <c r="E1226" s="417">
        <v>611064</v>
      </c>
      <c r="F1226" s="425">
        <v>-1.2923385055491194E-2</v>
      </c>
      <c r="G1226" s="408"/>
    </row>
    <row r="1227" spans="2:7">
      <c r="B1227" s="411" t="s">
        <v>388</v>
      </c>
      <c r="C1227" s="415">
        <v>44036</v>
      </c>
      <c r="D1227" s="412">
        <v>16541</v>
      </c>
      <c r="E1227" s="417">
        <v>688110</v>
      </c>
      <c r="F1227" s="425">
        <v>-8.5480896134525405E-3</v>
      </c>
      <c r="G1227" s="408"/>
    </row>
    <row r="1228" spans="2:7">
      <c r="B1228" s="411" t="s">
        <v>388</v>
      </c>
      <c r="C1228" s="415">
        <v>44039</v>
      </c>
      <c r="D1228" s="412">
        <v>16458</v>
      </c>
      <c r="E1228" s="417">
        <v>513858</v>
      </c>
      <c r="F1228" s="425">
        <v>-5.0304660765629269E-3</v>
      </c>
      <c r="G1228" s="408"/>
    </row>
    <row r="1229" spans="2:7">
      <c r="B1229" s="411" t="s">
        <v>388</v>
      </c>
      <c r="C1229" s="415">
        <v>44040</v>
      </c>
      <c r="D1229" s="412">
        <v>16433</v>
      </c>
      <c r="E1229" s="417">
        <v>582107</v>
      </c>
      <c r="F1229" s="425">
        <v>-1.5201729843683197E-3</v>
      </c>
      <c r="G1229" s="408"/>
    </row>
    <row r="1230" spans="2:7">
      <c r="B1230" s="411" t="s">
        <v>388</v>
      </c>
      <c r="C1230" s="415">
        <v>44041</v>
      </c>
      <c r="D1230" s="412">
        <v>16900</v>
      </c>
      <c r="E1230" s="417">
        <v>809266</v>
      </c>
      <c r="F1230" s="425">
        <v>2.8022113729874908E-2</v>
      </c>
      <c r="G1230" s="408"/>
    </row>
    <row r="1231" spans="2:7">
      <c r="B1231" s="411" t="s">
        <v>388</v>
      </c>
      <c r="C1231" s="415">
        <v>44042</v>
      </c>
      <c r="D1231" s="412">
        <v>16770</v>
      </c>
      <c r="E1231" s="417">
        <v>371550</v>
      </c>
      <c r="F1231" s="425">
        <v>-7.7220460939102778E-3</v>
      </c>
      <c r="G1231" s="408"/>
    </row>
    <row r="1232" spans="2:7">
      <c r="B1232" s="411" t="s">
        <v>388</v>
      </c>
      <c r="C1232" s="415">
        <v>44043</v>
      </c>
      <c r="D1232" s="412">
        <v>16500</v>
      </c>
      <c r="E1232" s="417">
        <v>753882</v>
      </c>
      <c r="F1232" s="425">
        <v>-1.6231194928582552E-2</v>
      </c>
      <c r="G1232" s="408"/>
    </row>
    <row r="1233" spans="2:7">
      <c r="B1233" s="411" t="s">
        <v>388</v>
      </c>
      <c r="C1233" s="415">
        <v>44046</v>
      </c>
      <c r="D1233" s="412">
        <v>16605</v>
      </c>
      <c r="E1233" s="417">
        <v>731702</v>
      </c>
      <c r="F1233" s="425">
        <v>6.3434739221749515E-3</v>
      </c>
      <c r="G1233" s="408"/>
    </row>
    <row r="1234" spans="2:7">
      <c r="B1234" s="411" t="s">
        <v>388</v>
      </c>
      <c r="C1234" s="415">
        <v>44047</v>
      </c>
      <c r="D1234" s="412">
        <v>16500</v>
      </c>
      <c r="E1234" s="417">
        <v>467147</v>
      </c>
      <c r="F1234" s="425">
        <v>-6.3434739221749263E-3</v>
      </c>
      <c r="G1234" s="408"/>
    </row>
    <row r="1235" spans="2:7">
      <c r="B1235" s="411" t="s">
        <v>388</v>
      </c>
      <c r="C1235" s="415">
        <v>44048</v>
      </c>
      <c r="D1235" s="412">
        <v>16315</v>
      </c>
      <c r="E1235" s="417">
        <v>796863</v>
      </c>
      <c r="F1235" s="425">
        <v>-1.1275450861250999E-2</v>
      </c>
      <c r="G1235" s="408"/>
    </row>
    <row r="1236" spans="2:7">
      <c r="B1236" s="411" t="s">
        <v>388</v>
      </c>
      <c r="C1236" s="415">
        <v>44049</v>
      </c>
      <c r="D1236" s="412">
        <v>16695</v>
      </c>
      <c r="E1236" s="417">
        <v>558035</v>
      </c>
      <c r="F1236" s="425">
        <v>2.302434335033398E-2</v>
      </c>
      <c r="G1236" s="408"/>
    </row>
    <row r="1237" spans="2:7">
      <c r="B1237" s="411" t="s">
        <v>388</v>
      </c>
      <c r="C1237" s="415">
        <v>44050</v>
      </c>
      <c r="D1237" s="412">
        <v>16661</v>
      </c>
      <c r="E1237" s="417">
        <v>395945</v>
      </c>
      <c r="F1237" s="425">
        <v>-2.0386144486860989E-3</v>
      </c>
      <c r="G1237" s="408"/>
    </row>
    <row r="1238" spans="2:7">
      <c r="B1238" s="411" t="s">
        <v>388</v>
      </c>
      <c r="C1238" s="415">
        <v>44054</v>
      </c>
      <c r="D1238" s="412">
        <v>16870</v>
      </c>
      <c r="E1238" s="417">
        <v>789147</v>
      </c>
      <c r="F1238" s="425">
        <v>1.2466237610945277E-2</v>
      </c>
      <c r="G1238" s="408"/>
    </row>
    <row r="1239" spans="2:7">
      <c r="B1239" s="411" t="s">
        <v>388</v>
      </c>
      <c r="C1239" s="415">
        <v>44055</v>
      </c>
      <c r="D1239" s="412">
        <v>16869</v>
      </c>
      <c r="E1239" s="417">
        <v>1037992</v>
      </c>
      <c r="F1239" s="425">
        <v>-5.927857970258903E-5</v>
      </c>
      <c r="G1239" s="408"/>
    </row>
    <row r="1240" spans="2:7">
      <c r="B1240" s="411" t="s">
        <v>388</v>
      </c>
      <c r="C1240" s="415">
        <v>44056</v>
      </c>
      <c r="D1240" s="412">
        <v>17055</v>
      </c>
      <c r="E1240" s="417">
        <v>656578</v>
      </c>
      <c r="F1240" s="425">
        <v>1.096579789243469E-2</v>
      </c>
      <c r="G1240" s="408"/>
    </row>
    <row r="1241" spans="2:7">
      <c r="B1241" s="411" t="s">
        <v>388</v>
      </c>
      <c r="C1241" s="415">
        <v>44057</v>
      </c>
      <c r="D1241" s="412">
        <v>17161</v>
      </c>
      <c r="E1241" s="417">
        <v>705473</v>
      </c>
      <c r="F1241" s="425">
        <v>6.1959515495570551E-3</v>
      </c>
      <c r="G1241" s="408"/>
    </row>
    <row r="1242" spans="2:7">
      <c r="B1242" s="411" t="s">
        <v>388</v>
      </c>
      <c r="C1242" s="415">
        <v>44060</v>
      </c>
      <c r="D1242" s="412">
        <v>17050</v>
      </c>
      <c r="E1242" s="417">
        <v>688340</v>
      </c>
      <c r="F1242" s="425">
        <v>-6.4891636906402039E-3</v>
      </c>
      <c r="G1242" s="408"/>
    </row>
    <row r="1243" spans="2:7">
      <c r="B1243" s="411" t="s">
        <v>388</v>
      </c>
      <c r="C1243" s="415">
        <v>44061</v>
      </c>
      <c r="D1243" s="412">
        <v>17311</v>
      </c>
      <c r="E1243" s="417">
        <v>1025874</v>
      </c>
      <c r="F1243" s="425">
        <v>1.5191933865066726E-2</v>
      </c>
      <c r="G1243" s="408"/>
    </row>
    <row r="1244" spans="2:7">
      <c r="B1244" s="411" t="s">
        <v>388</v>
      </c>
      <c r="C1244" s="415">
        <v>44062</v>
      </c>
      <c r="D1244" s="412">
        <v>17248</v>
      </c>
      <c r="E1244" s="417">
        <v>532561</v>
      </c>
      <c r="F1244" s="425">
        <v>-3.645942868005765E-3</v>
      </c>
      <c r="G1244" s="408"/>
    </row>
    <row r="1245" spans="2:7">
      <c r="B1245" s="411" t="s">
        <v>388</v>
      </c>
      <c r="C1245" s="415">
        <v>44063</v>
      </c>
      <c r="D1245" s="412">
        <v>17042</v>
      </c>
      <c r="E1245" s="417">
        <v>480749</v>
      </c>
      <c r="F1245" s="425">
        <v>-1.2015309320822405E-2</v>
      </c>
      <c r="G1245" s="408"/>
    </row>
    <row r="1246" spans="2:7">
      <c r="B1246" s="411" t="s">
        <v>388</v>
      </c>
      <c r="C1246" s="415">
        <v>44064</v>
      </c>
      <c r="D1246" s="412">
        <v>17057</v>
      </c>
      <c r="E1246" s="417">
        <v>316211</v>
      </c>
      <c r="F1246" s="425">
        <v>8.7979125297172266E-4</v>
      </c>
      <c r="G1246" s="408"/>
    </row>
    <row r="1247" spans="2:7">
      <c r="B1247" s="411" t="s">
        <v>388</v>
      </c>
      <c r="C1247" s="415">
        <v>44067</v>
      </c>
      <c r="D1247" s="412">
        <v>17490</v>
      </c>
      <c r="E1247" s="417">
        <v>506218</v>
      </c>
      <c r="F1247" s="425">
        <v>2.5068612371774872E-2</v>
      </c>
      <c r="G1247" s="408"/>
    </row>
    <row r="1248" spans="2:7">
      <c r="B1248" s="411" t="s">
        <v>388</v>
      </c>
      <c r="C1248" s="415">
        <v>44068</v>
      </c>
      <c r="D1248" s="412">
        <v>17196</v>
      </c>
      <c r="E1248" s="417">
        <v>476094</v>
      </c>
      <c r="F1248" s="425">
        <v>-1.695249039647562E-2</v>
      </c>
      <c r="G1248" s="408"/>
    </row>
    <row r="1249" spans="2:7">
      <c r="B1249" s="411" t="s">
        <v>388</v>
      </c>
      <c r="C1249" s="415">
        <v>44069</v>
      </c>
      <c r="D1249" s="412">
        <v>17002</v>
      </c>
      <c r="E1249" s="417">
        <v>345513</v>
      </c>
      <c r="F1249" s="425">
        <v>-1.1345814438868002E-2</v>
      </c>
      <c r="G1249" s="408"/>
    </row>
    <row r="1250" spans="2:7">
      <c r="B1250" s="411" t="s">
        <v>388</v>
      </c>
      <c r="C1250" s="415">
        <v>44070</v>
      </c>
      <c r="D1250" s="412">
        <v>17083</v>
      </c>
      <c r="E1250" s="417">
        <v>321738</v>
      </c>
      <c r="F1250" s="425">
        <v>4.7528327697534088E-3</v>
      </c>
      <c r="G1250" s="408"/>
    </row>
    <row r="1251" spans="2:7">
      <c r="B1251" s="411" t="s">
        <v>388</v>
      </c>
      <c r="C1251" s="415">
        <v>44071</v>
      </c>
      <c r="D1251" s="412">
        <v>16670</v>
      </c>
      <c r="E1251" s="417">
        <v>667933</v>
      </c>
      <c r="F1251" s="425">
        <v>-2.4473120202217931E-2</v>
      </c>
      <c r="G1251" s="408"/>
    </row>
    <row r="1252" spans="2:7">
      <c r="B1252" s="411" t="s">
        <v>388</v>
      </c>
      <c r="C1252" s="415">
        <v>44074</v>
      </c>
      <c r="D1252" s="412">
        <v>16166</v>
      </c>
      <c r="E1252" s="417">
        <v>1633407</v>
      </c>
      <c r="F1252" s="425">
        <v>-3.0700425451050062E-2</v>
      </c>
      <c r="G1252" s="408"/>
    </row>
    <row r="1253" spans="2:7">
      <c r="B1253" s="411" t="s">
        <v>388</v>
      </c>
      <c r="C1253" s="415">
        <v>44075</v>
      </c>
      <c r="D1253" s="412">
        <v>16299</v>
      </c>
      <c r="E1253" s="417">
        <v>925541</v>
      </c>
      <c r="F1253" s="425">
        <v>8.1934849258431044E-3</v>
      </c>
      <c r="G1253" s="408"/>
    </row>
    <row r="1254" spans="2:7">
      <c r="B1254" s="411" t="s">
        <v>388</v>
      </c>
      <c r="C1254" s="415">
        <v>44076</v>
      </c>
      <c r="D1254" s="412">
        <v>16402</v>
      </c>
      <c r="E1254" s="417">
        <v>841392</v>
      </c>
      <c r="F1254" s="425">
        <v>6.299522376723753E-3</v>
      </c>
      <c r="G1254" s="408"/>
    </row>
    <row r="1255" spans="2:7">
      <c r="B1255" s="411" t="s">
        <v>388</v>
      </c>
      <c r="C1255" s="415">
        <v>44077</v>
      </c>
      <c r="D1255" s="412">
        <v>16404</v>
      </c>
      <c r="E1255" s="417">
        <v>706151</v>
      </c>
      <c r="F1255" s="425">
        <v>1.2192891559339785E-4</v>
      </c>
      <c r="G1255" s="408"/>
    </row>
    <row r="1256" spans="2:7">
      <c r="B1256" s="411" t="s">
        <v>388</v>
      </c>
      <c r="C1256" s="415">
        <v>44078</v>
      </c>
      <c r="D1256" s="412">
        <v>16254</v>
      </c>
      <c r="E1256" s="417">
        <v>505303</v>
      </c>
      <c r="F1256" s="425">
        <v>-9.1861751987997713E-3</v>
      </c>
      <c r="G1256" s="408"/>
    </row>
    <row r="1257" spans="2:7">
      <c r="B1257" s="411" t="s">
        <v>388</v>
      </c>
      <c r="C1257" s="415">
        <v>44081</v>
      </c>
      <c r="D1257" s="412">
        <v>16205</v>
      </c>
      <c r="E1257" s="417">
        <v>375645</v>
      </c>
      <c r="F1257" s="425">
        <v>-3.0191957375024134E-3</v>
      </c>
      <c r="G1257" s="408"/>
    </row>
    <row r="1258" spans="2:7">
      <c r="B1258" s="411" t="s">
        <v>388</v>
      </c>
      <c r="C1258" s="415">
        <v>44082</v>
      </c>
      <c r="D1258" s="412">
        <v>16892</v>
      </c>
      <c r="E1258" s="417">
        <v>805606</v>
      </c>
      <c r="F1258" s="425">
        <v>4.1520300478186417E-2</v>
      </c>
      <c r="G1258" s="408"/>
    </row>
    <row r="1259" spans="2:7">
      <c r="B1259" s="411" t="s">
        <v>388</v>
      </c>
      <c r="C1259" s="415">
        <v>44083</v>
      </c>
      <c r="D1259" s="412">
        <v>17582</v>
      </c>
      <c r="E1259" s="417">
        <v>770026</v>
      </c>
      <c r="F1259" s="425">
        <v>4.0035514357289796E-2</v>
      </c>
      <c r="G1259" s="408"/>
    </row>
    <row r="1260" spans="2:7">
      <c r="B1260" s="411" t="s">
        <v>388</v>
      </c>
      <c r="C1260" s="415">
        <v>44084</v>
      </c>
      <c r="D1260" s="412">
        <v>17934</v>
      </c>
      <c r="E1260" s="417">
        <v>847449</v>
      </c>
      <c r="F1260" s="425">
        <v>1.982270110086887E-2</v>
      </c>
      <c r="G1260" s="408"/>
    </row>
    <row r="1261" spans="2:7">
      <c r="B1261" s="411" t="s">
        <v>388</v>
      </c>
      <c r="C1261" s="415">
        <v>44085</v>
      </c>
      <c r="D1261" s="412">
        <v>18211</v>
      </c>
      <c r="E1261" s="417">
        <v>791011</v>
      </c>
      <c r="F1261" s="425">
        <v>1.5327454583826759E-2</v>
      </c>
      <c r="G1261" s="408"/>
    </row>
    <row r="1262" spans="2:7">
      <c r="B1262" s="411" t="s">
        <v>388</v>
      </c>
      <c r="C1262" s="415">
        <v>44088</v>
      </c>
      <c r="D1262" s="412">
        <v>18217</v>
      </c>
      <c r="E1262" s="417">
        <v>652850</v>
      </c>
      <c r="F1262" s="425">
        <v>3.2941693500922696E-4</v>
      </c>
      <c r="G1262" s="408"/>
    </row>
    <row r="1263" spans="2:7">
      <c r="B1263" s="411" t="s">
        <v>388</v>
      </c>
      <c r="C1263" s="415">
        <v>44089</v>
      </c>
      <c r="D1263" s="412">
        <v>18043</v>
      </c>
      <c r="E1263" s="417">
        <v>655959</v>
      </c>
      <c r="F1263" s="425">
        <v>-9.5974261225304919E-3</v>
      </c>
      <c r="G1263" s="408"/>
    </row>
    <row r="1264" spans="2:7">
      <c r="B1264" s="411" t="s">
        <v>388</v>
      </c>
      <c r="C1264" s="415">
        <v>44090</v>
      </c>
      <c r="D1264" s="412">
        <v>17911</v>
      </c>
      <c r="E1264" s="417">
        <v>655343</v>
      </c>
      <c r="F1264" s="425">
        <v>-7.3427486830398223E-3</v>
      </c>
      <c r="G1264" s="408"/>
    </row>
    <row r="1265" spans="2:7">
      <c r="B1265" s="411" t="s">
        <v>388</v>
      </c>
      <c r="C1265" s="415">
        <v>44091</v>
      </c>
      <c r="D1265" s="412">
        <v>18079</v>
      </c>
      <c r="E1265" s="417">
        <v>1482524</v>
      </c>
      <c r="F1265" s="425">
        <v>9.3359944567559614E-3</v>
      </c>
      <c r="G1265" s="408"/>
    </row>
    <row r="1266" spans="2:7">
      <c r="B1266" s="411" t="s">
        <v>388</v>
      </c>
      <c r="C1266" s="415">
        <v>44092</v>
      </c>
      <c r="D1266" s="412">
        <v>18763</v>
      </c>
      <c r="E1266" s="417">
        <v>2061546</v>
      </c>
      <c r="F1266" s="425">
        <v>3.7135801805360177E-2</v>
      </c>
      <c r="G1266" s="408"/>
    </row>
    <row r="1267" spans="2:7">
      <c r="B1267" s="411" t="s">
        <v>388</v>
      </c>
      <c r="C1267" s="415">
        <v>44095</v>
      </c>
      <c r="D1267" s="412">
        <v>18281</v>
      </c>
      <c r="E1267" s="417">
        <v>776858</v>
      </c>
      <c r="F1267" s="425">
        <v>-2.6024576380289339E-2</v>
      </c>
      <c r="G1267" s="408"/>
    </row>
    <row r="1268" spans="2:7">
      <c r="B1268" s="411" t="s">
        <v>388</v>
      </c>
      <c r="C1268" s="415">
        <v>44096</v>
      </c>
      <c r="D1268" s="412">
        <v>18684</v>
      </c>
      <c r="E1268" s="417">
        <v>841030</v>
      </c>
      <c r="F1268" s="425">
        <v>2.1805273514913348E-2</v>
      </c>
      <c r="G1268" s="408"/>
    </row>
    <row r="1269" spans="2:7">
      <c r="B1269" s="411" t="s">
        <v>388</v>
      </c>
      <c r="C1269" s="415">
        <v>44097</v>
      </c>
      <c r="D1269" s="412">
        <v>18912</v>
      </c>
      <c r="E1269" s="417">
        <v>798241</v>
      </c>
      <c r="F1269" s="425">
        <v>1.2129098583826069E-2</v>
      </c>
      <c r="G1269" s="408"/>
    </row>
    <row r="1270" spans="2:7">
      <c r="B1270" s="411" t="s">
        <v>388</v>
      </c>
      <c r="C1270" s="415">
        <v>44099</v>
      </c>
      <c r="D1270" s="412">
        <v>18846</v>
      </c>
      <c r="E1270" s="417">
        <v>420962</v>
      </c>
      <c r="F1270" s="425">
        <v>-3.4959514391231742E-3</v>
      </c>
      <c r="G1270" s="408"/>
    </row>
    <row r="1271" spans="2:7">
      <c r="B1271" s="411" t="s">
        <v>388</v>
      </c>
      <c r="C1271" s="415">
        <v>44102</v>
      </c>
      <c r="D1271" s="412">
        <v>18957</v>
      </c>
      <c r="E1271" s="417">
        <v>581513</v>
      </c>
      <c r="F1271" s="425">
        <v>5.8725666748633805E-3</v>
      </c>
      <c r="G1271" s="408"/>
    </row>
    <row r="1272" spans="2:7">
      <c r="B1272" s="411" t="s">
        <v>388</v>
      </c>
      <c r="C1272" s="415">
        <v>44103</v>
      </c>
      <c r="D1272" s="412">
        <v>18858</v>
      </c>
      <c r="E1272" s="417">
        <v>607477</v>
      </c>
      <c r="F1272" s="425">
        <v>-5.236029415942341E-3</v>
      </c>
      <c r="G1272" s="408"/>
    </row>
    <row r="1273" spans="2:7">
      <c r="B1273" s="413" t="s">
        <v>388</v>
      </c>
      <c r="C1273" s="416">
        <v>44104</v>
      </c>
      <c r="D1273" s="414">
        <v>18965</v>
      </c>
      <c r="E1273" s="418">
        <v>1596885</v>
      </c>
      <c r="F1273" s="426">
        <v>5.6579480973766964E-3</v>
      </c>
      <c r="G1273" s="408"/>
    </row>
  </sheetData>
  <conditionalFormatting sqref="D7">
    <cfRule type="cellIs" dxfId="766" priority="55" stopIfTrue="1" operator="equal">
      <formula>"ERROR"</formula>
    </cfRule>
    <cfRule type="cellIs" dxfId="765" priority="56" stopIfTrue="1" operator="equal">
      <formula>"OK"</formula>
    </cfRule>
    <cfRule type="cellIs" dxfId="764" priority="57" stopIfTrue="1" operator="equal">
      <formula>"WARNING"</formula>
    </cfRule>
  </conditionalFormatting>
  <conditionalFormatting sqref="C4">
    <cfRule type="cellIs" dxfId="763" priority="52" stopIfTrue="1" operator="equal">
      <formula>"ERROR"</formula>
    </cfRule>
    <cfRule type="cellIs" dxfId="762" priority="53" stopIfTrue="1" operator="equal">
      <formula>"OK"</formula>
    </cfRule>
    <cfRule type="cellIs" dxfId="761" priority="54" stopIfTrue="1" operator="equal">
      <formula>"WARNING"</formula>
    </cfRule>
  </conditionalFormatting>
  <conditionalFormatting sqref="H17">
    <cfRule type="cellIs" dxfId="760" priority="58" stopIfTrue="1" operator="equal">
      <formula>"ERROR"</formula>
    </cfRule>
    <cfRule type="cellIs" dxfId="759" priority="59" stopIfTrue="1" operator="equal">
      <formula>"OK"</formula>
    </cfRule>
    <cfRule type="cellIs" dxfId="758" priority="60" stopIfTrue="1" operator="equal">
      <formula>"WARNING"</formula>
    </cfRule>
  </conditionalFormatting>
  <conditionalFormatting sqref="C12">
    <cfRule type="cellIs" dxfId="757" priority="46" stopIfTrue="1" operator="equal">
      <formula>"ERROR"</formula>
    </cfRule>
  </conditionalFormatting>
  <conditionalFormatting sqref="C12">
    <cfRule type="cellIs" dxfId="756" priority="47" stopIfTrue="1" operator="equal">
      <formula>"OK"</formula>
    </cfRule>
  </conditionalFormatting>
  <conditionalFormatting sqref="C12">
    <cfRule type="cellIs" dxfId="755" priority="48" stopIfTrue="1" operator="equal">
      <formula>"WARNING"</formula>
    </cfRule>
  </conditionalFormatting>
  <conditionalFormatting sqref="S17">
    <cfRule type="cellIs" dxfId="754" priority="10" stopIfTrue="1" operator="equal">
      <formula>"ERROR"</formula>
    </cfRule>
    <cfRule type="cellIs" dxfId="753" priority="11" stopIfTrue="1" operator="equal">
      <formula>"OK"</formula>
    </cfRule>
    <cfRule type="cellIs" dxfId="752" priority="12" stopIfTrue="1" operator="equal">
      <formula>"WARNING"</formula>
    </cfRule>
  </conditionalFormatting>
  <conditionalFormatting sqref="Z17">
    <cfRule type="cellIs" dxfId="751" priority="7" stopIfTrue="1" operator="equal">
      <formula>"ERROR"</formula>
    </cfRule>
    <cfRule type="cellIs" dxfId="750" priority="8" stopIfTrue="1" operator="equal">
      <formula>"OK"</formula>
    </cfRule>
    <cfRule type="cellIs" dxfId="749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/>
  <cols>
    <col min="1" max="1" width="3.75" style="430" customWidth="1"/>
    <col min="2" max="16384" width="9" style="430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AC1" zoomScaleNormal="100" workbookViewId="0">
      <selection activeCell="AP22" sqref="AP22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9.625" style="430" customWidth="1"/>
    <col min="4" max="8" width="11.5" style="430" customWidth="1"/>
    <col min="9" max="9" width="14.75" style="430"/>
    <col min="10" max="10" width="12.125" style="430" customWidth="1"/>
    <col min="11" max="12" width="14.75" style="430"/>
    <col min="13" max="13" width="10.875" style="430" customWidth="1"/>
    <col min="14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70" style="430" bestFit="1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372</v>
      </c>
    </row>
    <row r="2" spans="1:72" ht="26.25">
      <c r="B2" s="2" t="s">
        <v>502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aca="1" ref="C4" ca="1">_xll.d.TestUtils_And(E7:E7)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504</v>
      </c>
      <c r="C7" s="406"/>
      <c r="D7" s="406"/>
      <c r="E7" s="291" t="str">
        <f ca="1">C12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504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aca="1" ref="C12" ca="1">_xll.d.TestUtils_And(I17,R17:S21,AB17,AK17)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500</v>
      </c>
      <c r="C14" s="298"/>
      <c r="D14" s="298"/>
      <c r="E14" s="298"/>
      <c r="F14" s="298"/>
      <c r="G14" s="298"/>
      <c r="H14" s="298"/>
      <c r="I14" s="298"/>
      <c r="K14" s="4" t="s">
        <v>501</v>
      </c>
      <c r="L14" s="298"/>
      <c r="M14" s="298"/>
      <c r="N14" s="298"/>
      <c r="O14" s="298"/>
      <c r="P14" s="298"/>
      <c r="Q14" s="298"/>
      <c r="R14" s="298"/>
      <c r="S14" s="298"/>
      <c r="U14" s="4" t="s">
        <v>493</v>
      </c>
      <c r="V14" s="298"/>
      <c r="W14" s="298"/>
      <c r="X14" s="298"/>
      <c r="Y14" s="298"/>
      <c r="Z14" s="298"/>
      <c r="AA14" s="298"/>
      <c r="AB14" s="298"/>
      <c r="AD14" s="4" t="s">
        <v>497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407</v>
      </c>
      <c r="G16" s="120" t="s">
        <v>408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507</v>
      </c>
      <c r="C17" s="123">
        <v>120</v>
      </c>
      <c r="D17" s="289"/>
      <c r="E17" s="396" cm="1">
        <f t="array" aca="1" ref="E17" ca="1">_xll.d.FX_GarmanKohlhagenFXOptionPricer(C17,C18,C19,C20,C21,C22,C23,C24)</f>
        <v>49.931353791528799</v>
      </c>
      <c r="F17" s="435">
        <f ca="1">((LN(C17/C18)+(C19-C20+0.5*C21^2)*C22))/(C21*SQRT(C22))</f>
        <v>1.0422804977154678</v>
      </c>
      <c r="G17" s="435">
        <f ca="1">F17-C21*SQRT(C22)</f>
        <v>0.29817029082404245</v>
      </c>
      <c r="H17" s="329">
        <f ca="1">C17*EXP(-C20*C22)*_xlfn.NORM.S.DIST(F17,TRUE) -C18*EXP(-C19*C22)*_xlfn.NORM.S.DIST(G17,TRUE)</f>
        <v>49.931353791528799</v>
      </c>
      <c r="I17" s="580" t="str" cm="1">
        <f t="array" aca="1" ref="I17" ca="1">_xll.d.TestUtils_Equal(E17,H17)</f>
        <v>Ok</v>
      </c>
      <c r="K17" s="432" t="s">
        <v>507</v>
      </c>
      <c r="L17" s="123">
        <v>120</v>
      </c>
      <c r="M17" s="289"/>
      <c r="N17" s="122" t="str" cm="1">
        <f t="array" aca="1" ref="N17:O21" ca="1">_xll.d.FX_GarmanKohlhagenFXOptionPricer(L17,L18,L19,L20,L21,L22,L23,L24,"VERBOSE")</f>
        <v>Price</v>
      </c>
      <c r="O17" s="567">
        <f ca="1"/>
        <v>49.931353791528799</v>
      </c>
      <c r="P17" s="122" t="s">
        <v>487</v>
      </c>
      <c r="Q17" s="567">
        <v>49.931353791528799</v>
      </c>
      <c r="R17" s="580" t="str" cm="1">
        <f t="array" aca="1" ref="R17" ca="1">_xll.d.TestUtils_Equal(N17,P17)</f>
        <v>Ok</v>
      </c>
      <c r="S17" s="580" t="str" cm="1">
        <f t="array" aca="1" ref="S17" ca="1">_xll.d.TestUtils_Equal(O17,Q17)</f>
        <v>Ok</v>
      </c>
      <c r="U17" s="432" t="s">
        <v>507</v>
      </c>
      <c r="V17" s="123">
        <v>120</v>
      </c>
      <c r="W17" s="289"/>
      <c r="X17" s="450" t="str" cm="1">
        <f t="array" aca="1" ref="X17" ca="1">_xll.d.FX_GarmanKohlhagenFXOptionPricer(V17,V18,V19,V20,V21,V22,V23,V24)</f>
        <v>#∂Excel Error: Invalid option type: 'Q'</v>
      </c>
      <c r="Y17" s="451"/>
      <c r="Z17" s="452" t="s">
        <v>494</v>
      </c>
      <c r="AA17" s="453"/>
      <c r="AB17" s="329" t="str" cm="1">
        <f t="array" aca="1" ref="AB17" ca="1">_xll.d.TestUtils_Equal(X17,Z17)</f>
        <v>Ok</v>
      </c>
      <c r="AD17" s="432" t="s">
        <v>507</v>
      </c>
      <c r="AE17" s="123">
        <v>120</v>
      </c>
      <c r="AF17" s="289"/>
      <c r="AG17" s="450" t="str" cm="1">
        <f t="array" aca="1" ref="AG17" ca="1">_xll.d.FX_GarmanKohlhagenFXOptionPricer(AE17,AE18,AE19,AE20,AE21,AE22,AE23,AE24)</f>
        <v>#∂Excel Error: Invalid direction: 'Q'</v>
      </c>
      <c r="AH17" s="451"/>
      <c r="AI17" s="452" t="s">
        <v>498</v>
      </c>
      <c r="AJ17" s="453"/>
      <c r="AK17" s="329" t="str" cm="1">
        <f t="array" aca="1" ref="AK17" ca="1">_xll.d.TestUtils_Equal(AG17,AI17)</f>
        <v>Ok</v>
      </c>
    </row>
    <row r="18" spans="2:37">
      <c r="B18" s="433" t="s">
        <v>508</v>
      </c>
      <c r="C18" s="125">
        <v>100</v>
      </c>
      <c r="D18" s="289"/>
      <c r="K18" s="433" t="s">
        <v>508</v>
      </c>
      <c r="L18" s="125">
        <v>100</v>
      </c>
      <c r="M18" s="289"/>
      <c r="N18" s="124" t="str">
        <f ca="1"/>
        <v>d1</v>
      </c>
      <c r="O18" s="568">
        <f ca="1"/>
        <v>1.0422804977154678</v>
      </c>
      <c r="P18" s="124" t="s">
        <v>488</v>
      </c>
      <c r="Q18" s="568">
        <v>1.0422804977154678</v>
      </c>
      <c r="R18" s="580" t="str" cm="1">
        <f t="array" aca="1" ref="R18" ca="1">_xll.d.TestUtils_Equal(N18,P18)</f>
        <v>Ok</v>
      </c>
      <c r="S18" s="580" t="str" cm="1">
        <f t="array" aca="1" ref="S18" ca="1">_xll.d.TestUtils_Equal(O18,Q18)</f>
        <v>Ok</v>
      </c>
      <c r="U18" s="433" t="s">
        <v>508</v>
      </c>
      <c r="V18" s="125">
        <v>100</v>
      </c>
      <c r="W18" s="289"/>
      <c r="AD18" s="433" t="s">
        <v>508</v>
      </c>
      <c r="AE18" s="125">
        <v>100</v>
      </c>
      <c r="AF18" s="289"/>
    </row>
    <row r="19" spans="2:37">
      <c r="B19" s="433" t="s">
        <v>505</v>
      </c>
      <c r="C19" s="125">
        <v>0.1</v>
      </c>
      <c r="D19" s="289"/>
      <c r="K19" s="433" t="s">
        <v>505</v>
      </c>
      <c r="L19" s="125">
        <v>0.1</v>
      </c>
      <c r="M19" s="289"/>
      <c r="N19" s="124" t="str">
        <f ca="1"/>
        <v>d2</v>
      </c>
      <c r="O19" s="568">
        <f ca="1"/>
        <v>0.29817029082404245</v>
      </c>
      <c r="P19" s="124" t="s">
        <v>489</v>
      </c>
      <c r="Q19" s="568">
        <v>0.29817029082404245</v>
      </c>
      <c r="R19" s="580" t="str" cm="1">
        <f t="array" aca="1" ref="R19" ca="1">_xll.d.TestUtils_Equal(N19,P19)</f>
        <v>Ok</v>
      </c>
      <c r="S19" s="580" t="str" cm="1">
        <f t="array" aca="1" ref="S19" ca="1">_xll.d.TestUtils_Equal(O19,Q19)</f>
        <v>Ok</v>
      </c>
      <c r="U19" s="433" t="s">
        <v>505</v>
      </c>
      <c r="V19" s="125">
        <v>0.1</v>
      </c>
      <c r="W19" s="289"/>
      <c r="AD19" s="433" t="s">
        <v>505</v>
      </c>
      <c r="AE19" s="125">
        <v>0.1</v>
      </c>
      <c r="AF19" s="289"/>
    </row>
    <row r="20" spans="2:37">
      <c r="B20" s="433" t="s">
        <v>506</v>
      </c>
      <c r="C20" s="125">
        <v>0.03</v>
      </c>
      <c r="D20" s="289"/>
      <c r="E20" s="290"/>
      <c r="K20" s="433" t="s">
        <v>506</v>
      </c>
      <c r="L20" s="125">
        <v>0.03</v>
      </c>
      <c r="M20" s="289"/>
      <c r="N20" s="124" t="str">
        <f ca="1"/>
        <v>Domestic Discount Factor</v>
      </c>
      <c r="O20" s="568">
        <f ca="1"/>
        <v>0.63635416972508707</v>
      </c>
      <c r="P20" s="124" t="s">
        <v>509</v>
      </c>
      <c r="Q20" s="568">
        <v>0.63635416972508707</v>
      </c>
      <c r="R20" s="580" t="str" cm="1">
        <f t="array" aca="1" ref="R20" ca="1">_xll.d.TestUtils_Equal(N20,P20)</f>
        <v>Ok</v>
      </c>
      <c r="S20" s="580" t="str" cm="1">
        <f t="array" aca="1" ref="S20" ca="1">_xll.d.TestUtils_Equal(O20,Q20)</f>
        <v>Ok</v>
      </c>
      <c r="U20" s="433" t="s">
        <v>506</v>
      </c>
      <c r="V20" s="125">
        <v>0.03</v>
      </c>
      <c r="W20" s="289"/>
      <c r="AD20" s="433" t="s">
        <v>506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N21" s="126" t="str">
        <f ca="1"/>
        <v>Foreign Discount Factor</v>
      </c>
      <c r="O21" s="569">
        <f ca="1"/>
        <v>0.8731918393784367</v>
      </c>
      <c r="P21" s="126" t="s">
        <v>510</v>
      </c>
      <c r="Q21" s="569">
        <v>0.8731918393784367</v>
      </c>
      <c r="R21" s="580" t="str" cm="1">
        <f t="array" aca="1" ref="R21" ca="1">_xll.d.TestUtils_Equal(N21,P21)</f>
        <v>Ok</v>
      </c>
      <c r="S21" s="580" t="str" cm="1">
        <f t="array" aca="1" ref="S21" ca="1">_xll.d.TestUtils_Equal(O21,Q21)</f>
        <v>Ok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406</v>
      </c>
      <c r="C22" s="125">
        <v>4.5199999999999996</v>
      </c>
      <c r="D22" s="289"/>
      <c r="E22" s="290"/>
      <c r="K22" s="433" t="s">
        <v>406</v>
      </c>
      <c r="L22" s="125">
        <v>4.5199999999999996</v>
      </c>
      <c r="M22" s="289"/>
      <c r="U22" s="433" t="s">
        <v>406</v>
      </c>
      <c r="V22" s="125">
        <v>4.5199999999999996</v>
      </c>
      <c r="W22" s="289"/>
      <c r="AD22" s="433" t="s">
        <v>406</v>
      </c>
      <c r="AE22" s="125">
        <v>4.5199999999999996</v>
      </c>
      <c r="AF22" s="289"/>
    </row>
    <row r="23" spans="2:37">
      <c r="B23" s="433" t="s">
        <v>403</v>
      </c>
      <c r="C23" s="125" t="s">
        <v>410</v>
      </c>
      <c r="D23" s="289"/>
      <c r="E23" s="290"/>
      <c r="K23" s="433" t="s">
        <v>403</v>
      </c>
      <c r="L23" s="125" t="s">
        <v>410</v>
      </c>
      <c r="M23" s="289"/>
      <c r="U23" s="433" t="s">
        <v>403</v>
      </c>
      <c r="V23" s="125" t="s">
        <v>492</v>
      </c>
      <c r="W23" s="289"/>
      <c r="AD23" s="433" t="s">
        <v>403</v>
      </c>
      <c r="AE23" s="125" t="s">
        <v>410</v>
      </c>
      <c r="AF23" s="289"/>
    </row>
    <row r="24" spans="2:37">
      <c r="B24" s="434" t="s">
        <v>409</v>
      </c>
      <c r="C24" s="127" t="s">
        <v>411</v>
      </c>
      <c r="D24" s="289"/>
      <c r="E24" s="290"/>
      <c r="K24" s="434" t="s">
        <v>409</v>
      </c>
      <c r="L24" s="127" t="s">
        <v>411</v>
      </c>
      <c r="M24" s="289"/>
      <c r="U24" s="434" t="s">
        <v>409</v>
      </c>
      <c r="V24" s="127" t="s">
        <v>411</v>
      </c>
      <c r="W24" s="289"/>
      <c r="AD24" s="434" t="s">
        <v>409</v>
      </c>
      <c r="AE24" s="127" t="s">
        <v>492</v>
      </c>
      <c r="AF24" s="289"/>
    </row>
    <row r="25" spans="2:37">
      <c r="D25" s="289"/>
      <c r="E25" s="290"/>
    </row>
    <row r="26" spans="2:37">
      <c r="D26" s="289"/>
      <c r="E26" s="290"/>
    </row>
    <row r="44" spans="9:9">
      <c r="I44" s="430">
        <v>100</v>
      </c>
    </row>
    <row r="49" spans="2:17">
      <c r="B49" s="774" t="s">
        <v>594</v>
      </c>
      <c r="C49" s="775"/>
      <c r="D49" s="1093" t="s">
        <v>595</v>
      </c>
      <c r="E49" s="1094"/>
      <c r="F49" s="1094"/>
      <c r="G49" s="1094"/>
      <c r="H49" s="1094"/>
      <c r="I49" s="1094"/>
      <c r="J49" s="1094"/>
      <c r="K49" s="1094"/>
      <c r="L49" s="1094"/>
      <c r="M49" s="1094"/>
      <c r="N49" s="1094"/>
      <c r="O49" s="1094"/>
      <c r="P49" s="1094"/>
      <c r="Q49" s="1095"/>
    </row>
    <row r="50" spans="2:17">
      <c r="B50" s="776"/>
      <c r="C50" s="777"/>
      <c r="D50" s="778" t="s">
        <v>596</v>
      </c>
      <c r="E50" s="778" t="s">
        <v>22</v>
      </c>
      <c r="F50" s="778" t="s">
        <v>597</v>
      </c>
      <c r="G50" s="778" t="s">
        <v>0</v>
      </c>
      <c r="H50" s="778" t="s">
        <v>598</v>
      </c>
      <c r="I50" s="778">
        <v>0.1</v>
      </c>
      <c r="J50" s="778">
        <v>0.15</v>
      </c>
      <c r="K50" s="778">
        <v>0.25</v>
      </c>
      <c r="L50" s="778">
        <v>0.35</v>
      </c>
      <c r="M50" s="778">
        <v>0.5</v>
      </c>
      <c r="N50" s="778">
        <v>0.65</v>
      </c>
      <c r="O50" s="778">
        <v>0.75</v>
      </c>
      <c r="P50" s="778">
        <v>0.85</v>
      </c>
      <c r="Q50" s="778">
        <v>0.9</v>
      </c>
    </row>
    <row r="51" spans="2:17">
      <c r="B51" s="1096" t="s">
        <v>22</v>
      </c>
      <c r="C51" s="779" t="s">
        <v>599</v>
      </c>
      <c r="D51" s="780" t="s">
        <v>600</v>
      </c>
      <c r="E51" s="781" t="s">
        <v>601</v>
      </c>
      <c r="F51" s="781">
        <v>0</v>
      </c>
      <c r="G51" s="782">
        <v>44271</v>
      </c>
      <c r="H51" s="783">
        <v>0</v>
      </c>
      <c r="I51" s="784">
        <v>0.23735000000000001</v>
      </c>
      <c r="J51" s="784">
        <v>0.23036999999999999</v>
      </c>
      <c r="K51" s="784">
        <v>0.21776000000000001</v>
      </c>
      <c r="L51" s="784">
        <v>0.2089</v>
      </c>
      <c r="M51" s="784">
        <v>0.20050000000000001</v>
      </c>
      <c r="N51" s="784">
        <v>0.19572000000000001</v>
      </c>
      <c r="O51" s="784">
        <v>0.19381000000000001</v>
      </c>
      <c r="P51" s="784">
        <v>0.19347</v>
      </c>
      <c r="Q51" s="785">
        <v>0.19361999999999999</v>
      </c>
    </row>
    <row r="52" spans="2:17">
      <c r="B52" s="1097"/>
      <c r="C52" s="786" t="s">
        <v>602</v>
      </c>
      <c r="D52" s="780" t="s">
        <v>603</v>
      </c>
      <c r="E52" s="781" t="s">
        <v>604</v>
      </c>
      <c r="F52" s="781">
        <v>1</v>
      </c>
      <c r="G52" s="782">
        <v>44278</v>
      </c>
      <c r="H52" s="783">
        <v>1.9178082191780823E-2</v>
      </c>
      <c r="I52" s="781">
        <v>0.23735000000000001</v>
      </c>
      <c r="J52" s="781">
        <v>0.23036999999999999</v>
      </c>
      <c r="K52" s="781">
        <v>0.21776000000000001</v>
      </c>
      <c r="L52" s="781">
        <v>0.2089</v>
      </c>
      <c r="M52" s="781">
        <v>0.20050000000000001</v>
      </c>
      <c r="N52" s="781">
        <v>0.19572000000000001</v>
      </c>
      <c r="O52" s="781">
        <v>0.19381000000000001</v>
      </c>
      <c r="P52" s="781">
        <v>0.19347</v>
      </c>
      <c r="Q52" s="787">
        <v>0.19361999999999999</v>
      </c>
    </row>
    <row r="53" spans="2:17">
      <c r="B53" s="1097"/>
      <c r="C53" s="786" t="s">
        <v>605</v>
      </c>
      <c r="D53" s="780" t="s">
        <v>603</v>
      </c>
      <c r="E53" s="781" t="s">
        <v>604</v>
      </c>
      <c r="F53" s="781">
        <v>2</v>
      </c>
      <c r="G53" s="782">
        <v>44285</v>
      </c>
      <c r="H53" s="783">
        <v>3.8356164383561646E-2</v>
      </c>
      <c r="I53" s="781">
        <v>0.22594999999999998</v>
      </c>
      <c r="J53" s="781">
        <v>0.21847999999999998</v>
      </c>
      <c r="K53" s="781">
        <v>0.20504</v>
      </c>
      <c r="L53" s="781">
        <v>0.19561000000000001</v>
      </c>
      <c r="M53" s="781">
        <v>0.18652999999999997</v>
      </c>
      <c r="N53" s="781">
        <v>0.18160000000000001</v>
      </c>
      <c r="O53" s="781">
        <v>0.1794</v>
      </c>
      <c r="P53" s="781">
        <v>0.17873999999999998</v>
      </c>
      <c r="Q53" s="787">
        <v>0.17879999999999999</v>
      </c>
    </row>
    <row r="54" spans="2:17">
      <c r="B54" s="1097"/>
      <c r="C54" s="786" t="s">
        <v>606</v>
      </c>
      <c r="D54" s="780" t="s">
        <v>603</v>
      </c>
      <c r="E54" s="781" t="s">
        <v>604</v>
      </c>
      <c r="F54" s="781">
        <v>3</v>
      </c>
      <c r="G54" s="782">
        <v>44292</v>
      </c>
      <c r="H54" s="783">
        <v>5.7534246575342465E-2</v>
      </c>
      <c r="I54" s="781">
        <v>0.22193000000000002</v>
      </c>
      <c r="J54" s="781">
        <v>0.21437999999999999</v>
      </c>
      <c r="K54" s="781">
        <v>0.20069999999999999</v>
      </c>
      <c r="L54" s="781">
        <v>0.19102</v>
      </c>
      <c r="M54" s="781">
        <v>0.18158000000000002</v>
      </c>
      <c r="N54" s="781">
        <v>0.17664000000000002</v>
      </c>
      <c r="O54" s="781">
        <v>0.17432999999999998</v>
      </c>
      <c r="P54" s="781">
        <v>0.17348</v>
      </c>
      <c r="Q54" s="787">
        <v>0.17341000000000001</v>
      </c>
    </row>
    <row r="55" spans="2:17">
      <c r="B55" s="1097"/>
      <c r="C55" s="786" t="s">
        <v>607</v>
      </c>
      <c r="D55" s="780" t="s">
        <v>608</v>
      </c>
      <c r="E55" s="781" t="s">
        <v>609</v>
      </c>
      <c r="F55" s="781">
        <v>1</v>
      </c>
      <c r="G55" s="782">
        <v>44302</v>
      </c>
      <c r="H55" s="783">
        <v>8.4931506849315067E-2</v>
      </c>
      <c r="I55" s="781">
        <v>0.21949000000000002</v>
      </c>
      <c r="J55" s="781">
        <v>0.21193999999999999</v>
      </c>
      <c r="K55" s="781">
        <v>0.19812000000000002</v>
      </c>
      <c r="L55" s="781">
        <v>0.18825</v>
      </c>
      <c r="M55" s="781">
        <v>0.17850000000000002</v>
      </c>
      <c r="N55" s="781">
        <v>0.17361000000000001</v>
      </c>
      <c r="O55" s="781">
        <v>0.17122000000000001</v>
      </c>
      <c r="P55" s="781">
        <v>0.17024</v>
      </c>
      <c r="Q55" s="787">
        <v>0.17004999999999998</v>
      </c>
    </row>
    <row r="56" spans="2:17">
      <c r="B56" s="1097"/>
      <c r="C56" s="786" t="s">
        <v>610</v>
      </c>
      <c r="D56" s="780" t="s">
        <v>608</v>
      </c>
      <c r="E56" s="781" t="s">
        <v>609</v>
      </c>
      <c r="F56" s="781">
        <v>2</v>
      </c>
      <c r="G56" s="782">
        <v>44333</v>
      </c>
      <c r="H56" s="783">
        <v>0.16986301369863013</v>
      </c>
      <c r="I56" s="781">
        <v>0.21809999999999999</v>
      </c>
      <c r="J56" s="781">
        <v>0.21034</v>
      </c>
      <c r="K56" s="781">
        <v>0.19597999999999999</v>
      </c>
      <c r="L56" s="781">
        <v>0.18550999999999998</v>
      </c>
      <c r="M56" s="781">
        <v>0.17475000000000002</v>
      </c>
      <c r="N56" s="781">
        <v>0.16995000000000002</v>
      </c>
      <c r="O56" s="781">
        <v>0.16721</v>
      </c>
      <c r="P56" s="781">
        <v>0.16556999999999999</v>
      </c>
      <c r="Q56" s="787">
        <v>0.16499</v>
      </c>
    </row>
    <row r="57" spans="2:17">
      <c r="B57" s="1097"/>
      <c r="C57" s="786" t="s">
        <v>611</v>
      </c>
      <c r="D57" s="780" t="s">
        <v>608</v>
      </c>
      <c r="E57" s="781" t="s">
        <v>609</v>
      </c>
      <c r="F57" s="781">
        <v>3</v>
      </c>
      <c r="G57" s="782">
        <v>44364</v>
      </c>
      <c r="H57" s="783">
        <v>0.25479452054794521</v>
      </c>
      <c r="I57" s="781">
        <v>0.21678999999999998</v>
      </c>
      <c r="J57" s="781">
        <v>0.20879999999999999</v>
      </c>
      <c r="K57" s="781">
        <v>0.19389000000000001</v>
      </c>
      <c r="L57" s="781">
        <v>0.18296999999999999</v>
      </c>
      <c r="M57" s="781">
        <v>0.17149999999999999</v>
      </c>
      <c r="N57" s="781">
        <v>0.16674</v>
      </c>
      <c r="O57" s="781">
        <v>0.16377</v>
      </c>
      <c r="P57" s="781">
        <v>0.16194</v>
      </c>
      <c r="Q57" s="787">
        <v>0.16126000000000001</v>
      </c>
    </row>
    <row r="58" spans="2:17">
      <c r="B58" s="1097"/>
      <c r="C58" s="786" t="s">
        <v>612</v>
      </c>
      <c r="D58" s="780" t="s">
        <v>608</v>
      </c>
      <c r="E58" s="781" t="s">
        <v>609</v>
      </c>
      <c r="F58" s="781">
        <v>6</v>
      </c>
      <c r="G58" s="782">
        <v>44455</v>
      </c>
      <c r="H58" s="783">
        <v>0.50410958904109593</v>
      </c>
      <c r="I58" s="781">
        <v>0.21841000000000002</v>
      </c>
      <c r="J58" s="781">
        <v>0.21010999999999999</v>
      </c>
      <c r="K58" s="781">
        <v>0.19431999999999999</v>
      </c>
      <c r="L58" s="781">
        <v>0.18254999999999999</v>
      </c>
      <c r="M58" s="781">
        <v>0.16975000000000001</v>
      </c>
      <c r="N58" s="781">
        <v>0.16550000000000001</v>
      </c>
      <c r="O58" s="781">
        <v>0.16238</v>
      </c>
      <c r="P58" s="781">
        <v>0.16031999999999999</v>
      </c>
      <c r="Q58" s="787">
        <v>0.15953000000000001</v>
      </c>
    </row>
    <row r="59" spans="2:17">
      <c r="B59" s="1097"/>
      <c r="C59" s="786" t="s">
        <v>613</v>
      </c>
      <c r="D59" s="780" t="s">
        <v>335</v>
      </c>
      <c r="E59" s="781" t="s">
        <v>614</v>
      </c>
      <c r="F59" s="781">
        <v>1</v>
      </c>
      <c r="G59" s="782">
        <v>44636</v>
      </c>
      <c r="H59" s="783">
        <v>1</v>
      </c>
      <c r="I59" s="781">
        <v>0.21946000000000002</v>
      </c>
      <c r="J59" s="781">
        <v>0.21112999999999998</v>
      </c>
      <c r="K59" s="781">
        <v>0.19488</v>
      </c>
      <c r="L59" s="781">
        <v>0.18240999999999999</v>
      </c>
      <c r="M59" s="781">
        <v>0.16800000000000001</v>
      </c>
      <c r="N59" s="781">
        <v>0.16440000000000002</v>
      </c>
      <c r="O59" s="781">
        <v>0.16089999999999999</v>
      </c>
      <c r="P59" s="781">
        <v>0.15842000000000001</v>
      </c>
      <c r="Q59" s="787">
        <v>0.15742</v>
      </c>
    </row>
    <row r="60" spans="2:17">
      <c r="B60" s="1097"/>
      <c r="C60" s="786" t="s">
        <v>615</v>
      </c>
      <c r="D60" s="788" t="s">
        <v>608</v>
      </c>
      <c r="E60" s="789" t="s">
        <v>609</v>
      </c>
      <c r="F60" s="789">
        <v>18</v>
      </c>
      <c r="G60" s="782">
        <v>44820</v>
      </c>
      <c r="H60" s="783">
        <v>1.5041095890410958</v>
      </c>
      <c r="I60" s="789">
        <v>0.22447</v>
      </c>
      <c r="J60" s="789">
        <v>0.21585000000000001</v>
      </c>
      <c r="K60" s="789">
        <v>0.19878000000000001</v>
      </c>
      <c r="L60" s="789">
        <v>0.18539999999999998</v>
      </c>
      <c r="M60" s="789">
        <v>0.16927</v>
      </c>
      <c r="N60" s="789">
        <v>0.1661</v>
      </c>
      <c r="O60" s="789">
        <v>0.16197</v>
      </c>
      <c r="P60" s="789">
        <v>0.15887000000000001</v>
      </c>
      <c r="Q60" s="790">
        <v>0.15762999999999999</v>
      </c>
    </row>
    <row r="61" spans="2:17">
      <c r="B61" s="1097"/>
      <c r="C61" s="791" t="s">
        <v>616</v>
      </c>
      <c r="D61" s="792" t="s">
        <v>335</v>
      </c>
      <c r="E61" s="793" t="s">
        <v>614</v>
      </c>
      <c r="F61" s="793">
        <v>2</v>
      </c>
      <c r="G61" s="794">
        <v>45001</v>
      </c>
      <c r="H61" s="795">
        <v>2</v>
      </c>
      <c r="I61" s="793">
        <v>0.22708999999999999</v>
      </c>
      <c r="J61" s="793">
        <v>0.21848999999999999</v>
      </c>
      <c r="K61" s="793">
        <v>0.2011</v>
      </c>
      <c r="L61" s="793">
        <v>0.18716000000000002</v>
      </c>
      <c r="M61" s="793">
        <v>0.16975000000000001</v>
      </c>
      <c r="N61" s="793">
        <v>0.16710999999999998</v>
      </c>
      <c r="O61" s="793">
        <v>0.16262000000000001</v>
      </c>
      <c r="P61" s="793">
        <v>0.15914</v>
      </c>
      <c r="Q61" s="796">
        <v>0.15765999999999999</v>
      </c>
    </row>
    <row r="67" spans="5:5">
      <c r="E67" s="430" t="e" cm="1">
        <f t="array" aca="1" ref="E67" ca="1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748" priority="16" stopIfTrue="1" operator="equal">
      <formula>"ERROR"</formula>
    </cfRule>
    <cfRule type="cellIs" dxfId="747" priority="17" stopIfTrue="1" operator="equal">
      <formula>"OK"</formula>
    </cfRule>
    <cfRule type="cellIs" dxfId="746" priority="18" stopIfTrue="1" operator="equal">
      <formula>"WARNING"</formula>
    </cfRule>
  </conditionalFormatting>
  <conditionalFormatting sqref="C4">
    <cfRule type="cellIs" dxfId="745" priority="13" stopIfTrue="1" operator="equal">
      <formula>"ERROR"</formula>
    </cfRule>
    <cfRule type="cellIs" dxfId="744" priority="14" stopIfTrue="1" operator="equal">
      <formula>"OK"</formula>
    </cfRule>
    <cfRule type="cellIs" dxfId="743" priority="15" stopIfTrue="1" operator="equal">
      <formula>"WARNING"</formula>
    </cfRule>
  </conditionalFormatting>
  <conditionalFormatting sqref="C12">
    <cfRule type="cellIs" dxfId="742" priority="10" stopIfTrue="1" operator="equal">
      <formula>"ERROR"</formula>
    </cfRule>
  </conditionalFormatting>
  <conditionalFormatting sqref="C12">
    <cfRule type="cellIs" dxfId="741" priority="11" stopIfTrue="1" operator="equal">
      <formula>"OK"</formula>
    </cfRule>
  </conditionalFormatting>
  <conditionalFormatting sqref="C12">
    <cfRule type="cellIs" dxfId="740" priority="12" stopIfTrue="1" operator="equal">
      <formula>"WARNING"</formula>
    </cfRule>
  </conditionalFormatting>
  <conditionalFormatting sqref="I17:J17 T17">
    <cfRule type="cellIs" dxfId="739" priority="19" stopIfTrue="1" operator="equal">
      <formula>"ERROR"</formula>
    </cfRule>
    <cfRule type="cellIs" dxfId="738" priority="20" stopIfTrue="1" operator="equal">
      <formula>"OK"</formula>
    </cfRule>
    <cfRule type="cellIs" dxfId="737" priority="21" stopIfTrue="1" operator="equal">
      <formula>"WARNING"</formula>
    </cfRule>
  </conditionalFormatting>
  <conditionalFormatting sqref="AB17">
    <cfRule type="cellIs" dxfId="736" priority="7" stopIfTrue="1" operator="equal">
      <formula>"ERROR"</formula>
    </cfRule>
    <cfRule type="cellIs" dxfId="735" priority="8" stopIfTrue="1" operator="equal">
      <formula>"OK"</formula>
    </cfRule>
    <cfRule type="cellIs" dxfId="734" priority="9" stopIfTrue="1" operator="equal">
      <formula>"WARNING"</formula>
    </cfRule>
  </conditionalFormatting>
  <conditionalFormatting sqref="AK17">
    <cfRule type="cellIs" dxfId="733" priority="4" stopIfTrue="1" operator="equal">
      <formula>"ERROR"</formula>
    </cfRule>
    <cfRule type="cellIs" dxfId="732" priority="5" stopIfTrue="1" operator="equal">
      <formula>"OK"</formula>
    </cfRule>
    <cfRule type="cellIs" dxfId="731" priority="6" stopIfTrue="1" operator="equal">
      <formula>"WARNING"</formula>
    </cfRule>
  </conditionalFormatting>
  <conditionalFormatting sqref="R17:S21">
    <cfRule type="cellIs" dxfId="730" priority="1" stopIfTrue="1" operator="equal">
      <formula>"ERROR"</formula>
    </cfRule>
    <cfRule type="cellIs" dxfId="729" priority="2" stopIfTrue="1" operator="equal">
      <formula>"OK"</formula>
    </cfRule>
    <cfRule type="cellIs" dxfId="728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topLeftCell="L1" zoomScale="85" zoomScaleNormal="85" workbookViewId="0">
      <selection activeCell="AB21" sqref="AB21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12.375" style="430" customWidth="1"/>
    <col min="4" max="8" width="11.5" style="430" customWidth="1"/>
    <col min="9" max="9" width="14.75" style="430"/>
    <col min="10" max="10" width="12.125" style="430" customWidth="1"/>
    <col min="11" max="11" width="20.125" style="430" customWidth="1"/>
    <col min="12" max="12" width="14.75" style="430"/>
    <col min="13" max="13" width="10.875" style="430" customWidth="1"/>
    <col min="14" max="14" width="18.25" style="430" bestFit="1" customWidth="1"/>
    <col min="15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22.5" style="430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372</v>
      </c>
    </row>
    <row r="2" spans="1:72" ht="26.25">
      <c r="B2" s="2" t="s">
        <v>646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aca="1" ref="C4" ca="1">_xll.d.TestUtils_And(E7:E7)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504</v>
      </c>
      <c r="C7" s="406"/>
      <c r="D7" s="406"/>
      <c r="E7" s="291" t="str">
        <f ca="1">C12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504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aca="1" ref="C12" ca="1">_xll.d.TestUtils_And(I17,R17:S21,AB17,AK17)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500</v>
      </c>
      <c r="C14" s="298"/>
      <c r="D14" s="298"/>
      <c r="E14" s="298"/>
      <c r="F14" s="298"/>
      <c r="G14" s="298"/>
      <c r="H14" s="298"/>
      <c r="I14" s="298"/>
      <c r="K14" s="4" t="s">
        <v>501</v>
      </c>
      <c r="L14" s="298"/>
      <c r="M14" s="298"/>
      <c r="N14" s="298"/>
      <c r="O14" s="298"/>
      <c r="P14" s="298"/>
      <c r="Q14" s="298"/>
      <c r="R14" s="298"/>
      <c r="S14" s="298"/>
      <c r="U14" s="4" t="s">
        <v>493</v>
      </c>
      <c r="V14" s="298"/>
      <c r="W14" s="298"/>
      <c r="X14" s="298"/>
      <c r="Y14" s="298"/>
      <c r="Z14" s="298"/>
      <c r="AA14" s="298"/>
      <c r="AB14" s="298"/>
      <c r="AD14" s="4" t="s">
        <v>497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407</v>
      </c>
      <c r="G16" s="120" t="s">
        <v>408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507</v>
      </c>
      <c r="C17" s="123">
        <v>120</v>
      </c>
      <c r="D17" s="289"/>
      <c r="E17" s="396" cm="1">
        <f t="array" ref="E17">_xll.d.FX_GarmanKohlhagenFXOptionPricer(C17,C18,C19,C20,C21,C22,C23,C24)</f>
        <v>49.931353791528799</v>
      </c>
      <c r="F17" s="435">
        <f>((LN(C17/C18)+(C19-C20+0.5*C21^2)*C22))/(C21*SQRT(C22))</f>
        <v>1.0422804977154678</v>
      </c>
      <c r="G17" s="435">
        <f>F17-C21*SQRT(C22)</f>
        <v>0.29817029082404245</v>
      </c>
      <c r="H17" s="329">
        <f>C17*EXP(-C20*C22)*_xlfn.NORM.S.DIST(F17,TRUE) -C18*EXP(-C19*C22)*_xlfn.NORM.S.DIST(G17,TRUE)</f>
        <v>49.931353791528799</v>
      </c>
      <c r="I17" s="580" t="str" cm="1">
        <f t="array" aca="1" ref="I17" ca="1">_xll.d.TestUtils_Equal(E17,H17)</f>
        <v>Ok</v>
      </c>
      <c r="K17" s="432" t="s">
        <v>507</v>
      </c>
      <c r="L17" s="123">
        <v>120</v>
      </c>
      <c r="M17" s="289"/>
      <c r="N17" s="122" t="str" cm="1">
        <f t="array" ref="N17:O21">_xll.d.FX_GarmanKohlhagenFXOptionPricer(L17,L18,L19,L20,L21,L22,L23,L24,"VERBOSE")</f>
        <v>Price</v>
      </c>
      <c r="O17" s="567">
        <v>49.931353791528799</v>
      </c>
      <c r="P17" s="122" t="s">
        <v>487</v>
      </c>
      <c r="Q17" s="567">
        <v>49.931353791528799</v>
      </c>
      <c r="R17" s="580" t="str" cm="1">
        <f t="array" aca="1" ref="R17" ca="1">_xll.d.TestUtils_Equal(N17,P17)</f>
        <v>Ok</v>
      </c>
      <c r="S17" s="580" t="str" cm="1">
        <f t="array" aca="1" ref="S17" ca="1">_xll.d.TestUtils_Equal(O17,Q17)</f>
        <v>Ok</v>
      </c>
      <c r="U17" s="432" t="s">
        <v>507</v>
      </c>
      <c r="V17" s="123">
        <v>120</v>
      </c>
      <c r="W17" s="289"/>
      <c r="X17" s="450" t="str" cm="1">
        <f t="array" aca="1" ref="X17" ca="1">_xll.d.FX_GarmanKohlhagenFXOptionPricer(V17,V18,V19,V20,V21,V22,V23,V24)</f>
        <v>#∂Excel Error: Invalid option type: 'Q'</v>
      </c>
      <c r="Y17" s="451"/>
      <c r="Z17" s="452" t="s">
        <v>494</v>
      </c>
      <c r="AA17" s="453"/>
      <c r="AB17" s="329" t="str" cm="1">
        <f t="array" aca="1" ref="AB17" ca="1">_xll.d.TestUtils_Equal(X17,Z17)</f>
        <v>Ok</v>
      </c>
      <c r="AD17" s="432" t="s">
        <v>507</v>
      </c>
      <c r="AE17" s="123">
        <v>120</v>
      </c>
      <c r="AF17" s="289"/>
      <c r="AG17" s="450" t="str" cm="1">
        <f t="array" ref="AG17">_xll.d.FX_GarmanKohlhagenFXOptionPricer(AE17,AE18,AE19,AE20,AE21,AE22,AE23,AE24)</f>
        <v>#∂Excel Error: Invalid direction: 'Q'</v>
      </c>
      <c r="AH17" s="451"/>
      <c r="AI17" s="452" t="s">
        <v>498</v>
      </c>
      <c r="AJ17" s="453"/>
      <c r="AK17" s="329" t="str" cm="1">
        <f t="array" aca="1" ref="AK17" ca="1">_xll.d.TestUtils_Equal(AG17,AI17)</f>
        <v>Ok</v>
      </c>
    </row>
    <row r="18" spans="2:37">
      <c r="B18" s="433" t="s">
        <v>508</v>
      </c>
      <c r="C18" s="125">
        <v>100</v>
      </c>
      <c r="D18" s="289"/>
      <c r="K18" s="433" t="s">
        <v>508</v>
      </c>
      <c r="L18" s="125">
        <v>100</v>
      </c>
      <c r="M18" s="289"/>
      <c r="N18" s="124" t="str">
        <v>d1</v>
      </c>
      <c r="O18" s="568">
        <v>1.0422804977154678</v>
      </c>
      <c r="P18" s="124" t="s">
        <v>488</v>
      </c>
      <c r="Q18" s="568">
        <v>1.0422804977154678</v>
      </c>
      <c r="R18" s="580" t="str" cm="1">
        <f t="array" aca="1" ref="R18" ca="1">_xll.d.TestUtils_Equal(N18,P18)</f>
        <v>Ok</v>
      </c>
      <c r="S18" s="580" t="str" cm="1">
        <f t="array" aca="1" ref="S18" ca="1">_xll.d.TestUtils_Equal(O18,Q18)</f>
        <v>Ok</v>
      </c>
      <c r="U18" s="433" t="s">
        <v>508</v>
      </c>
      <c r="V18" s="125">
        <v>100</v>
      </c>
      <c r="W18" s="289"/>
      <c r="AD18" s="433" t="s">
        <v>508</v>
      </c>
      <c r="AE18" s="125">
        <v>100</v>
      </c>
      <c r="AF18" s="289"/>
    </row>
    <row r="19" spans="2:37">
      <c r="B19" s="433" t="s">
        <v>505</v>
      </c>
      <c r="C19" s="125">
        <v>0.1</v>
      </c>
      <c r="D19" s="289"/>
      <c r="K19" s="433" t="s">
        <v>505</v>
      </c>
      <c r="L19" s="125">
        <v>0.1</v>
      </c>
      <c r="M19" s="289"/>
      <c r="N19" s="124" t="str">
        <v>d2</v>
      </c>
      <c r="O19" s="568">
        <v>0.29817029082404245</v>
      </c>
      <c r="P19" s="124" t="s">
        <v>489</v>
      </c>
      <c r="Q19" s="568">
        <v>0.29817029082404245</v>
      </c>
      <c r="R19" s="580" t="str" cm="1">
        <f t="array" aca="1" ref="R19" ca="1">_xll.d.TestUtils_Equal(N19,P19)</f>
        <v>Ok</v>
      </c>
      <c r="S19" s="580" t="str" cm="1">
        <f t="array" aca="1" ref="S19" ca="1">_xll.d.TestUtils_Equal(O19,Q19)</f>
        <v>Ok</v>
      </c>
      <c r="U19" s="433" t="s">
        <v>505</v>
      </c>
      <c r="V19" s="125">
        <v>0.1</v>
      </c>
      <c r="W19" s="289"/>
      <c r="AD19" s="433" t="s">
        <v>505</v>
      </c>
      <c r="AE19" s="125">
        <v>0.1</v>
      </c>
      <c r="AF19" s="289"/>
    </row>
    <row r="20" spans="2:37">
      <c r="B20" s="433" t="s">
        <v>506</v>
      </c>
      <c r="C20" s="125">
        <v>0.03</v>
      </c>
      <c r="D20" s="289"/>
      <c r="E20" s="290"/>
      <c r="K20" s="433" t="s">
        <v>506</v>
      </c>
      <c r="L20" s="125">
        <v>0.03</v>
      </c>
      <c r="M20" s="289"/>
      <c r="N20" s="124" t="str">
        <v>Domestic Discount Factor</v>
      </c>
      <c r="O20" s="568">
        <v>0.63635416972508707</v>
      </c>
      <c r="P20" s="124" t="s">
        <v>509</v>
      </c>
      <c r="Q20" s="568">
        <v>0.63635416972508707</v>
      </c>
      <c r="R20" s="580" t="str" cm="1">
        <f t="array" aca="1" ref="R20" ca="1">_xll.d.TestUtils_Equal(N20,P20)</f>
        <v>Ok</v>
      </c>
      <c r="S20" s="580" t="str" cm="1">
        <f t="array" aca="1" ref="S20" ca="1">_xll.d.TestUtils_Equal(O20,Q20)</f>
        <v>Ok</v>
      </c>
      <c r="U20" s="433" t="s">
        <v>506</v>
      </c>
      <c r="V20" s="125">
        <v>0.03</v>
      </c>
      <c r="W20" s="289"/>
      <c r="AD20" s="433" t="s">
        <v>506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N21" s="126" t="str">
        <v>Foreign Discount Factor</v>
      </c>
      <c r="O21" s="569">
        <v>0.8731918393784367</v>
      </c>
      <c r="P21" s="126" t="s">
        <v>510</v>
      </c>
      <c r="Q21" s="569">
        <v>0.8731918393784367</v>
      </c>
      <c r="R21" s="580" t="str" cm="1">
        <f t="array" aca="1" ref="R21" ca="1">_xll.d.TestUtils_Equal(N21,P21)</f>
        <v>Ok</v>
      </c>
      <c r="S21" s="580" t="str" cm="1">
        <f t="array" aca="1" ref="S21" ca="1">_xll.d.TestUtils_Equal(O21,Q21)</f>
        <v>Ok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406</v>
      </c>
      <c r="C22" s="125">
        <v>4.5199999999999996</v>
      </c>
      <c r="D22" s="289"/>
      <c r="E22" s="290"/>
      <c r="K22" s="433" t="s">
        <v>406</v>
      </c>
      <c r="L22" s="125">
        <v>4.5199999999999996</v>
      </c>
      <c r="M22" s="289"/>
      <c r="U22" s="433" t="s">
        <v>406</v>
      </c>
      <c r="V22" s="125">
        <v>4.5199999999999996</v>
      </c>
      <c r="W22" s="289"/>
      <c r="AD22" s="433" t="s">
        <v>406</v>
      </c>
      <c r="AE22" s="125">
        <v>4.5199999999999996</v>
      </c>
      <c r="AF22" s="289"/>
    </row>
    <row r="23" spans="2:37">
      <c r="B23" s="433" t="s">
        <v>403</v>
      </c>
      <c r="C23" s="125" t="s">
        <v>410</v>
      </c>
      <c r="D23" s="289"/>
      <c r="E23" s="290"/>
      <c r="K23" s="433" t="s">
        <v>403</v>
      </c>
      <c r="L23" s="125" t="s">
        <v>410</v>
      </c>
      <c r="M23" s="289"/>
      <c r="U23" s="433" t="s">
        <v>403</v>
      </c>
      <c r="V23" s="125" t="s">
        <v>492</v>
      </c>
      <c r="W23" s="289"/>
      <c r="AD23" s="433" t="s">
        <v>403</v>
      </c>
      <c r="AE23" s="125" t="s">
        <v>410</v>
      </c>
      <c r="AF23" s="289"/>
    </row>
    <row r="24" spans="2:37">
      <c r="B24" s="434" t="s">
        <v>409</v>
      </c>
      <c r="C24" s="127" t="s">
        <v>411</v>
      </c>
      <c r="D24" s="289"/>
      <c r="E24" s="290"/>
      <c r="K24" s="434" t="s">
        <v>409</v>
      </c>
      <c r="L24" s="127" t="s">
        <v>411</v>
      </c>
      <c r="M24" s="289"/>
      <c r="U24" s="434" t="s">
        <v>409</v>
      </c>
      <c r="V24" s="127" t="s">
        <v>411</v>
      </c>
      <c r="W24" s="289"/>
      <c r="AD24" s="434" t="s">
        <v>409</v>
      </c>
      <c r="AE24" s="127" t="s">
        <v>492</v>
      </c>
      <c r="AF24" s="289"/>
    </row>
    <row r="25" spans="2:37">
      <c r="D25" s="289"/>
      <c r="E25" s="290"/>
    </row>
    <row r="26" spans="2:37">
      <c r="D26" s="289"/>
      <c r="E26" s="290"/>
    </row>
    <row r="28" spans="2:37">
      <c r="B28" s="8">
        <v>45016</v>
      </c>
    </row>
    <row r="30" spans="2:37">
      <c r="E30" s="859">
        <v>0.9</v>
      </c>
      <c r="F30" s="859">
        <v>0.85</v>
      </c>
      <c r="G30" s="859">
        <v>0.8</v>
      </c>
      <c r="H30" s="859">
        <v>0.75</v>
      </c>
      <c r="I30" s="859">
        <v>0.7</v>
      </c>
      <c r="J30" s="859">
        <v>0.65</v>
      </c>
      <c r="K30" s="859">
        <v>0.6</v>
      </c>
      <c r="L30" s="859">
        <v>0.55000000000000004</v>
      </c>
      <c r="M30" s="859">
        <v>0.5</v>
      </c>
      <c r="N30" s="859">
        <v>0.45</v>
      </c>
      <c r="O30" s="859">
        <v>0.4</v>
      </c>
      <c r="P30" s="859">
        <v>0.35</v>
      </c>
      <c r="Q30" s="859">
        <v>0.29999999999999899</v>
      </c>
      <c r="R30" s="859">
        <v>0.249999999999998</v>
      </c>
      <c r="S30" s="859">
        <v>0.19999999999999701</v>
      </c>
      <c r="T30" s="859">
        <v>0.149999999999996</v>
      </c>
      <c r="U30" s="859">
        <v>9.9999999999994996E-2</v>
      </c>
    </row>
    <row r="31" spans="2:37">
      <c r="B31" s="858" t="s">
        <v>599</v>
      </c>
      <c r="C31" s="8" cm="1">
        <f t="array" aca="1" ref="C31" ca="1">_xll.d.Dates_AddTenorToDate($B$28,B31,"ZAR","MODFOL")</f>
        <v>45019</v>
      </c>
      <c r="D31" s="860" cm="1">
        <f t="array" aca="1" ref="D31" ca="1">_xll.d.Dates_Act360($B$28,C31)</f>
        <v>8.3333333333333332E-3</v>
      </c>
      <c r="E31" s="858">
        <v>5.8049999999999997E-2</v>
      </c>
      <c r="F31" s="858">
        <v>5.6619999999999997E-2</v>
      </c>
      <c r="G31" s="858">
        <v>5.5640000000000002E-2</v>
      </c>
      <c r="H31" s="858">
        <v>5.4900000000000004E-2</v>
      </c>
      <c r="I31" s="858">
        <v>5.4320000000000007E-2</v>
      </c>
      <c r="J31" s="858">
        <v>5.3859999999999998E-2</v>
      </c>
      <c r="K31" s="858">
        <v>5.3499999999999999E-2</v>
      </c>
      <c r="L31" s="858">
        <v>5.3200000000000004E-2</v>
      </c>
      <c r="M31" s="858">
        <v>5.2969999999999996E-2</v>
      </c>
      <c r="N31" s="858">
        <v>5.2809999999999996E-2</v>
      </c>
      <c r="O31" s="858">
        <v>5.2699999999999997E-2</v>
      </c>
      <c r="P31" s="858">
        <v>5.2670000000000002E-2</v>
      </c>
      <c r="Q31" s="858">
        <v>5.2720000000000003E-2</v>
      </c>
      <c r="R31" s="858">
        <v>5.287E-2</v>
      </c>
      <c r="S31" s="858">
        <v>5.3170000000000002E-2</v>
      </c>
      <c r="T31" s="858">
        <v>5.3699999999999998E-2</v>
      </c>
      <c r="U31" s="858">
        <v>5.4699999999999999E-2</v>
      </c>
    </row>
    <row r="32" spans="2:37">
      <c r="B32" s="858" t="s">
        <v>602</v>
      </c>
      <c r="C32" s="8" cm="1">
        <f t="array" ref="C32">_xll.d.Dates_AddTenorToDate($B$28,B32,"ZAR","MODFOL")</f>
        <v>45027</v>
      </c>
      <c r="D32" s="860" cm="1">
        <f t="array" aca="1" ref="D32" ca="1">_xll.d.Dates_Act360($B$28,C32)</f>
        <v>3.0555555555555555E-2</v>
      </c>
      <c r="E32" s="858">
        <v>8.5220000000000004E-2</v>
      </c>
      <c r="F32" s="858">
        <v>8.3699999999999997E-2</v>
      </c>
      <c r="G32" s="858">
        <v>8.2650000000000001E-2</v>
      </c>
      <c r="H32" s="858">
        <v>8.1839999999999996E-2</v>
      </c>
      <c r="I32" s="858">
        <v>8.1210000000000004E-2</v>
      </c>
      <c r="J32" s="858">
        <v>8.0690000000000012E-2</v>
      </c>
      <c r="K32" s="858">
        <v>8.0269999999999994E-2</v>
      </c>
      <c r="L32" s="858">
        <v>7.9930000000000001E-2</v>
      </c>
      <c r="M32" s="858">
        <v>7.9660000000000009E-2</v>
      </c>
      <c r="N32" s="858">
        <v>7.9460000000000003E-2</v>
      </c>
      <c r="O32" s="858">
        <v>7.9310000000000005E-2</v>
      </c>
      <c r="P32" s="858">
        <v>7.9240000000000005E-2</v>
      </c>
      <c r="Q32" s="858">
        <v>7.9250000000000001E-2</v>
      </c>
      <c r="R32" s="858">
        <v>7.9369999999999996E-2</v>
      </c>
      <c r="S32" s="858">
        <v>7.9640000000000002E-2</v>
      </c>
      <c r="T32" s="858">
        <v>8.0139999999999989E-2</v>
      </c>
      <c r="U32" s="858">
        <v>8.1089999999999995E-2</v>
      </c>
    </row>
    <row r="33" spans="2:76">
      <c r="B33" s="858" t="s">
        <v>605</v>
      </c>
      <c r="C33" s="8" cm="1">
        <f t="array" aca="1" ref="C33" ca="1">_xll.d.Dates_AddTenorToDate($B$28,B33,"ZAR","MODFOL")</f>
        <v>45030</v>
      </c>
      <c r="D33" s="860" cm="1">
        <f t="array" aca="1" ref="D33" ca="1">_xll.d.Dates_Act360($B$28,C33)</f>
        <v>3.888888888888889E-2</v>
      </c>
      <c r="E33" s="858">
        <v>9.11E-2</v>
      </c>
      <c r="F33" s="858">
        <v>8.9469999999999994E-2</v>
      </c>
      <c r="G33" s="858">
        <v>8.8249999999999995E-2</v>
      </c>
      <c r="H33" s="858">
        <v>8.727E-2</v>
      </c>
      <c r="I33" s="858">
        <v>8.6449999999999999E-2</v>
      </c>
      <c r="J33" s="858">
        <v>8.5760000000000003E-2</v>
      </c>
      <c r="K33" s="858">
        <v>8.5169999999999996E-2</v>
      </c>
      <c r="L33" s="858">
        <v>8.4680000000000005E-2</v>
      </c>
      <c r="M33" s="858">
        <v>8.43E-2</v>
      </c>
      <c r="N33" s="858">
        <v>8.4010000000000001E-2</v>
      </c>
      <c r="O33" s="858">
        <v>8.3819999999999992E-2</v>
      </c>
      <c r="P33" s="858">
        <v>8.3729999999999999E-2</v>
      </c>
      <c r="Q33" s="858">
        <v>8.3750000000000005E-2</v>
      </c>
      <c r="R33" s="858">
        <v>8.387E-2</v>
      </c>
      <c r="S33" s="858">
        <v>8.410999999999999E-2</v>
      </c>
      <c r="T33" s="858">
        <v>8.4499999999999992E-2</v>
      </c>
      <c r="U33" s="858">
        <v>8.5099999999999995E-2</v>
      </c>
    </row>
    <row r="34" spans="2:76">
      <c r="B34" s="858" t="s">
        <v>607</v>
      </c>
      <c r="C34" s="8" cm="1">
        <f t="array" ref="C34">_xll.d.Dates_AddTenorToDate($B$28,B34,"ZAR","MODFOL")</f>
        <v>45044</v>
      </c>
      <c r="D34" s="860" cm="1">
        <f t="array" aca="1" ref="D34" ca="1">_xll.d.Dates_Act360($B$28,C34)</f>
        <v>7.7777777777777779E-2</v>
      </c>
      <c r="E34" s="858">
        <v>8.4700000000000011E-2</v>
      </c>
      <c r="F34" s="858">
        <v>8.2589999999999997E-2</v>
      </c>
      <c r="G34" s="858">
        <v>8.1069999999999989E-2</v>
      </c>
      <c r="H34" s="858">
        <v>7.9880000000000007E-2</v>
      </c>
      <c r="I34" s="858">
        <v>7.893E-2</v>
      </c>
      <c r="J34" s="858">
        <v>7.8140000000000001E-2</v>
      </c>
      <c r="K34" s="858">
        <v>7.7499999999999999E-2</v>
      </c>
      <c r="L34" s="858">
        <v>7.6969999999999997E-2</v>
      </c>
      <c r="M34" s="858">
        <v>7.6550000000000007E-2</v>
      </c>
      <c r="N34" s="858">
        <v>7.6230000000000006E-2</v>
      </c>
      <c r="O34" s="858">
        <v>7.5990000000000002E-2</v>
      </c>
      <c r="P34" s="858">
        <v>7.5850000000000001E-2</v>
      </c>
      <c r="Q34" s="858">
        <v>7.5810000000000002E-2</v>
      </c>
      <c r="R34" s="858">
        <v>7.5880000000000003E-2</v>
      </c>
      <c r="S34" s="858">
        <v>7.6100000000000001E-2</v>
      </c>
      <c r="T34" s="858">
        <v>7.6499999999999999E-2</v>
      </c>
      <c r="U34" s="858">
        <v>7.7199999999999991E-2</v>
      </c>
    </row>
    <row r="35" spans="2:76">
      <c r="B35" s="858" t="s">
        <v>610</v>
      </c>
      <c r="C35" s="8" cm="1">
        <f t="array" ref="C35">_xll.d.Dates_AddTenorToDate($B$28,B35,"ZAR","MODFOL")</f>
        <v>45077</v>
      </c>
      <c r="D35" s="860" cm="1">
        <f t="array" aca="1" ref="D35" ca="1">_xll.d.Dates_Act360($B$28,C35)</f>
        <v>0.16944444444444445</v>
      </c>
      <c r="E35" s="858">
        <v>9.0370000000000006E-2</v>
      </c>
      <c r="F35" s="858">
        <v>8.77E-2</v>
      </c>
      <c r="G35" s="858">
        <v>8.5739999999999997E-2</v>
      </c>
      <c r="H35" s="858">
        <v>8.4190000000000001E-2</v>
      </c>
      <c r="I35" s="858">
        <v>8.2919999999999994E-2</v>
      </c>
      <c r="J35" s="858">
        <v>8.1869999999999998E-2</v>
      </c>
      <c r="K35" s="858">
        <v>8.0990000000000006E-2</v>
      </c>
      <c r="L35" s="858">
        <v>8.0259999999999998E-2</v>
      </c>
      <c r="M35" s="858">
        <v>7.9699999999999993E-2</v>
      </c>
      <c r="N35" s="858">
        <v>7.9259999999999997E-2</v>
      </c>
      <c r="O35" s="858">
        <v>7.8920000000000004E-2</v>
      </c>
      <c r="P35" s="858">
        <v>7.8710000000000002E-2</v>
      </c>
      <c r="Q35" s="858">
        <v>7.8630000000000005E-2</v>
      </c>
      <c r="R35" s="858">
        <v>7.8689999999999996E-2</v>
      </c>
      <c r="S35" s="858">
        <v>7.8899999999999998E-2</v>
      </c>
      <c r="T35" s="858">
        <v>7.9310000000000005E-2</v>
      </c>
      <c r="U35" s="858">
        <v>8.0020000000000008E-2</v>
      </c>
    </row>
    <row r="36" spans="2:76">
      <c r="B36" s="858" t="s">
        <v>611</v>
      </c>
      <c r="C36" s="8" cm="1">
        <f t="array" aca="1" ref="C36" ca="1">_xll.d.Dates_AddTenorToDate($B$28,B36,"ZAR","MODFOL")</f>
        <v>45107</v>
      </c>
      <c r="D36" s="860" cm="1">
        <f t="array" aca="1" ref="D36" ca="1">_xll.d.Dates_Act360($B$28,C36)</f>
        <v>0.25277777777777777</v>
      </c>
      <c r="E36" s="858">
        <v>9.2950000000000005E-2</v>
      </c>
      <c r="F36" s="858">
        <v>8.9540000000000008E-2</v>
      </c>
      <c r="G36" s="858">
        <v>8.7120000000000003E-2</v>
      </c>
      <c r="H36" s="858">
        <v>8.5260000000000002E-2</v>
      </c>
      <c r="I36" s="858">
        <v>8.3780000000000007E-2</v>
      </c>
      <c r="J36" s="858">
        <v>8.2569999999999991E-2</v>
      </c>
      <c r="K36" s="858">
        <v>8.1570000000000004E-2</v>
      </c>
      <c r="L36" s="858">
        <v>8.0749999999999988E-2</v>
      </c>
      <c r="M36" s="858">
        <v>8.0129999999999993E-2</v>
      </c>
      <c r="N36" s="858">
        <v>7.9619999999999996E-2</v>
      </c>
      <c r="O36" s="858">
        <v>7.9199999999999993E-2</v>
      </c>
      <c r="P36" s="858">
        <v>7.8909999999999994E-2</v>
      </c>
      <c r="Q36" s="858">
        <v>7.8750000000000001E-2</v>
      </c>
      <c r="R36" s="858">
        <v>7.8750000000000001E-2</v>
      </c>
      <c r="S36" s="858">
        <v>7.8949999999999992E-2</v>
      </c>
      <c r="T36" s="858">
        <v>7.9399999999999998E-2</v>
      </c>
      <c r="U36" s="858">
        <v>8.0299999999999996E-2</v>
      </c>
    </row>
    <row r="37" spans="2:76">
      <c r="B37" s="858" t="s">
        <v>612</v>
      </c>
      <c r="C37" s="8" cm="1">
        <f t="array" ref="C37">_xll.d.Dates_AddTenorToDate($B$28,B37,"ZAR","MODFOL")</f>
        <v>45198</v>
      </c>
      <c r="D37" s="860" cm="1">
        <f t="array" aca="1" ref="D37" ca="1">_xll.d.Dates_Act360($B$28,C37)</f>
        <v>0.50555555555555554</v>
      </c>
      <c r="E37" s="858">
        <v>9.7029999999999991E-2</v>
      </c>
      <c r="F37" s="858">
        <v>9.257E-2</v>
      </c>
      <c r="G37" s="858">
        <v>8.9369999999999991E-2</v>
      </c>
      <c r="H37" s="858">
        <v>8.6899999999999991E-2</v>
      </c>
      <c r="I37" s="858">
        <v>8.4900000000000003E-2</v>
      </c>
      <c r="J37" s="858">
        <v>8.3269999999999997E-2</v>
      </c>
      <c r="K37" s="858">
        <v>8.1910000000000011E-2</v>
      </c>
      <c r="L37" s="858">
        <v>8.0779999999999991E-2</v>
      </c>
      <c r="M37" s="858">
        <v>0.08</v>
      </c>
      <c r="N37" s="858">
        <v>7.934999999999999E-2</v>
      </c>
      <c r="O37" s="858">
        <v>7.8730000000000008E-2</v>
      </c>
      <c r="P37" s="858">
        <v>7.8289999999999998E-2</v>
      </c>
      <c r="Q37" s="858">
        <v>7.8030000000000002E-2</v>
      </c>
      <c r="R37" s="858">
        <v>7.7979999999999994E-2</v>
      </c>
      <c r="S37" s="858">
        <v>7.8189999999999996E-2</v>
      </c>
      <c r="T37" s="858">
        <v>7.8739999999999991E-2</v>
      </c>
      <c r="U37" s="858">
        <v>7.9839999999999994E-2</v>
      </c>
    </row>
    <row r="38" spans="2:76">
      <c r="B38" s="858" t="s">
        <v>647</v>
      </c>
      <c r="C38" s="8" cm="1">
        <f t="array" ref="C38">_xll.d.Dates_AddTenorToDate($B$28,B38,"ZAR","MODFOL")</f>
        <v>45289</v>
      </c>
      <c r="D38" s="860" cm="1">
        <f t="array" aca="1" ref="D38" ca="1">_xll.d.Dates_Act360($B$28,C38)</f>
        <v>0.7583333333333333</v>
      </c>
      <c r="E38" s="858">
        <v>9.8659999999999998E-2</v>
      </c>
      <c r="F38" s="858">
        <v>9.3829999999999997E-2</v>
      </c>
      <c r="G38" s="858">
        <v>9.0299999999999991E-2</v>
      </c>
      <c r="H38" s="858">
        <v>8.7520000000000001E-2</v>
      </c>
      <c r="I38" s="858">
        <v>8.5250000000000006E-2</v>
      </c>
      <c r="J38" s="858">
        <v>8.3360000000000004E-2</v>
      </c>
      <c r="K38" s="858">
        <v>8.1790000000000002E-2</v>
      </c>
      <c r="L38" s="858">
        <v>8.0489999999999992E-2</v>
      </c>
      <c r="M38" s="858">
        <v>7.9699999999999993E-2</v>
      </c>
      <c r="N38" s="858">
        <v>7.9039999999999999E-2</v>
      </c>
      <c r="O38" s="858">
        <v>7.8329999999999997E-2</v>
      </c>
      <c r="P38" s="858">
        <v>7.7850000000000003E-2</v>
      </c>
      <c r="Q38" s="858">
        <v>7.7609999999999998E-2</v>
      </c>
      <c r="R38" s="858">
        <v>7.7600000000000002E-2</v>
      </c>
      <c r="S38" s="858">
        <v>7.7869999999999995E-2</v>
      </c>
      <c r="T38" s="858">
        <v>7.8469999999999998E-2</v>
      </c>
      <c r="U38" s="858">
        <v>7.9570000000000002E-2</v>
      </c>
    </row>
    <row r="39" spans="2:76">
      <c r="B39" s="858" t="s">
        <v>613</v>
      </c>
      <c r="C39" s="8" cm="1">
        <f t="array" aca="1" ref="C39" ca="1">_xll.d.Dates_AddTenorToDate($B$28,B39,"ZAR","MODFOL")</f>
        <v>45379</v>
      </c>
      <c r="D39" s="860" cm="1">
        <f t="array" aca="1" ref="D39" ca="1">_xll.d.Dates_Act360($B$28,C39)</f>
        <v>1.0083333333333333</v>
      </c>
      <c r="E39" s="858">
        <v>0.10061999999999999</v>
      </c>
      <c r="F39" s="858">
        <v>9.5100000000000004E-2</v>
      </c>
      <c r="G39" s="858">
        <v>9.1090000000000004E-2</v>
      </c>
      <c r="H39" s="858">
        <v>8.795E-2</v>
      </c>
      <c r="I39" s="858">
        <v>8.541E-2</v>
      </c>
      <c r="J39" s="858">
        <v>8.3309999999999995E-2</v>
      </c>
      <c r="K39" s="858">
        <v>8.158E-2</v>
      </c>
      <c r="L39" s="858">
        <v>8.0149999999999999E-2</v>
      </c>
      <c r="M39" s="858">
        <v>7.9399999999999998E-2</v>
      </c>
      <c r="N39" s="858">
        <v>7.8750000000000001E-2</v>
      </c>
      <c r="O39" s="858">
        <v>7.7939999999999995E-2</v>
      </c>
      <c r="P39" s="858">
        <v>7.7380000000000004E-2</v>
      </c>
      <c r="Q39" s="858">
        <v>7.707E-2</v>
      </c>
      <c r="R39" s="858">
        <v>7.7030000000000001E-2</v>
      </c>
      <c r="S39" s="858">
        <v>7.7289999999999998E-2</v>
      </c>
      <c r="T39" s="858">
        <v>7.7929999999999999E-2</v>
      </c>
      <c r="U39" s="858">
        <v>7.9140000000000002E-2</v>
      </c>
    </row>
    <row r="40" spans="2:76">
      <c r="B40" s="858" t="s">
        <v>616</v>
      </c>
      <c r="C40" s="8" cm="1">
        <f t="array" ref="C40">_xll.d.Dates_AddTenorToDate($B$28,B40,"ZAR","MODFOL")</f>
        <v>45747</v>
      </c>
      <c r="D40" s="860" cm="1">
        <f t="array" aca="1" ref="D40" ca="1">_xll.d.Dates_Act360($B$28,C40)</f>
        <v>2.0305555555555554</v>
      </c>
      <c r="E40" s="858">
        <v>0.10005000000000001</v>
      </c>
      <c r="F40" s="858">
        <v>9.4689999999999996E-2</v>
      </c>
      <c r="G40" s="858">
        <v>9.0899999999999995E-2</v>
      </c>
      <c r="H40" s="858">
        <v>8.8000000000000009E-2</v>
      </c>
      <c r="I40" s="858">
        <v>8.5699999999999998E-2</v>
      </c>
      <c r="J40" s="858">
        <v>8.3829999999999988E-2</v>
      </c>
      <c r="K40" s="858">
        <v>8.2309999999999994E-2</v>
      </c>
      <c r="L40" s="858">
        <v>8.1079999999999999E-2</v>
      </c>
      <c r="M40" s="858">
        <v>8.0799999999999997E-2</v>
      </c>
      <c r="N40" s="858">
        <v>8.054E-2</v>
      </c>
      <c r="O40" s="858">
        <v>7.9689999999999997E-2</v>
      </c>
      <c r="P40" s="858">
        <v>7.9070000000000001E-2</v>
      </c>
      <c r="Q40" s="858">
        <v>7.8710000000000002E-2</v>
      </c>
      <c r="R40" s="858">
        <v>7.8630000000000005E-2</v>
      </c>
      <c r="S40" s="858">
        <v>7.8899999999999998E-2</v>
      </c>
      <c r="T40" s="858">
        <v>7.9660000000000009E-2</v>
      </c>
      <c r="U40" s="858">
        <v>8.1240000000000007E-2</v>
      </c>
    </row>
    <row r="41" spans="2:76">
      <c r="B41" s="858" t="s">
        <v>629</v>
      </c>
      <c r="C41" s="8" cm="1">
        <f t="array" ref="C41">_xll.d.Dates_AddTenorToDate($B$28,B41,"ZAR","MODFOL")</f>
        <v>46112</v>
      </c>
      <c r="D41" s="860" cm="1">
        <f t="array" aca="1" ref="D41" ca="1">_xll.d.Dates_Act360($B$28,C41)</f>
        <v>3.0444444444444443</v>
      </c>
      <c r="E41" s="858">
        <v>9.7989999999999994E-2</v>
      </c>
      <c r="F41" s="858">
        <v>9.3240000000000003E-2</v>
      </c>
      <c r="G41" s="858">
        <v>8.9939999999999992E-2</v>
      </c>
      <c r="H41" s="858">
        <v>8.7479999999999988E-2</v>
      </c>
      <c r="I41" s="858">
        <v>8.5580000000000003E-2</v>
      </c>
      <c r="J41" s="858">
        <v>8.4079999999999988E-2</v>
      </c>
      <c r="K41" s="858">
        <v>8.2909999999999998E-2</v>
      </c>
      <c r="L41" s="858">
        <v>8.2029999999999992E-2</v>
      </c>
      <c r="M41" s="858">
        <v>8.2100000000000006E-2</v>
      </c>
      <c r="N41" s="858">
        <v>8.2180000000000003E-2</v>
      </c>
      <c r="O41" s="858">
        <v>8.1500000000000003E-2</v>
      </c>
      <c r="P41" s="858">
        <v>8.1069999999999989E-2</v>
      </c>
      <c r="Q41" s="858">
        <v>8.0920000000000006E-2</v>
      </c>
      <c r="R41" s="858">
        <v>8.1089999999999995E-2</v>
      </c>
      <c r="S41" s="858">
        <v>8.166000000000001E-2</v>
      </c>
      <c r="T41" s="858">
        <v>8.2840000000000011E-2</v>
      </c>
      <c r="U41" s="858">
        <v>8.5050000000000014E-2</v>
      </c>
    </row>
    <row r="42" spans="2:76">
      <c r="B42" s="858" t="s">
        <v>631</v>
      </c>
      <c r="C42" s="8" cm="1">
        <f t="array" ref="C42">_xll.d.Dates_AddTenorToDate($B$28,B42,"ZAR","MODFOL")</f>
        <v>46843</v>
      </c>
      <c r="D42" s="860" cm="1">
        <f t="array" aca="1" ref="D42" ca="1">_xll.d.Dates_Act360($B$28,C42)</f>
        <v>5.0750000000000002</v>
      </c>
      <c r="E42" s="858">
        <v>0.10098000000000001</v>
      </c>
      <c r="F42" s="858">
        <v>9.6449999999999994E-2</v>
      </c>
      <c r="G42" s="858">
        <v>9.3339999999999992E-2</v>
      </c>
      <c r="H42" s="858">
        <v>9.1060000000000002E-2</v>
      </c>
      <c r="I42" s="858">
        <v>8.9349999999999999E-2</v>
      </c>
      <c r="J42" s="858">
        <v>8.8059999999999986E-2</v>
      </c>
      <c r="K42" s="858">
        <v>8.7120000000000003E-2</v>
      </c>
      <c r="L42" s="858">
        <v>8.6510000000000004E-2</v>
      </c>
      <c r="M42" s="858">
        <v>8.6899999999999991E-2</v>
      </c>
      <c r="N42" s="858">
        <v>8.7449999999999986E-2</v>
      </c>
      <c r="O42" s="858">
        <v>8.6709999999999995E-2</v>
      </c>
      <c r="P42" s="858">
        <v>8.6279999999999996E-2</v>
      </c>
      <c r="Q42" s="858">
        <v>8.6190000000000003E-2</v>
      </c>
      <c r="R42" s="858">
        <v>8.6460000000000009E-2</v>
      </c>
      <c r="S42" s="858">
        <v>8.72E-2</v>
      </c>
      <c r="T42" s="858">
        <v>8.8610000000000008E-2</v>
      </c>
      <c r="U42" s="858">
        <v>9.1170000000000015E-2</v>
      </c>
    </row>
    <row r="43" spans="2:76">
      <c r="B43" s="858" t="s">
        <v>633</v>
      </c>
      <c r="C43" s="8" cm="1">
        <f t="array" aca="1" ref="C43" ca="1">_xll.d.Dates_AddTenorToDate($B$28,B43,"ZAR","MODFOL")</f>
        <v>47571</v>
      </c>
      <c r="D43" s="860" cm="1">
        <f t="array" aca="1" ref="D43" ca="1">_xll.d.Dates_Act360($B$28,C43)</f>
        <v>7.0972222222222223</v>
      </c>
      <c r="E43" s="858">
        <v>0.10459</v>
      </c>
      <c r="F43" s="858">
        <v>9.9830000000000002E-2</v>
      </c>
      <c r="G43" s="858">
        <v>9.6630000000000008E-2</v>
      </c>
      <c r="H43" s="858">
        <v>9.4339999999999993E-2</v>
      </c>
      <c r="I43" s="858">
        <v>9.2660000000000006E-2</v>
      </c>
      <c r="J43" s="858">
        <v>9.1440000000000007E-2</v>
      </c>
      <c r="K43" s="858">
        <v>9.0619999999999992E-2</v>
      </c>
      <c r="L43" s="858">
        <v>9.0150000000000008E-2</v>
      </c>
      <c r="M43" s="858">
        <v>9.0500000000000011E-2</v>
      </c>
      <c r="N43" s="858">
        <v>9.1080000000000008E-2</v>
      </c>
      <c r="O43" s="858">
        <v>9.0389999999999998E-2</v>
      </c>
      <c r="P43" s="858">
        <v>9.0060000000000001E-2</v>
      </c>
      <c r="Q43" s="858">
        <v>9.0090000000000003E-2</v>
      </c>
      <c r="R43" s="858">
        <v>9.0530000000000013E-2</v>
      </c>
      <c r="S43" s="858">
        <v>9.1499999999999998E-2</v>
      </c>
      <c r="T43" s="858">
        <v>9.3240000000000003E-2</v>
      </c>
      <c r="U43" s="858">
        <v>9.6300000000000011E-2</v>
      </c>
    </row>
    <row r="44" spans="2:76">
      <c r="B44" s="858" t="s">
        <v>636</v>
      </c>
      <c r="C44" s="8" cm="1">
        <f t="array" aca="1" ref="C44" ca="1">_xll.d.Dates_AddTenorToDate($B$28,B44,"ZAR","MODFOL")</f>
        <v>48669</v>
      </c>
      <c r="D44" s="860" cm="1">
        <f t="array" aca="1" ref="D44" ca="1">_xll.d.Dates_Act360($B$28,C44)</f>
        <v>10.147222222222222</v>
      </c>
      <c r="E44" s="858">
        <v>0.10792</v>
      </c>
      <c r="F44" s="858">
        <v>0.10273</v>
      </c>
      <c r="G44" s="858">
        <v>9.9339999999999998E-2</v>
      </c>
      <c r="H44" s="858">
        <v>9.6980000000000011E-2</v>
      </c>
      <c r="I44" s="858">
        <v>9.5329999999999998E-2</v>
      </c>
      <c r="J44" s="858">
        <v>9.4220000000000012E-2</v>
      </c>
      <c r="K44" s="858">
        <v>9.3590000000000007E-2</v>
      </c>
      <c r="L44" s="858">
        <v>9.3409999999999993E-2</v>
      </c>
      <c r="M44" s="858">
        <v>9.3800000000000008E-2</v>
      </c>
      <c r="N44" s="858">
        <v>9.5129999999999992E-2</v>
      </c>
      <c r="O44" s="858">
        <v>9.4100000000000003E-2</v>
      </c>
      <c r="P44" s="858">
        <v>9.3530000000000002E-2</v>
      </c>
      <c r="Q44" s="858">
        <v>9.3420000000000003E-2</v>
      </c>
      <c r="R44" s="858">
        <v>9.3810000000000004E-2</v>
      </c>
      <c r="S44" s="858">
        <v>9.4830000000000012E-2</v>
      </c>
      <c r="T44" s="858">
        <v>9.6759999999999999E-2</v>
      </c>
      <c r="U44" s="858">
        <v>0.10026</v>
      </c>
    </row>
    <row r="46" spans="2:76">
      <c r="D46" s="860" t="e">
        <f t="array" aca="1" ref="D46:BX60" ca="1">_xll.d.FX_ConvertDeltaToMoneynessVolSurface(E31:U44,E30:U30,D31:D44,0,0)</f>
        <v>#VALUE!</v>
      </c>
      <c r="E46" s="430" t="e">
        <f ca="1"/>
        <v>#VALUE!</v>
      </c>
      <c r="F46" s="430" t="e">
        <f ca="1"/>
        <v>#VALUE!</v>
      </c>
      <c r="G46" s="430" t="e">
        <f ca="1"/>
        <v>#VALUE!</v>
      </c>
      <c r="H46" s="430" t="e">
        <f ca="1"/>
        <v>#VALUE!</v>
      </c>
      <c r="I46" s="430" t="e">
        <f ca="1"/>
        <v>#VALUE!</v>
      </c>
      <c r="J46" s="430" t="e">
        <f ca="1"/>
        <v>#VALUE!</v>
      </c>
      <c r="K46" s="430" t="e">
        <f ca="1"/>
        <v>#VALUE!</v>
      </c>
      <c r="L46" s="430" t="e">
        <f ca="1"/>
        <v>#VALUE!</v>
      </c>
      <c r="M46" s="430" t="e">
        <f ca="1"/>
        <v>#VALUE!</v>
      </c>
      <c r="N46" s="430" t="e">
        <f ca="1"/>
        <v>#VALUE!</v>
      </c>
      <c r="O46" s="430" t="e">
        <f ca="1"/>
        <v>#VALUE!</v>
      </c>
      <c r="P46" s="430" t="e">
        <f ca="1"/>
        <v>#VALUE!</v>
      </c>
      <c r="Q46" s="430" t="e">
        <f ca="1"/>
        <v>#VALUE!</v>
      </c>
      <c r="R46" s="430" t="e">
        <f ca="1"/>
        <v>#VALUE!</v>
      </c>
      <c r="S46" s="430" t="e">
        <f ca="1"/>
        <v>#VALUE!</v>
      </c>
      <c r="T46" s="430" t="e">
        <f ca="1"/>
        <v>#VALUE!</v>
      </c>
      <c r="U46" s="430" t="e">
        <f ca="1"/>
        <v>#VALUE!</v>
      </c>
      <c r="V46" s="430" t="e">
        <f ca="1"/>
        <v>#VALUE!</v>
      </c>
      <c r="W46" s="430" t="e">
        <f ca="1"/>
        <v>#VALUE!</v>
      </c>
      <c r="X46" s="430" t="e">
        <f ca="1"/>
        <v>#VALUE!</v>
      </c>
      <c r="Y46" s="430" t="e">
        <f ca="1"/>
        <v>#VALUE!</v>
      </c>
      <c r="Z46" s="430" t="e">
        <f ca="1"/>
        <v>#VALUE!</v>
      </c>
      <c r="AA46" s="430" t="e">
        <f ca="1"/>
        <v>#VALUE!</v>
      </c>
      <c r="AB46" s="430" t="e">
        <f ca="1"/>
        <v>#VALUE!</v>
      </c>
      <c r="AC46" s="430" t="e">
        <f ca="1"/>
        <v>#VALUE!</v>
      </c>
      <c r="AD46" s="430" t="e">
        <f ca="1"/>
        <v>#VALUE!</v>
      </c>
      <c r="AE46" s="430" t="e">
        <f ca="1"/>
        <v>#VALUE!</v>
      </c>
      <c r="AF46" s="430" t="e">
        <f ca="1"/>
        <v>#VALUE!</v>
      </c>
      <c r="AG46" s="430" t="e">
        <f ca="1"/>
        <v>#VALUE!</v>
      </c>
      <c r="AH46" s="430" t="e">
        <f ca="1"/>
        <v>#VALUE!</v>
      </c>
      <c r="AI46" s="430" t="e">
        <f ca="1"/>
        <v>#VALUE!</v>
      </c>
      <c r="AJ46" s="430" t="e">
        <f ca="1"/>
        <v>#VALUE!</v>
      </c>
      <c r="AK46" s="430" t="e">
        <f ca="1"/>
        <v>#VALUE!</v>
      </c>
      <c r="AL46" s="430" t="e">
        <f ca="1"/>
        <v>#VALUE!</v>
      </c>
      <c r="AM46" s="430" t="e">
        <f ca="1"/>
        <v>#VALUE!</v>
      </c>
      <c r="AN46" s="430" t="e">
        <f ca="1"/>
        <v>#VALUE!</v>
      </c>
      <c r="AO46" s="430" t="e">
        <f ca="1"/>
        <v>#VALUE!</v>
      </c>
      <c r="AP46" s="430" t="e">
        <f ca="1"/>
        <v>#VALUE!</v>
      </c>
      <c r="AQ46" s="430" t="e">
        <f ca="1"/>
        <v>#VALUE!</v>
      </c>
      <c r="AR46" s="430" t="e">
        <f ca="1"/>
        <v>#VALUE!</v>
      </c>
      <c r="AS46" s="430" t="e">
        <f ca="1"/>
        <v>#VALUE!</v>
      </c>
      <c r="AT46" s="430" t="e">
        <f ca="1"/>
        <v>#VALUE!</v>
      </c>
      <c r="AU46" s="430" t="e">
        <f ca="1"/>
        <v>#VALUE!</v>
      </c>
      <c r="AV46" s="430" t="e">
        <f ca="1"/>
        <v>#VALUE!</v>
      </c>
      <c r="AW46" s="430" t="e">
        <f ca="1"/>
        <v>#VALUE!</v>
      </c>
      <c r="AX46" s="430" t="e">
        <f ca="1"/>
        <v>#VALUE!</v>
      </c>
      <c r="AY46" s="430" t="e">
        <f ca="1"/>
        <v>#VALUE!</v>
      </c>
      <c r="AZ46" s="430" t="e">
        <f ca="1"/>
        <v>#VALUE!</v>
      </c>
      <c r="BA46" s="430" t="e">
        <f ca="1"/>
        <v>#VALUE!</v>
      </c>
      <c r="BB46" s="430" t="e">
        <f ca="1"/>
        <v>#VALUE!</v>
      </c>
      <c r="BC46" s="430" t="e">
        <f ca="1"/>
        <v>#VALUE!</v>
      </c>
      <c r="BD46" s="430" t="e">
        <f ca="1"/>
        <v>#VALUE!</v>
      </c>
      <c r="BE46" s="430" t="e">
        <f ca="1"/>
        <v>#VALUE!</v>
      </c>
      <c r="BF46" s="430" t="e">
        <f ca="1"/>
        <v>#VALUE!</v>
      </c>
      <c r="BG46" s="430" t="e">
        <f ca="1"/>
        <v>#VALUE!</v>
      </c>
      <c r="BH46" s="430" t="e">
        <f ca="1"/>
        <v>#VALUE!</v>
      </c>
      <c r="BI46" s="430" t="e">
        <f ca="1"/>
        <v>#VALUE!</v>
      </c>
      <c r="BJ46" s="430" t="e">
        <f ca="1"/>
        <v>#VALUE!</v>
      </c>
      <c r="BK46" s="430" t="e">
        <f ca="1"/>
        <v>#VALUE!</v>
      </c>
      <c r="BL46" s="430" t="e">
        <f ca="1"/>
        <v>#VALUE!</v>
      </c>
      <c r="BM46" s="430" t="e">
        <f ca="1"/>
        <v>#VALUE!</v>
      </c>
      <c r="BN46" s="430" t="e">
        <f ca="1"/>
        <v>#VALUE!</v>
      </c>
      <c r="BO46" s="430" t="e">
        <f ca="1"/>
        <v>#VALUE!</v>
      </c>
      <c r="BP46" s="430" t="e">
        <f ca="1"/>
        <v>#VALUE!</v>
      </c>
      <c r="BQ46" s="430" t="e">
        <f ca="1"/>
        <v>#VALUE!</v>
      </c>
      <c r="BR46" s="430" t="e">
        <f ca="1"/>
        <v>#VALUE!</v>
      </c>
      <c r="BS46" s="430" t="e">
        <f ca="1"/>
        <v>#VALUE!</v>
      </c>
      <c r="BT46" s="430" t="e">
        <f ca="1"/>
        <v>#VALUE!</v>
      </c>
      <c r="BU46" s="430" t="e">
        <f ca="1"/>
        <v>#VALUE!</v>
      </c>
      <c r="BV46" s="430" t="e">
        <f ca="1"/>
        <v>#VALUE!</v>
      </c>
      <c r="BW46" s="430" t="e">
        <f ca="1"/>
        <v>#VALUE!</v>
      </c>
      <c r="BX46" s="430" t="e">
        <f ca="1"/>
        <v>#VALUE!</v>
      </c>
    </row>
    <row r="47" spans="2:76">
      <c r="D47" s="430" t="e">
        <f ca="1"/>
        <v>#VALUE!</v>
      </c>
      <c r="E47" s="430" t="e">
        <f ca="1"/>
        <v>#VALUE!</v>
      </c>
      <c r="F47" s="430" t="e">
        <f ca="1"/>
        <v>#VALUE!</v>
      </c>
      <c r="G47" s="430" t="e">
        <f ca="1"/>
        <v>#VALUE!</v>
      </c>
      <c r="H47" s="430" t="e">
        <f ca="1"/>
        <v>#VALUE!</v>
      </c>
      <c r="I47" s="430" t="e">
        <f ca="1"/>
        <v>#VALUE!</v>
      </c>
      <c r="J47" s="430" t="e">
        <f ca="1"/>
        <v>#VALUE!</v>
      </c>
      <c r="K47" s="430" t="e">
        <f ca="1"/>
        <v>#VALUE!</v>
      </c>
      <c r="L47" s="430" t="e">
        <f ca="1"/>
        <v>#VALUE!</v>
      </c>
      <c r="M47" s="430" t="e">
        <f ca="1"/>
        <v>#VALUE!</v>
      </c>
      <c r="N47" s="430" t="e">
        <f ca="1"/>
        <v>#VALUE!</v>
      </c>
      <c r="O47" s="430" t="e">
        <f ca="1"/>
        <v>#VALUE!</v>
      </c>
      <c r="P47" s="430" t="e">
        <f ca="1"/>
        <v>#VALUE!</v>
      </c>
      <c r="Q47" s="430" t="e">
        <f ca="1"/>
        <v>#VALUE!</v>
      </c>
      <c r="R47" s="430" t="e">
        <f ca="1"/>
        <v>#VALUE!</v>
      </c>
      <c r="S47" s="430" t="e">
        <f ca="1"/>
        <v>#VALUE!</v>
      </c>
      <c r="T47" s="430" t="e">
        <f ca="1"/>
        <v>#VALUE!</v>
      </c>
      <c r="U47" s="430" t="e">
        <f ca="1"/>
        <v>#VALUE!</v>
      </c>
      <c r="V47" s="430" t="e">
        <f ca="1"/>
        <v>#VALUE!</v>
      </c>
      <c r="W47" s="430" t="e">
        <f ca="1"/>
        <v>#VALUE!</v>
      </c>
      <c r="X47" s="430" t="e">
        <f ca="1"/>
        <v>#VALUE!</v>
      </c>
      <c r="Y47" s="430" t="e">
        <f ca="1"/>
        <v>#VALUE!</v>
      </c>
      <c r="Z47" s="430" t="e">
        <f ca="1"/>
        <v>#VALUE!</v>
      </c>
      <c r="AA47" s="430" t="e">
        <f ca="1"/>
        <v>#VALUE!</v>
      </c>
      <c r="AB47" s="430" t="e">
        <f ca="1"/>
        <v>#VALUE!</v>
      </c>
      <c r="AC47" s="430" t="e">
        <f ca="1"/>
        <v>#VALUE!</v>
      </c>
      <c r="AD47" s="430" t="e">
        <f ca="1"/>
        <v>#VALUE!</v>
      </c>
      <c r="AE47" s="430" t="e">
        <f ca="1"/>
        <v>#VALUE!</v>
      </c>
      <c r="AF47" s="430" t="e">
        <f ca="1"/>
        <v>#VALUE!</v>
      </c>
      <c r="AG47" s="430" t="e">
        <f ca="1"/>
        <v>#VALUE!</v>
      </c>
      <c r="AH47" s="430" t="e">
        <f ca="1"/>
        <v>#VALUE!</v>
      </c>
      <c r="AI47" s="430" t="e">
        <f ca="1"/>
        <v>#VALUE!</v>
      </c>
      <c r="AJ47" s="430" t="e">
        <f ca="1"/>
        <v>#VALUE!</v>
      </c>
      <c r="AK47" s="430" t="e">
        <f ca="1"/>
        <v>#VALUE!</v>
      </c>
      <c r="AL47" s="430" t="e">
        <f ca="1"/>
        <v>#VALUE!</v>
      </c>
      <c r="AM47" s="430" t="e">
        <f ca="1"/>
        <v>#VALUE!</v>
      </c>
      <c r="AN47" s="430" t="e">
        <f ca="1"/>
        <v>#VALUE!</v>
      </c>
      <c r="AO47" s="430" t="e">
        <f ca="1"/>
        <v>#VALUE!</v>
      </c>
      <c r="AP47" s="430" t="e">
        <f ca="1"/>
        <v>#VALUE!</v>
      </c>
      <c r="AQ47" s="430" t="e">
        <f ca="1"/>
        <v>#VALUE!</v>
      </c>
      <c r="AR47" s="430" t="e">
        <f ca="1"/>
        <v>#VALUE!</v>
      </c>
      <c r="AS47" s="430" t="e">
        <f ca="1"/>
        <v>#VALUE!</v>
      </c>
      <c r="AT47" s="430" t="e">
        <f ca="1"/>
        <v>#VALUE!</v>
      </c>
      <c r="AU47" s="430" t="e">
        <f ca="1"/>
        <v>#VALUE!</v>
      </c>
      <c r="AV47" s="430" t="e">
        <f ca="1"/>
        <v>#VALUE!</v>
      </c>
      <c r="AW47" s="430" t="e">
        <f ca="1"/>
        <v>#VALUE!</v>
      </c>
      <c r="AX47" s="430" t="e">
        <f ca="1"/>
        <v>#VALUE!</v>
      </c>
      <c r="AY47" s="430" t="e">
        <f ca="1"/>
        <v>#VALUE!</v>
      </c>
      <c r="AZ47" s="430" t="e">
        <f ca="1"/>
        <v>#VALUE!</v>
      </c>
      <c r="BA47" s="430" t="e">
        <f ca="1"/>
        <v>#VALUE!</v>
      </c>
      <c r="BB47" s="430" t="e">
        <f ca="1"/>
        <v>#VALUE!</v>
      </c>
      <c r="BC47" s="430" t="e">
        <f ca="1"/>
        <v>#VALUE!</v>
      </c>
      <c r="BD47" s="430" t="e">
        <f ca="1"/>
        <v>#VALUE!</v>
      </c>
      <c r="BE47" s="430" t="e">
        <f ca="1"/>
        <v>#VALUE!</v>
      </c>
      <c r="BF47" s="430" t="e">
        <f ca="1"/>
        <v>#VALUE!</v>
      </c>
      <c r="BG47" s="430" t="e">
        <f ca="1"/>
        <v>#VALUE!</v>
      </c>
      <c r="BH47" s="430" t="e">
        <f ca="1"/>
        <v>#VALUE!</v>
      </c>
      <c r="BI47" s="430" t="e">
        <f ca="1"/>
        <v>#VALUE!</v>
      </c>
      <c r="BJ47" s="430" t="e">
        <f ca="1"/>
        <v>#VALUE!</v>
      </c>
      <c r="BK47" s="430" t="e">
        <f ca="1"/>
        <v>#VALUE!</v>
      </c>
      <c r="BL47" s="430" t="e">
        <f ca="1"/>
        <v>#VALUE!</v>
      </c>
      <c r="BM47" s="430" t="e">
        <f ca="1"/>
        <v>#VALUE!</v>
      </c>
      <c r="BN47" s="430" t="e">
        <f ca="1"/>
        <v>#VALUE!</v>
      </c>
      <c r="BO47" s="430" t="e">
        <f ca="1"/>
        <v>#VALUE!</v>
      </c>
      <c r="BP47" s="430" t="e">
        <f ca="1"/>
        <v>#VALUE!</v>
      </c>
      <c r="BQ47" s="430" t="e">
        <f ca="1"/>
        <v>#VALUE!</v>
      </c>
      <c r="BR47" s="430" t="e">
        <f ca="1"/>
        <v>#VALUE!</v>
      </c>
      <c r="BS47" s="430" t="e">
        <f ca="1"/>
        <v>#VALUE!</v>
      </c>
      <c r="BT47" s="430" t="e">
        <f ca="1"/>
        <v>#VALUE!</v>
      </c>
      <c r="BU47" s="430" t="e">
        <f ca="1"/>
        <v>#VALUE!</v>
      </c>
      <c r="BV47" s="430" t="e">
        <f ca="1"/>
        <v>#VALUE!</v>
      </c>
      <c r="BW47" s="430" t="e">
        <f ca="1"/>
        <v>#VALUE!</v>
      </c>
      <c r="BX47" s="430" t="e">
        <f ca="1"/>
        <v>#VALUE!</v>
      </c>
    </row>
    <row r="48" spans="2:76">
      <c r="D48" s="430" t="e">
        <f ca="1"/>
        <v>#VALUE!</v>
      </c>
      <c r="E48" s="430" t="e">
        <f ca="1"/>
        <v>#VALUE!</v>
      </c>
      <c r="F48" s="430" t="e">
        <f ca="1"/>
        <v>#VALUE!</v>
      </c>
      <c r="G48" s="430" t="e">
        <f ca="1"/>
        <v>#VALUE!</v>
      </c>
      <c r="H48" s="430" t="e">
        <f ca="1"/>
        <v>#VALUE!</v>
      </c>
      <c r="I48" s="430" t="e">
        <f ca="1"/>
        <v>#VALUE!</v>
      </c>
      <c r="J48" s="430" t="e">
        <f ca="1"/>
        <v>#VALUE!</v>
      </c>
      <c r="K48" s="430" t="e">
        <f ca="1"/>
        <v>#VALUE!</v>
      </c>
      <c r="L48" s="430" t="e">
        <f ca="1"/>
        <v>#VALUE!</v>
      </c>
      <c r="M48" s="430" t="e">
        <f ca="1"/>
        <v>#VALUE!</v>
      </c>
      <c r="N48" s="430" t="e">
        <f ca="1"/>
        <v>#VALUE!</v>
      </c>
      <c r="O48" s="430" t="e">
        <f ca="1"/>
        <v>#VALUE!</v>
      </c>
      <c r="P48" s="430" t="e">
        <f ca="1"/>
        <v>#VALUE!</v>
      </c>
      <c r="Q48" s="430" t="e">
        <f ca="1"/>
        <v>#VALUE!</v>
      </c>
      <c r="R48" s="430" t="e">
        <f ca="1"/>
        <v>#VALUE!</v>
      </c>
      <c r="S48" s="430" t="e">
        <f ca="1"/>
        <v>#VALUE!</v>
      </c>
      <c r="T48" s="430" t="e">
        <f ca="1"/>
        <v>#VALUE!</v>
      </c>
      <c r="U48" s="430" t="e">
        <f ca="1"/>
        <v>#VALUE!</v>
      </c>
      <c r="V48" s="430" t="e">
        <f ca="1"/>
        <v>#VALUE!</v>
      </c>
      <c r="W48" s="430" t="e">
        <f ca="1"/>
        <v>#VALUE!</v>
      </c>
      <c r="X48" s="430" t="e">
        <f ca="1"/>
        <v>#VALUE!</v>
      </c>
      <c r="Y48" s="430" t="e">
        <f ca="1"/>
        <v>#VALUE!</v>
      </c>
      <c r="Z48" s="430" t="e">
        <f ca="1"/>
        <v>#VALUE!</v>
      </c>
      <c r="AA48" s="430" t="e">
        <f ca="1"/>
        <v>#VALUE!</v>
      </c>
      <c r="AB48" s="430" t="e">
        <f ca="1"/>
        <v>#VALUE!</v>
      </c>
      <c r="AC48" s="430" t="e">
        <f ca="1"/>
        <v>#VALUE!</v>
      </c>
      <c r="AD48" s="430" t="e">
        <f ca="1"/>
        <v>#VALUE!</v>
      </c>
      <c r="AE48" s="430" t="e">
        <f ca="1"/>
        <v>#VALUE!</v>
      </c>
      <c r="AF48" s="430" t="e">
        <f ca="1"/>
        <v>#VALUE!</v>
      </c>
      <c r="AG48" s="430" t="e">
        <f ca="1"/>
        <v>#VALUE!</v>
      </c>
      <c r="AH48" s="430" t="e">
        <f ca="1"/>
        <v>#VALUE!</v>
      </c>
      <c r="AI48" s="430" t="e">
        <f ca="1"/>
        <v>#VALUE!</v>
      </c>
      <c r="AJ48" s="430" t="e">
        <f ca="1"/>
        <v>#VALUE!</v>
      </c>
      <c r="AK48" s="430" t="e">
        <f ca="1"/>
        <v>#VALUE!</v>
      </c>
      <c r="AL48" s="430" t="e">
        <f ca="1"/>
        <v>#VALUE!</v>
      </c>
      <c r="AM48" s="430" t="e">
        <f ca="1"/>
        <v>#VALUE!</v>
      </c>
      <c r="AN48" s="430" t="e">
        <f ca="1"/>
        <v>#VALUE!</v>
      </c>
      <c r="AO48" s="430" t="e">
        <f ca="1"/>
        <v>#VALUE!</v>
      </c>
      <c r="AP48" s="430" t="e">
        <f ca="1"/>
        <v>#VALUE!</v>
      </c>
      <c r="AQ48" s="430" t="e">
        <f ca="1"/>
        <v>#VALUE!</v>
      </c>
      <c r="AR48" s="430" t="e">
        <f ca="1"/>
        <v>#VALUE!</v>
      </c>
      <c r="AS48" s="430" t="e">
        <f ca="1"/>
        <v>#VALUE!</v>
      </c>
      <c r="AT48" s="430" t="e">
        <f ca="1"/>
        <v>#VALUE!</v>
      </c>
      <c r="AU48" s="430" t="e">
        <f ca="1"/>
        <v>#VALUE!</v>
      </c>
      <c r="AV48" s="430" t="e">
        <f ca="1"/>
        <v>#VALUE!</v>
      </c>
      <c r="AW48" s="430" t="e">
        <f ca="1"/>
        <v>#VALUE!</v>
      </c>
      <c r="AX48" s="430" t="e">
        <f ca="1"/>
        <v>#VALUE!</v>
      </c>
      <c r="AY48" s="430" t="e">
        <f ca="1"/>
        <v>#VALUE!</v>
      </c>
      <c r="AZ48" s="430" t="e">
        <f ca="1"/>
        <v>#VALUE!</v>
      </c>
      <c r="BA48" s="430" t="e">
        <f ca="1"/>
        <v>#VALUE!</v>
      </c>
      <c r="BB48" s="430" t="e">
        <f ca="1"/>
        <v>#VALUE!</v>
      </c>
      <c r="BC48" s="430" t="e">
        <f ca="1"/>
        <v>#VALUE!</v>
      </c>
      <c r="BD48" s="430" t="e">
        <f ca="1"/>
        <v>#VALUE!</v>
      </c>
      <c r="BE48" s="430" t="e">
        <f ca="1"/>
        <v>#VALUE!</v>
      </c>
      <c r="BF48" s="430" t="e">
        <f ca="1"/>
        <v>#VALUE!</v>
      </c>
      <c r="BG48" s="430" t="e">
        <f ca="1"/>
        <v>#VALUE!</v>
      </c>
      <c r="BH48" s="430" t="e">
        <f ca="1"/>
        <v>#VALUE!</v>
      </c>
      <c r="BI48" s="430" t="e">
        <f ca="1"/>
        <v>#VALUE!</v>
      </c>
      <c r="BJ48" s="430" t="e">
        <f ca="1"/>
        <v>#VALUE!</v>
      </c>
      <c r="BK48" s="430" t="e">
        <f ca="1"/>
        <v>#VALUE!</v>
      </c>
      <c r="BL48" s="430" t="e">
        <f ca="1"/>
        <v>#VALUE!</v>
      </c>
      <c r="BM48" s="430" t="e">
        <f ca="1"/>
        <v>#VALUE!</v>
      </c>
      <c r="BN48" s="430" t="e">
        <f ca="1"/>
        <v>#VALUE!</v>
      </c>
      <c r="BO48" s="430" t="e">
        <f ca="1"/>
        <v>#VALUE!</v>
      </c>
      <c r="BP48" s="430" t="e">
        <f ca="1"/>
        <v>#VALUE!</v>
      </c>
      <c r="BQ48" s="430" t="e">
        <f ca="1"/>
        <v>#VALUE!</v>
      </c>
      <c r="BR48" s="430" t="e">
        <f ca="1"/>
        <v>#VALUE!</v>
      </c>
      <c r="BS48" s="430" t="e">
        <f ca="1"/>
        <v>#VALUE!</v>
      </c>
      <c r="BT48" s="430" t="e">
        <f ca="1"/>
        <v>#VALUE!</v>
      </c>
      <c r="BU48" s="430" t="e">
        <f ca="1"/>
        <v>#VALUE!</v>
      </c>
      <c r="BV48" s="430" t="e">
        <f ca="1"/>
        <v>#VALUE!</v>
      </c>
      <c r="BW48" s="430" t="e">
        <f ca="1"/>
        <v>#VALUE!</v>
      </c>
      <c r="BX48" s="430" t="e">
        <f ca="1"/>
        <v>#VALUE!</v>
      </c>
    </row>
    <row r="49" spans="4:76">
      <c r="D49" s="430" t="e">
        <f ca="1"/>
        <v>#VALUE!</v>
      </c>
      <c r="E49" s="430" t="e">
        <f ca="1"/>
        <v>#VALUE!</v>
      </c>
      <c r="F49" s="430" t="e">
        <f ca="1"/>
        <v>#VALUE!</v>
      </c>
      <c r="G49" s="430" t="e">
        <f ca="1"/>
        <v>#VALUE!</v>
      </c>
      <c r="H49" s="430" t="e">
        <f ca="1"/>
        <v>#VALUE!</v>
      </c>
      <c r="I49" s="430" t="e">
        <f ca="1"/>
        <v>#VALUE!</v>
      </c>
      <c r="J49" s="430" t="e">
        <f ca="1"/>
        <v>#VALUE!</v>
      </c>
      <c r="K49" s="430" t="e">
        <f ca="1"/>
        <v>#VALUE!</v>
      </c>
      <c r="L49" s="430" t="e">
        <f ca="1"/>
        <v>#VALUE!</v>
      </c>
      <c r="M49" s="430" t="e">
        <f ca="1"/>
        <v>#VALUE!</v>
      </c>
      <c r="N49" s="430" t="e">
        <f ca="1"/>
        <v>#VALUE!</v>
      </c>
      <c r="O49" s="430" t="e">
        <f ca="1"/>
        <v>#VALUE!</v>
      </c>
      <c r="P49" s="430" t="e">
        <f ca="1"/>
        <v>#VALUE!</v>
      </c>
      <c r="Q49" s="430" t="e">
        <f ca="1"/>
        <v>#VALUE!</v>
      </c>
      <c r="R49" s="430" t="e">
        <f ca="1"/>
        <v>#VALUE!</v>
      </c>
      <c r="S49" s="430" t="e">
        <f ca="1"/>
        <v>#VALUE!</v>
      </c>
      <c r="T49" s="430" t="e">
        <f ca="1"/>
        <v>#VALUE!</v>
      </c>
      <c r="U49" s="430" t="e">
        <f ca="1"/>
        <v>#VALUE!</v>
      </c>
      <c r="V49" s="430" t="e">
        <f ca="1"/>
        <v>#VALUE!</v>
      </c>
      <c r="W49" s="430" t="e">
        <f ca="1"/>
        <v>#VALUE!</v>
      </c>
      <c r="X49" s="430" t="e">
        <f ca="1"/>
        <v>#VALUE!</v>
      </c>
      <c r="Y49" s="430" t="e">
        <f ca="1"/>
        <v>#VALUE!</v>
      </c>
      <c r="Z49" s="430" t="e">
        <f ca="1"/>
        <v>#VALUE!</v>
      </c>
      <c r="AA49" s="430" t="e">
        <f ca="1"/>
        <v>#VALUE!</v>
      </c>
      <c r="AB49" s="430" t="e">
        <f ca="1"/>
        <v>#VALUE!</v>
      </c>
      <c r="AC49" s="430" t="e">
        <f ca="1"/>
        <v>#VALUE!</v>
      </c>
      <c r="AD49" s="430" t="e">
        <f ca="1"/>
        <v>#VALUE!</v>
      </c>
      <c r="AE49" s="430" t="e">
        <f ca="1"/>
        <v>#VALUE!</v>
      </c>
      <c r="AF49" s="430" t="e">
        <f ca="1"/>
        <v>#VALUE!</v>
      </c>
      <c r="AG49" s="430" t="e">
        <f ca="1"/>
        <v>#VALUE!</v>
      </c>
      <c r="AH49" s="430" t="e">
        <f ca="1"/>
        <v>#VALUE!</v>
      </c>
      <c r="AI49" s="430" t="e">
        <f ca="1"/>
        <v>#VALUE!</v>
      </c>
      <c r="AJ49" s="430" t="e">
        <f ca="1"/>
        <v>#VALUE!</v>
      </c>
      <c r="AK49" s="430" t="e">
        <f ca="1"/>
        <v>#VALUE!</v>
      </c>
      <c r="AL49" s="430" t="e">
        <f ca="1"/>
        <v>#VALUE!</v>
      </c>
      <c r="AM49" s="430" t="e">
        <f ca="1"/>
        <v>#VALUE!</v>
      </c>
      <c r="AN49" s="430" t="e">
        <f ca="1"/>
        <v>#VALUE!</v>
      </c>
      <c r="AO49" s="430" t="e">
        <f ca="1"/>
        <v>#VALUE!</v>
      </c>
      <c r="AP49" s="430" t="e">
        <f ca="1"/>
        <v>#VALUE!</v>
      </c>
      <c r="AQ49" s="430" t="e">
        <f ca="1"/>
        <v>#VALUE!</v>
      </c>
      <c r="AR49" s="430" t="e">
        <f ca="1"/>
        <v>#VALUE!</v>
      </c>
      <c r="AS49" s="430" t="e">
        <f ca="1"/>
        <v>#VALUE!</v>
      </c>
      <c r="AT49" s="430" t="e">
        <f ca="1"/>
        <v>#VALUE!</v>
      </c>
      <c r="AU49" s="430" t="e">
        <f ca="1"/>
        <v>#VALUE!</v>
      </c>
      <c r="AV49" s="430" t="e">
        <f ca="1"/>
        <v>#VALUE!</v>
      </c>
      <c r="AW49" s="430" t="e">
        <f ca="1"/>
        <v>#VALUE!</v>
      </c>
      <c r="AX49" s="430" t="e">
        <f ca="1"/>
        <v>#VALUE!</v>
      </c>
      <c r="AY49" s="430" t="e">
        <f ca="1"/>
        <v>#VALUE!</v>
      </c>
      <c r="AZ49" s="430" t="e">
        <f ca="1"/>
        <v>#VALUE!</v>
      </c>
      <c r="BA49" s="430" t="e">
        <f ca="1"/>
        <v>#VALUE!</v>
      </c>
      <c r="BB49" s="430" t="e">
        <f ca="1"/>
        <v>#VALUE!</v>
      </c>
      <c r="BC49" s="430" t="e">
        <f ca="1"/>
        <v>#VALUE!</v>
      </c>
      <c r="BD49" s="430" t="e">
        <f ca="1"/>
        <v>#VALUE!</v>
      </c>
      <c r="BE49" s="430" t="e">
        <f ca="1"/>
        <v>#VALUE!</v>
      </c>
      <c r="BF49" s="430" t="e">
        <f ca="1"/>
        <v>#VALUE!</v>
      </c>
      <c r="BG49" s="430" t="e">
        <f ca="1"/>
        <v>#VALUE!</v>
      </c>
      <c r="BH49" s="430" t="e">
        <f ca="1"/>
        <v>#VALUE!</v>
      </c>
      <c r="BI49" s="430" t="e">
        <f ca="1"/>
        <v>#VALUE!</v>
      </c>
      <c r="BJ49" s="430" t="e">
        <f ca="1"/>
        <v>#VALUE!</v>
      </c>
      <c r="BK49" s="430" t="e">
        <f ca="1"/>
        <v>#VALUE!</v>
      </c>
      <c r="BL49" s="430" t="e">
        <f ca="1"/>
        <v>#VALUE!</v>
      </c>
      <c r="BM49" s="430" t="e">
        <f ca="1"/>
        <v>#VALUE!</v>
      </c>
      <c r="BN49" s="430" t="e">
        <f ca="1"/>
        <v>#VALUE!</v>
      </c>
      <c r="BO49" s="430" t="e">
        <f ca="1"/>
        <v>#VALUE!</v>
      </c>
      <c r="BP49" s="430" t="e">
        <f ca="1"/>
        <v>#VALUE!</v>
      </c>
      <c r="BQ49" s="430" t="e">
        <f ca="1"/>
        <v>#VALUE!</v>
      </c>
      <c r="BR49" s="430" t="e">
        <f ca="1"/>
        <v>#VALUE!</v>
      </c>
      <c r="BS49" s="430" t="e">
        <f ca="1"/>
        <v>#VALUE!</v>
      </c>
      <c r="BT49" s="430" t="e">
        <f ca="1"/>
        <v>#VALUE!</v>
      </c>
      <c r="BU49" s="430" t="e">
        <f ca="1"/>
        <v>#VALUE!</v>
      </c>
      <c r="BV49" s="430" t="e">
        <f ca="1"/>
        <v>#VALUE!</v>
      </c>
      <c r="BW49" s="430" t="e">
        <f ca="1"/>
        <v>#VALUE!</v>
      </c>
      <c r="BX49" s="430" t="e">
        <f ca="1"/>
        <v>#VALUE!</v>
      </c>
    </row>
    <row r="50" spans="4:76">
      <c r="D50" s="430" t="e">
        <f ca="1"/>
        <v>#VALUE!</v>
      </c>
      <c r="E50" s="430" t="e">
        <f ca="1"/>
        <v>#VALUE!</v>
      </c>
      <c r="F50" s="430" t="e">
        <f ca="1"/>
        <v>#VALUE!</v>
      </c>
      <c r="G50" s="430" t="e">
        <f ca="1"/>
        <v>#VALUE!</v>
      </c>
      <c r="H50" s="430" t="e">
        <f ca="1"/>
        <v>#VALUE!</v>
      </c>
      <c r="I50" s="430" t="e">
        <f ca="1"/>
        <v>#VALUE!</v>
      </c>
      <c r="J50" s="430" t="e">
        <f ca="1"/>
        <v>#VALUE!</v>
      </c>
      <c r="K50" s="430" t="e">
        <f ca="1"/>
        <v>#VALUE!</v>
      </c>
      <c r="L50" s="430" t="e">
        <f ca="1"/>
        <v>#VALUE!</v>
      </c>
      <c r="M50" s="430" t="e">
        <f ca="1"/>
        <v>#VALUE!</v>
      </c>
      <c r="N50" s="430" t="e">
        <f ca="1"/>
        <v>#VALUE!</v>
      </c>
      <c r="O50" s="430" t="e">
        <f ca="1"/>
        <v>#VALUE!</v>
      </c>
      <c r="P50" s="430" t="e">
        <f ca="1"/>
        <v>#VALUE!</v>
      </c>
      <c r="Q50" s="430" t="e">
        <f ca="1"/>
        <v>#VALUE!</v>
      </c>
      <c r="R50" s="430" t="e">
        <f ca="1"/>
        <v>#VALUE!</v>
      </c>
      <c r="S50" s="430" t="e">
        <f ca="1"/>
        <v>#VALUE!</v>
      </c>
      <c r="T50" s="430" t="e">
        <f ca="1"/>
        <v>#VALUE!</v>
      </c>
      <c r="U50" s="430" t="e">
        <f ca="1"/>
        <v>#VALUE!</v>
      </c>
      <c r="V50" s="430" t="e">
        <f ca="1"/>
        <v>#VALUE!</v>
      </c>
      <c r="W50" s="430" t="e">
        <f ca="1"/>
        <v>#VALUE!</v>
      </c>
      <c r="X50" s="430" t="e">
        <f ca="1"/>
        <v>#VALUE!</v>
      </c>
      <c r="Y50" s="430" t="e">
        <f ca="1"/>
        <v>#VALUE!</v>
      </c>
      <c r="Z50" s="430" t="e">
        <f ca="1"/>
        <v>#VALUE!</v>
      </c>
      <c r="AA50" s="430" t="e">
        <f ca="1"/>
        <v>#VALUE!</v>
      </c>
      <c r="AB50" s="430" t="e">
        <f ca="1"/>
        <v>#VALUE!</v>
      </c>
      <c r="AC50" s="430" t="e">
        <f ca="1"/>
        <v>#VALUE!</v>
      </c>
      <c r="AD50" s="430" t="e">
        <f ca="1"/>
        <v>#VALUE!</v>
      </c>
      <c r="AE50" s="430" t="e">
        <f ca="1"/>
        <v>#VALUE!</v>
      </c>
      <c r="AF50" s="430" t="e">
        <f ca="1"/>
        <v>#VALUE!</v>
      </c>
      <c r="AG50" s="430" t="e">
        <f ca="1"/>
        <v>#VALUE!</v>
      </c>
      <c r="AH50" s="430" t="e">
        <f ca="1"/>
        <v>#VALUE!</v>
      </c>
      <c r="AI50" s="430" t="e">
        <f ca="1"/>
        <v>#VALUE!</v>
      </c>
      <c r="AJ50" s="430" t="e">
        <f ca="1"/>
        <v>#VALUE!</v>
      </c>
      <c r="AK50" s="430" t="e">
        <f ca="1"/>
        <v>#VALUE!</v>
      </c>
      <c r="AL50" s="430" t="e">
        <f ca="1"/>
        <v>#VALUE!</v>
      </c>
      <c r="AM50" s="430" t="e">
        <f ca="1"/>
        <v>#VALUE!</v>
      </c>
      <c r="AN50" s="430" t="e">
        <f ca="1"/>
        <v>#VALUE!</v>
      </c>
      <c r="AO50" s="430" t="e">
        <f ca="1"/>
        <v>#VALUE!</v>
      </c>
      <c r="AP50" s="430" t="e">
        <f ca="1"/>
        <v>#VALUE!</v>
      </c>
      <c r="AQ50" s="430" t="e">
        <f ca="1"/>
        <v>#VALUE!</v>
      </c>
      <c r="AR50" s="430" t="e">
        <f ca="1"/>
        <v>#VALUE!</v>
      </c>
      <c r="AS50" s="430" t="e">
        <f ca="1"/>
        <v>#VALUE!</v>
      </c>
      <c r="AT50" s="430" t="e">
        <f ca="1"/>
        <v>#VALUE!</v>
      </c>
      <c r="AU50" s="430" t="e">
        <f ca="1"/>
        <v>#VALUE!</v>
      </c>
      <c r="AV50" s="430" t="e">
        <f ca="1"/>
        <v>#VALUE!</v>
      </c>
      <c r="AW50" s="430" t="e">
        <f ca="1"/>
        <v>#VALUE!</v>
      </c>
      <c r="AX50" s="430" t="e">
        <f ca="1"/>
        <v>#VALUE!</v>
      </c>
      <c r="AY50" s="430" t="e">
        <f ca="1"/>
        <v>#VALUE!</v>
      </c>
      <c r="AZ50" s="430" t="e">
        <f ca="1"/>
        <v>#VALUE!</v>
      </c>
      <c r="BA50" s="430" t="e">
        <f ca="1"/>
        <v>#VALUE!</v>
      </c>
      <c r="BB50" s="430" t="e">
        <f ca="1"/>
        <v>#VALUE!</v>
      </c>
      <c r="BC50" s="430" t="e">
        <f ca="1"/>
        <v>#VALUE!</v>
      </c>
      <c r="BD50" s="430" t="e">
        <f ca="1"/>
        <v>#VALUE!</v>
      </c>
      <c r="BE50" s="430" t="e">
        <f ca="1"/>
        <v>#VALUE!</v>
      </c>
      <c r="BF50" s="430" t="e">
        <f ca="1"/>
        <v>#VALUE!</v>
      </c>
      <c r="BG50" s="430" t="e">
        <f ca="1"/>
        <v>#VALUE!</v>
      </c>
      <c r="BH50" s="430" t="e">
        <f ca="1"/>
        <v>#VALUE!</v>
      </c>
      <c r="BI50" s="430" t="e">
        <f ca="1"/>
        <v>#VALUE!</v>
      </c>
      <c r="BJ50" s="430" t="e">
        <f ca="1"/>
        <v>#VALUE!</v>
      </c>
      <c r="BK50" s="430" t="e">
        <f ca="1"/>
        <v>#VALUE!</v>
      </c>
      <c r="BL50" s="430" t="e">
        <f ca="1"/>
        <v>#VALUE!</v>
      </c>
      <c r="BM50" s="430" t="e">
        <f ca="1"/>
        <v>#VALUE!</v>
      </c>
      <c r="BN50" s="430" t="e">
        <f ca="1"/>
        <v>#VALUE!</v>
      </c>
      <c r="BO50" s="430" t="e">
        <f ca="1"/>
        <v>#VALUE!</v>
      </c>
      <c r="BP50" s="430" t="e">
        <f ca="1"/>
        <v>#VALUE!</v>
      </c>
      <c r="BQ50" s="430" t="e">
        <f ca="1"/>
        <v>#VALUE!</v>
      </c>
      <c r="BR50" s="430" t="e">
        <f ca="1"/>
        <v>#VALUE!</v>
      </c>
      <c r="BS50" s="430" t="e">
        <f ca="1"/>
        <v>#VALUE!</v>
      </c>
      <c r="BT50" s="430" t="e">
        <f ca="1"/>
        <v>#VALUE!</v>
      </c>
      <c r="BU50" s="430" t="e">
        <f ca="1"/>
        <v>#VALUE!</v>
      </c>
      <c r="BV50" s="430" t="e">
        <f ca="1"/>
        <v>#VALUE!</v>
      </c>
      <c r="BW50" s="430" t="e">
        <f ca="1"/>
        <v>#VALUE!</v>
      </c>
      <c r="BX50" s="430" t="e">
        <f ca="1"/>
        <v>#VALUE!</v>
      </c>
    </row>
    <row r="51" spans="4:76">
      <c r="D51" s="430" t="e">
        <f ca="1"/>
        <v>#VALUE!</v>
      </c>
      <c r="E51" s="430" t="e">
        <f ca="1"/>
        <v>#VALUE!</v>
      </c>
      <c r="F51" s="430" t="e">
        <f ca="1"/>
        <v>#VALUE!</v>
      </c>
      <c r="G51" s="430" t="e">
        <f ca="1"/>
        <v>#VALUE!</v>
      </c>
      <c r="H51" s="430" t="e">
        <f ca="1"/>
        <v>#VALUE!</v>
      </c>
      <c r="I51" s="430" t="e">
        <f ca="1"/>
        <v>#VALUE!</v>
      </c>
      <c r="J51" s="430" t="e">
        <f ca="1"/>
        <v>#VALUE!</v>
      </c>
      <c r="K51" s="430" t="e">
        <f ca="1"/>
        <v>#VALUE!</v>
      </c>
      <c r="L51" s="430" t="e">
        <f ca="1"/>
        <v>#VALUE!</v>
      </c>
      <c r="M51" s="430" t="e">
        <f ca="1"/>
        <v>#VALUE!</v>
      </c>
      <c r="N51" s="430" t="e">
        <f ca="1"/>
        <v>#VALUE!</v>
      </c>
      <c r="O51" s="430" t="e">
        <f ca="1"/>
        <v>#VALUE!</v>
      </c>
      <c r="P51" s="430" t="e">
        <f ca="1"/>
        <v>#VALUE!</v>
      </c>
      <c r="Q51" s="430" t="e">
        <f ca="1"/>
        <v>#VALUE!</v>
      </c>
      <c r="R51" s="430" t="e">
        <f ca="1"/>
        <v>#VALUE!</v>
      </c>
      <c r="S51" s="430" t="e">
        <f ca="1"/>
        <v>#VALUE!</v>
      </c>
      <c r="T51" s="430" t="e">
        <f ca="1"/>
        <v>#VALUE!</v>
      </c>
      <c r="U51" s="430" t="e">
        <f ca="1"/>
        <v>#VALUE!</v>
      </c>
      <c r="V51" s="430" t="e">
        <f ca="1"/>
        <v>#VALUE!</v>
      </c>
      <c r="W51" s="430" t="e">
        <f ca="1"/>
        <v>#VALUE!</v>
      </c>
      <c r="X51" s="430" t="e">
        <f ca="1"/>
        <v>#VALUE!</v>
      </c>
      <c r="Y51" s="430" t="e">
        <f ca="1"/>
        <v>#VALUE!</v>
      </c>
      <c r="Z51" s="430" t="e">
        <f ca="1"/>
        <v>#VALUE!</v>
      </c>
      <c r="AA51" s="430" t="e">
        <f ca="1"/>
        <v>#VALUE!</v>
      </c>
      <c r="AB51" s="430" t="e">
        <f ca="1"/>
        <v>#VALUE!</v>
      </c>
      <c r="AC51" s="430" t="e">
        <f ca="1"/>
        <v>#VALUE!</v>
      </c>
      <c r="AD51" s="430" t="e">
        <f ca="1"/>
        <v>#VALUE!</v>
      </c>
      <c r="AE51" s="430" t="e">
        <f ca="1"/>
        <v>#VALUE!</v>
      </c>
      <c r="AF51" s="430" t="e">
        <f ca="1"/>
        <v>#VALUE!</v>
      </c>
      <c r="AG51" s="430" t="e">
        <f ca="1"/>
        <v>#VALUE!</v>
      </c>
      <c r="AH51" s="430" t="e">
        <f ca="1"/>
        <v>#VALUE!</v>
      </c>
      <c r="AI51" s="430" t="e">
        <f ca="1"/>
        <v>#VALUE!</v>
      </c>
      <c r="AJ51" s="430" t="e">
        <f ca="1"/>
        <v>#VALUE!</v>
      </c>
      <c r="AK51" s="430" t="e">
        <f ca="1"/>
        <v>#VALUE!</v>
      </c>
      <c r="AL51" s="430" t="e">
        <f ca="1"/>
        <v>#VALUE!</v>
      </c>
      <c r="AM51" s="430" t="e">
        <f ca="1"/>
        <v>#VALUE!</v>
      </c>
      <c r="AN51" s="430" t="e">
        <f ca="1"/>
        <v>#VALUE!</v>
      </c>
      <c r="AO51" s="430" t="e">
        <f ca="1"/>
        <v>#VALUE!</v>
      </c>
      <c r="AP51" s="430" t="e">
        <f ca="1"/>
        <v>#VALUE!</v>
      </c>
      <c r="AQ51" s="430" t="e">
        <f ca="1"/>
        <v>#VALUE!</v>
      </c>
      <c r="AR51" s="430" t="e">
        <f ca="1"/>
        <v>#VALUE!</v>
      </c>
      <c r="AS51" s="430" t="e">
        <f ca="1"/>
        <v>#VALUE!</v>
      </c>
      <c r="AT51" s="430" t="e">
        <f ca="1"/>
        <v>#VALUE!</v>
      </c>
      <c r="AU51" s="430" t="e">
        <f ca="1"/>
        <v>#VALUE!</v>
      </c>
      <c r="AV51" s="430" t="e">
        <f ca="1"/>
        <v>#VALUE!</v>
      </c>
      <c r="AW51" s="430" t="e">
        <f ca="1"/>
        <v>#VALUE!</v>
      </c>
      <c r="AX51" s="430" t="e">
        <f ca="1"/>
        <v>#VALUE!</v>
      </c>
      <c r="AY51" s="430" t="e">
        <f ca="1"/>
        <v>#VALUE!</v>
      </c>
      <c r="AZ51" s="430" t="e">
        <f ca="1"/>
        <v>#VALUE!</v>
      </c>
      <c r="BA51" s="430" t="e">
        <f ca="1"/>
        <v>#VALUE!</v>
      </c>
      <c r="BB51" s="430" t="e">
        <f ca="1"/>
        <v>#VALUE!</v>
      </c>
      <c r="BC51" s="430" t="e">
        <f ca="1"/>
        <v>#VALUE!</v>
      </c>
      <c r="BD51" s="430" t="e">
        <f ca="1"/>
        <v>#VALUE!</v>
      </c>
      <c r="BE51" s="430" t="e">
        <f ca="1"/>
        <v>#VALUE!</v>
      </c>
      <c r="BF51" s="430" t="e">
        <f ca="1"/>
        <v>#VALUE!</v>
      </c>
      <c r="BG51" s="430" t="e">
        <f ca="1"/>
        <v>#VALUE!</v>
      </c>
      <c r="BH51" s="430" t="e">
        <f ca="1"/>
        <v>#VALUE!</v>
      </c>
      <c r="BI51" s="430" t="e">
        <f ca="1"/>
        <v>#VALUE!</v>
      </c>
      <c r="BJ51" s="430" t="e">
        <f ca="1"/>
        <v>#VALUE!</v>
      </c>
      <c r="BK51" s="430" t="e">
        <f ca="1"/>
        <v>#VALUE!</v>
      </c>
      <c r="BL51" s="430" t="e">
        <f ca="1"/>
        <v>#VALUE!</v>
      </c>
      <c r="BM51" s="430" t="e">
        <f ca="1"/>
        <v>#VALUE!</v>
      </c>
      <c r="BN51" s="430" t="e">
        <f ca="1"/>
        <v>#VALUE!</v>
      </c>
      <c r="BO51" s="430" t="e">
        <f ca="1"/>
        <v>#VALUE!</v>
      </c>
      <c r="BP51" s="430" t="e">
        <f ca="1"/>
        <v>#VALUE!</v>
      </c>
      <c r="BQ51" s="430" t="e">
        <f ca="1"/>
        <v>#VALUE!</v>
      </c>
      <c r="BR51" s="430" t="e">
        <f ca="1"/>
        <v>#VALUE!</v>
      </c>
      <c r="BS51" s="430" t="e">
        <f ca="1"/>
        <v>#VALUE!</v>
      </c>
      <c r="BT51" s="430" t="e">
        <f ca="1"/>
        <v>#VALUE!</v>
      </c>
      <c r="BU51" s="430" t="e">
        <f ca="1"/>
        <v>#VALUE!</v>
      </c>
      <c r="BV51" s="430" t="e">
        <f ca="1"/>
        <v>#VALUE!</v>
      </c>
      <c r="BW51" s="430" t="e">
        <f ca="1"/>
        <v>#VALUE!</v>
      </c>
      <c r="BX51" s="430" t="e">
        <f ca="1"/>
        <v>#VALUE!</v>
      </c>
    </row>
    <row r="52" spans="4:76">
      <c r="D52" s="430" t="e">
        <f ca="1"/>
        <v>#VALUE!</v>
      </c>
      <c r="E52" s="430" t="e">
        <f ca="1"/>
        <v>#VALUE!</v>
      </c>
      <c r="F52" s="430" t="e">
        <f ca="1"/>
        <v>#VALUE!</v>
      </c>
      <c r="G52" s="430" t="e">
        <f ca="1"/>
        <v>#VALUE!</v>
      </c>
      <c r="H52" s="430" t="e">
        <f ca="1"/>
        <v>#VALUE!</v>
      </c>
      <c r="I52" s="430" t="e">
        <f ca="1"/>
        <v>#VALUE!</v>
      </c>
      <c r="J52" s="430" t="e">
        <f ca="1"/>
        <v>#VALUE!</v>
      </c>
      <c r="K52" s="430" t="e">
        <f ca="1"/>
        <v>#VALUE!</v>
      </c>
      <c r="L52" s="430" t="e">
        <f ca="1"/>
        <v>#VALUE!</v>
      </c>
      <c r="M52" s="430" t="e">
        <f ca="1"/>
        <v>#VALUE!</v>
      </c>
      <c r="N52" s="430" t="e">
        <f ca="1"/>
        <v>#VALUE!</v>
      </c>
      <c r="O52" s="430" t="e">
        <f ca="1"/>
        <v>#VALUE!</v>
      </c>
      <c r="P52" s="430" t="e">
        <f ca="1"/>
        <v>#VALUE!</v>
      </c>
      <c r="Q52" s="430" t="e">
        <f ca="1"/>
        <v>#VALUE!</v>
      </c>
      <c r="R52" s="430" t="e">
        <f ca="1"/>
        <v>#VALUE!</v>
      </c>
      <c r="S52" s="430" t="e">
        <f ca="1"/>
        <v>#VALUE!</v>
      </c>
      <c r="T52" s="430" t="e">
        <f ca="1"/>
        <v>#VALUE!</v>
      </c>
      <c r="U52" s="430" t="e">
        <f ca="1"/>
        <v>#VALUE!</v>
      </c>
      <c r="V52" s="430" t="e">
        <f ca="1"/>
        <v>#VALUE!</v>
      </c>
      <c r="W52" s="430" t="e">
        <f ca="1"/>
        <v>#VALUE!</v>
      </c>
      <c r="X52" s="430" t="e">
        <f ca="1"/>
        <v>#VALUE!</v>
      </c>
      <c r="Y52" s="430" t="e">
        <f ca="1"/>
        <v>#VALUE!</v>
      </c>
      <c r="Z52" s="430" t="e">
        <f ca="1"/>
        <v>#VALUE!</v>
      </c>
      <c r="AA52" s="430" t="e">
        <f ca="1"/>
        <v>#VALUE!</v>
      </c>
      <c r="AB52" s="430" t="e">
        <f ca="1"/>
        <v>#VALUE!</v>
      </c>
      <c r="AC52" s="430" t="e">
        <f ca="1"/>
        <v>#VALUE!</v>
      </c>
      <c r="AD52" s="430" t="e">
        <f ca="1"/>
        <v>#VALUE!</v>
      </c>
      <c r="AE52" s="430" t="e">
        <f ca="1"/>
        <v>#VALUE!</v>
      </c>
      <c r="AF52" s="430" t="e">
        <f ca="1"/>
        <v>#VALUE!</v>
      </c>
      <c r="AG52" s="430" t="e">
        <f ca="1"/>
        <v>#VALUE!</v>
      </c>
      <c r="AH52" s="430" t="e">
        <f ca="1"/>
        <v>#VALUE!</v>
      </c>
      <c r="AI52" s="430" t="e">
        <f ca="1"/>
        <v>#VALUE!</v>
      </c>
      <c r="AJ52" s="430" t="e">
        <f ca="1"/>
        <v>#VALUE!</v>
      </c>
      <c r="AK52" s="430" t="e">
        <f ca="1"/>
        <v>#VALUE!</v>
      </c>
      <c r="AL52" s="430" t="e">
        <f ca="1"/>
        <v>#VALUE!</v>
      </c>
      <c r="AM52" s="430" t="e">
        <f ca="1"/>
        <v>#VALUE!</v>
      </c>
      <c r="AN52" s="430" t="e">
        <f ca="1"/>
        <v>#VALUE!</v>
      </c>
      <c r="AO52" s="430" t="e">
        <f ca="1"/>
        <v>#VALUE!</v>
      </c>
      <c r="AP52" s="430" t="e">
        <f ca="1"/>
        <v>#VALUE!</v>
      </c>
      <c r="AQ52" s="430" t="e">
        <f ca="1"/>
        <v>#VALUE!</v>
      </c>
      <c r="AR52" s="430" t="e">
        <f ca="1"/>
        <v>#VALUE!</v>
      </c>
      <c r="AS52" s="430" t="e">
        <f ca="1"/>
        <v>#VALUE!</v>
      </c>
      <c r="AT52" s="430" t="e">
        <f ca="1"/>
        <v>#VALUE!</v>
      </c>
      <c r="AU52" s="430" t="e">
        <f ca="1"/>
        <v>#VALUE!</v>
      </c>
      <c r="AV52" s="430" t="e">
        <f ca="1"/>
        <v>#VALUE!</v>
      </c>
      <c r="AW52" s="430" t="e">
        <f ca="1"/>
        <v>#VALUE!</v>
      </c>
      <c r="AX52" s="430" t="e">
        <f ca="1"/>
        <v>#VALUE!</v>
      </c>
      <c r="AY52" s="430" t="e">
        <f ca="1"/>
        <v>#VALUE!</v>
      </c>
      <c r="AZ52" s="430" t="e">
        <f ca="1"/>
        <v>#VALUE!</v>
      </c>
      <c r="BA52" s="430" t="e">
        <f ca="1"/>
        <v>#VALUE!</v>
      </c>
      <c r="BB52" s="430" t="e">
        <f ca="1"/>
        <v>#VALUE!</v>
      </c>
      <c r="BC52" s="430" t="e">
        <f ca="1"/>
        <v>#VALUE!</v>
      </c>
      <c r="BD52" s="430" t="e">
        <f ca="1"/>
        <v>#VALUE!</v>
      </c>
      <c r="BE52" s="430" t="e">
        <f ca="1"/>
        <v>#VALUE!</v>
      </c>
      <c r="BF52" s="430" t="e">
        <f ca="1"/>
        <v>#VALUE!</v>
      </c>
      <c r="BG52" s="430" t="e">
        <f ca="1"/>
        <v>#VALUE!</v>
      </c>
      <c r="BH52" s="430" t="e">
        <f ca="1"/>
        <v>#VALUE!</v>
      </c>
      <c r="BI52" s="430" t="e">
        <f ca="1"/>
        <v>#VALUE!</v>
      </c>
      <c r="BJ52" s="430" t="e">
        <f ca="1"/>
        <v>#VALUE!</v>
      </c>
      <c r="BK52" s="430" t="e">
        <f ca="1"/>
        <v>#VALUE!</v>
      </c>
      <c r="BL52" s="430" t="e">
        <f ca="1"/>
        <v>#VALUE!</v>
      </c>
      <c r="BM52" s="430" t="e">
        <f ca="1"/>
        <v>#VALUE!</v>
      </c>
      <c r="BN52" s="430" t="e">
        <f ca="1"/>
        <v>#VALUE!</v>
      </c>
      <c r="BO52" s="430" t="e">
        <f ca="1"/>
        <v>#VALUE!</v>
      </c>
      <c r="BP52" s="430" t="e">
        <f ca="1"/>
        <v>#VALUE!</v>
      </c>
      <c r="BQ52" s="430" t="e">
        <f ca="1"/>
        <v>#VALUE!</v>
      </c>
      <c r="BR52" s="430" t="e">
        <f ca="1"/>
        <v>#VALUE!</v>
      </c>
      <c r="BS52" s="430" t="e">
        <f ca="1"/>
        <v>#VALUE!</v>
      </c>
      <c r="BT52" s="430" t="e">
        <f ca="1"/>
        <v>#VALUE!</v>
      </c>
      <c r="BU52" s="430" t="e">
        <f ca="1"/>
        <v>#VALUE!</v>
      </c>
      <c r="BV52" s="430" t="e">
        <f ca="1"/>
        <v>#VALUE!</v>
      </c>
      <c r="BW52" s="430" t="e">
        <f ca="1"/>
        <v>#VALUE!</v>
      </c>
      <c r="BX52" s="430" t="e">
        <f ca="1"/>
        <v>#VALUE!</v>
      </c>
    </row>
    <row r="53" spans="4:76">
      <c r="D53" s="430" t="e">
        <f ca="1"/>
        <v>#VALUE!</v>
      </c>
      <c r="E53" s="430" t="e">
        <f ca="1"/>
        <v>#VALUE!</v>
      </c>
      <c r="F53" s="430" t="e">
        <f ca="1"/>
        <v>#VALUE!</v>
      </c>
      <c r="G53" s="430" t="e">
        <f ca="1"/>
        <v>#VALUE!</v>
      </c>
      <c r="H53" s="430" t="e">
        <f ca="1"/>
        <v>#VALUE!</v>
      </c>
      <c r="I53" s="430" t="e">
        <f ca="1"/>
        <v>#VALUE!</v>
      </c>
      <c r="J53" s="430" t="e">
        <f ca="1"/>
        <v>#VALUE!</v>
      </c>
      <c r="K53" s="430" t="e">
        <f ca="1"/>
        <v>#VALUE!</v>
      </c>
      <c r="L53" s="430" t="e">
        <f ca="1"/>
        <v>#VALUE!</v>
      </c>
      <c r="M53" s="430" t="e">
        <f ca="1"/>
        <v>#VALUE!</v>
      </c>
      <c r="N53" s="430" t="e">
        <f ca="1"/>
        <v>#VALUE!</v>
      </c>
      <c r="O53" s="430" t="e">
        <f ca="1"/>
        <v>#VALUE!</v>
      </c>
      <c r="P53" s="430" t="e">
        <f ca="1"/>
        <v>#VALUE!</v>
      </c>
      <c r="Q53" s="430" t="e">
        <f ca="1"/>
        <v>#VALUE!</v>
      </c>
      <c r="R53" s="430" t="e">
        <f ca="1"/>
        <v>#VALUE!</v>
      </c>
      <c r="S53" s="430" t="e">
        <f ca="1"/>
        <v>#VALUE!</v>
      </c>
      <c r="T53" s="430" t="e">
        <f ca="1"/>
        <v>#VALUE!</v>
      </c>
      <c r="U53" s="430" t="e">
        <f ca="1"/>
        <v>#VALUE!</v>
      </c>
      <c r="V53" s="430" t="e">
        <f ca="1"/>
        <v>#VALUE!</v>
      </c>
      <c r="W53" s="430" t="e">
        <f ca="1"/>
        <v>#VALUE!</v>
      </c>
      <c r="X53" s="430" t="e">
        <f ca="1"/>
        <v>#VALUE!</v>
      </c>
      <c r="Y53" s="430" t="e">
        <f ca="1"/>
        <v>#VALUE!</v>
      </c>
      <c r="Z53" s="430" t="e">
        <f ca="1"/>
        <v>#VALUE!</v>
      </c>
      <c r="AA53" s="430" t="e">
        <f ca="1"/>
        <v>#VALUE!</v>
      </c>
      <c r="AB53" s="430" t="e">
        <f ca="1"/>
        <v>#VALUE!</v>
      </c>
      <c r="AC53" s="430" t="e">
        <f ca="1"/>
        <v>#VALUE!</v>
      </c>
      <c r="AD53" s="430" t="e">
        <f ca="1"/>
        <v>#VALUE!</v>
      </c>
      <c r="AE53" s="430" t="e">
        <f ca="1"/>
        <v>#VALUE!</v>
      </c>
      <c r="AF53" s="430" t="e">
        <f ca="1"/>
        <v>#VALUE!</v>
      </c>
      <c r="AG53" s="430" t="e">
        <f ca="1"/>
        <v>#VALUE!</v>
      </c>
      <c r="AH53" s="430" t="e">
        <f ca="1"/>
        <v>#VALUE!</v>
      </c>
      <c r="AI53" s="430" t="e">
        <f ca="1"/>
        <v>#VALUE!</v>
      </c>
      <c r="AJ53" s="430" t="e">
        <f ca="1"/>
        <v>#VALUE!</v>
      </c>
      <c r="AK53" s="430" t="e">
        <f ca="1"/>
        <v>#VALUE!</v>
      </c>
      <c r="AL53" s="430" t="e">
        <f ca="1"/>
        <v>#VALUE!</v>
      </c>
      <c r="AM53" s="430" t="e">
        <f ca="1"/>
        <v>#VALUE!</v>
      </c>
      <c r="AN53" s="430" t="e">
        <f ca="1"/>
        <v>#VALUE!</v>
      </c>
      <c r="AO53" s="430" t="e">
        <f ca="1"/>
        <v>#VALUE!</v>
      </c>
      <c r="AP53" s="430" t="e">
        <f ca="1"/>
        <v>#VALUE!</v>
      </c>
      <c r="AQ53" s="430" t="e">
        <f ca="1"/>
        <v>#VALUE!</v>
      </c>
      <c r="AR53" s="430" t="e">
        <f ca="1"/>
        <v>#VALUE!</v>
      </c>
      <c r="AS53" s="430" t="e">
        <f ca="1"/>
        <v>#VALUE!</v>
      </c>
      <c r="AT53" s="430" t="e">
        <f ca="1"/>
        <v>#VALUE!</v>
      </c>
      <c r="AU53" s="430" t="e">
        <f ca="1"/>
        <v>#VALUE!</v>
      </c>
      <c r="AV53" s="430" t="e">
        <f ca="1"/>
        <v>#VALUE!</v>
      </c>
      <c r="AW53" s="430" t="e">
        <f ca="1"/>
        <v>#VALUE!</v>
      </c>
      <c r="AX53" s="430" t="e">
        <f ca="1"/>
        <v>#VALUE!</v>
      </c>
      <c r="AY53" s="430" t="e">
        <f ca="1"/>
        <v>#VALUE!</v>
      </c>
      <c r="AZ53" s="430" t="e">
        <f ca="1"/>
        <v>#VALUE!</v>
      </c>
      <c r="BA53" s="430" t="e">
        <f ca="1"/>
        <v>#VALUE!</v>
      </c>
      <c r="BB53" s="430" t="e">
        <f ca="1"/>
        <v>#VALUE!</v>
      </c>
      <c r="BC53" s="430" t="e">
        <f ca="1"/>
        <v>#VALUE!</v>
      </c>
      <c r="BD53" s="430" t="e">
        <f ca="1"/>
        <v>#VALUE!</v>
      </c>
      <c r="BE53" s="430" t="e">
        <f ca="1"/>
        <v>#VALUE!</v>
      </c>
      <c r="BF53" s="430" t="e">
        <f ca="1"/>
        <v>#VALUE!</v>
      </c>
      <c r="BG53" s="430" t="e">
        <f ca="1"/>
        <v>#VALUE!</v>
      </c>
      <c r="BH53" s="430" t="e">
        <f ca="1"/>
        <v>#VALUE!</v>
      </c>
      <c r="BI53" s="430" t="e">
        <f ca="1"/>
        <v>#VALUE!</v>
      </c>
      <c r="BJ53" s="430" t="e">
        <f ca="1"/>
        <v>#VALUE!</v>
      </c>
      <c r="BK53" s="430" t="e">
        <f ca="1"/>
        <v>#VALUE!</v>
      </c>
      <c r="BL53" s="430" t="e">
        <f ca="1"/>
        <v>#VALUE!</v>
      </c>
      <c r="BM53" s="430" t="e">
        <f ca="1"/>
        <v>#VALUE!</v>
      </c>
      <c r="BN53" s="430" t="e">
        <f ca="1"/>
        <v>#VALUE!</v>
      </c>
      <c r="BO53" s="430" t="e">
        <f ca="1"/>
        <v>#VALUE!</v>
      </c>
      <c r="BP53" s="430" t="e">
        <f ca="1"/>
        <v>#VALUE!</v>
      </c>
      <c r="BQ53" s="430" t="e">
        <f ca="1"/>
        <v>#VALUE!</v>
      </c>
      <c r="BR53" s="430" t="e">
        <f ca="1"/>
        <v>#VALUE!</v>
      </c>
      <c r="BS53" s="430" t="e">
        <f ca="1"/>
        <v>#VALUE!</v>
      </c>
      <c r="BT53" s="430" t="e">
        <f ca="1"/>
        <v>#VALUE!</v>
      </c>
      <c r="BU53" s="430" t="e">
        <f ca="1"/>
        <v>#VALUE!</v>
      </c>
      <c r="BV53" s="430" t="e">
        <f ca="1"/>
        <v>#VALUE!</v>
      </c>
      <c r="BW53" s="430" t="e">
        <f ca="1"/>
        <v>#VALUE!</v>
      </c>
      <c r="BX53" s="430" t="e">
        <f ca="1"/>
        <v>#VALUE!</v>
      </c>
    </row>
    <row r="54" spans="4:76">
      <c r="D54" s="430" t="e">
        <f ca="1"/>
        <v>#VALUE!</v>
      </c>
      <c r="E54" s="430" t="e">
        <f ca="1"/>
        <v>#VALUE!</v>
      </c>
      <c r="F54" s="430" t="e">
        <f ca="1"/>
        <v>#VALUE!</v>
      </c>
      <c r="G54" s="430" t="e">
        <f ca="1"/>
        <v>#VALUE!</v>
      </c>
      <c r="H54" s="430" t="e">
        <f ca="1"/>
        <v>#VALUE!</v>
      </c>
      <c r="I54" s="430" t="e">
        <f ca="1"/>
        <v>#VALUE!</v>
      </c>
      <c r="J54" s="430" t="e">
        <f ca="1"/>
        <v>#VALUE!</v>
      </c>
      <c r="K54" s="430" t="e">
        <f ca="1"/>
        <v>#VALUE!</v>
      </c>
      <c r="L54" s="430" t="e">
        <f ca="1"/>
        <v>#VALUE!</v>
      </c>
      <c r="M54" s="430" t="e">
        <f ca="1"/>
        <v>#VALUE!</v>
      </c>
      <c r="N54" s="430" t="e">
        <f ca="1"/>
        <v>#VALUE!</v>
      </c>
      <c r="O54" s="430" t="e">
        <f ca="1"/>
        <v>#VALUE!</v>
      </c>
      <c r="P54" s="430" t="e">
        <f ca="1"/>
        <v>#VALUE!</v>
      </c>
      <c r="Q54" s="430" t="e">
        <f ca="1"/>
        <v>#VALUE!</v>
      </c>
      <c r="R54" s="430" t="e">
        <f ca="1"/>
        <v>#VALUE!</v>
      </c>
      <c r="S54" s="430" t="e">
        <f ca="1"/>
        <v>#VALUE!</v>
      </c>
      <c r="T54" s="430" t="e">
        <f ca="1"/>
        <v>#VALUE!</v>
      </c>
      <c r="U54" s="430" t="e">
        <f ca="1"/>
        <v>#VALUE!</v>
      </c>
      <c r="V54" s="430" t="e">
        <f ca="1"/>
        <v>#VALUE!</v>
      </c>
      <c r="W54" s="430" t="e">
        <f ca="1"/>
        <v>#VALUE!</v>
      </c>
      <c r="X54" s="430" t="e">
        <f ca="1"/>
        <v>#VALUE!</v>
      </c>
      <c r="Y54" s="430" t="e">
        <f ca="1"/>
        <v>#VALUE!</v>
      </c>
      <c r="Z54" s="430" t="e">
        <f ca="1"/>
        <v>#VALUE!</v>
      </c>
      <c r="AA54" s="430" t="e">
        <f ca="1"/>
        <v>#VALUE!</v>
      </c>
      <c r="AB54" s="430" t="e">
        <f ca="1"/>
        <v>#VALUE!</v>
      </c>
      <c r="AC54" s="430" t="e">
        <f ca="1"/>
        <v>#VALUE!</v>
      </c>
      <c r="AD54" s="430" t="e">
        <f ca="1"/>
        <v>#VALUE!</v>
      </c>
      <c r="AE54" s="430" t="e">
        <f ca="1"/>
        <v>#VALUE!</v>
      </c>
      <c r="AF54" s="430" t="e">
        <f ca="1"/>
        <v>#VALUE!</v>
      </c>
      <c r="AG54" s="430" t="e">
        <f ca="1"/>
        <v>#VALUE!</v>
      </c>
      <c r="AH54" s="430" t="e">
        <f ca="1"/>
        <v>#VALUE!</v>
      </c>
      <c r="AI54" s="430" t="e">
        <f ca="1"/>
        <v>#VALUE!</v>
      </c>
      <c r="AJ54" s="430" t="e">
        <f ca="1"/>
        <v>#VALUE!</v>
      </c>
      <c r="AK54" s="430" t="e">
        <f ca="1"/>
        <v>#VALUE!</v>
      </c>
      <c r="AL54" s="430" t="e">
        <f ca="1"/>
        <v>#VALUE!</v>
      </c>
      <c r="AM54" s="430" t="e">
        <f ca="1"/>
        <v>#VALUE!</v>
      </c>
      <c r="AN54" s="430" t="e">
        <f ca="1"/>
        <v>#VALUE!</v>
      </c>
      <c r="AO54" s="430" t="e">
        <f ca="1"/>
        <v>#VALUE!</v>
      </c>
      <c r="AP54" s="430" t="e">
        <f ca="1"/>
        <v>#VALUE!</v>
      </c>
      <c r="AQ54" s="430" t="e">
        <f ca="1"/>
        <v>#VALUE!</v>
      </c>
      <c r="AR54" s="430" t="e">
        <f ca="1"/>
        <v>#VALUE!</v>
      </c>
      <c r="AS54" s="430" t="e">
        <f ca="1"/>
        <v>#VALUE!</v>
      </c>
      <c r="AT54" s="430" t="e">
        <f ca="1"/>
        <v>#VALUE!</v>
      </c>
      <c r="AU54" s="430" t="e">
        <f ca="1"/>
        <v>#VALUE!</v>
      </c>
      <c r="AV54" s="430" t="e">
        <f ca="1"/>
        <v>#VALUE!</v>
      </c>
      <c r="AW54" s="430" t="e">
        <f ca="1"/>
        <v>#VALUE!</v>
      </c>
      <c r="AX54" s="430" t="e">
        <f ca="1"/>
        <v>#VALUE!</v>
      </c>
      <c r="AY54" s="430" t="e">
        <f ca="1"/>
        <v>#VALUE!</v>
      </c>
      <c r="AZ54" s="430" t="e">
        <f ca="1"/>
        <v>#VALUE!</v>
      </c>
      <c r="BA54" s="430" t="e">
        <f ca="1"/>
        <v>#VALUE!</v>
      </c>
      <c r="BB54" s="430" t="e">
        <f ca="1"/>
        <v>#VALUE!</v>
      </c>
      <c r="BC54" s="430" t="e">
        <f ca="1"/>
        <v>#VALUE!</v>
      </c>
      <c r="BD54" s="430" t="e">
        <f ca="1"/>
        <v>#VALUE!</v>
      </c>
      <c r="BE54" s="430" t="e">
        <f ca="1"/>
        <v>#VALUE!</v>
      </c>
      <c r="BF54" s="430" t="e">
        <f ca="1"/>
        <v>#VALUE!</v>
      </c>
      <c r="BG54" s="430" t="e">
        <f ca="1"/>
        <v>#VALUE!</v>
      </c>
      <c r="BH54" s="430" t="e">
        <f ca="1"/>
        <v>#VALUE!</v>
      </c>
      <c r="BI54" s="430" t="e">
        <f ca="1"/>
        <v>#VALUE!</v>
      </c>
      <c r="BJ54" s="430" t="e">
        <f ca="1"/>
        <v>#VALUE!</v>
      </c>
      <c r="BK54" s="430" t="e">
        <f ca="1"/>
        <v>#VALUE!</v>
      </c>
      <c r="BL54" s="430" t="e">
        <f ca="1"/>
        <v>#VALUE!</v>
      </c>
      <c r="BM54" s="430" t="e">
        <f ca="1"/>
        <v>#VALUE!</v>
      </c>
      <c r="BN54" s="430" t="e">
        <f ca="1"/>
        <v>#VALUE!</v>
      </c>
      <c r="BO54" s="430" t="e">
        <f ca="1"/>
        <v>#VALUE!</v>
      </c>
      <c r="BP54" s="430" t="e">
        <f ca="1"/>
        <v>#VALUE!</v>
      </c>
      <c r="BQ54" s="430" t="e">
        <f ca="1"/>
        <v>#VALUE!</v>
      </c>
      <c r="BR54" s="430" t="e">
        <f ca="1"/>
        <v>#VALUE!</v>
      </c>
      <c r="BS54" s="430" t="e">
        <f ca="1"/>
        <v>#VALUE!</v>
      </c>
      <c r="BT54" s="430" t="e">
        <f ca="1"/>
        <v>#VALUE!</v>
      </c>
      <c r="BU54" s="430" t="e">
        <f ca="1"/>
        <v>#VALUE!</v>
      </c>
      <c r="BV54" s="430" t="e">
        <f ca="1"/>
        <v>#VALUE!</v>
      </c>
      <c r="BW54" s="430" t="e">
        <f ca="1"/>
        <v>#VALUE!</v>
      </c>
      <c r="BX54" s="430" t="e">
        <f ca="1"/>
        <v>#VALUE!</v>
      </c>
    </row>
    <row r="55" spans="4:76">
      <c r="D55" s="430" t="e">
        <f ca="1"/>
        <v>#VALUE!</v>
      </c>
      <c r="E55" s="430" t="e">
        <f ca="1"/>
        <v>#VALUE!</v>
      </c>
      <c r="F55" s="430" t="e">
        <f ca="1"/>
        <v>#VALUE!</v>
      </c>
      <c r="G55" s="430" t="e">
        <f ca="1"/>
        <v>#VALUE!</v>
      </c>
      <c r="H55" s="430" t="e">
        <f ca="1"/>
        <v>#VALUE!</v>
      </c>
      <c r="I55" s="430" t="e">
        <f ca="1"/>
        <v>#VALUE!</v>
      </c>
      <c r="J55" s="430" t="e">
        <f ca="1"/>
        <v>#VALUE!</v>
      </c>
      <c r="K55" s="430" t="e">
        <f ca="1"/>
        <v>#VALUE!</v>
      </c>
      <c r="L55" s="430" t="e">
        <f ca="1"/>
        <v>#VALUE!</v>
      </c>
      <c r="M55" s="430" t="e">
        <f ca="1"/>
        <v>#VALUE!</v>
      </c>
      <c r="N55" s="430" t="e">
        <f ca="1"/>
        <v>#VALUE!</v>
      </c>
      <c r="O55" s="430" t="e">
        <f ca="1"/>
        <v>#VALUE!</v>
      </c>
      <c r="P55" s="430" t="e">
        <f ca="1"/>
        <v>#VALUE!</v>
      </c>
      <c r="Q55" s="430" t="e">
        <f ca="1"/>
        <v>#VALUE!</v>
      </c>
      <c r="R55" s="430" t="e">
        <f ca="1"/>
        <v>#VALUE!</v>
      </c>
      <c r="S55" s="430" t="e">
        <f ca="1"/>
        <v>#VALUE!</v>
      </c>
      <c r="T55" s="430" t="e">
        <f ca="1"/>
        <v>#VALUE!</v>
      </c>
      <c r="U55" s="430" t="e">
        <f ca="1"/>
        <v>#VALUE!</v>
      </c>
      <c r="V55" s="430" t="e">
        <f ca="1"/>
        <v>#VALUE!</v>
      </c>
      <c r="W55" s="430" t="e">
        <f ca="1"/>
        <v>#VALUE!</v>
      </c>
      <c r="X55" s="430" t="e">
        <f ca="1"/>
        <v>#VALUE!</v>
      </c>
      <c r="Y55" s="430" t="e">
        <f ca="1"/>
        <v>#VALUE!</v>
      </c>
      <c r="Z55" s="430" t="e">
        <f ca="1"/>
        <v>#VALUE!</v>
      </c>
      <c r="AA55" s="430" t="e">
        <f ca="1"/>
        <v>#VALUE!</v>
      </c>
      <c r="AB55" s="430" t="e">
        <f ca="1"/>
        <v>#VALUE!</v>
      </c>
      <c r="AC55" s="430" t="e">
        <f ca="1"/>
        <v>#VALUE!</v>
      </c>
      <c r="AD55" s="430" t="e">
        <f ca="1"/>
        <v>#VALUE!</v>
      </c>
      <c r="AE55" s="430" t="e">
        <f ca="1"/>
        <v>#VALUE!</v>
      </c>
      <c r="AF55" s="430" t="e">
        <f ca="1"/>
        <v>#VALUE!</v>
      </c>
      <c r="AG55" s="430" t="e">
        <f ca="1"/>
        <v>#VALUE!</v>
      </c>
      <c r="AH55" s="430" t="e">
        <f ca="1"/>
        <v>#VALUE!</v>
      </c>
      <c r="AI55" s="430" t="e">
        <f ca="1"/>
        <v>#VALUE!</v>
      </c>
      <c r="AJ55" s="430" t="e">
        <f ca="1"/>
        <v>#VALUE!</v>
      </c>
      <c r="AK55" s="430" t="e">
        <f ca="1"/>
        <v>#VALUE!</v>
      </c>
      <c r="AL55" s="430" t="e">
        <f ca="1"/>
        <v>#VALUE!</v>
      </c>
      <c r="AM55" s="430" t="e">
        <f ca="1"/>
        <v>#VALUE!</v>
      </c>
      <c r="AN55" s="430" t="e">
        <f ca="1"/>
        <v>#VALUE!</v>
      </c>
      <c r="AO55" s="430" t="e">
        <f ca="1"/>
        <v>#VALUE!</v>
      </c>
      <c r="AP55" s="430" t="e">
        <f ca="1"/>
        <v>#VALUE!</v>
      </c>
      <c r="AQ55" s="430" t="e">
        <f ca="1"/>
        <v>#VALUE!</v>
      </c>
      <c r="AR55" s="430" t="e">
        <f ca="1"/>
        <v>#VALUE!</v>
      </c>
      <c r="AS55" s="430" t="e">
        <f ca="1"/>
        <v>#VALUE!</v>
      </c>
      <c r="AT55" s="430" t="e">
        <f ca="1"/>
        <v>#VALUE!</v>
      </c>
      <c r="AU55" s="430" t="e">
        <f ca="1"/>
        <v>#VALUE!</v>
      </c>
      <c r="AV55" s="430" t="e">
        <f ca="1"/>
        <v>#VALUE!</v>
      </c>
      <c r="AW55" s="430" t="e">
        <f ca="1"/>
        <v>#VALUE!</v>
      </c>
      <c r="AX55" s="430" t="e">
        <f ca="1"/>
        <v>#VALUE!</v>
      </c>
      <c r="AY55" s="430" t="e">
        <f ca="1"/>
        <v>#VALUE!</v>
      </c>
      <c r="AZ55" s="430" t="e">
        <f ca="1"/>
        <v>#VALUE!</v>
      </c>
      <c r="BA55" s="430" t="e">
        <f ca="1"/>
        <v>#VALUE!</v>
      </c>
      <c r="BB55" s="430" t="e">
        <f ca="1"/>
        <v>#VALUE!</v>
      </c>
      <c r="BC55" s="430" t="e">
        <f ca="1"/>
        <v>#VALUE!</v>
      </c>
      <c r="BD55" s="430" t="e">
        <f ca="1"/>
        <v>#VALUE!</v>
      </c>
      <c r="BE55" s="430" t="e">
        <f ca="1"/>
        <v>#VALUE!</v>
      </c>
      <c r="BF55" s="430" t="e">
        <f ca="1"/>
        <v>#VALUE!</v>
      </c>
      <c r="BG55" s="430" t="e">
        <f ca="1"/>
        <v>#VALUE!</v>
      </c>
      <c r="BH55" s="430" t="e">
        <f ca="1"/>
        <v>#VALUE!</v>
      </c>
      <c r="BI55" s="430" t="e">
        <f ca="1"/>
        <v>#VALUE!</v>
      </c>
      <c r="BJ55" s="430" t="e">
        <f ca="1"/>
        <v>#VALUE!</v>
      </c>
      <c r="BK55" s="430" t="e">
        <f ca="1"/>
        <v>#VALUE!</v>
      </c>
      <c r="BL55" s="430" t="e">
        <f ca="1"/>
        <v>#VALUE!</v>
      </c>
      <c r="BM55" s="430" t="e">
        <f ca="1"/>
        <v>#VALUE!</v>
      </c>
      <c r="BN55" s="430" t="e">
        <f ca="1"/>
        <v>#VALUE!</v>
      </c>
      <c r="BO55" s="430" t="e">
        <f ca="1"/>
        <v>#VALUE!</v>
      </c>
      <c r="BP55" s="430" t="e">
        <f ca="1"/>
        <v>#VALUE!</v>
      </c>
      <c r="BQ55" s="430" t="e">
        <f ca="1"/>
        <v>#VALUE!</v>
      </c>
      <c r="BR55" s="430" t="e">
        <f ca="1"/>
        <v>#VALUE!</v>
      </c>
      <c r="BS55" s="430" t="e">
        <f ca="1"/>
        <v>#VALUE!</v>
      </c>
      <c r="BT55" s="430" t="e">
        <f ca="1"/>
        <v>#VALUE!</v>
      </c>
      <c r="BU55" s="430" t="e">
        <f ca="1"/>
        <v>#VALUE!</v>
      </c>
      <c r="BV55" s="430" t="e">
        <f ca="1"/>
        <v>#VALUE!</v>
      </c>
      <c r="BW55" s="430" t="e">
        <f ca="1"/>
        <v>#VALUE!</v>
      </c>
      <c r="BX55" s="430" t="e">
        <f ca="1"/>
        <v>#VALUE!</v>
      </c>
    </row>
    <row r="56" spans="4:76">
      <c r="D56" s="430" t="e">
        <f ca="1"/>
        <v>#VALUE!</v>
      </c>
      <c r="E56" s="430" t="e">
        <f ca="1"/>
        <v>#VALUE!</v>
      </c>
      <c r="F56" s="430" t="e">
        <f ca="1"/>
        <v>#VALUE!</v>
      </c>
      <c r="G56" s="430" t="e">
        <f ca="1"/>
        <v>#VALUE!</v>
      </c>
      <c r="H56" s="430" t="e">
        <f ca="1"/>
        <v>#VALUE!</v>
      </c>
      <c r="I56" s="430" t="e">
        <f ca="1"/>
        <v>#VALUE!</v>
      </c>
      <c r="J56" s="430" t="e">
        <f ca="1"/>
        <v>#VALUE!</v>
      </c>
      <c r="K56" s="430" t="e">
        <f ca="1"/>
        <v>#VALUE!</v>
      </c>
      <c r="L56" s="430" t="e">
        <f ca="1"/>
        <v>#VALUE!</v>
      </c>
      <c r="M56" s="430" t="e">
        <f ca="1"/>
        <v>#VALUE!</v>
      </c>
      <c r="N56" s="430" t="e">
        <f ca="1"/>
        <v>#VALUE!</v>
      </c>
      <c r="O56" s="430" t="e">
        <f ca="1"/>
        <v>#VALUE!</v>
      </c>
      <c r="P56" s="430" t="e">
        <f ca="1"/>
        <v>#VALUE!</v>
      </c>
      <c r="Q56" s="430" t="e">
        <f ca="1"/>
        <v>#VALUE!</v>
      </c>
      <c r="R56" s="430" t="e">
        <f ca="1"/>
        <v>#VALUE!</v>
      </c>
      <c r="S56" s="430" t="e">
        <f ca="1"/>
        <v>#VALUE!</v>
      </c>
      <c r="T56" s="430" t="e">
        <f ca="1"/>
        <v>#VALUE!</v>
      </c>
      <c r="U56" s="430" t="e">
        <f ca="1"/>
        <v>#VALUE!</v>
      </c>
      <c r="V56" s="430" t="e">
        <f ca="1"/>
        <v>#VALUE!</v>
      </c>
      <c r="W56" s="430" t="e">
        <f ca="1"/>
        <v>#VALUE!</v>
      </c>
      <c r="X56" s="430" t="e">
        <f ca="1"/>
        <v>#VALUE!</v>
      </c>
      <c r="Y56" s="430" t="e">
        <f ca="1"/>
        <v>#VALUE!</v>
      </c>
      <c r="Z56" s="430" t="e">
        <f ca="1"/>
        <v>#VALUE!</v>
      </c>
      <c r="AA56" s="430" t="e">
        <f ca="1"/>
        <v>#VALUE!</v>
      </c>
      <c r="AB56" s="430" t="e">
        <f ca="1"/>
        <v>#VALUE!</v>
      </c>
      <c r="AC56" s="430" t="e">
        <f ca="1"/>
        <v>#VALUE!</v>
      </c>
      <c r="AD56" s="430" t="e">
        <f ca="1"/>
        <v>#VALUE!</v>
      </c>
      <c r="AE56" s="430" t="e">
        <f ca="1"/>
        <v>#VALUE!</v>
      </c>
      <c r="AF56" s="430" t="e">
        <f ca="1"/>
        <v>#VALUE!</v>
      </c>
      <c r="AG56" s="430" t="e">
        <f ca="1"/>
        <v>#VALUE!</v>
      </c>
      <c r="AH56" s="430" t="e">
        <f ca="1"/>
        <v>#VALUE!</v>
      </c>
      <c r="AI56" s="430" t="e">
        <f ca="1"/>
        <v>#VALUE!</v>
      </c>
      <c r="AJ56" s="430" t="e">
        <f ca="1"/>
        <v>#VALUE!</v>
      </c>
      <c r="AK56" s="430" t="e">
        <f ca="1"/>
        <v>#VALUE!</v>
      </c>
      <c r="AL56" s="430" t="e">
        <f ca="1"/>
        <v>#VALUE!</v>
      </c>
      <c r="AM56" s="430" t="e">
        <f ca="1"/>
        <v>#VALUE!</v>
      </c>
      <c r="AN56" s="430" t="e">
        <f ca="1"/>
        <v>#VALUE!</v>
      </c>
      <c r="AO56" s="430" t="e">
        <f ca="1"/>
        <v>#VALUE!</v>
      </c>
      <c r="AP56" s="430" t="e">
        <f ca="1"/>
        <v>#VALUE!</v>
      </c>
      <c r="AQ56" s="430" t="e">
        <f ca="1"/>
        <v>#VALUE!</v>
      </c>
      <c r="AR56" s="430" t="e">
        <f ca="1"/>
        <v>#VALUE!</v>
      </c>
      <c r="AS56" s="430" t="e">
        <f ca="1"/>
        <v>#VALUE!</v>
      </c>
      <c r="AT56" s="430" t="e">
        <f ca="1"/>
        <v>#VALUE!</v>
      </c>
      <c r="AU56" s="430" t="e">
        <f ca="1"/>
        <v>#VALUE!</v>
      </c>
      <c r="AV56" s="430" t="e">
        <f ca="1"/>
        <v>#VALUE!</v>
      </c>
      <c r="AW56" s="430" t="e">
        <f ca="1"/>
        <v>#VALUE!</v>
      </c>
      <c r="AX56" s="430" t="e">
        <f ca="1"/>
        <v>#VALUE!</v>
      </c>
      <c r="AY56" s="430" t="e">
        <f ca="1"/>
        <v>#VALUE!</v>
      </c>
      <c r="AZ56" s="430" t="e">
        <f ca="1"/>
        <v>#VALUE!</v>
      </c>
      <c r="BA56" s="430" t="e">
        <f ca="1"/>
        <v>#VALUE!</v>
      </c>
      <c r="BB56" s="430" t="e">
        <f ca="1"/>
        <v>#VALUE!</v>
      </c>
      <c r="BC56" s="430" t="e">
        <f ca="1"/>
        <v>#VALUE!</v>
      </c>
      <c r="BD56" s="430" t="e">
        <f ca="1"/>
        <v>#VALUE!</v>
      </c>
      <c r="BE56" s="430" t="e">
        <f ca="1"/>
        <v>#VALUE!</v>
      </c>
      <c r="BF56" s="430" t="e">
        <f ca="1"/>
        <v>#VALUE!</v>
      </c>
      <c r="BG56" s="430" t="e">
        <f ca="1"/>
        <v>#VALUE!</v>
      </c>
      <c r="BH56" s="430" t="e">
        <f ca="1"/>
        <v>#VALUE!</v>
      </c>
      <c r="BI56" s="430" t="e">
        <f ca="1"/>
        <v>#VALUE!</v>
      </c>
      <c r="BJ56" s="430" t="e">
        <f ca="1"/>
        <v>#VALUE!</v>
      </c>
      <c r="BK56" s="430" t="e">
        <f ca="1"/>
        <v>#VALUE!</v>
      </c>
      <c r="BL56" s="430" t="e">
        <f ca="1"/>
        <v>#VALUE!</v>
      </c>
      <c r="BM56" s="430" t="e">
        <f ca="1"/>
        <v>#VALUE!</v>
      </c>
      <c r="BN56" s="430" t="e">
        <f ca="1"/>
        <v>#VALUE!</v>
      </c>
      <c r="BO56" s="430" t="e">
        <f ca="1"/>
        <v>#VALUE!</v>
      </c>
      <c r="BP56" s="430" t="e">
        <f ca="1"/>
        <v>#VALUE!</v>
      </c>
      <c r="BQ56" s="430" t="e">
        <f ca="1"/>
        <v>#VALUE!</v>
      </c>
      <c r="BR56" s="430" t="e">
        <f ca="1"/>
        <v>#VALUE!</v>
      </c>
      <c r="BS56" s="430" t="e">
        <f ca="1"/>
        <v>#VALUE!</v>
      </c>
      <c r="BT56" s="430" t="e">
        <f ca="1"/>
        <v>#VALUE!</v>
      </c>
      <c r="BU56" s="430" t="e">
        <f ca="1"/>
        <v>#VALUE!</v>
      </c>
      <c r="BV56" s="430" t="e">
        <f ca="1"/>
        <v>#VALUE!</v>
      </c>
      <c r="BW56" s="430" t="e">
        <f ca="1"/>
        <v>#VALUE!</v>
      </c>
      <c r="BX56" s="430" t="e">
        <f ca="1"/>
        <v>#VALUE!</v>
      </c>
    </row>
    <row r="57" spans="4:76">
      <c r="D57" s="430" t="e">
        <f ca="1"/>
        <v>#VALUE!</v>
      </c>
      <c r="E57" s="430" t="e">
        <f ca="1"/>
        <v>#VALUE!</v>
      </c>
      <c r="F57" s="430" t="e">
        <f ca="1"/>
        <v>#VALUE!</v>
      </c>
      <c r="G57" s="430" t="e">
        <f ca="1"/>
        <v>#VALUE!</v>
      </c>
      <c r="H57" s="430" t="e">
        <f ca="1"/>
        <v>#VALUE!</v>
      </c>
      <c r="I57" s="430" t="e">
        <f ca="1"/>
        <v>#VALUE!</v>
      </c>
      <c r="J57" s="430" t="e">
        <f ca="1"/>
        <v>#VALUE!</v>
      </c>
      <c r="K57" s="430" t="e">
        <f ca="1"/>
        <v>#VALUE!</v>
      </c>
      <c r="L57" s="430" t="e">
        <f ca="1"/>
        <v>#VALUE!</v>
      </c>
      <c r="M57" s="430" t="e">
        <f ca="1"/>
        <v>#VALUE!</v>
      </c>
      <c r="N57" s="430" t="e">
        <f ca="1"/>
        <v>#VALUE!</v>
      </c>
      <c r="O57" s="430" t="e">
        <f ca="1"/>
        <v>#VALUE!</v>
      </c>
      <c r="P57" s="430" t="e">
        <f ca="1"/>
        <v>#VALUE!</v>
      </c>
      <c r="Q57" s="430" t="e">
        <f ca="1"/>
        <v>#VALUE!</v>
      </c>
      <c r="R57" s="430" t="e">
        <f ca="1"/>
        <v>#VALUE!</v>
      </c>
      <c r="S57" s="430" t="e">
        <f ca="1"/>
        <v>#VALUE!</v>
      </c>
      <c r="T57" s="430" t="e">
        <f ca="1"/>
        <v>#VALUE!</v>
      </c>
      <c r="U57" s="430" t="e">
        <f ca="1"/>
        <v>#VALUE!</v>
      </c>
      <c r="V57" s="430" t="e">
        <f ca="1"/>
        <v>#VALUE!</v>
      </c>
      <c r="W57" s="430" t="e">
        <f ca="1"/>
        <v>#VALUE!</v>
      </c>
      <c r="X57" s="430" t="e">
        <f ca="1"/>
        <v>#VALUE!</v>
      </c>
      <c r="Y57" s="430" t="e">
        <f ca="1"/>
        <v>#VALUE!</v>
      </c>
      <c r="Z57" s="430" t="e">
        <f ca="1"/>
        <v>#VALUE!</v>
      </c>
      <c r="AA57" s="430" t="e">
        <f ca="1"/>
        <v>#VALUE!</v>
      </c>
      <c r="AB57" s="430" t="e">
        <f ca="1"/>
        <v>#VALUE!</v>
      </c>
      <c r="AC57" s="430" t="e">
        <f ca="1"/>
        <v>#VALUE!</v>
      </c>
      <c r="AD57" s="430" t="e">
        <f ca="1"/>
        <v>#VALUE!</v>
      </c>
      <c r="AE57" s="430" t="e">
        <f ca="1"/>
        <v>#VALUE!</v>
      </c>
      <c r="AF57" s="430" t="e">
        <f ca="1"/>
        <v>#VALUE!</v>
      </c>
      <c r="AG57" s="430" t="e">
        <f ca="1"/>
        <v>#VALUE!</v>
      </c>
      <c r="AH57" s="430" t="e">
        <f ca="1"/>
        <v>#VALUE!</v>
      </c>
      <c r="AI57" s="430" t="e">
        <f ca="1"/>
        <v>#VALUE!</v>
      </c>
      <c r="AJ57" s="430" t="e">
        <f ca="1"/>
        <v>#VALUE!</v>
      </c>
      <c r="AK57" s="430" t="e">
        <f ca="1"/>
        <v>#VALUE!</v>
      </c>
      <c r="AL57" s="430" t="e">
        <f ca="1"/>
        <v>#VALUE!</v>
      </c>
      <c r="AM57" s="430" t="e">
        <f ca="1"/>
        <v>#VALUE!</v>
      </c>
      <c r="AN57" s="430" t="e">
        <f ca="1"/>
        <v>#VALUE!</v>
      </c>
      <c r="AO57" s="430" t="e">
        <f ca="1"/>
        <v>#VALUE!</v>
      </c>
      <c r="AP57" s="430" t="e">
        <f ca="1"/>
        <v>#VALUE!</v>
      </c>
      <c r="AQ57" s="430" t="e">
        <f ca="1"/>
        <v>#VALUE!</v>
      </c>
      <c r="AR57" s="430" t="e">
        <f ca="1"/>
        <v>#VALUE!</v>
      </c>
      <c r="AS57" s="430" t="e">
        <f ca="1"/>
        <v>#VALUE!</v>
      </c>
      <c r="AT57" s="430" t="e">
        <f ca="1"/>
        <v>#VALUE!</v>
      </c>
      <c r="AU57" s="430" t="e">
        <f ca="1"/>
        <v>#VALUE!</v>
      </c>
      <c r="AV57" s="430" t="e">
        <f ca="1"/>
        <v>#VALUE!</v>
      </c>
      <c r="AW57" s="430" t="e">
        <f ca="1"/>
        <v>#VALUE!</v>
      </c>
      <c r="AX57" s="430" t="e">
        <f ca="1"/>
        <v>#VALUE!</v>
      </c>
      <c r="AY57" s="430" t="e">
        <f ca="1"/>
        <v>#VALUE!</v>
      </c>
      <c r="AZ57" s="430" t="e">
        <f ca="1"/>
        <v>#VALUE!</v>
      </c>
      <c r="BA57" s="430" t="e">
        <f ca="1"/>
        <v>#VALUE!</v>
      </c>
      <c r="BB57" s="430" t="e">
        <f ca="1"/>
        <v>#VALUE!</v>
      </c>
      <c r="BC57" s="430" t="e">
        <f ca="1"/>
        <v>#VALUE!</v>
      </c>
      <c r="BD57" s="430" t="e">
        <f ca="1"/>
        <v>#VALUE!</v>
      </c>
      <c r="BE57" s="430" t="e">
        <f ca="1"/>
        <v>#VALUE!</v>
      </c>
      <c r="BF57" s="430" t="e">
        <f ca="1"/>
        <v>#VALUE!</v>
      </c>
      <c r="BG57" s="430" t="e">
        <f ca="1"/>
        <v>#VALUE!</v>
      </c>
      <c r="BH57" s="430" t="e">
        <f ca="1"/>
        <v>#VALUE!</v>
      </c>
      <c r="BI57" s="430" t="e">
        <f ca="1"/>
        <v>#VALUE!</v>
      </c>
      <c r="BJ57" s="430" t="e">
        <f ca="1"/>
        <v>#VALUE!</v>
      </c>
      <c r="BK57" s="430" t="e">
        <f ca="1"/>
        <v>#VALUE!</v>
      </c>
      <c r="BL57" s="430" t="e">
        <f ca="1"/>
        <v>#VALUE!</v>
      </c>
      <c r="BM57" s="430" t="e">
        <f ca="1"/>
        <v>#VALUE!</v>
      </c>
      <c r="BN57" s="430" t="e">
        <f ca="1"/>
        <v>#VALUE!</v>
      </c>
      <c r="BO57" s="430" t="e">
        <f ca="1"/>
        <v>#VALUE!</v>
      </c>
      <c r="BP57" s="430" t="e">
        <f ca="1"/>
        <v>#VALUE!</v>
      </c>
      <c r="BQ57" s="430" t="e">
        <f ca="1"/>
        <v>#VALUE!</v>
      </c>
      <c r="BR57" s="430" t="e">
        <f ca="1"/>
        <v>#VALUE!</v>
      </c>
      <c r="BS57" s="430" t="e">
        <f ca="1"/>
        <v>#VALUE!</v>
      </c>
      <c r="BT57" s="430" t="e">
        <f ca="1"/>
        <v>#VALUE!</v>
      </c>
      <c r="BU57" s="430" t="e">
        <f ca="1"/>
        <v>#VALUE!</v>
      </c>
      <c r="BV57" s="430" t="e">
        <f ca="1"/>
        <v>#VALUE!</v>
      </c>
      <c r="BW57" s="430" t="e">
        <f ca="1"/>
        <v>#VALUE!</v>
      </c>
      <c r="BX57" s="430" t="e">
        <f ca="1"/>
        <v>#VALUE!</v>
      </c>
    </row>
    <row r="58" spans="4:76">
      <c r="D58" s="430" t="e">
        <f ca="1"/>
        <v>#VALUE!</v>
      </c>
      <c r="E58" s="430" t="e">
        <f ca="1"/>
        <v>#VALUE!</v>
      </c>
      <c r="F58" s="430" t="e">
        <f ca="1"/>
        <v>#VALUE!</v>
      </c>
      <c r="G58" s="430" t="e">
        <f ca="1"/>
        <v>#VALUE!</v>
      </c>
      <c r="H58" s="430" t="e">
        <f ca="1"/>
        <v>#VALUE!</v>
      </c>
      <c r="I58" s="430" t="e">
        <f ca="1"/>
        <v>#VALUE!</v>
      </c>
      <c r="J58" s="430" t="e">
        <f ca="1"/>
        <v>#VALUE!</v>
      </c>
      <c r="K58" s="430" t="e">
        <f ca="1"/>
        <v>#VALUE!</v>
      </c>
      <c r="L58" s="430" t="e">
        <f ca="1"/>
        <v>#VALUE!</v>
      </c>
      <c r="M58" s="430" t="e">
        <f ca="1"/>
        <v>#VALUE!</v>
      </c>
      <c r="N58" s="430" t="e">
        <f ca="1"/>
        <v>#VALUE!</v>
      </c>
      <c r="O58" s="430" t="e">
        <f ca="1"/>
        <v>#VALUE!</v>
      </c>
      <c r="P58" s="430" t="e">
        <f ca="1"/>
        <v>#VALUE!</v>
      </c>
      <c r="Q58" s="430" t="e">
        <f ca="1"/>
        <v>#VALUE!</v>
      </c>
      <c r="R58" s="430" t="e">
        <f ca="1"/>
        <v>#VALUE!</v>
      </c>
      <c r="S58" s="430" t="e">
        <f ca="1"/>
        <v>#VALUE!</v>
      </c>
      <c r="T58" s="430" t="e">
        <f ca="1"/>
        <v>#VALUE!</v>
      </c>
      <c r="U58" s="430" t="e">
        <f ca="1"/>
        <v>#VALUE!</v>
      </c>
      <c r="V58" s="430" t="e">
        <f ca="1"/>
        <v>#VALUE!</v>
      </c>
      <c r="W58" s="430" t="e">
        <f ca="1"/>
        <v>#VALUE!</v>
      </c>
      <c r="X58" s="430" t="e">
        <f ca="1"/>
        <v>#VALUE!</v>
      </c>
      <c r="Y58" s="430" t="e">
        <f ca="1"/>
        <v>#VALUE!</v>
      </c>
      <c r="Z58" s="430" t="e">
        <f ca="1"/>
        <v>#VALUE!</v>
      </c>
      <c r="AA58" s="430" t="e">
        <f ca="1"/>
        <v>#VALUE!</v>
      </c>
      <c r="AB58" s="430" t="e">
        <f ca="1"/>
        <v>#VALUE!</v>
      </c>
      <c r="AC58" s="430" t="e">
        <f ca="1"/>
        <v>#VALUE!</v>
      </c>
      <c r="AD58" s="430" t="e">
        <f ca="1"/>
        <v>#VALUE!</v>
      </c>
      <c r="AE58" s="430" t="e">
        <f ca="1"/>
        <v>#VALUE!</v>
      </c>
      <c r="AF58" s="430" t="e">
        <f ca="1"/>
        <v>#VALUE!</v>
      </c>
      <c r="AG58" s="430" t="e">
        <f ca="1"/>
        <v>#VALUE!</v>
      </c>
      <c r="AH58" s="430" t="e">
        <f ca="1"/>
        <v>#VALUE!</v>
      </c>
      <c r="AI58" s="430" t="e">
        <f ca="1"/>
        <v>#VALUE!</v>
      </c>
      <c r="AJ58" s="430" t="e">
        <f ca="1"/>
        <v>#VALUE!</v>
      </c>
      <c r="AK58" s="430" t="e">
        <f ca="1"/>
        <v>#VALUE!</v>
      </c>
      <c r="AL58" s="430" t="e">
        <f ca="1"/>
        <v>#VALUE!</v>
      </c>
      <c r="AM58" s="430" t="e">
        <f ca="1"/>
        <v>#VALUE!</v>
      </c>
      <c r="AN58" s="430" t="e">
        <f ca="1"/>
        <v>#VALUE!</v>
      </c>
      <c r="AO58" s="430" t="e">
        <f ca="1"/>
        <v>#VALUE!</v>
      </c>
      <c r="AP58" s="430" t="e">
        <f ca="1"/>
        <v>#VALUE!</v>
      </c>
      <c r="AQ58" s="430" t="e">
        <f ca="1"/>
        <v>#VALUE!</v>
      </c>
      <c r="AR58" s="430" t="e">
        <f ca="1"/>
        <v>#VALUE!</v>
      </c>
      <c r="AS58" s="430" t="e">
        <f ca="1"/>
        <v>#VALUE!</v>
      </c>
      <c r="AT58" s="430" t="e">
        <f ca="1"/>
        <v>#VALUE!</v>
      </c>
      <c r="AU58" s="430" t="e">
        <f ca="1"/>
        <v>#VALUE!</v>
      </c>
      <c r="AV58" s="430" t="e">
        <f ca="1"/>
        <v>#VALUE!</v>
      </c>
      <c r="AW58" s="430" t="e">
        <f ca="1"/>
        <v>#VALUE!</v>
      </c>
      <c r="AX58" s="430" t="e">
        <f ca="1"/>
        <v>#VALUE!</v>
      </c>
      <c r="AY58" s="430" t="e">
        <f ca="1"/>
        <v>#VALUE!</v>
      </c>
      <c r="AZ58" s="430" t="e">
        <f ca="1"/>
        <v>#VALUE!</v>
      </c>
      <c r="BA58" s="430" t="e">
        <f ca="1"/>
        <v>#VALUE!</v>
      </c>
      <c r="BB58" s="430" t="e">
        <f ca="1"/>
        <v>#VALUE!</v>
      </c>
      <c r="BC58" s="430" t="e">
        <f ca="1"/>
        <v>#VALUE!</v>
      </c>
      <c r="BD58" s="430" t="e">
        <f ca="1"/>
        <v>#VALUE!</v>
      </c>
      <c r="BE58" s="430" t="e">
        <f ca="1"/>
        <v>#VALUE!</v>
      </c>
      <c r="BF58" s="430" t="e">
        <f ca="1"/>
        <v>#VALUE!</v>
      </c>
      <c r="BG58" s="430" t="e">
        <f ca="1"/>
        <v>#VALUE!</v>
      </c>
      <c r="BH58" s="430" t="e">
        <f ca="1"/>
        <v>#VALUE!</v>
      </c>
      <c r="BI58" s="430" t="e">
        <f ca="1"/>
        <v>#VALUE!</v>
      </c>
      <c r="BJ58" s="430" t="e">
        <f ca="1"/>
        <v>#VALUE!</v>
      </c>
      <c r="BK58" s="430" t="e">
        <f ca="1"/>
        <v>#VALUE!</v>
      </c>
      <c r="BL58" s="430" t="e">
        <f ca="1"/>
        <v>#VALUE!</v>
      </c>
      <c r="BM58" s="430" t="e">
        <f ca="1"/>
        <v>#VALUE!</v>
      </c>
      <c r="BN58" s="430" t="e">
        <f ca="1"/>
        <v>#VALUE!</v>
      </c>
      <c r="BO58" s="430" t="e">
        <f ca="1"/>
        <v>#VALUE!</v>
      </c>
      <c r="BP58" s="430" t="e">
        <f ca="1"/>
        <v>#VALUE!</v>
      </c>
      <c r="BQ58" s="430" t="e">
        <f ca="1"/>
        <v>#VALUE!</v>
      </c>
      <c r="BR58" s="430" t="e">
        <f ca="1"/>
        <v>#VALUE!</v>
      </c>
      <c r="BS58" s="430" t="e">
        <f ca="1"/>
        <v>#VALUE!</v>
      </c>
      <c r="BT58" s="430" t="e">
        <f ca="1"/>
        <v>#VALUE!</v>
      </c>
      <c r="BU58" s="430" t="e">
        <f ca="1"/>
        <v>#VALUE!</v>
      </c>
      <c r="BV58" s="430" t="e">
        <f ca="1"/>
        <v>#VALUE!</v>
      </c>
      <c r="BW58" s="430" t="e">
        <f ca="1"/>
        <v>#VALUE!</v>
      </c>
      <c r="BX58" s="430" t="e">
        <f ca="1"/>
        <v>#VALUE!</v>
      </c>
    </row>
    <row r="59" spans="4:76">
      <c r="D59" s="430" t="e">
        <f ca="1"/>
        <v>#VALUE!</v>
      </c>
      <c r="E59" s="430" t="e">
        <f ca="1"/>
        <v>#VALUE!</v>
      </c>
      <c r="F59" s="430" t="e">
        <f ca="1"/>
        <v>#VALUE!</v>
      </c>
      <c r="G59" s="430" t="e">
        <f ca="1"/>
        <v>#VALUE!</v>
      </c>
      <c r="H59" s="430" t="e">
        <f ca="1"/>
        <v>#VALUE!</v>
      </c>
      <c r="I59" s="430" t="e">
        <f ca="1"/>
        <v>#VALUE!</v>
      </c>
      <c r="J59" s="430" t="e">
        <f ca="1"/>
        <v>#VALUE!</v>
      </c>
      <c r="K59" s="430" t="e">
        <f ca="1"/>
        <v>#VALUE!</v>
      </c>
      <c r="L59" s="430" t="e">
        <f ca="1"/>
        <v>#VALUE!</v>
      </c>
      <c r="M59" s="430" t="e">
        <f ca="1"/>
        <v>#VALUE!</v>
      </c>
      <c r="N59" s="430" t="e">
        <f ca="1"/>
        <v>#VALUE!</v>
      </c>
      <c r="O59" s="430" t="e">
        <f ca="1"/>
        <v>#VALUE!</v>
      </c>
      <c r="P59" s="430" t="e">
        <f ca="1"/>
        <v>#VALUE!</v>
      </c>
      <c r="Q59" s="430" t="e">
        <f ca="1"/>
        <v>#VALUE!</v>
      </c>
      <c r="R59" s="430" t="e">
        <f ca="1"/>
        <v>#VALUE!</v>
      </c>
      <c r="S59" s="430" t="e">
        <f ca="1"/>
        <v>#VALUE!</v>
      </c>
      <c r="T59" s="430" t="e">
        <f ca="1"/>
        <v>#VALUE!</v>
      </c>
      <c r="U59" s="430" t="e">
        <f ca="1"/>
        <v>#VALUE!</v>
      </c>
      <c r="V59" s="430" t="e">
        <f ca="1"/>
        <v>#VALUE!</v>
      </c>
      <c r="W59" s="430" t="e">
        <f ca="1"/>
        <v>#VALUE!</v>
      </c>
      <c r="X59" s="430" t="e">
        <f ca="1"/>
        <v>#VALUE!</v>
      </c>
      <c r="Y59" s="430" t="e">
        <f ca="1"/>
        <v>#VALUE!</v>
      </c>
      <c r="Z59" s="430" t="e">
        <f ca="1"/>
        <v>#VALUE!</v>
      </c>
      <c r="AA59" s="430" t="e">
        <f ca="1"/>
        <v>#VALUE!</v>
      </c>
      <c r="AB59" s="430" t="e">
        <f ca="1"/>
        <v>#VALUE!</v>
      </c>
      <c r="AC59" s="430" t="e">
        <f ca="1"/>
        <v>#VALUE!</v>
      </c>
      <c r="AD59" s="430" t="e">
        <f ca="1"/>
        <v>#VALUE!</v>
      </c>
      <c r="AE59" s="430" t="e">
        <f ca="1"/>
        <v>#VALUE!</v>
      </c>
      <c r="AF59" s="430" t="e">
        <f ca="1"/>
        <v>#VALUE!</v>
      </c>
      <c r="AG59" s="430" t="e">
        <f ca="1"/>
        <v>#VALUE!</v>
      </c>
      <c r="AH59" s="430" t="e">
        <f ca="1"/>
        <v>#VALUE!</v>
      </c>
      <c r="AI59" s="430" t="e">
        <f ca="1"/>
        <v>#VALUE!</v>
      </c>
      <c r="AJ59" s="430" t="e">
        <f ca="1"/>
        <v>#VALUE!</v>
      </c>
      <c r="AK59" s="430" t="e">
        <f ca="1"/>
        <v>#VALUE!</v>
      </c>
      <c r="AL59" s="430" t="e">
        <f ca="1"/>
        <v>#VALUE!</v>
      </c>
      <c r="AM59" s="430" t="e">
        <f ca="1"/>
        <v>#VALUE!</v>
      </c>
      <c r="AN59" s="430" t="e">
        <f ca="1"/>
        <v>#VALUE!</v>
      </c>
      <c r="AO59" s="430" t="e">
        <f ca="1"/>
        <v>#VALUE!</v>
      </c>
      <c r="AP59" s="430" t="e">
        <f ca="1"/>
        <v>#VALUE!</v>
      </c>
      <c r="AQ59" s="430" t="e">
        <f ca="1"/>
        <v>#VALUE!</v>
      </c>
      <c r="AR59" s="430" t="e">
        <f ca="1"/>
        <v>#VALUE!</v>
      </c>
      <c r="AS59" s="430" t="e">
        <f ca="1"/>
        <v>#VALUE!</v>
      </c>
      <c r="AT59" s="430" t="e">
        <f ca="1"/>
        <v>#VALUE!</v>
      </c>
      <c r="AU59" s="430" t="e">
        <f ca="1"/>
        <v>#VALUE!</v>
      </c>
      <c r="AV59" s="430" t="e">
        <f ca="1"/>
        <v>#VALUE!</v>
      </c>
      <c r="AW59" s="430" t="e">
        <f ca="1"/>
        <v>#VALUE!</v>
      </c>
      <c r="AX59" s="430" t="e">
        <f ca="1"/>
        <v>#VALUE!</v>
      </c>
      <c r="AY59" s="430" t="e">
        <f ca="1"/>
        <v>#VALUE!</v>
      </c>
      <c r="AZ59" s="430" t="e">
        <f ca="1"/>
        <v>#VALUE!</v>
      </c>
      <c r="BA59" s="430" t="e">
        <f ca="1"/>
        <v>#VALUE!</v>
      </c>
      <c r="BB59" s="430" t="e">
        <f ca="1"/>
        <v>#VALUE!</v>
      </c>
      <c r="BC59" s="430" t="e">
        <f ca="1"/>
        <v>#VALUE!</v>
      </c>
      <c r="BD59" s="430" t="e">
        <f ca="1"/>
        <v>#VALUE!</v>
      </c>
      <c r="BE59" s="430" t="e">
        <f ca="1"/>
        <v>#VALUE!</v>
      </c>
      <c r="BF59" s="430" t="e">
        <f ca="1"/>
        <v>#VALUE!</v>
      </c>
      <c r="BG59" s="430" t="e">
        <f ca="1"/>
        <v>#VALUE!</v>
      </c>
      <c r="BH59" s="430" t="e">
        <f ca="1"/>
        <v>#VALUE!</v>
      </c>
      <c r="BI59" s="430" t="e">
        <f ca="1"/>
        <v>#VALUE!</v>
      </c>
      <c r="BJ59" s="430" t="e">
        <f ca="1"/>
        <v>#VALUE!</v>
      </c>
      <c r="BK59" s="430" t="e">
        <f ca="1"/>
        <v>#VALUE!</v>
      </c>
      <c r="BL59" s="430" t="e">
        <f ca="1"/>
        <v>#VALUE!</v>
      </c>
      <c r="BM59" s="430" t="e">
        <f ca="1"/>
        <v>#VALUE!</v>
      </c>
      <c r="BN59" s="430" t="e">
        <f ca="1"/>
        <v>#VALUE!</v>
      </c>
      <c r="BO59" s="430" t="e">
        <f ca="1"/>
        <v>#VALUE!</v>
      </c>
      <c r="BP59" s="430" t="e">
        <f ca="1"/>
        <v>#VALUE!</v>
      </c>
      <c r="BQ59" s="430" t="e">
        <f ca="1"/>
        <v>#VALUE!</v>
      </c>
      <c r="BR59" s="430" t="e">
        <f ca="1"/>
        <v>#VALUE!</v>
      </c>
      <c r="BS59" s="430" t="e">
        <f ca="1"/>
        <v>#VALUE!</v>
      </c>
      <c r="BT59" s="430" t="e">
        <f ca="1"/>
        <v>#VALUE!</v>
      </c>
      <c r="BU59" s="430" t="e">
        <f ca="1"/>
        <v>#VALUE!</v>
      </c>
      <c r="BV59" s="430" t="e">
        <f ca="1"/>
        <v>#VALUE!</v>
      </c>
      <c r="BW59" s="430" t="e">
        <f ca="1"/>
        <v>#VALUE!</v>
      </c>
      <c r="BX59" s="430" t="e">
        <f ca="1"/>
        <v>#VALUE!</v>
      </c>
    </row>
    <row r="60" spans="4:76">
      <c r="D60" s="430" t="e">
        <f ca="1"/>
        <v>#VALUE!</v>
      </c>
      <c r="E60" s="430" t="e">
        <f ca="1"/>
        <v>#VALUE!</v>
      </c>
      <c r="F60" s="430" t="e">
        <f ca="1"/>
        <v>#VALUE!</v>
      </c>
      <c r="G60" s="430" t="e">
        <f ca="1"/>
        <v>#VALUE!</v>
      </c>
      <c r="H60" s="430" t="e">
        <f ca="1"/>
        <v>#VALUE!</v>
      </c>
      <c r="I60" s="430" t="e">
        <f ca="1"/>
        <v>#VALUE!</v>
      </c>
      <c r="J60" s="430" t="e">
        <f ca="1"/>
        <v>#VALUE!</v>
      </c>
      <c r="K60" s="430" t="e">
        <f ca="1"/>
        <v>#VALUE!</v>
      </c>
      <c r="L60" s="430" t="e">
        <f ca="1"/>
        <v>#VALUE!</v>
      </c>
      <c r="M60" s="430" t="e">
        <f ca="1"/>
        <v>#VALUE!</v>
      </c>
      <c r="N60" s="430" t="e">
        <f ca="1"/>
        <v>#VALUE!</v>
      </c>
      <c r="O60" s="430" t="e">
        <f ca="1"/>
        <v>#VALUE!</v>
      </c>
      <c r="P60" s="430" t="e">
        <f ca="1"/>
        <v>#VALUE!</v>
      </c>
      <c r="Q60" s="430" t="e">
        <f ca="1"/>
        <v>#VALUE!</v>
      </c>
      <c r="R60" s="430" t="e">
        <f ca="1"/>
        <v>#VALUE!</v>
      </c>
      <c r="S60" s="430" t="e">
        <f ca="1"/>
        <v>#VALUE!</v>
      </c>
      <c r="T60" s="430" t="e">
        <f ca="1"/>
        <v>#VALUE!</v>
      </c>
      <c r="U60" s="430" t="e">
        <f ca="1"/>
        <v>#VALUE!</v>
      </c>
      <c r="V60" s="430" t="e">
        <f ca="1"/>
        <v>#VALUE!</v>
      </c>
      <c r="W60" s="430" t="e">
        <f ca="1"/>
        <v>#VALUE!</v>
      </c>
      <c r="X60" s="430" t="e">
        <f ca="1"/>
        <v>#VALUE!</v>
      </c>
      <c r="Y60" s="430" t="e">
        <f ca="1"/>
        <v>#VALUE!</v>
      </c>
      <c r="Z60" s="430" t="e">
        <f ca="1"/>
        <v>#VALUE!</v>
      </c>
      <c r="AA60" s="430" t="e">
        <f ca="1"/>
        <v>#VALUE!</v>
      </c>
      <c r="AB60" s="430" t="e">
        <f ca="1"/>
        <v>#VALUE!</v>
      </c>
      <c r="AC60" s="430" t="e">
        <f ca="1"/>
        <v>#VALUE!</v>
      </c>
      <c r="AD60" s="430" t="e">
        <f ca="1"/>
        <v>#VALUE!</v>
      </c>
      <c r="AE60" s="430" t="e">
        <f ca="1"/>
        <v>#VALUE!</v>
      </c>
      <c r="AF60" s="430" t="e">
        <f ca="1"/>
        <v>#VALUE!</v>
      </c>
      <c r="AG60" s="430" t="e">
        <f ca="1"/>
        <v>#VALUE!</v>
      </c>
      <c r="AH60" s="430" t="e">
        <f ca="1"/>
        <v>#VALUE!</v>
      </c>
      <c r="AI60" s="430" t="e">
        <f ca="1"/>
        <v>#VALUE!</v>
      </c>
      <c r="AJ60" s="430" t="e">
        <f ca="1"/>
        <v>#VALUE!</v>
      </c>
      <c r="AK60" s="430" t="e">
        <f ca="1"/>
        <v>#VALUE!</v>
      </c>
      <c r="AL60" s="430" t="e">
        <f ca="1"/>
        <v>#VALUE!</v>
      </c>
      <c r="AM60" s="430" t="e">
        <f ca="1"/>
        <v>#VALUE!</v>
      </c>
      <c r="AN60" s="430" t="e">
        <f ca="1"/>
        <v>#VALUE!</v>
      </c>
      <c r="AO60" s="430" t="e">
        <f ca="1"/>
        <v>#VALUE!</v>
      </c>
      <c r="AP60" s="430" t="e">
        <f ca="1"/>
        <v>#VALUE!</v>
      </c>
      <c r="AQ60" s="430" t="e">
        <f ca="1"/>
        <v>#VALUE!</v>
      </c>
      <c r="AR60" s="430" t="e">
        <f ca="1"/>
        <v>#VALUE!</v>
      </c>
      <c r="AS60" s="430" t="e">
        <f ca="1"/>
        <v>#VALUE!</v>
      </c>
      <c r="AT60" s="430" t="e">
        <f ca="1"/>
        <v>#VALUE!</v>
      </c>
      <c r="AU60" s="430" t="e">
        <f ca="1"/>
        <v>#VALUE!</v>
      </c>
      <c r="AV60" s="430" t="e">
        <f ca="1"/>
        <v>#VALUE!</v>
      </c>
      <c r="AW60" s="430" t="e">
        <f ca="1"/>
        <v>#VALUE!</v>
      </c>
      <c r="AX60" s="430" t="e">
        <f ca="1"/>
        <v>#VALUE!</v>
      </c>
      <c r="AY60" s="430" t="e">
        <f ca="1"/>
        <v>#VALUE!</v>
      </c>
      <c r="AZ60" s="430" t="e">
        <f ca="1"/>
        <v>#VALUE!</v>
      </c>
      <c r="BA60" s="430" t="e">
        <f ca="1"/>
        <v>#VALUE!</v>
      </c>
      <c r="BB60" s="430" t="e">
        <f ca="1"/>
        <v>#VALUE!</v>
      </c>
      <c r="BC60" s="430" t="e">
        <f ca="1"/>
        <v>#VALUE!</v>
      </c>
      <c r="BD60" s="430" t="e">
        <f ca="1"/>
        <v>#VALUE!</v>
      </c>
      <c r="BE60" s="430" t="e">
        <f ca="1"/>
        <v>#VALUE!</v>
      </c>
      <c r="BF60" s="430" t="e">
        <f ca="1"/>
        <v>#VALUE!</v>
      </c>
      <c r="BG60" s="430" t="e">
        <f ca="1"/>
        <v>#VALUE!</v>
      </c>
      <c r="BH60" s="430" t="e">
        <f ca="1"/>
        <v>#VALUE!</v>
      </c>
      <c r="BI60" s="430" t="e">
        <f ca="1"/>
        <v>#VALUE!</v>
      </c>
      <c r="BJ60" s="430" t="e">
        <f ca="1"/>
        <v>#VALUE!</v>
      </c>
      <c r="BK60" s="430" t="e">
        <f ca="1"/>
        <v>#VALUE!</v>
      </c>
      <c r="BL60" s="430" t="e">
        <f ca="1"/>
        <v>#VALUE!</v>
      </c>
      <c r="BM60" s="430" t="e">
        <f ca="1"/>
        <v>#VALUE!</v>
      </c>
      <c r="BN60" s="430" t="e">
        <f ca="1"/>
        <v>#VALUE!</v>
      </c>
      <c r="BO60" s="430" t="e">
        <f ca="1"/>
        <v>#VALUE!</v>
      </c>
      <c r="BP60" s="430" t="e">
        <f ca="1"/>
        <v>#VALUE!</v>
      </c>
      <c r="BQ60" s="430" t="e">
        <f ca="1"/>
        <v>#VALUE!</v>
      </c>
      <c r="BR60" s="430" t="e">
        <f ca="1"/>
        <v>#VALUE!</v>
      </c>
      <c r="BS60" s="430" t="e">
        <f ca="1"/>
        <v>#VALUE!</v>
      </c>
      <c r="BT60" s="430" t="e">
        <f ca="1"/>
        <v>#VALUE!</v>
      </c>
      <c r="BU60" s="430" t="e">
        <f ca="1"/>
        <v>#VALUE!</v>
      </c>
      <c r="BV60" s="430" t="e">
        <f ca="1"/>
        <v>#VALUE!</v>
      </c>
      <c r="BW60" s="430" t="e">
        <f ca="1"/>
        <v>#VALUE!</v>
      </c>
      <c r="BX60" s="430" t="e">
        <f ca="1"/>
        <v>#VALUE!</v>
      </c>
    </row>
  </sheetData>
  <conditionalFormatting sqref="E7">
    <cfRule type="cellIs" dxfId="727" priority="16" stopIfTrue="1" operator="equal">
      <formula>"ERROR"</formula>
    </cfRule>
    <cfRule type="cellIs" dxfId="726" priority="17" stopIfTrue="1" operator="equal">
      <formula>"OK"</formula>
    </cfRule>
    <cfRule type="cellIs" dxfId="725" priority="18" stopIfTrue="1" operator="equal">
      <formula>"WARNING"</formula>
    </cfRule>
  </conditionalFormatting>
  <conditionalFormatting sqref="C4">
    <cfRule type="cellIs" dxfId="724" priority="13" stopIfTrue="1" operator="equal">
      <formula>"ERROR"</formula>
    </cfRule>
    <cfRule type="cellIs" dxfId="723" priority="14" stopIfTrue="1" operator="equal">
      <formula>"OK"</formula>
    </cfRule>
    <cfRule type="cellIs" dxfId="722" priority="15" stopIfTrue="1" operator="equal">
      <formula>"WARNING"</formula>
    </cfRule>
  </conditionalFormatting>
  <conditionalFormatting sqref="C12">
    <cfRule type="cellIs" dxfId="721" priority="10" stopIfTrue="1" operator="equal">
      <formula>"ERROR"</formula>
    </cfRule>
  </conditionalFormatting>
  <conditionalFormatting sqref="C12">
    <cfRule type="cellIs" dxfId="720" priority="11" stopIfTrue="1" operator="equal">
      <formula>"OK"</formula>
    </cfRule>
  </conditionalFormatting>
  <conditionalFormatting sqref="C12">
    <cfRule type="cellIs" dxfId="719" priority="12" stopIfTrue="1" operator="equal">
      <formula>"WARNING"</formula>
    </cfRule>
  </conditionalFormatting>
  <conditionalFormatting sqref="I17:J17 T17">
    <cfRule type="cellIs" dxfId="718" priority="19" stopIfTrue="1" operator="equal">
      <formula>"ERROR"</formula>
    </cfRule>
    <cfRule type="cellIs" dxfId="717" priority="20" stopIfTrue="1" operator="equal">
      <formula>"OK"</formula>
    </cfRule>
    <cfRule type="cellIs" dxfId="716" priority="21" stopIfTrue="1" operator="equal">
      <formula>"WARNING"</formula>
    </cfRule>
  </conditionalFormatting>
  <conditionalFormatting sqref="AB17">
    <cfRule type="cellIs" dxfId="715" priority="7" stopIfTrue="1" operator="equal">
      <formula>"ERROR"</formula>
    </cfRule>
    <cfRule type="cellIs" dxfId="714" priority="8" stopIfTrue="1" operator="equal">
      <formula>"OK"</formula>
    </cfRule>
    <cfRule type="cellIs" dxfId="713" priority="9" stopIfTrue="1" operator="equal">
      <formula>"WARNING"</formula>
    </cfRule>
  </conditionalFormatting>
  <conditionalFormatting sqref="AK17">
    <cfRule type="cellIs" dxfId="712" priority="4" stopIfTrue="1" operator="equal">
      <formula>"ERROR"</formula>
    </cfRule>
    <cfRule type="cellIs" dxfId="711" priority="5" stopIfTrue="1" operator="equal">
      <formula>"OK"</formula>
    </cfRule>
    <cfRule type="cellIs" dxfId="710" priority="6" stopIfTrue="1" operator="equal">
      <formula>"WARNING"</formula>
    </cfRule>
  </conditionalFormatting>
  <conditionalFormatting sqref="R17:S21">
    <cfRule type="cellIs" dxfId="709" priority="1" stopIfTrue="1" operator="equal">
      <formula>"ERROR"</formula>
    </cfRule>
    <cfRule type="cellIs" dxfId="708" priority="2" stopIfTrue="1" operator="equal">
      <formula>"OK"</formula>
    </cfRule>
    <cfRule type="cellIs" dxfId="707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CD171"/>
  <sheetViews>
    <sheetView showGridLines="0" tabSelected="1" topLeftCell="A55" zoomScaleNormal="100" workbookViewId="0">
      <selection activeCell="E70" sqref="E70"/>
    </sheetView>
  </sheetViews>
  <sheetFormatPr defaultColWidth="14.75" defaultRowHeight="15"/>
  <cols>
    <col min="1" max="1" width="3.75" style="430" customWidth="1"/>
    <col min="2" max="3" width="17.5" style="430" customWidth="1"/>
    <col min="4" max="4" width="18.875" style="430" bestFit="1" customWidth="1"/>
    <col min="5" max="5" width="17.25" style="430" bestFit="1" customWidth="1"/>
    <col min="6" max="6" width="16.5" style="430" customWidth="1"/>
    <col min="7" max="7" width="14.75" style="430" customWidth="1"/>
    <col min="8" max="8" width="18.875" style="430" bestFit="1" customWidth="1"/>
    <col min="9" max="9" width="17.25" style="430" bestFit="1" customWidth="1"/>
    <col min="10" max="10" width="16.75" style="430" customWidth="1"/>
    <col min="11" max="12" width="20.125" style="430" customWidth="1"/>
    <col min="13" max="13" width="12.875" style="430" customWidth="1"/>
    <col min="14" max="14" width="21.875" style="430" bestFit="1" customWidth="1"/>
    <col min="15" max="15" width="17" style="430" customWidth="1"/>
    <col min="16" max="16" width="18.25" style="430" bestFit="1" customWidth="1"/>
    <col min="17" max="17" width="10.875" style="430" customWidth="1"/>
    <col min="18" max="18" width="21.875" style="430" customWidth="1"/>
    <col min="19" max="20" width="14.75" style="430"/>
    <col min="21" max="21" width="10.875" style="430" customWidth="1"/>
    <col min="22" max="22" width="14.75" style="430"/>
    <col min="23" max="23" width="18" style="430" customWidth="1"/>
    <col min="24" max="25" width="14.75" style="430"/>
    <col min="26" max="27" width="19" style="430" customWidth="1"/>
    <col min="28" max="28" width="17" style="430" customWidth="1"/>
    <col min="29" max="29" width="19.5" style="430" customWidth="1"/>
    <col min="30" max="30" width="18.125" style="430" customWidth="1"/>
    <col min="31" max="31" width="10.625" style="430" customWidth="1"/>
    <col min="32" max="32" width="17" style="430" customWidth="1"/>
    <col min="33" max="33" width="24" style="430" customWidth="1"/>
    <col min="34" max="34" width="18.375" style="430" customWidth="1"/>
    <col min="35" max="35" width="10.875" style="430" customWidth="1"/>
    <col min="36" max="36" width="19.25" style="430" customWidth="1"/>
    <col min="37" max="37" width="16.25" style="430" customWidth="1"/>
    <col min="38" max="38" width="16" style="430" customWidth="1"/>
    <col min="39" max="39" width="11.125" style="430" customWidth="1"/>
    <col min="40" max="40" width="27.75" style="430" customWidth="1"/>
    <col min="41" max="41" width="25.375" style="430" customWidth="1"/>
    <col min="42" max="42" width="14.75" style="430"/>
    <col min="43" max="43" width="17.75" style="430" customWidth="1"/>
    <col min="44" max="44" width="12.125" style="430" customWidth="1"/>
    <col min="45" max="53" width="14.75" style="430"/>
    <col min="54" max="55" width="6.125" style="430" customWidth="1"/>
    <col min="56" max="56" width="22" style="430" bestFit="1" customWidth="1"/>
    <col min="57" max="58" width="16.25" style="430" customWidth="1"/>
    <col min="59" max="60" width="8.875" style="430" customWidth="1"/>
    <col min="61" max="61" width="29" style="430" customWidth="1"/>
    <col min="62" max="62" width="14.75" style="430"/>
    <col min="63" max="63" width="10.125" style="430" customWidth="1"/>
    <col min="64" max="64" width="26.5" style="430" bestFit="1" customWidth="1"/>
    <col min="65" max="65" width="17.5" style="430" customWidth="1"/>
    <col min="66" max="70" width="14" style="430" customWidth="1"/>
    <col min="71" max="71" width="11.875" style="430" customWidth="1"/>
    <col min="72" max="72" width="26.5" style="430" bestFit="1" customWidth="1"/>
    <col min="73" max="73" width="14.75" style="430"/>
    <col min="74" max="78" width="15.5" style="430" customWidth="1"/>
    <col min="79" max="79" width="14.75" style="430"/>
    <col min="80" max="80" width="14.625" style="430" customWidth="1"/>
    <col min="81" max="81" width="44.5" style="430" bestFit="1" customWidth="1"/>
    <col min="82" max="16384" width="14.75" style="430"/>
  </cols>
  <sheetData>
    <row r="1" spans="1:82">
      <c r="B1" s="399" t="s">
        <v>372</v>
      </c>
    </row>
    <row r="2" spans="1:82" ht="26.25">
      <c r="B2" s="2" t="s">
        <v>720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  <c r="BU2" s="296"/>
      <c r="BV2" s="296"/>
      <c r="BW2" s="296"/>
      <c r="BX2" s="296"/>
      <c r="BY2" s="296"/>
      <c r="BZ2" s="296"/>
      <c r="CA2" s="296"/>
      <c r="CB2" s="296"/>
      <c r="CC2" s="296"/>
      <c r="CD2" s="296"/>
    </row>
    <row r="4" spans="1:82">
      <c r="B4" s="50" t="s">
        <v>139</v>
      </c>
      <c r="C4" s="291" t="str" cm="1">
        <f t="array" aca="1" ref="C4" ca="1">_xll.d.TestUtils_And(E7:E7)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  <c r="AO4" s="289"/>
      <c r="AP4" s="289"/>
      <c r="AQ4" s="289"/>
      <c r="AR4" s="289"/>
      <c r="BB4" s="202"/>
      <c r="BC4" s="203"/>
    </row>
    <row r="5" spans="1:82">
      <c r="E5" s="289"/>
      <c r="F5" s="289"/>
      <c r="G5" s="289"/>
      <c r="BB5" s="202"/>
      <c r="BC5" s="203"/>
    </row>
    <row r="6" spans="1:8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  <c r="AO6" s="289"/>
      <c r="AP6" s="289"/>
      <c r="AQ6" s="289"/>
      <c r="AR6" s="289"/>
      <c r="BB6" s="202"/>
      <c r="BC6" s="203"/>
    </row>
    <row r="7" spans="1:82">
      <c r="B7" s="406" t="s">
        <v>764</v>
      </c>
      <c r="C7" s="406"/>
      <c r="D7" s="406"/>
      <c r="E7" s="291" t="str">
        <f ca="1">C12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  <c r="AO7" s="289"/>
      <c r="AP7" s="289"/>
      <c r="AQ7" s="289"/>
      <c r="AR7" s="289"/>
      <c r="BB7" s="202"/>
      <c r="BC7" s="203"/>
    </row>
    <row r="8" spans="1:82">
      <c r="AE8" s="202"/>
      <c r="AF8" s="203"/>
    </row>
    <row r="9" spans="1:82">
      <c r="AE9" s="202"/>
      <c r="AF9" s="203"/>
    </row>
    <row r="10" spans="1:82" s="289" customFormat="1" ht="18.75">
      <c r="A10" s="430"/>
      <c r="B10" s="3" t="s">
        <v>764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02"/>
      <c r="AF10" s="203"/>
      <c r="AG10" s="3" t="s">
        <v>721</v>
      </c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</row>
    <row r="11" spans="1:82">
      <c r="AE11" s="202"/>
      <c r="AF11" s="203"/>
    </row>
    <row r="12" spans="1:82">
      <c r="B12" s="50" t="s">
        <v>106</v>
      </c>
      <c r="C12" s="163" t="str" cm="1">
        <f t="array" aca="1" ref="C12" ca="1">_xll.d.TestUtils_And(Y20:Y45)</f>
        <v>Ok</v>
      </c>
      <c r="R12" s="876" t="s">
        <v>656</v>
      </c>
      <c r="S12" s="876"/>
      <c r="T12" s="876"/>
      <c r="U12" s="876"/>
      <c r="V12" s="876"/>
      <c r="W12" s="876"/>
      <c r="X12" s="876"/>
      <c r="Y12" s="876"/>
      <c r="Z12" s="876"/>
      <c r="AA12" s="876"/>
      <c r="AB12" s="876"/>
      <c r="AC12" s="995"/>
      <c r="AD12" s="995"/>
      <c r="AE12" s="202"/>
      <c r="AF12" s="203"/>
      <c r="AG12" s="50" t="s">
        <v>139</v>
      </c>
      <c r="AH12" s="163" t="str" cm="1">
        <f t="array" aca="1" ref="AH12" ca="1">_xll.d.TestUtils_And(AM17,AU17,BC17)</f>
        <v>Ok</v>
      </c>
    </row>
    <row r="13" spans="1:82">
      <c r="V13" s="724" t="s">
        <v>659</v>
      </c>
      <c r="AE13" s="202"/>
      <c r="AF13" s="203"/>
    </row>
    <row r="14" spans="1:82" ht="15.75">
      <c r="N14" s="724" t="s">
        <v>766</v>
      </c>
      <c r="V14" s="850" t="s">
        <v>660</v>
      </c>
      <c r="AE14" s="202"/>
      <c r="AF14" s="203"/>
      <c r="AG14" s="4" t="s">
        <v>723</v>
      </c>
      <c r="AH14" s="4"/>
      <c r="AI14" s="4"/>
      <c r="AJ14" s="4"/>
      <c r="AK14" s="4"/>
      <c r="AL14" s="4"/>
      <c r="AM14" s="4"/>
      <c r="AO14" s="4" t="s">
        <v>725</v>
      </c>
      <c r="AP14" s="4"/>
      <c r="AQ14" s="4"/>
      <c r="AR14" s="4"/>
      <c r="AS14" s="4"/>
      <c r="AT14" s="4"/>
      <c r="AU14" s="4"/>
      <c r="AW14" s="4" t="s">
        <v>728</v>
      </c>
      <c r="AX14" s="4"/>
      <c r="AY14" s="4"/>
      <c r="AZ14" s="4"/>
      <c r="BA14" s="4"/>
      <c r="BB14" s="4"/>
      <c r="BC14" s="4"/>
    </row>
    <row r="15" spans="1:82">
      <c r="B15" s="55" t="s">
        <v>649</v>
      </c>
      <c r="C15" s="55"/>
      <c r="D15" s="55"/>
      <c r="F15" s="55" t="s">
        <v>649</v>
      </c>
      <c r="G15" s="55"/>
      <c r="H15" s="55"/>
      <c r="J15" s="55" t="s">
        <v>649</v>
      </c>
      <c r="K15" s="55"/>
      <c r="L15" s="55"/>
      <c r="N15" s="55" t="s">
        <v>37</v>
      </c>
      <c r="O15" s="55"/>
      <c r="P15" s="55"/>
      <c r="R15" s="55" t="s">
        <v>37</v>
      </c>
      <c r="S15" s="55"/>
      <c r="T15" s="55"/>
      <c r="V15" s="120" t="s">
        <v>765</v>
      </c>
      <c r="W15" s="120"/>
      <c r="X15" s="773">
        <v>0.01</v>
      </c>
      <c r="Y15" s="730"/>
      <c r="Z15" s="730"/>
      <c r="AA15" s="730"/>
      <c r="AB15" s="730"/>
      <c r="AC15" s="730"/>
      <c r="AD15" s="730"/>
      <c r="AE15" s="202"/>
      <c r="AF15" s="203"/>
    </row>
    <row r="16" spans="1:82">
      <c r="B16" s="948" t="str" cm="1">
        <f t="array" aca="1" ref="B16" ca="1">_xll.d.Curve_CreateFromDiscountFactors(_xll.d.Excel_GetSheetName()&amp;"_USDOIS",B19:D22,B26:B48,C26:C48)</f>
        <v>@@FXCurveBootstrapping_USDOIS::12:45:33</v>
      </c>
      <c r="C16" s="522"/>
      <c r="D16" s="949"/>
      <c r="F16" s="948" t="str" cm="1">
        <f t="array" aca="1" ref="F16" ca="1">_xll.d.Curve_CreateFromDiscountFactors(_xll.d.Excel_GetSheetName()&amp;"_USDSWAP",F19:H22,F26:F58,G26:G58)</f>
        <v>@@FXCurveBootstrapping_USDSWAP::12:45:42</v>
      </c>
      <c r="G16" s="522"/>
      <c r="H16" s="949"/>
      <c r="J16" s="948" t="str" cm="1">
        <f t="array" aca="1" ref="J16" ca="1">_xll.d.Curve_CreateFromDiscountFactors(_xll.d.Excel_GetSheetName()&amp;"_ZAR",J19:L22,J26:J49,K26:K49)</f>
        <v>@@FXCurveBootstrapping_ZAR::12:45:44</v>
      </c>
      <c r="K16" s="522"/>
      <c r="L16" s="949"/>
      <c r="N16" s="1018" t="str" cm="1">
        <f t="array" aca="1" ref="N16" ca="1">_xll.d.Curve_BootstrapFxBasisAdjustedCurve(_xll.d.Excel_GetSheetName()&amp;"_USDZAR",N18:P29,,,N32:Q41,N44:Q57)</f>
        <v>@@FXCurveBootstrapping_USDZAR::08:30:39</v>
      </c>
      <c r="O16" s="1019"/>
      <c r="P16" s="1020"/>
      <c r="R16" s="948" t="str" cm="1">
        <f t="array" aca="1" ref="R16" ca="1">_xll.d.Curve_CreateFromDiscountFactors(_xll.d.Excel_GetSheetName()&amp;"_OldValsTemplate",R19:T22,V20:V45,W20:W45)</f>
        <v>@@FXCurveBootstrapping_OldValsTemplate::08:30:26</v>
      </c>
      <c r="S16" s="957"/>
      <c r="T16" s="958"/>
      <c r="Y16" s="730"/>
      <c r="Z16" s="730"/>
      <c r="AA16" s="730"/>
      <c r="AB16" s="730"/>
      <c r="AC16" s="730"/>
      <c r="AD16" s="730"/>
      <c r="AE16" s="202"/>
      <c r="AF16" s="203"/>
      <c r="AG16" s="55" t="s">
        <v>65</v>
      </c>
      <c r="AH16" s="55"/>
      <c r="AI16" s="55"/>
      <c r="AJ16" s="55" t="s">
        <v>66</v>
      </c>
      <c r="AK16" s="55"/>
      <c r="AL16" s="55"/>
      <c r="AM16" s="121" t="s">
        <v>67</v>
      </c>
      <c r="AO16" s="55" t="s">
        <v>65</v>
      </c>
      <c r="AP16" s="55"/>
      <c r="AQ16" s="55"/>
      <c r="AR16" s="55" t="s">
        <v>66</v>
      </c>
      <c r="AS16" s="55"/>
      <c r="AT16" s="55"/>
      <c r="AU16" s="121" t="s">
        <v>67</v>
      </c>
      <c r="AW16" s="55" t="s">
        <v>65</v>
      </c>
      <c r="AX16" s="55"/>
      <c r="AY16" s="55"/>
      <c r="AZ16" s="55" t="s">
        <v>66</v>
      </c>
      <c r="BA16" s="55"/>
      <c r="BB16" s="55"/>
      <c r="BC16" s="121" t="s">
        <v>67</v>
      </c>
    </row>
    <row r="17" spans="2:64">
      <c r="D17" s="604"/>
      <c r="H17" s="604"/>
      <c r="L17" s="604"/>
      <c r="AB17" s="996"/>
      <c r="AE17" s="202"/>
      <c r="AF17" s="203"/>
      <c r="AG17" s="948" t="str" cm="1">
        <f t="array" aca="1" ref="AG17" ca="1">_xll.d.Curve_BootstrapFxBasisAdjustedCurve("UsdZarFxBasisUsingOldValsTemplateData",AG19:AI29,,,AG32:AJ41,AG44:AJ57)</f>
        <v>#∂Excel Error: Missing curve parameter: 'Base Date'.</v>
      </c>
      <c r="AH17" s="957"/>
      <c r="AI17" s="958"/>
      <c r="AJ17" s="948" t="s">
        <v>724</v>
      </c>
      <c r="AK17" s="957"/>
      <c r="AL17" s="958"/>
      <c r="AM17" s="163" t="str" cm="1">
        <f t="array" aca="1" ref="AM17" ca="1">_xll.d.TestUtils_Equal(AG17,AJ17)</f>
        <v>Ok</v>
      </c>
      <c r="AO17" s="948" t="str" cm="1">
        <f t="array" aca="1" ref="AO17" ca="1">_xll.d.Curve_BootstrapFxBasisAdjustedCurve("UsdZarFxBasisUsingOldValsTemplateData",AO19:AQ29,,,AO32:AR41,AO44:AR57)</f>
        <v>#∂Excel Error: Missing curve parameter: 'Spot Fx'.</v>
      </c>
      <c r="AP17" s="957"/>
      <c r="AQ17" s="958"/>
      <c r="AR17" s="948" t="s">
        <v>726</v>
      </c>
      <c r="AS17" s="957"/>
      <c r="AT17" s="958"/>
      <c r="AU17" s="163" t="str" cm="1">
        <f t="array" aca="1" ref="AU17" ca="1">_xll.d.TestUtils_Equal(AO17,AR17)</f>
        <v>Ok</v>
      </c>
      <c r="AW17" s="948" t="str" cm="1">
        <f t="array" aca="1" ref="AW17" ca="1">_xll.d.Curve_BootstrapFxBasisAdjustedCurve("UsdZarFxBasisUsingOldValsTemplateData",AW19:AY30,,,AW33:AZ42,AW45:AZ58)</f>
        <v>#∂Excel Error: Invalid instrument type: 'Forwards'</v>
      </c>
      <c r="AX17" s="957"/>
      <c r="AY17" s="958"/>
      <c r="AZ17" s="948" t="s">
        <v>730</v>
      </c>
      <c r="BA17" s="957"/>
      <c r="BB17" s="958"/>
      <c r="BC17" s="163" t="str" cm="1">
        <f t="array" aca="1" ref="BC17" ca="1">_xll.d.TestUtils_Equal(AW17,AZ17)</f>
        <v>Ok</v>
      </c>
      <c r="BF17" s="8">
        <v>41225</v>
      </c>
    </row>
    <row r="18" spans="2:64">
      <c r="B18" s="12" t="s">
        <v>678</v>
      </c>
      <c r="C18" s="136"/>
      <c r="D18" s="136"/>
      <c r="F18" s="12" t="s">
        <v>680</v>
      </c>
      <c r="G18" s="136"/>
      <c r="H18" s="136"/>
      <c r="I18" s="289"/>
      <c r="J18" s="12" t="s">
        <v>681</v>
      </c>
      <c r="K18" s="136"/>
      <c r="L18" s="136"/>
      <c r="N18" s="12" t="s">
        <v>47</v>
      </c>
      <c r="O18" s="13"/>
      <c r="P18" s="13"/>
      <c r="R18" s="12" t="s">
        <v>47</v>
      </c>
      <c r="S18" s="13"/>
      <c r="T18" s="13"/>
      <c r="V18" s="120" t="s">
        <v>31</v>
      </c>
      <c r="W18" s="744" t="s">
        <v>2</v>
      </c>
      <c r="X18" s="745"/>
      <c r="Y18" s="1010"/>
      <c r="Z18" s="332" t="s">
        <v>535</v>
      </c>
      <c r="AA18" s="332"/>
      <c r="AB18" s="724" t="s">
        <v>876</v>
      </c>
      <c r="AC18" s="996"/>
      <c r="AD18" s="996"/>
      <c r="AE18" s="202"/>
      <c r="AF18" s="203"/>
    </row>
    <row r="19" spans="2:64">
      <c r="B19" s="61" t="s">
        <v>29</v>
      </c>
      <c r="C19" s="901" t="s">
        <v>30</v>
      </c>
      <c r="D19" s="901"/>
      <c r="F19" s="61" t="s">
        <v>29</v>
      </c>
      <c r="G19" s="901" t="s">
        <v>30</v>
      </c>
      <c r="H19" s="901"/>
      <c r="J19" s="61" t="s">
        <v>29</v>
      </c>
      <c r="K19" s="901" t="s">
        <v>30</v>
      </c>
      <c r="L19" s="901"/>
      <c r="N19" s="61" t="s">
        <v>29</v>
      </c>
      <c r="O19" s="881" t="s">
        <v>30</v>
      </c>
      <c r="P19" s="881"/>
      <c r="R19" s="61" t="s">
        <v>29</v>
      </c>
      <c r="S19" s="881" t="s">
        <v>30</v>
      </c>
      <c r="T19" s="881"/>
      <c r="V19" s="742"/>
      <c r="W19" s="738" t="s">
        <v>582</v>
      </c>
      <c r="X19" s="44" t="s">
        <v>583</v>
      </c>
      <c r="Y19" s="743" t="s">
        <v>67</v>
      </c>
      <c r="Z19" s="1002" t="s">
        <v>582</v>
      </c>
      <c r="AA19" s="836" t="s">
        <v>583</v>
      </c>
      <c r="AB19" s="850" t="s">
        <v>877</v>
      </c>
      <c r="AC19" s="996"/>
      <c r="AD19" s="996"/>
      <c r="AE19" s="202"/>
      <c r="AF19" s="203"/>
      <c r="AG19" s="12" t="s">
        <v>47</v>
      </c>
      <c r="AH19" s="13"/>
      <c r="AI19" s="13"/>
      <c r="AO19" s="12" t="s">
        <v>47</v>
      </c>
      <c r="AP19" s="13"/>
      <c r="AQ19" s="13"/>
      <c r="AW19" s="12" t="s">
        <v>47</v>
      </c>
      <c r="AX19" s="13"/>
      <c r="AY19" s="13"/>
      <c r="BF19" s="55" t="s">
        <v>65</v>
      </c>
      <c r="BG19" s="55"/>
      <c r="BH19" s="55"/>
      <c r="BI19" s="55" t="s">
        <v>66</v>
      </c>
      <c r="BJ19" s="55"/>
      <c r="BK19" s="55"/>
      <c r="BL19" s="121" t="s">
        <v>67</v>
      </c>
    </row>
    <row r="20" spans="2:64">
      <c r="B20" s="861" t="s">
        <v>57</v>
      </c>
      <c r="C20" s="905" t="s">
        <v>309</v>
      </c>
      <c r="D20" s="902"/>
      <c r="F20" s="861" t="s">
        <v>57</v>
      </c>
      <c r="G20" s="905" t="s">
        <v>309</v>
      </c>
      <c r="H20" s="902"/>
      <c r="J20" s="861" t="s">
        <v>57</v>
      </c>
      <c r="K20" s="905" t="s">
        <v>54</v>
      </c>
      <c r="L20" s="902"/>
      <c r="N20" s="951" t="s">
        <v>722</v>
      </c>
      <c r="O20" s="879">
        <v>44286</v>
      </c>
      <c r="P20" s="879"/>
      <c r="R20" s="1003" t="s">
        <v>653</v>
      </c>
      <c r="S20" s="1004" t="s">
        <v>244</v>
      </c>
      <c r="T20" s="1005"/>
      <c r="V20" s="764">
        <v>44286</v>
      </c>
      <c r="W20" s="945">
        <v>1</v>
      </c>
      <c r="X20" s="766" cm="1">
        <f t="array" aca="1" ref="X20:X45" ca="1">_xll.d.Curve_GetDiscountFactors(N16,V20:V45)</f>
        <v>1</v>
      </c>
      <c r="Y20" s="737" t="str" cm="1">
        <f t="array" aca="1" ref="Y20" ca="1">_xll.d.TestUtils_Equal(W20,X20,$X$15)</f>
        <v>Ok</v>
      </c>
      <c r="Z20" s="1011"/>
      <c r="AA20" s="1012"/>
      <c r="AB20" s="850" t="s">
        <v>878</v>
      </c>
      <c r="AC20" s="996"/>
      <c r="AD20" s="996"/>
      <c r="AE20" s="202"/>
      <c r="AF20" s="203"/>
      <c r="AG20" s="61" t="s">
        <v>29</v>
      </c>
      <c r="AH20" s="881" t="s">
        <v>30</v>
      </c>
      <c r="AI20" s="881"/>
      <c r="AO20" s="61" t="s">
        <v>29</v>
      </c>
      <c r="AP20" s="881" t="s">
        <v>30</v>
      </c>
      <c r="AQ20" s="881"/>
      <c r="AW20" s="61" t="s">
        <v>29</v>
      </c>
      <c r="AX20" s="881" t="s">
        <v>30</v>
      </c>
      <c r="AY20" s="881"/>
      <c r="BF20" s="948" t="e" cm="1">
        <f t="array" aca="1" ref="BF20" ca="1">_xll.d.Curve_BootstrapFxBasisAdjustedCurve("UsdZarFxBasisUsingOldValsTemplateData",BF22:BH33,,,#REF!,BF36:BI49)</f>
        <v>#VALUE!</v>
      </c>
      <c r="BG20" s="957"/>
      <c r="BH20" s="958"/>
      <c r="BI20" s="948" t="s">
        <v>730</v>
      </c>
      <c r="BJ20" s="957"/>
      <c r="BK20" s="958"/>
      <c r="BL20" s="163" t="str" cm="1">
        <f t="array" aca="1" ref="BL20" ca="1">_xll.d.TestUtils_Equal(BF20,BI20)</f>
        <v>Error</v>
      </c>
    </row>
    <row r="21" spans="2:64">
      <c r="B21" s="947" t="s">
        <v>653</v>
      </c>
      <c r="C21" s="906" t="s">
        <v>242</v>
      </c>
      <c r="D21" s="903"/>
      <c r="F21" s="947" t="s">
        <v>653</v>
      </c>
      <c r="G21" s="906" t="s">
        <v>242</v>
      </c>
      <c r="H21" s="903"/>
      <c r="J21" s="947" t="s">
        <v>653</v>
      </c>
      <c r="K21" s="906" t="s">
        <v>56</v>
      </c>
      <c r="L21" s="903"/>
      <c r="N21" s="947" t="s">
        <v>712</v>
      </c>
      <c r="O21" s="1102" t="s">
        <v>669</v>
      </c>
      <c r="P21" s="1103"/>
      <c r="R21" s="1006" t="s">
        <v>43</v>
      </c>
      <c r="S21" s="1102" t="s">
        <v>662</v>
      </c>
      <c r="T21" s="1107"/>
      <c r="V21" s="767">
        <v>44292</v>
      </c>
      <c r="W21" s="748">
        <v>0.99902033895462272</v>
      </c>
      <c r="X21" s="768">
        <f ca="1"/>
        <v>0.99917154601940927</v>
      </c>
      <c r="Y21" s="737" t="str" cm="1">
        <f t="array" aca="1" ref="Y21" ca="1">_xll.d.TestUtils_Equal(W21,X21,$X$15)</f>
        <v>Ok</v>
      </c>
      <c r="Z21" s="1013" cm="1">
        <f t="array" aca="1" ref="Z21:Z45" ca="1">_xll.d.Curve_GetForwardRates(R16,V20:V44,V21:V45,"NACQ")</f>
        <v>6.0071870750473266E-2</v>
      </c>
      <c r="AA21" s="1014" cm="1">
        <f t="array" aca="1" ref="AA21:AA45" ca="1">_xll.d.Curve_GetForwardRates(N16,V20:V44,V21:V45,"NACQ")</f>
        <v>5.0737597216547137E-2</v>
      </c>
      <c r="AB21" s="850" t="s">
        <v>879</v>
      </c>
      <c r="AC21" s="996"/>
      <c r="AD21" s="996"/>
      <c r="AE21" s="202"/>
      <c r="AF21" s="203"/>
      <c r="AG21" s="953" t="s">
        <v>712</v>
      </c>
      <c r="AH21" s="1108" t="s">
        <v>669</v>
      </c>
      <c r="AI21" s="1109"/>
      <c r="AO21" s="951" t="s">
        <v>722</v>
      </c>
      <c r="AP21" s="879">
        <v>44286</v>
      </c>
      <c r="AQ21" s="879"/>
      <c r="AW21" s="951" t="s">
        <v>722</v>
      </c>
      <c r="AX21" s="879">
        <v>44286</v>
      </c>
      <c r="AY21" s="879"/>
    </row>
    <row r="22" spans="2:64">
      <c r="B22" s="862" t="s">
        <v>43</v>
      </c>
      <c r="C22" s="1100" t="s">
        <v>662</v>
      </c>
      <c r="D22" s="1101"/>
      <c r="F22" s="862" t="s">
        <v>43</v>
      </c>
      <c r="G22" s="1100" t="s">
        <v>662</v>
      </c>
      <c r="H22" s="1101"/>
      <c r="J22" s="862" t="s">
        <v>43</v>
      </c>
      <c r="K22" s="1100" t="s">
        <v>662</v>
      </c>
      <c r="L22" s="1101"/>
      <c r="N22" s="947" t="s">
        <v>713</v>
      </c>
      <c r="O22" s="942" t="s">
        <v>24</v>
      </c>
      <c r="P22" s="908"/>
      <c r="R22" s="1007" t="s">
        <v>57</v>
      </c>
      <c r="S22" s="1008" t="s">
        <v>54</v>
      </c>
      <c r="T22" s="1009"/>
      <c r="V22" s="767">
        <v>44293</v>
      </c>
      <c r="W22" s="748">
        <v>0.99886921280844809</v>
      </c>
      <c r="X22" s="768">
        <f ca="1"/>
        <v>0.99903353709844989</v>
      </c>
      <c r="Y22" s="737" t="str" cm="1">
        <f t="array" aca="1" ref="Y22" ca="1">_xll.d.TestUtils_Equal(W22,X22,$X$15)</f>
        <v>Ok</v>
      </c>
      <c r="Z22" s="1013">
        <f ca="1"/>
        <v>5.5602218721424457E-2</v>
      </c>
      <c r="AA22" s="1014">
        <f ca="1"/>
        <v>5.0737597216541808E-2</v>
      </c>
      <c r="AB22" s="996"/>
      <c r="AC22" s="996"/>
      <c r="AD22" s="996"/>
      <c r="AE22" s="202"/>
      <c r="AF22" s="203"/>
      <c r="AG22" s="954" t="s">
        <v>713</v>
      </c>
      <c r="AH22" s="942" t="s">
        <v>24</v>
      </c>
      <c r="AI22" s="955"/>
      <c r="AO22" s="960" t="s">
        <v>712</v>
      </c>
      <c r="AP22" s="1104" t="s">
        <v>669</v>
      </c>
      <c r="AQ22" s="1105"/>
      <c r="AW22" s="960" t="s">
        <v>712</v>
      </c>
      <c r="AX22" s="1104" t="s">
        <v>669</v>
      </c>
      <c r="AY22" s="1105"/>
      <c r="BF22" s="12" t="s">
        <v>47</v>
      </c>
      <c r="BG22" s="13"/>
      <c r="BH22" s="13"/>
    </row>
    <row r="23" spans="2:64">
      <c r="N23" s="947" t="s">
        <v>719</v>
      </c>
      <c r="O23" s="907" t="str">
        <f ca="1">$B$16</f>
        <v>@@FXCurveBootstrapping_USDOIS::08:30:26</v>
      </c>
      <c r="P23" s="908"/>
      <c r="V23" s="767">
        <v>44299</v>
      </c>
      <c r="W23" s="748">
        <v>0.99794543311442752</v>
      </c>
      <c r="X23" s="768">
        <f ca="1"/>
        <v>0.99820588378789699</v>
      </c>
      <c r="Y23" s="737" t="str" cm="1">
        <f t="array" aca="1" ref="Y23" ca="1">_xll.d.TestUtils_Equal(W23,X23,$X$15)</f>
        <v>Ok</v>
      </c>
      <c r="Z23" s="1013">
        <f ca="1"/>
        <v>5.6684129671407568E-2</v>
      </c>
      <c r="AA23" s="1014">
        <f ca="1"/>
        <v>5.0737597216547137E-2</v>
      </c>
      <c r="AB23" s="996"/>
      <c r="AC23" s="996"/>
      <c r="AD23" s="996"/>
      <c r="AE23" s="202"/>
      <c r="AF23" s="203"/>
      <c r="AG23" s="954" t="s">
        <v>719</v>
      </c>
      <c r="AH23" s="907" t="str">
        <f ca="1">$B$16</f>
        <v>@@FXCurveBootstrapping_USDOIS::08:30:26</v>
      </c>
      <c r="AI23" s="955"/>
      <c r="AO23" s="954" t="s">
        <v>713</v>
      </c>
      <c r="AP23" s="942" t="s">
        <v>24</v>
      </c>
      <c r="AQ23" s="955"/>
      <c r="AW23" s="954" t="s">
        <v>713</v>
      </c>
      <c r="AX23" s="942" t="s">
        <v>24</v>
      </c>
      <c r="AY23" s="955"/>
      <c r="BF23" s="61" t="s">
        <v>29</v>
      </c>
      <c r="BG23" s="881" t="s">
        <v>30</v>
      </c>
      <c r="BH23" s="881"/>
    </row>
    <row r="24" spans="2:64">
      <c r="B24" s="120" t="s">
        <v>677</v>
      </c>
      <c r="C24" s="121"/>
      <c r="F24" s="120" t="s">
        <v>679</v>
      </c>
      <c r="G24" s="121"/>
      <c r="J24" s="120" t="s">
        <v>682</v>
      </c>
      <c r="K24" s="121"/>
      <c r="N24" s="947" t="s">
        <v>714</v>
      </c>
      <c r="O24" s="907" t="str">
        <f ca="1">$F$16</f>
        <v>@@FXCurveBootstrapping_USDSWAP::08:30:23</v>
      </c>
      <c r="P24" s="908"/>
      <c r="V24" s="767">
        <v>44306</v>
      </c>
      <c r="W24" s="748">
        <v>0.99703223970779542</v>
      </c>
      <c r="X24" s="768">
        <f ca="1"/>
        <v>0.99724115483310694</v>
      </c>
      <c r="Y24" s="737" t="str" cm="1">
        <f t="array" aca="1" ref="Y24" ca="1">_xll.d.TestUtils_Equal(W24,X24,$X$15)</f>
        <v>Ok</v>
      </c>
      <c r="Z24" s="1013">
        <f ca="1"/>
        <v>4.8022372443250916E-2</v>
      </c>
      <c r="AA24" s="1014">
        <f ca="1"/>
        <v>5.0737597216547137E-2</v>
      </c>
      <c r="AB24" s="996"/>
      <c r="AC24" s="996"/>
      <c r="AD24" s="996"/>
      <c r="AE24" s="202"/>
      <c r="AF24" s="203"/>
      <c r="AG24" s="954" t="s">
        <v>714</v>
      </c>
      <c r="AH24" s="907" t="str">
        <f ca="1">$F$16</f>
        <v>@@FXCurveBootstrapping_USDSWAP::08:30:23</v>
      </c>
      <c r="AI24" s="955"/>
      <c r="AO24" s="954" t="s">
        <v>719</v>
      </c>
      <c r="AP24" s="907" t="str">
        <f ca="1">$B$16</f>
        <v>@@FXCurveBootstrapping_USDOIS::08:30:26</v>
      </c>
      <c r="AQ24" s="955"/>
      <c r="AW24" s="954" t="s">
        <v>719</v>
      </c>
      <c r="AX24" s="907" t="str">
        <f ca="1">$B$16</f>
        <v>@@FXCurveBootstrapping_USDOIS::08:30:26</v>
      </c>
      <c r="AY24" s="955"/>
      <c r="BF24" s="951" t="s">
        <v>722</v>
      </c>
      <c r="BG24" s="879">
        <v>44286</v>
      </c>
      <c r="BH24" s="879"/>
    </row>
    <row r="25" spans="2:64">
      <c r="B25" s="939" t="s">
        <v>0</v>
      </c>
      <c r="C25" s="863" t="s">
        <v>2</v>
      </c>
      <c r="F25" s="939" t="s">
        <v>0</v>
      </c>
      <c r="G25" s="863" t="s">
        <v>2</v>
      </c>
      <c r="J25" s="939" t="s">
        <v>0</v>
      </c>
      <c r="K25" s="863" t="s">
        <v>2</v>
      </c>
      <c r="N25" s="947" t="s">
        <v>715</v>
      </c>
      <c r="O25" s="1102" t="s">
        <v>33</v>
      </c>
      <c r="P25" s="1103"/>
      <c r="V25" s="767">
        <v>44314</v>
      </c>
      <c r="W25" s="748">
        <v>0.99592489116962546</v>
      </c>
      <c r="X25" s="768">
        <f ca="1"/>
        <v>0.99613974908701164</v>
      </c>
      <c r="Y25" s="737" t="str" cm="1">
        <f t="array" aca="1" ref="Y25" ca="1">_xll.d.TestUtils_Equal(W25,X25,$X$15)</f>
        <v>Ok</v>
      </c>
      <c r="Z25" s="1013">
        <f ca="1"/>
        <v>5.1024013633506726E-2</v>
      </c>
      <c r="AA25" s="1014">
        <f ca="1"/>
        <v>5.0737597216534702E-2</v>
      </c>
      <c r="AB25" s="996"/>
      <c r="AC25" s="996"/>
      <c r="AD25" s="996"/>
      <c r="AE25" s="202"/>
      <c r="AF25" s="203"/>
      <c r="AG25" s="954" t="s">
        <v>715</v>
      </c>
      <c r="AH25" s="1110" t="s">
        <v>33</v>
      </c>
      <c r="AI25" s="1107"/>
      <c r="AO25" s="954" t="s">
        <v>714</v>
      </c>
      <c r="AP25" s="907" t="str">
        <f ca="1">$F$16</f>
        <v>@@FXCurveBootstrapping_USDSWAP::08:30:23</v>
      </c>
      <c r="AQ25" s="955"/>
      <c r="AW25" s="954" t="s">
        <v>714</v>
      </c>
      <c r="AX25" s="907" t="str">
        <f ca="1">$F$16</f>
        <v>@@FXCurveBootstrapping_USDSWAP::08:30:23</v>
      </c>
      <c r="AY25" s="955"/>
      <c r="BF25" s="960" t="s">
        <v>712</v>
      </c>
      <c r="BG25" s="1104" t="s">
        <v>669</v>
      </c>
      <c r="BH25" s="1105"/>
    </row>
    <row r="26" spans="2:64">
      <c r="B26" s="940">
        <v>44286</v>
      </c>
      <c r="C26" s="941">
        <v>1</v>
      </c>
      <c r="F26" s="714">
        <v>44286</v>
      </c>
      <c r="G26" s="865">
        <v>1</v>
      </c>
      <c r="J26" s="940">
        <v>44286</v>
      </c>
      <c r="K26" s="941">
        <v>1</v>
      </c>
      <c r="N26" s="947" t="s">
        <v>716</v>
      </c>
      <c r="O26" s="994" t="s">
        <v>24</v>
      </c>
      <c r="P26" s="908"/>
      <c r="V26" s="767">
        <v>44322</v>
      </c>
      <c r="W26" s="748">
        <v>0.99484321796303365</v>
      </c>
      <c r="X26" s="768">
        <f ca="1"/>
        <v>0.99503955979153269</v>
      </c>
      <c r="Y26" s="737" t="str" cm="1">
        <f t="array" aca="1" ref="Y26" ca="1">_xll.d.TestUtils_Equal(W26,X26,$X$15)</f>
        <v>Ok</v>
      </c>
      <c r="Z26" s="1013">
        <f ca="1"/>
        <v>4.9888752514620549E-2</v>
      </c>
      <c r="AA26" s="1014">
        <f ca="1"/>
        <v>5.073759721654536E-2</v>
      </c>
      <c r="AB26" s="996"/>
      <c r="AC26" s="996"/>
      <c r="AD26" s="996"/>
      <c r="AE26" s="202"/>
      <c r="AF26" s="203"/>
      <c r="AG26" s="954" t="s">
        <v>716</v>
      </c>
      <c r="AH26" s="942" t="s">
        <v>24</v>
      </c>
      <c r="AI26" s="955"/>
      <c r="AO26" s="954" t="s">
        <v>715</v>
      </c>
      <c r="AP26" s="1110" t="s">
        <v>33</v>
      </c>
      <c r="AQ26" s="1107"/>
      <c r="AW26" s="954" t="s">
        <v>715</v>
      </c>
      <c r="AX26" s="1106" t="s">
        <v>33</v>
      </c>
      <c r="AY26" s="1107"/>
      <c r="BF26" s="954" t="s">
        <v>713</v>
      </c>
      <c r="BG26" s="942" t="s">
        <v>24</v>
      </c>
      <c r="BH26" s="955"/>
    </row>
    <row r="27" spans="2:64">
      <c r="B27" s="716">
        <v>44290.931506849316</v>
      </c>
      <c r="C27" s="866">
        <v>0.99999166670833317</v>
      </c>
      <c r="F27" s="716">
        <v>44287</v>
      </c>
      <c r="G27" s="866">
        <v>0.99999779096378405</v>
      </c>
      <c r="J27" s="716">
        <v>44287</v>
      </c>
      <c r="K27" s="866">
        <v>0.99990932330355131</v>
      </c>
      <c r="N27" s="947" t="s">
        <v>717</v>
      </c>
      <c r="O27" s="907" t="str">
        <f ca="1">$J$16</f>
        <v>@@FXCurveBootstrapping_ZAR::08:30:22</v>
      </c>
      <c r="P27" s="908"/>
      <c r="V27" s="767">
        <v>44354</v>
      </c>
      <c r="W27" s="748">
        <v>0.99062450944270197</v>
      </c>
      <c r="X27" s="768">
        <f ca="1"/>
        <v>0.99089664668173416</v>
      </c>
      <c r="Y27" s="737" t="str" cm="1">
        <f t="array" aca="1" ref="Y27" ca="1">_xll.d.TestUtils_Equal(W27,X27,$X$15)</f>
        <v>Ok</v>
      </c>
      <c r="Z27" s="1013">
        <f ca="1"/>
        <v>4.8766800849199043E-2</v>
      </c>
      <c r="AA27" s="1014">
        <f ca="1"/>
        <v>4.7874042807208639E-2</v>
      </c>
      <c r="AB27" s="996"/>
      <c r="AC27" s="996"/>
      <c r="AD27" s="996"/>
      <c r="AE27" s="202"/>
      <c r="AF27" s="203"/>
      <c r="AG27" s="959" t="s">
        <v>717</v>
      </c>
      <c r="AH27" s="907" t="str">
        <f ca="1">$J$16</f>
        <v>@@FXCurveBootstrapping_ZAR::08:30:22</v>
      </c>
      <c r="AI27" s="955"/>
      <c r="AO27" s="954" t="s">
        <v>716</v>
      </c>
      <c r="AP27" s="942" t="s">
        <v>24</v>
      </c>
      <c r="AQ27" s="955"/>
      <c r="AW27" s="954" t="s">
        <v>716</v>
      </c>
      <c r="AX27" s="942" t="s">
        <v>24</v>
      </c>
      <c r="AY27" s="955"/>
      <c r="BF27" s="954" t="s">
        <v>719</v>
      </c>
      <c r="BG27" s="907" t="str">
        <f ca="1">$B$16</f>
        <v>@@FXCurveBootstrapping_USDOIS::08:30:26</v>
      </c>
      <c r="BH27" s="955"/>
    </row>
    <row r="28" spans="2:64">
      <c r="B28" s="716">
        <v>44291.917808219179</v>
      </c>
      <c r="C28" s="866">
        <v>0.99999000005833305</v>
      </c>
      <c r="F28" s="716">
        <v>44298</v>
      </c>
      <c r="G28" s="866">
        <v>0.99997123370423591</v>
      </c>
      <c r="J28" s="716">
        <v>44316</v>
      </c>
      <c r="K28" s="866">
        <v>0.99712500178214081</v>
      </c>
      <c r="N28" s="947" t="s">
        <v>718</v>
      </c>
      <c r="O28" s="909">
        <v>14.77675</v>
      </c>
      <c r="P28" s="908"/>
      <c r="V28" s="767">
        <v>44383</v>
      </c>
      <c r="W28" s="748">
        <v>0.98664541325082444</v>
      </c>
      <c r="X28" s="768">
        <f ca="1"/>
        <v>0.98711903476010654</v>
      </c>
      <c r="Y28" s="737" t="str" cm="1">
        <f t="array" aca="1" ref="Y28" ca="1">_xll.d.TestUtils_Equal(W28,X28,$X$15)</f>
        <v>Ok</v>
      </c>
      <c r="Z28" s="1013">
        <f ca="1"/>
        <v>5.0979651688322747E-2</v>
      </c>
      <c r="AA28" s="1014">
        <f ca="1"/>
        <v>4.8364356601401148E-2</v>
      </c>
      <c r="AB28" s="996"/>
      <c r="AC28" s="996"/>
      <c r="AD28" s="996"/>
      <c r="AE28" s="202"/>
      <c r="AF28" s="203"/>
      <c r="AG28" s="954" t="s">
        <v>718</v>
      </c>
      <c r="AH28" s="909">
        <v>14.77675</v>
      </c>
      <c r="AI28" s="955"/>
      <c r="AO28" s="954" t="s">
        <v>717</v>
      </c>
      <c r="AP28" s="907" t="str">
        <f ca="1">$J$16</f>
        <v>@@FXCurveBootstrapping_ZAR::08:30:22</v>
      </c>
      <c r="AQ28" s="955"/>
      <c r="AW28" s="954" t="s">
        <v>717</v>
      </c>
      <c r="AX28" s="907" t="str">
        <f ca="1">$J$16</f>
        <v>@@FXCurveBootstrapping_ZAR::08:30:22</v>
      </c>
      <c r="AY28" s="955"/>
      <c r="BF28" s="954" t="s">
        <v>714</v>
      </c>
      <c r="BG28" s="907" t="str">
        <f ca="1">$F$16</f>
        <v>@@FXCurveBootstrapping_USDSWAP::08:30:23</v>
      </c>
      <c r="BH28" s="955"/>
    </row>
    <row r="29" spans="2:64">
      <c r="B29" s="716">
        <v>44320.520547945205</v>
      </c>
      <c r="C29" s="866">
        <v>0.99994069771019323</v>
      </c>
      <c r="F29" s="716">
        <v>44321</v>
      </c>
      <c r="G29" s="866">
        <v>0.99989344834076721</v>
      </c>
      <c r="J29" s="716">
        <v>44377</v>
      </c>
      <c r="K29" s="866">
        <v>0.99092085729334145</v>
      </c>
      <c r="N29" s="142" t="s">
        <v>43</v>
      </c>
      <c r="O29" s="1111" t="s">
        <v>662</v>
      </c>
      <c r="P29" s="1112"/>
      <c r="V29" s="767">
        <v>44414</v>
      </c>
      <c r="W29" s="748">
        <v>0.98272345090717839</v>
      </c>
      <c r="X29" s="768">
        <f ca="1"/>
        <v>0.98317352097589317</v>
      </c>
      <c r="Y29" s="737" t="str" cm="1">
        <f t="array" aca="1" ref="Y29" ca="1">_xll.d.TestUtils_Equal(W29,X29,$X$15)</f>
        <v>Ok</v>
      </c>
      <c r="Z29" s="1013">
        <f ca="1"/>
        <v>4.717223218622113E-2</v>
      </c>
      <c r="AA29" s="1014">
        <f ca="1"/>
        <v>4.7434796866814288E-2</v>
      </c>
      <c r="AB29" s="996"/>
      <c r="AC29" s="996"/>
      <c r="AD29" s="996"/>
      <c r="AE29" s="202"/>
      <c r="AF29" s="203"/>
      <c r="AG29" s="956" t="s">
        <v>43</v>
      </c>
      <c r="AH29" s="1098" t="s">
        <v>662</v>
      </c>
      <c r="AI29" s="1099"/>
      <c r="AO29" s="956" t="s">
        <v>43</v>
      </c>
      <c r="AP29" s="1098" t="s">
        <v>662</v>
      </c>
      <c r="AQ29" s="1099"/>
      <c r="AW29" s="954" t="s">
        <v>718</v>
      </c>
      <c r="AX29" s="909">
        <v>14.77675</v>
      </c>
      <c r="AY29" s="955"/>
      <c r="BF29" s="954" t="s">
        <v>715</v>
      </c>
      <c r="BG29" s="1106" t="s">
        <v>33</v>
      </c>
      <c r="BH29" s="1107"/>
    </row>
    <row r="30" spans="2:64">
      <c r="B30" s="716">
        <v>44353.068493150684</v>
      </c>
      <c r="C30" s="866">
        <v>0.9998791251863326</v>
      </c>
      <c r="F30" s="716">
        <v>44354</v>
      </c>
      <c r="G30" s="866">
        <v>0.99975110744237938</v>
      </c>
      <c r="J30" s="716">
        <v>44469</v>
      </c>
      <c r="K30" s="866">
        <v>0.98154428572109986</v>
      </c>
      <c r="V30" s="767">
        <v>44446</v>
      </c>
      <c r="W30" s="748">
        <v>0.97861357338373778</v>
      </c>
      <c r="X30" s="768">
        <f ca="1"/>
        <v>0.97901655029671197</v>
      </c>
      <c r="Y30" s="737" t="str" cm="1">
        <f t="array" aca="1" ref="Y30" ca="1">_xll.d.TestUtils_Equal(W30,X30,$X$15)</f>
        <v>Ok</v>
      </c>
      <c r="Z30" s="1013">
        <f ca="1"/>
        <v>4.8089227167843696E-2</v>
      </c>
      <c r="AA30" s="1014">
        <f ca="1"/>
        <v>4.8622322274797014E-2</v>
      </c>
      <c r="AB30" s="996"/>
      <c r="AC30" s="996"/>
      <c r="AD30" s="996"/>
      <c r="AE30" s="202"/>
      <c r="AF30" s="203"/>
      <c r="AW30" s="956" t="s">
        <v>43</v>
      </c>
      <c r="AX30" s="1098" t="s">
        <v>662</v>
      </c>
      <c r="AY30" s="1099"/>
      <c r="BF30" s="954" t="s">
        <v>716</v>
      </c>
      <c r="BG30" s="942" t="s">
        <v>24</v>
      </c>
      <c r="BH30" s="955"/>
    </row>
    <row r="31" spans="2:64">
      <c r="B31" s="716">
        <v>44381.67123287671</v>
      </c>
      <c r="C31" s="866">
        <v>0.99981950396701114</v>
      </c>
      <c r="F31" s="716">
        <v>44383</v>
      </c>
      <c r="G31" s="866">
        <v>0.9994840403244164</v>
      </c>
      <c r="J31" s="716">
        <v>44560</v>
      </c>
      <c r="K31" s="866">
        <v>0.97180440930321998</v>
      </c>
      <c r="V31" s="767">
        <v>44475</v>
      </c>
      <c r="W31" s="748">
        <v>0.97485156715388177</v>
      </c>
      <c r="X31" s="768">
        <f ca="1"/>
        <v>0.97551181989212432</v>
      </c>
      <c r="Y31" s="737" t="str" cm="1">
        <f t="array" aca="1" ref="Y31" ca="1">_xll.d.TestUtils_Equal(W31,X31,$X$15)</f>
        <v>Ok</v>
      </c>
      <c r="Z31" s="1013">
        <f ca="1"/>
        <v>4.877233909979406E-2</v>
      </c>
      <c r="AA31" s="1014">
        <f ca="1"/>
        <v>4.5393183648057445E-2</v>
      </c>
      <c r="AB31" s="996"/>
      <c r="AC31" s="996"/>
      <c r="AD31" s="996"/>
      <c r="AE31" s="202"/>
      <c r="AF31" s="203"/>
      <c r="BF31" s="954" t="s">
        <v>717</v>
      </c>
      <c r="BG31" s="907" t="str">
        <f ca="1">$J$16</f>
        <v>@@FXCurveBootstrapping_ZAR::08:30:22</v>
      </c>
      <c r="BH31" s="955"/>
    </row>
    <row r="32" spans="2:64">
      <c r="B32" s="716">
        <v>44411.260273972606</v>
      </c>
      <c r="C32" s="866">
        <v>0.99975311532231814</v>
      </c>
      <c r="F32" s="716">
        <v>44407</v>
      </c>
      <c r="G32" s="866">
        <v>0.99946382463338601</v>
      </c>
      <c r="J32" s="716">
        <v>44651</v>
      </c>
      <c r="K32" s="866">
        <v>0.9615672049033942</v>
      </c>
      <c r="N32" s="12" t="s">
        <v>733</v>
      </c>
      <c r="O32" s="27"/>
      <c r="P32" s="27"/>
      <c r="Q32" s="13"/>
      <c r="V32" s="767">
        <v>44567</v>
      </c>
      <c r="W32" s="748">
        <v>0.96320044759980061</v>
      </c>
      <c r="X32" s="768">
        <f ca="1"/>
        <v>0.96417069968875002</v>
      </c>
      <c r="Y32" s="737" t="str" cm="1">
        <f t="array" aca="1" ref="Y32" ca="1">_xll.d.TestUtils_Equal(W32,X32,$X$15)</f>
        <v>Ok</v>
      </c>
      <c r="Z32" s="1013">
        <f ca="1"/>
        <v>4.7988225720834166E-2</v>
      </c>
      <c r="AA32" s="1014">
        <f ca="1"/>
        <v>4.6664468116066615E-2</v>
      </c>
      <c r="AB32" s="996"/>
      <c r="AC32" s="996"/>
      <c r="AD32" s="996"/>
      <c r="AE32" s="202"/>
      <c r="AF32" s="203"/>
      <c r="AG32" s="12" t="s">
        <v>710</v>
      </c>
      <c r="AH32" s="27"/>
      <c r="AI32" s="27"/>
      <c r="AJ32" s="13"/>
      <c r="AO32" s="12" t="s">
        <v>710</v>
      </c>
      <c r="AP32" s="27"/>
      <c r="AQ32" s="27"/>
      <c r="AR32" s="13"/>
      <c r="BF32" s="954" t="s">
        <v>718</v>
      </c>
      <c r="BG32" s="909">
        <v>14.77675</v>
      </c>
      <c r="BH32" s="955"/>
    </row>
    <row r="33" spans="2:61">
      <c r="B33" s="716">
        <v>44443.808219178085</v>
      </c>
      <c r="C33" s="866">
        <v>0.99968010076842584</v>
      </c>
      <c r="F33" s="716">
        <v>44440</v>
      </c>
      <c r="G33" s="866">
        <v>0.99933870078552967</v>
      </c>
      <c r="J33" s="716">
        <v>44742</v>
      </c>
      <c r="K33" s="866">
        <v>0.95057079360873153</v>
      </c>
      <c r="N33" s="61" t="s">
        <v>35</v>
      </c>
      <c r="O33" s="495" t="s">
        <v>759</v>
      </c>
      <c r="P33" s="910" t="s">
        <v>760</v>
      </c>
      <c r="Q33" s="63" t="s">
        <v>42</v>
      </c>
      <c r="V33" s="767">
        <v>44657</v>
      </c>
      <c r="W33" s="748">
        <v>0.95191512062026107</v>
      </c>
      <c r="X33" s="768">
        <f ca="1"/>
        <v>0.95327051072747526</v>
      </c>
      <c r="Y33" s="737" t="str" cm="1">
        <f t="array" aca="1" ref="Y33" ca="1">_xll.d.TestUtils_Equal(W33,X33,$X$15)</f>
        <v>Ok</v>
      </c>
      <c r="Z33" s="1013">
        <f ca="1"/>
        <v>4.8084144268442763E-2</v>
      </c>
      <c r="AA33" s="1014">
        <f ca="1"/>
        <v>4.637699220278968E-2</v>
      </c>
      <c r="AB33" s="996"/>
      <c r="AC33" s="996"/>
      <c r="AD33" s="996"/>
      <c r="AE33" s="202"/>
      <c r="AF33" s="203"/>
      <c r="AG33" s="61" t="s">
        <v>35</v>
      </c>
      <c r="AH33" s="495" t="s">
        <v>707</v>
      </c>
      <c r="AI33" s="910" t="s">
        <v>685</v>
      </c>
      <c r="AJ33" s="63" t="s">
        <v>42</v>
      </c>
      <c r="AO33" s="61" t="s">
        <v>35</v>
      </c>
      <c r="AP33" s="495" t="s">
        <v>707</v>
      </c>
      <c r="AQ33" s="910" t="s">
        <v>685</v>
      </c>
      <c r="AR33" s="63" t="s">
        <v>42</v>
      </c>
      <c r="AW33" s="12" t="s">
        <v>727</v>
      </c>
      <c r="AX33" s="27"/>
      <c r="AY33" s="27"/>
      <c r="AZ33" s="13"/>
      <c r="BF33" s="956" t="s">
        <v>43</v>
      </c>
      <c r="BG33" s="1098" t="s">
        <v>662</v>
      </c>
      <c r="BH33" s="1099"/>
    </row>
    <row r="34" spans="2:61">
      <c r="B34" s="716">
        <v>44471.424657534248</v>
      </c>
      <c r="C34" s="866">
        <v>0.99961892112189865</v>
      </c>
      <c r="F34" s="716">
        <v>44469</v>
      </c>
      <c r="G34" s="866">
        <v>0.99910010175508768</v>
      </c>
      <c r="J34" s="716">
        <v>44834</v>
      </c>
      <c r="K34" s="866">
        <v>0.93911411596110872</v>
      </c>
      <c r="N34" s="952" t="s">
        <v>607</v>
      </c>
      <c r="O34" s="965">
        <v>6.0600000000000001E-2</v>
      </c>
      <c r="P34" s="911">
        <v>2</v>
      </c>
      <c r="Q34" s="247" t="b">
        <v>1</v>
      </c>
      <c r="S34" s="997"/>
      <c r="T34" s="997"/>
      <c r="U34" s="997"/>
      <c r="V34" s="767">
        <v>45019</v>
      </c>
      <c r="W34" s="748">
        <v>0.90420401338243894</v>
      </c>
      <c r="X34" s="768">
        <f ca="1"/>
        <v>0.9053990095740464</v>
      </c>
      <c r="Y34" s="737" t="str" cm="1">
        <f t="array" aca="1" ref="Y34" ca="1">_xll.d.TestUtils_Equal(W34,X34,$X$15)</f>
        <v>Ok</v>
      </c>
      <c r="Z34" s="1013">
        <f ca="1"/>
        <v>5.2184468456873745E-2</v>
      </c>
      <c r="AA34" s="1014">
        <f ca="1"/>
        <v>5.2288775007222732E-2</v>
      </c>
      <c r="AB34" s="996"/>
      <c r="AC34" s="996"/>
      <c r="AD34" s="996"/>
      <c r="AE34" s="202"/>
      <c r="AF34" s="203"/>
      <c r="AG34" s="952" t="s">
        <v>607</v>
      </c>
      <c r="AH34" s="911">
        <v>6.0610999999999748E-2</v>
      </c>
      <c r="AI34" s="911">
        <v>2</v>
      </c>
      <c r="AJ34" s="247" t="b">
        <v>1</v>
      </c>
      <c r="AO34" s="952" t="s">
        <v>607</v>
      </c>
      <c r="AP34" s="911">
        <v>6.0610999999999748E-2</v>
      </c>
      <c r="AQ34" s="911">
        <v>2</v>
      </c>
      <c r="AR34" s="247" t="b">
        <v>1</v>
      </c>
      <c r="AW34" s="61" t="s">
        <v>35</v>
      </c>
      <c r="AX34" s="495" t="s">
        <v>707</v>
      </c>
      <c r="AY34" s="910" t="s">
        <v>685</v>
      </c>
      <c r="AZ34" s="63" t="s">
        <v>42</v>
      </c>
    </row>
    <row r="35" spans="2:61">
      <c r="B35" s="716">
        <v>44562.164383561641</v>
      </c>
      <c r="C35" s="866">
        <v>0.99940923497933887</v>
      </c>
      <c r="F35" s="716">
        <v>44502</v>
      </c>
      <c r="G35" s="866">
        <v>0.99899920452018776</v>
      </c>
      <c r="J35" s="716">
        <v>44925</v>
      </c>
      <c r="K35" s="866">
        <v>0.927254656104601</v>
      </c>
      <c r="N35" s="943" t="s">
        <v>610</v>
      </c>
      <c r="O35" s="966">
        <v>0.1217410000000001</v>
      </c>
      <c r="P35" s="912">
        <v>2</v>
      </c>
      <c r="Q35" s="249" t="b">
        <v>1</v>
      </c>
      <c r="V35" s="767">
        <v>45384</v>
      </c>
      <c r="W35" s="748">
        <v>0.85267887250625574</v>
      </c>
      <c r="X35" s="768">
        <f ca="1"/>
        <v>0.85243350176084642</v>
      </c>
      <c r="Y35" s="737" t="str" cm="1">
        <f t="array" aca="1" ref="Y35" ca="1">_xll.d.TestUtils_Equal(W35,X35,$X$15)</f>
        <v>Ok</v>
      </c>
      <c r="Z35" s="1013">
        <f ca="1"/>
        <v>5.9104417325503533E-2</v>
      </c>
      <c r="AA35" s="1014">
        <f ca="1"/>
        <v>6.0737047025997803E-2</v>
      </c>
      <c r="AB35" s="996"/>
      <c r="AC35" s="996"/>
      <c r="AD35" s="996"/>
      <c r="AE35" s="202"/>
      <c r="AF35" s="203"/>
      <c r="AG35" s="943" t="s">
        <v>610</v>
      </c>
      <c r="AH35" s="912">
        <v>0.1217410000000001</v>
      </c>
      <c r="AI35" s="912">
        <v>2</v>
      </c>
      <c r="AJ35" s="249" t="b">
        <v>1</v>
      </c>
      <c r="AO35" s="943" t="s">
        <v>610</v>
      </c>
      <c r="AP35" s="912">
        <v>0.1217410000000001</v>
      </c>
      <c r="AQ35" s="912">
        <v>2</v>
      </c>
      <c r="AR35" s="249" t="b">
        <v>1</v>
      </c>
      <c r="AW35" s="952" t="s">
        <v>607</v>
      </c>
      <c r="AX35" s="911">
        <v>6.0610999999999748E-2</v>
      </c>
      <c r="AY35" s="911">
        <v>2</v>
      </c>
      <c r="AZ35" s="247" t="b">
        <v>1</v>
      </c>
    </row>
    <row r="36" spans="2:61">
      <c r="B36" s="716">
        <v>44650.931506849316</v>
      </c>
      <c r="C36" s="866">
        <v>0.99917844871257111</v>
      </c>
      <c r="F36" s="716">
        <v>44530</v>
      </c>
      <c r="G36" s="866">
        <v>0.99886932915421978</v>
      </c>
      <c r="J36" s="716">
        <v>45019</v>
      </c>
      <c r="K36" s="866">
        <v>0.91469536953011721</v>
      </c>
      <c r="N36" s="943" t="s">
        <v>611</v>
      </c>
      <c r="O36" s="966">
        <v>0.17783000000000015</v>
      </c>
      <c r="P36" s="912">
        <v>2</v>
      </c>
      <c r="Q36" s="249" t="b">
        <v>1</v>
      </c>
      <c r="V36" s="767">
        <v>45748</v>
      </c>
      <c r="W36" s="748">
        <v>0.79530748345081337</v>
      </c>
      <c r="X36" s="768">
        <f ca="1"/>
        <v>0.7946889331888306</v>
      </c>
      <c r="Y36" s="737" t="str" cm="1">
        <f t="array" aca="1" ref="Y36" ca="1">_xll.d.TestUtils_Equal(W36,X36,$X$15)</f>
        <v>Ok</v>
      </c>
      <c r="Z36" s="1013">
        <f ca="1"/>
        <v>7.0458919491679595E-2</v>
      </c>
      <c r="AA36" s="1014">
        <f ca="1"/>
        <v>7.0959202829817158E-2</v>
      </c>
      <c r="AB36" s="996"/>
      <c r="AC36" s="996"/>
      <c r="AD36" s="996"/>
      <c r="AE36" s="202"/>
      <c r="AF36" s="203"/>
      <c r="AG36" s="943" t="s">
        <v>611</v>
      </c>
      <c r="AH36" s="912">
        <v>0.17783000000000015</v>
      </c>
      <c r="AI36" s="912">
        <v>2</v>
      </c>
      <c r="AJ36" s="249" t="b">
        <v>1</v>
      </c>
      <c r="AO36" s="943" t="s">
        <v>611</v>
      </c>
      <c r="AP36" s="912">
        <v>0.17783000000000015</v>
      </c>
      <c r="AQ36" s="912">
        <v>2</v>
      </c>
      <c r="AR36" s="249" t="b">
        <v>1</v>
      </c>
      <c r="AW36" s="943" t="s">
        <v>610</v>
      </c>
      <c r="AX36" s="912">
        <v>0.1217410000000001</v>
      </c>
      <c r="AY36" s="912">
        <v>2</v>
      </c>
      <c r="AZ36" s="249" t="b">
        <v>1</v>
      </c>
      <c r="BF36" s="12" t="s">
        <v>683</v>
      </c>
      <c r="BG36" s="27"/>
      <c r="BH36" s="27"/>
      <c r="BI36" s="13"/>
    </row>
    <row r="37" spans="2:61">
      <c r="B37" s="716">
        <v>44831.424657534248</v>
      </c>
      <c r="C37" s="866">
        <v>0.9984714980301832</v>
      </c>
      <c r="F37" s="716">
        <v>44560</v>
      </c>
      <c r="G37" s="866">
        <v>0.99857479669559857</v>
      </c>
      <c r="J37" s="716">
        <v>45379</v>
      </c>
      <c r="K37" s="866">
        <v>0.86234374883000919</v>
      </c>
      <c r="N37" s="943" t="s">
        <v>708</v>
      </c>
      <c r="O37" s="966">
        <v>0.23681000000000016</v>
      </c>
      <c r="P37" s="912">
        <v>2</v>
      </c>
      <c r="Q37" s="249" t="b">
        <v>1</v>
      </c>
      <c r="V37" s="767">
        <v>46113</v>
      </c>
      <c r="W37" s="748">
        <v>0.73442996186163922</v>
      </c>
      <c r="X37" s="768">
        <f ca="1"/>
        <v>0.73347556392918001</v>
      </c>
      <c r="Y37" s="737" t="str" cm="1">
        <f t="array" aca="1" ref="Y37" ca="1">_xll.d.TestUtils_Equal(W37,X37,$X$15)</f>
        <v>Ok</v>
      </c>
      <c r="Z37" s="1013">
        <f ca="1"/>
        <v>8.043216232145145E-2</v>
      </c>
      <c r="AA37" s="1014">
        <f ca="1"/>
        <v>8.0965000654482644E-2</v>
      </c>
      <c r="AB37" s="996"/>
      <c r="AC37" s="996"/>
      <c r="AD37" s="996"/>
      <c r="AE37" s="202"/>
      <c r="AF37" s="203"/>
      <c r="AG37" s="943" t="s">
        <v>708</v>
      </c>
      <c r="AH37" s="912">
        <v>0.23681000000000016</v>
      </c>
      <c r="AI37" s="912">
        <v>2</v>
      </c>
      <c r="AJ37" s="249" t="b">
        <v>1</v>
      </c>
      <c r="AO37" s="943" t="s">
        <v>708</v>
      </c>
      <c r="AP37" s="912">
        <v>0.23681000000000016</v>
      </c>
      <c r="AQ37" s="912">
        <v>2</v>
      </c>
      <c r="AR37" s="249" t="b">
        <v>1</v>
      </c>
      <c r="AW37" s="943" t="s">
        <v>611</v>
      </c>
      <c r="AX37" s="912">
        <v>0.17783000000000015</v>
      </c>
      <c r="AY37" s="912">
        <v>2</v>
      </c>
      <c r="AZ37" s="249" t="b">
        <v>1</v>
      </c>
      <c r="BF37" s="61" t="s">
        <v>35</v>
      </c>
      <c r="BG37" s="62" t="s">
        <v>684</v>
      </c>
      <c r="BH37" s="910" t="s">
        <v>685</v>
      </c>
      <c r="BI37" s="63" t="s">
        <v>42</v>
      </c>
    </row>
    <row r="38" spans="2:61">
      <c r="B38" s="716">
        <v>45010.931506849316</v>
      </c>
      <c r="C38" s="866">
        <v>0.99704258580517213</v>
      </c>
      <c r="F38" s="716">
        <v>44593</v>
      </c>
      <c r="G38" s="866">
        <v>0.99840584430000068</v>
      </c>
      <c r="J38" s="716">
        <v>45747</v>
      </c>
      <c r="K38" s="866">
        <v>0.80211211609508848</v>
      </c>
      <c r="N38" s="943" t="s">
        <v>709</v>
      </c>
      <c r="O38" s="966">
        <v>0.29763050000000035</v>
      </c>
      <c r="P38" s="912">
        <v>2</v>
      </c>
      <c r="Q38" s="249" t="b">
        <v>1</v>
      </c>
      <c r="V38" s="767">
        <v>46478</v>
      </c>
      <c r="W38" s="748">
        <v>0.67356811753159784</v>
      </c>
      <c r="X38" s="768">
        <f ca="1"/>
        <v>0.67252369319679406</v>
      </c>
      <c r="Y38" s="737" t="str" cm="1">
        <f t="array" aca="1" ref="Y38" ca="1">_xll.d.TestUtils_Equal(W38,X38,$X$15)</f>
        <v>Ok</v>
      </c>
      <c r="Z38" s="1013">
        <f ca="1"/>
        <v>8.7447685903536687E-2</v>
      </c>
      <c r="AA38" s="1014">
        <f ca="1"/>
        <v>8.7704625265541125E-2</v>
      </c>
      <c r="AB38" s="996"/>
      <c r="AC38" s="996"/>
      <c r="AD38" s="996"/>
      <c r="AE38" s="202"/>
      <c r="AF38" s="203"/>
      <c r="AG38" s="943" t="s">
        <v>709</v>
      </c>
      <c r="AH38" s="912">
        <v>0.29763050000000035</v>
      </c>
      <c r="AI38" s="912">
        <v>2</v>
      </c>
      <c r="AJ38" s="249" t="b">
        <v>1</v>
      </c>
      <c r="AO38" s="943" t="s">
        <v>709</v>
      </c>
      <c r="AP38" s="912">
        <v>0.29763050000000035</v>
      </c>
      <c r="AQ38" s="912">
        <v>2</v>
      </c>
      <c r="AR38" s="249" t="b">
        <v>1</v>
      </c>
      <c r="AW38" s="943" t="s">
        <v>708</v>
      </c>
      <c r="AX38" s="912">
        <v>0.23681000000000016</v>
      </c>
      <c r="AY38" s="912">
        <v>2</v>
      </c>
      <c r="AZ38" s="249" t="b">
        <v>1</v>
      </c>
      <c r="BF38" s="961" t="s">
        <v>24</v>
      </c>
      <c r="BG38" s="962">
        <v>-2.7300000000000002E-3</v>
      </c>
      <c r="BH38" s="911">
        <v>2</v>
      </c>
      <c r="BI38" s="247" t="b">
        <v>1</v>
      </c>
    </row>
    <row r="39" spans="2:61">
      <c r="B39" s="716">
        <v>45371.917808219179</v>
      </c>
      <c r="C39" s="866">
        <v>0.98995512228815885</v>
      </c>
      <c r="F39" s="716">
        <v>44620</v>
      </c>
      <c r="G39" s="866">
        <v>0.99823428805370984</v>
      </c>
      <c r="J39" s="716">
        <v>46112</v>
      </c>
      <c r="K39" s="866">
        <v>0.73811249343083374</v>
      </c>
      <c r="N39" s="943" t="s">
        <v>612</v>
      </c>
      <c r="O39" s="966">
        <v>0.3526600000000002</v>
      </c>
      <c r="P39" s="912">
        <v>2</v>
      </c>
      <c r="Q39" s="249" t="b">
        <v>1</v>
      </c>
      <c r="V39" s="767">
        <v>46846</v>
      </c>
      <c r="W39" s="748">
        <v>0.61456523392712425</v>
      </c>
      <c r="X39" s="768">
        <f ca="1"/>
        <v>0.61324651418545151</v>
      </c>
      <c r="Y39" s="737" t="str" cm="1">
        <f t="array" aca="1" ref="Y39" ca="1">_xll.d.TestUtils_Equal(W39,X39,$X$15)</f>
        <v>Ok</v>
      </c>
      <c r="Z39" s="1013">
        <f ca="1"/>
        <v>9.1968040148744379E-2</v>
      </c>
      <c r="AA39" s="1014">
        <f ca="1"/>
        <v>9.2573116192360416E-2</v>
      </c>
      <c r="AB39" s="996"/>
      <c r="AC39" s="996"/>
      <c r="AD39" s="996"/>
      <c r="AE39" s="202"/>
      <c r="AF39" s="203"/>
      <c r="AG39" s="943" t="s">
        <v>612</v>
      </c>
      <c r="AH39" s="912">
        <v>0.3526600000000002</v>
      </c>
      <c r="AI39" s="912">
        <v>2</v>
      </c>
      <c r="AJ39" s="249" t="b">
        <v>1</v>
      </c>
      <c r="AO39" s="943" t="s">
        <v>612</v>
      </c>
      <c r="AP39" s="912">
        <v>0.3526600000000002</v>
      </c>
      <c r="AQ39" s="912">
        <v>2</v>
      </c>
      <c r="AR39" s="249" t="b">
        <v>1</v>
      </c>
      <c r="AW39" s="943" t="s">
        <v>709</v>
      </c>
      <c r="AX39" s="912">
        <v>0.29763050000000035</v>
      </c>
      <c r="AY39" s="912">
        <v>2</v>
      </c>
      <c r="AZ39" s="249" t="b">
        <v>1</v>
      </c>
      <c r="BF39" s="915" t="s">
        <v>27</v>
      </c>
      <c r="BG39" s="963">
        <v>-2.6250000000000002E-3</v>
      </c>
      <c r="BH39" s="912">
        <v>2</v>
      </c>
      <c r="BI39" s="249" t="b">
        <v>1</v>
      </c>
    </row>
    <row r="40" spans="2:61">
      <c r="B40" s="716">
        <v>45733.890410958906</v>
      </c>
      <c r="C40" s="866">
        <v>0.97638294403150039</v>
      </c>
      <c r="F40" s="716">
        <v>44651</v>
      </c>
      <c r="G40" s="866">
        <v>0.99791761253178113</v>
      </c>
      <c r="J40" s="716">
        <v>46477</v>
      </c>
      <c r="K40" s="866">
        <v>0.67405587880105278</v>
      </c>
      <c r="N40" s="943" t="s">
        <v>647</v>
      </c>
      <c r="O40" s="966">
        <v>0.52735000000000021</v>
      </c>
      <c r="P40" s="912">
        <v>2</v>
      </c>
      <c r="Q40" s="249" t="b">
        <v>1</v>
      </c>
      <c r="V40" s="767">
        <v>47211</v>
      </c>
      <c r="W40" s="748">
        <v>0.55780791755217463</v>
      </c>
      <c r="X40" s="768">
        <f ca="1"/>
        <v>0.55640712702539774</v>
      </c>
      <c r="Y40" s="737" t="str" cm="1">
        <f t="array" aca="1" ref="Y40" ca="1">_xll.d.TestUtils_Equal(W40,X40,$X$15)</f>
        <v>Ok</v>
      </c>
      <c r="Z40" s="1013">
        <f ca="1"/>
        <v>9.808365842582667E-2</v>
      </c>
      <c r="AA40" s="1014">
        <f ca="1"/>
        <v>9.8458976115463948E-2</v>
      </c>
      <c r="AB40" s="996"/>
      <c r="AC40" s="996"/>
      <c r="AD40" s="996"/>
      <c r="AE40" s="202"/>
      <c r="AF40" s="203"/>
      <c r="AG40" s="943" t="s">
        <v>647</v>
      </c>
      <c r="AH40" s="912">
        <v>0.52735000000000021</v>
      </c>
      <c r="AI40" s="912">
        <v>2</v>
      </c>
      <c r="AJ40" s="249" t="b">
        <v>1</v>
      </c>
      <c r="AO40" s="943" t="s">
        <v>647</v>
      </c>
      <c r="AP40" s="912">
        <v>0.52735000000000021</v>
      </c>
      <c r="AQ40" s="912">
        <v>2</v>
      </c>
      <c r="AR40" s="249" t="b">
        <v>1</v>
      </c>
      <c r="AW40" s="943" t="s">
        <v>612</v>
      </c>
      <c r="AX40" s="912">
        <v>0.3526600000000002</v>
      </c>
      <c r="AY40" s="912">
        <v>2</v>
      </c>
      <c r="AZ40" s="249" t="b">
        <v>1</v>
      </c>
      <c r="BF40" s="915" t="s">
        <v>28</v>
      </c>
      <c r="BG40" s="963">
        <v>-2.6750000000000003E-3</v>
      </c>
      <c r="BH40" s="912">
        <v>2</v>
      </c>
      <c r="BI40" s="249" t="b">
        <v>1</v>
      </c>
    </row>
    <row r="41" spans="2:61">
      <c r="B41" s="716">
        <v>46092.904109589042</v>
      </c>
      <c r="C41" s="866">
        <v>0.95859840460182189</v>
      </c>
      <c r="F41" s="716">
        <v>44742</v>
      </c>
      <c r="G41" s="866">
        <v>0.99733079948384373</v>
      </c>
      <c r="J41" s="716">
        <v>46843</v>
      </c>
      <c r="K41" s="866">
        <v>0.61095284847423947</v>
      </c>
      <c r="N41" s="944" t="s">
        <v>613</v>
      </c>
      <c r="O41" s="967">
        <v>0.69855000000000089</v>
      </c>
      <c r="P41" s="913">
        <v>2</v>
      </c>
      <c r="Q41" s="252" t="b">
        <v>1</v>
      </c>
      <c r="V41" s="767">
        <v>47574</v>
      </c>
      <c r="W41" s="748">
        <v>0.50643280863188</v>
      </c>
      <c r="X41" s="768">
        <f ca="1"/>
        <v>0.50478847023280426</v>
      </c>
      <c r="Y41" s="737" t="str" cm="1">
        <f t="array" aca="1" ref="Y41" ca="1">_xll.d.TestUtils_Equal(W41,X41,$X$15)</f>
        <v>Ok</v>
      </c>
      <c r="Z41" s="1013">
        <f ca="1"/>
        <v>9.8344877646132645E-2</v>
      </c>
      <c r="AA41" s="1014">
        <f ca="1"/>
        <v>9.9105038187354388E-2</v>
      </c>
      <c r="AB41" s="996"/>
      <c r="AC41" s="996"/>
      <c r="AD41" s="996"/>
      <c r="AE41" s="202"/>
      <c r="AF41" s="203"/>
      <c r="AG41" s="944" t="s">
        <v>613</v>
      </c>
      <c r="AH41" s="913">
        <v>0.69855000000000089</v>
      </c>
      <c r="AI41" s="913">
        <v>2</v>
      </c>
      <c r="AJ41" s="252" t="b">
        <v>1</v>
      </c>
      <c r="AO41" s="944" t="s">
        <v>613</v>
      </c>
      <c r="AP41" s="913">
        <v>0.69855000000000089</v>
      </c>
      <c r="AQ41" s="913">
        <v>2</v>
      </c>
      <c r="AR41" s="252" t="b">
        <v>1</v>
      </c>
      <c r="AW41" s="943" t="s">
        <v>647</v>
      </c>
      <c r="AX41" s="912">
        <v>0.52735000000000021</v>
      </c>
      <c r="AY41" s="912">
        <v>2</v>
      </c>
      <c r="AZ41" s="249" t="b">
        <v>1</v>
      </c>
      <c r="BF41" s="915" t="s">
        <v>48</v>
      </c>
      <c r="BG41" s="963">
        <v>-2.725E-3</v>
      </c>
      <c r="BH41" s="912">
        <v>2</v>
      </c>
      <c r="BI41" s="249" t="b">
        <v>1</v>
      </c>
    </row>
    <row r="42" spans="2:61">
      <c r="B42" s="716">
        <v>46812.904109589042</v>
      </c>
      <c r="C42" s="866">
        <v>0.916847221922653</v>
      </c>
      <c r="F42" s="716">
        <v>44834</v>
      </c>
      <c r="G42" s="866">
        <v>0.99657069726588954</v>
      </c>
      <c r="J42" s="716">
        <v>47206</v>
      </c>
      <c r="K42" s="866">
        <v>0.55139451149271068</v>
      </c>
      <c r="V42" s="767">
        <v>47939</v>
      </c>
      <c r="W42" s="748">
        <v>0.45879745811321393</v>
      </c>
      <c r="X42" s="768">
        <f ca="1"/>
        <v>0.45695129494470083</v>
      </c>
      <c r="Y42" s="737" t="str" cm="1">
        <f t="array" aca="1" ref="Y42" ca="1">_xll.d.TestUtils_Equal(W42,X42,$X$15)</f>
        <v>Ok</v>
      </c>
      <c r="Z42" s="1013">
        <f ca="1"/>
        <v>0.10001267045600049</v>
      </c>
      <c r="AA42" s="1014">
        <f ca="1"/>
        <v>0.10081209642025257</v>
      </c>
      <c r="AB42" s="996"/>
      <c r="AC42" s="996"/>
      <c r="AD42" s="996"/>
      <c r="AE42" s="202"/>
      <c r="AF42" s="203"/>
      <c r="AW42" s="944" t="s">
        <v>613</v>
      </c>
      <c r="AX42" s="913">
        <v>0.69855000000000089</v>
      </c>
      <c r="AY42" s="913">
        <v>2</v>
      </c>
      <c r="AZ42" s="252" t="b">
        <v>1</v>
      </c>
      <c r="BF42" s="915" t="s">
        <v>575</v>
      </c>
      <c r="BG42" s="963">
        <v>-2.7000000000000001E-3</v>
      </c>
      <c r="BH42" s="912">
        <v>2</v>
      </c>
      <c r="BI42" s="249" t="b">
        <v>1</v>
      </c>
    </row>
    <row r="43" spans="2:61">
      <c r="B43" s="716">
        <v>47894.876712328769</v>
      </c>
      <c r="C43" s="866">
        <v>0.85313470404884062</v>
      </c>
      <c r="F43" s="716">
        <v>44925</v>
      </c>
      <c r="G43" s="866">
        <v>0.99561008355869274</v>
      </c>
      <c r="J43" s="716">
        <v>47571</v>
      </c>
      <c r="K43" s="866">
        <v>0.49551512522715596</v>
      </c>
      <c r="V43" s="767">
        <v>48670</v>
      </c>
      <c r="W43" s="748">
        <v>0.37065541642190186</v>
      </c>
      <c r="X43" s="768">
        <f ca="1"/>
        <v>0.36879945940954612</v>
      </c>
      <c r="Y43" s="737" t="str" cm="1">
        <f t="array" aca="1" ref="Y43" ca="1">_xll.d.TestUtils_Equal(W43,X43,$X$15)</f>
        <v>Ok</v>
      </c>
      <c r="Z43" s="1013">
        <f ca="1"/>
        <v>0.10795312888337261</v>
      </c>
      <c r="AA43" s="1014">
        <f ca="1"/>
        <v>0.10845968193885902</v>
      </c>
      <c r="AB43" s="996"/>
      <c r="AC43" s="996"/>
      <c r="AD43" s="996"/>
      <c r="AE43" s="202"/>
      <c r="AF43" s="203"/>
      <c r="BF43" s="915" t="s">
        <v>49</v>
      </c>
      <c r="BG43" s="963">
        <v>-2.9749999999999998E-3</v>
      </c>
      <c r="BH43" s="912">
        <v>2</v>
      </c>
      <c r="BI43" s="249" t="b">
        <v>1</v>
      </c>
    </row>
    <row r="44" spans="2:61">
      <c r="B44" s="716">
        <v>48613.890410958906</v>
      </c>
      <c r="C44" s="866">
        <v>0.81185356759498484</v>
      </c>
      <c r="F44" s="716">
        <v>45019</v>
      </c>
      <c r="G44" s="866">
        <v>0.99432385829745307</v>
      </c>
      <c r="J44" s="716">
        <v>47938</v>
      </c>
      <c r="K44" s="866">
        <v>0.44356851386849538</v>
      </c>
      <c r="N44" s="12" t="s">
        <v>683</v>
      </c>
      <c r="O44" s="27"/>
      <c r="P44" s="27"/>
      <c r="Q44" s="13"/>
      <c r="V44" s="767">
        <v>49766</v>
      </c>
      <c r="W44" s="748">
        <v>0.27227842714998868</v>
      </c>
      <c r="X44" s="768">
        <f ca="1"/>
        <v>0.27044845890172453</v>
      </c>
      <c r="Y44" s="737" t="str" cm="1">
        <f t="array" aca="1" ref="Y44" ca="1">_xll.d.TestUtils_Equal(W44,X44,$X$15)</f>
        <v>Ok</v>
      </c>
      <c r="Z44" s="1013">
        <f ca="1"/>
        <v>0.10405241901591467</v>
      </c>
      <c r="AA44" s="1014">
        <f ca="1"/>
        <v>0.10464147854329919</v>
      </c>
      <c r="AB44" s="996"/>
      <c r="AC44" s="996"/>
      <c r="AD44" s="996"/>
      <c r="AE44" s="202"/>
      <c r="AF44" s="203"/>
      <c r="AG44" s="12" t="s">
        <v>683</v>
      </c>
      <c r="AH44" s="27"/>
      <c r="AI44" s="27"/>
      <c r="AJ44" s="13"/>
      <c r="AO44" s="12" t="s">
        <v>683</v>
      </c>
      <c r="AP44" s="27"/>
      <c r="AQ44" s="27"/>
      <c r="AR44" s="13"/>
      <c r="BF44" s="915" t="s">
        <v>53</v>
      </c>
      <c r="BG44" s="963">
        <v>-3.0499999999999998E-3</v>
      </c>
      <c r="BH44" s="912">
        <v>2</v>
      </c>
      <c r="BI44" s="249" t="b">
        <v>1</v>
      </c>
    </row>
    <row r="45" spans="2:61">
      <c r="B45" s="716">
        <v>49696.849315068495</v>
      </c>
      <c r="C45" s="866">
        <v>0.75461329995598525</v>
      </c>
      <c r="F45" s="716">
        <v>45387</v>
      </c>
      <c r="G45" s="866">
        <v>0.98432727184694901</v>
      </c>
      <c r="J45" s="716">
        <v>48669</v>
      </c>
      <c r="K45" s="866">
        <v>0.35154932738557765</v>
      </c>
      <c r="N45" s="61" t="s">
        <v>35</v>
      </c>
      <c r="O45" s="62" t="s">
        <v>761</v>
      </c>
      <c r="P45" s="910" t="s">
        <v>760</v>
      </c>
      <c r="Q45" s="63" t="s">
        <v>42</v>
      </c>
      <c r="V45" s="769">
        <v>51592</v>
      </c>
      <c r="W45" s="946">
        <v>0.17400644459089204</v>
      </c>
      <c r="X45" s="771">
        <f ca="1"/>
        <v>0.17223849355397164</v>
      </c>
      <c r="Y45" s="737" t="str" cm="1">
        <f t="array" aca="1" ref="Y45" ca="1">_xll.d.TestUtils_Equal(W45,X45,$X$15)</f>
        <v>Ok</v>
      </c>
      <c r="Z45" s="1015">
        <f ca="1"/>
        <v>9.0506262524661985E-2</v>
      </c>
      <c r="AA45" s="1016">
        <f ca="1"/>
        <v>9.1215351489414509E-2</v>
      </c>
      <c r="AB45" s="996"/>
      <c r="AC45" s="996"/>
      <c r="AD45" s="996"/>
      <c r="AE45" s="202"/>
      <c r="AF45" s="203"/>
      <c r="AG45" s="61" t="s">
        <v>35</v>
      </c>
      <c r="AH45" s="62" t="s">
        <v>684</v>
      </c>
      <c r="AI45" s="910" t="s">
        <v>685</v>
      </c>
      <c r="AJ45" s="63" t="s">
        <v>42</v>
      </c>
      <c r="AO45" s="61" t="s">
        <v>35</v>
      </c>
      <c r="AP45" s="62" t="s">
        <v>684</v>
      </c>
      <c r="AQ45" s="910" t="s">
        <v>685</v>
      </c>
      <c r="AR45" s="63" t="s">
        <v>42</v>
      </c>
      <c r="AW45" s="12" t="s">
        <v>683</v>
      </c>
      <c r="AX45" s="27"/>
      <c r="AY45" s="27"/>
      <c r="AZ45" s="13"/>
      <c r="BF45" s="915" t="s">
        <v>572</v>
      </c>
      <c r="BG45" s="963">
        <v>-3.0000000000000001E-3</v>
      </c>
      <c r="BH45" s="912">
        <v>2</v>
      </c>
      <c r="BI45" s="249" t="b">
        <v>1</v>
      </c>
    </row>
    <row r="46" spans="2:61">
      <c r="B46" s="716">
        <v>51495.863013698632</v>
      </c>
      <c r="C46" s="866">
        <v>0.67259667371996701</v>
      </c>
      <c r="F46" s="716">
        <v>45754</v>
      </c>
      <c r="G46" s="866">
        <v>0.96844277265189782</v>
      </c>
      <c r="J46" s="716">
        <v>49765</v>
      </c>
      <c r="K46" s="866">
        <v>0.24855440058426634</v>
      </c>
      <c r="N46" s="914" t="s">
        <v>616</v>
      </c>
      <c r="O46" s="698">
        <f>69/10000</f>
        <v>6.8999999999999999E-3</v>
      </c>
      <c r="P46" s="911">
        <v>2</v>
      </c>
      <c r="Q46" s="247" t="b">
        <v>1</v>
      </c>
      <c r="AB46" s="996"/>
      <c r="AC46" s="996"/>
      <c r="AD46" s="996"/>
      <c r="AE46" s="202"/>
      <c r="AF46" s="203"/>
      <c r="AG46" s="914" t="s">
        <v>616</v>
      </c>
      <c r="AH46" s="698">
        <f>69/10000</f>
        <v>6.8999999999999999E-3</v>
      </c>
      <c r="AI46" s="911">
        <v>2</v>
      </c>
      <c r="AJ46" s="247" t="b">
        <v>1</v>
      </c>
      <c r="AO46" s="914" t="s">
        <v>616</v>
      </c>
      <c r="AP46" s="698">
        <f>69/10000</f>
        <v>6.8999999999999999E-3</v>
      </c>
      <c r="AQ46" s="911">
        <v>2</v>
      </c>
      <c r="AR46" s="247" t="b">
        <v>1</v>
      </c>
      <c r="AW46" s="61" t="s">
        <v>35</v>
      </c>
      <c r="AX46" s="62" t="s">
        <v>684</v>
      </c>
      <c r="AY46" s="910" t="s">
        <v>685</v>
      </c>
      <c r="AZ46" s="63" t="s">
        <v>42</v>
      </c>
      <c r="BF46" s="915" t="s">
        <v>578</v>
      </c>
      <c r="BG46" s="963">
        <v>-2.8249999999999998E-3</v>
      </c>
      <c r="BH46" s="912">
        <v>2</v>
      </c>
      <c r="BI46" s="249" t="b">
        <v>1</v>
      </c>
    </row>
    <row r="47" spans="2:61">
      <c r="B47" s="716">
        <v>53296.849315068495</v>
      </c>
      <c r="C47" s="866">
        <v>0.60413888068019361</v>
      </c>
      <c r="F47" s="716">
        <v>46118</v>
      </c>
      <c r="G47" s="866">
        <v>0.94805319340061789</v>
      </c>
      <c r="J47" s="716">
        <v>51589</v>
      </c>
      <c r="K47" s="866">
        <v>0.1419763663614545</v>
      </c>
      <c r="N47" s="915" t="s">
        <v>629</v>
      </c>
      <c r="O47" s="699">
        <v>5.7000000000000002E-3</v>
      </c>
      <c r="P47" s="912">
        <v>2</v>
      </c>
      <c r="Q47" s="249" t="b">
        <v>1</v>
      </c>
      <c r="AB47" s="996"/>
      <c r="AC47" s="996"/>
      <c r="AD47" s="996"/>
      <c r="AE47" s="202"/>
      <c r="AF47" s="203"/>
      <c r="AG47" s="915" t="s">
        <v>629</v>
      </c>
      <c r="AH47" s="699">
        <v>5.7000000000000002E-3</v>
      </c>
      <c r="AI47" s="912">
        <v>2</v>
      </c>
      <c r="AJ47" s="249" t="b">
        <v>1</v>
      </c>
      <c r="AO47" s="915" t="s">
        <v>629</v>
      </c>
      <c r="AP47" s="699">
        <v>5.7000000000000002E-3</v>
      </c>
      <c r="AQ47" s="912">
        <v>2</v>
      </c>
      <c r="AR47" s="249" t="b">
        <v>1</v>
      </c>
      <c r="AW47" s="914" t="s">
        <v>616</v>
      </c>
      <c r="AX47" s="698">
        <f>69/10000</f>
        <v>6.8999999999999999E-3</v>
      </c>
      <c r="AY47" s="911">
        <v>2</v>
      </c>
      <c r="AZ47" s="247" t="b">
        <v>1</v>
      </c>
      <c r="BF47" s="915" t="s">
        <v>579</v>
      </c>
      <c r="BG47" s="963">
        <v>-2.6250000000000002E-3</v>
      </c>
      <c r="BH47" s="912">
        <v>2</v>
      </c>
      <c r="BI47" s="249" t="b">
        <v>1</v>
      </c>
    </row>
    <row r="48" spans="2:61">
      <c r="B48" s="719">
        <v>55097.835616438359</v>
      </c>
      <c r="C48" s="867">
        <v>0.545474652384628</v>
      </c>
      <c r="F48" s="716">
        <v>46482</v>
      </c>
      <c r="G48" s="866">
        <v>0.9255257400239294</v>
      </c>
      <c r="J48" s="716">
        <v>53416</v>
      </c>
      <c r="K48" s="866">
        <v>8.2442215018176099E-2</v>
      </c>
      <c r="N48" s="915" t="s">
        <v>630</v>
      </c>
      <c r="O48" s="699">
        <f>46/10000</f>
        <v>4.5999999999999999E-3</v>
      </c>
      <c r="P48" s="912">
        <v>2</v>
      </c>
      <c r="Q48" s="249" t="b">
        <v>1</v>
      </c>
      <c r="Z48" s="996"/>
      <c r="AA48" s="996"/>
      <c r="AB48" s="996"/>
      <c r="AC48" s="996"/>
      <c r="AD48" s="996"/>
      <c r="AE48" s="202"/>
      <c r="AF48" s="203"/>
      <c r="AG48" s="915" t="s">
        <v>630</v>
      </c>
      <c r="AH48" s="699">
        <f>46/10000</f>
        <v>4.5999999999999999E-3</v>
      </c>
      <c r="AI48" s="912">
        <v>2</v>
      </c>
      <c r="AJ48" s="249" t="b">
        <v>1</v>
      </c>
      <c r="AO48" s="915" t="s">
        <v>630</v>
      </c>
      <c r="AP48" s="699">
        <f>46/10000</f>
        <v>4.5999999999999999E-3</v>
      </c>
      <c r="AQ48" s="912">
        <v>2</v>
      </c>
      <c r="AR48" s="249" t="b">
        <v>1</v>
      </c>
      <c r="AW48" s="915" t="s">
        <v>629</v>
      </c>
      <c r="AX48" s="699">
        <v>5.7000000000000002E-3</v>
      </c>
      <c r="AY48" s="912">
        <v>2</v>
      </c>
      <c r="AZ48" s="249" t="b">
        <v>1</v>
      </c>
      <c r="BF48" s="915" t="s">
        <v>580</v>
      </c>
      <c r="BG48" s="963">
        <v>-2.4250000000000001E-3</v>
      </c>
      <c r="BH48" s="912">
        <v>2</v>
      </c>
      <c r="BI48" s="249" t="b">
        <v>1</v>
      </c>
    </row>
    <row r="49" spans="2:61">
      <c r="F49" s="716">
        <v>46848</v>
      </c>
      <c r="G49" s="866">
        <v>0.90252130465230229</v>
      </c>
      <c r="J49" s="719">
        <v>55243</v>
      </c>
      <c r="K49" s="867">
        <v>5.3272385379469156E-2</v>
      </c>
      <c r="N49" s="915" t="s">
        <v>631</v>
      </c>
      <c r="O49" s="699">
        <v>3.8E-3</v>
      </c>
      <c r="P49" s="912">
        <v>2</v>
      </c>
      <c r="Q49" s="249" t="b">
        <v>1</v>
      </c>
      <c r="V49" s="143"/>
      <c r="Z49" s="996"/>
      <c r="AA49" s="996"/>
      <c r="AE49" s="202"/>
      <c r="AF49" s="203"/>
      <c r="AG49" s="915" t="s">
        <v>631</v>
      </c>
      <c r="AH49" s="699">
        <v>3.8E-3</v>
      </c>
      <c r="AI49" s="912">
        <v>2</v>
      </c>
      <c r="AJ49" s="249" t="b">
        <v>1</v>
      </c>
      <c r="AO49" s="915" t="s">
        <v>631</v>
      </c>
      <c r="AP49" s="699">
        <v>3.8E-3</v>
      </c>
      <c r="AQ49" s="912">
        <v>2</v>
      </c>
      <c r="AR49" s="249" t="b">
        <v>1</v>
      </c>
      <c r="AW49" s="915" t="s">
        <v>630</v>
      </c>
      <c r="AX49" s="699">
        <f>46/10000</f>
        <v>4.5999999999999999E-3</v>
      </c>
      <c r="AY49" s="912">
        <v>2</v>
      </c>
      <c r="AZ49" s="249" t="b">
        <v>1</v>
      </c>
      <c r="BF49" s="915" t="s">
        <v>581</v>
      </c>
      <c r="BG49" s="963">
        <v>-2.3080000000000002E-3</v>
      </c>
      <c r="BH49" s="912">
        <v>2</v>
      </c>
      <c r="BI49" s="249" t="b">
        <v>1</v>
      </c>
    </row>
    <row r="50" spans="2:61">
      <c r="F50" s="716">
        <v>47213</v>
      </c>
      <c r="G50" s="866">
        <v>0.87982117054757125</v>
      </c>
      <c r="N50" s="915" t="s">
        <v>632</v>
      </c>
      <c r="O50" s="699">
        <v>3.0000000000000001E-3</v>
      </c>
      <c r="P50" s="912">
        <v>2</v>
      </c>
      <c r="Q50" s="249" t="b">
        <v>1</v>
      </c>
      <c r="Z50" s="996"/>
      <c r="AA50" s="996"/>
      <c r="AE50" s="202"/>
      <c r="AF50" s="203"/>
      <c r="AG50" s="915" t="s">
        <v>632</v>
      </c>
      <c r="AH50" s="699">
        <v>3.0000000000000001E-3</v>
      </c>
      <c r="AI50" s="912">
        <v>2</v>
      </c>
      <c r="AJ50" s="249" t="b">
        <v>1</v>
      </c>
      <c r="AO50" s="915" t="s">
        <v>632</v>
      </c>
      <c r="AP50" s="699">
        <v>3.0000000000000001E-3</v>
      </c>
      <c r="AQ50" s="912">
        <v>2</v>
      </c>
      <c r="AR50" s="249" t="b">
        <v>1</v>
      </c>
      <c r="AW50" s="915" t="s">
        <v>631</v>
      </c>
      <c r="AX50" s="699">
        <v>3.8E-3</v>
      </c>
      <c r="AY50" s="912">
        <v>2</v>
      </c>
      <c r="AZ50" s="249" t="b">
        <v>1</v>
      </c>
      <c r="BF50" s="915" t="s">
        <v>617</v>
      </c>
      <c r="BG50" s="963">
        <v>-2.1919999999999999E-3</v>
      </c>
      <c r="BH50" s="912">
        <v>2</v>
      </c>
      <c r="BI50" s="249" t="b">
        <v>1</v>
      </c>
    </row>
    <row r="51" spans="2:61">
      <c r="F51" s="716">
        <v>47578</v>
      </c>
      <c r="G51" s="866">
        <v>0.85705985574434451</v>
      </c>
      <c r="N51" s="915" t="s">
        <v>633</v>
      </c>
      <c r="O51" s="699">
        <v>2.3E-3</v>
      </c>
      <c r="P51" s="912">
        <v>2</v>
      </c>
      <c r="Q51" s="249" t="b">
        <v>1</v>
      </c>
      <c r="X51" s="1001"/>
      <c r="Y51" s="1001"/>
      <c r="AE51" s="202"/>
      <c r="AF51" s="203"/>
      <c r="AG51" s="915" t="s">
        <v>633</v>
      </c>
      <c r="AH51" s="699">
        <v>2.3E-3</v>
      </c>
      <c r="AI51" s="912">
        <v>2</v>
      </c>
      <c r="AJ51" s="249" t="b">
        <v>1</v>
      </c>
      <c r="AO51" s="915" t="s">
        <v>633</v>
      </c>
      <c r="AP51" s="699">
        <v>2.3E-3</v>
      </c>
      <c r="AQ51" s="912">
        <v>2</v>
      </c>
      <c r="AR51" s="249" t="b">
        <v>1</v>
      </c>
      <c r="AW51" s="915" t="s">
        <v>632</v>
      </c>
      <c r="AX51" s="699">
        <v>3.0000000000000001E-3</v>
      </c>
      <c r="AY51" s="912">
        <v>2</v>
      </c>
      <c r="AZ51" s="249" t="b">
        <v>1</v>
      </c>
      <c r="BF51" s="915" t="s">
        <v>587</v>
      </c>
      <c r="BG51" s="963">
        <v>-2.075E-3</v>
      </c>
      <c r="BH51" s="912">
        <v>2</v>
      </c>
      <c r="BI51" s="249" t="b">
        <v>1</v>
      </c>
    </row>
    <row r="52" spans="2:61">
      <c r="F52" s="716">
        <v>47945</v>
      </c>
      <c r="G52" s="866">
        <v>0.83425817976781114</v>
      </c>
      <c r="N52" s="915" t="s">
        <v>634</v>
      </c>
      <c r="O52" s="699">
        <v>1.6999999999999999E-3</v>
      </c>
      <c r="P52" s="912">
        <v>2</v>
      </c>
      <c r="Q52" s="249" t="b">
        <v>1</v>
      </c>
      <c r="X52" s="1001"/>
      <c r="Y52" s="1001"/>
      <c r="AE52" s="202"/>
      <c r="AF52" s="203"/>
      <c r="AG52" s="915" t="s">
        <v>634</v>
      </c>
      <c r="AH52" s="699">
        <v>1.6999999999999999E-3</v>
      </c>
      <c r="AI52" s="912">
        <v>2</v>
      </c>
      <c r="AJ52" s="249" t="b">
        <v>1</v>
      </c>
      <c r="AO52" s="915" t="s">
        <v>634</v>
      </c>
      <c r="AP52" s="699">
        <v>1.6999999999999999E-3</v>
      </c>
      <c r="AQ52" s="912">
        <v>2</v>
      </c>
      <c r="AR52" s="249" t="b">
        <v>1</v>
      </c>
      <c r="AW52" s="915" t="s">
        <v>633</v>
      </c>
      <c r="AX52" s="699">
        <v>2.3E-3</v>
      </c>
      <c r="AY52" s="912">
        <v>2</v>
      </c>
      <c r="AZ52" s="249" t="b">
        <v>1</v>
      </c>
      <c r="BF52" s="915" t="s">
        <v>588</v>
      </c>
      <c r="BG52" s="963">
        <v>-1.9550000000000001E-3</v>
      </c>
      <c r="BH52" s="912">
        <v>2</v>
      </c>
      <c r="BI52" s="249" t="b">
        <v>1</v>
      </c>
    </row>
    <row r="53" spans="2:61">
      <c r="F53" s="716">
        <v>48674</v>
      </c>
      <c r="G53" s="866">
        <v>0.79040577506564624</v>
      </c>
      <c r="N53" s="915" t="s">
        <v>635</v>
      </c>
      <c r="O53" s="699">
        <v>1.1000000000000001E-3</v>
      </c>
      <c r="P53" s="912">
        <v>2</v>
      </c>
      <c r="Q53" s="249" t="b">
        <v>1</v>
      </c>
      <c r="X53" s="1001"/>
      <c r="Y53" s="1001"/>
      <c r="AE53" s="202"/>
      <c r="AF53" s="203"/>
      <c r="AG53" s="915" t="s">
        <v>635</v>
      </c>
      <c r="AH53" s="699">
        <v>1.1000000000000001E-3</v>
      </c>
      <c r="AI53" s="912">
        <v>2</v>
      </c>
      <c r="AJ53" s="249" t="b">
        <v>1</v>
      </c>
      <c r="AO53" s="915" t="s">
        <v>635</v>
      </c>
      <c r="AP53" s="699">
        <v>1.1000000000000001E-3</v>
      </c>
      <c r="AQ53" s="912">
        <v>2</v>
      </c>
      <c r="AR53" s="249" t="b">
        <v>1</v>
      </c>
      <c r="AW53" s="915" t="s">
        <v>634</v>
      </c>
      <c r="AX53" s="699">
        <v>1.6999999999999999E-3</v>
      </c>
      <c r="AY53" s="912">
        <v>2</v>
      </c>
      <c r="AZ53" s="249" t="b">
        <v>1</v>
      </c>
      <c r="BF53" s="915" t="s">
        <v>589</v>
      </c>
      <c r="BG53" s="963">
        <v>-1.7749999999999999E-3</v>
      </c>
      <c r="BH53" s="912">
        <v>2</v>
      </c>
      <c r="BI53" s="249" t="b">
        <v>1</v>
      </c>
    </row>
    <row r="54" spans="2:61">
      <c r="F54" s="716">
        <v>49772</v>
      </c>
      <c r="G54" s="866">
        <v>0.72986767757360771</v>
      </c>
      <c r="N54" s="915" t="s">
        <v>636</v>
      </c>
      <c r="O54" s="699">
        <v>5.9999999999999995E-4</v>
      </c>
      <c r="P54" s="912">
        <v>2</v>
      </c>
      <c r="Q54" s="249" t="b">
        <v>1</v>
      </c>
      <c r="X54" s="1001"/>
      <c r="Y54" s="1001"/>
      <c r="AB54" s="9"/>
      <c r="AE54" s="202"/>
      <c r="AF54" s="203"/>
      <c r="AG54" s="915" t="s">
        <v>636</v>
      </c>
      <c r="AH54" s="699">
        <v>5.9999999999999995E-4</v>
      </c>
      <c r="AI54" s="912">
        <v>2</v>
      </c>
      <c r="AJ54" s="249" t="b">
        <v>1</v>
      </c>
      <c r="AO54" s="915" t="s">
        <v>636</v>
      </c>
      <c r="AP54" s="699">
        <v>5.9999999999999995E-4</v>
      </c>
      <c r="AQ54" s="912">
        <v>2</v>
      </c>
      <c r="AR54" s="249" t="b">
        <v>1</v>
      </c>
      <c r="AW54" s="915" t="s">
        <v>635</v>
      </c>
      <c r="AX54" s="699">
        <v>1.1000000000000001E-3</v>
      </c>
      <c r="AY54" s="912">
        <v>2</v>
      </c>
      <c r="AZ54" s="249" t="b">
        <v>1</v>
      </c>
      <c r="BF54" s="915" t="s">
        <v>590</v>
      </c>
      <c r="BG54" s="963">
        <v>-1.6250000000000001E-3</v>
      </c>
      <c r="BH54" s="912">
        <v>2</v>
      </c>
      <c r="BI54" s="249" t="b">
        <v>1</v>
      </c>
    </row>
    <row r="55" spans="2:61">
      <c r="F55" s="716">
        <v>51596</v>
      </c>
      <c r="G55" s="866">
        <v>0.64279189430997974</v>
      </c>
      <c r="N55" s="915" t="s">
        <v>637</v>
      </c>
      <c r="O55" s="699">
        <v>0</v>
      </c>
      <c r="P55" s="912">
        <v>2</v>
      </c>
      <c r="Q55" s="249" t="b">
        <v>1</v>
      </c>
      <c r="V55" s="8"/>
      <c r="X55" s="1001"/>
      <c r="Y55" s="1001"/>
      <c r="AB55" s="9"/>
      <c r="AE55" s="202"/>
      <c r="AF55" s="203"/>
      <c r="AG55" s="915" t="s">
        <v>637</v>
      </c>
      <c r="AH55" s="699">
        <v>0</v>
      </c>
      <c r="AI55" s="912">
        <v>2</v>
      </c>
      <c r="AJ55" s="249" t="b">
        <v>1</v>
      </c>
      <c r="AO55" s="915" t="s">
        <v>637</v>
      </c>
      <c r="AP55" s="699">
        <v>0</v>
      </c>
      <c r="AQ55" s="912">
        <v>2</v>
      </c>
      <c r="AR55" s="249" t="b">
        <v>1</v>
      </c>
      <c r="AW55" s="915" t="s">
        <v>636</v>
      </c>
      <c r="AX55" s="699">
        <v>5.9999999999999995E-4</v>
      </c>
      <c r="AY55" s="912">
        <v>2</v>
      </c>
      <c r="AZ55" s="249" t="b">
        <v>1</v>
      </c>
      <c r="BF55" s="916" t="s">
        <v>592</v>
      </c>
      <c r="BG55" s="964">
        <v>-1.5249999999999999E-3</v>
      </c>
      <c r="BH55" s="913">
        <v>2</v>
      </c>
      <c r="BI55" s="252" t="b">
        <v>1</v>
      </c>
    </row>
    <row r="56" spans="2:61">
      <c r="F56" s="716">
        <v>53422</v>
      </c>
      <c r="G56" s="866">
        <v>0.57213277271920826</v>
      </c>
      <c r="N56" s="915" t="s">
        <v>638</v>
      </c>
      <c r="O56" s="699">
        <v>-8.0000000000000004E-4</v>
      </c>
      <c r="P56" s="912">
        <v>2</v>
      </c>
      <c r="Q56" s="249" t="b">
        <v>1</v>
      </c>
      <c r="X56" s="1001"/>
      <c r="Y56" s="1001"/>
      <c r="AB56" s="9"/>
      <c r="AE56" s="202"/>
      <c r="AF56" s="203"/>
      <c r="AG56" s="915" t="s">
        <v>638</v>
      </c>
      <c r="AH56" s="699">
        <v>-8.0000000000000004E-4</v>
      </c>
      <c r="AI56" s="912">
        <v>2</v>
      </c>
      <c r="AJ56" s="249" t="b">
        <v>1</v>
      </c>
      <c r="AO56" s="915" t="s">
        <v>638</v>
      </c>
      <c r="AP56" s="699">
        <v>-8.0000000000000004E-4</v>
      </c>
      <c r="AQ56" s="912">
        <v>2</v>
      </c>
      <c r="AR56" s="249" t="b">
        <v>1</v>
      </c>
      <c r="AW56" s="915" t="s">
        <v>637</v>
      </c>
      <c r="AX56" s="699">
        <v>0</v>
      </c>
      <c r="AY56" s="912">
        <v>2</v>
      </c>
      <c r="AZ56" s="249" t="b">
        <v>1</v>
      </c>
    </row>
    <row r="57" spans="2:61">
      <c r="F57" s="716">
        <v>55248</v>
      </c>
      <c r="G57" s="866">
        <v>0.51094493705605015</v>
      </c>
      <c r="N57" s="916" t="s">
        <v>639</v>
      </c>
      <c r="O57" s="700">
        <v>-2.3500000000000001E-3</v>
      </c>
      <c r="P57" s="913">
        <v>2</v>
      </c>
      <c r="Q57" s="252" t="b">
        <v>1</v>
      </c>
      <c r="X57" s="1001"/>
      <c r="Y57" s="1001"/>
      <c r="AB57" s="9"/>
      <c r="AE57" s="202"/>
      <c r="AF57" s="203"/>
      <c r="AG57" s="916" t="s">
        <v>639</v>
      </c>
      <c r="AH57" s="700">
        <v>-2.3500000000000001E-3</v>
      </c>
      <c r="AI57" s="913">
        <v>2</v>
      </c>
      <c r="AJ57" s="252" t="b">
        <v>1</v>
      </c>
      <c r="AO57" s="916" t="s">
        <v>639</v>
      </c>
      <c r="AP57" s="700">
        <v>-2.3500000000000001E-3</v>
      </c>
      <c r="AQ57" s="913">
        <v>2</v>
      </c>
      <c r="AR57" s="252" t="b">
        <v>1</v>
      </c>
      <c r="AW57" s="915" t="s">
        <v>638</v>
      </c>
      <c r="AX57" s="699">
        <v>-8.0000000000000004E-4</v>
      </c>
      <c r="AY57" s="912">
        <v>2</v>
      </c>
      <c r="AZ57" s="249" t="b">
        <v>1</v>
      </c>
    </row>
    <row r="58" spans="2:61">
      <c r="F58" s="719">
        <v>58901</v>
      </c>
      <c r="G58" s="867">
        <v>0.42537340963061948</v>
      </c>
      <c r="X58" s="1001"/>
      <c r="Y58" s="1001"/>
      <c r="AB58" s="9"/>
      <c r="AE58" s="202"/>
      <c r="AF58" s="203"/>
      <c r="AW58" s="916" t="s">
        <v>639</v>
      </c>
      <c r="AX58" s="700">
        <v>-2.3500000000000001E-3</v>
      </c>
      <c r="AY58" s="913">
        <v>2</v>
      </c>
      <c r="AZ58" s="252" t="b">
        <v>1</v>
      </c>
    </row>
    <row r="59" spans="2:61">
      <c r="X59" s="1001"/>
      <c r="Y59" s="1001"/>
      <c r="AB59" s="9"/>
      <c r="AE59" s="202"/>
      <c r="AF59" s="203"/>
    </row>
    <row r="60" spans="2:61">
      <c r="X60" s="1001"/>
      <c r="Y60" s="1001"/>
      <c r="AB60" s="9"/>
      <c r="AE60" s="202"/>
      <c r="AF60" s="203"/>
    </row>
    <row r="61" spans="2:61">
      <c r="X61" s="1001"/>
      <c r="Y61" s="1001"/>
      <c r="AB61" s="9"/>
      <c r="AE61" s="202"/>
      <c r="AF61" s="203"/>
    </row>
    <row r="62" spans="2:61">
      <c r="X62" s="1001"/>
      <c r="Y62" s="1001"/>
      <c r="AB62" s="9"/>
      <c r="AE62" s="202"/>
      <c r="AF62" s="203"/>
    </row>
    <row r="63" spans="2:61" ht="18.75">
      <c r="B63" s="3" t="s">
        <v>764</v>
      </c>
      <c r="C63" s="297"/>
      <c r="D63" s="297"/>
      <c r="E63" s="297"/>
      <c r="F63" s="297"/>
      <c r="G63" s="297"/>
      <c r="H63" s="297"/>
      <c r="I63" s="297"/>
      <c r="N63" s="3" t="s">
        <v>887</v>
      </c>
      <c r="O63" s="297"/>
      <c r="P63" s="297"/>
      <c r="Q63" s="297"/>
      <c r="R63" s="297"/>
      <c r="S63" s="297"/>
      <c r="T63" s="297"/>
      <c r="U63" s="297"/>
      <c r="V63" s="297"/>
      <c r="W63" s="297"/>
      <c r="X63" s="1001"/>
      <c r="Y63" s="1001"/>
      <c r="AB63" s="9"/>
      <c r="AE63" s="202"/>
      <c r="AF63" s="203"/>
    </row>
    <row r="64" spans="2:61">
      <c r="X64" s="1001"/>
      <c r="AA64" s="9"/>
      <c r="AD64" s="202"/>
      <c r="AE64" s="203"/>
    </row>
    <row r="65" spans="2:31">
      <c r="B65" s="50" t="s">
        <v>106</v>
      </c>
      <c r="C65" s="163" t="str" cm="1">
        <f t="array" aca="1" ref="C65" ca="1">_xll.d.TestUtils_And(X73:X98)</f>
        <v>Ok</v>
      </c>
      <c r="X65" s="1001"/>
      <c r="AA65" s="9"/>
      <c r="AD65" s="202"/>
      <c r="AE65" s="203"/>
    </row>
    <row r="66" spans="2:31">
      <c r="X66" s="1001"/>
      <c r="AA66" s="9"/>
      <c r="AD66" s="202"/>
      <c r="AE66" s="203"/>
    </row>
    <row r="67" spans="2:31">
      <c r="N67" s="724" t="s">
        <v>766</v>
      </c>
      <c r="X67" s="1001"/>
      <c r="AD67" s="202"/>
      <c r="AE67" s="203"/>
    </row>
    <row r="68" spans="2:31">
      <c r="B68" s="55" t="s">
        <v>649</v>
      </c>
      <c r="C68" s="55"/>
      <c r="N68" s="55" t="s">
        <v>37</v>
      </c>
      <c r="O68" s="55"/>
      <c r="P68" s="55"/>
      <c r="X68" s="1001"/>
      <c r="AD68" s="202"/>
      <c r="AE68" s="203"/>
    </row>
    <row r="69" spans="2:31">
      <c r="B69" s="1073" t="str" cm="1">
        <f t="array" aca="1" ref="B69" ca="1">_xll.d.Curve_GetFxBasisAdjustedCurve(_xll.d.Excel_GetSheetName()&amp;"_USDZARGet","USDZAR",V20)</f>
        <v>@@FXCurveBootstrapping_USDZARGet::12:51:18</v>
      </c>
      <c r="C69" s="1078"/>
      <c r="E69" s="430" t="str" cm="1">
        <f t="array" aca="1" ref="E69:H100" ca="1">_xll.d.Curve_GetInstruments(B69)</f>
        <v>FX Forwards</v>
      </c>
      <c r="F69" s="430" t="str">
        <f ca="1"/>
        <v/>
      </c>
      <c r="G69" s="430" t="str">
        <f ca="1"/>
        <v/>
      </c>
      <c r="H69" s="430" t="str">
        <f ca="1"/>
        <v/>
      </c>
      <c r="N69" s="1018" t="str" cm="1">
        <f t="array" aca="1" ref="N69" ca="1">_xll.d.Curve_BootstrapFxBasisAdjustedCurve(_xll.d.Excel_GetSheetName()&amp;"_CustomIndices",N71:P78,N81:P89,N92:P100,N103:Q112,N115:Q128)</f>
        <v>@@FXCurveBootstrapping_CustomIndices::12:46:18</v>
      </c>
      <c r="O69" s="1019"/>
      <c r="P69" s="1020"/>
      <c r="X69" s="1001"/>
      <c r="AD69" s="202"/>
      <c r="AE69" s="203"/>
    </row>
    <row r="70" spans="2:31">
      <c r="E70" s="430" t="str">
        <f ca="1"/>
        <v>Tenors</v>
      </c>
      <c r="F70" s="430" t="str">
        <f ca="1"/>
        <v>ForwardPoints</v>
      </c>
      <c r="G70" s="430" t="str">
        <f ca="1"/>
        <v>FixingDays</v>
      </c>
      <c r="H70" s="430" t="str">
        <f ca="1"/>
        <v>Include</v>
      </c>
      <c r="X70" s="1001"/>
      <c r="AD70" s="202"/>
      <c r="AE70" s="203"/>
    </row>
    <row r="71" spans="2:31">
      <c r="E71" s="430" t="str">
        <f ca="1"/>
        <v>0D</v>
      </c>
      <c r="F71" s="430">
        <f ca="1"/>
        <v>1.2148000000000001E-2</v>
      </c>
      <c r="G71" s="430">
        <f ca="1"/>
        <v>2</v>
      </c>
      <c r="H71" s="430" t="str">
        <f ca="1"/>
        <v>TRUE</v>
      </c>
      <c r="N71" s="12" t="s">
        <v>47</v>
      </c>
      <c r="O71" s="13"/>
      <c r="P71" s="13"/>
      <c r="X71" s="1001"/>
      <c r="AD71" s="202"/>
      <c r="AE71" s="203"/>
    </row>
    <row r="72" spans="2:31">
      <c r="B72" s="143">
        <v>44286</v>
      </c>
      <c r="C72" s="430" cm="1">
        <f t="array" aca="1" ref="C72:C97" ca="1">_xll.d.Curve_GetDiscountFactors(B69,B72:B97)</f>
        <v>1</v>
      </c>
      <c r="E72" s="430" t="str">
        <f ca="1"/>
        <v>1D</v>
      </c>
      <c r="F72" s="430">
        <f ca="1"/>
        <v>2.15E-3</v>
      </c>
      <c r="G72" s="430">
        <f ca="1"/>
        <v>2</v>
      </c>
      <c r="H72" s="430" t="str">
        <f ca="1"/>
        <v>TRUE</v>
      </c>
      <c r="N72" s="61" t="s">
        <v>29</v>
      </c>
      <c r="O72" s="881" t="s">
        <v>30</v>
      </c>
      <c r="P72" s="881"/>
      <c r="X72" s="1001"/>
      <c r="AD72" s="202"/>
      <c r="AE72" s="203"/>
    </row>
    <row r="73" spans="2:31">
      <c r="B73" s="143">
        <v>44292</v>
      </c>
      <c r="C73" s="430">
        <f ca="1"/>
        <v>0.99924002132080258</v>
      </c>
      <c r="E73" s="430" t="str">
        <f ca="1"/>
        <v>2D</v>
      </c>
      <c r="F73" s="430">
        <f ca="1"/>
        <v>2.2000000000000001E-3</v>
      </c>
      <c r="G73" s="430">
        <f ca="1"/>
        <v>2</v>
      </c>
      <c r="H73" s="430" t="str">
        <f ca="1"/>
        <v>TRUE</v>
      </c>
      <c r="N73" s="951" t="s">
        <v>722</v>
      </c>
      <c r="O73" s="879">
        <v>44286</v>
      </c>
      <c r="P73" s="879"/>
      <c r="X73" s="1001"/>
      <c r="AD73" s="202"/>
      <c r="AE73" s="203"/>
    </row>
    <row r="74" spans="2:31">
      <c r="B74" s="143">
        <v>44293</v>
      </c>
      <c r="C74" s="430">
        <f ca="1"/>
        <v>0.99911341437186607</v>
      </c>
      <c r="E74" s="430" t="str">
        <f ca="1"/>
        <v>1W</v>
      </c>
      <c r="F74" s="430">
        <f ca="1"/>
        <v>1.5652000000000003E-2</v>
      </c>
      <c r="G74" s="430">
        <f ca="1"/>
        <v>2</v>
      </c>
      <c r="H74" s="430" t="str">
        <f ca="1"/>
        <v>TRUE</v>
      </c>
      <c r="N74" s="947" t="s">
        <v>719</v>
      </c>
      <c r="O74" s="907" t="str">
        <f ca="1">$B$16</f>
        <v>@@FXCurveBootstrapping_USDOIS::12:45:33</v>
      </c>
      <c r="P74" s="908"/>
      <c r="X74" s="1001"/>
      <c r="AD74" s="202"/>
      <c r="AE74" s="203"/>
    </row>
    <row r="75" spans="2:31">
      <c r="B75" s="143">
        <v>44299</v>
      </c>
      <c r="C75" s="430">
        <f ca="1"/>
        <v>0.9983541094788434</v>
      </c>
      <c r="E75" s="430" t="str">
        <f ca="1"/>
        <v>2W</v>
      </c>
      <c r="F75" s="430">
        <f ca="1"/>
        <v>2.8850000000000001E-2</v>
      </c>
      <c r="G75" s="430">
        <f ca="1"/>
        <v>2</v>
      </c>
      <c r="H75" s="430" t="str">
        <f ca="1"/>
        <v>TRUE</v>
      </c>
      <c r="N75" s="947" t="s">
        <v>714</v>
      </c>
      <c r="O75" s="907" t="str">
        <f ca="1">$F$16</f>
        <v>@@FXCurveBootstrapping_USDSWAP::12:45:42</v>
      </c>
      <c r="P75" s="908"/>
      <c r="X75" s="1001"/>
      <c r="AD75" s="202"/>
      <c r="AE75" s="203"/>
    </row>
    <row r="76" spans="2:31">
      <c r="B76" s="143">
        <v>44306</v>
      </c>
      <c r="C76" s="430">
        <f ca="1"/>
        <v>0.997468983073591</v>
      </c>
      <c r="E76" s="430" t="str">
        <f ca="1"/>
        <v>3W</v>
      </c>
      <c r="F76" s="430">
        <f ca="1"/>
        <v>4.4911E-2</v>
      </c>
      <c r="G76" s="430">
        <f ca="1"/>
        <v>2</v>
      </c>
      <c r="H76" s="430" t="str">
        <f ca="1"/>
        <v>TRUE</v>
      </c>
      <c r="N76" s="947" t="s">
        <v>717</v>
      </c>
      <c r="O76" s="907" t="str">
        <f ca="1">$J$16</f>
        <v>@@FXCurveBootstrapping_ZAR::12:45:44</v>
      </c>
      <c r="P76" s="908"/>
      <c r="X76" s="1001"/>
      <c r="AD76" s="202"/>
      <c r="AE76" s="203"/>
    </row>
    <row r="77" spans="2:31">
      <c r="B77" s="143">
        <v>44314</v>
      </c>
      <c r="C77" s="430">
        <f ca="1"/>
        <v>0.99645837090499234</v>
      </c>
      <c r="E77" s="430" t="str">
        <f ca="1"/>
        <v>1M</v>
      </c>
      <c r="F77" s="430">
        <f ca="1"/>
        <v>6.0610999999999998E-2</v>
      </c>
      <c r="G77" s="430">
        <f ca="1"/>
        <v>2</v>
      </c>
      <c r="H77" s="430" t="str">
        <f ca="1"/>
        <v>TRUE</v>
      </c>
      <c r="N77" s="947" t="s">
        <v>718</v>
      </c>
      <c r="O77" s="909">
        <v>14.77675</v>
      </c>
      <c r="P77" s="908"/>
      <c r="X77" s="1001"/>
      <c r="AD77" s="202"/>
      <c r="AE77" s="203"/>
    </row>
    <row r="78" spans="2:31">
      <c r="B78" s="143">
        <v>44322</v>
      </c>
      <c r="C78" s="430">
        <f ca="1"/>
        <v>0.99544878266492931</v>
      </c>
      <c r="E78" s="430" t="str">
        <f ca="1"/>
        <v>2M</v>
      </c>
      <c r="F78" s="430">
        <f ca="1"/>
        <v>0.121741</v>
      </c>
      <c r="G78" s="430">
        <f ca="1"/>
        <v>2</v>
      </c>
      <c r="H78" s="430" t="str">
        <f ca="1"/>
        <v>TRUE</v>
      </c>
      <c r="N78" s="142" t="s">
        <v>43</v>
      </c>
      <c r="O78" s="1111" t="s">
        <v>662</v>
      </c>
      <c r="P78" s="1112"/>
      <c r="X78" s="1001"/>
      <c r="AD78" s="202"/>
      <c r="AE78" s="203"/>
    </row>
    <row r="79" spans="2:31">
      <c r="B79" s="143">
        <v>44354</v>
      </c>
      <c r="C79" s="430">
        <f ca="1"/>
        <v>0.99142064825738785</v>
      </c>
      <c r="E79" s="430" t="str">
        <f ca="1"/>
        <v>3M</v>
      </c>
      <c r="F79" s="430">
        <f ca="1"/>
        <v>0.17782999999999999</v>
      </c>
      <c r="G79" s="430">
        <f ca="1"/>
        <v>2</v>
      </c>
      <c r="H79" s="430" t="str">
        <f ca="1"/>
        <v>TRUE</v>
      </c>
      <c r="X79" s="1001"/>
      <c r="AD79" s="202"/>
      <c r="AE79" s="203"/>
    </row>
    <row r="80" spans="2:31">
      <c r="B80" s="143">
        <v>44383</v>
      </c>
      <c r="C80" s="430">
        <f ca="1"/>
        <v>0.9877842327211197</v>
      </c>
      <c r="E80" s="430" t="str">
        <f ca="1"/>
        <v>4M</v>
      </c>
      <c r="F80" s="430">
        <f ca="1"/>
        <v>0.23680999999999999</v>
      </c>
      <c r="G80" s="430">
        <f ca="1"/>
        <v>2</v>
      </c>
      <c r="H80" s="430" t="str">
        <f ca="1"/>
        <v>TRUE</v>
      </c>
      <c r="X80" s="1001"/>
      <c r="AD80" s="202"/>
      <c r="AE80" s="203"/>
    </row>
    <row r="81" spans="2:31">
      <c r="B81" s="143">
        <v>44414</v>
      </c>
      <c r="C81" s="430">
        <f ca="1"/>
        <v>0.98391177811774888</v>
      </c>
      <c r="E81" s="430" t="str">
        <f ca="1"/>
        <v>5M</v>
      </c>
      <c r="F81" s="430">
        <f ca="1"/>
        <v>0.29763049999999996</v>
      </c>
      <c r="G81" s="430">
        <f ca="1"/>
        <v>2</v>
      </c>
      <c r="H81" s="430" t="str">
        <f ca="1"/>
        <v>TRUE</v>
      </c>
      <c r="N81" s="12" t="s">
        <v>884</v>
      </c>
      <c r="O81" s="13"/>
      <c r="P81" s="13"/>
      <c r="X81" s="1001"/>
      <c r="AD81" s="202"/>
      <c r="AE81" s="203"/>
    </row>
    <row r="82" spans="2:31">
      <c r="B82" s="143">
        <v>44446</v>
      </c>
      <c r="C82" s="430">
        <f ca="1"/>
        <v>0.97993032878912434</v>
      </c>
      <c r="E82" s="430" t="str">
        <f ca="1"/>
        <v>6M</v>
      </c>
      <c r="F82" s="430">
        <f ca="1"/>
        <v>0.35265999999999997</v>
      </c>
      <c r="G82" s="430">
        <f ca="1"/>
        <v>2</v>
      </c>
      <c r="H82" s="430" t="str">
        <f ca="1"/>
        <v>TRUE</v>
      </c>
      <c r="N82" s="61" t="s">
        <v>29</v>
      </c>
      <c r="O82" s="881" t="s">
        <v>30</v>
      </c>
      <c r="P82" s="881"/>
      <c r="X82" s="1001"/>
      <c r="AD82" s="202"/>
      <c r="AE82" s="203"/>
    </row>
    <row r="83" spans="2:31">
      <c r="B83" s="143">
        <v>44475</v>
      </c>
      <c r="C83" s="430">
        <f ca="1"/>
        <v>0.97633605840719051</v>
      </c>
      <c r="E83" s="430" t="str">
        <f ca="1"/>
        <v>9M</v>
      </c>
      <c r="F83" s="430">
        <f ca="1"/>
        <v>0.52734999999999999</v>
      </c>
      <c r="G83" s="430">
        <f ca="1"/>
        <v>2</v>
      </c>
      <c r="H83" s="430" t="str">
        <f ca="1"/>
        <v>TRUE</v>
      </c>
      <c r="N83" s="1080" t="s">
        <v>881</v>
      </c>
      <c r="O83" s="1087" t="s">
        <v>886</v>
      </c>
      <c r="P83" s="879"/>
      <c r="X83" s="1001"/>
      <c r="AD83" s="202"/>
      <c r="AE83" s="203"/>
    </row>
    <row r="84" spans="2:31">
      <c r="B84" s="143">
        <v>44567</v>
      </c>
      <c r="C84" s="430">
        <f ca="1"/>
        <v>0.9650205655947276</v>
      </c>
      <c r="E84" s="430" t="str">
        <f ca="1"/>
        <v>1Y</v>
      </c>
      <c r="F84" s="430">
        <f ca="1"/>
        <v>0.69855</v>
      </c>
      <c r="G84" s="430">
        <f ca="1"/>
        <v>2</v>
      </c>
      <c r="H84" s="430" t="str">
        <f ca="1"/>
        <v>TRUE</v>
      </c>
      <c r="N84" s="1082" t="s">
        <v>22</v>
      </c>
      <c r="O84" s="1079" t="s">
        <v>24</v>
      </c>
      <c r="P84" s="1079"/>
      <c r="X84" s="1001"/>
      <c r="AD84" s="202"/>
      <c r="AE84" s="203"/>
    </row>
    <row r="85" spans="2:31">
      <c r="B85" s="143">
        <v>44657</v>
      </c>
      <c r="C85" s="430">
        <f ca="1"/>
        <v>0.95407797076308665</v>
      </c>
      <c r="E85" s="430" t="str">
        <f ca="1"/>
        <v/>
      </c>
      <c r="F85" s="430" t="str">
        <f ca="1"/>
        <v/>
      </c>
      <c r="G85" s="430" t="str">
        <f ca="1"/>
        <v/>
      </c>
      <c r="H85" s="430" t="str">
        <f ca="1"/>
        <v/>
      </c>
      <c r="N85" s="1082" t="s">
        <v>744</v>
      </c>
      <c r="O85" s="1086">
        <v>2</v>
      </c>
      <c r="P85" s="1079"/>
      <c r="X85" s="1001"/>
      <c r="AE85" s="203"/>
    </row>
    <row r="86" spans="2:31">
      <c r="B86" s="143">
        <v>45019</v>
      </c>
      <c r="C86" s="430">
        <f ca="1"/>
        <v>0.90565874472860708</v>
      </c>
      <c r="E86" s="430" t="str">
        <f ca="1"/>
        <v>Cross Currency Swaps</v>
      </c>
      <c r="F86" s="430" t="str">
        <f ca="1"/>
        <v/>
      </c>
      <c r="G86" s="430" t="str">
        <f ca="1"/>
        <v/>
      </c>
      <c r="H86" s="430" t="str">
        <f ca="1"/>
        <v/>
      </c>
      <c r="N86" s="1082" t="s">
        <v>867</v>
      </c>
      <c r="O86" s="1088" t="s">
        <v>309</v>
      </c>
      <c r="P86" s="1079"/>
      <c r="X86" s="1001"/>
      <c r="AE86" s="203"/>
    </row>
    <row r="87" spans="2:31">
      <c r="B87" s="143">
        <v>45384</v>
      </c>
      <c r="C87" s="430">
        <f ca="1"/>
        <v>0.85268598065906986</v>
      </c>
      <c r="E87" s="430" t="str">
        <f ca="1"/>
        <v>Tenors</v>
      </c>
      <c r="F87" s="430" t="str">
        <f ca="1"/>
        <v>BasisSpreads</v>
      </c>
      <c r="G87" s="430" t="str">
        <f ca="1"/>
        <v>FixingDays</v>
      </c>
      <c r="H87" s="430" t="str">
        <f ca="1"/>
        <v>Include</v>
      </c>
      <c r="N87" s="1082" t="s">
        <v>57</v>
      </c>
      <c r="O87" s="1088" t="s">
        <v>309</v>
      </c>
      <c r="P87" s="1079"/>
      <c r="X87" s="1001"/>
      <c r="AE87" s="203"/>
    </row>
    <row r="88" spans="2:31">
      <c r="B88" s="143">
        <v>45748</v>
      </c>
      <c r="C88" s="430">
        <f ca="1"/>
        <v>0.79565843548980231</v>
      </c>
      <c r="E88" s="430" t="str">
        <f ca="1"/>
        <v>1Y</v>
      </c>
      <c r="F88" s="430">
        <f ca="1"/>
        <v>9.1000000000000004E-3</v>
      </c>
      <c r="G88" s="430">
        <f ca="1"/>
        <v>2</v>
      </c>
      <c r="H88" s="430" t="str">
        <f ca="1"/>
        <v>TRUE</v>
      </c>
      <c r="N88" s="1082" t="s">
        <v>202</v>
      </c>
      <c r="O88" s="1079" t="s">
        <v>233</v>
      </c>
      <c r="P88" s="1079"/>
      <c r="X88" s="1001"/>
      <c r="AE88" s="203"/>
    </row>
    <row r="89" spans="2:31">
      <c r="B89" s="143">
        <v>46113</v>
      </c>
      <c r="C89" s="430">
        <f ca="1"/>
        <v>0.73513657710357483</v>
      </c>
      <c r="E89" s="430" t="str">
        <f ca="1"/>
        <v>2Y</v>
      </c>
      <c r="F89" s="430">
        <f ca="1"/>
        <v>6.8999999999999999E-3</v>
      </c>
      <c r="G89" s="430">
        <f ca="1"/>
        <v>2</v>
      </c>
      <c r="H89" s="430" t="str">
        <f ca="1"/>
        <v>TRUE</v>
      </c>
      <c r="N89" s="1083" t="s">
        <v>653</v>
      </c>
      <c r="O89" s="1089" t="s">
        <v>241</v>
      </c>
      <c r="P89" s="1085"/>
      <c r="X89" s="998"/>
      <c r="AE89" s="203"/>
    </row>
    <row r="90" spans="2:31">
      <c r="B90" s="143">
        <v>46478</v>
      </c>
      <c r="C90" s="430">
        <f ca="1"/>
        <v>0.67474055179997072</v>
      </c>
      <c r="E90" s="430" t="str">
        <f ca="1"/>
        <v>3Y</v>
      </c>
      <c r="F90" s="430">
        <f ca="1"/>
        <v>5.7000000000000002E-3</v>
      </c>
      <c r="G90" s="430">
        <f ca="1"/>
        <v>2</v>
      </c>
      <c r="H90" s="430" t="str">
        <f ca="1"/>
        <v>TRUE</v>
      </c>
      <c r="X90" s="998"/>
      <c r="AE90" s="203"/>
    </row>
    <row r="91" spans="2:31">
      <c r="B91" s="143">
        <v>46846</v>
      </c>
      <c r="C91" s="430">
        <f ca="1"/>
        <v>0.61609815128441314</v>
      </c>
      <c r="E91" s="430" t="str">
        <f ca="1"/>
        <v>4Y</v>
      </c>
      <c r="F91" s="430">
        <f ca="1"/>
        <v>4.5999999999999999E-3</v>
      </c>
      <c r="G91" s="430">
        <f ca="1"/>
        <v>2</v>
      </c>
      <c r="H91" s="430" t="str">
        <f ca="1"/>
        <v>TRUE</v>
      </c>
      <c r="AE91" s="203"/>
    </row>
    <row r="92" spans="2:31">
      <c r="B92" s="143">
        <v>47211</v>
      </c>
      <c r="C92" s="430">
        <f ca="1"/>
        <v>0.55972360697776391</v>
      </c>
      <c r="E92" s="430" t="str">
        <f ca="1"/>
        <v>5Y</v>
      </c>
      <c r="F92" s="430">
        <f ca="1"/>
        <v>3.8E-3</v>
      </c>
      <c r="G92" s="430">
        <f ca="1"/>
        <v>2</v>
      </c>
      <c r="H92" s="430" t="str">
        <f ca="1"/>
        <v>TRUE</v>
      </c>
      <c r="N92" s="12" t="s">
        <v>883</v>
      </c>
      <c r="O92" s="13"/>
      <c r="P92" s="13"/>
      <c r="AE92" s="203"/>
    </row>
    <row r="93" spans="2:31">
      <c r="B93" s="143">
        <v>47574</v>
      </c>
      <c r="C93" s="430">
        <f ca="1"/>
        <v>0.50846647560374392</v>
      </c>
      <c r="E93" s="430" t="str">
        <f ca="1"/>
        <v>6Y</v>
      </c>
      <c r="F93" s="430">
        <f ca="1"/>
        <v>3.0000000000000001E-3</v>
      </c>
      <c r="G93" s="430">
        <f ca="1"/>
        <v>2</v>
      </c>
      <c r="H93" s="430" t="str">
        <f ca="1"/>
        <v>TRUE</v>
      </c>
      <c r="N93" s="61" t="s">
        <v>29</v>
      </c>
      <c r="O93" s="881" t="s">
        <v>30</v>
      </c>
      <c r="P93" s="881"/>
      <c r="AE93" s="203"/>
    </row>
    <row r="94" spans="2:31">
      <c r="B94" s="143">
        <v>47939</v>
      </c>
      <c r="C94" s="430">
        <f ca="1"/>
        <v>0.46115201588418159</v>
      </c>
      <c r="E94" s="430" t="str">
        <f ca="1"/>
        <v>7Y</v>
      </c>
      <c r="F94" s="430">
        <f ca="1"/>
        <v>2.3E-3</v>
      </c>
      <c r="G94" s="430">
        <f ca="1"/>
        <v>2</v>
      </c>
      <c r="H94" s="430" t="str">
        <f ca="1"/>
        <v>TRUE</v>
      </c>
      <c r="N94" s="1080" t="s">
        <v>881</v>
      </c>
      <c r="O94" s="1087" t="s">
        <v>885</v>
      </c>
      <c r="P94" s="879"/>
      <c r="AE94" s="203"/>
    </row>
    <row r="95" spans="2:31">
      <c r="B95" s="143">
        <v>48670</v>
      </c>
      <c r="C95" s="430">
        <f ca="1"/>
        <v>0.37347995636948184</v>
      </c>
      <c r="E95" s="430" t="str">
        <f ca="1"/>
        <v>8Y</v>
      </c>
      <c r="F95" s="430">
        <f ca="1"/>
        <v>1.6999999999999999E-3</v>
      </c>
      <c r="G95" s="430">
        <f ca="1"/>
        <v>2</v>
      </c>
      <c r="H95" s="430" t="str">
        <f ca="1"/>
        <v>TRUE</v>
      </c>
      <c r="N95" s="1082" t="s">
        <v>22</v>
      </c>
      <c r="O95" s="1079" t="s">
        <v>24</v>
      </c>
      <c r="P95" s="1079"/>
      <c r="AE95" s="203"/>
    </row>
    <row r="96" spans="2:31">
      <c r="B96" s="143">
        <v>49766</v>
      </c>
      <c r="C96" s="430">
        <f ca="1"/>
        <v>0.27546663884096406</v>
      </c>
      <c r="E96" s="430" t="str">
        <f ca="1"/>
        <v>9Y</v>
      </c>
      <c r="F96" s="430">
        <f ca="1"/>
        <v>1.1000000000000001E-3</v>
      </c>
      <c r="G96" s="430">
        <f ca="1"/>
        <v>2</v>
      </c>
      <c r="H96" s="430" t="str">
        <f ca="1"/>
        <v>TRUE</v>
      </c>
      <c r="N96" s="1082" t="s">
        <v>744</v>
      </c>
      <c r="O96" s="1086">
        <v>2</v>
      </c>
      <c r="P96" s="1079"/>
      <c r="W96" s="1001"/>
      <c r="AE96" s="203"/>
    </row>
    <row r="97" spans="2:31">
      <c r="B97" s="143">
        <v>51592</v>
      </c>
      <c r="C97" s="430">
        <f ca="1"/>
        <v>0.17734199830079234</v>
      </c>
      <c r="E97" s="430" t="str">
        <f ca="1"/>
        <v>10Y</v>
      </c>
      <c r="F97" s="430">
        <f ca="1"/>
        <v>5.9999999999999995E-4</v>
      </c>
      <c r="G97" s="430">
        <f ca="1"/>
        <v>2</v>
      </c>
      <c r="H97" s="430" t="str">
        <f ca="1"/>
        <v>TRUE</v>
      </c>
      <c r="N97" s="1082" t="s">
        <v>867</v>
      </c>
      <c r="O97" s="1088" t="s">
        <v>54</v>
      </c>
      <c r="P97" s="1079"/>
      <c r="W97" s="1001"/>
      <c r="AE97" s="203"/>
    </row>
    <row r="98" spans="2:31">
      <c r="E98" s="430" t="str">
        <f ca="1"/>
        <v>12Y</v>
      </c>
      <c r="F98" s="430">
        <f ca="1"/>
        <v>0</v>
      </c>
      <c r="G98" s="430">
        <f ca="1"/>
        <v>2</v>
      </c>
      <c r="H98" s="430" t="str">
        <f ca="1"/>
        <v>TRUE</v>
      </c>
      <c r="N98" s="1082" t="s">
        <v>57</v>
      </c>
      <c r="O98" s="1088" t="s">
        <v>54</v>
      </c>
      <c r="P98" s="1079"/>
      <c r="W98" s="1001"/>
      <c r="AE98" s="203"/>
    </row>
    <row r="99" spans="2:31">
      <c r="E99" s="430" t="str">
        <f ca="1"/>
        <v>15Y</v>
      </c>
      <c r="F99" s="430">
        <f ca="1"/>
        <v>-8.0000000000000004E-4</v>
      </c>
      <c r="G99" s="430">
        <f ca="1"/>
        <v>2</v>
      </c>
      <c r="H99" s="430" t="str">
        <f ca="1"/>
        <v>TRUE</v>
      </c>
      <c r="N99" s="1082" t="s">
        <v>202</v>
      </c>
      <c r="O99" s="1079" t="s">
        <v>233</v>
      </c>
      <c r="P99" s="1079"/>
      <c r="W99" s="1001"/>
      <c r="AE99" s="203"/>
    </row>
    <row r="100" spans="2:31">
      <c r="E100" s="430" t="str">
        <f ca="1"/>
        <v>20Y</v>
      </c>
      <c r="F100" s="430">
        <f ca="1"/>
        <v>-2.3500000000000001E-3</v>
      </c>
      <c r="G100" s="430">
        <f ca="1"/>
        <v>2</v>
      </c>
      <c r="H100" s="430" t="str">
        <f ca="1"/>
        <v>TRUE</v>
      </c>
      <c r="N100" s="1083" t="s">
        <v>653</v>
      </c>
      <c r="O100" s="1084" t="s">
        <v>244</v>
      </c>
      <c r="P100" s="1085"/>
      <c r="W100" s="1001"/>
      <c r="AE100" s="203"/>
    </row>
    <row r="101" spans="2:31">
      <c r="W101" s="1001"/>
      <c r="AE101" s="203"/>
    </row>
    <row r="102" spans="2:31">
      <c r="W102" s="1001"/>
      <c r="AE102" s="203"/>
    </row>
    <row r="103" spans="2:31">
      <c r="N103" s="12" t="s">
        <v>733</v>
      </c>
      <c r="O103" s="27"/>
      <c r="P103" s="27"/>
      <c r="Q103" s="13"/>
      <c r="W103" s="1001"/>
      <c r="AE103" s="203"/>
    </row>
    <row r="104" spans="2:31">
      <c r="N104" s="61" t="s">
        <v>35</v>
      </c>
      <c r="O104" s="495" t="s">
        <v>759</v>
      </c>
      <c r="P104" s="910" t="s">
        <v>760</v>
      </c>
      <c r="Q104" s="63" t="s">
        <v>42</v>
      </c>
      <c r="AE104" s="203"/>
    </row>
    <row r="105" spans="2:31">
      <c r="N105" s="952" t="s">
        <v>607</v>
      </c>
      <c r="O105" s="965">
        <v>6.0600000000000001E-2</v>
      </c>
      <c r="P105" s="911">
        <v>2</v>
      </c>
      <c r="Q105" s="247" t="b">
        <v>1</v>
      </c>
      <c r="AE105" s="203"/>
    </row>
    <row r="106" spans="2:31">
      <c r="N106" s="943" t="s">
        <v>610</v>
      </c>
      <c r="O106" s="966">
        <v>0.1217410000000001</v>
      </c>
      <c r="P106" s="912">
        <v>2</v>
      </c>
      <c r="Q106" s="249" t="b">
        <v>1</v>
      </c>
      <c r="AE106" s="203"/>
    </row>
    <row r="107" spans="2:31">
      <c r="N107" s="943" t="s">
        <v>611</v>
      </c>
      <c r="O107" s="966">
        <v>0.17783000000000015</v>
      </c>
      <c r="P107" s="912">
        <v>2</v>
      </c>
      <c r="Q107" s="249" t="b">
        <v>1</v>
      </c>
      <c r="AE107" s="203"/>
    </row>
    <row r="108" spans="2:31">
      <c r="N108" s="943" t="s">
        <v>708</v>
      </c>
      <c r="O108" s="966">
        <v>0.23681000000000016</v>
      </c>
      <c r="P108" s="912">
        <v>2</v>
      </c>
      <c r="Q108" s="249" t="b">
        <v>1</v>
      </c>
      <c r="AE108" s="203"/>
    </row>
    <row r="109" spans="2:31">
      <c r="N109" s="943" t="s">
        <v>709</v>
      </c>
      <c r="O109" s="966">
        <v>0.29763050000000035</v>
      </c>
      <c r="P109" s="912">
        <v>2</v>
      </c>
      <c r="Q109" s="249" t="b">
        <v>1</v>
      </c>
      <c r="AE109" s="203"/>
    </row>
    <row r="110" spans="2:31">
      <c r="N110" s="943" t="s">
        <v>612</v>
      </c>
      <c r="O110" s="966">
        <v>0.3526600000000002</v>
      </c>
      <c r="P110" s="912">
        <v>2</v>
      </c>
      <c r="Q110" s="249" t="b">
        <v>1</v>
      </c>
      <c r="AE110" s="203"/>
    </row>
    <row r="111" spans="2:31">
      <c r="N111" s="943" t="s">
        <v>647</v>
      </c>
      <c r="O111" s="966">
        <v>0.52735000000000021</v>
      </c>
      <c r="P111" s="912">
        <v>2</v>
      </c>
      <c r="Q111" s="249" t="b">
        <v>1</v>
      </c>
      <c r="AE111" s="203"/>
    </row>
    <row r="112" spans="2:31">
      <c r="N112" s="944" t="s">
        <v>613</v>
      </c>
      <c r="O112" s="967">
        <v>0.69855000000000089</v>
      </c>
      <c r="P112" s="913">
        <v>2</v>
      </c>
      <c r="Q112" s="252" t="b">
        <v>1</v>
      </c>
      <c r="AE112" s="203"/>
    </row>
    <row r="113" spans="14:31">
      <c r="AE113" s="203"/>
    </row>
    <row r="114" spans="14:31">
      <c r="AD114" s="202"/>
      <c r="AE114" s="203"/>
    </row>
    <row r="115" spans="14:31">
      <c r="N115" s="12" t="s">
        <v>683</v>
      </c>
      <c r="O115" s="27"/>
      <c r="P115" s="27"/>
      <c r="Q115" s="13"/>
      <c r="AD115" s="202"/>
      <c r="AE115" s="203"/>
    </row>
    <row r="116" spans="14:31">
      <c r="N116" s="61" t="s">
        <v>35</v>
      </c>
      <c r="O116" s="62" t="s">
        <v>761</v>
      </c>
      <c r="P116" s="910" t="s">
        <v>760</v>
      </c>
      <c r="Q116" s="63" t="s">
        <v>42</v>
      </c>
      <c r="AD116" s="202"/>
      <c r="AE116" s="203"/>
    </row>
    <row r="117" spans="14:31">
      <c r="N117" s="914" t="s">
        <v>616</v>
      </c>
      <c r="O117" s="698">
        <f ca="1">69/10000</f>
        <v>6.8999999999999999E-3</v>
      </c>
      <c r="P117" s="911">
        <v>2</v>
      </c>
      <c r="Q117" s="247" t="b">
        <v>1</v>
      </c>
      <c r="AD117" s="202"/>
      <c r="AE117" s="203"/>
    </row>
    <row r="118" spans="14:31">
      <c r="N118" s="915" t="s">
        <v>629</v>
      </c>
      <c r="O118" s="699">
        <v>5.7000000000000002E-3</v>
      </c>
      <c r="P118" s="912">
        <v>2</v>
      </c>
      <c r="Q118" s="249" t="b">
        <v>1</v>
      </c>
      <c r="AD118" s="202"/>
      <c r="AE118" s="203"/>
    </row>
    <row r="119" spans="14:31">
      <c r="N119" s="915" t="s">
        <v>630</v>
      </c>
      <c r="O119" s="699">
        <f ca="1">46/10000</f>
        <v>4.5999999999999999E-3</v>
      </c>
      <c r="P119" s="912">
        <v>2</v>
      </c>
      <c r="Q119" s="249" t="b">
        <v>1</v>
      </c>
      <c r="AD119" s="202"/>
      <c r="AE119" s="203"/>
    </row>
    <row r="120" spans="14:31">
      <c r="N120" s="915" t="s">
        <v>631</v>
      </c>
      <c r="O120" s="699">
        <v>3.8E-3</v>
      </c>
      <c r="P120" s="912">
        <v>2</v>
      </c>
      <c r="Q120" s="249" t="b">
        <v>1</v>
      </c>
      <c r="AD120" s="202"/>
      <c r="AE120" s="203"/>
    </row>
    <row r="121" spans="14:31">
      <c r="N121" s="915" t="s">
        <v>632</v>
      </c>
      <c r="O121" s="699">
        <v>3.0000000000000001E-3</v>
      </c>
      <c r="P121" s="912">
        <v>2</v>
      </c>
      <c r="Q121" s="249" t="b">
        <v>1</v>
      </c>
      <c r="AD121" s="202"/>
      <c r="AE121" s="203"/>
    </row>
    <row r="122" spans="14:31">
      <c r="N122" s="915" t="s">
        <v>633</v>
      </c>
      <c r="O122" s="699">
        <v>2.3E-3</v>
      </c>
      <c r="P122" s="912">
        <v>2</v>
      </c>
      <c r="Q122" s="249" t="b">
        <v>1</v>
      </c>
      <c r="AD122" s="202"/>
      <c r="AE122" s="203"/>
    </row>
    <row r="123" spans="14:31">
      <c r="N123" s="915" t="s">
        <v>634</v>
      </c>
      <c r="O123" s="699">
        <v>1.6999999999999999E-3</v>
      </c>
      <c r="P123" s="912">
        <v>2</v>
      </c>
      <c r="Q123" s="249" t="b">
        <v>1</v>
      </c>
      <c r="AD123" s="202"/>
      <c r="AE123" s="203"/>
    </row>
    <row r="124" spans="14:31">
      <c r="N124" s="915" t="s">
        <v>635</v>
      </c>
      <c r="O124" s="699">
        <v>1.1000000000000001E-3</v>
      </c>
      <c r="P124" s="912">
        <v>2</v>
      </c>
      <c r="Q124" s="249" t="b">
        <v>1</v>
      </c>
      <c r="AD124" s="202"/>
      <c r="AE124" s="203"/>
    </row>
    <row r="125" spans="14:31">
      <c r="N125" s="915" t="s">
        <v>636</v>
      </c>
      <c r="O125" s="699">
        <v>5.9999999999999995E-4</v>
      </c>
      <c r="P125" s="912">
        <v>2</v>
      </c>
      <c r="Q125" s="249" t="b">
        <v>1</v>
      </c>
      <c r="AD125" s="202"/>
      <c r="AE125" s="203"/>
    </row>
    <row r="126" spans="14:31">
      <c r="N126" s="915" t="s">
        <v>637</v>
      </c>
      <c r="O126" s="699">
        <v>0</v>
      </c>
      <c r="P126" s="912">
        <v>2</v>
      </c>
      <c r="Q126" s="249" t="b">
        <v>1</v>
      </c>
      <c r="AD126" s="202"/>
      <c r="AE126" s="203"/>
    </row>
    <row r="127" spans="14:31">
      <c r="N127" s="915" t="s">
        <v>638</v>
      </c>
      <c r="O127" s="699">
        <v>-8.0000000000000004E-4</v>
      </c>
      <c r="P127" s="912">
        <v>2</v>
      </c>
      <c r="Q127" s="249" t="b">
        <v>1</v>
      </c>
      <c r="AD127" s="202"/>
      <c r="AE127" s="203"/>
    </row>
    <row r="128" spans="14:31">
      <c r="N128" s="916" t="s">
        <v>639</v>
      </c>
      <c r="O128" s="700">
        <v>-2.3500000000000001E-3</v>
      </c>
      <c r="P128" s="913">
        <v>2</v>
      </c>
      <c r="Q128" s="252" t="b">
        <v>1</v>
      </c>
      <c r="AD128" s="202"/>
      <c r="AE128" s="203"/>
    </row>
    <row r="129" spans="27:31">
      <c r="AD129" s="202"/>
      <c r="AE129" s="203"/>
    </row>
    <row r="130" spans="27:31">
      <c r="AD130" s="202"/>
      <c r="AE130" s="203"/>
    </row>
    <row r="131" spans="27:31">
      <c r="AD131" s="202"/>
      <c r="AE131" s="203"/>
    </row>
    <row r="132" spans="27:31">
      <c r="AD132" s="202"/>
      <c r="AE132" s="203"/>
    </row>
    <row r="133" spans="27:31">
      <c r="AD133" s="202"/>
      <c r="AE133" s="203"/>
    </row>
    <row r="134" spans="27:31">
      <c r="AD134" s="202"/>
      <c r="AE134" s="203"/>
    </row>
    <row r="135" spans="27:31">
      <c r="AD135" s="202"/>
      <c r="AE135" s="203"/>
    </row>
    <row r="136" spans="27:31">
      <c r="AD136" s="202"/>
      <c r="AE136" s="203"/>
    </row>
    <row r="137" spans="27:31">
      <c r="AD137" s="202"/>
      <c r="AE137" s="203"/>
    </row>
    <row r="138" spans="27:31">
      <c r="AD138" s="202"/>
      <c r="AE138" s="203"/>
    </row>
    <row r="139" spans="27:31">
      <c r="AD139" s="202"/>
      <c r="AE139" s="203"/>
    </row>
    <row r="140" spans="27:31">
      <c r="AD140" s="202"/>
      <c r="AE140" s="203"/>
    </row>
    <row r="141" spans="27:31">
      <c r="AD141" s="202"/>
      <c r="AE141" s="203"/>
    </row>
    <row r="142" spans="27:31">
      <c r="AA142" s="457"/>
      <c r="AD142" s="202"/>
      <c r="AE142" s="203"/>
    </row>
    <row r="143" spans="27:31">
      <c r="AA143" s="457"/>
      <c r="AD143" s="202"/>
      <c r="AE143" s="203"/>
    </row>
    <row r="144" spans="27:31">
      <c r="AA144" s="457"/>
      <c r="AD144" s="202"/>
      <c r="AE144" s="203"/>
    </row>
    <row r="145" spans="19:31">
      <c r="AA145" s="457"/>
      <c r="AD145" s="202"/>
      <c r="AE145" s="203"/>
    </row>
    <row r="146" spans="19:31">
      <c r="AA146" s="457"/>
    </row>
    <row r="147" spans="19:31">
      <c r="AA147" s="457"/>
    </row>
    <row r="148" spans="19:31">
      <c r="X148" s="998"/>
      <c r="AA148" s="457"/>
    </row>
    <row r="149" spans="19:31">
      <c r="X149" s="998"/>
    </row>
    <row r="150" spans="19:31">
      <c r="X150" s="998"/>
    </row>
    <row r="151" spans="19:31">
      <c r="X151" s="998"/>
    </row>
    <row r="152" spans="19:31">
      <c r="X152" s="998"/>
    </row>
    <row r="153" spans="19:31">
      <c r="X153" s="998"/>
    </row>
    <row r="154" spans="19:31">
      <c r="X154" s="998"/>
    </row>
    <row r="155" spans="19:31">
      <c r="S155" s="997"/>
      <c r="X155" s="998"/>
    </row>
    <row r="161" spans="21:47">
      <c r="U161" s="8"/>
    </row>
    <row r="162" spans="21:47">
      <c r="W162" s="864"/>
    </row>
    <row r="169" spans="21:47">
      <c r="AO169" s="593"/>
      <c r="AP169" s="593"/>
      <c r="AQ169" s="593"/>
      <c r="AT169" s="593"/>
    </row>
    <row r="170" spans="21:47">
      <c r="AP170" s="593"/>
      <c r="AQ170" s="593"/>
      <c r="AR170" s="593"/>
      <c r="AU170" s="593"/>
    </row>
    <row r="171" spans="21:47">
      <c r="AP171" s="593"/>
      <c r="AQ171" s="593"/>
      <c r="AR171" s="593"/>
      <c r="AU171" s="593"/>
    </row>
  </sheetData>
  <mergeCells count="20">
    <mergeCell ref="O78:P78"/>
    <mergeCell ref="O21:P21"/>
    <mergeCell ref="O29:P29"/>
    <mergeCell ref="C22:D22"/>
    <mergeCell ref="G22:H22"/>
    <mergeCell ref="S21:T21"/>
    <mergeCell ref="AH21:AI21"/>
    <mergeCell ref="AH25:AI25"/>
    <mergeCell ref="AH29:AI29"/>
    <mergeCell ref="AP22:AQ22"/>
    <mergeCell ref="AP26:AQ26"/>
    <mergeCell ref="AP29:AQ29"/>
    <mergeCell ref="BG33:BH33"/>
    <mergeCell ref="K22:L22"/>
    <mergeCell ref="O25:P25"/>
    <mergeCell ref="AX22:AY22"/>
    <mergeCell ref="AX26:AY26"/>
    <mergeCell ref="AX30:AY30"/>
    <mergeCell ref="BG25:BH25"/>
    <mergeCell ref="BG29:BH29"/>
  </mergeCells>
  <conditionalFormatting sqref="E7 Z48:AA50 AD86:AD111 Y16:AD16 V20:Y20 V15:AD15 AB17 AB22:AD48 AC18:AD25">
    <cfRule type="cellIs" dxfId="706" priority="157" stopIfTrue="1" operator="equal">
      <formula>"ERROR"</formula>
    </cfRule>
    <cfRule type="cellIs" dxfId="705" priority="158" stopIfTrue="1" operator="equal">
      <formula>"OK"</formula>
    </cfRule>
    <cfRule type="cellIs" dxfId="704" priority="159" stopIfTrue="1" operator="equal">
      <formula>"WARNING"</formula>
    </cfRule>
  </conditionalFormatting>
  <conditionalFormatting sqref="C4">
    <cfRule type="cellIs" dxfId="703" priority="154" stopIfTrue="1" operator="equal">
      <formula>"ERROR"</formula>
    </cfRule>
    <cfRule type="cellIs" dxfId="702" priority="155" stopIfTrue="1" operator="equal">
      <formula>"OK"</formula>
    </cfRule>
    <cfRule type="cellIs" dxfId="701" priority="156" stopIfTrue="1" operator="equal">
      <formula>"WARNING"</formula>
    </cfRule>
  </conditionalFormatting>
  <conditionalFormatting sqref="V19:W19 V21:X36 Y21:Y45 AD23:AD46">
    <cfRule type="cellIs" dxfId="700" priority="136" stopIfTrue="1" operator="equal">
      <formula>"ERROR"</formula>
    </cfRule>
    <cfRule type="cellIs" dxfId="699" priority="137" stopIfTrue="1" operator="equal">
      <formula>"OK"</formula>
    </cfRule>
    <cfRule type="cellIs" dxfId="698" priority="138" stopIfTrue="1" operator="equal">
      <formula>"WARNING"</formula>
    </cfRule>
  </conditionalFormatting>
  <conditionalFormatting sqref="X15">
    <cfRule type="cellIs" dxfId="697" priority="133" stopIfTrue="1" operator="equal">
      <formula>"ERROR"</formula>
    </cfRule>
    <cfRule type="cellIs" dxfId="696" priority="134" stopIfTrue="1" operator="equal">
      <formula>"OK"</formula>
    </cfRule>
    <cfRule type="cellIs" dxfId="695" priority="135" stopIfTrue="1" operator="equal">
      <formula>"WARNING"</formula>
    </cfRule>
  </conditionalFormatting>
  <conditionalFormatting sqref="V30:X42">
    <cfRule type="cellIs" dxfId="694" priority="130" stopIfTrue="1" operator="equal">
      <formula>"ERROR"</formula>
    </cfRule>
    <cfRule type="cellIs" dxfId="693" priority="131" stopIfTrue="1" operator="equal">
      <formula>"OK"</formula>
    </cfRule>
    <cfRule type="cellIs" dxfId="692" priority="132" stopIfTrue="1" operator="equal">
      <formula>"WARNING"</formula>
    </cfRule>
  </conditionalFormatting>
  <conditionalFormatting sqref="V20:X34">
    <cfRule type="cellIs" dxfId="691" priority="127" stopIfTrue="1" operator="equal">
      <formula>"ERROR"</formula>
    </cfRule>
    <cfRule type="cellIs" dxfId="690" priority="128" stopIfTrue="1" operator="equal">
      <formula>"OK"</formula>
    </cfRule>
    <cfRule type="cellIs" dxfId="689" priority="129" stopIfTrue="1" operator="equal">
      <formula>"WARNING"</formula>
    </cfRule>
  </conditionalFormatting>
  <conditionalFormatting sqref="V43:X45">
    <cfRule type="cellIs" dxfId="688" priority="124" stopIfTrue="1" operator="equal">
      <formula>"ERROR"</formula>
    </cfRule>
    <cfRule type="cellIs" dxfId="687" priority="125" stopIfTrue="1" operator="equal">
      <formula>"OK"</formula>
    </cfRule>
    <cfRule type="cellIs" dxfId="686" priority="126" stopIfTrue="1" operator="equal">
      <formula>"WARNING"</formula>
    </cfRule>
  </conditionalFormatting>
  <conditionalFormatting sqref="V43:X45">
    <cfRule type="cellIs" dxfId="685" priority="121" stopIfTrue="1" operator="equal">
      <formula>"ERROR"</formula>
    </cfRule>
    <cfRule type="cellIs" dxfId="684" priority="122" stopIfTrue="1" operator="equal">
      <formula>"OK"</formula>
    </cfRule>
    <cfRule type="cellIs" dxfId="683" priority="123" stopIfTrue="1" operator="equal">
      <formula>"WARNING"</formula>
    </cfRule>
  </conditionalFormatting>
  <conditionalFormatting sqref="C12">
    <cfRule type="cellIs" dxfId="682" priority="118" stopIfTrue="1" operator="equal">
      <formula>"ERROR"</formula>
    </cfRule>
    <cfRule type="cellIs" dxfId="681" priority="119" stopIfTrue="1" operator="equal">
      <formula>"OK"</formula>
    </cfRule>
    <cfRule type="cellIs" dxfId="680" priority="120" stopIfTrue="1" operator="equal">
      <formula>"WARNING"</formula>
    </cfRule>
  </conditionalFormatting>
  <conditionalFormatting sqref="AM17">
    <cfRule type="cellIs" dxfId="679" priority="166" stopIfTrue="1" operator="equal">
      <formula>"ERROR"</formula>
    </cfRule>
  </conditionalFormatting>
  <conditionalFormatting sqref="AM17">
    <cfRule type="cellIs" dxfId="678" priority="167" stopIfTrue="1" operator="equal">
      <formula>"OK"</formula>
    </cfRule>
  </conditionalFormatting>
  <conditionalFormatting sqref="AM17">
    <cfRule type="cellIs" dxfId="677" priority="168" stopIfTrue="1" operator="equal">
      <formula>"WARNING"</formula>
    </cfRule>
  </conditionalFormatting>
  <conditionalFormatting sqref="AU17">
    <cfRule type="cellIs" dxfId="676" priority="115" stopIfTrue="1" operator="equal">
      <formula>"ERROR"</formula>
    </cfRule>
  </conditionalFormatting>
  <conditionalFormatting sqref="AU17">
    <cfRule type="cellIs" dxfId="675" priority="116" stopIfTrue="1" operator="equal">
      <formula>"OK"</formula>
    </cfRule>
  </conditionalFormatting>
  <conditionalFormatting sqref="AU17">
    <cfRule type="cellIs" dxfId="674" priority="117" stopIfTrue="1" operator="equal">
      <formula>"WARNING"</formula>
    </cfRule>
  </conditionalFormatting>
  <conditionalFormatting sqref="AH12">
    <cfRule type="cellIs" dxfId="673" priority="112" stopIfTrue="1" operator="equal">
      <formula>"ERROR"</formula>
    </cfRule>
    <cfRule type="cellIs" dxfId="672" priority="113" stopIfTrue="1" operator="equal">
      <formula>"OK"</formula>
    </cfRule>
    <cfRule type="cellIs" dxfId="671" priority="114" stopIfTrue="1" operator="equal">
      <formula>"WARNING"</formula>
    </cfRule>
  </conditionalFormatting>
  <conditionalFormatting sqref="BC17">
    <cfRule type="cellIs" dxfId="670" priority="109" stopIfTrue="1" operator="equal">
      <formula>"ERROR"</formula>
    </cfRule>
  </conditionalFormatting>
  <conditionalFormatting sqref="BC17">
    <cfRule type="cellIs" dxfId="669" priority="110" stopIfTrue="1" operator="equal">
      <formula>"OK"</formula>
    </cfRule>
  </conditionalFormatting>
  <conditionalFormatting sqref="BC17">
    <cfRule type="cellIs" dxfId="668" priority="111" stopIfTrue="1" operator="equal">
      <formula>"WARNING"</formula>
    </cfRule>
  </conditionalFormatting>
  <conditionalFormatting sqref="BL20">
    <cfRule type="cellIs" dxfId="667" priority="106" stopIfTrue="1" operator="equal">
      <formula>"ERROR"</formula>
    </cfRule>
  </conditionalFormatting>
  <conditionalFormatting sqref="BL20">
    <cfRule type="cellIs" dxfId="666" priority="107" stopIfTrue="1" operator="equal">
      <formula>"OK"</formula>
    </cfRule>
  </conditionalFormatting>
  <conditionalFormatting sqref="BL20">
    <cfRule type="cellIs" dxfId="665" priority="108" stopIfTrue="1" operator="equal">
      <formula>"WARNING"</formula>
    </cfRule>
  </conditionalFormatting>
  <conditionalFormatting sqref="AC21">
    <cfRule type="cellIs" dxfId="664" priority="73" stopIfTrue="1" operator="equal">
      <formula>"ERROR"</formula>
    </cfRule>
    <cfRule type="cellIs" dxfId="663" priority="74" stopIfTrue="1" operator="equal">
      <formula>"OK"</formula>
    </cfRule>
    <cfRule type="cellIs" dxfId="662" priority="75" stopIfTrue="1" operator="equal">
      <formula>"WARNING"</formula>
    </cfRule>
  </conditionalFormatting>
  <conditionalFormatting sqref="AC21:AC37 AC18:AD25">
    <cfRule type="cellIs" dxfId="661" priority="70" stopIfTrue="1" operator="equal">
      <formula>"ERROR"</formula>
    </cfRule>
    <cfRule type="cellIs" dxfId="660" priority="71" stopIfTrue="1" operator="equal">
      <formula>"OK"</formula>
    </cfRule>
    <cfRule type="cellIs" dxfId="659" priority="72" stopIfTrue="1" operator="equal">
      <formula>"WARNING"</formula>
    </cfRule>
  </conditionalFormatting>
  <conditionalFormatting sqref="AC31:AC43">
    <cfRule type="cellIs" dxfId="658" priority="67" stopIfTrue="1" operator="equal">
      <formula>"ERROR"</formula>
    </cfRule>
    <cfRule type="cellIs" dxfId="657" priority="68" stopIfTrue="1" operator="equal">
      <formula>"OK"</formula>
    </cfRule>
    <cfRule type="cellIs" dxfId="656" priority="69" stopIfTrue="1" operator="equal">
      <formula>"WARNING"</formula>
    </cfRule>
  </conditionalFormatting>
  <conditionalFormatting sqref="AC21:AC35 AC18:AD25">
    <cfRule type="cellIs" dxfId="655" priority="64" stopIfTrue="1" operator="equal">
      <formula>"ERROR"</formula>
    </cfRule>
    <cfRule type="cellIs" dxfId="654" priority="65" stopIfTrue="1" operator="equal">
      <formula>"OK"</formula>
    </cfRule>
    <cfRule type="cellIs" dxfId="653" priority="66" stopIfTrue="1" operator="equal">
      <formula>"WARNING"</formula>
    </cfRule>
  </conditionalFormatting>
  <conditionalFormatting sqref="AC44:AC46">
    <cfRule type="cellIs" dxfId="652" priority="61" stopIfTrue="1" operator="equal">
      <formula>"ERROR"</formula>
    </cfRule>
    <cfRule type="cellIs" dxfId="651" priority="62" stopIfTrue="1" operator="equal">
      <formula>"OK"</formula>
    </cfRule>
    <cfRule type="cellIs" dxfId="650" priority="63" stopIfTrue="1" operator="equal">
      <formula>"WARNING"</formula>
    </cfRule>
  </conditionalFormatting>
  <conditionalFormatting sqref="AC44:AC46">
    <cfRule type="cellIs" dxfId="649" priority="58" stopIfTrue="1" operator="equal">
      <formula>"ERROR"</formula>
    </cfRule>
    <cfRule type="cellIs" dxfId="648" priority="59" stopIfTrue="1" operator="equal">
      <formula>"OK"</formula>
    </cfRule>
    <cfRule type="cellIs" dxfId="647" priority="60" stopIfTrue="1" operator="equal">
      <formula>"WARNING"</formula>
    </cfRule>
  </conditionalFormatting>
  <conditionalFormatting sqref="Z20:AA20">
    <cfRule type="cellIs" dxfId="646" priority="13" stopIfTrue="1" operator="equal">
      <formula>"ERROR"</formula>
    </cfRule>
    <cfRule type="cellIs" dxfId="645" priority="14" stopIfTrue="1" operator="equal">
      <formula>"OK"</formula>
    </cfRule>
    <cfRule type="cellIs" dxfId="644" priority="15" stopIfTrue="1" operator="equal">
      <formula>"WARNING"</formula>
    </cfRule>
  </conditionalFormatting>
  <conditionalFormatting sqref="Z21:AA45">
    <cfRule type="cellIs" dxfId="643" priority="10" stopIfTrue="1" operator="equal">
      <formula>"ERROR"</formula>
    </cfRule>
    <cfRule type="cellIs" dxfId="642" priority="11" stopIfTrue="1" operator="equal">
      <formula>"OK"</formula>
    </cfRule>
    <cfRule type="cellIs" dxfId="641" priority="12" stopIfTrue="1" operator="equal">
      <formula>"WARNING"</formula>
    </cfRule>
  </conditionalFormatting>
  <conditionalFormatting sqref="Z20:AA45">
    <cfRule type="cellIs" dxfId="640" priority="7" stopIfTrue="1" operator="equal">
      <formula>"ERROR"</formula>
    </cfRule>
    <cfRule type="cellIs" dxfId="639" priority="8" stopIfTrue="1" operator="equal">
      <formula>"OK"</formula>
    </cfRule>
    <cfRule type="cellIs" dxfId="638" priority="9" stopIfTrue="1" operator="equal">
      <formula>"WARNING"</formula>
    </cfRule>
  </conditionalFormatting>
  <conditionalFormatting sqref="C65">
    <cfRule type="cellIs" dxfId="637" priority="1" stopIfTrue="1" operator="equal">
      <formula>"ERROR"</formula>
    </cfRule>
    <cfRule type="cellIs" dxfId="636" priority="2" stopIfTrue="1" operator="equal">
      <formula>"OK"</formula>
    </cfRule>
    <cfRule type="cellIs" dxfId="635" priority="3" stopIfTrue="1" operator="equal">
      <formula>"WARNING"</formula>
    </cfRule>
  </conditionalFormatting>
  <dataValidations count="3">
    <dataValidation type="list" allowBlank="1" showInputMessage="1" showErrorMessage="1" sqref="C22:D22 G22:H22 K22:L22 C102 F102:G102 J102:K102 C113 F113:G113 J113:K113 S21:T21" xr:uid="{0B294673-9000-4593-B231-57F8259ACCD0}">
      <formula1>"CubicSpline_On_DiscountFactors, Exponential_On_DiscountFactors, LogCubic_On_DiscountFactors, NaturalLogCubic_On_DiscountFactors"</formula1>
    </dataValidation>
    <dataValidation type="list" allowBlank="1" showInputMessage="1" showErrorMessage="1" sqref="O29:P29 BG33:BH33 AH29:AI29 AP29:AQ29 AX30:AY30 N138:O138 O78:P78" xr:uid="{DD2022C6-0CA3-41F7-9E16-931400A77F41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O21:P21 O25:P25 BG25:BH25 BG29:BH29 AH21:AI21 AH25:AI25 AP22:AQ22 AP26:AQ26 AX22:AY22 AX26:AY26 N134:O134 N130:O130" xr:uid="{FA3F37FE-E4AB-479B-9099-3376649D3A2C}">
      <formula1>"EURIBOR, FEDFUND, JIBAR, USD_LIBOR"</formula1>
    </dataValidation>
  </dataValidations>
  <hyperlinks>
    <hyperlink ref="B1" location="Summary!A1" display="Summary!A1" xr:uid="{D443D740-0023-4A65-B5AE-1F3209C2F505}"/>
    <hyperlink ref="B7:D7" location="FXCurveBootstrapping.Title.d.Curve_BootstrapFxBasisAdjustedCurve" display="FXCurveBootstrapping.Title.d.Curve_BootstrapFxBasisAdjustedCurve" xr:uid="{7EBB305F-46D7-40F7-B0BF-94799C1D2573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AD194"/>
  <sheetViews>
    <sheetView showGridLines="0" zoomScaleNormal="100" workbookViewId="0">
      <selection activeCell="F14" sqref="F14"/>
    </sheetView>
  </sheetViews>
  <sheetFormatPr defaultRowHeight="15"/>
  <cols>
    <col min="1" max="1" width="3.75" customWidth="1"/>
    <col min="2" max="2" width="27" customWidth="1"/>
    <col min="3" max="3" width="23.875" customWidth="1"/>
    <col min="4" max="4" width="23.75" bestFit="1" customWidth="1"/>
    <col min="5" max="5" width="20.5" customWidth="1"/>
    <col min="6" max="6" width="23.125" customWidth="1"/>
    <col min="7" max="7" width="16.125" customWidth="1"/>
    <col min="8" max="8" width="16.125" style="430" customWidth="1"/>
    <col min="9" max="11" width="16.125" customWidth="1"/>
    <col min="12" max="12" width="16.125" style="430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>
      <c r="B1" s="399" t="s">
        <v>372</v>
      </c>
      <c r="C1" s="486"/>
    </row>
    <row r="2" spans="2:22" ht="26.2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0" customFormat="1">
      <c r="B4" s="55" t="s">
        <v>139</v>
      </c>
      <c r="C4" s="163" t="str" cm="1">
        <f t="array" aca="1" ref="C4" ca="1">_xll.d.TestUtils_And(D7:D12)</f>
        <v>Ok</v>
      </c>
    </row>
    <row r="5" spans="2:22" s="430" customFormat="1"/>
    <row r="6" spans="2:22">
      <c r="B6" s="50" t="s">
        <v>139</v>
      </c>
      <c r="C6" s="50"/>
      <c r="D6" s="50"/>
      <c r="H6"/>
      <c r="I6" s="430"/>
      <c r="L6"/>
      <c r="M6" s="430"/>
    </row>
    <row r="7" spans="2:22">
      <c r="B7" s="201" t="s">
        <v>686</v>
      </c>
      <c r="C7" s="201"/>
      <c r="D7" s="163" t="str">
        <f ca="1">C20</f>
        <v>Ok</v>
      </c>
      <c r="H7"/>
      <c r="I7" s="430"/>
      <c r="L7"/>
      <c r="M7" s="430"/>
    </row>
    <row r="8" spans="2:22" s="430" customFormat="1">
      <c r="B8" s="201" t="s">
        <v>687</v>
      </c>
      <c r="C8" s="201"/>
      <c r="D8" s="163" t="str">
        <f ca="1">C45</f>
        <v>Ok</v>
      </c>
    </row>
    <row r="9" spans="2:22">
      <c r="B9" s="201" t="s">
        <v>432</v>
      </c>
      <c r="C9" s="201"/>
      <c r="D9" s="163" t="str">
        <f ca="1">C92</f>
        <v>Ok</v>
      </c>
      <c r="F9" s="486"/>
      <c r="H9"/>
      <c r="I9" s="430"/>
      <c r="L9"/>
      <c r="M9" s="430"/>
    </row>
    <row r="10" spans="2:22">
      <c r="B10" s="201" t="s">
        <v>437</v>
      </c>
      <c r="C10" s="201"/>
      <c r="D10" s="163" t="str">
        <f ca="1">C107</f>
        <v>Ok</v>
      </c>
      <c r="H10"/>
      <c r="I10" s="430"/>
      <c r="L10"/>
      <c r="M10" s="430"/>
    </row>
    <row r="11" spans="2:22" s="430" customFormat="1">
      <c r="B11" s="201" t="s">
        <v>619</v>
      </c>
      <c r="C11" s="201"/>
      <c r="D11" s="819" t="str">
        <f ca="1">C121</f>
        <v>Ok</v>
      </c>
    </row>
    <row r="12" spans="2:22" s="430" customFormat="1">
      <c r="B12" s="201" t="s">
        <v>692</v>
      </c>
      <c r="C12" s="201"/>
      <c r="D12" s="819" t="str">
        <f>C130</f>
        <v>Ok</v>
      </c>
    </row>
    <row r="13" spans="2:22" s="430" customFormat="1">
      <c r="B13" s="201" t="s">
        <v>701</v>
      </c>
      <c r="C13" s="201"/>
      <c r="D13" s="819" t="str">
        <f>C144</f>
        <v>Ok</v>
      </c>
    </row>
    <row r="14" spans="2:22" s="430" customFormat="1">
      <c r="B14" s="201" t="s">
        <v>703</v>
      </c>
      <c r="C14" s="201"/>
      <c r="D14" s="819" t="str">
        <f>C174</f>
        <v>Ok</v>
      </c>
    </row>
    <row r="15" spans="2:22" s="430" customFormat="1">
      <c r="B15" s="201" t="s">
        <v>705</v>
      </c>
      <c r="C15" s="201"/>
      <c r="D15" s="819" t="str">
        <f>C187</f>
        <v>Ok</v>
      </c>
    </row>
    <row r="18" spans="2:22" ht="18.75">
      <c r="B18" s="3" t="s">
        <v>686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</row>
    <row r="20" spans="2:22">
      <c r="B20" s="55" t="s">
        <v>139</v>
      </c>
      <c r="C20" s="819" t="str" cm="1">
        <f t="array" aca="1" ref="C20" ca="1">_xll.d.TestUtils_And(C73,AD99)</f>
        <v>Ok</v>
      </c>
      <c r="D20" s="430"/>
    </row>
    <row r="21" spans="2:22">
      <c r="D21" s="430"/>
      <c r="M21" s="430"/>
      <c r="N21" s="430"/>
      <c r="O21" s="430"/>
      <c r="P21" s="430"/>
      <c r="Q21" s="430"/>
    </row>
    <row r="22" spans="2:22" ht="15.75">
      <c r="B22" s="4" t="s">
        <v>735</v>
      </c>
      <c r="C22" s="4"/>
      <c r="E22" s="4" t="s">
        <v>734</v>
      </c>
      <c r="F22" s="4"/>
      <c r="M22" s="430"/>
      <c r="N22" s="430"/>
      <c r="O22" s="430"/>
      <c r="P22" s="430"/>
      <c r="Q22" s="430"/>
    </row>
    <row r="23" spans="2:22">
      <c r="D23" s="430"/>
      <c r="E23" s="430"/>
      <c r="F23" s="430"/>
      <c r="M23" s="430"/>
      <c r="N23" s="430"/>
      <c r="O23" s="430"/>
      <c r="P23" s="430"/>
      <c r="Q23" s="430"/>
    </row>
    <row r="24" spans="2:22">
      <c r="B24" s="55" t="s">
        <v>3</v>
      </c>
      <c r="C24" s="55"/>
      <c r="D24" s="430"/>
      <c r="E24" s="55" t="s">
        <v>3</v>
      </c>
      <c r="F24" s="55"/>
      <c r="M24" s="430"/>
      <c r="N24" s="430"/>
      <c r="O24" s="430"/>
      <c r="P24" s="430"/>
      <c r="Q24" s="430"/>
    </row>
    <row r="25" spans="2:22">
      <c r="B25" s="948" t="str" cm="1">
        <f t="array" aca="1" ref="B25" ca="1">_xll.d.Curve_CreateFromDiscountFactors(_xll.d.Excel_GetSheetName()&amp;"_CreateFromDFsWOExtrap",B28:C31,B35:B40,C35:C40)</f>
        <v>@@Curves_CreateFromDFsWOExtrap::08:30:28</v>
      </c>
      <c r="C25" s="541"/>
      <c r="D25" s="430"/>
      <c r="E25" s="948" t="str" cm="1">
        <f t="array" aca="1" ref="E25" ca="1">_xll.d.Curve_CreateFromDiscountFactors(_xll.d.Excel_GetSheetName()&amp;"_CreateFromDFsWExtrap",E28:F31,E35:E40,F35:F40)</f>
        <v>@@Curves_CreateFromDFsWExtrap::08:30:33</v>
      </c>
      <c r="F25" s="541"/>
      <c r="M25" s="430"/>
      <c r="N25" s="430"/>
      <c r="O25" s="430"/>
      <c r="P25" s="430"/>
      <c r="Q25" s="430"/>
    </row>
    <row r="26" spans="2:22" s="430" customFormat="1"/>
    <row r="27" spans="2:22">
      <c r="B27" s="12" t="s">
        <v>47</v>
      </c>
      <c r="C27" s="136"/>
      <c r="E27" s="12" t="s">
        <v>47</v>
      </c>
      <c r="F27" s="136"/>
      <c r="M27" s="430"/>
      <c r="N27" s="430"/>
      <c r="O27" s="430"/>
      <c r="P27" s="430"/>
      <c r="Q27" s="430"/>
    </row>
    <row r="28" spans="2:22">
      <c r="B28" s="61" t="s">
        <v>29</v>
      </c>
      <c r="C28" s="137" t="s">
        <v>30</v>
      </c>
      <c r="D28" s="430"/>
      <c r="E28" s="61" t="s">
        <v>29</v>
      </c>
      <c r="F28" s="137" t="s">
        <v>30</v>
      </c>
    </row>
    <row r="29" spans="2:22">
      <c r="B29" s="138" t="s">
        <v>57</v>
      </c>
      <c r="C29" s="139" t="s">
        <v>54</v>
      </c>
      <c r="E29" s="138" t="s">
        <v>57</v>
      </c>
      <c r="F29" s="139" t="s">
        <v>54</v>
      </c>
    </row>
    <row r="30" spans="2:22">
      <c r="B30" s="968" t="s">
        <v>653</v>
      </c>
      <c r="C30" s="141" t="s">
        <v>56</v>
      </c>
      <c r="E30" s="968" t="s">
        <v>653</v>
      </c>
      <c r="F30" s="141" t="s">
        <v>56</v>
      </c>
    </row>
    <row r="31" spans="2:22">
      <c r="B31" s="142" t="s">
        <v>43</v>
      </c>
      <c r="C31" s="878" t="s">
        <v>662</v>
      </c>
      <c r="D31" s="1"/>
      <c r="E31" s="142" t="s">
        <v>43</v>
      </c>
      <c r="F31" s="878" t="s">
        <v>662</v>
      </c>
    </row>
    <row r="32" spans="2:22">
      <c r="E32" s="430"/>
      <c r="F32" s="430"/>
    </row>
    <row r="33" spans="2:22">
      <c r="E33" s="430"/>
      <c r="F33" s="430"/>
    </row>
    <row r="34" spans="2:22">
      <c r="B34" s="12" t="s">
        <v>0</v>
      </c>
      <c r="C34" s="13" t="s">
        <v>2</v>
      </c>
      <c r="E34" s="12" t="s">
        <v>0</v>
      </c>
      <c r="F34" s="13" t="s">
        <v>2</v>
      </c>
    </row>
    <row r="35" spans="2:22">
      <c r="B35" s="17">
        <v>44562</v>
      </c>
      <c r="C35" s="58">
        <v>1</v>
      </c>
      <c r="E35" s="17">
        <v>44562</v>
      </c>
      <c r="F35" s="58">
        <v>1</v>
      </c>
    </row>
    <row r="36" spans="2:22">
      <c r="B36" s="18">
        <v>44593</v>
      </c>
      <c r="C36" s="59">
        <v>0.99</v>
      </c>
      <c r="E36" s="18">
        <v>44593</v>
      </c>
      <c r="F36" s="59">
        <v>0.99</v>
      </c>
    </row>
    <row r="37" spans="2:22">
      <c r="B37" s="18">
        <v>44621</v>
      </c>
      <c r="C37" s="59">
        <v>0.98</v>
      </c>
      <c r="E37" s="18">
        <v>44621</v>
      </c>
      <c r="F37" s="59">
        <v>0.98</v>
      </c>
    </row>
    <row r="38" spans="2:22">
      <c r="B38" s="18">
        <v>44652</v>
      </c>
      <c r="C38" s="59">
        <v>0.97</v>
      </c>
      <c r="D38" s="1"/>
      <c r="E38" s="18">
        <v>44652</v>
      </c>
      <c r="F38" s="59">
        <v>0.97</v>
      </c>
    </row>
    <row r="39" spans="2:22">
      <c r="B39" s="18">
        <v>44682</v>
      </c>
      <c r="C39" s="59">
        <v>0.96</v>
      </c>
      <c r="E39" s="18">
        <v>44682</v>
      </c>
      <c r="F39" s="59">
        <v>0.96</v>
      </c>
    </row>
    <row r="40" spans="2:22">
      <c r="B40" s="19">
        <v>46022</v>
      </c>
      <c r="C40" s="60">
        <v>0.62</v>
      </c>
      <c r="E40" s="19">
        <v>46022</v>
      </c>
      <c r="F40" s="60">
        <v>0.62</v>
      </c>
    </row>
    <row r="41" spans="2:22">
      <c r="D41" s="5"/>
      <c r="E41" s="5"/>
    </row>
    <row r="42" spans="2:22" s="430" customFormat="1">
      <c r="D42" s="5"/>
      <c r="E42" s="5"/>
    </row>
    <row r="43" spans="2:22" s="430" customFormat="1" ht="18.75">
      <c r="B43" s="3" t="s">
        <v>687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2:22" s="430" customFormat="1"/>
    <row r="45" spans="2:22" s="430" customFormat="1">
      <c r="B45" s="55" t="s">
        <v>139</v>
      </c>
      <c r="C45" s="163" t="str" cm="1">
        <f t="array" aca="1" ref="C45" ca="1">_xll.d.TestUtils_And(G59:G64)</f>
        <v>Ok</v>
      </c>
    </row>
    <row r="46" spans="2:22" s="430" customFormat="1"/>
    <row r="47" spans="2:22" s="430" customFormat="1">
      <c r="B47" s="813" t="s">
        <v>3</v>
      </c>
      <c r="C47" s="815"/>
    </row>
    <row r="48" spans="2:22" s="430" customFormat="1">
      <c r="B48" s="950" t="str" cm="1">
        <f t="array" aca="1" ref="B48" ca="1">_xll.d.Curve_CreateFromZeroRates(_xll.d.Excel_GetSheetName()&amp;"_CreateFromZeroRatesCurve",B51:C55,B59:B64,C59:C64)</f>
        <v>@@Curves_CreateFromZeroRatesCurve::08:30:33</v>
      </c>
      <c r="C48" s="541"/>
    </row>
    <row r="49" spans="2:8" s="430" customFormat="1"/>
    <row r="50" spans="2:8" s="430" customFormat="1">
      <c r="B50" s="12" t="s">
        <v>47</v>
      </c>
      <c r="C50" s="136"/>
    </row>
    <row r="51" spans="2:8" s="430" customFormat="1">
      <c r="B51" s="61" t="s">
        <v>29</v>
      </c>
      <c r="C51" s="137" t="s">
        <v>30</v>
      </c>
    </row>
    <row r="52" spans="2:8" s="430" customFormat="1">
      <c r="B52" s="138" t="s">
        <v>57</v>
      </c>
      <c r="C52" s="139" t="s">
        <v>54</v>
      </c>
    </row>
    <row r="53" spans="2:8" s="430" customFormat="1">
      <c r="B53" s="140" t="s">
        <v>55</v>
      </c>
      <c r="C53" s="141" t="s">
        <v>56</v>
      </c>
      <c r="D53" s="289"/>
      <c r="E53" s="969"/>
      <c r="F53" s="289"/>
      <c r="G53" s="289"/>
      <c r="H53" s="289"/>
    </row>
    <row r="54" spans="2:8" s="430" customFormat="1">
      <c r="B54" s="917" t="s">
        <v>688</v>
      </c>
      <c r="C54" s="918" t="s">
        <v>62</v>
      </c>
      <c r="D54" s="289"/>
      <c r="E54" s="969"/>
      <c r="F54" s="289"/>
      <c r="G54" s="289"/>
      <c r="H54" s="289"/>
    </row>
    <row r="55" spans="2:8" s="430" customFormat="1">
      <c r="B55" s="142" t="s">
        <v>43</v>
      </c>
      <c r="C55" s="919" t="s">
        <v>690</v>
      </c>
      <c r="D55" s="888"/>
      <c r="E55" s="289"/>
      <c r="F55" s="289"/>
      <c r="G55" s="289"/>
      <c r="H55" s="289"/>
    </row>
    <row r="56" spans="2:8" s="430" customFormat="1">
      <c r="D56" s="289"/>
      <c r="E56" s="289"/>
      <c r="F56" s="289"/>
      <c r="G56" s="289"/>
      <c r="H56" s="289"/>
    </row>
    <row r="57" spans="2:8" s="430" customFormat="1">
      <c r="D57" s="289"/>
      <c r="E57" s="27" t="s">
        <v>737</v>
      </c>
      <c r="F57" s="27"/>
      <c r="G57" s="27"/>
      <c r="H57" s="289"/>
    </row>
    <row r="58" spans="2:8" s="430" customFormat="1">
      <c r="B58" s="12" t="s">
        <v>0</v>
      </c>
      <c r="C58" s="13" t="s">
        <v>689</v>
      </c>
      <c r="D58" s="289"/>
      <c r="E58" s="520" t="s">
        <v>65</v>
      </c>
      <c r="F58" s="920" t="s">
        <v>66</v>
      </c>
      <c r="G58" s="184" t="s">
        <v>67</v>
      </c>
      <c r="H58" s="289"/>
    </row>
    <row r="59" spans="2:8" s="430" customFormat="1">
      <c r="B59" s="17">
        <v>44562</v>
      </c>
      <c r="C59" s="58">
        <v>0.12</v>
      </c>
      <c r="D59" s="970" t="s">
        <v>736</v>
      </c>
      <c r="E59" s="971">
        <f t="array" aca="1" ref="E59:E64" ca="1">_xll.d.Curve_GetDiscountFactors(B48,B59:B64)</f>
        <v>1</v>
      </c>
      <c r="F59" s="972">
        <f t="array" ref="F59">C35</f>
        <v>1</v>
      </c>
      <c r="G59" s="973" t="str" cm="1">
        <f t="array" aca="1" ref="G59" ca="1">_xll.d.TestUtils_Equal(E59,F59)</f>
        <v>Ok</v>
      </c>
      <c r="H59" s="289"/>
    </row>
    <row r="60" spans="2:8" s="430" customFormat="1">
      <c r="B60" s="18">
        <v>44593</v>
      </c>
      <c r="C60" s="59">
        <v>0.11833459956542031</v>
      </c>
      <c r="D60" s="289"/>
      <c r="E60" s="974">
        <f ca="1"/>
        <v>0.99</v>
      </c>
      <c r="F60" s="975">
        <f t="shared" ref="F60:F64" si="0">C36</f>
        <v>0.99</v>
      </c>
      <c r="G60" s="973" t="str" cm="1">
        <f t="array" aca="1" ref="G60" ca="1">_xll.d.TestUtils_Equal(E60,F60)</f>
        <v>Ok</v>
      </c>
      <c r="H60" s="289"/>
    </row>
    <row r="61" spans="2:8" s="430" customFormat="1">
      <c r="B61" s="18">
        <v>44621</v>
      </c>
      <c r="C61" s="59">
        <v>0.12498285035414584</v>
      </c>
      <c r="D61" s="289"/>
      <c r="E61" s="974">
        <f ca="1"/>
        <v>0.98</v>
      </c>
      <c r="F61" s="975">
        <f t="shared" si="0"/>
        <v>0.98</v>
      </c>
      <c r="G61" s="973" t="str" cm="1">
        <f t="array" aca="1" ref="G61" ca="1">_xll.d.TestUtils_Equal(E61,F61)</f>
        <v>Ok</v>
      </c>
      <c r="H61" s="289"/>
    </row>
    <row r="62" spans="2:8" s="430" customFormat="1">
      <c r="B62" s="18">
        <v>44652</v>
      </c>
      <c r="C62" s="59">
        <v>0.12352900813242923</v>
      </c>
      <c r="D62" s="289"/>
      <c r="E62" s="974">
        <f ca="1"/>
        <v>0.97</v>
      </c>
      <c r="F62" s="975">
        <f t="shared" si="0"/>
        <v>0.97</v>
      </c>
      <c r="G62" s="973" t="str" cm="1">
        <f t="array" aca="1" ref="G62" ca="1">_xll.d.TestUtils_Equal(E62,F62)</f>
        <v>Ok</v>
      </c>
      <c r="H62" s="289"/>
    </row>
    <row r="63" spans="2:8" s="430" customFormat="1">
      <c r="B63" s="18">
        <v>44682</v>
      </c>
      <c r="C63" s="59">
        <v>0.12416689999910947</v>
      </c>
      <c r="D63" s="289"/>
      <c r="E63" s="974">
        <f ca="1"/>
        <v>0.96</v>
      </c>
      <c r="F63" s="975">
        <f t="shared" si="0"/>
        <v>0.96</v>
      </c>
      <c r="G63" s="973" t="str" cm="1">
        <f t="array" aca="1" ref="G63" ca="1">_xll.d.TestUtils_Equal(E63,F63)</f>
        <v>Ok</v>
      </c>
      <c r="H63" s="289"/>
    </row>
    <row r="64" spans="2:8" s="430" customFormat="1">
      <c r="B64" s="19">
        <v>46022</v>
      </c>
      <c r="C64" s="60">
        <v>0.11950895023574995</v>
      </c>
      <c r="D64" s="289"/>
      <c r="E64" s="976">
        <f ca="1"/>
        <v>0.62</v>
      </c>
      <c r="F64" s="977">
        <f t="shared" si="0"/>
        <v>0.62</v>
      </c>
      <c r="G64" s="973" t="str" cm="1">
        <f t="array" aca="1" ref="G64" ca="1">_xll.d.TestUtils_Equal(E64,F64)</f>
        <v>Ok</v>
      </c>
      <c r="H64" s="289"/>
    </row>
    <row r="65" spans="2:20" s="430" customFormat="1">
      <c r="D65" s="978"/>
      <c r="E65" s="289"/>
      <c r="F65" s="289"/>
      <c r="G65" s="289"/>
      <c r="H65" s="289"/>
    </row>
    <row r="66" spans="2:20" s="430" customFormat="1">
      <c r="D66" s="5"/>
      <c r="E66" s="5"/>
    </row>
    <row r="67" spans="2:20" ht="18.75">
      <c r="B67" s="3" t="s">
        <v>443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</row>
    <row r="68" spans="2:20" s="430" customFormat="1">
      <c r="B68"/>
      <c r="C68"/>
      <c r="D68"/>
      <c r="E68"/>
      <c r="F68"/>
    </row>
    <row r="69" spans="2:20" s="430" customFormat="1">
      <c r="B69" s="50" t="s">
        <v>106</v>
      </c>
      <c r="C69" s="163" t="str" cm="1">
        <f t="array" aca="1" ref="C69" ca="1">_xll.d.TestUtils_And(C73,Y94)</f>
        <v>Ok</v>
      </c>
    </row>
    <row r="70" spans="2:20" s="430" customFormat="1"/>
    <row r="71" spans="2:20" s="430" customFormat="1" ht="15.75">
      <c r="B71" s="4" t="s">
        <v>738</v>
      </c>
      <c r="C71" s="4"/>
      <c r="D71" s="4"/>
      <c r="E71" s="4"/>
      <c r="G71" s="4" t="s">
        <v>740</v>
      </c>
      <c r="H71" s="4"/>
      <c r="I71" s="4"/>
      <c r="J71" s="4"/>
      <c r="K71" s="4"/>
      <c r="L71" s="4"/>
      <c r="M71" s="4"/>
    </row>
    <row r="72" spans="2:20" s="430" customFormat="1"/>
    <row r="73" spans="2:20" s="430" customFormat="1">
      <c r="B73" s="50" t="s">
        <v>106</v>
      </c>
      <c r="C73" s="163" t="str" cm="1">
        <f t="array" aca="1" ref="C73" ca="1">_xll.d.TestUtils_And(E77:E87)</f>
        <v>Ok</v>
      </c>
      <c r="D73"/>
      <c r="E73"/>
      <c r="G73" s="50" t="s">
        <v>106</v>
      </c>
      <c r="H73" s="475" t="str">
        <f ca="1">M77</f>
        <v>Ok</v>
      </c>
    </row>
    <row r="74" spans="2:20" s="430" customFormat="1">
      <c r="B74"/>
      <c r="C74"/>
      <c r="D74"/>
      <c r="E74"/>
      <c r="F74"/>
    </row>
    <row r="75" spans="2:20" s="430" customFormat="1">
      <c r="B75" s="57" t="s">
        <v>2</v>
      </c>
      <c r="C75" s="470" t="s">
        <v>431</v>
      </c>
      <c r="E75"/>
      <c r="F75"/>
      <c r="G75" s="27" t="s">
        <v>138</v>
      </c>
      <c r="H75" s="27"/>
      <c r="I75" s="27"/>
      <c r="J75" s="27"/>
      <c r="K75" s="27"/>
      <c r="L75" s="27"/>
      <c r="M75" s="27"/>
    </row>
    <row r="76" spans="2:20" s="430" customFormat="1">
      <c r="B76" s="49" t="s">
        <v>31</v>
      </c>
      <c r="C76" s="186" t="s">
        <v>60</v>
      </c>
      <c r="D76" s="186" t="s">
        <v>61</v>
      </c>
      <c r="E76" s="50" t="s">
        <v>67</v>
      </c>
      <c r="F76"/>
      <c r="G76" s="520" t="s">
        <v>65</v>
      </c>
      <c r="H76" s="520"/>
      <c r="I76" s="520"/>
      <c r="J76" s="520" t="s">
        <v>66</v>
      </c>
      <c r="K76" s="520"/>
      <c r="L76" s="621"/>
      <c r="M76" s="184" t="s">
        <v>67</v>
      </c>
    </row>
    <row r="77" spans="2:20" s="430" customFormat="1">
      <c r="B77" s="608">
        <f ca="1">B35</f>
        <v>44562</v>
      </c>
      <c r="C77" s="47">
        <v>1</v>
      </c>
      <c r="D77" s="47" cm="1">
        <f t="array" aca="1" ref="D77" ca="1">_xll.d.Curve_GetDiscountFactors($B$25,B77)</f>
        <v>1</v>
      </c>
      <c r="E77" s="609" t="str" cm="1">
        <f t="array" aca="1" ref="E77" ca="1">_xll.d.TestUtils_Equal(C77,D77)</f>
        <v>Ok</v>
      </c>
      <c r="F77"/>
      <c r="G77" s="521" t="str" cm="1">
        <f t="array" aca="1" ref="G77" ca="1">_xll.d.Curve_GetZeroRates($B$25,$B98,"NACP")</f>
        <v>#∂Excel Error: Invalid compounding convention: 'NACP'</v>
      </c>
      <c r="H77" s="620"/>
      <c r="I77" s="522"/>
      <c r="J77" s="523" t="s">
        <v>538</v>
      </c>
      <c r="K77" s="524"/>
      <c r="L77" s="524"/>
      <c r="M77" s="183" t="str" cm="1">
        <f t="array" aca="1" ref="M77" ca="1">_xll.d.TestUtils_Equal(G77,J77)</f>
        <v>Ok</v>
      </c>
    </row>
    <row r="78" spans="2:20" s="430" customFormat="1">
      <c r="B78" s="610">
        <v>44576</v>
      </c>
      <c r="C78" s="182">
        <f ca="1">EXP((LN(C36)-LN(C35))/((B36-B35)/365)*((B78-B35)/365)+LN(C35))</f>
        <v>0.99547142371128639</v>
      </c>
      <c r="D78" s="182" cm="1">
        <f t="array" aca="1" ref="D78" ca="1">_xll.d.Curve_GetDiscountFactors($B$25,B78)</f>
        <v>0.99547142371128639</v>
      </c>
      <c r="E78" s="609" t="str" cm="1">
        <f t="array" aca="1" ref="E78" ca="1">_xll.d.TestUtils_Equal(C78,D78)</f>
        <v>Ok</v>
      </c>
      <c r="F78"/>
    </row>
    <row r="79" spans="2:20" s="430" customFormat="1">
      <c r="B79" s="611">
        <f ca="1">B36</f>
        <v>44593</v>
      </c>
      <c r="C79" s="48">
        <f ca="1">EXP((LN(C36)-LN(C35))/((B36-B35)/365)*((B79-B35)/365)+LN(C35))</f>
        <v>0.99</v>
      </c>
      <c r="D79" s="48" cm="1">
        <f t="array" aca="1" ref="D79" ca="1">_xll.d.Curve_GetDiscountFactors($B$25,B79)</f>
        <v>0.99</v>
      </c>
      <c r="E79" s="609" t="str" cm="1">
        <f t="array" aca="1" ref="E79" ca="1">_xll.d.TestUtils_Equal(C79,D79)</f>
        <v>Ok</v>
      </c>
      <c r="F79"/>
    </row>
    <row r="80" spans="2:20" s="430" customFormat="1">
      <c r="B80" s="610">
        <v>44607</v>
      </c>
      <c r="C80" s="182">
        <f ca="1">EXP((LN(C37)-LN(C36))/((B37-B36)/365)*((B80-B36)/365)+LN(C36))</f>
        <v>0.98498730956292024</v>
      </c>
      <c r="D80" s="182" cm="1">
        <f t="array" aca="1" ref="D80" ca="1">_xll.d.Curve_GetDiscountFactors($B$25,B80)</f>
        <v>0.98498730956292024</v>
      </c>
      <c r="E80" s="609" t="str" cm="1">
        <f t="array" aca="1" ref="E80" ca="1">_xll.d.TestUtils_Equal(C80,D80)</f>
        <v>Ok</v>
      </c>
      <c r="F80"/>
    </row>
    <row r="81" spans="2:30" s="430" customFormat="1">
      <c r="B81" s="611">
        <f ca="1">B37</f>
        <v>44621</v>
      </c>
      <c r="C81" s="48">
        <f ca="1">EXP((LN(C37)-LN(C36))/((B37-B36)/365)*((B81-B36)/365)+LN(C36))</f>
        <v>0.98</v>
      </c>
      <c r="D81" s="48" cm="1">
        <f t="array" aca="1" ref="D81" ca="1">_xll.d.Curve_GetDiscountFactors($B$25,B81)</f>
        <v>0.98</v>
      </c>
      <c r="E81" s="609" t="str" cm="1">
        <f t="array" aca="1" ref="E81" ca="1">_xll.d.TestUtils_Equal(C81,D81)</f>
        <v>Ok</v>
      </c>
      <c r="F81"/>
    </row>
    <row r="82" spans="2:30" s="430" customFormat="1">
      <c r="B82" s="610">
        <v>44635</v>
      </c>
      <c r="C82" s="182">
        <f ca="1">EXP((LN(C38)-LN(C37))/((B38-B37)/365)*((B82-B37)/365)+LN(C37))</f>
        <v>0.97547116833738268</v>
      </c>
      <c r="D82" s="182" cm="1">
        <f t="array" aca="1" ref="D82" ca="1">_xll.d.Curve_GetDiscountFactors($B$25,B82)</f>
        <v>0.97547116833738268</v>
      </c>
      <c r="E82" s="609" t="str" cm="1">
        <f t="array" aca="1" ref="E82" ca="1">_xll.d.TestUtils_Equal(C82,D82)</f>
        <v>Ok</v>
      </c>
      <c r="F82"/>
    </row>
    <row r="83" spans="2:30" s="430" customFormat="1">
      <c r="B83" s="611">
        <f ca="1">B38</f>
        <v>44652</v>
      </c>
      <c r="C83" s="48">
        <f ca="1">EXP((LN(C38)-LN(C37))/((B38-B37)/365)*((B83-B37)/365)+LN(C37))</f>
        <v>0.97</v>
      </c>
      <c r="D83" s="48" cm="1">
        <f t="array" aca="1" ref="D83" ca="1">_xll.d.Curve_GetDiscountFactors($B$25,B83)</f>
        <v>0.97</v>
      </c>
      <c r="E83" s="609" t="str" cm="1">
        <f t="array" aca="1" ref="E83" ca="1">_xll.d.TestUtils_Equal(C83,D83)</f>
        <v>Ok</v>
      </c>
      <c r="F83"/>
    </row>
    <row r="84" spans="2:30" s="430" customFormat="1">
      <c r="B84" s="610">
        <v>44666</v>
      </c>
      <c r="C84" s="182">
        <f ca="1">EXP((LN(C39)-LN(C38))/((B39-B38)/365)*((B84-B38)/365)+LN(C38))</f>
        <v>0.96532043596444328</v>
      </c>
      <c r="D84" s="182" cm="1">
        <f t="array" aca="1" ref="D84" ca="1">_xll.d.Curve_GetDiscountFactors($B$25,B84)</f>
        <v>0.96532043596444328</v>
      </c>
      <c r="E84" s="609" t="str" cm="1">
        <f t="array" aca="1" ref="E84" ca="1">_xll.d.TestUtils_Equal(C84,D84)</f>
        <v>Ok</v>
      </c>
      <c r="F84"/>
    </row>
    <row r="85" spans="2:30" s="430" customFormat="1">
      <c r="B85" s="611">
        <f ca="1">B39</f>
        <v>44682</v>
      </c>
      <c r="C85" s="48">
        <f ca="1">EXP((LN(C39)-LN(C38))/((B39-B38)/365)*((B85-B38)/365)+LN(C38))</f>
        <v>0.96</v>
      </c>
      <c r="D85" s="48" cm="1">
        <f t="array" aca="1" ref="D85" ca="1">_xll.d.Curve_GetDiscountFactors($B$25,B85)</f>
        <v>0.96</v>
      </c>
      <c r="E85" s="609" t="str" cm="1">
        <f t="array" aca="1" ref="E85" ca="1">_xll.d.TestUtils_Equal(C85,D85)</f>
        <v>Ok</v>
      </c>
      <c r="F85"/>
    </row>
    <row r="86" spans="2:30" s="430" customFormat="1">
      <c r="B86" s="610">
        <v>45107</v>
      </c>
      <c r="C86" s="182">
        <f ca="1">EXP((LN(C40)-LN(C39))/((B40-B39)/365)*((B86-B39)/365)+LN(C39))</f>
        <v>0.8356958461194135</v>
      </c>
      <c r="D86" s="182" cm="1">
        <f t="array" aca="1" ref="D86" ca="1">_xll.d.Curve_GetDiscountFactors($B$25,B86)</f>
        <v>0.8356958461194135</v>
      </c>
      <c r="E86" s="609" t="str" cm="1">
        <f t="array" aca="1" ref="E86" ca="1">_xll.d.TestUtils_Equal(C86,D86)</f>
        <v>Ok</v>
      </c>
      <c r="F86"/>
    </row>
    <row r="87" spans="2:30" s="430" customFormat="1">
      <c r="B87" s="612">
        <f ca="1">B40</f>
        <v>46022</v>
      </c>
      <c r="C87" s="613">
        <f ca="1">EXP((LN(C40)-LN(C39))/((B40-B39)/365)*((B87-B39)/365)+LN(C39))</f>
        <v>0.62</v>
      </c>
      <c r="D87" s="613" cm="1">
        <f t="array" aca="1" ref="D87" ca="1">_xll.d.Curve_GetDiscountFactors($B$25,B87)</f>
        <v>0.62</v>
      </c>
      <c r="E87" s="614" t="str" cm="1">
        <f t="array" aca="1" ref="E87" ca="1">_xll.d.TestUtils_Equal(C87,D87)</f>
        <v>Ok</v>
      </c>
      <c r="F87"/>
    </row>
    <row r="88" spans="2:30" s="430" customFormat="1">
      <c r="F88"/>
    </row>
    <row r="89" spans="2:30" s="430" customFormat="1"/>
    <row r="90" spans="2:30" ht="18.75">
      <c r="B90" s="3" t="s">
        <v>432</v>
      </c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</row>
    <row r="91" spans="2:30">
      <c r="E91" s="6"/>
    </row>
    <row r="92" spans="2:30" ht="15.75">
      <c r="B92" s="55" t="s">
        <v>139</v>
      </c>
      <c r="C92" s="163" t="str" cm="1">
        <f t="array" aca="1" ref="C92" ca="1">_xll.d.TestUtils_And(E98:E102,I98:I102,M98:M102,P98:P102,S98:S102,V98:V102)</f>
        <v>Ok</v>
      </c>
      <c r="D92" s="5"/>
      <c r="E92" s="5"/>
      <c r="X92" s="4" t="s">
        <v>739</v>
      </c>
      <c r="Y92" s="4"/>
      <c r="Z92" s="4"/>
      <c r="AA92" s="4"/>
      <c r="AB92" s="4"/>
      <c r="AC92" s="4"/>
      <c r="AD92" s="4"/>
    </row>
    <row r="93" spans="2:30">
      <c r="F93" s="5"/>
      <c r="G93" s="5"/>
      <c r="H93" s="5"/>
      <c r="J93" s="430"/>
      <c r="K93" s="430"/>
      <c r="M93" s="430"/>
      <c r="Y93" s="430"/>
      <c r="Z93" s="430"/>
      <c r="AA93" s="430"/>
      <c r="AB93" s="430"/>
      <c r="AC93" s="430"/>
      <c r="AD93" s="430"/>
    </row>
    <row r="94" spans="2:30">
      <c r="F94" s="5"/>
      <c r="G94" s="5"/>
      <c r="H94" s="5"/>
      <c r="J94" s="430"/>
      <c r="K94" s="430"/>
      <c r="M94" s="430"/>
      <c r="X94" s="50" t="s">
        <v>106</v>
      </c>
      <c r="Y94" s="475" t="str">
        <f ca="1">AD99</f>
        <v>Ok</v>
      </c>
      <c r="Z94" s="430"/>
      <c r="AA94" s="430"/>
      <c r="AC94" s="430"/>
      <c r="AD94" s="430"/>
    </row>
    <row r="95" spans="2:30" s="430" customFormat="1">
      <c r="F95" s="5"/>
      <c r="G95" s="5"/>
      <c r="H95" s="5"/>
      <c r="Y95" s="475"/>
    </row>
    <row r="96" spans="2:30">
      <c r="B96" s="12"/>
      <c r="C96" s="27" t="s">
        <v>62</v>
      </c>
      <c r="D96" s="27"/>
      <c r="E96" s="27"/>
      <c r="F96" s="27" t="s">
        <v>78</v>
      </c>
      <c r="G96" s="27"/>
      <c r="H96" s="27"/>
      <c r="I96" s="27"/>
      <c r="J96" s="27" t="s">
        <v>79</v>
      </c>
      <c r="K96" s="27"/>
      <c r="L96" s="27"/>
      <c r="M96" s="27"/>
      <c r="N96" s="27" t="s">
        <v>64</v>
      </c>
      <c r="O96" s="27"/>
      <c r="P96" s="27"/>
      <c r="Q96" s="27" t="s">
        <v>63</v>
      </c>
      <c r="R96" s="27"/>
      <c r="S96" s="27"/>
      <c r="T96" s="27" t="s">
        <v>205</v>
      </c>
      <c r="U96" s="27"/>
      <c r="V96" s="13"/>
      <c r="Y96" s="430"/>
      <c r="Z96" s="430"/>
      <c r="AC96" s="430"/>
      <c r="AD96" s="430"/>
    </row>
    <row r="97" spans="2:30">
      <c r="B97" s="494" t="s">
        <v>31</v>
      </c>
      <c r="C97" s="495" t="s">
        <v>58</v>
      </c>
      <c r="D97" s="495" t="s">
        <v>59</v>
      </c>
      <c r="E97" s="495" t="s">
        <v>67</v>
      </c>
      <c r="F97" s="495" t="s">
        <v>58</v>
      </c>
      <c r="G97" s="495" t="s">
        <v>59</v>
      </c>
      <c r="H97" s="495"/>
      <c r="I97" s="495" t="s">
        <v>67</v>
      </c>
      <c r="J97" s="495" t="s">
        <v>58</v>
      </c>
      <c r="K97" s="495" t="s">
        <v>59</v>
      </c>
      <c r="L97" s="495"/>
      <c r="M97" s="495" t="s">
        <v>67</v>
      </c>
      <c r="N97" s="495" t="s">
        <v>58</v>
      </c>
      <c r="O97" s="495" t="s">
        <v>59</v>
      </c>
      <c r="P97" s="495" t="s">
        <v>67</v>
      </c>
      <c r="Q97" s="495" t="s">
        <v>58</v>
      </c>
      <c r="R97" s="495" t="s">
        <v>59</v>
      </c>
      <c r="S97" s="495" t="s">
        <v>67</v>
      </c>
      <c r="T97" s="495" t="s">
        <v>58</v>
      </c>
      <c r="U97" s="495" t="s">
        <v>59</v>
      </c>
      <c r="V97" s="137" t="s">
        <v>67</v>
      </c>
      <c r="X97" s="27" t="s">
        <v>138</v>
      </c>
      <c r="Y97" s="27"/>
      <c r="Z97" s="27"/>
      <c r="AA97" s="27"/>
      <c r="AB97" s="27"/>
      <c r="AC97" s="27"/>
      <c r="AD97" s="27"/>
    </row>
    <row r="98" spans="2:30">
      <c r="B98" s="519">
        <f>B36</f>
        <v>44593</v>
      </c>
      <c r="C98" s="516">
        <f>-LN(C36)/YEARFRAC($B$35,B98,3)</f>
        <v>0.11833459956542031</v>
      </c>
      <c r="D98" s="516">
        <f t="array" aca="1" ref="D98:D102" ca="1">_xll.d.Curve_GetZeroRates($B$25,B98:B102,"NACC")</f>
        <v>0.11833459956542096</v>
      </c>
      <c r="E98" s="511" t="str" cm="1">
        <f t="array" aca="1" ref="E98" ca="1">_xll.d.TestUtils_Equal(C98,D98)</f>
        <v>Ok</v>
      </c>
      <c r="F98" s="516">
        <f>1*($C36^(-1/(1*YEARFRAC($B$35,$B98,3)))-1)</f>
        <v>0.12562068055442754</v>
      </c>
      <c r="G98" s="516" cm="1">
        <f t="array" aca="1" ref="G98" ca="1">_xll.d.Curve_GetZeroRates($B$25,$B98,"NACA")</f>
        <v>0.12562068055442821</v>
      </c>
      <c r="H98" s="516"/>
      <c r="I98" s="511" t="str" cm="1">
        <f t="array" aca="1" ref="I98" ca="1">_xll.d.TestUtils_Equal(F98,G98)</f>
        <v>Ok</v>
      </c>
      <c r="J98" s="516">
        <f>2*($C36^(-1/(2*YEARFRAC($B$35,$B98,3)))-1)</f>
        <v>0.12190544610680298</v>
      </c>
      <c r="K98" s="516" cm="1">
        <f t="array" aca="1" ref="K98" ca="1">_xll.d.Curve_GetZeroRates($B$25,$B98,"NACS")</f>
        <v>0.12190544610680343</v>
      </c>
      <c r="L98" s="516"/>
      <c r="M98" s="511" t="str" cm="1">
        <f t="array" aca="1" ref="M98" ca="1">_xll.d.TestUtils_Equal(J98,K98)</f>
        <v>Ok</v>
      </c>
      <c r="N98" s="516">
        <f>4*($C36^(-1/(4*YEARFRAC($B$35,$B98,3)))-1)</f>
        <v>0.12010237358908604</v>
      </c>
      <c r="O98" s="516" cm="1">
        <f t="array" aca="1" ref="O98" ca="1">_xll.d.Curve_GetZeroRates($B$25,$B98,"NACQ")</f>
        <v>0.12010237358908693</v>
      </c>
      <c r="P98" s="511" t="str" cm="1">
        <f t="array" aca="1" ref="P98" ca="1">_xll.d.TestUtils_Equal(N98,O98)</f>
        <v>Ok</v>
      </c>
      <c r="Q98" s="516">
        <f>12*($C36^(-1/(12*YEARFRAC($B$35,$B98,3)))-1)</f>
        <v>0.11891998374379664</v>
      </c>
      <c r="R98" s="516">
        <f t="array" aca="1" ref="R98" ca="1">_xll.d.Curve_GetZeroRates($B$25,$B98,"NACM")</f>
        <v>0.11891998374379664</v>
      </c>
      <c r="S98" s="511" t="str" cm="1">
        <f t="array" aca="1" ref="S98" ca="1">_xll.d.TestUtils_Equal(Q98,R98)</f>
        <v>Ok</v>
      </c>
      <c r="T98" s="516">
        <f>(1/YEARFRAC($B$35,B98,3))*(1/C36-1)</f>
        <v>0.11893124796350681</v>
      </c>
      <c r="U98" s="516" cm="1">
        <f t="array" aca="1" ref="U98" ca="1">_xll.d.Curve_GetZeroRates($B$25,$B98,"Simple")</f>
        <v>0.11893124796350679</v>
      </c>
      <c r="V98" s="513" t="str" cm="1">
        <f t="array" aca="1" ref="V98" ca="1">_xll.d.TestUtils_Equal(T98,U98)</f>
        <v>Ok</v>
      </c>
      <c r="X98" s="520" t="s">
        <v>65</v>
      </c>
      <c r="Y98" s="520"/>
      <c r="Z98" s="520"/>
      <c r="AA98" s="520" t="s">
        <v>66</v>
      </c>
      <c r="AB98" s="520"/>
      <c r="AC98" s="621"/>
      <c r="AD98" s="184" t="s">
        <v>67</v>
      </c>
    </row>
    <row r="99" spans="2:30">
      <c r="B99" s="508">
        <f>B37</f>
        <v>44621</v>
      </c>
      <c r="C99" s="517">
        <f>-LN(C37)/YEARFRAC($B$35,B99,3)</f>
        <v>0.12498285035414584</v>
      </c>
      <c r="D99" s="517">
        <f ca="1"/>
        <v>0.12498285035414587</v>
      </c>
      <c r="E99" s="510" t="str" cm="1">
        <f t="array" aca="1" ref="E99" ca="1">_xll.d.TestUtils_Equal(C99,D99)</f>
        <v>Ok</v>
      </c>
      <c r="F99" s="517">
        <f>1*($C37^(-1/(1*YEARFRAC($B$35,$B99,3)))-1)</f>
        <v>0.13312902013879047</v>
      </c>
      <c r="G99" s="517" cm="1">
        <f t="array" aca="1" ref="G99" ca="1">_xll.d.Curve_GetZeroRates($B$25,$B99,"NACA")</f>
        <v>0.13312902013879047</v>
      </c>
      <c r="H99" s="517"/>
      <c r="I99" s="510" t="str" cm="1">
        <f t="array" aca="1" ref="I99" ca="1">_xll.d.TestUtils_Equal(F99,G99)</f>
        <v>Ok</v>
      </c>
      <c r="J99" s="517">
        <f>2*($C37^(-1/(2*YEARFRAC($B$35,$B99,3)))-1)</f>
        <v>0.12897066221100451</v>
      </c>
      <c r="K99" s="517" cm="1">
        <f t="array" aca="1" ref="K99" ca="1">_xll.d.Curve_GetZeroRates($B$25,$B99,"NACS")</f>
        <v>0.12897066221100406</v>
      </c>
      <c r="L99" s="517"/>
      <c r="M99" s="510" t="str" cm="1">
        <f t="array" aca="1" ref="M99" ca="1">_xll.d.TestUtils_Equal(J99,K99)</f>
        <v>Ok</v>
      </c>
      <c r="N99" s="517">
        <f>4*($C37^(-1/(4*YEARFRAC($B$35,$B99,3)))-1)</f>
        <v>0.12695593600029031</v>
      </c>
      <c r="O99" s="517" cm="1">
        <f t="array" aca="1" ref="O99" ca="1">_xll.d.Curve_GetZeroRates($B$25,$B99,"NACQ")</f>
        <v>0.12695593600029031</v>
      </c>
      <c r="P99" s="510" t="str" cm="1">
        <f t="array" aca="1" ref="P99" ca="1">_xll.d.TestUtils_Equal(N99,O99)</f>
        <v>Ok</v>
      </c>
      <c r="Q99" s="517">
        <f>12*($C37^(-1/(12*YEARFRAC($B$35,$B99,3)))-1)</f>
        <v>0.12563597891789247</v>
      </c>
      <c r="R99" s="517" cm="1">
        <f t="array" aca="1" ref="R99" ca="1">_xll.d.Curve_GetZeroRates($B$25,$B99,"NACM")</f>
        <v>0.1256359789178898</v>
      </c>
      <c r="S99" s="510" t="str" cm="1">
        <f t="array" aca="1" ref="S99" ca="1">_xll.d.TestUtils_Equal(Q99,R99)</f>
        <v>Ok</v>
      </c>
      <c r="T99" s="517">
        <f>(1/YEARFRAC($B$35,B99,3))*(1/C37-1)</f>
        <v>0.12625389138706342</v>
      </c>
      <c r="U99" s="517" cm="1">
        <f t="array" aca="1" ref="U99" ca="1">_xll.d.Curve_GetZeroRates($B$25,$B99,"Simple")</f>
        <v>0.12625389138706344</v>
      </c>
      <c r="V99" s="514" t="str" cm="1">
        <f t="array" aca="1" ref="V99" ca="1">_xll.d.TestUtils_Equal(T99,U99)</f>
        <v>Ok</v>
      </c>
      <c r="X99" s="521" t="str" cm="1">
        <f t="array" aca="1" ref="X99" ca="1">_xll.d.Curve_GetZeroRates($B$25,$B98,"NACP")</f>
        <v>#∂Excel Error: Invalid compounding convention: 'NACP'</v>
      </c>
      <c r="Y99" s="620"/>
      <c r="Z99" s="522"/>
      <c r="AA99" s="523" t="s">
        <v>538</v>
      </c>
      <c r="AB99" s="524"/>
      <c r="AC99" s="524"/>
      <c r="AD99" s="183" t="str" cm="1">
        <f t="array" aca="1" ref="AD99" ca="1">_xll.d.TestUtils_Equal(X99,AA99)</f>
        <v>Ok</v>
      </c>
    </row>
    <row r="100" spans="2:30">
      <c r="B100" s="508">
        <f>B38</f>
        <v>44652</v>
      </c>
      <c r="C100" s="517">
        <f>-LN(C38)/YEARFRAC($B$35,B100,3)</f>
        <v>0.12352900813242923</v>
      </c>
      <c r="D100" s="517">
        <f ca="1"/>
        <v>0.12352900813242955</v>
      </c>
      <c r="E100" s="510" t="str" cm="1">
        <f t="array" aca="1" ref="E100" ca="1">_xll.d.TestUtils_Equal(C100,D100)</f>
        <v>Ok</v>
      </c>
      <c r="F100" s="517">
        <f>1*($C38^(-1/(1*YEARFRAC($B$35,$B100,3)))-1)</f>
        <v>0.13148282626969365</v>
      </c>
      <c r="G100" s="517" cm="1">
        <f t="array" aca="1" ref="G100" ca="1">_xll.d.Curve_GetZeroRates($B$25,$B100,"NACA")</f>
        <v>0.1314828262696941</v>
      </c>
      <c r="H100" s="517"/>
      <c r="I100" s="510" t="str" cm="1">
        <f t="array" aca="1" ref="I100" ca="1">_xll.d.TestUtils_Equal(F100,G100)</f>
        <v>Ok</v>
      </c>
      <c r="J100" s="517">
        <f>2*($C38^(-1/(2*YEARFRAC($B$35,$B100,3)))-1)</f>
        <v>0.12742363084524699</v>
      </c>
      <c r="K100" s="517" cm="1">
        <f t="array" aca="1" ref="K100" ca="1">_xll.d.Curve_GetZeroRates($B$25,$B100,"NACS")</f>
        <v>0.12742363084524744</v>
      </c>
      <c r="L100" s="517"/>
      <c r="M100" s="510" t="str" cm="1">
        <f t="array" aca="1" ref="M100" ca="1">_xll.d.TestUtils_Equal(J100,K100)</f>
        <v>Ok</v>
      </c>
      <c r="N100" s="517">
        <f>4*($C38^(-1/(4*YEARFRAC($B$35,$B100,3)))-1)</f>
        <v>0.12545622286335512</v>
      </c>
      <c r="O100" s="517" cm="1">
        <f t="array" aca="1" ref="O100" ca="1">_xll.d.Curve_GetZeroRates($B$25,$B100,"NACQ")</f>
        <v>0.12545622286335512</v>
      </c>
      <c r="P100" s="510" t="str" cm="1">
        <f t="array" aca="1" ref="P100" ca="1">_xll.d.TestUtils_Equal(N100,O100)</f>
        <v>Ok</v>
      </c>
      <c r="Q100" s="517">
        <f>12*($C38^(-1/(12*YEARFRAC($B$35,$B100,3)))-1)</f>
        <v>0.12416700444279183</v>
      </c>
      <c r="R100" s="517" cm="1">
        <f t="array" aca="1" ref="R100" ca="1">_xll.d.Curve_GetZeroRates($B$25,$B100,"NACM")</f>
        <v>0.12416700444279183</v>
      </c>
      <c r="S100" s="510" t="str" cm="1">
        <f t="array" aca="1" ref="S100" ca="1">_xll.d.TestUtils_Equal(Q100,R100)</f>
        <v>Ok</v>
      </c>
      <c r="T100" s="517">
        <f>(1/YEARFRAC($B$35,B100,3))*(1/C38-1)</f>
        <v>0.12542955326460525</v>
      </c>
      <c r="U100" s="517" cm="1">
        <f t="array" aca="1" ref="U100" ca="1">_xll.d.Curve_GetZeroRates($B$25,$B100,"Simple")</f>
        <v>0.12542955326460528</v>
      </c>
      <c r="V100" s="514" t="str" cm="1">
        <f t="array" aca="1" ref="V100" ca="1">_xll.d.TestUtils_Equal(T100,U100)</f>
        <v>Ok</v>
      </c>
    </row>
    <row r="101" spans="2:30">
      <c r="B101" s="508">
        <f>B39</f>
        <v>44682</v>
      </c>
      <c r="C101" s="517">
        <f>-LN(C39)/YEARFRAC($B$35,B101,3)</f>
        <v>0.12416689999910947</v>
      </c>
      <c r="D101" s="517">
        <f ca="1"/>
        <v>0.12416689999910957</v>
      </c>
      <c r="E101" s="510" t="str" cm="1">
        <f t="array" aca="1" ref="E101" ca="1">_xll.d.TestUtils_Equal(C101,D101)</f>
        <v>Ok</v>
      </c>
      <c r="F101" s="517">
        <f>1*($C39^(-1/(1*YEARFRAC($B$35,$B101,3)))-1)</f>
        <v>0.13220482021441016</v>
      </c>
      <c r="G101" s="517" cm="1">
        <f t="array" aca="1" ref="G101" ca="1">_xll.d.Curve_GetZeroRates($B$25,$B101,"NACA")</f>
        <v>0.13220482021441016</v>
      </c>
      <c r="H101" s="517"/>
      <c r="I101" s="510" t="str" cm="1">
        <f t="array" aca="1" ref="I101" ca="1">_xll.d.TestUtils_Equal(F101,G101)</f>
        <v>Ok</v>
      </c>
      <c r="J101" s="517">
        <f>2*($C39^(-1/(2*YEARFRAC($B$35,$B101,3)))-1)</f>
        <v>0.12810227217999115</v>
      </c>
      <c r="K101" s="517" cm="1">
        <f t="array" aca="1" ref="K101" ca="1">_xll.d.Curve_GetZeroRates($B$25,$B101,"NACS")</f>
        <v>0.12810227217999115</v>
      </c>
      <c r="L101" s="517"/>
      <c r="M101" s="510" t="str" cm="1">
        <f t="array" aca="1" ref="M101" ca="1">_xll.d.TestUtils_Equal(J101,K101)</f>
        <v>Ok</v>
      </c>
      <c r="N101" s="517">
        <f>4*($C39^(-1/(4*YEARFRAC($B$35,$B101,3)))-1)</f>
        <v>0.12611417406740255</v>
      </c>
      <c r="O101" s="517" cm="1">
        <f t="array" aca="1" ref="O101" ca="1">_xll.d.Curve_GetZeroRates($B$25,$B101,"NACQ")</f>
        <v>0.12611417406740344</v>
      </c>
      <c r="P101" s="510" t="str" cm="1">
        <f t="array" aca="1" ref="P101" ca="1">_xll.d.TestUtils_Equal(N101,O101)</f>
        <v>Ok</v>
      </c>
      <c r="Q101" s="517">
        <f>12*($C39^(-1/(12*YEARFRAC($B$35,$B101,3)))-1)</f>
        <v>0.12481151386647849</v>
      </c>
      <c r="R101" s="517" cm="1">
        <f t="array" aca="1" ref="R101" ca="1">_xll.d.Curve_GetZeroRates($B$25,$B101,"NACM")</f>
        <v>0.12481151386647849</v>
      </c>
      <c r="S101" s="510" t="str" cm="1">
        <f t="array" aca="1" ref="S101" ca="1">_xll.d.TestUtils_Equal(Q101,R101)</f>
        <v>Ok</v>
      </c>
      <c r="T101" s="517">
        <f>(1/YEARFRAC($B$35,B101,3))*(1/C39-1)</f>
        <v>0.12673611111111135</v>
      </c>
      <c r="U101" s="517" cm="1">
        <f t="array" aca="1" ref="U101" ca="1">_xll.d.Curve_GetZeroRates($B$25,$B101,"Simple")</f>
        <v>0.12673611111111135</v>
      </c>
      <c r="V101" s="514" t="str" cm="1">
        <f t="array" aca="1" ref="V101" ca="1">_xll.d.TestUtils_Equal(T101,U101)</f>
        <v>Ok</v>
      </c>
    </row>
    <row r="102" spans="2:30">
      <c r="B102" s="509">
        <f>B40</f>
        <v>46022</v>
      </c>
      <c r="C102" s="518">
        <f>-LN(C40)/YEARFRAC($B$35,B102,3)</f>
        <v>0.11950895023574995</v>
      </c>
      <c r="D102" s="518">
        <f ca="1"/>
        <v>0.11950895023574998</v>
      </c>
      <c r="E102" s="512" t="str" cm="1">
        <f t="array" aca="1" ref="E102" ca="1">_xll.d.TestUtils_Equal(C102,D102)</f>
        <v>Ok</v>
      </c>
      <c r="F102" s="518">
        <f>1*($C40^(-1/(1*YEARFRAC($B$35,$B102,3)))-1)</f>
        <v>0.12694333043055228</v>
      </c>
      <c r="G102" s="518" cm="1">
        <f t="array" aca="1" ref="G102" ca="1">_xll.d.Curve_GetZeroRates($B$25,$B102,"NACA")</f>
        <v>0.12694333043055228</v>
      </c>
      <c r="H102" s="518"/>
      <c r="I102" s="512" t="str" cm="1">
        <f t="array" aca="1" ref="I102" ca="1">_xll.d.TestUtils_Equal(F102,G102)</f>
        <v>Ok</v>
      </c>
      <c r="J102" s="518">
        <f>2*($C40^(-1/(2*YEARFRAC($B$35,$B102,3)))-1)</f>
        <v>0.12315174250975502</v>
      </c>
      <c r="K102" s="518" cm="1">
        <f t="array" aca="1" ref="K102" ca="1">_xll.d.Curve_GetZeroRates($B$25,$B102,"NACS")</f>
        <v>0.12315174250975502</v>
      </c>
      <c r="L102" s="518"/>
      <c r="M102" s="512" t="str" cm="1">
        <f t="array" aca="1" ref="M102" ca="1">_xll.d.TestUtils_Equal(J102,K102)</f>
        <v>Ok</v>
      </c>
      <c r="N102" s="518">
        <f>4*($C40^(-1/(4*YEARFRAC($B$35,$B102,3)))-1)</f>
        <v>0.1213121624159994</v>
      </c>
      <c r="O102" s="518" cm="1">
        <f t="array" aca="1" ref="O102" ca="1">_xll.d.Curve_GetZeroRates($B$25,$B102,"NACQ")</f>
        <v>0.1213121624159994</v>
      </c>
      <c r="P102" s="512" t="str" cm="1">
        <f t="array" aca="1" ref="P102" ca="1">_xll.d.TestUtils_Equal(N102,O102)</f>
        <v>Ok</v>
      </c>
      <c r="Q102" s="518">
        <f>12*($C40^(-1/(12*YEARFRAC($B$35,$B102,3)))-1)</f>
        <v>0.12010603026150424</v>
      </c>
      <c r="R102" s="518" cm="1">
        <f t="array" aca="1" ref="R102" ca="1">_xll.d.Curve_GetZeroRates($B$25,$B102,"NACM")</f>
        <v>0.12010603026150424</v>
      </c>
      <c r="S102" s="512" t="str" cm="1">
        <f t="array" aca="1" ref="S102" ca="1">_xll.d.TestUtils_Equal(Q102,R102)</f>
        <v>Ok</v>
      </c>
      <c r="T102" s="518">
        <f>(1/YEARFRAC($B$35,B102,3))*(1/C40-1)</f>
        <v>0.15322580645161293</v>
      </c>
      <c r="U102" s="518" cm="1">
        <f t="array" aca="1" ref="U102" ca="1">_xll.d.Curve_GetZeroRates($B$25,$B102,"Simple")</f>
        <v>0.15322580645161293</v>
      </c>
      <c r="V102" s="515" t="str" cm="1">
        <f t="array" aca="1" ref="V102" ca="1">_xll.d.TestUtils_Equal(T102,U102)</f>
        <v>Ok</v>
      </c>
    </row>
    <row r="105" spans="2:30" ht="18.75">
      <c r="B105" s="3" t="s">
        <v>437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</row>
    <row r="106" spans="2:30">
      <c r="B106" s="430"/>
      <c r="C106" s="430"/>
      <c r="D106" s="430"/>
      <c r="E106" s="6"/>
      <c r="F106" s="430"/>
      <c r="G106" s="430"/>
      <c r="I106" s="430"/>
      <c r="J106" s="430"/>
      <c r="K106" s="430"/>
      <c r="M106" s="430"/>
      <c r="N106" s="430"/>
      <c r="O106" s="430"/>
      <c r="P106" s="430"/>
      <c r="Q106" s="430"/>
      <c r="R106" s="430"/>
      <c r="S106" s="430"/>
      <c r="T106" s="430"/>
      <c r="U106" s="430"/>
      <c r="V106" s="430"/>
    </row>
    <row r="107" spans="2:30">
      <c r="B107" s="55" t="s">
        <v>139</v>
      </c>
      <c r="C107" s="163" t="str" cm="1">
        <f t="array" aca="1" ref="C107" ca="1">_xll.d.TestUtils_And(I112:I116,M112:M116,P112:P116,S112:S116,V112:V116,Y112:Y116)</f>
        <v>Ok</v>
      </c>
      <c r="D107" s="5"/>
      <c r="E107" s="5"/>
      <c r="F107" s="430"/>
      <c r="G107" s="430"/>
      <c r="I107" s="430"/>
      <c r="J107" s="430"/>
      <c r="K107" s="430"/>
      <c r="M107" s="430"/>
      <c r="N107" s="430"/>
      <c r="O107" s="430"/>
      <c r="P107" s="430"/>
      <c r="Q107" s="430"/>
      <c r="R107" s="430"/>
      <c r="S107" s="430"/>
      <c r="T107" s="430"/>
      <c r="U107" s="430"/>
      <c r="V107" s="430"/>
    </row>
    <row r="108" spans="2:30">
      <c r="B108" s="430"/>
      <c r="C108" s="430"/>
      <c r="D108" s="430"/>
      <c r="E108" s="430"/>
      <c r="F108" s="5"/>
      <c r="G108" s="5"/>
      <c r="H108" s="5"/>
      <c r="I108" s="430"/>
      <c r="J108" s="430"/>
      <c r="K108" s="430"/>
      <c r="M108" s="430"/>
      <c r="N108" s="430"/>
      <c r="O108" s="430"/>
      <c r="P108" s="430"/>
      <c r="Q108" s="430"/>
      <c r="R108" s="430"/>
      <c r="S108" s="430"/>
      <c r="T108" s="430"/>
      <c r="U108" s="430"/>
      <c r="V108" s="430"/>
    </row>
    <row r="109" spans="2:30">
      <c r="B109" s="430"/>
      <c r="C109" s="430"/>
      <c r="D109" s="430"/>
      <c r="E109" s="430"/>
      <c r="F109" s="430"/>
      <c r="G109" s="430"/>
      <c r="I109" s="430"/>
      <c r="J109" s="5"/>
      <c r="K109" s="5"/>
      <c r="L109" s="5"/>
      <c r="M109" s="430"/>
      <c r="N109" s="430"/>
      <c r="O109" s="430"/>
      <c r="P109" s="430"/>
      <c r="Q109" s="430"/>
      <c r="R109" s="430"/>
      <c r="S109" s="430"/>
      <c r="T109" s="430"/>
      <c r="U109" s="430"/>
      <c r="V109" s="430"/>
      <c r="W109" s="430"/>
      <c r="X109" s="430"/>
      <c r="Y109" s="430"/>
    </row>
    <row r="110" spans="2:30">
      <c r="B110" s="12"/>
      <c r="C110" s="27"/>
      <c r="D110" s="27"/>
      <c r="E110" s="27"/>
      <c r="F110" s="27" t="s">
        <v>62</v>
      </c>
      <c r="G110" s="27"/>
      <c r="H110" s="27"/>
      <c r="I110" s="27"/>
      <c r="J110" s="27" t="s">
        <v>78</v>
      </c>
      <c r="K110" s="27"/>
      <c r="L110" s="27"/>
      <c r="M110" s="27"/>
      <c r="N110" s="27" t="s">
        <v>79</v>
      </c>
      <c r="O110" s="27"/>
      <c r="P110" s="27"/>
      <c r="Q110" s="27" t="s">
        <v>64</v>
      </c>
      <c r="R110" s="27"/>
      <c r="S110" s="27"/>
      <c r="T110" s="27" t="s">
        <v>63</v>
      </c>
      <c r="U110" s="27"/>
      <c r="V110" s="27"/>
      <c r="W110" s="27" t="s">
        <v>205</v>
      </c>
      <c r="X110" s="27"/>
      <c r="Y110" s="13"/>
    </row>
    <row r="111" spans="2:30">
      <c r="B111" s="494" t="s">
        <v>218</v>
      </c>
      <c r="C111" s="495" t="s">
        <v>219</v>
      </c>
      <c r="D111" s="495" t="s">
        <v>439</v>
      </c>
      <c r="E111" s="495" t="s">
        <v>440</v>
      </c>
      <c r="F111" s="495" t="s">
        <v>438</v>
      </c>
      <c r="G111" s="495" t="s">
        <v>441</v>
      </c>
      <c r="H111" s="495"/>
      <c r="I111" s="495" t="s">
        <v>67</v>
      </c>
      <c r="J111" s="495" t="s">
        <v>438</v>
      </c>
      <c r="K111" s="495" t="s">
        <v>441</v>
      </c>
      <c r="L111" s="495"/>
      <c r="M111" s="495" t="s">
        <v>67</v>
      </c>
      <c r="N111" s="495" t="s">
        <v>438</v>
      </c>
      <c r="O111" s="495" t="s">
        <v>441</v>
      </c>
      <c r="P111" s="495" t="s">
        <v>67</v>
      </c>
      <c r="Q111" s="495" t="s">
        <v>438</v>
      </c>
      <c r="R111" s="495" t="s">
        <v>441</v>
      </c>
      <c r="S111" s="495" t="s">
        <v>67</v>
      </c>
      <c r="T111" s="495" t="s">
        <v>438</v>
      </c>
      <c r="U111" s="495" t="s">
        <v>441</v>
      </c>
      <c r="V111" s="495" t="s">
        <v>67</v>
      </c>
      <c r="W111" s="495" t="s">
        <v>438</v>
      </c>
      <c r="X111" s="495" t="s">
        <v>441</v>
      </c>
      <c r="Y111" s="137" t="s">
        <v>67</v>
      </c>
    </row>
    <row r="112" spans="2:30">
      <c r="B112" s="501">
        <f>B98</f>
        <v>44593</v>
      </c>
      <c r="C112" s="502">
        <f>EDATE(B112,3)</f>
        <v>44682</v>
      </c>
      <c r="D112" s="505" cm="1">
        <f t="array" aca="1" ref="D112" ca="1">_xll.d.Curve_GetDiscountFactors($B$25,B112)</f>
        <v>0.99</v>
      </c>
      <c r="E112" s="505" cm="1">
        <f t="array" aca="1" ref="E112" ca="1">_xll.d.Curve_GetDiscountFactors($B$25,C112)</f>
        <v>0.96</v>
      </c>
      <c r="F112" s="498" cm="1">
        <f t="array" aca="1" ref="F112" ca="1">_xll.d.IR_DiscountFactorsToForwardRate($F$110,D112,E112,YEARFRAC(B112,C112,3))</f>
        <v>0.1261983754310686</v>
      </c>
      <c r="G112" s="498">
        <f t="array" aca="1" ref="G112:G116" ca="1">_xll.d.Curve_GetForwardRates($B$25,B112:B116,C112:C116,F110)</f>
        <v>0.12619837543106849</v>
      </c>
      <c r="H112" s="498"/>
      <c r="I112" s="492" t="str" cm="1">
        <f t="array" aca="1" ref="I112" ca="1">_xll.d.TestUtils_Equal(F112,G112)</f>
        <v>Ok</v>
      </c>
      <c r="J112" s="498" cm="1">
        <f t="array" aca="1" ref="J112" ca="1">_xll.d.IR_DiscountFactorsToForwardRate($J$110,D112,E112,YEARFRAC(B112,C112,3))</f>
        <v>0.13450720431718377</v>
      </c>
      <c r="K112" s="498">
        <f t="array" aca="1" ref="K112:K116" ca="1">_xll.d.Curve_GetForwardRates($B$25,B112:B116,C112:C116,J110)</f>
        <v>0.13450720431718355</v>
      </c>
      <c r="L112" s="498"/>
      <c r="M112" s="492" t="str" cm="1">
        <f t="array" aca="1" ref="M112" ca="1">_xll.d.TestUtils_Equal(J112,K112)</f>
        <v>Ok</v>
      </c>
      <c r="N112" s="498" cm="1">
        <f t="array" aca="1" ref="N112" ca="1">_xll.d.IR_DiscountFactorsToForwardRate($N$110,D112,E112,YEARFRAC(B112,C112,3))</f>
        <v>0.13026496409923993</v>
      </c>
      <c r="O112" s="498" cm="1">
        <f t="array" aca="1" ref="O112:O116" ca="1">_xll.d.Curve_GetForwardRates($B$25,B112:B116,C112:C116,N110)</f>
        <v>0.13026496409923949</v>
      </c>
      <c r="P112" s="492" t="str" cm="1">
        <f t="array" aca="1" ref="P112" ca="1">_xll.d.TestUtils_Equal(N112,O112)</f>
        <v>Ok</v>
      </c>
      <c r="Q112" s="498" cm="1">
        <f t="array" aca="1" ref="Q112" ca="1">_xll.d.IR_DiscountFactorsToForwardRate($Q$110,D112,E112,YEARFRAC(B112,C112,3))</f>
        <v>0.12821023117693464</v>
      </c>
      <c r="R112" s="498" cm="1">
        <f t="array" aca="1" ref="R112:R116" ca="1">_xll.d.Curve_GetForwardRates($B$25,B112:B116,C112:C116,Q110)</f>
        <v>0.12821023117693464</v>
      </c>
      <c r="S112" s="492" t="str" cm="1">
        <f t="array" aca="1" ref="S112" ca="1">_xll.d.TestUtils_Equal(Q112,R112)</f>
        <v>Ok</v>
      </c>
      <c r="T112" s="498" cm="1">
        <f t="array" aca="1" ref="T112" ca="1">_xll.d.IR_DiscountFactorsToForwardRate($T$110,D112,E112,YEARFRAC(B112,C112,3))</f>
        <v>0.12686429234424779</v>
      </c>
      <c r="U112" s="498" cm="1">
        <f t="array" aca="1" ref="U112:U116" ca="1">_xll.d.Curve_GetForwardRates($B$25,B112:B116,C112:C116,T110)</f>
        <v>0.12686429234424779</v>
      </c>
      <c r="V112" s="492" t="str" cm="1">
        <f t="array" aca="1" ref="V112" ca="1">_xll.d.TestUtils_Equal(T112,U112)</f>
        <v>Ok</v>
      </c>
      <c r="W112" s="498" cm="1">
        <f t="array" aca="1" ref="W112" ca="1">_xll.d.IR_DiscountFactorsToForwardRate($W$110,D112,E112,YEARFRAC(B112,C112,3))</f>
        <v>0.12816011235955058</v>
      </c>
      <c r="X112" s="498" cm="1">
        <f t="array" aca="1" ref="X112:X116" ca="1">_xll.d.Curve_GetForwardRates($B$25,B112:B116,C112:C116,W110)</f>
        <v>0.12816011235955058</v>
      </c>
      <c r="Y112" s="496" t="str" cm="1">
        <f t="array" aca="1" ref="Y112" ca="1">_xll.d.TestUtils_Equal(W112,X112)</f>
        <v>Ok</v>
      </c>
    </row>
    <row r="113" spans="2:25">
      <c r="B113" s="489">
        <f>B99</f>
        <v>44621</v>
      </c>
      <c r="C113" s="503">
        <f>EDATE(B113,3)</f>
        <v>44713</v>
      </c>
      <c r="D113" s="506" cm="1">
        <f t="array" aca="1" ref="D113" ca="1">_xll.d.Curve_GetDiscountFactors($B$25,B113)</f>
        <v>0.98</v>
      </c>
      <c r="E113" s="506" cm="1">
        <f t="array" aca="1" ref="E113" ca="1">_xll.d.Curve_GetDiscountFactors($B$25,C113)</f>
        <v>0.95033887992895882</v>
      </c>
      <c r="F113" s="499" cm="1">
        <f t="array" aca="1" ref="F113" ca="1">_xll.d.IR_DiscountFactorsToForwardRate($F$110,D113,E113,YEARFRAC(B113,C113,3))</f>
        <v>0.12193354632163705</v>
      </c>
      <c r="G113" s="499">
        <f ca="1"/>
        <v>0.12193354632163736</v>
      </c>
      <c r="H113" s="499"/>
      <c r="I113" s="491" t="str" cm="1">
        <f t="array" aca="1" ref="I113" ca="1">_xll.d.TestUtils_Equal(F113,G113)</f>
        <v>Ok</v>
      </c>
      <c r="J113" s="499" cm="1">
        <f t="array" aca="1" ref="J113" ca="1">_xll.d.IR_DiscountFactorsToForwardRate($J$110,D113,E113,YEARFRAC(B113,C113,3))</f>
        <v>0.12967902795910313</v>
      </c>
      <c r="K113" s="499">
        <f ca="1"/>
        <v>0.12967902795910358</v>
      </c>
      <c r="L113" s="499"/>
      <c r="M113" s="491" t="str" cm="1">
        <f t="array" aca="1" ref="M113" ca="1">_xll.d.TestUtils_Equal(J113,K113)</f>
        <v>Ok</v>
      </c>
      <c r="N113" s="499" cm="1">
        <f t="array" aca="1" ref="N113" ca="1">_xll.d.IR_DiscountFactorsToForwardRate($N$110,D113,E113,YEARFRAC(B113,C113,3))</f>
        <v>0.12572719600526661</v>
      </c>
      <c r="O113" s="499">
        <f ca="1"/>
        <v>0.12572719600526661</v>
      </c>
      <c r="P113" s="491" t="str" cm="1">
        <f t="array" aca="1" ref="P113" ca="1">_xll.d.TestUtils_Equal(N113,O113)</f>
        <v>Ok</v>
      </c>
      <c r="Q113" s="499" cm="1">
        <f t="array" aca="1" ref="Q113" ca="1">_xll.d.IR_DiscountFactorsToForwardRate($Q$110,D113,E113,YEARFRAC(B113,C113,3))</f>
        <v>0.12381104902275197</v>
      </c>
      <c r="R113" s="499">
        <f ca="1"/>
        <v>0.12381104902275286</v>
      </c>
      <c r="S113" s="491" t="str" cm="1">
        <f t="array" aca="1" ref="S113" ca="1">_xll.d.TestUtils_Equal(Q113,R113)</f>
        <v>Ok</v>
      </c>
      <c r="T113" s="499" cm="1">
        <f t="array" aca="1" ref="T113" ca="1">_xll.d.IR_DiscountFactorsToForwardRate($T$110,D113,E113,YEARFRAC(B113,C113,3))</f>
        <v>0.12255514114432575</v>
      </c>
      <c r="U113" s="499">
        <f ca="1"/>
        <v>0.12255514114432575</v>
      </c>
      <c r="V113" s="491" t="str" cm="1">
        <f t="array" aca="1" ref="V113" ca="1">_xll.d.TestUtils_Equal(T113,U113)</f>
        <v>Ok</v>
      </c>
      <c r="W113" s="499" cm="1">
        <f t="array" aca="1" ref="W113" ca="1">_xll.d.IR_DiscountFactorsToForwardRate($W$110,D113,E113,YEARFRAC(B113,C113,3))</f>
        <v>0.12382663945714034</v>
      </c>
      <c r="X113" s="499">
        <f ca="1"/>
        <v>0.12382663945714034</v>
      </c>
      <c r="Y113" s="497" t="str" cm="1">
        <f t="array" aca="1" ref="Y113" ca="1">_xll.d.TestUtils_Equal(W113,X113)</f>
        <v>Ok</v>
      </c>
    </row>
    <row r="114" spans="2:25">
      <c r="B114" s="489">
        <f>B100</f>
        <v>44652</v>
      </c>
      <c r="C114" s="503">
        <f>EDATE(B114,3)</f>
        <v>44743</v>
      </c>
      <c r="D114" s="506" cm="1">
        <f t="array" aca="1" ref="D114" ca="1">_xll.d.Curve_GetDiscountFactors($B$25,B114)</f>
        <v>0.97</v>
      </c>
      <c r="E114" s="506" cm="1">
        <f t="array" aca="1" ref="E114" ca="1">_xll.d.Curve_GetDiscountFactors($B$25,C114)</f>
        <v>0.94108199131668513</v>
      </c>
      <c r="F114" s="499" cm="1">
        <f t="array" aca="1" ref="F114" ca="1">_xll.d.IR_DiscountFactorsToForwardRate($F$110,D114,E114,YEARFRAC(B114,C114,3))</f>
        <v>0.12139580563464189</v>
      </c>
      <c r="G114" s="499">
        <f ca="1"/>
        <v>0.12139580563464152</v>
      </c>
      <c r="H114" s="499"/>
      <c r="I114" s="491" t="str" cm="1">
        <f t="array" aca="1" ref="I114" ca="1">_xll.d.TestUtils_Equal(F114,G114)</f>
        <v>Ok</v>
      </c>
      <c r="J114" s="499" cm="1">
        <f t="array" aca="1" ref="J114" ca="1">_xll.d.IR_DiscountFactorsToForwardRate($J$110,D114,E114,YEARFRAC(B114,C114,3))</f>
        <v>0.12907171688509589</v>
      </c>
      <c r="K114" s="499">
        <f ca="1"/>
        <v>0.12907171688509544</v>
      </c>
      <c r="L114" s="499"/>
      <c r="M114" s="491" t="str" cm="1">
        <f t="array" aca="1" ref="M114" ca="1">_xll.d.TestUtils_Equal(J114,K114)</f>
        <v>Ok</v>
      </c>
      <c r="N114" s="499" cm="1">
        <f t="array" aca="1" ref="N114" ca="1">_xll.d.IR_DiscountFactorsToForwardRate($N$110,D114,E114,YEARFRAC(B114,C114,3))</f>
        <v>0.12515572783275886</v>
      </c>
      <c r="O114" s="499">
        <f ca="1"/>
        <v>0.12515572783275841</v>
      </c>
      <c r="P114" s="491" t="str" cm="1">
        <f t="array" aca="1" ref="P114" ca="1">_xll.d.TestUtils_Equal(N114,O114)</f>
        <v>Ok</v>
      </c>
      <c r="Q114" s="499" cm="1">
        <f t="array" aca="1" ref="Q114" ca="1">_xll.d.IR_DiscountFactorsToForwardRate($Q$110,D114,E114,YEARFRAC(B114,C114,3))</f>
        <v>0.1232567010388852</v>
      </c>
      <c r="R114" s="499">
        <f ca="1"/>
        <v>0.1232567010388852</v>
      </c>
      <c r="S114" s="491" t="str" cm="1">
        <f t="array" aca="1" ref="S114" ca="1">_xll.d.TestUtils_Equal(Q114,R114)</f>
        <v>Ok</v>
      </c>
      <c r="T114" s="499" cm="1">
        <f t="array" aca="1" ref="T114" ca="1">_xll.d.IR_DiscountFactorsToForwardRate($T$110,D114,E114,YEARFRAC(B114,C114,3))</f>
        <v>0.12201192072159373</v>
      </c>
      <c r="U114" s="499">
        <f ca="1"/>
        <v>0.12201192072159373</v>
      </c>
      <c r="V114" s="491" t="str" cm="1">
        <f t="array" aca="1" ref="V114" ca="1">_xll.d.TestUtils_Equal(T114,U114)</f>
        <v>Ok</v>
      </c>
      <c r="W114" s="499" cm="1">
        <f t="array" aca="1" ref="W114" ca="1">_xll.d.IR_DiscountFactorsToForwardRate($W$110,D114,E114,YEARFRAC(B114,C114,3))</f>
        <v>0.12325155100054225</v>
      </c>
      <c r="X114" s="499">
        <f ca="1"/>
        <v>0.12325155100054225</v>
      </c>
      <c r="Y114" s="497" t="str" cm="1">
        <f t="array" aca="1" ref="Y114" ca="1">_xll.d.TestUtils_Equal(W114,X114)</f>
        <v>Ok</v>
      </c>
    </row>
    <row r="115" spans="2:25">
      <c r="B115" s="489">
        <f>B101</f>
        <v>44682</v>
      </c>
      <c r="C115" s="503">
        <f>EDATE(B115,3)</f>
        <v>44774</v>
      </c>
      <c r="D115" s="506" cm="1">
        <f t="array" aca="1" ref="D115" ca="1">_xll.d.Curve_GetDiscountFactors($B$25,B115)</f>
        <v>0.96</v>
      </c>
      <c r="E115" s="506" cm="1">
        <f t="array" aca="1" ref="E115" ca="1">_xll.d.Curve_GetDiscountFactors($B$25,C115)</f>
        <v>0.93161125578042991</v>
      </c>
      <c r="F115" s="499" cm="1">
        <f t="array" aca="1" ref="F115" ca="1">_xll.d.IR_DiscountFactorsToForwardRate($F$110,D115,E115,YEARFRAC(B115,C115,3))</f>
        <v>0.11909182040619554</v>
      </c>
      <c r="G115" s="499">
        <f ca="1"/>
        <v>0.11909182040619548</v>
      </c>
      <c r="H115" s="499"/>
      <c r="I115" s="491" t="str" cm="1">
        <f t="array" aca="1" ref="I115" ca="1">_xll.d.TestUtils_Equal(F115,G115)</f>
        <v>Ok</v>
      </c>
      <c r="J115" s="499" cm="1">
        <f t="array" aca="1" ref="J115" ca="1">_xll.d.IR_DiscountFactorsToForwardRate($J$110,D115,E115,YEARFRAC(B115,C115,3))</f>
        <v>0.12647334678012689</v>
      </c>
      <c r="K115" s="499">
        <f ca="1"/>
        <v>0.12647334678012689</v>
      </c>
      <c r="L115" s="499"/>
      <c r="M115" s="491" t="str" cm="1">
        <f t="array" aca="1" ref="M115" ca="1">_xll.d.TestUtils_Equal(J115,K115)</f>
        <v>Ok</v>
      </c>
      <c r="N115" s="499" cm="1">
        <f t="array" aca="1" ref="N115" ca="1">_xll.d.IR_DiscountFactorsToForwardRate($N$110,D115,E115,YEARFRAC(B115,C115,3))</f>
        <v>0.1227089737221414</v>
      </c>
      <c r="O115" s="499">
        <f ca="1"/>
        <v>0.1227089737221414</v>
      </c>
      <c r="P115" s="491" t="str" cm="1">
        <f t="array" aca="1" ref="P115" ca="1">_xll.d.TestUtils_Equal(N115,O115)</f>
        <v>Ok</v>
      </c>
      <c r="Q115" s="499" cm="1">
        <f t="array" aca="1" ref="Q115" ca="1">_xll.d.IR_DiscountFactorsToForwardRate($Q$110,D115,E115,YEARFRAC(B115,C115,3))</f>
        <v>0.12088240426454444</v>
      </c>
      <c r="R115" s="499">
        <f ca="1"/>
        <v>0.12088240426454444</v>
      </c>
      <c r="S115" s="491" t="str" cm="1">
        <f t="array" aca="1" ref="S115" ca="1">_xll.d.TestUtils_Equal(Q115,R115)</f>
        <v>Ok</v>
      </c>
      <c r="T115" s="499" cm="1">
        <f t="array" aca="1" ref="T115" ca="1">_xll.d.IR_DiscountFactorsToForwardRate($T$110,D115,E115,YEARFRAC(B115,C115,3))</f>
        <v>0.11968473277032032</v>
      </c>
      <c r="U115" s="499">
        <f ca="1"/>
        <v>0.11968473277032032</v>
      </c>
      <c r="V115" s="491" t="str" cm="1">
        <f t="array" aca="1" ref="V115" ca="1">_xll.d.TestUtils_Equal(T115,U115)</f>
        <v>Ok</v>
      </c>
      <c r="W115" s="499" cm="1">
        <f t="array" aca="1" ref="W115" ca="1">_xll.d.IR_DiscountFactorsToForwardRate($W$110,D115,E115,YEARFRAC(B115,C115,3))</f>
        <v>0.12089726939132452</v>
      </c>
      <c r="X115" s="499">
        <f ca="1"/>
        <v>0.12089726939132452</v>
      </c>
      <c r="Y115" s="497" t="str" cm="1">
        <f t="array" aca="1" ref="Y115" ca="1">_xll.d.TestUtils_Equal(W115,X115)</f>
        <v>Ok</v>
      </c>
    </row>
    <row r="116" spans="2:25">
      <c r="B116" s="490">
        <v>44713</v>
      </c>
      <c r="C116" s="504">
        <f>EDATE(B116,3)</f>
        <v>44805</v>
      </c>
      <c r="D116" s="507" cm="1">
        <f t="array" aca="1" ref="D116" ca="1">_xll.d.Curve_GetDiscountFactors($B$25,B116)</f>
        <v>0.95033887992895882</v>
      </c>
      <c r="E116" s="507" cm="1">
        <f t="array" aca="1" ref="E116" ca="1">_xll.d.Curve_GetDiscountFactors($B$25,C116)</f>
        <v>0.92223583057040071</v>
      </c>
      <c r="F116" s="500" cm="1">
        <f t="array" aca="1" ref="F116" ca="1">_xll.d.IR_DiscountFactorsToForwardRate($F$110,D116,E116,YEARFRAC(B116,C116,3))</f>
        <v>0.11909182040619504</v>
      </c>
      <c r="G116" s="500">
        <f ca="1"/>
        <v>0.11909182040619463</v>
      </c>
      <c r="H116" s="500"/>
      <c r="I116" s="493" t="str" cm="1">
        <f t="array" aca="1" ref="I116" ca="1">_xll.d.TestUtils_Equal(F116,G116)</f>
        <v>Ok</v>
      </c>
      <c r="J116" s="500" cm="1">
        <f t="array" aca="1" ref="J116" ca="1">_xll.d.IR_DiscountFactorsToForwardRate($J$110,D116,E116,YEARFRAC(B116,C116,3))</f>
        <v>0.12647334678012645</v>
      </c>
      <c r="K116" s="500">
        <f ca="1"/>
        <v>0.12647334678012601</v>
      </c>
      <c r="L116" s="500"/>
      <c r="M116" s="493" t="str" cm="1">
        <f t="array" aca="1" ref="M116" ca="1">_xll.d.TestUtils_Equal(J116,K116)</f>
        <v>Ok</v>
      </c>
      <c r="N116" s="500" cm="1">
        <f t="array" aca="1" ref="N116" ca="1">_xll.d.IR_DiscountFactorsToForwardRate($N$110,D116,E116,YEARFRAC(B116,C116,3))</f>
        <v>0.12270897372214096</v>
      </c>
      <c r="O116" s="500">
        <f ca="1"/>
        <v>0.12270897372214051</v>
      </c>
      <c r="P116" s="493" t="str" cm="1">
        <f t="array" aca="1" ref="P116" ca="1">_xll.d.TestUtils_Equal(N116,O116)</f>
        <v>Ok</v>
      </c>
      <c r="Q116" s="500" cm="1">
        <f t="array" aca="1" ref="Q116" ca="1">_xll.d.IR_DiscountFactorsToForwardRate($Q$110,D116,E116,YEARFRAC(B116,C116,3))</f>
        <v>0.12088240426454444</v>
      </c>
      <c r="R116" s="500">
        <f ca="1"/>
        <v>0.12088240426454355</v>
      </c>
      <c r="S116" s="493" t="str" cm="1">
        <f t="array" aca="1" ref="S116" ca="1">_xll.d.TestUtils_Equal(Q116,R116)</f>
        <v>Ok</v>
      </c>
      <c r="T116" s="500" cm="1">
        <f t="array" aca="1" ref="T116" ca="1">_xll.d.IR_DiscountFactorsToForwardRate($T$110,D116,E116,YEARFRAC(B116,C116,3))</f>
        <v>0.11968473277032032</v>
      </c>
      <c r="U116" s="500">
        <f ca="1"/>
        <v>0.11968473277032032</v>
      </c>
      <c r="V116" s="493" t="str" cm="1">
        <f t="array" aca="1" ref="V116" ca="1">_xll.d.TestUtils_Equal(T116,U116)</f>
        <v>Ok</v>
      </c>
      <c r="W116" s="500" cm="1">
        <f t="array" aca="1" ref="W116" ca="1">_xll.d.IR_DiscountFactorsToForwardRate($W$110,D116,E116,YEARFRAC(B116,C116,3))</f>
        <v>0.12089726939132364</v>
      </c>
      <c r="X116" s="500">
        <f ca="1"/>
        <v>0.12089726939132364</v>
      </c>
      <c r="Y116" s="487" t="str" cm="1">
        <f t="array" aca="1" ref="Y116" ca="1">_xll.d.TestUtils_Equal(W116,X116)</f>
        <v>Ok</v>
      </c>
    </row>
    <row r="117" spans="2:25">
      <c r="C117" s="430"/>
      <c r="D117" s="430"/>
      <c r="E117" s="430"/>
    </row>
    <row r="118" spans="2:25">
      <c r="C118" s="430"/>
      <c r="D118" s="430"/>
      <c r="E118" s="430"/>
      <c r="F118" s="488"/>
    </row>
    <row r="119" spans="2:25" ht="18.75">
      <c r="B119" s="3" t="s">
        <v>619</v>
      </c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</row>
    <row r="120" spans="2:25">
      <c r="C120" s="430"/>
      <c r="D120" s="430"/>
      <c r="E120" s="430"/>
    </row>
    <row r="121" spans="2:25">
      <c r="B121" s="55" t="s">
        <v>139</v>
      </c>
      <c r="C121" s="819" t="str">
        <f ca="1">K125</f>
        <v>Ok</v>
      </c>
      <c r="D121" s="430"/>
      <c r="E121" s="430"/>
    </row>
    <row r="122" spans="2:25">
      <c r="B122" s="470" t="s">
        <v>621</v>
      </c>
      <c r="C122" s="430"/>
    </row>
    <row r="123" spans="2:25">
      <c r="B123" s="470" t="s">
        <v>691</v>
      </c>
    </row>
    <row r="124" spans="2:25">
      <c r="B124" s="813" t="s">
        <v>65</v>
      </c>
      <c r="C124" s="814"/>
      <c r="D124" s="814"/>
      <c r="E124" s="814"/>
      <c r="F124" s="814" t="s">
        <v>66</v>
      </c>
      <c r="G124" s="814"/>
      <c r="H124" s="814"/>
      <c r="I124" s="814"/>
      <c r="J124" s="814"/>
      <c r="K124" s="815" t="s">
        <v>67</v>
      </c>
    </row>
    <row r="125" spans="2:25">
      <c r="B125" s="816" t="str" cm="1">
        <f t="array" aca="1" ref="B125" ca="1">_xll.d.Curve_GetInstruments(B25)</f>
        <v>#∂Excel Error: No instruments found. Was this bootstrapped or built from discount factors directly?</v>
      </c>
      <c r="C125" s="817"/>
      <c r="D125" s="817"/>
      <c r="E125" s="817"/>
      <c r="F125" s="820" t="s">
        <v>620</v>
      </c>
      <c r="G125" s="817"/>
      <c r="H125" s="817"/>
      <c r="I125" s="817"/>
      <c r="J125" s="821"/>
      <c r="K125" s="818" t="str" cm="1">
        <f t="array" aca="1" ref="K125" ca="1">_xll.d.TestUtils_Equal(B125,F125)</f>
        <v>Ok</v>
      </c>
    </row>
    <row r="128" spans="2:25" ht="18.75">
      <c r="B128" s="3" t="s">
        <v>692</v>
      </c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</row>
    <row r="129" spans="2:20">
      <c r="B129" s="430"/>
      <c r="C129" s="430"/>
      <c r="D129" s="430"/>
      <c r="E129" s="430"/>
      <c r="F129" s="430"/>
      <c r="G129" s="430"/>
      <c r="I129" s="430"/>
      <c r="J129" s="430"/>
      <c r="K129" s="430"/>
      <c r="M129" s="430"/>
      <c r="N129" s="430"/>
      <c r="O129" s="430"/>
      <c r="P129" s="430"/>
      <c r="Q129" s="430"/>
      <c r="R129" s="430"/>
      <c r="S129" s="430"/>
      <c r="T129" s="430"/>
    </row>
    <row r="130" spans="2:20">
      <c r="B130" s="55" t="s">
        <v>139</v>
      </c>
      <c r="C130" s="819" t="str" cm="1">
        <f t="array" ref="C130">_xll.d.TestUtils_And(D134:D138)</f>
        <v>Ok</v>
      </c>
      <c r="D130" s="430"/>
      <c r="E130" s="430"/>
      <c r="F130" s="430"/>
      <c r="G130" s="430"/>
      <c r="I130" s="430"/>
      <c r="J130" s="430"/>
      <c r="K130" s="430"/>
      <c r="M130" s="430"/>
      <c r="N130" s="430"/>
      <c r="O130" s="430"/>
      <c r="P130" s="430"/>
      <c r="Q130" s="430"/>
      <c r="R130" s="430"/>
      <c r="S130" s="430"/>
      <c r="T130" s="430"/>
    </row>
    <row r="131" spans="2:20">
      <c r="B131" s="470" t="s">
        <v>621</v>
      </c>
      <c r="C131" s="430"/>
      <c r="D131" s="430"/>
      <c r="E131" s="430"/>
      <c r="F131" s="430"/>
      <c r="G131" s="430"/>
      <c r="I131" s="430"/>
      <c r="J131" s="430"/>
      <c r="K131" s="430"/>
      <c r="M131" s="430"/>
      <c r="N131" s="430"/>
      <c r="O131" s="430"/>
      <c r="P131" s="430"/>
      <c r="Q131" s="430"/>
      <c r="R131" s="430"/>
      <c r="S131" s="430"/>
      <c r="T131" s="430"/>
    </row>
    <row r="132" spans="2:20">
      <c r="B132" s="470" t="s">
        <v>691</v>
      </c>
      <c r="C132" s="430"/>
      <c r="D132" s="430"/>
      <c r="E132" s="430"/>
      <c r="F132" s="430"/>
      <c r="G132" s="430"/>
      <c r="I132" s="430"/>
      <c r="J132" s="430"/>
      <c r="K132" s="430"/>
      <c r="M132" s="430"/>
      <c r="N132" s="430"/>
      <c r="O132" s="430"/>
      <c r="P132" s="430"/>
      <c r="Q132" s="430"/>
      <c r="R132" s="430"/>
      <c r="S132" s="430"/>
      <c r="T132" s="430"/>
    </row>
    <row r="133" spans="2:20">
      <c r="B133" s="813" t="s">
        <v>65</v>
      </c>
      <c r="C133" s="814" t="s">
        <v>66</v>
      </c>
      <c r="D133" s="815" t="s">
        <v>67</v>
      </c>
      <c r="E133" s="430"/>
      <c r="F133" s="430"/>
      <c r="G133" s="430"/>
      <c r="I133" s="430"/>
      <c r="J133" s="430"/>
      <c r="K133" s="430"/>
      <c r="M133" s="430"/>
    </row>
    <row r="134" spans="2:20">
      <c r="B134" s="923" t="str" cm="1">
        <f t="array" ref="B134:B139">_xll.d.Curve_GetRateIndices()</f>
        <v>Rate Indices</v>
      </c>
      <c r="C134" s="924" t="s">
        <v>693</v>
      </c>
      <c r="D134" s="922" t="str" cm="1">
        <f t="array" ref="D134">_xll.d.TestUtils_Equal(B134,C134)</f>
        <v>Ok</v>
      </c>
      <c r="E134" s="430"/>
      <c r="F134" s="430"/>
      <c r="G134" s="430"/>
      <c r="I134" s="430"/>
      <c r="J134" s="430"/>
      <c r="K134" s="430"/>
      <c r="M134" s="430"/>
    </row>
    <row r="135" spans="2:20">
      <c r="B135" s="925" t="str">
        <v>EURIBOR</v>
      </c>
      <c r="C135" s="926" t="s">
        <v>694</v>
      </c>
      <c r="D135" s="922" t="str" cm="1">
        <f t="array" ref="D135">_xll.d.TestUtils_Equal(B135,C135)</f>
        <v>Ok</v>
      </c>
      <c r="E135" s="430"/>
      <c r="H135"/>
      <c r="L135"/>
    </row>
    <row r="136" spans="2:20">
      <c r="B136" s="925" t="str">
        <v>FEDFUND</v>
      </c>
      <c r="C136" s="926" t="s">
        <v>51</v>
      </c>
      <c r="D136" s="922" t="str" cm="1">
        <f t="array" ref="D136">_xll.d.TestUtils_Equal(B136,C136)</f>
        <v>Ok</v>
      </c>
      <c r="E136" s="430"/>
      <c r="H136"/>
      <c r="L136"/>
    </row>
    <row r="137" spans="2:20">
      <c r="B137" s="925" t="str">
        <v>JIBAR</v>
      </c>
      <c r="C137" s="926" t="s">
        <v>33</v>
      </c>
      <c r="D137" s="922" t="str" cm="1">
        <f t="array" ref="D137">_xll.d.TestUtils_Equal(B137,C137)</f>
        <v>Ok</v>
      </c>
      <c r="E137" s="430"/>
      <c r="H137"/>
      <c r="L137"/>
    </row>
    <row r="138" spans="2:20">
      <c r="B138" s="925" t="str">
        <v>SOFR</v>
      </c>
      <c r="C138" s="926" t="s">
        <v>742</v>
      </c>
      <c r="D138" s="922" t="str" cm="1">
        <f t="array" ref="D138">_xll.d.TestUtils_Equal(B138,C138)</f>
        <v>Ok</v>
      </c>
      <c r="E138" s="430"/>
      <c r="H138"/>
      <c r="L138"/>
    </row>
    <row r="139" spans="2:20">
      <c r="B139" s="927" t="str">
        <v>USD_LIBOR</v>
      </c>
      <c r="C139" s="928" t="s">
        <v>669</v>
      </c>
      <c r="D139" s="922" t="str" cm="1">
        <f t="array" ref="D139">_xll.d.TestUtils_Equal(B139,C139)</f>
        <v>Ok</v>
      </c>
      <c r="E139" s="430"/>
      <c r="H139"/>
      <c r="I139" s="430"/>
      <c r="L139"/>
    </row>
    <row r="140" spans="2:20">
      <c r="E140" s="430"/>
      <c r="H140"/>
      <c r="I140" s="430"/>
      <c r="L140"/>
    </row>
    <row r="141" spans="2:20" s="430" customFormat="1"/>
    <row r="142" spans="2:20" ht="18.75">
      <c r="B142" s="3" t="s">
        <v>701</v>
      </c>
      <c r="C142" s="3"/>
      <c r="D142" s="3"/>
    </row>
    <row r="143" spans="2:20" s="430" customFormat="1"/>
    <row r="144" spans="2:20" s="430" customFormat="1">
      <c r="B144" s="55" t="s">
        <v>139</v>
      </c>
      <c r="C144" s="819" t="str" cm="1">
        <f t="array" ref="C144">_xll.d.TestUtils_And(F148:F156)</f>
        <v>Ok</v>
      </c>
    </row>
    <row r="145" spans="2:14" s="430" customFormat="1">
      <c r="B145" s="470" t="s">
        <v>621</v>
      </c>
    </row>
    <row r="146" spans="2:14" s="430" customFormat="1">
      <c r="B146" s="470" t="s">
        <v>691</v>
      </c>
    </row>
    <row r="147" spans="2:14" s="430" customFormat="1">
      <c r="B147" s="813" t="s">
        <v>65</v>
      </c>
      <c r="C147" s="814"/>
      <c r="D147" s="814" t="s">
        <v>66</v>
      </c>
      <c r="E147" s="814"/>
      <c r="F147" s="815" t="s">
        <v>67</v>
      </c>
    </row>
    <row r="148" spans="2:14" s="430" customFormat="1">
      <c r="B148" s="929" t="str" cm="1">
        <f t="array" ref="B148:B156">_xll.d.Curve_GetInterpolationMethodsForBootstrapping()</f>
        <v>IR Bootstrapping Interpolation Methods</v>
      </c>
      <c r="C148" s="921"/>
      <c r="D148" s="930" t="s">
        <v>695</v>
      </c>
      <c r="E148" s="931"/>
      <c r="F148" s="922" t="str" cm="1">
        <f t="array" ref="F148">_xll.d.TestUtils_Equal(B148,D148)</f>
        <v>Ok</v>
      </c>
    </row>
    <row r="149" spans="2:14" s="430" customFormat="1">
      <c r="B149" s="932" t="str">
        <v>Flat_On_ForwardRates</v>
      </c>
      <c r="C149" s="26"/>
      <c r="D149" s="933" t="s">
        <v>696</v>
      </c>
      <c r="E149" s="934"/>
      <c r="F149" s="922" t="str" cm="1">
        <f t="array" ref="F149">_xll.d.TestUtils_Equal(B149,D149)</f>
        <v>Ok</v>
      </c>
    </row>
    <row r="150" spans="2:14" s="430" customFormat="1">
      <c r="B150" s="932" t="str">
        <v>CubicSpline_On_DiscountFactors</v>
      </c>
      <c r="C150" s="26"/>
      <c r="D150" s="933" t="s">
        <v>661</v>
      </c>
      <c r="E150" s="934"/>
      <c r="F150" s="922" t="str" cm="1">
        <f t="array" ref="F150">_xll.d.TestUtils_Equal(B150,D150)</f>
        <v>Ok</v>
      </c>
    </row>
    <row r="151" spans="2:14" s="430" customFormat="1">
      <c r="B151" s="932" t="str">
        <v>Exponential_On_DiscountFactors</v>
      </c>
      <c r="C151" s="26"/>
      <c r="D151" s="933" t="s">
        <v>662</v>
      </c>
      <c r="E151" s="934"/>
      <c r="F151" s="922" t="str" cm="1">
        <f t="array" ref="F151">_xll.d.TestUtils_Equal(B151,D151)</f>
        <v>Ok</v>
      </c>
    </row>
    <row r="152" spans="2:14" s="430" customFormat="1">
      <c r="B152" s="932" t="str">
        <v>LogCubic_On_DiscountFactors</v>
      </c>
      <c r="C152" s="26"/>
      <c r="D152" s="933" t="s">
        <v>697</v>
      </c>
      <c r="E152" s="934"/>
      <c r="F152" s="922" t="str" cm="1">
        <f t="array" ref="F152">_xll.d.TestUtils_Equal(B152,D152)</f>
        <v>Ok</v>
      </c>
    </row>
    <row r="153" spans="2:14">
      <c r="B153" s="932" t="str">
        <v>NaturalLogCubic_On_DiscountFactors</v>
      </c>
      <c r="C153" s="26"/>
      <c r="D153" s="933" t="s">
        <v>698</v>
      </c>
      <c r="E153" s="934"/>
      <c r="F153" s="922" t="str" cm="1">
        <f t="array" ref="F153">_xll.d.TestUtils_Equal(B153,D153)</f>
        <v>Ok</v>
      </c>
      <c r="H153"/>
      <c r="J153" s="430"/>
      <c r="L153"/>
      <c r="N153" s="430"/>
    </row>
    <row r="154" spans="2:14">
      <c r="B154" s="932" t="str">
        <v>Cubic_On_ZeroRates</v>
      </c>
      <c r="C154" s="26"/>
      <c r="D154" s="933" t="s">
        <v>699</v>
      </c>
      <c r="E154" s="934"/>
      <c r="F154" s="922" t="str" cm="1">
        <f t="array" ref="F154">_xll.d.TestUtils_Equal(B154,D154)</f>
        <v>Ok</v>
      </c>
      <c r="H154"/>
      <c r="J154" s="430"/>
      <c r="L154"/>
      <c r="N154" s="430"/>
    </row>
    <row r="155" spans="2:14">
      <c r="B155" s="932" t="str">
        <v>Linear_On_ZeroRates</v>
      </c>
      <c r="C155" s="26"/>
      <c r="D155" s="933" t="s">
        <v>690</v>
      </c>
      <c r="E155" s="934"/>
      <c r="F155" s="922" t="str" cm="1">
        <f t="array" ref="F155">_xll.d.TestUtils_Equal(B155,D155)</f>
        <v>Ok</v>
      </c>
      <c r="H155"/>
      <c r="J155" s="430"/>
      <c r="L155"/>
      <c r="N155" s="430"/>
    </row>
    <row r="156" spans="2:14">
      <c r="B156" s="935" t="str">
        <v>NaturalCubic_On_ZeroRates</v>
      </c>
      <c r="C156" s="936"/>
      <c r="D156" s="937" t="s">
        <v>700</v>
      </c>
      <c r="E156" s="938"/>
      <c r="F156" s="922" t="str" cm="1">
        <f t="array" ref="F156">_xll.d.TestUtils_Equal(B156,D156)</f>
        <v>Ok</v>
      </c>
      <c r="H156"/>
      <c r="J156" s="430"/>
      <c r="L156"/>
      <c r="N156" s="430"/>
    </row>
    <row r="159" spans="2:14" ht="18.75">
      <c r="B159" s="3" t="s">
        <v>701</v>
      </c>
      <c r="C159" s="3"/>
      <c r="D159" s="3"/>
      <c r="E159" s="3"/>
      <c r="F159" s="3"/>
    </row>
    <row r="160" spans="2:14">
      <c r="B160" s="430"/>
      <c r="C160" s="430"/>
      <c r="D160" s="430"/>
      <c r="E160" s="430"/>
      <c r="F160" s="430"/>
    </row>
    <row r="161" spans="2:6">
      <c r="B161" s="55" t="s">
        <v>139</v>
      </c>
      <c r="C161" s="819" t="str" cm="1">
        <f t="array" ref="C161">_xll.d.TestUtils_And(F165:F169)</f>
        <v>Ok</v>
      </c>
      <c r="D161" s="430"/>
      <c r="E161" s="430"/>
      <c r="F161" s="430"/>
    </row>
    <row r="162" spans="2:6">
      <c r="B162" s="470" t="s">
        <v>621</v>
      </c>
      <c r="C162" s="430"/>
      <c r="D162" s="430"/>
      <c r="E162" s="430"/>
      <c r="F162" s="430"/>
    </row>
    <row r="163" spans="2:6">
      <c r="B163" s="470" t="s">
        <v>691</v>
      </c>
      <c r="C163" s="430"/>
      <c r="D163" s="430"/>
      <c r="E163" s="430"/>
      <c r="F163" s="430"/>
    </row>
    <row r="164" spans="2:6">
      <c r="B164" s="813" t="s">
        <v>65</v>
      </c>
      <c r="C164" s="814"/>
      <c r="D164" s="814" t="s">
        <v>66</v>
      </c>
      <c r="E164" s="814"/>
      <c r="F164" s="815" t="s">
        <v>67</v>
      </c>
    </row>
    <row r="165" spans="2:6">
      <c r="B165" s="929" t="str" cm="1">
        <f t="array" ref="B165:B169">_xll.d.Curve_GetInterpolationMethodsForDiscountFactors()</f>
        <v>Interpolation Methods for Discount Factors</v>
      </c>
      <c r="C165" s="921"/>
      <c r="D165" s="930" t="s">
        <v>702</v>
      </c>
      <c r="E165" s="931"/>
      <c r="F165" s="922" t="str" cm="1">
        <f t="array" ref="F165">_xll.d.TestUtils_Equal(B165,D165)</f>
        <v>Ok</v>
      </c>
    </row>
    <row r="166" spans="2:6">
      <c r="B166" s="932" t="str">
        <v>CubicSpline_On_DiscountFactors</v>
      </c>
      <c r="C166" s="26"/>
      <c r="D166" s="933" t="s">
        <v>661</v>
      </c>
      <c r="E166" s="934"/>
      <c r="F166" s="922" t="str" cm="1">
        <f t="array" ref="F166">_xll.d.TestUtils_Equal(B166,D166)</f>
        <v>Ok</v>
      </c>
    </row>
    <row r="167" spans="2:6">
      <c r="B167" s="932" t="str">
        <v>Exponential_On_DiscountFactors</v>
      </c>
      <c r="C167" s="26"/>
      <c r="D167" s="933" t="s">
        <v>662</v>
      </c>
      <c r="E167" s="934"/>
      <c r="F167" s="922" t="str" cm="1">
        <f t="array" ref="F167">_xll.d.TestUtils_Equal(B167,D167)</f>
        <v>Ok</v>
      </c>
    </row>
    <row r="168" spans="2:6">
      <c r="B168" s="932" t="str">
        <v>LogCubic_On_DiscountFactors</v>
      </c>
      <c r="C168" s="26"/>
      <c r="D168" s="933" t="s">
        <v>697</v>
      </c>
      <c r="E168" s="934"/>
      <c r="F168" s="922" t="str" cm="1">
        <f t="array" ref="F168">_xll.d.TestUtils_Equal(B168,D168)</f>
        <v>Ok</v>
      </c>
    </row>
    <row r="169" spans="2:6">
      <c r="B169" s="935" t="str">
        <v>NaturalLogCubic_On_DiscountFactors</v>
      </c>
      <c r="C169" s="936"/>
      <c r="D169" s="937" t="s">
        <v>698</v>
      </c>
      <c r="E169" s="938"/>
      <c r="F169" s="922" t="str" cm="1">
        <f t="array" ref="F169">_xll.d.TestUtils_Equal(B169,D169)</f>
        <v>Ok</v>
      </c>
    </row>
    <row r="172" spans="2:6" ht="18.75">
      <c r="B172" s="3" t="s">
        <v>703</v>
      </c>
      <c r="C172" s="3"/>
      <c r="D172" s="3"/>
      <c r="E172" s="3"/>
      <c r="F172" s="3"/>
    </row>
    <row r="173" spans="2:6">
      <c r="B173" s="430"/>
      <c r="C173" s="430"/>
      <c r="D173" s="430"/>
      <c r="E173" s="430"/>
      <c r="F173" s="430"/>
    </row>
    <row r="174" spans="2:6">
      <c r="B174" s="55" t="s">
        <v>139</v>
      </c>
      <c r="C174" s="819" t="str" cm="1">
        <f t="array" ref="C174">_xll.d.TestUtils_And(F178:F182)</f>
        <v>Ok</v>
      </c>
      <c r="D174" s="430"/>
      <c r="E174" s="430"/>
      <c r="F174" s="430"/>
    </row>
    <row r="175" spans="2:6">
      <c r="B175" s="470" t="s">
        <v>621</v>
      </c>
      <c r="C175" s="430"/>
      <c r="D175" s="430"/>
      <c r="E175" s="430"/>
      <c r="F175" s="430"/>
    </row>
    <row r="176" spans="2:6">
      <c r="B176" s="470" t="s">
        <v>691</v>
      </c>
      <c r="C176" s="430"/>
      <c r="D176" s="430"/>
      <c r="E176" s="430"/>
      <c r="F176" s="430"/>
    </row>
    <row r="177" spans="2:6">
      <c r="B177" s="813" t="s">
        <v>65</v>
      </c>
      <c r="C177" s="814"/>
      <c r="D177" s="814" t="s">
        <v>66</v>
      </c>
      <c r="E177" s="814"/>
      <c r="F177" s="815" t="s">
        <v>67</v>
      </c>
    </row>
    <row r="178" spans="2:6">
      <c r="B178" s="929" t="str" cm="1">
        <f t="array" ref="B178:B182">_xll.d.Curve_GetInterpolationMethodsForDiscountFactors()</f>
        <v>Interpolation Methods for Discount Factors</v>
      </c>
      <c r="C178" s="921"/>
      <c r="D178" s="930" t="s">
        <v>702</v>
      </c>
      <c r="E178" s="931"/>
      <c r="F178" s="922" t="str" cm="1">
        <f t="array" ref="F178">_xll.d.TestUtils_Equal(B178,D178)</f>
        <v>Ok</v>
      </c>
    </row>
    <row r="179" spans="2:6">
      <c r="B179" s="932" t="str">
        <v>CubicSpline_On_DiscountFactors</v>
      </c>
      <c r="C179" s="26"/>
      <c r="D179" s="933" t="s">
        <v>661</v>
      </c>
      <c r="E179" s="934"/>
      <c r="F179" s="922" t="str" cm="1">
        <f t="array" ref="F179">_xll.d.TestUtils_Equal(B179,D179)</f>
        <v>Ok</v>
      </c>
    </row>
    <row r="180" spans="2:6">
      <c r="B180" s="932" t="str">
        <v>Exponential_On_DiscountFactors</v>
      </c>
      <c r="C180" s="26"/>
      <c r="D180" s="933" t="s">
        <v>662</v>
      </c>
      <c r="E180" s="934"/>
      <c r="F180" s="922" t="str" cm="1">
        <f t="array" ref="F180">_xll.d.TestUtils_Equal(B180,D180)</f>
        <v>Ok</v>
      </c>
    </row>
    <row r="181" spans="2:6">
      <c r="B181" s="932" t="str">
        <v>LogCubic_On_DiscountFactors</v>
      </c>
      <c r="C181" s="26"/>
      <c r="D181" s="933" t="s">
        <v>697</v>
      </c>
      <c r="E181" s="934"/>
      <c r="F181" s="922" t="str" cm="1">
        <f t="array" ref="F181">_xll.d.TestUtils_Equal(B181,D181)</f>
        <v>Ok</v>
      </c>
    </row>
    <row r="182" spans="2:6">
      <c r="B182" s="935" t="str">
        <v>NaturalLogCubic_On_DiscountFactors</v>
      </c>
      <c r="C182" s="936"/>
      <c r="D182" s="937" t="s">
        <v>698</v>
      </c>
      <c r="E182" s="938"/>
      <c r="F182" s="922" t="str" cm="1">
        <f t="array" ref="F182">_xll.d.TestUtils_Equal(B182,D182)</f>
        <v>Ok</v>
      </c>
    </row>
    <row r="185" spans="2:6" ht="18.75">
      <c r="B185" s="3" t="s">
        <v>705</v>
      </c>
      <c r="C185" s="3"/>
      <c r="D185" s="3"/>
      <c r="E185" s="3"/>
      <c r="F185" s="3"/>
    </row>
    <row r="186" spans="2:6">
      <c r="B186" s="430"/>
      <c r="C186" s="430"/>
      <c r="D186" s="430"/>
      <c r="E186" s="430"/>
      <c r="F186" s="430"/>
    </row>
    <row r="187" spans="2:6">
      <c r="B187" s="55" t="s">
        <v>139</v>
      </c>
      <c r="C187" s="819" t="str" cm="1">
        <f t="array" ref="C187">_xll.d.TestUtils_And(F191:F194)</f>
        <v>Ok</v>
      </c>
      <c r="D187" s="430"/>
      <c r="E187" s="430"/>
      <c r="F187" s="430"/>
    </row>
    <row r="188" spans="2:6">
      <c r="B188" s="470" t="s">
        <v>621</v>
      </c>
      <c r="C188" s="430"/>
      <c r="D188" s="430"/>
      <c r="E188" s="430"/>
      <c r="F188" s="430"/>
    </row>
    <row r="189" spans="2:6">
      <c r="B189" s="470" t="s">
        <v>691</v>
      </c>
      <c r="C189" s="430"/>
      <c r="D189" s="430"/>
      <c r="E189" s="430"/>
      <c r="F189" s="430"/>
    </row>
    <row r="190" spans="2:6">
      <c r="B190" s="813" t="s">
        <v>65</v>
      </c>
      <c r="C190" s="814"/>
      <c r="D190" s="814" t="s">
        <v>66</v>
      </c>
      <c r="E190" s="814"/>
      <c r="F190" s="815" t="s">
        <v>67</v>
      </c>
    </row>
    <row r="191" spans="2:6">
      <c r="B191" s="929" t="str" cm="1">
        <f t="array" ref="B191:B194">_xll.d.Curve_GetInterpolationMethodsForZeroRates()</f>
        <v>Interpolation Methods for Zero Rates</v>
      </c>
      <c r="C191" s="921"/>
      <c r="D191" s="930" t="s">
        <v>704</v>
      </c>
      <c r="E191" s="931"/>
      <c r="F191" s="922" t="str" cm="1">
        <f t="array" ref="F191">_xll.d.TestUtils_Equal(B191,D191)</f>
        <v>Ok</v>
      </c>
    </row>
    <row r="192" spans="2:6">
      <c r="B192" s="932" t="str">
        <v>Cubic_On_ZeroRates</v>
      </c>
      <c r="C192" s="26"/>
      <c r="D192" s="933" t="s">
        <v>699</v>
      </c>
      <c r="E192" s="934"/>
      <c r="F192" s="922" t="str" cm="1">
        <f t="array" ref="F192">_xll.d.TestUtils_Equal(B192,D192)</f>
        <v>Ok</v>
      </c>
    </row>
    <row r="193" spans="2:6">
      <c r="B193" s="932" t="str">
        <v>Linear_On_ZeroRates</v>
      </c>
      <c r="C193" s="26"/>
      <c r="D193" s="933" t="s">
        <v>690</v>
      </c>
      <c r="E193" s="934"/>
      <c r="F193" s="922" t="str" cm="1">
        <f t="array" ref="F193">_xll.d.TestUtils_Equal(B193,D193)</f>
        <v>Ok</v>
      </c>
    </row>
    <row r="194" spans="2:6">
      <c r="B194" s="935" t="str">
        <v>NaturalCubic_On_ZeroRates</v>
      </c>
      <c r="C194" s="936"/>
      <c r="D194" s="937" t="s">
        <v>700</v>
      </c>
      <c r="E194" s="938"/>
      <c r="F194" s="922" t="str" cm="1">
        <f t="array" ref="F194">_xll.d.TestUtils_Equal(B194,D194)</f>
        <v>Ok</v>
      </c>
    </row>
  </sheetData>
  <conditionalFormatting sqref="E77:E87">
    <cfRule type="cellIs" dxfId="634" priority="76" stopIfTrue="1" operator="equal">
      <formula>"OK"</formula>
    </cfRule>
    <cfRule type="cellIs" dxfId="633" priority="77" stopIfTrue="1" operator="equal">
      <formula>"ERROR"</formula>
    </cfRule>
  </conditionalFormatting>
  <conditionalFormatting sqref="C73">
    <cfRule type="cellIs" dxfId="632" priority="74" stopIfTrue="1" operator="equal">
      <formula>"OK"</formula>
    </cfRule>
    <cfRule type="cellIs" dxfId="631" priority="75" stopIfTrue="1" operator="equal">
      <formula>"ERROR"</formula>
    </cfRule>
  </conditionalFormatting>
  <conditionalFormatting sqref="E98:E102">
    <cfRule type="cellIs" dxfId="630" priority="72" stopIfTrue="1" operator="equal">
      <formula>"OK"</formula>
    </cfRule>
    <cfRule type="cellIs" dxfId="629" priority="73" stopIfTrue="1" operator="equal">
      <formula>"ERROR"</formula>
    </cfRule>
  </conditionalFormatting>
  <conditionalFormatting sqref="S98:S102">
    <cfRule type="cellIs" dxfId="628" priority="70" stopIfTrue="1" operator="equal">
      <formula>"OK"</formula>
    </cfRule>
    <cfRule type="cellIs" dxfId="627" priority="71" stopIfTrue="1" operator="equal">
      <formula>"ERROR"</formula>
    </cfRule>
  </conditionalFormatting>
  <conditionalFormatting sqref="P98:P102">
    <cfRule type="cellIs" dxfId="626" priority="68" stopIfTrue="1" operator="equal">
      <formula>"OK"</formula>
    </cfRule>
    <cfRule type="cellIs" dxfId="625" priority="69" stopIfTrue="1" operator="equal">
      <formula>"ERROR"</formula>
    </cfRule>
  </conditionalFormatting>
  <conditionalFormatting sqref="AD99">
    <cfRule type="cellIs" dxfId="624" priority="66" stopIfTrue="1" operator="equal">
      <formula>"OK"</formula>
    </cfRule>
    <cfRule type="cellIs" dxfId="623" priority="67" stopIfTrue="1" operator="equal">
      <formula>"ERROR"</formula>
    </cfRule>
  </conditionalFormatting>
  <conditionalFormatting sqref="D7:D8">
    <cfRule type="cellIs" dxfId="622" priority="80" stopIfTrue="1" operator="equal">
      <formula>"ERROR"</formula>
    </cfRule>
    <cfRule type="cellIs" dxfId="621" priority="81" stopIfTrue="1" operator="equal">
      <formula>"OK"</formula>
    </cfRule>
    <cfRule type="cellIs" dxfId="620" priority="82" stopIfTrue="1" operator="equal">
      <formula>"WARNING"</formula>
    </cfRule>
  </conditionalFormatting>
  <conditionalFormatting sqref="Y94:Y95">
    <cfRule type="cellIs" dxfId="619" priority="64" stopIfTrue="1" operator="equal">
      <formula>"OK"</formula>
    </cfRule>
    <cfRule type="cellIs" dxfId="618" priority="65" stopIfTrue="1" operator="equal">
      <formula>"ERROR"</formula>
    </cfRule>
  </conditionalFormatting>
  <conditionalFormatting sqref="I98:I102">
    <cfRule type="cellIs" dxfId="617" priority="62" stopIfTrue="1" operator="equal">
      <formula>"OK"</formula>
    </cfRule>
    <cfRule type="cellIs" dxfId="616" priority="63" stopIfTrue="1" operator="equal">
      <formula>"ERROR"</formula>
    </cfRule>
  </conditionalFormatting>
  <conditionalFormatting sqref="C92">
    <cfRule type="cellIs" dxfId="615" priority="60" stopIfTrue="1" operator="equal">
      <formula>"OK"</formula>
    </cfRule>
    <cfRule type="cellIs" dxfId="614" priority="61" stopIfTrue="1" operator="equal">
      <formula>"ERROR"</formula>
    </cfRule>
  </conditionalFormatting>
  <conditionalFormatting sqref="M98:M102">
    <cfRule type="cellIs" dxfId="613" priority="58" stopIfTrue="1" operator="equal">
      <formula>"OK"</formula>
    </cfRule>
    <cfRule type="cellIs" dxfId="612" priority="59" stopIfTrue="1" operator="equal">
      <formula>"ERROR"</formula>
    </cfRule>
  </conditionalFormatting>
  <conditionalFormatting sqref="V98:V102">
    <cfRule type="cellIs" dxfId="611" priority="56" stopIfTrue="1" operator="equal">
      <formula>"OK"</formula>
    </cfRule>
    <cfRule type="cellIs" dxfId="610" priority="57" stopIfTrue="1" operator="equal">
      <formula>"ERROR"</formula>
    </cfRule>
  </conditionalFormatting>
  <conditionalFormatting sqref="D9">
    <cfRule type="cellIs" dxfId="609" priority="83" stopIfTrue="1" operator="equal">
      <formula>"ERROR"</formula>
    </cfRule>
    <cfRule type="cellIs" dxfId="608" priority="84" stopIfTrue="1" operator="equal">
      <formula>"OK"</formula>
    </cfRule>
    <cfRule type="cellIs" dxfId="607" priority="85" stopIfTrue="1" operator="equal">
      <formula>"WARNING"</formula>
    </cfRule>
  </conditionalFormatting>
  <conditionalFormatting sqref="C4">
    <cfRule type="cellIs" dxfId="606" priority="54" stopIfTrue="1" operator="equal">
      <formula>"OK"</formula>
    </cfRule>
    <cfRule type="cellIs" dxfId="605" priority="55" stopIfTrue="1" operator="equal">
      <formula>"ERROR"</formula>
    </cfRule>
  </conditionalFormatting>
  <conditionalFormatting sqref="I112:I116">
    <cfRule type="cellIs" dxfId="604" priority="52" stopIfTrue="1" operator="equal">
      <formula>"OK"</formula>
    </cfRule>
    <cfRule type="cellIs" dxfId="603" priority="53" stopIfTrue="1" operator="equal">
      <formula>"ERROR"</formula>
    </cfRule>
  </conditionalFormatting>
  <conditionalFormatting sqref="V112:V116">
    <cfRule type="cellIs" dxfId="602" priority="50" stopIfTrue="1" operator="equal">
      <formula>"OK"</formula>
    </cfRule>
    <cfRule type="cellIs" dxfId="601" priority="51" stopIfTrue="1" operator="equal">
      <formula>"ERROR"</formula>
    </cfRule>
  </conditionalFormatting>
  <conditionalFormatting sqref="S112:S116">
    <cfRule type="cellIs" dxfId="600" priority="48" stopIfTrue="1" operator="equal">
      <formula>"OK"</formula>
    </cfRule>
    <cfRule type="cellIs" dxfId="599" priority="49" stopIfTrue="1" operator="equal">
      <formula>"ERROR"</formula>
    </cfRule>
  </conditionalFormatting>
  <conditionalFormatting sqref="M112:M116">
    <cfRule type="cellIs" dxfId="598" priority="46" stopIfTrue="1" operator="equal">
      <formula>"OK"</formula>
    </cfRule>
    <cfRule type="cellIs" dxfId="597" priority="47" stopIfTrue="1" operator="equal">
      <formula>"ERROR"</formula>
    </cfRule>
  </conditionalFormatting>
  <conditionalFormatting sqref="C107">
    <cfRule type="cellIs" dxfId="596" priority="44" stopIfTrue="1" operator="equal">
      <formula>"OK"</formula>
    </cfRule>
    <cfRule type="cellIs" dxfId="595" priority="45" stopIfTrue="1" operator="equal">
      <formula>"ERROR"</formula>
    </cfRule>
  </conditionalFormatting>
  <conditionalFormatting sqref="P112:P116">
    <cfRule type="cellIs" dxfId="594" priority="42" stopIfTrue="1" operator="equal">
      <formula>"OK"</formula>
    </cfRule>
    <cfRule type="cellIs" dxfId="593" priority="43" stopIfTrue="1" operator="equal">
      <formula>"ERROR"</formula>
    </cfRule>
  </conditionalFormatting>
  <conditionalFormatting sqref="Y112:Y116">
    <cfRule type="cellIs" dxfId="592" priority="40" stopIfTrue="1" operator="equal">
      <formula>"OK"</formula>
    </cfRule>
    <cfRule type="cellIs" dxfId="591" priority="41" stopIfTrue="1" operator="equal">
      <formula>"ERROR"</formula>
    </cfRule>
  </conditionalFormatting>
  <conditionalFormatting sqref="D10:D15">
    <cfRule type="cellIs" dxfId="590" priority="86" stopIfTrue="1" operator="equal">
      <formula>"ERROR"</formula>
    </cfRule>
    <cfRule type="cellIs" dxfId="589" priority="87" stopIfTrue="1" operator="equal">
      <formula>"OK"</formula>
    </cfRule>
    <cfRule type="cellIs" dxfId="588" priority="88" stopIfTrue="1" operator="equal">
      <formula>"WARNING"</formula>
    </cfRule>
  </conditionalFormatting>
  <conditionalFormatting sqref="C69">
    <cfRule type="cellIs" dxfId="587" priority="38" stopIfTrue="1" operator="equal">
      <formula>"OK"</formula>
    </cfRule>
    <cfRule type="cellIs" dxfId="586" priority="39" stopIfTrue="1" operator="equal">
      <formula>"ERROR"</formula>
    </cfRule>
  </conditionalFormatting>
  <conditionalFormatting sqref="C121">
    <cfRule type="cellIs" dxfId="585" priority="36" stopIfTrue="1" operator="equal">
      <formula>"OK"</formula>
    </cfRule>
    <cfRule type="cellIs" dxfId="584" priority="37" stopIfTrue="1" operator="equal">
      <formula>"ERROR"</formula>
    </cfRule>
  </conditionalFormatting>
  <conditionalFormatting sqref="K125">
    <cfRule type="cellIs" dxfId="583" priority="34" stopIfTrue="1" operator="equal">
      <formula>"OK"</formula>
    </cfRule>
    <cfRule type="cellIs" dxfId="582" priority="35" stopIfTrue="1" operator="equal">
      <formula>"ERROR"</formula>
    </cfRule>
  </conditionalFormatting>
  <conditionalFormatting sqref="C45">
    <cfRule type="cellIs" dxfId="581" priority="32" stopIfTrue="1" operator="equal">
      <formula>"OK"</formula>
    </cfRule>
    <cfRule type="cellIs" dxfId="580" priority="33" stopIfTrue="1" operator="equal">
      <formula>"ERROR"</formula>
    </cfRule>
  </conditionalFormatting>
  <conditionalFormatting sqref="G59:G64">
    <cfRule type="cellIs" dxfId="579" priority="30" stopIfTrue="1" operator="equal">
      <formula>"OK"</formula>
    </cfRule>
    <cfRule type="cellIs" dxfId="578" priority="31" stopIfTrue="1" operator="equal">
      <formula>"ERROR"</formula>
    </cfRule>
  </conditionalFormatting>
  <conditionalFormatting sqref="C130">
    <cfRule type="cellIs" dxfId="577" priority="28" stopIfTrue="1" operator="equal">
      <formula>"OK"</formula>
    </cfRule>
    <cfRule type="cellIs" dxfId="576" priority="29" stopIfTrue="1" operator="equal">
      <formula>"ERROR"</formula>
    </cfRule>
  </conditionalFormatting>
  <conditionalFormatting sqref="D134:D139">
    <cfRule type="cellIs" dxfId="575" priority="26" stopIfTrue="1" operator="equal">
      <formula>"OK"</formula>
    </cfRule>
    <cfRule type="cellIs" dxfId="574" priority="27" stopIfTrue="1" operator="equal">
      <formula>"ERROR"</formula>
    </cfRule>
  </conditionalFormatting>
  <conditionalFormatting sqref="C144">
    <cfRule type="cellIs" dxfId="573" priority="24" stopIfTrue="1" operator="equal">
      <formula>"OK"</formula>
    </cfRule>
    <cfRule type="cellIs" dxfId="572" priority="25" stopIfTrue="1" operator="equal">
      <formula>"ERROR"</formula>
    </cfRule>
  </conditionalFormatting>
  <conditionalFormatting sqref="F148:F156">
    <cfRule type="cellIs" dxfId="571" priority="22" stopIfTrue="1" operator="equal">
      <formula>"OK"</formula>
    </cfRule>
    <cfRule type="cellIs" dxfId="570" priority="23" stopIfTrue="1" operator="equal">
      <formula>"ERROR"</formula>
    </cfRule>
  </conditionalFormatting>
  <conditionalFormatting sqref="C161">
    <cfRule type="cellIs" dxfId="569" priority="20" stopIfTrue="1" operator="equal">
      <formula>"OK"</formula>
    </cfRule>
    <cfRule type="cellIs" dxfId="568" priority="21" stopIfTrue="1" operator="equal">
      <formula>"ERROR"</formula>
    </cfRule>
  </conditionalFormatting>
  <conditionalFormatting sqref="F165:F169">
    <cfRule type="cellIs" dxfId="567" priority="18" stopIfTrue="1" operator="equal">
      <formula>"OK"</formula>
    </cfRule>
    <cfRule type="cellIs" dxfId="566" priority="19" stopIfTrue="1" operator="equal">
      <formula>"ERROR"</formula>
    </cfRule>
  </conditionalFormatting>
  <conditionalFormatting sqref="C174">
    <cfRule type="cellIs" dxfId="565" priority="16" stopIfTrue="1" operator="equal">
      <formula>"OK"</formula>
    </cfRule>
    <cfRule type="cellIs" dxfId="564" priority="17" stopIfTrue="1" operator="equal">
      <formula>"ERROR"</formula>
    </cfRule>
  </conditionalFormatting>
  <conditionalFormatting sqref="F178:F182">
    <cfRule type="cellIs" dxfId="563" priority="14" stopIfTrue="1" operator="equal">
      <formula>"OK"</formula>
    </cfRule>
    <cfRule type="cellIs" dxfId="562" priority="15" stopIfTrue="1" operator="equal">
      <formula>"ERROR"</formula>
    </cfRule>
  </conditionalFormatting>
  <conditionalFormatting sqref="C187">
    <cfRule type="cellIs" dxfId="561" priority="12" stopIfTrue="1" operator="equal">
      <formula>"OK"</formula>
    </cfRule>
    <cfRule type="cellIs" dxfId="560" priority="13" stopIfTrue="1" operator="equal">
      <formula>"ERROR"</formula>
    </cfRule>
  </conditionalFormatting>
  <conditionalFormatting sqref="F191:F193">
    <cfRule type="cellIs" dxfId="559" priority="10" stopIfTrue="1" operator="equal">
      <formula>"OK"</formula>
    </cfRule>
    <cfRule type="cellIs" dxfId="558" priority="11" stopIfTrue="1" operator="equal">
      <formula>"ERROR"</formula>
    </cfRule>
  </conditionalFormatting>
  <conditionalFormatting sqref="F194">
    <cfRule type="cellIs" dxfId="557" priority="8" stopIfTrue="1" operator="equal">
      <formula>"OK"</formula>
    </cfRule>
    <cfRule type="cellIs" dxfId="556" priority="9" stopIfTrue="1" operator="equal">
      <formula>"ERROR"</formula>
    </cfRule>
  </conditionalFormatting>
  <conditionalFormatting sqref="M77">
    <cfRule type="cellIs" dxfId="555" priority="6" stopIfTrue="1" operator="equal">
      <formula>"OK"</formula>
    </cfRule>
    <cfRule type="cellIs" dxfId="554" priority="7" stopIfTrue="1" operator="equal">
      <formula>"ERROR"</formula>
    </cfRule>
  </conditionalFormatting>
  <conditionalFormatting sqref="H73">
    <cfRule type="cellIs" dxfId="553" priority="4" stopIfTrue="1" operator="equal">
      <formula>"OK"</formula>
    </cfRule>
    <cfRule type="cellIs" dxfId="552" priority="5" stopIfTrue="1" operator="equal">
      <formula>"ERROR"</formula>
    </cfRule>
  </conditionalFormatting>
  <conditionalFormatting sqref="C20">
    <cfRule type="cellIs" dxfId="551" priority="1" stopIfTrue="1" operator="equal">
      <formula>"ERROR"</formula>
    </cfRule>
    <cfRule type="cellIs" dxfId="550" priority="2" stopIfTrue="1" operator="equal">
      <formula>"OK"</formula>
    </cfRule>
    <cfRule type="cellIs" dxfId="549" priority="3" stopIfTrue="1" operator="equal">
      <formula>"WARNING"</formula>
    </cfRule>
  </conditionalFormatting>
  <dataValidations count="3">
    <dataValidation type="list" allowBlank="1" showInputMessage="1" showErrorMessage="1" sqref="C55" xr:uid="{CAF2F804-D3F9-48ED-9EC7-5773FB2E09AF}">
      <formula1>"Cubic_On_ZeroRates, Linear_On_ZeroRates, NaturalCubic_On_ZeroRates"</formula1>
    </dataValidation>
    <dataValidation type="list" allowBlank="1" showInputMessage="1" showErrorMessage="1" sqref="C31 F31" xr:uid="{08E426D4-93C4-43A4-8324-01DE104E3C91}">
      <formula1>"CubicSpline_On_DiscountFactors, Exponential_On_DiscountFactors, LogCubic_On_DiscountFactors, NaturalLogCubic_On_DiscountFactors"</formula1>
    </dataValidation>
    <dataValidation type="list" allowBlank="1" showInputMessage="1" showErrorMessage="1" sqref="C54" xr:uid="{0F6C3DE5-3125-4E0F-AF43-BA6B854E5E0D}">
      <formula1>"NACC, NACA, NACS, NACQ, NACM, SIMPLE"</formula1>
    </dataValidation>
  </dataValidations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9" location="Curves.Title.d.Curve_GetZeroRates" display="Curves.Title.d.Curve_GetZeroRates" xr:uid="{6DD744F6-86C7-45D4-AD40-B1A0174FA078}"/>
    <hyperlink ref="B10" location="Curves.Title.d.Curve_GetForwardRates" display="Curves.Title.d.Curve_GetForwardRates" xr:uid="{4BCF7EE7-2637-4979-8DAD-F531727D006F}"/>
    <hyperlink ref="B11" location="Curves.Title.d.Curve_GetInstruments" display="Curves.Title.d.Curve_GetInstruments" xr:uid="{83D02983-B2A6-43C6-A23A-304F3234AC52}"/>
    <hyperlink ref="B8" location="Curves.Title.d.Curve_CreateFromZeroRates" display="Curves.Title.d.Curve_CreateFromZeroRates" xr:uid="{64FCB3FF-F117-4537-B537-E3897293D49E}"/>
    <hyperlink ref="B12" location="Curves.Title.d.Curve_GetRateIndices" display="Curves.Title.d.Curve_GetRateIndices" xr:uid="{FE5D7AB2-EF0E-4F4C-8794-CB06890F02A5}"/>
    <hyperlink ref="B7:C7" location="Curves.Title.d.Curve_Create" display="Curves.Title.d.Curve_Create" xr:uid="{D978AC95-4470-4CA2-9BBB-9B1481841AE8}"/>
    <hyperlink ref="B8:C8" location="Curves.Title.d.Curve_CreateFromZeroRates" display="Curves.Title.d.Curve_CreateFromZeroRates" xr:uid="{AAB65E3B-DF36-4959-A64B-B66B25704060}"/>
    <hyperlink ref="B9:C9" location="Curves.Title.d.Curve_GetZeroRates" display="Curves.Title.d.Curve_GetZeroRates" xr:uid="{2BBCF0BB-27A2-47AE-BDAF-59CF6C76C215}"/>
    <hyperlink ref="B10:C10" location="Curves.Title.d.Curve_GetForwardRates" display="Curves.Title.d.Curve_GetForwardRates" xr:uid="{4776571D-2921-4235-A93B-4BCCBF8C2867}"/>
    <hyperlink ref="B11:C11" location="Curves.Title.d.Curve_GetInstruments" display="Curves.Title.d.Curve_GetInstruments" xr:uid="{29B9735E-BB7E-4A1C-9280-2C3C707003E4}"/>
    <hyperlink ref="B12:C12" location="Curves.Title.d.Curve_GetRateIndices" display="Curves.Title.d.Curve_GetRateIndices" xr:uid="{17B85CE4-C012-4140-90D2-E87ADB62547E}"/>
    <hyperlink ref="B13:C13" location="Curves.Title.d.Curve_GetInterpolationMethodsForBootstrapping" display="Curves.Title.d.Curve_GetInterpolationMethodsForBootstrapping" xr:uid="{BB5FD32F-AE6E-4791-9080-296132653919}"/>
    <hyperlink ref="B14:C14" location="Curves.Title.d.Curve_GetInterpolationMethodsForDiscountFactors" display="Curves.Title.d.Curve_GetInterpolationMethodsForDiscountFactors" xr:uid="{46C20137-8A0E-482A-AF50-459F0421B6AA}"/>
    <hyperlink ref="B15:C15" location="Curves.Title.d.Curve_GetInterpolationMethodsForZeroRates" display="Curves.Title.d.Curve_GetInterpolationMethodsForZeroRates" xr:uid="{66C38A70-F0BA-4936-91AC-30F98FEC159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E4CB7-1F4F-47C7-AF27-E4B608A46947}">
  <sheetPr codeName="Curves1">
    <tabColor theme="4" tint="-0.499984740745262"/>
  </sheetPr>
  <dimension ref="A1:U69"/>
  <sheetViews>
    <sheetView showGridLines="0" zoomScaleNormal="100" workbookViewId="0">
      <selection activeCell="H16" sqref="H16"/>
    </sheetView>
  </sheetViews>
  <sheetFormatPr defaultRowHeight="15"/>
  <cols>
    <col min="1" max="1" width="3.75" style="430" customWidth="1"/>
    <col min="2" max="2" width="21.625" style="430" customWidth="1"/>
    <col min="3" max="3" width="23" style="430" bestFit="1" customWidth="1"/>
    <col min="4" max="4" width="21.625" style="430" customWidth="1"/>
    <col min="5" max="5" width="14.5" style="430" customWidth="1"/>
    <col min="6" max="10" width="16.125" style="430" customWidth="1"/>
    <col min="11" max="12" width="6.125" style="430" customWidth="1"/>
    <col min="13" max="21" width="16.125" style="430" customWidth="1"/>
    <col min="22" max="16384" width="9" style="430"/>
  </cols>
  <sheetData>
    <row r="1" spans="2:21">
      <c r="B1" s="399" t="s">
        <v>372</v>
      </c>
      <c r="C1" s="486"/>
    </row>
    <row r="2" spans="2:21" ht="26.25">
      <c r="B2" s="2" t="s">
        <v>706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4" spans="2:21">
      <c r="B4" s="55" t="s">
        <v>139</v>
      </c>
      <c r="C4" s="163" t="str" cm="1">
        <f t="array" aca="1" ref="C4" ca="1">_xll.d.TestUtils_And(D7:D8)</f>
        <v>Ok</v>
      </c>
    </row>
    <row r="6" spans="2:21">
      <c r="B6" s="50" t="s">
        <v>139</v>
      </c>
      <c r="C6" s="50"/>
      <c r="D6" s="50"/>
    </row>
    <row r="7" spans="2:21">
      <c r="B7" s="201" t="s">
        <v>741</v>
      </c>
      <c r="C7" s="201"/>
      <c r="D7" s="163" t="str">
        <f ca="1">C12</f>
        <v>Ok</v>
      </c>
      <c r="K7" s="202"/>
      <c r="L7" s="203"/>
    </row>
    <row r="8" spans="2:21">
      <c r="B8" s="201" t="s">
        <v>622</v>
      </c>
      <c r="C8" s="201"/>
      <c r="D8" s="163" t="str">
        <f ca="1">N12</f>
        <v>Ok</v>
      </c>
      <c r="K8" s="202"/>
      <c r="L8" s="203"/>
    </row>
    <row r="9" spans="2:21">
      <c r="K9" s="202"/>
      <c r="L9" s="203"/>
    </row>
    <row r="10" spans="2:21" ht="18.75">
      <c r="B10" s="3" t="s">
        <v>741</v>
      </c>
      <c r="C10" s="3"/>
      <c r="D10" s="3"/>
      <c r="E10" s="3"/>
      <c r="F10" s="3"/>
      <c r="G10" s="3"/>
      <c r="H10" s="3"/>
      <c r="I10" s="3"/>
      <c r="J10" s="3"/>
      <c r="K10" s="202"/>
      <c r="L10" s="203"/>
      <c r="M10" s="3" t="s">
        <v>622</v>
      </c>
      <c r="N10" s="3"/>
      <c r="O10" s="3"/>
      <c r="P10" s="3"/>
      <c r="Q10" s="3"/>
      <c r="R10" s="3"/>
      <c r="S10" s="3"/>
      <c r="T10" s="3"/>
      <c r="U10" s="3"/>
    </row>
    <row r="11" spans="2:21">
      <c r="K11" s="202"/>
      <c r="L11" s="203"/>
    </row>
    <row r="12" spans="2:21">
      <c r="B12" s="55" t="s">
        <v>139</v>
      </c>
      <c r="C12" s="163" t="str" cm="1">
        <f t="array" aca="1" ref="C12" ca="1">_xll.d.TestUtils_And(J27:J54)</f>
        <v>Ok</v>
      </c>
      <c r="K12" s="202"/>
      <c r="L12" s="203"/>
      <c r="M12" s="55" t="s">
        <v>139</v>
      </c>
      <c r="N12" s="163" t="str" cm="1">
        <f t="array" aca="1" ref="N12" ca="1">_xll.d.TestUtils_And(U27:U54)</f>
        <v>Ok</v>
      </c>
    </row>
    <row r="13" spans="2:21">
      <c r="K13" s="202"/>
      <c r="L13" s="203"/>
    </row>
    <row r="14" spans="2:21">
      <c r="B14" s="55" t="s">
        <v>37</v>
      </c>
      <c r="C14" s="55"/>
      <c r="E14" s="5"/>
      <c r="K14" s="202"/>
      <c r="L14" s="203"/>
      <c r="M14" s="55" t="s">
        <v>37</v>
      </c>
      <c r="N14" s="55"/>
      <c r="P14" s="5"/>
    </row>
    <row r="15" spans="2:21">
      <c r="B15" s="893" t="str" cm="1">
        <f t="array" aca="1" ref="B15" ca="1">_xll.d.Curve_Bootstrap(_xll.d.Excel_GetSheetName()&amp;"_Vals",B18:D23,,B25:D54)</f>
        <v>@@SOFRBootstrapping_Vals::08:30:23</v>
      </c>
      <c r="C15" s="894"/>
      <c r="K15" s="202"/>
      <c r="L15" s="203"/>
      <c r="M15" s="893" t="str" cm="1">
        <f t="array" aca="1" ref="M15" ca="1">_xll.d.Curve_Bootstrap(_xll.d.Excel_GetSheetName()&amp;"_Get",M18:O23,,M25:O54)</f>
        <v>@@SOFRBootstrapping_Get::08:47:04</v>
      </c>
      <c r="N15" s="894"/>
    </row>
    <row r="16" spans="2:21">
      <c r="E16" s="5"/>
      <c r="K16" s="202"/>
      <c r="L16" s="203"/>
      <c r="P16" s="5"/>
    </row>
    <row r="17" spans="1:21">
      <c r="B17" s="12" t="s">
        <v>47</v>
      </c>
      <c r="C17" s="13"/>
      <c r="D17" s="13"/>
      <c r="E17" s="5"/>
      <c r="K17" s="202"/>
      <c r="L17" s="203"/>
      <c r="M17" s="12" t="s">
        <v>47</v>
      </c>
      <c r="N17" s="13"/>
      <c r="O17" s="13"/>
      <c r="P17" s="5"/>
    </row>
    <row r="18" spans="1:21">
      <c r="B18" s="61" t="s">
        <v>29</v>
      </c>
      <c r="C18" s="881" t="s">
        <v>30</v>
      </c>
      <c r="D18" s="881"/>
      <c r="E18" s="5"/>
      <c r="K18" s="202"/>
      <c r="L18" s="203"/>
      <c r="M18" s="61" t="s">
        <v>29</v>
      </c>
      <c r="N18" s="881" t="s">
        <v>30</v>
      </c>
      <c r="O18" s="881"/>
      <c r="P18" s="5"/>
    </row>
    <row r="19" spans="1:21">
      <c r="B19" s="215" t="s">
        <v>182</v>
      </c>
      <c r="C19" s="879">
        <v>44767</v>
      </c>
      <c r="D19" s="879"/>
      <c r="E19" s="5"/>
      <c r="F19" s="876" t="s">
        <v>656</v>
      </c>
      <c r="G19" s="876"/>
      <c r="H19" s="876"/>
      <c r="I19" s="876"/>
      <c r="J19" s="876"/>
      <c r="K19" s="202"/>
      <c r="L19" s="203"/>
      <c r="M19" s="215" t="s">
        <v>182</v>
      </c>
      <c r="N19" s="879">
        <v>44767</v>
      </c>
      <c r="O19" s="879"/>
      <c r="P19" s="5"/>
      <c r="Q19" s="876" t="s">
        <v>656</v>
      </c>
      <c r="R19" s="876"/>
      <c r="S19" s="876"/>
      <c r="T19" s="876"/>
      <c r="U19" s="876"/>
    </row>
    <row r="20" spans="1:21">
      <c r="B20" s="260" t="s">
        <v>204</v>
      </c>
      <c r="C20" s="1113" t="s">
        <v>742</v>
      </c>
      <c r="D20" s="1103"/>
      <c r="E20" s="5"/>
      <c r="F20" s="724" t="s">
        <v>756</v>
      </c>
      <c r="K20" s="202"/>
      <c r="L20" s="203"/>
      <c r="M20" s="260" t="s">
        <v>204</v>
      </c>
      <c r="N20" s="1113" t="s">
        <v>742</v>
      </c>
      <c r="O20" s="1103"/>
      <c r="P20" s="5"/>
      <c r="Q20" s="724" t="s">
        <v>756</v>
      </c>
    </row>
    <row r="21" spans="1:21">
      <c r="B21" s="140" t="s">
        <v>43</v>
      </c>
      <c r="C21" s="1114" t="s">
        <v>662</v>
      </c>
      <c r="D21" s="1115"/>
      <c r="E21" s="5"/>
      <c r="F21" s="850" t="s">
        <v>757</v>
      </c>
      <c r="K21" s="202"/>
      <c r="L21" s="203"/>
      <c r="M21" s="140" t="s">
        <v>43</v>
      </c>
      <c r="N21" s="1114" t="s">
        <v>662</v>
      </c>
      <c r="O21" s="1115"/>
      <c r="P21" s="5"/>
      <c r="Q21" s="850" t="s">
        <v>757</v>
      </c>
    </row>
    <row r="22" spans="1:21">
      <c r="B22" s="985" t="s">
        <v>744</v>
      </c>
      <c r="C22" s="988">
        <v>0</v>
      </c>
      <c r="D22" s="989"/>
      <c r="E22" s="5"/>
      <c r="F22" s="850" t="s">
        <v>758</v>
      </c>
      <c r="I22" s="730"/>
      <c r="K22" s="202"/>
      <c r="L22" s="203"/>
      <c r="M22" s="985" t="s">
        <v>744</v>
      </c>
      <c r="N22" s="988">
        <v>0</v>
      </c>
      <c r="O22" s="989"/>
      <c r="P22" s="5"/>
      <c r="Q22" s="850" t="s">
        <v>758</v>
      </c>
      <c r="T22" s="730"/>
    </row>
    <row r="23" spans="1:21">
      <c r="B23" s="986" t="s">
        <v>745</v>
      </c>
      <c r="C23" s="990">
        <v>2</v>
      </c>
      <c r="D23" s="991"/>
      <c r="E23" s="5"/>
      <c r="F23" s="120" t="s">
        <v>473</v>
      </c>
      <c r="G23" s="120"/>
      <c r="H23" s="773">
        <v>1.0000000000000001E-5</v>
      </c>
      <c r="I23" s="730"/>
      <c r="K23" s="202"/>
      <c r="L23" s="203"/>
      <c r="M23" s="986" t="s">
        <v>745</v>
      </c>
      <c r="N23" s="990">
        <v>2</v>
      </c>
      <c r="O23" s="991"/>
      <c r="P23" s="5"/>
      <c r="Q23" s="120" t="s">
        <v>473</v>
      </c>
      <c r="R23" s="120"/>
      <c r="S23" s="773">
        <v>1.0000000000000001E-5</v>
      </c>
      <c r="T23" s="730"/>
    </row>
    <row r="24" spans="1:21">
      <c r="B24" s="987"/>
      <c r="E24" s="5"/>
      <c r="K24" s="202"/>
      <c r="L24" s="203"/>
      <c r="M24" s="987"/>
      <c r="P24" s="5"/>
    </row>
    <row r="25" spans="1:21">
      <c r="A25" s="54"/>
      <c r="B25" s="12" t="s">
        <v>743</v>
      </c>
      <c r="C25" s="27"/>
      <c r="D25" s="13"/>
      <c r="E25" s="5"/>
      <c r="F25" s="120" t="s">
        <v>31</v>
      </c>
      <c r="G25" s="744" t="s">
        <v>755</v>
      </c>
      <c r="H25" s="744" t="s">
        <v>2</v>
      </c>
      <c r="I25" s="745"/>
      <c r="J25" s="121" t="s">
        <v>67</v>
      </c>
      <c r="K25" s="202"/>
      <c r="L25" s="203"/>
      <c r="M25" s="12" t="s">
        <v>743</v>
      </c>
      <c r="N25" s="27"/>
      <c r="O25" s="13"/>
      <c r="P25" s="5"/>
      <c r="Q25" s="120" t="s">
        <v>31</v>
      </c>
      <c r="R25" s="744" t="s">
        <v>755</v>
      </c>
      <c r="S25" s="744" t="s">
        <v>2</v>
      </c>
      <c r="T25" s="745"/>
      <c r="U25" s="121" t="s">
        <v>67</v>
      </c>
    </row>
    <row r="26" spans="1:21">
      <c r="B26" s="752" t="s">
        <v>35</v>
      </c>
      <c r="C26" s="753" t="s">
        <v>36</v>
      </c>
      <c r="D26" s="754" t="s">
        <v>42</v>
      </c>
      <c r="E26" s="5"/>
      <c r="F26" s="742"/>
      <c r="G26" s="738" t="s">
        <v>582</v>
      </c>
      <c r="H26" s="738" t="s">
        <v>582</v>
      </c>
      <c r="I26" s="44" t="s">
        <v>583</v>
      </c>
      <c r="J26" s="743"/>
      <c r="K26" s="202"/>
      <c r="L26" s="203"/>
      <c r="M26" s="752" t="s">
        <v>35</v>
      </c>
      <c r="N26" s="753" t="s">
        <v>36</v>
      </c>
      <c r="O26" s="754" t="s">
        <v>42</v>
      </c>
      <c r="P26" s="5"/>
      <c r="Q26" s="742"/>
      <c r="R26" s="738" t="s">
        <v>582</v>
      </c>
      <c r="S26" s="738" t="s">
        <v>582</v>
      </c>
      <c r="T26" s="44" t="s">
        <v>583</v>
      </c>
      <c r="U26" s="743"/>
    </row>
    <row r="27" spans="1:21">
      <c r="B27" s="980" t="s">
        <v>746</v>
      </c>
      <c r="C27" s="246">
        <v>2.2060499999999997E-2</v>
      </c>
      <c r="D27" s="247" t="b">
        <v>1</v>
      </c>
      <c r="E27" s="8"/>
      <c r="F27" s="739">
        <v>44774</v>
      </c>
      <c r="G27" s="746">
        <v>4.2886219212907894E-4</v>
      </c>
      <c r="H27" s="746">
        <f>EXP(-G27)</f>
        <v>0.99957122975611601</v>
      </c>
      <c r="I27" s="747" cm="1">
        <f t="array" aca="1" ref="I27:I54" ca="1">_xll.d.Curve_GetDiscountFactors(B15,F27:F54)</f>
        <v>0.9995712297561159</v>
      </c>
      <c r="J27" s="737" t="str" cm="1">
        <f t="array" aca="1" ref="J27" ca="1">_xll.d.TestUtils_Equal(H27,I27,$H$23)</f>
        <v>Ok</v>
      </c>
      <c r="K27" s="202"/>
      <c r="L27" s="203"/>
      <c r="M27" s="980" t="s">
        <v>746</v>
      </c>
      <c r="N27" s="246">
        <v>2.2060499999999997E-2</v>
      </c>
      <c r="O27" s="247" t="b">
        <v>1</v>
      </c>
      <c r="P27" s="8"/>
      <c r="Q27" s="739">
        <v>44774</v>
      </c>
      <c r="R27" s="746">
        <v>4.2886219212907894E-4</v>
      </c>
      <c r="S27" s="746">
        <f>EXP(-R27)</f>
        <v>0.99957122975611601</v>
      </c>
      <c r="T27" s="747" cm="1">
        <f t="array" aca="1" ref="T27:T54" ca="1">_xll.d.Curve_GetDiscountFactors(M15,Q27:Q54)</f>
        <v>0.9995712297561159</v>
      </c>
      <c r="U27" s="737" t="str" cm="1">
        <f t="array" aca="1" ref="U27" ca="1">_xll.d.TestUtils_Equal(S27,T27,$H$23)</f>
        <v>Ok</v>
      </c>
    </row>
    <row r="28" spans="1:21">
      <c r="B28" s="984" t="s">
        <v>747</v>
      </c>
      <c r="C28" s="982">
        <v>2.2630499999999998E-2</v>
      </c>
      <c r="D28" s="983" t="b">
        <v>1</v>
      </c>
      <c r="E28" s="8"/>
      <c r="F28" s="740">
        <v>44781</v>
      </c>
      <c r="G28" s="748">
        <v>8.7968796106271659E-4</v>
      </c>
      <c r="H28" s="748">
        <f t="shared" ref="H28:H54" si="0">EXP(-G28)</f>
        <v>0.99912069885095878</v>
      </c>
      <c r="I28" s="749">
        <f ca="1"/>
        <v>0.99912069885078814</v>
      </c>
      <c r="J28" s="737" t="str" cm="1">
        <f t="array" aca="1" ref="J28" ca="1">_xll.d.TestUtils_Equal(H28,I28,$H$23)</f>
        <v>Ok</v>
      </c>
      <c r="K28" s="202"/>
      <c r="L28" s="203"/>
      <c r="M28" s="984" t="s">
        <v>747</v>
      </c>
      <c r="N28" s="982">
        <v>2.2630499999999998E-2</v>
      </c>
      <c r="O28" s="983" t="b">
        <v>1</v>
      </c>
      <c r="P28" s="8"/>
      <c r="Q28" s="740">
        <v>44781</v>
      </c>
      <c r="R28" s="748">
        <v>8.7968796106271659E-4</v>
      </c>
      <c r="S28" s="748">
        <f t="shared" ref="S28:S54" si="1">EXP(-R28)</f>
        <v>0.99912069885095878</v>
      </c>
      <c r="T28" s="749">
        <f ca="1"/>
        <v>0.99912069885078814</v>
      </c>
      <c r="U28" s="737" t="str" cm="1">
        <f t="array" aca="1" ref="U28" ca="1">_xll.d.TestUtils_Equal(S28,T28,$H$23)</f>
        <v>Ok</v>
      </c>
    </row>
    <row r="29" spans="1:21">
      <c r="B29" s="248" t="s">
        <v>25</v>
      </c>
      <c r="C29" s="221">
        <v>2.298E-2</v>
      </c>
      <c r="D29" s="249" t="b">
        <v>1</v>
      </c>
      <c r="E29" s="8"/>
      <c r="F29" s="740">
        <v>44798</v>
      </c>
      <c r="G29" s="748">
        <v>1.9768780217183247E-3</v>
      </c>
      <c r="H29" s="748">
        <f t="shared" si="0"/>
        <v>0.99802507471465218</v>
      </c>
      <c r="I29" s="749">
        <f ca="1"/>
        <v>0.99802507471465218</v>
      </c>
      <c r="J29" s="737" t="str" cm="1">
        <f t="array" aca="1" ref="J29" ca="1">_xll.d.TestUtils_Equal(H29,I29,$H$23)</f>
        <v>Ok</v>
      </c>
      <c r="K29" s="202"/>
      <c r="L29" s="203"/>
      <c r="M29" s="248" t="s">
        <v>25</v>
      </c>
      <c r="N29" s="221">
        <v>2.298E-2</v>
      </c>
      <c r="O29" s="249" t="b">
        <v>1</v>
      </c>
      <c r="P29" s="8"/>
      <c r="Q29" s="740">
        <v>44798</v>
      </c>
      <c r="R29" s="748">
        <v>1.9768780217183247E-3</v>
      </c>
      <c r="S29" s="748">
        <f t="shared" si="1"/>
        <v>0.99802507471465218</v>
      </c>
      <c r="T29" s="749">
        <f ca="1"/>
        <v>0.99802507471465218</v>
      </c>
      <c r="U29" s="737" t="str" cm="1">
        <f t="array" aca="1" ref="U29" ca="1">_xll.d.TestUtils_Equal(S29,T29,$H$23)</f>
        <v>Ok</v>
      </c>
    </row>
    <row r="30" spans="1:21">
      <c r="B30" s="248" t="s">
        <v>26</v>
      </c>
      <c r="C30" s="221">
        <v>2.3621E-2</v>
      </c>
      <c r="D30" s="249" t="b">
        <v>1</v>
      </c>
      <c r="E30" s="8"/>
      <c r="F30" s="740">
        <v>44830</v>
      </c>
      <c r="G30" s="748">
        <v>4.1251548371496818E-3</v>
      </c>
      <c r="H30" s="748">
        <f t="shared" si="0"/>
        <v>0.99588334192656169</v>
      </c>
      <c r="I30" s="749">
        <f ca="1"/>
        <v>0.99588334192656236</v>
      </c>
      <c r="J30" s="737" t="str" cm="1">
        <f t="array" aca="1" ref="J30" ca="1">_xll.d.TestUtils_Equal(H30,I30,$H$23)</f>
        <v>Ok</v>
      </c>
      <c r="K30" s="202"/>
      <c r="L30" s="203"/>
      <c r="M30" s="248" t="s">
        <v>26</v>
      </c>
      <c r="N30" s="221">
        <v>2.3621E-2</v>
      </c>
      <c r="O30" s="249" t="b">
        <v>1</v>
      </c>
      <c r="P30" s="8"/>
      <c r="Q30" s="740">
        <v>44830</v>
      </c>
      <c r="R30" s="748">
        <v>4.1251548371496818E-3</v>
      </c>
      <c r="S30" s="748">
        <f t="shared" si="1"/>
        <v>0.99588334192656169</v>
      </c>
      <c r="T30" s="749">
        <f ca="1"/>
        <v>0.99588334192656236</v>
      </c>
      <c r="U30" s="737" t="str" cm="1">
        <f t="array" aca="1" ref="U30" ca="1">_xll.d.TestUtils_Equal(S30,T30,$H$23)</f>
        <v>Ok</v>
      </c>
    </row>
    <row r="31" spans="1:21">
      <c r="B31" s="248" t="s">
        <v>24</v>
      </c>
      <c r="C31" s="221">
        <v>2.5489999999999999E-2</v>
      </c>
      <c r="D31" s="249" t="b">
        <v>1</v>
      </c>
      <c r="E31" s="8"/>
      <c r="F31" s="740">
        <v>44859</v>
      </c>
      <c r="G31" s="748">
        <v>6.4929859806631988E-3</v>
      </c>
      <c r="H31" s="748">
        <f t="shared" si="0"/>
        <v>0.99352804790394833</v>
      </c>
      <c r="I31" s="749">
        <f ca="1"/>
        <v>0.99352804790399207</v>
      </c>
      <c r="J31" s="737" t="str" cm="1">
        <f t="array" aca="1" ref="J31" ca="1">_xll.d.TestUtils_Equal(H31,I31,$H$23)</f>
        <v>Ok</v>
      </c>
      <c r="K31" s="202"/>
      <c r="L31" s="203"/>
      <c r="M31" s="248" t="s">
        <v>24</v>
      </c>
      <c r="N31" s="221">
        <v>2.5489999999999999E-2</v>
      </c>
      <c r="O31" s="249" t="b">
        <v>1</v>
      </c>
      <c r="P31" s="8"/>
      <c r="Q31" s="740">
        <v>44859</v>
      </c>
      <c r="R31" s="748">
        <v>6.4929859806631988E-3</v>
      </c>
      <c r="S31" s="748">
        <f t="shared" si="1"/>
        <v>0.99352804790394833</v>
      </c>
      <c r="T31" s="749">
        <f ca="1"/>
        <v>0.99352804790399207</v>
      </c>
      <c r="U31" s="737" t="str" cm="1">
        <f t="array" aca="1" ref="U31" ca="1">_xll.d.TestUtils_Equal(S31,T31,$H$23)</f>
        <v>Ok</v>
      </c>
    </row>
    <row r="32" spans="1:21">
      <c r="B32" s="248" t="s">
        <v>585</v>
      </c>
      <c r="C32" s="221">
        <v>2.717E-2</v>
      </c>
      <c r="D32" s="249" t="b">
        <v>1</v>
      </c>
      <c r="E32" s="8"/>
      <c r="F32" s="740">
        <v>44890</v>
      </c>
      <c r="G32" s="748">
        <v>9.240260330905567E-3</v>
      </c>
      <c r="H32" s="748">
        <f t="shared" si="0"/>
        <v>0.99080229968516442</v>
      </c>
      <c r="I32" s="749">
        <f ca="1"/>
        <v>0.99080229968525313</v>
      </c>
      <c r="J32" s="737" t="str" cm="1">
        <f t="array" aca="1" ref="J32" ca="1">_xll.d.TestUtils_Equal(H32,I32,$H$23)</f>
        <v>Ok</v>
      </c>
      <c r="K32" s="202"/>
      <c r="L32" s="203"/>
      <c r="M32" s="248" t="s">
        <v>585</v>
      </c>
      <c r="N32" s="221">
        <v>2.717E-2</v>
      </c>
      <c r="O32" s="249" t="b">
        <v>1</v>
      </c>
      <c r="P32" s="8"/>
      <c r="Q32" s="740">
        <v>44890</v>
      </c>
      <c r="R32" s="748">
        <v>9.240260330905567E-3</v>
      </c>
      <c r="S32" s="748">
        <f t="shared" si="1"/>
        <v>0.99080229968516442</v>
      </c>
      <c r="T32" s="749">
        <f ca="1"/>
        <v>0.99080229968525313</v>
      </c>
      <c r="U32" s="737" t="str" cm="1">
        <f t="array" aca="1" ref="U32" ca="1">_xll.d.TestUtils_Equal(S32,T32,$H$23)</f>
        <v>Ok</v>
      </c>
    </row>
    <row r="33" spans="2:21">
      <c r="B33" s="248" t="s">
        <v>586</v>
      </c>
      <c r="C33" s="221">
        <v>2.8330000000000001E-2</v>
      </c>
      <c r="D33" s="249" t="b">
        <v>1</v>
      </c>
      <c r="E33" s="8"/>
      <c r="F33" s="740">
        <v>44922</v>
      </c>
      <c r="G33" s="748">
        <v>1.2123847142372364E-2</v>
      </c>
      <c r="H33" s="748">
        <f t="shared" si="0"/>
        <v>0.98794935058109945</v>
      </c>
      <c r="I33" s="749">
        <f ca="1"/>
        <v>0.9879493505811604</v>
      </c>
      <c r="J33" s="737" t="str" cm="1">
        <f t="array" aca="1" ref="J33" ca="1">_xll.d.TestUtils_Equal(H33,I33,$H$23)</f>
        <v>Ok</v>
      </c>
      <c r="K33" s="202"/>
      <c r="L33" s="203"/>
      <c r="M33" s="248" t="s">
        <v>586</v>
      </c>
      <c r="N33" s="221">
        <v>2.8330000000000001E-2</v>
      </c>
      <c r="O33" s="249" t="b">
        <v>1</v>
      </c>
      <c r="P33" s="8"/>
      <c r="Q33" s="740">
        <v>44922</v>
      </c>
      <c r="R33" s="748">
        <v>1.2123847142372364E-2</v>
      </c>
      <c r="S33" s="748">
        <f t="shared" si="1"/>
        <v>0.98794935058109945</v>
      </c>
      <c r="T33" s="749">
        <f ca="1"/>
        <v>0.9879493505811604</v>
      </c>
      <c r="U33" s="737" t="str" cm="1">
        <f t="array" aca="1" ref="U33" ca="1">_xll.d.TestUtils_Equal(S33,T33,$H$23)</f>
        <v>Ok</v>
      </c>
    </row>
    <row r="34" spans="2:21">
      <c r="B34" s="248" t="s">
        <v>27</v>
      </c>
      <c r="C34" s="221">
        <v>2.9300000000000003E-2</v>
      </c>
      <c r="D34" s="249" t="b">
        <v>1</v>
      </c>
      <c r="E34" s="8"/>
      <c r="F34" s="740">
        <v>44951</v>
      </c>
      <c r="G34" s="748">
        <v>1.4864529007248797E-2</v>
      </c>
      <c r="H34" s="748">
        <f t="shared" si="0"/>
        <v>0.98524540273547911</v>
      </c>
      <c r="I34" s="749">
        <f ca="1"/>
        <v>0.98524540273552264</v>
      </c>
      <c r="J34" s="737" t="str" cm="1">
        <f t="array" aca="1" ref="J34" ca="1">_xll.d.TestUtils_Equal(H34,I34,$H$23)</f>
        <v>Ok</v>
      </c>
      <c r="K34" s="202"/>
      <c r="L34" s="203"/>
      <c r="M34" s="248" t="s">
        <v>27</v>
      </c>
      <c r="N34" s="221">
        <v>2.9300000000000003E-2</v>
      </c>
      <c r="O34" s="249" t="b">
        <v>1</v>
      </c>
      <c r="P34" s="8"/>
      <c r="Q34" s="740">
        <v>44951</v>
      </c>
      <c r="R34" s="748">
        <v>1.4864529007248797E-2</v>
      </c>
      <c r="S34" s="748">
        <f t="shared" si="1"/>
        <v>0.98524540273547911</v>
      </c>
      <c r="T34" s="749">
        <f ca="1"/>
        <v>0.98524540273552264</v>
      </c>
      <c r="U34" s="737" t="str" cm="1">
        <f t="array" aca="1" ref="U34" ca="1">_xll.d.TestUtils_Equal(S34,T34,$H$23)</f>
        <v>Ok</v>
      </c>
    </row>
    <row r="35" spans="2:21">
      <c r="B35" s="248" t="s">
        <v>748</v>
      </c>
      <c r="C35" s="221">
        <v>0.03</v>
      </c>
      <c r="D35" s="249" t="b">
        <v>1</v>
      </c>
      <c r="E35" s="8"/>
      <c r="F35" s="740">
        <v>44984</v>
      </c>
      <c r="G35" s="748">
        <v>1.7921774633922381E-2</v>
      </c>
      <c r="H35" s="748">
        <f t="shared" si="0"/>
        <v>0.98223786526970625</v>
      </c>
      <c r="I35" s="749">
        <f ca="1"/>
        <v>0.98223786526974211</v>
      </c>
      <c r="J35" s="737" t="str" cm="1">
        <f t="array" aca="1" ref="J35" ca="1">_xll.d.TestUtils_Equal(H35,I35,$H$23)</f>
        <v>Ok</v>
      </c>
      <c r="K35" s="202"/>
      <c r="L35" s="203"/>
      <c r="M35" s="248" t="s">
        <v>748</v>
      </c>
      <c r="N35" s="221">
        <v>0.03</v>
      </c>
      <c r="O35" s="249" t="b">
        <v>1</v>
      </c>
      <c r="P35" s="8"/>
      <c r="Q35" s="740">
        <v>44984</v>
      </c>
      <c r="R35" s="748">
        <v>1.7921774633922381E-2</v>
      </c>
      <c r="S35" s="748">
        <f t="shared" si="1"/>
        <v>0.98223786526970625</v>
      </c>
      <c r="T35" s="749">
        <f ca="1"/>
        <v>0.98223786526974211</v>
      </c>
      <c r="U35" s="737" t="str" cm="1">
        <f t="array" aca="1" ref="U35" ca="1">_xll.d.TestUtils_Equal(S35,T35,$H$23)</f>
        <v>Ok</v>
      </c>
    </row>
    <row r="36" spans="2:21">
      <c r="B36" s="979" t="s">
        <v>749</v>
      </c>
      <c r="C36" s="221">
        <v>3.048E-2</v>
      </c>
      <c r="D36" s="249" t="b">
        <v>1</v>
      </c>
      <c r="E36" s="8"/>
      <c r="F36" s="740">
        <v>45012</v>
      </c>
      <c r="G36" s="748">
        <v>2.0531120050820448E-2</v>
      </c>
      <c r="H36" s="748">
        <f t="shared" si="0"/>
        <v>0.97967820836449249</v>
      </c>
      <c r="I36" s="749">
        <f ca="1"/>
        <v>0.97967820836450215</v>
      </c>
      <c r="J36" s="737" t="str" cm="1">
        <f t="array" aca="1" ref="J36" ca="1">_xll.d.TestUtils_Equal(H36,I36,$H$23)</f>
        <v>Ok</v>
      </c>
      <c r="K36" s="202"/>
      <c r="L36" s="203"/>
      <c r="M36" s="979" t="s">
        <v>749</v>
      </c>
      <c r="N36" s="221">
        <v>3.048E-2</v>
      </c>
      <c r="O36" s="249" t="b">
        <v>1</v>
      </c>
      <c r="P36" s="8"/>
      <c r="Q36" s="740">
        <v>45012</v>
      </c>
      <c r="R36" s="748">
        <v>2.0531120050820448E-2</v>
      </c>
      <c r="S36" s="748">
        <f t="shared" si="1"/>
        <v>0.97967820836449249</v>
      </c>
      <c r="T36" s="749">
        <f ca="1"/>
        <v>0.97967820836450215</v>
      </c>
      <c r="U36" s="737" t="str" cm="1">
        <f t="array" aca="1" ref="U36" ca="1">_xll.d.TestUtils_Equal(S36,T36,$H$23)</f>
        <v>Ok</v>
      </c>
    </row>
    <row r="37" spans="2:21">
      <c r="B37" s="979" t="s">
        <v>28</v>
      </c>
      <c r="C37" s="221">
        <v>3.0830000000000003E-2</v>
      </c>
      <c r="D37" s="249" t="b">
        <v>1</v>
      </c>
      <c r="E37" s="8"/>
      <c r="F37" s="740">
        <v>45041</v>
      </c>
      <c r="G37" s="748">
        <v>2.3193983431374764E-2</v>
      </c>
      <c r="H37" s="748">
        <f t="shared" si="0"/>
        <v>0.97707292942911639</v>
      </c>
      <c r="I37" s="749">
        <f ca="1"/>
        <v>0.9770729294291215</v>
      </c>
      <c r="J37" s="737" t="str" cm="1">
        <f t="array" aca="1" ref="J37" ca="1">_xll.d.TestUtils_Equal(H37,I37,$H$23)</f>
        <v>Ok</v>
      </c>
      <c r="K37" s="202"/>
      <c r="L37" s="203"/>
      <c r="M37" s="979" t="s">
        <v>28</v>
      </c>
      <c r="N37" s="221">
        <v>3.0830000000000003E-2</v>
      </c>
      <c r="O37" s="249" t="b">
        <v>1</v>
      </c>
      <c r="P37" s="8"/>
      <c r="Q37" s="740">
        <v>45041</v>
      </c>
      <c r="R37" s="748">
        <v>2.3193983431374764E-2</v>
      </c>
      <c r="S37" s="748">
        <f t="shared" si="1"/>
        <v>0.97707292942911639</v>
      </c>
      <c r="T37" s="749">
        <f ca="1"/>
        <v>0.9770729294291215</v>
      </c>
      <c r="U37" s="737" t="str" cm="1">
        <f t="array" aca="1" ref="U37" ca="1">_xll.d.TestUtils_Equal(S37,T37,$H$23)</f>
        <v>Ok</v>
      </c>
    </row>
    <row r="38" spans="2:21">
      <c r="B38" s="979" t="s">
        <v>750</v>
      </c>
      <c r="C38" s="221">
        <v>3.1059999999999997E-2</v>
      </c>
      <c r="D38" s="249" t="b">
        <v>1</v>
      </c>
      <c r="E38" s="8"/>
      <c r="F38" s="740">
        <v>45071</v>
      </c>
      <c r="G38" s="748">
        <v>2.5890377368484145E-2</v>
      </c>
      <c r="H38" s="748">
        <f t="shared" si="0"/>
        <v>0.97444190463981595</v>
      </c>
      <c r="I38" s="749">
        <f ca="1"/>
        <v>0.97444190463981772</v>
      </c>
      <c r="J38" s="737" t="str" cm="1">
        <f t="array" aca="1" ref="J38" ca="1">_xll.d.TestUtils_Equal(H38,I38,$H$23)</f>
        <v>Ok</v>
      </c>
      <c r="K38" s="202"/>
      <c r="L38" s="203"/>
      <c r="M38" s="979" t="s">
        <v>750</v>
      </c>
      <c r="N38" s="221">
        <v>3.1059999999999997E-2</v>
      </c>
      <c r="O38" s="249" t="b">
        <v>1</v>
      </c>
      <c r="P38" s="8"/>
      <c r="Q38" s="740">
        <v>45071</v>
      </c>
      <c r="R38" s="748">
        <v>2.5890377368484145E-2</v>
      </c>
      <c r="S38" s="748">
        <f t="shared" si="1"/>
        <v>0.97444190463981595</v>
      </c>
      <c r="T38" s="749">
        <f ca="1"/>
        <v>0.97444190463981772</v>
      </c>
      <c r="U38" s="737" t="str" cm="1">
        <f t="array" aca="1" ref="U38" ca="1">_xll.d.TestUtils_Equal(S38,T38,$H$23)</f>
        <v>Ok</v>
      </c>
    </row>
    <row r="39" spans="2:21">
      <c r="B39" s="248" t="s">
        <v>751</v>
      </c>
      <c r="C39" s="221">
        <v>3.1179999999999999E-2</v>
      </c>
      <c r="D39" s="249" t="b">
        <v>1</v>
      </c>
      <c r="E39" s="8"/>
      <c r="F39" s="740">
        <v>45103</v>
      </c>
      <c r="G39" s="748">
        <v>2.8685929489555898E-2</v>
      </c>
      <c r="H39" s="748">
        <f t="shared" si="0"/>
        <v>0.97172160564686849</v>
      </c>
      <c r="I39" s="749">
        <f ca="1"/>
        <v>0.97172160564686871</v>
      </c>
      <c r="J39" s="737" t="str" cm="1">
        <f t="array" aca="1" ref="J39" ca="1">_xll.d.TestUtils_Equal(H39,I39,$H$23)</f>
        <v>Ok</v>
      </c>
      <c r="K39" s="202"/>
      <c r="L39" s="203"/>
      <c r="M39" s="248" t="s">
        <v>751</v>
      </c>
      <c r="N39" s="221">
        <v>3.1179999999999999E-2</v>
      </c>
      <c r="O39" s="249" t="b">
        <v>1</v>
      </c>
      <c r="P39" s="8"/>
      <c r="Q39" s="740">
        <v>45103</v>
      </c>
      <c r="R39" s="748">
        <v>2.8685929489555898E-2</v>
      </c>
      <c r="S39" s="748">
        <f t="shared" si="1"/>
        <v>0.97172160564686849</v>
      </c>
      <c r="T39" s="749">
        <f ca="1"/>
        <v>0.97172160564686871</v>
      </c>
      <c r="U39" s="737" t="str" cm="1">
        <f t="array" aca="1" ref="U39" ca="1">_xll.d.TestUtils_Equal(S39,T39,$H$23)</f>
        <v>Ok</v>
      </c>
    </row>
    <row r="40" spans="2:21">
      <c r="B40" s="979" t="s">
        <v>48</v>
      </c>
      <c r="C40" s="221">
        <v>3.125E-2</v>
      </c>
      <c r="D40" s="249" t="b">
        <v>1</v>
      </c>
      <c r="E40" s="8"/>
      <c r="F40" s="740">
        <v>45132</v>
      </c>
      <c r="G40" s="748">
        <v>3.119244554441197E-2</v>
      </c>
      <c r="H40" s="748">
        <f t="shared" si="0"/>
        <v>0.969289019772823</v>
      </c>
      <c r="I40" s="749">
        <f ca="1"/>
        <v>0.96928901977282289</v>
      </c>
      <c r="J40" s="737" t="str" cm="1">
        <f t="array" aca="1" ref="J40" ca="1">_xll.d.TestUtils_Equal(H40,I40,$H$23)</f>
        <v>Ok</v>
      </c>
      <c r="K40" s="202"/>
      <c r="L40" s="203"/>
      <c r="M40" s="979" t="s">
        <v>48</v>
      </c>
      <c r="N40" s="221">
        <v>3.125E-2</v>
      </c>
      <c r="O40" s="249" t="b">
        <v>1</v>
      </c>
      <c r="P40" s="8"/>
      <c r="Q40" s="740">
        <v>45132</v>
      </c>
      <c r="R40" s="748">
        <v>3.119244554441197E-2</v>
      </c>
      <c r="S40" s="748">
        <f t="shared" si="1"/>
        <v>0.969289019772823</v>
      </c>
      <c r="T40" s="749">
        <f ca="1"/>
        <v>0.96928901977282289</v>
      </c>
      <c r="U40" s="737" t="str" cm="1">
        <f t="array" aca="1" ref="U40" ca="1">_xll.d.TestUtils_Equal(S40,T40,$H$23)</f>
        <v>Ok</v>
      </c>
    </row>
    <row r="41" spans="2:21">
      <c r="B41" s="979" t="s">
        <v>49</v>
      </c>
      <c r="C41" s="221">
        <v>2.9570500000000003E-2</v>
      </c>
      <c r="D41" s="249" t="b">
        <v>1</v>
      </c>
      <c r="E41" s="8"/>
      <c r="F41" s="740">
        <v>45498</v>
      </c>
      <c r="G41" s="748">
        <v>5.9111179370274498E-2</v>
      </c>
      <c r="H41" s="748">
        <f t="shared" si="0"/>
        <v>0.94260196543826502</v>
      </c>
      <c r="I41" s="749">
        <f ca="1"/>
        <v>0.94260179099583252</v>
      </c>
      <c r="J41" s="737" t="str" cm="1">
        <f t="array" aca="1" ref="J41" ca="1">_xll.d.TestUtils_Equal(H41,I41,$H$23)</f>
        <v>Ok</v>
      </c>
      <c r="K41" s="202"/>
      <c r="L41" s="203"/>
      <c r="M41" s="979" t="s">
        <v>49</v>
      </c>
      <c r="N41" s="221">
        <v>2.9570500000000003E-2</v>
      </c>
      <c r="O41" s="249" t="b">
        <v>1</v>
      </c>
      <c r="P41" s="8"/>
      <c r="Q41" s="740">
        <v>45498</v>
      </c>
      <c r="R41" s="748">
        <v>5.9111179370274498E-2</v>
      </c>
      <c r="S41" s="748">
        <f t="shared" si="1"/>
        <v>0.94260196543826502</v>
      </c>
      <c r="T41" s="749">
        <f ca="1"/>
        <v>0.94260179099583252</v>
      </c>
      <c r="U41" s="737" t="str" cm="1">
        <f t="array" aca="1" ref="U41" ca="1">_xll.d.TestUtils_Equal(S41,T41,$H$23)</f>
        <v>Ok</v>
      </c>
    </row>
    <row r="42" spans="2:21">
      <c r="B42" s="979" t="s">
        <v>53</v>
      </c>
      <c r="C42" s="221">
        <v>2.7700499999999999E-2</v>
      </c>
      <c r="D42" s="249" t="b">
        <v>1</v>
      </c>
      <c r="E42" s="8"/>
      <c r="F42" s="740">
        <v>45863</v>
      </c>
      <c r="G42" s="748">
        <v>8.2965890808000126E-2</v>
      </c>
      <c r="H42" s="748">
        <f t="shared" si="0"/>
        <v>0.92038254018950394</v>
      </c>
      <c r="I42" s="749">
        <f ca="1"/>
        <v>0.92038242775318724</v>
      </c>
      <c r="J42" s="737" t="str" cm="1">
        <f t="array" aca="1" ref="J42" ca="1">_xll.d.TestUtils_Equal(H42,I42,$H$23)</f>
        <v>Ok</v>
      </c>
      <c r="K42" s="202"/>
      <c r="L42" s="203"/>
      <c r="M42" s="979" t="s">
        <v>53</v>
      </c>
      <c r="N42" s="221">
        <v>2.7700499999999999E-2</v>
      </c>
      <c r="O42" s="249" t="b">
        <v>1</v>
      </c>
      <c r="P42" s="8"/>
      <c r="Q42" s="740">
        <v>45863</v>
      </c>
      <c r="R42" s="748">
        <v>8.2965890808000126E-2</v>
      </c>
      <c r="S42" s="748">
        <f t="shared" si="1"/>
        <v>0.92038254018950394</v>
      </c>
      <c r="T42" s="749">
        <f ca="1"/>
        <v>0.92038242775318724</v>
      </c>
      <c r="U42" s="737" t="str" cm="1">
        <f t="array" aca="1" ref="U42" ca="1">_xll.d.TestUtils_Equal(S42,T42,$H$23)</f>
        <v>Ok</v>
      </c>
    </row>
    <row r="43" spans="2:21">
      <c r="B43" s="248" t="s">
        <v>572</v>
      </c>
      <c r="C43" s="221">
        <v>2.6579999999999999E-2</v>
      </c>
      <c r="D43" s="249" t="b">
        <v>1</v>
      </c>
      <c r="E43" s="8"/>
      <c r="F43" s="740">
        <v>46230</v>
      </c>
      <c r="G43" s="748">
        <v>0.10620929078034597</v>
      </c>
      <c r="H43" s="748">
        <f t="shared" si="0"/>
        <v>0.89923642648667457</v>
      </c>
      <c r="I43" s="749">
        <f ca="1"/>
        <v>0.89923653840879314</v>
      </c>
      <c r="J43" s="737" t="str" cm="1">
        <f t="array" aca="1" ref="J43" ca="1">_xll.d.TestUtils_Equal(H43,I43,$H$23)</f>
        <v>Ok</v>
      </c>
      <c r="K43" s="202"/>
      <c r="L43" s="203"/>
      <c r="M43" s="248" t="s">
        <v>572</v>
      </c>
      <c r="N43" s="221">
        <v>2.6579999999999999E-2</v>
      </c>
      <c r="O43" s="249" t="b">
        <v>1</v>
      </c>
      <c r="P43" s="8"/>
      <c r="Q43" s="740">
        <v>46230</v>
      </c>
      <c r="R43" s="748">
        <v>0.10620929078034597</v>
      </c>
      <c r="S43" s="748">
        <f t="shared" si="1"/>
        <v>0.89923642648667457</v>
      </c>
      <c r="T43" s="749">
        <f ca="1"/>
        <v>0.89923653840879314</v>
      </c>
      <c r="U43" s="737" t="str" cm="1">
        <f t="array" aca="1" ref="U43" ca="1">_xll.d.TestUtils_Equal(S43,T43,$H$23)</f>
        <v>Ok</v>
      </c>
    </row>
    <row r="44" spans="2:21">
      <c r="B44" s="979" t="s">
        <v>578</v>
      </c>
      <c r="C44" s="221">
        <v>2.6040000000000001E-2</v>
      </c>
      <c r="D44" s="249" t="b">
        <v>1</v>
      </c>
      <c r="E44" s="8"/>
      <c r="F44" s="740">
        <v>46594</v>
      </c>
      <c r="G44" s="748">
        <v>0.12992417457296856</v>
      </c>
      <c r="H44" s="748">
        <f t="shared" si="0"/>
        <v>0.87816201540595185</v>
      </c>
      <c r="I44" s="749">
        <f ca="1"/>
        <v>0.87816222566368429</v>
      </c>
      <c r="J44" s="737" t="str" cm="1">
        <f t="array" aca="1" ref="J44" ca="1">_xll.d.TestUtils_Equal(H44,I44,$H$23)</f>
        <v>Ok</v>
      </c>
      <c r="K44" s="202"/>
      <c r="L44" s="203"/>
      <c r="M44" s="979" t="s">
        <v>578</v>
      </c>
      <c r="N44" s="221">
        <v>2.6040000000000001E-2</v>
      </c>
      <c r="O44" s="249" t="b">
        <v>1</v>
      </c>
      <c r="P44" s="8"/>
      <c r="Q44" s="740">
        <v>46594</v>
      </c>
      <c r="R44" s="748">
        <v>0.12992417457296856</v>
      </c>
      <c r="S44" s="748">
        <f t="shared" si="1"/>
        <v>0.87816201540595185</v>
      </c>
      <c r="T44" s="749">
        <f ca="1"/>
        <v>0.87816222566368429</v>
      </c>
      <c r="U44" s="737" t="str" cm="1">
        <f t="array" aca="1" ref="U44" ca="1">_xll.d.TestUtils_Equal(S44,T44,$H$23)</f>
        <v>Ok</v>
      </c>
    </row>
    <row r="45" spans="2:21">
      <c r="B45" s="979" t="s">
        <v>579</v>
      </c>
      <c r="C45" s="221">
        <v>2.5760499999999999E-2</v>
      </c>
      <c r="D45" s="249" t="b">
        <v>1</v>
      </c>
      <c r="E45" s="8"/>
      <c r="F45" s="740">
        <v>46959</v>
      </c>
      <c r="G45" s="748">
        <v>0.15421917673988034</v>
      </c>
      <c r="H45" s="748">
        <f t="shared" si="0"/>
        <v>0.85708414751420392</v>
      </c>
      <c r="I45" s="749">
        <f ca="1"/>
        <v>0.85708439554980054</v>
      </c>
      <c r="J45" s="737" t="str" cm="1">
        <f t="array" aca="1" ref="J45" ca="1">_xll.d.TestUtils_Equal(H45,I45,$H$23)</f>
        <v>Ok</v>
      </c>
      <c r="K45" s="202"/>
      <c r="L45" s="203"/>
      <c r="M45" s="979" t="s">
        <v>579</v>
      </c>
      <c r="N45" s="221">
        <v>2.5760499999999999E-2</v>
      </c>
      <c r="O45" s="249" t="b">
        <v>1</v>
      </c>
      <c r="P45" s="8"/>
      <c r="Q45" s="740">
        <v>46959</v>
      </c>
      <c r="R45" s="748">
        <v>0.15421917673988034</v>
      </c>
      <c r="S45" s="748">
        <f t="shared" si="1"/>
        <v>0.85708414751420392</v>
      </c>
      <c r="T45" s="749">
        <f ca="1"/>
        <v>0.85708439554980054</v>
      </c>
      <c r="U45" s="737" t="str" cm="1">
        <f t="array" aca="1" ref="U45" ca="1">_xll.d.TestUtils_Equal(S45,T45,$H$23)</f>
        <v>Ok</v>
      </c>
    </row>
    <row r="46" spans="2:21">
      <c r="B46" s="979" t="s">
        <v>580</v>
      </c>
      <c r="C46" s="221">
        <v>2.5739999999999999E-2</v>
      </c>
      <c r="D46" s="249" t="b">
        <v>1</v>
      </c>
      <c r="E46" s="8"/>
      <c r="F46" s="740">
        <v>47324</v>
      </c>
      <c r="G46" s="748">
        <v>0.17984926534551826</v>
      </c>
      <c r="H46" s="748">
        <f t="shared" si="0"/>
        <v>0.83539612506752536</v>
      </c>
      <c r="I46" s="749">
        <f ca="1"/>
        <v>0.8353963698825112</v>
      </c>
      <c r="J46" s="737" t="str" cm="1">
        <f t="array" aca="1" ref="J46" ca="1">_xll.d.TestUtils_Equal(H46,I46,$H$23)</f>
        <v>Ok</v>
      </c>
      <c r="K46" s="202"/>
      <c r="L46" s="203"/>
      <c r="M46" s="979" t="s">
        <v>580</v>
      </c>
      <c r="N46" s="221">
        <v>2.5739999999999999E-2</v>
      </c>
      <c r="O46" s="249" t="b">
        <v>1</v>
      </c>
      <c r="P46" s="8"/>
      <c r="Q46" s="740">
        <v>47324</v>
      </c>
      <c r="R46" s="748">
        <v>0.17984926534551826</v>
      </c>
      <c r="S46" s="748">
        <f t="shared" si="1"/>
        <v>0.83539612506752536</v>
      </c>
      <c r="T46" s="749">
        <f ca="1"/>
        <v>0.8353963698825112</v>
      </c>
      <c r="U46" s="737" t="str" cm="1">
        <f t="array" aca="1" ref="U46" ca="1">_xll.d.TestUtils_Equal(S46,T46,$H$23)</f>
        <v>Ok</v>
      </c>
    </row>
    <row r="47" spans="2:21">
      <c r="B47" s="248" t="s">
        <v>581</v>
      </c>
      <c r="C47" s="221">
        <v>2.5739999999999999E-2</v>
      </c>
      <c r="D47" s="249" t="b">
        <v>1</v>
      </c>
      <c r="E47" s="8"/>
      <c r="F47" s="740">
        <v>47689</v>
      </c>
      <c r="G47" s="748">
        <v>0.20561203681887003</v>
      </c>
      <c r="H47" s="748">
        <f t="shared" si="0"/>
        <v>0.81414887480724318</v>
      </c>
      <c r="I47" s="749">
        <f ca="1"/>
        <v>0.81414911339566787</v>
      </c>
      <c r="J47" s="737" t="str" cm="1">
        <f t="array" aca="1" ref="J47" ca="1">_xll.d.TestUtils_Equal(H47,I47,$H$23)</f>
        <v>Ok</v>
      </c>
      <c r="K47" s="202"/>
      <c r="L47" s="203"/>
      <c r="M47" s="248" t="s">
        <v>581</v>
      </c>
      <c r="N47" s="221">
        <v>2.5739999999999999E-2</v>
      </c>
      <c r="O47" s="249" t="b">
        <v>1</v>
      </c>
      <c r="P47" s="8"/>
      <c r="Q47" s="740">
        <v>47689</v>
      </c>
      <c r="R47" s="748">
        <v>0.20561203681887003</v>
      </c>
      <c r="S47" s="748">
        <f t="shared" si="1"/>
        <v>0.81414887480724318</v>
      </c>
      <c r="T47" s="749">
        <f ca="1"/>
        <v>0.81414911339566787</v>
      </c>
      <c r="U47" s="737" t="str" cm="1">
        <f t="array" aca="1" ref="U47" ca="1">_xll.d.TestUtils_Equal(S47,T47,$H$23)</f>
        <v>Ok</v>
      </c>
    </row>
    <row r="48" spans="2:21">
      <c r="B48" s="979" t="s">
        <v>617</v>
      </c>
      <c r="C48" s="221">
        <v>2.5811999999999998E-2</v>
      </c>
      <c r="D48" s="249" t="b">
        <v>1</v>
      </c>
      <c r="E48" s="8"/>
      <c r="F48" s="740">
        <v>48054</v>
      </c>
      <c r="G48" s="748">
        <v>0.23208471933584843</v>
      </c>
      <c r="H48" s="748">
        <f t="shared" si="0"/>
        <v>0.79287894828330541</v>
      </c>
      <c r="I48" s="749">
        <f ca="1"/>
        <v>0.79287920552753821</v>
      </c>
      <c r="J48" s="737" t="str" cm="1">
        <f t="array" aca="1" ref="J48" ca="1">_xll.d.TestUtils_Equal(H48,I48,$H$23)</f>
        <v>Ok</v>
      </c>
      <c r="K48" s="202"/>
      <c r="L48" s="203"/>
      <c r="M48" s="979" t="s">
        <v>617</v>
      </c>
      <c r="N48" s="221">
        <v>2.5811999999999998E-2</v>
      </c>
      <c r="O48" s="249" t="b">
        <v>1</v>
      </c>
      <c r="P48" s="8"/>
      <c r="Q48" s="740">
        <v>48054</v>
      </c>
      <c r="R48" s="748">
        <v>0.23208471933584843</v>
      </c>
      <c r="S48" s="748">
        <f t="shared" si="1"/>
        <v>0.79287894828330541</v>
      </c>
      <c r="T48" s="749">
        <f ca="1"/>
        <v>0.79287920552753821</v>
      </c>
      <c r="U48" s="737" t="str" cm="1">
        <f t="array" aca="1" ref="U48" ca="1">_xll.d.TestUtils_Equal(S48,T48,$H$23)</f>
        <v>Ok</v>
      </c>
    </row>
    <row r="49" spans="2:21">
      <c r="B49" s="979" t="s">
        <v>587</v>
      </c>
      <c r="C49" s="221">
        <v>2.5990000000000003E-2</v>
      </c>
      <c r="D49" s="249" t="b">
        <v>1</v>
      </c>
      <c r="E49" s="8"/>
      <c r="F49" s="740">
        <v>48421</v>
      </c>
      <c r="G49" s="748">
        <v>0.26003815329359964</v>
      </c>
      <c r="H49" s="748">
        <f t="shared" si="0"/>
        <v>0.77102216820722536</v>
      </c>
      <c r="I49" s="749">
        <f ca="1"/>
        <v>0.7710223805369455</v>
      </c>
      <c r="J49" s="737" t="str" cm="1">
        <f t="array" aca="1" ref="J49" ca="1">_xll.d.TestUtils_Equal(H49,I49,$H$23)</f>
        <v>Ok</v>
      </c>
      <c r="K49" s="202"/>
      <c r="L49" s="203"/>
      <c r="M49" s="979" t="s">
        <v>587</v>
      </c>
      <c r="N49" s="221">
        <v>2.5990000000000003E-2</v>
      </c>
      <c r="O49" s="249" t="b">
        <v>1</v>
      </c>
      <c r="P49" s="8"/>
      <c r="Q49" s="740">
        <v>48421</v>
      </c>
      <c r="R49" s="748">
        <v>0.26003815329359964</v>
      </c>
      <c r="S49" s="748">
        <f t="shared" si="1"/>
        <v>0.77102216820722536</v>
      </c>
      <c r="T49" s="749">
        <f ca="1"/>
        <v>0.7710223805369455</v>
      </c>
      <c r="U49" s="737" t="str" cm="1">
        <f t="array" aca="1" ref="U49" ca="1">_xll.d.TestUtils_Equal(S49,T49,$H$23)</f>
        <v>Ok</v>
      </c>
    </row>
    <row r="50" spans="2:21">
      <c r="B50" s="981" t="s">
        <v>588</v>
      </c>
      <c r="C50" s="221">
        <v>2.6381000000000002E-2</v>
      </c>
      <c r="D50" s="249" t="b">
        <v>1</v>
      </c>
      <c r="E50" s="8"/>
      <c r="F50" s="740">
        <v>49150</v>
      </c>
      <c r="G50" s="748">
        <v>0.31729549591816808</v>
      </c>
      <c r="H50" s="748">
        <f t="shared" si="0"/>
        <v>0.72811556815548728</v>
      </c>
      <c r="I50" s="749">
        <f ca="1"/>
        <v>0.72811569070930227</v>
      </c>
      <c r="J50" s="737" t="str" cm="1">
        <f t="array" aca="1" ref="J50" ca="1">_xll.d.TestUtils_Equal(H50,I50,$H$23)</f>
        <v>Ok</v>
      </c>
      <c r="K50" s="202"/>
      <c r="L50" s="203"/>
      <c r="M50" s="981" t="s">
        <v>588</v>
      </c>
      <c r="N50" s="221">
        <v>2.6381000000000002E-2</v>
      </c>
      <c r="O50" s="249" t="b">
        <v>1</v>
      </c>
      <c r="P50" s="8"/>
      <c r="Q50" s="740">
        <v>49150</v>
      </c>
      <c r="R50" s="748">
        <v>0.31729549591816808</v>
      </c>
      <c r="S50" s="748">
        <f t="shared" si="1"/>
        <v>0.72811556815548728</v>
      </c>
      <c r="T50" s="749">
        <f ca="1"/>
        <v>0.72811569070930227</v>
      </c>
      <c r="U50" s="737" t="str" cm="1">
        <f t="array" aca="1" ref="U50" ca="1">_xll.d.TestUtils_Equal(S50,T50,$H$23)</f>
        <v>Ok</v>
      </c>
    </row>
    <row r="51" spans="2:21">
      <c r="B51" s="248" t="s">
        <v>589</v>
      </c>
      <c r="C51" s="221">
        <v>2.6849999999999999E-2</v>
      </c>
      <c r="D51" s="249" t="b">
        <v>1</v>
      </c>
      <c r="E51" s="8"/>
      <c r="F51" s="740">
        <v>50248</v>
      </c>
      <c r="G51" s="748">
        <v>0.40493133325915642</v>
      </c>
      <c r="H51" s="748">
        <f t="shared" si="0"/>
        <v>0.66702261155476861</v>
      </c>
      <c r="I51" s="749">
        <f ca="1"/>
        <v>0.66702273487758101</v>
      </c>
      <c r="J51" s="737" t="str" cm="1">
        <f t="array" aca="1" ref="J51" ca="1">_xll.d.TestUtils_Equal(H51,I51,$H$23)</f>
        <v>Ok</v>
      </c>
      <c r="K51" s="202"/>
      <c r="L51" s="203"/>
      <c r="M51" s="248" t="s">
        <v>589</v>
      </c>
      <c r="N51" s="221">
        <v>2.6849999999999999E-2</v>
      </c>
      <c r="O51" s="249" t="b">
        <v>1</v>
      </c>
      <c r="P51" s="8"/>
      <c r="Q51" s="740">
        <v>50248</v>
      </c>
      <c r="R51" s="748">
        <v>0.40493133325915642</v>
      </c>
      <c r="S51" s="748">
        <f t="shared" si="1"/>
        <v>0.66702261155476861</v>
      </c>
      <c r="T51" s="749">
        <f ca="1"/>
        <v>0.66702273487758101</v>
      </c>
      <c r="U51" s="737" t="str" cm="1">
        <f t="array" aca="1" ref="U51" ca="1">_xll.d.TestUtils_Equal(S51,T51,$H$23)</f>
        <v>Ok</v>
      </c>
    </row>
    <row r="52" spans="2:21">
      <c r="B52" s="248" t="s">
        <v>590</v>
      </c>
      <c r="C52" s="221">
        <v>2.6712E-2</v>
      </c>
      <c r="D52" s="249" t="b">
        <v>1</v>
      </c>
      <c r="E52" s="8"/>
      <c r="F52" s="740">
        <v>52072</v>
      </c>
      <c r="G52" s="748">
        <v>0.53577189779172429</v>
      </c>
      <c r="H52" s="748">
        <f t="shared" si="0"/>
        <v>0.58521738774671983</v>
      </c>
      <c r="I52" s="749">
        <f ca="1"/>
        <v>0.58521749895756081</v>
      </c>
      <c r="J52" s="737" t="str" cm="1">
        <f t="array" aca="1" ref="J52" ca="1">_xll.d.TestUtils_Equal(H52,I52,$H$23)</f>
        <v>Ok</v>
      </c>
      <c r="K52" s="202"/>
      <c r="L52" s="203"/>
      <c r="M52" s="248" t="s">
        <v>590</v>
      </c>
      <c r="N52" s="221">
        <v>2.6712E-2</v>
      </c>
      <c r="O52" s="249" t="b">
        <v>1</v>
      </c>
      <c r="P52" s="8"/>
      <c r="Q52" s="740">
        <v>52072</v>
      </c>
      <c r="R52" s="748">
        <v>0.53577189779172429</v>
      </c>
      <c r="S52" s="748">
        <f t="shared" si="1"/>
        <v>0.58521738774671983</v>
      </c>
      <c r="T52" s="749">
        <f ca="1"/>
        <v>0.58521749895756081</v>
      </c>
      <c r="U52" s="737" t="str" cm="1">
        <f t="array" aca="1" ref="U52" ca="1">_xll.d.TestUtils_Equal(S52,T52,$H$23)</f>
        <v>Ok</v>
      </c>
    </row>
    <row r="53" spans="2:21">
      <c r="B53" s="248" t="s">
        <v>591</v>
      </c>
      <c r="C53" s="221">
        <v>2.5843999999999999E-2</v>
      </c>
      <c r="D53" s="249" t="b">
        <v>1</v>
      </c>
      <c r="E53" s="8"/>
      <c r="F53" s="740">
        <v>53898</v>
      </c>
      <c r="G53" s="748">
        <v>0.64121533694592825</v>
      </c>
      <c r="H53" s="748">
        <f t="shared" si="0"/>
        <v>0.52665197533811836</v>
      </c>
      <c r="I53" s="749">
        <f ca="1"/>
        <v>0.52665265206232303</v>
      </c>
      <c r="J53" s="737" t="str" cm="1">
        <f t="array" aca="1" ref="J53" ca="1">_xll.d.TestUtils_Equal(H53,I53,$H$23)</f>
        <v>Ok</v>
      </c>
      <c r="K53" s="202"/>
      <c r="L53" s="203"/>
      <c r="M53" s="248" t="s">
        <v>591</v>
      </c>
      <c r="N53" s="221">
        <v>2.5843999999999999E-2</v>
      </c>
      <c r="O53" s="249" t="b">
        <v>1</v>
      </c>
      <c r="P53" s="8"/>
      <c r="Q53" s="740">
        <v>53898</v>
      </c>
      <c r="R53" s="748">
        <v>0.64121533694592825</v>
      </c>
      <c r="S53" s="748">
        <f t="shared" si="1"/>
        <v>0.52665197533811836</v>
      </c>
      <c r="T53" s="749">
        <f ca="1"/>
        <v>0.52665265206232303</v>
      </c>
      <c r="U53" s="737" t="str" cm="1">
        <f t="array" aca="1" ref="U53" ca="1">_xll.d.TestUtils_Equal(S53,T53,$H$23)</f>
        <v>Ok</v>
      </c>
    </row>
    <row r="54" spans="2:21">
      <c r="B54" s="250" t="s">
        <v>592</v>
      </c>
      <c r="C54" s="251">
        <v>2.495E-2</v>
      </c>
      <c r="D54" s="252" t="b">
        <v>1</v>
      </c>
      <c r="E54" s="8"/>
      <c r="F54" s="741">
        <v>55725</v>
      </c>
      <c r="G54" s="750">
        <v>0.73410825513956157</v>
      </c>
      <c r="H54" s="750">
        <f t="shared" si="0"/>
        <v>0.47993324621367456</v>
      </c>
      <c r="I54" s="751">
        <f ca="1"/>
        <v>0.47993462499814171</v>
      </c>
      <c r="J54" s="737" t="str" cm="1">
        <f t="array" aca="1" ref="J54" ca="1">_xll.d.TestUtils_Equal(H54,I54,$H$23)</f>
        <v>Ok</v>
      </c>
      <c r="K54" s="202"/>
      <c r="L54" s="203"/>
      <c r="M54" s="250" t="s">
        <v>592</v>
      </c>
      <c r="N54" s="251">
        <v>2.495E-2</v>
      </c>
      <c r="O54" s="252" t="b">
        <v>1</v>
      </c>
      <c r="P54" s="8"/>
      <c r="Q54" s="741">
        <v>55725</v>
      </c>
      <c r="R54" s="750">
        <v>0.73410825513956157</v>
      </c>
      <c r="S54" s="750">
        <f t="shared" si="1"/>
        <v>0.47993324621367456</v>
      </c>
      <c r="T54" s="751">
        <f ca="1"/>
        <v>0.47993462499814171</v>
      </c>
      <c r="U54" s="737" t="str" cm="1">
        <f t="array" aca="1" ref="U54" ca="1">_xll.d.TestUtils_Equal(S54,T54,$H$23)</f>
        <v>Ok</v>
      </c>
    </row>
    <row r="55" spans="2:21">
      <c r="K55" s="202"/>
      <c r="L55" s="203"/>
    </row>
    <row r="56" spans="2:21">
      <c r="E56" s="5"/>
      <c r="K56" s="202"/>
      <c r="L56" s="203"/>
      <c r="P56" s="5"/>
    </row>
    <row r="57" spans="2:21">
      <c r="D57" s="5"/>
      <c r="E57" s="5"/>
      <c r="K57" s="202"/>
      <c r="L57" s="203"/>
      <c r="O57" s="5"/>
      <c r="P57" s="5"/>
    </row>
    <row r="58" spans="2:21">
      <c r="D58" s="5"/>
      <c r="E58" s="5"/>
      <c r="K58" s="202"/>
      <c r="L58" s="203"/>
      <c r="O58" s="5"/>
      <c r="P58" s="5"/>
    </row>
    <row r="59" spans="2:21">
      <c r="D59" s="5"/>
      <c r="E59" s="5"/>
      <c r="K59" s="202"/>
      <c r="L59" s="203"/>
      <c r="O59" s="5"/>
      <c r="P59" s="5"/>
    </row>
    <row r="60" spans="2:21">
      <c r="D60" s="5"/>
      <c r="E60" s="5"/>
      <c r="K60" s="202"/>
      <c r="L60" s="203"/>
      <c r="O60" s="5"/>
      <c r="P60" s="5"/>
    </row>
    <row r="61" spans="2:21">
      <c r="D61" s="5"/>
      <c r="E61" s="5"/>
      <c r="K61" s="202"/>
      <c r="L61" s="203"/>
      <c r="O61" s="5"/>
      <c r="P61" s="5"/>
    </row>
    <row r="62" spans="2:21">
      <c r="D62" s="5"/>
      <c r="E62" s="5"/>
      <c r="K62" s="202"/>
      <c r="L62" s="203"/>
      <c r="O62" s="5"/>
      <c r="P62" s="5"/>
    </row>
    <row r="63" spans="2:21">
      <c r="D63" s="5"/>
      <c r="E63" s="5"/>
      <c r="K63" s="202"/>
      <c r="L63" s="203"/>
      <c r="O63" s="5"/>
      <c r="P63" s="5"/>
    </row>
    <row r="64" spans="2:21">
      <c r="D64" s="5"/>
      <c r="E64" s="5"/>
      <c r="O64" s="5"/>
      <c r="P64" s="5"/>
    </row>
    <row r="65" spans="4:16">
      <c r="D65" s="5"/>
      <c r="E65" s="5"/>
      <c r="O65" s="5"/>
      <c r="P65" s="5"/>
    </row>
    <row r="66" spans="4:16">
      <c r="D66" s="5"/>
      <c r="E66" s="5"/>
    </row>
    <row r="67" spans="4:16">
      <c r="D67" s="5"/>
      <c r="E67" s="5"/>
    </row>
    <row r="68" spans="4:16">
      <c r="D68" s="5"/>
      <c r="E68" s="5"/>
    </row>
    <row r="69" spans="4:16">
      <c r="D69" s="5"/>
      <c r="E69" s="5"/>
    </row>
  </sheetData>
  <mergeCells count="4">
    <mergeCell ref="C20:D20"/>
    <mergeCell ref="C21:D21"/>
    <mergeCell ref="N20:O20"/>
    <mergeCell ref="N21:O21"/>
  </mergeCells>
  <conditionalFormatting sqref="D7 H26 F26:F54 H27:J54">
    <cfRule type="cellIs" dxfId="548" priority="107" stopIfTrue="1" operator="equal">
      <formula>"ERROR"</formula>
    </cfRule>
    <cfRule type="cellIs" dxfId="547" priority="108" stopIfTrue="1" operator="equal">
      <formula>"OK"</formula>
    </cfRule>
    <cfRule type="cellIs" dxfId="546" priority="109" stopIfTrue="1" operator="equal">
      <formula>"WARNING"</formula>
    </cfRule>
  </conditionalFormatting>
  <conditionalFormatting sqref="C4">
    <cfRule type="cellIs" dxfId="545" priority="81" stopIfTrue="1" operator="equal">
      <formula>"OK"</formula>
    </cfRule>
    <cfRule type="cellIs" dxfId="544" priority="82" stopIfTrue="1" operator="equal">
      <formula>"ERROR"</formula>
    </cfRule>
  </conditionalFormatting>
  <conditionalFormatting sqref="I22 F23:I23">
    <cfRule type="cellIs" dxfId="543" priority="32" stopIfTrue="1" operator="equal">
      <formula>"ERROR"</formula>
    </cfRule>
    <cfRule type="cellIs" dxfId="542" priority="33" stopIfTrue="1" operator="equal">
      <formula>"OK"</formula>
    </cfRule>
    <cfRule type="cellIs" dxfId="541" priority="34" stopIfTrue="1" operator="equal">
      <formula>"WARNING"</formula>
    </cfRule>
  </conditionalFormatting>
  <conditionalFormatting sqref="H23">
    <cfRule type="cellIs" dxfId="540" priority="29" stopIfTrue="1" operator="equal">
      <formula>"ERROR"</formula>
    </cfRule>
    <cfRule type="cellIs" dxfId="539" priority="30" stopIfTrue="1" operator="equal">
      <formula>"OK"</formula>
    </cfRule>
    <cfRule type="cellIs" dxfId="538" priority="31" stopIfTrue="1" operator="equal">
      <formula>"WARNING"</formula>
    </cfRule>
  </conditionalFormatting>
  <conditionalFormatting sqref="G26">
    <cfRule type="cellIs" dxfId="537" priority="26" stopIfTrue="1" operator="equal">
      <formula>"ERROR"</formula>
    </cfRule>
    <cfRule type="cellIs" dxfId="536" priority="27" stopIfTrue="1" operator="equal">
      <formula>"OK"</formula>
    </cfRule>
    <cfRule type="cellIs" dxfId="535" priority="28" stopIfTrue="1" operator="equal">
      <formula>"WARNING"</formula>
    </cfRule>
  </conditionalFormatting>
  <conditionalFormatting sqref="G27:G54">
    <cfRule type="cellIs" dxfId="534" priority="23" stopIfTrue="1" operator="equal">
      <formula>"ERROR"</formula>
    </cfRule>
    <cfRule type="cellIs" dxfId="533" priority="24" stopIfTrue="1" operator="equal">
      <formula>"OK"</formula>
    </cfRule>
    <cfRule type="cellIs" dxfId="532" priority="25" stopIfTrue="1" operator="equal">
      <formula>"WARNING"</formula>
    </cfRule>
  </conditionalFormatting>
  <conditionalFormatting sqref="C12">
    <cfRule type="cellIs" dxfId="531" priority="21" stopIfTrue="1" operator="equal">
      <formula>"OK"</formula>
    </cfRule>
    <cfRule type="cellIs" dxfId="530" priority="22" stopIfTrue="1" operator="equal">
      <formula>"ERROR"</formula>
    </cfRule>
  </conditionalFormatting>
  <conditionalFormatting sqref="S26 Q26:Q54 S27:U54">
    <cfRule type="cellIs" dxfId="529" priority="18" stopIfTrue="1" operator="equal">
      <formula>"ERROR"</formula>
    </cfRule>
    <cfRule type="cellIs" dxfId="528" priority="19" stopIfTrue="1" operator="equal">
      <formula>"OK"</formula>
    </cfRule>
    <cfRule type="cellIs" dxfId="527" priority="20" stopIfTrue="1" operator="equal">
      <formula>"WARNING"</formula>
    </cfRule>
  </conditionalFormatting>
  <conditionalFormatting sqref="T22 Q23:T23">
    <cfRule type="cellIs" dxfId="526" priority="15" stopIfTrue="1" operator="equal">
      <formula>"ERROR"</formula>
    </cfRule>
    <cfRule type="cellIs" dxfId="525" priority="16" stopIfTrue="1" operator="equal">
      <formula>"OK"</formula>
    </cfRule>
    <cfRule type="cellIs" dxfId="524" priority="17" stopIfTrue="1" operator="equal">
      <formula>"WARNING"</formula>
    </cfRule>
  </conditionalFormatting>
  <conditionalFormatting sqref="S23">
    <cfRule type="cellIs" dxfId="523" priority="12" stopIfTrue="1" operator="equal">
      <formula>"ERROR"</formula>
    </cfRule>
    <cfRule type="cellIs" dxfId="522" priority="13" stopIfTrue="1" operator="equal">
      <formula>"OK"</formula>
    </cfRule>
    <cfRule type="cellIs" dxfId="521" priority="14" stopIfTrue="1" operator="equal">
      <formula>"WARNING"</formula>
    </cfRule>
  </conditionalFormatting>
  <conditionalFormatting sqref="R26">
    <cfRule type="cellIs" dxfId="520" priority="9" stopIfTrue="1" operator="equal">
      <formula>"ERROR"</formula>
    </cfRule>
    <cfRule type="cellIs" dxfId="519" priority="10" stopIfTrue="1" operator="equal">
      <formula>"OK"</formula>
    </cfRule>
    <cfRule type="cellIs" dxfId="518" priority="11" stopIfTrue="1" operator="equal">
      <formula>"WARNING"</formula>
    </cfRule>
  </conditionalFormatting>
  <conditionalFormatting sqref="R27:R54">
    <cfRule type="cellIs" dxfId="517" priority="6" stopIfTrue="1" operator="equal">
      <formula>"ERROR"</formula>
    </cfRule>
    <cfRule type="cellIs" dxfId="516" priority="7" stopIfTrue="1" operator="equal">
      <formula>"OK"</formula>
    </cfRule>
    <cfRule type="cellIs" dxfId="515" priority="8" stopIfTrue="1" operator="equal">
      <formula>"WARNING"</formula>
    </cfRule>
  </conditionalFormatting>
  <conditionalFormatting sqref="N12">
    <cfRule type="cellIs" dxfId="514" priority="4" stopIfTrue="1" operator="equal">
      <formula>"OK"</formula>
    </cfRule>
    <cfRule type="cellIs" dxfId="513" priority="5" stopIfTrue="1" operator="equal">
      <formula>"ERROR"</formula>
    </cfRule>
  </conditionalFormatting>
  <conditionalFormatting sqref="D8">
    <cfRule type="cellIs" dxfId="512" priority="1" stopIfTrue="1" operator="equal">
      <formula>"ERROR"</formula>
    </cfRule>
    <cfRule type="cellIs" dxfId="511" priority="2" stopIfTrue="1" operator="equal">
      <formula>"OK"</formula>
    </cfRule>
    <cfRule type="cellIs" dxfId="510" priority="3" stopIfTrue="1" operator="equal">
      <formula>"WARNING"</formula>
    </cfRule>
  </conditionalFormatting>
  <dataValidations disablePrompts="1" count="2">
    <dataValidation type="list" allowBlank="1" showInputMessage="1" showErrorMessage="1" sqref="C21 N21" xr:uid="{16B18525-C708-436B-B054-1A4823E1D32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20:D20 N20:O20" xr:uid="{651A98B8-73A4-4A3D-8058-95F21A140CF0}">
      <formula1>"EURIBOR, FEDFUND, JIBAR, SOFR, USD_LIBOR"</formula1>
    </dataValidation>
  </dataValidations>
  <hyperlinks>
    <hyperlink ref="B1" location="Summary!A1" display="Summary!A1" xr:uid="{FA3E872E-5F73-43A4-AC07-8A82DC1BD207}"/>
    <hyperlink ref="B7" location="Curves.Title.d.Curve_Create" display="Curves.Title.d.Curve_Create" xr:uid="{1410D00E-40B1-486B-88B5-8F4D9B002A64}"/>
    <hyperlink ref="B7:C7" location="Curves.Title.d.Curve_Create" display="Curves.Title.d.Curve_Create" xr:uid="{5EE66AC8-0FA4-44B7-AE2C-31B7D9DF320E}"/>
    <hyperlink ref="B8:C8" location="SOFRBootstrapping.Title.d.Curve_Get" display="SOFRBootstrapping.Title.d.Curve_Get" xr:uid="{A6A1262D-10FA-4392-87B6-45539477E8CB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CG291"/>
  <sheetViews>
    <sheetView showGridLines="0" topLeftCell="AJ16" zoomScaleNormal="100" workbookViewId="0">
      <selection activeCell="AQ38" sqref="AQ38:AS46"/>
    </sheetView>
  </sheetViews>
  <sheetFormatPr defaultRowHeight="15"/>
  <cols>
    <col min="1" max="1" width="3.75" customWidth="1"/>
    <col min="2" max="2" width="15.5" customWidth="1"/>
    <col min="3" max="3" width="17.125" customWidth="1"/>
    <col min="4" max="4" width="11.25" customWidth="1"/>
    <col min="5" max="5" width="13.75" customWidth="1"/>
    <col min="6" max="6" width="14.875" bestFit="1" customWidth="1"/>
    <col min="7" max="7" width="19.625" bestFit="1" customWidth="1"/>
    <col min="8" max="8" width="19.5" bestFit="1" customWidth="1"/>
    <col min="9" max="9" width="14.5" bestFit="1" customWidth="1"/>
    <col min="10" max="10" width="10.125" bestFit="1" customWidth="1"/>
    <col min="11" max="11" width="14" bestFit="1" customWidth="1"/>
    <col min="12" max="12" width="16.5" style="430" customWidth="1"/>
    <col min="13" max="13" width="13.625" style="430" customWidth="1"/>
    <col min="14" max="14" width="16.5" style="430" customWidth="1"/>
    <col min="15" max="15" width="12.375" style="430" customWidth="1"/>
    <col min="16" max="16" width="6.25" style="430" customWidth="1"/>
    <col min="17" max="17" width="16.5" style="430" customWidth="1"/>
    <col min="18" max="18" width="20.25" style="430" bestFit="1" customWidth="1"/>
    <col min="19" max="19" width="19.5" style="430" bestFit="1" customWidth="1"/>
    <col min="20" max="20" width="16.5" style="430" customWidth="1"/>
    <col min="21" max="21" width="8.375" style="430" customWidth="1"/>
    <col min="22" max="22" width="12.75" style="430" customWidth="1"/>
    <col min="23" max="23" width="18.5" style="430" bestFit="1" customWidth="1"/>
    <col min="24" max="24" width="18.75" style="430" bestFit="1" customWidth="1"/>
    <col min="25" max="25" width="12.75" style="430" customWidth="1"/>
    <col min="26" max="27" width="3.75" style="430" customWidth="1"/>
    <col min="28" max="28" width="17.75" customWidth="1"/>
    <col min="29" max="30" width="13.25" customWidth="1"/>
    <col min="31" max="31" width="11.875" customWidth="1"/>
    <col min="32" max="32" width="11.375" customWidth="1"/>
    <col min="33" max="33" width="23.5" customWidth="1"/>
    <col min="34" max="34" width="27.625" customWidth="1"/>
    <col min="35" max="35" width="17.125" customWidth="1"/>
    <col min="36" max="40" width="13.5" style="430" customWidth="1"/>
    <col min="41" max="42" width="3.75" customWidth="1"/>
    <col min="43" max="43" width="17.125" style="430" customWidth="1"/>
    <col min="44" max="47" width="11" style="430" customWidth="1"/>
    <col min="48" max="48" width="22" style="430" customWidth="1"/>
    <col min="49" max="49" width="21.75" style="430" customWidth="1"/>
    <col min="50" max="59" width="11" style="430" customWidth="1"/>
    <col min="60" max="60" width="11.375" customWidth="1"/>
    <col min="62" max="62" width="11" customWidth="1"/>
    <col min="77" max="77" width="20.25" customWidth="1"/>
  </cols>
  <sheetData>
    <row r="1" spans="2:85">
      <c r="B1" s="399" t="s">
        <v>372</v>
      </c>
    </row>
    <row r="2" spans="2:85" ht="26.25">
      <c r="B2" s="2" t="s">
        <v>624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</row>
    <row r="4" spans="2:85" ht="18.75">
      <c r="B4" s="3" t="s">
        <v>139</v>
      </c>
      <c r="C4" s="3"/>
      <c r="D4" s="3"/>
      <c r="E4" s="3"/>
      <c r="F4" s="3"/>
      <c r="G4" s="3"/>
      <c r="H4" s="3"/>
      <c r="I4" s="3"/>
      <c r="J4" s="3"/>
    </row>
    <row r="6" spans="2:85">
      <c r="B6" s="50" t="s">
        <v>139</v>
      </c>
      <c r="C6" s="163" t="str" cm="1">
        <f t="array" aca="1" ref="C6" ca="1">_xll.d.TestUtils_And(D11:D12,H12:H13,H16)</f>
        <v>Ok</v>
      </c>
      <c r="J6" s="202"/>
      <c r="K6" s="203"/>
      <c r="M6" s="54"/>
      <c r="N6" s="54"/>
      <c r="O6" s="54"/>
      <c r="P6" s="54"/>
      <c r="Q6" s="54"/>
      <c r="R6" s="54"/>
      <c r="S6" s="54"/>
      <c r="T6" s="54"/>
    </row>
    <row r="7" spans="2:85">
      <c r="J7" s="202"/>
      <c r="K7" s="203"/>
      <c r="M7" s="54"/>
      <c r="N7" s="54"/>
      <c r="O7" s="54"/>
      <c r="P7" s="54"/>
      <c r="Q7" s="54"/>
      <c r="R7" s="54"/>
      <c r="S7" s="54"/>
      <c r="T7" s="54"/>
    </row>
    <row r="8" spans="2:85" s="430" customFormat="1" ht="15.75">
      <c r="B8" s="4" t="s">
        <v>625</v>
      </c>
      <c r="C8" s="4"/>
      <c r="D8" s="4"/>
      <c r="F8" s="4" t="s">
        <v>626</v>
      </c>
      <c r="G8" s="4"/>
      <c r="H8" s="4"/>
      <c r="J8" s="202"/>
      <c r="K8" s="203"/>
      <c r="M8" s="54"/>
      <c r="N8" s="54"/>
      <c r="O8" s="54"/>
      <c r="P8" s="54"/>
      <c r="Q8" s="54"/>
      <c r="R8" s="54"/>
      <c r="S8" s="54"/>
      <c r="T8" s="54"/>
    </row>
    <row r="9" spans="2:85" s="430" customFormat="1">
      <c r="J9" s="202"/>
      <c r="K9" s="203"/>
      <c r="M9" s="54"/>
      <c r="N9" s="54"/>
      <c r="O9" s="54"/>
      <c r="P9" s="54"/>
      <c r="Q9" s="54"/>
      <c r="R9" s="54"/>
      <c r="S9" s="54"/>
      <c r="T9" s="54"/>
    </row>
    <row r="10" spans="2:85">
      <c r="B10" s="188" t="s">
        <v>196</v>
      </c>
      <c r="C10" s="188"/>
      <c r="D10" s="189" t="s">
        <v>10</v>
      </c>
      <c r="F10" s="188" t="s">
        <v>9</v>
      </c>
      <c r="G10" s="188"/>
      <c r="H10" s="189" t="s">
        <v>10</v>
      </c>
      <c r="J10" s="202"/>
      <c r="K10" s="203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202"/>
      <c r="AA10" s="203"/>
      <c r="AO10" s="202"/>
      <c r="AP10" s="203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</row>
    <row r="11" spans="2:85">
      <c r="B11" s="201" t="s">
        <v>622</v>
      </c>
      <c r="C11" s="201"/>
      <c r="D11" s="163" t="str">
        <f ca="1">C75</f>
        <v>Ok</v>
      </c>
      <c r="F11" s="233" t="str">
        <f>B21</f>
        <v>ZAR Swap Curve Testing</v>
      </c>
      <c r="G11" s="234"/>
      <c r="H11" s="235"/>
      <c r="J11" s="202"/>
      <c r="K11" s="203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202"/>
      <c r="AA11" s="203"/>
      <c r="AO11" s="202"/>
      <c r="AP11" s="203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</row>
    <row r="12" spans="2:85">
      <c r="B12" s="406" t="s">
        <v>619</v>
      </c>
      <c r="C12" s="406"/>
      <c r="D12" s="291" t="str">
        <f ca="1">C103</f>
        <v>Ok</v>
      </c>
      <c r="F12" s="398" t="str">
        <f>B23</f>
        <v>Flat Curve, 3m JIBAR</v>
      </c>
      <c r="G12" s="201"/>
      <c r="H12" s="163" t="str">
        <f ca="1">C25</f>
        <v>Ok</v>
      </c>
      <c r="J12" s="202"/>
      <c r="K12" s="203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202"/>
      <c r="AA12" s="203"/>
      <c r="AO12" s="202"/>
      <c r="AP12" s="203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</row>
    <row r="13" spans="2:85">
      <c r="F13" s="201" t="s">
        <v>567</v>
      </c>
      <c r="G13" s="201"/>
      <c r="H13" s="163" t="str">
        <f ca="1">M25</f>
        <v>Ok</v>
      </c>
      <c r="J13" s="202"/>
      <c r="K13" s="203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202"/>
      <c r="AA13" s="203"/>
      <c r="AO13" s="202"/>
      <c r="AP13" s="203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</row>
    <row r="14" spans="2:85" s="430" customFormat="1">
      <c r="J14" s="202"/>
      <c r="K14" s="203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202"/>
      <c r="AA14" s="203"/>
      <c r="AE14" s="10"/>
      <c r="AF14" s="1"/>
      <c r="AG14" s="1"/>
      <c r="AH14" s="1"/>
      <c r="AI14" s="1"/>
      <c r="AO14" s="202"/>
      <c r="AP14" s="203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</row>
    <row r="15" spans="2:85">
      <c r="F15" s="233" t="s">
        <v>189</v>
      </c>
      <c r="G15" s="234"/>
      <c r="H15" s="235"/>
      <c r="J15" s="202"/>
      <c r="K15" s="203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202"/>
      <c r="AA15" s="203"/>
      <c r="AO15" s="202"/>
      <c r="AP15" s="203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</row>
    <row r="16" spans="2:85">
      <c r="F16" s="398" t="str">
        <f>AB23</f>
        <v>Real Curve, FEDFUND</v>
      </c>
      <c r="G16" s="201"/>
      <c r="H16" s="163" t="str">
        <f ca="1">AC25</f>
        <v>Ok</v>
      </c>
      <c r="J16" s="202"/>
      <c r="K16" s="203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202"/>
      <c r="AA16" s="203"/>
      <c r="AE16" s="10"/>
      <c r="AO16" s="202"/>
      <c r="AP16" s="203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</row>
    <row r="17" spans="2:84" s="430" customFormat="1">
      <c r="F17" s="398"/>
      <c r="G17" s="201"/>
      <c r="H17" s="163"/>
      <c r="J17" s="202"/>
      <c r="K17" s="203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202"/>
      <c r="AA17" s="203"/>
      <c r="AE17" s="10"/>
      <c r="AO17" s="202"/>
      <c r="AP17" s="203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</row>
    <row r="18" spans="2:84">
      <c r="B18" s="198"/>
      <c r="C18" s="232"/>
      <c r="D18" s="163"/>
      <c r="F18" s="54"/>
      <c r="G18" s="54"/>
      <c r="H18" s="54"/>
      <c r="J18" s="202"/>
      <c r="K18" s="203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202"/>
      <c r="AA18" s="203"/>
      <c r="AO18" s="202"/>
      <c r="AP18" s="203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</row>
    <row r="19" spans="2:84">
      <c r="F19" s="54"/>
      <c r="G19" s="54"/>
      <c r="H19" s="54"/>
      <c r="J19" s="202"/>
      <c r="K19" s="203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202"/>
      <c r="AA19" s="203"/>
      <c r="AO19" s="202"/>
      <c r="AP19" s="203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</row>
    <row r="20" spans="2:84">
      <c r="F20" s="54"/>
      <c r="G20" s="54"/>
      <c r="H20" s="54"/>
      <c r="J20" s="202"/>
      <c r="K20" s="203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772"/>
      <c r="X20" s="54"/>
      <c r="Y20" s="54"/>
      <c r="Z20" s="202"/>
      <c r="AA20" s="203"/>
      <c r="AO20" s="202"/>
      <c r="AP20" s="203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</row>
    <row r="21" spans="2:84" ht="18.75">
      <c r="B21" s="3" t="s">
        <v>197</v>
      </c>
      <c r="C21" s="3"/>
      <c r="D21" s="3"/>
      <c r="E21" s="3"/>
      <c r="F21" s="3"/>
      <c r="G21" s="3"/>
      <c r="H21" s="3"/>
      <c r="I21" s="3"/>
      <c r="J21" s="202"/>
      <c r="K21" s="203"/>
      <c r="L21" s="3" t="s">
        <v>197</v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202"/>
      <c r="AA21" s="203"/>
      <c r="AB21" s="3" t="s">
        <v>198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202"/>
      <c r="AP21" s="203"/>
      <c r="AQ21" s="3" t="s">
        <v>880</v>
      </c>
      <c r="AR21" s="3"/>
      <c r="AS21" s="3"/>
      <c r="AT21" s="3"/>
      <c r="AU21" s="3"/>
      <c r="AV21" s="3"/>
      <c r="AW21" s="3"/>
      <c r="AX21" s="3"/>
      <c r="AY21" s="54"/>
      <c r="AZ21" s="54"/>
      <c r="BA21" s="54"/>
      <c r="BB21" s="54"/>
      <c r="BC21" s="54"/>
      <c r="BD21" s="54"/>
      <c r="BE21" s="54"/>
      <c r="BF21" s="54"/>
      <c r="BG21" s="54"/>
      <c r="BH21" s="3" t="s">
        <v>183</v>
      </c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</row>
    <row r="22" spans="2:84">
      <c r="J22" s="202"/>
      <c r="K22" s="203"/>
      <c r="Z22" s="202"/>
      <c r="AA22" s="203"/>
      <c r="AO22" s="202"/>
      <c r="AP22" s="203"/>
      <c r="AY22" s="54"/>
      <c r="AZ22" s="54"/>
      <c r="BA22" s="54"/>
      <c r="BB22" s="54"/>
      <c r="BC22" s="54"/>
      <c r="BD22" s="54"/>
      <c r="BE22" s="54"/>
      <c r="BF22" s="54"/>
      <c r="BG22" s="54"/>
    </row>
    <row r="23" spans="2:84" ht="15.75">
      <c r="B23" s="4" t="s">
        <v>190</v>
      </c>
      <c r="C23" s="4"/>
      <c r="D23" s="4"/>
      <c r="E23" s="4"/>
      <c r="F23" s="4"/>
      <c r="G23" s="4"/>
      <c r="H23" s="4"/>
      <c r="I23" s="4"/>
      <c r="J23" s="202"/>
      <c r="K23" s="203"/>
      <c r="L23" s="4" t="s">
        <v>567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202"/>
      <c r="AA23" s="203"/>
      <c r="AB23" s="4" t="s">
        <v>584</v>
      </c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202"/>
      <c r="AP23" s="203"/>
      <c r="AQ23" s="4" t="s">
        <v>190</v>
      </c>
      <c r="AR23" s="4"/>
      <c r="AS23" s="4"/>
      <c r="AT23" s="4"/>
      <c r="AU23" s="4"/>
      <c r="AV23" s="4"/>
      <c r="AW23" s="4"/>
      <c r="AX23" s="4"/>
      <c r="AY23" s="54"/>
      <c r="AZ23" s="54"/>
      <c r="BA23" s="54"/>
      <c r="BB23" s="54"/>
      <c r="BC23" s="54"/>
      <c r="BD23" s="54"/>
      <c r="BE23" s="54"/>
      <c r="BF23" s="54"/>
      <c r="BG23" s="54"/>
      <c r="BH23" t="s">
        <v>187</v>
      </c>
      <c r="BR23" t="s">
        <v>184</v>
      </c>
    </row>
    <row r="24" spans="2:84">
      <c r="J24" s="202"/>
      <c r="K24" s="203"/>
      <c r="U24" s="730"/>
      <c r="V24" s="730"/>
      <c r="W24" s="730"/>
      <c r="X24" s="730"/>
      <c r="Y24" s="730"/>
      <c r="Z24" s="202"/>
      <c r="AA24" s="203"/>
      <c r="AO24" s="202"/>
      <c r="AP24" s="203"/>
      <c r="AY24" s="54"/>
      <c r="AZ24" s="54"/>
      <c r="BA24" s="54"/>
      <c r="BB24" s="54"/>
      <c r="BC24" s="54"/>
      <c r="BD24" s="54"/>
      <c r="BE24" s="54"/>
      <c r="BF24" s="54"/>
      <c r="BG24" s="54"/>
    </row>
    <row r="25" spans="2:84">
      <c r="B25" s="50" t="s">
        <v>106</v>
      </c>
      <c r="C25" s="163" t="str" cm="1">
        <f t="array" aca="1" ref="C25" ca="1">_xll.d.TestUtils_And(I33:I38,I59:I60)</f>
        <v>Ok</v>
      </c>
      <c r="J25" s="202"/>
      <c r="K25" s="203"/>
      <c r="L25" s="50" t="s">
        <v>106</v>
      </c>
      <c r="M25" s="163" t="str" cm="1">
        <f t="array" aca="1" ref="M25" ca="1">_xll.d.TestUtils_And(T33:T43,T84:T89,Y33:Y49)</f>
        <v>Ok</v>
      </c>
      <c r="Z25" s="202"/>
      <c r="AA25" s="203"/>
      <c r="AB25" s="50" t="s">
        <v>106</v>
      </c>
      <c r="AC25" s="163" t="str" cm="1">
        <f t="array" aca="1" ref="AC25" ca="1">_xll.d.TestUtils_And(AI33:AI39,AI55:AI60,AN33:AN53)</f>
        <v>Ok</v>
      </c>
      <c r="AO25" s="202"/>
      <c r="AP25" s="203"/>
      <c r="AQ25" s="50" t="s">
        <v>106</v>
      </c>
      <c r="AR25" s="163" t="str" cm="1">
        <f t="array" aca="1" ref="AR25" ca="1">_xll.d.TestUtils_And(AX33:AX38,AX59:AX60)</f>
        <v>Ok</v>
      </c>
      <c r="AY25" s="54"/>
      <c r="AZ25" s="54"/>
      <c r="BA25" s="54"/>
      <c r="BB25" s="54"/>
      <c r="BC25" s="54"/>
      <c r="BD25" s="54"/>
      <c r="BE25" s="54"/>
      <c r="BF25" s="54"/>
      <c r="BG25" s="54"/>
      <c r="BH25" s="55" t="s">
        <v>37</v>
      </c>
      <c r="BI25" s="55"/>
      <c r="BJ25" s="256" t="e" cm="1">
        <f t="array" aca="1" ref="BJ25" ca="1">_xll.d.Curve_SingleCurveBootstrap("CurveMissingBaseDate",BH29:BI31,BH36:BJ41,BH43:BJ46,BH48:BJ51)</f>
        <v>#NAME?</v>
      </c>
      <c r="BK25" s="39"/>
      <c r="BL25" s="39"/>
      <c r="BM25" s="39"/>
      <c r="BN25" s="208"/>
      <c r="BR25" s="55" t="s">
        <v>37</v>
      </c>
      <c r="BS25" s="55"/>
      <c r="BT25" s="207" t="e" cm="1">
        <f t="array" aca="1" ref="BT25" ca="1">_xll.d.Curve_SingleCurveBootstrap("CurveMissingRateIndex",BR29:BS31,BR36:BT41,BR43:BT46,BR48:BT51)</f>
        <v>#NAME?</v>
      </c>
      <c r="BU25" s="208"/>
      <c r="CC25" s="55" t="s">
        <v>37</v>
      </c>
      <c r="CD25" s="55"/>
      <c r="CE25" s="207"/>
      <c r="CF25" s="208"/>
    </row>
    <row r="26" spans="2:84">
      <c r="J26" s="202"/>
      <c r="K26" s="203"/>
      <c r="Q26" s="876" t="s">
        <v>657</v>
      </c>
      <c r="R26" s="876"/>
      <c r="S26" s="876"/>
      <c r="T26" s="876"/>
      <c r="V26" s="876" t="s">
        <v>656</v>
      </c>
      <c r="W26" s="876"/>
      <c r="X26" s="876"/>
      <c r="Y26" s="876"/>
      <c r="Z26" s="202"/>
      <c r="AA26" s="203"/>
      <c r="AF26" s="876" t="s">
        <v>657</v>
      </c>
      <c r="AG26" s="876"/>
      <c r="AH26" s="876"/>
      <c r="AI26" s="876"/>
      <c r="AJ26" s="730"/>
      <c r="AK26" s="876" t="s">
        <v>656</v>
      </c>
      <c r="AL26" s="876"/>
      <c r="AM26" s="876"/>
      <c r="AN26" s="876"/>
      <c r="AO26" s="202"/>
      <c r="AP26" s="203"/>
      <c r="AY26" s="54"/>
      <c r="AZ26" s="54"/>
      <c r="BA26" s="54"/>
      <c r="BB26" s="54"/>
      <c r="BC26" s="54"/>
      <c r="BD26" s="54"/>
      <c r="BE26" s="54"/>
      <c r="BF26" s="54"/>
      <c r="BG26" s="54"/>
    </row>
    <row r="27" spans="2:84">
      <c r="J27" s="202"/>
      <c r="K27" s="203"/>
      <c r="Q27" s="724" t="s">
        <v>658</v>
      </c>
      <c r="V27" s="724" t="s">
        <v>659</v>
      </c>
      <c r="Z27" s="202"/>
      <c r="AA27" s="203"/>
      <c r="AF27" s="724" t="s">
        <v>658</v>
      </c>
      <c r="AG27" s="430"/>
      <c r="AH27" s="430"/>
      <c r="AI27" s="430"/>
      <c r="AK27" s="724" t="s">
        <v>659</v>
      </c>
      <c r="AO27" s="202"/>
      <c r="AP27" s="203"/>
      <c r="AY27" s="54"/>
      <c r="AZ27" s="54"/>
      <c r="BA27" s="54"/>
      <c r="BB27" s="54"/>
      <c r="BC27" s="54"/>
      <c r="BD27" s="54"/>
      <c r="BE27" s="54"/>
      <c r="BF27" s="54"/>
      <c r="BG27" s="54"/>
      <c r="BJ27" t="s">
        <v>186</v>
      </c>
    </row>
    <row r="28" spans="2:84">
      <c r="B28" s="55" t="s">
        <v>37</v>
      </c>
      <c r="C28" s="55"/>
      <c r="F28" s="120" t="s">
        <v>473</v>
      </c>
      <c r="G28" s="872">
        <v>9.9999999999999995E-7</v>
      </c>
      <c r="H28" s="430"/>
      <c r="I28" s="430"/>
      <c r="J28" s="202"/>
      <c r="K28" s="203"/>
      <c r="L28" s="55" t="s">
        <v>37</v>
      </c>
      <c r="M28" s="55"/>
      <c r="U28" s="730"/>
      <c r="V28" s="850" t="s">
        <v>660</v>
      </c>
      <c r="Y28" s="730"/>
      <c r="Z28" s="202"/>
      <c r="AA28" s="203"/>
      <c r="AB28" s="55" t="s">
        <v>37</v>
      </c>
      <c r="AC28" s="55"/>
      <c r="AD28" s="55"/>
      <c r="AF28" s="12" t="s">
        <v>593</v>
      </c>
      <c r="AG28" s="12"/>
      <c r="AH28" s="877" cm="1">
        <f t="array" aca="1" ref="AH28" ca="1">_xll.d.Dates_AddTenorToDate(AC33,"2d","USD","MODFOL")</f>
        <v>43923</v>
      </c>
      <c r="AK28" s="850" t="s">
        <v>660</v>
      </c>
      <c r="AN28" s="730"/>
      <c r="AO28" s="202"/>
      <c r="AP28" s="203"/>
      <c r="AQ28" s="55" t="s">
        <v>37</v>
      </c>
      <c r="AR28" s="55"/>
      <c r="AU28" s="120" t="s">
        <v>473</v>
      </c>
      <c r="AV28" s="872">
        <v>9.9999999999999995E-7</v>
      </c>
      <c r="AY28" s="54"/>
      <c r="AZ28" s="54"/>
      <c r="BA28" s="54"/>
      <c r="BB28" s="54"/>
      <c r="BC28" s="54"/>
      <c r="BD28" s="54"/>
      <c r="BE28" s="54"/>
      <c r="BF28" s="54"/>
      <c r="BG28" s="54"/>
    </row>
    <row r="29" spans="2:84">
      <c r="B29" s="893" t="str" cm="1">
        <f t="array" aca="1" ref="B29" ca="1">_xll.d.Curve_Bootstrap("ZARFlatCurve",B31:C36,,B39:D43,B45:D49,B51:D54)</f>
        <v>@@ZARFlatCurve::08:30:36</v>
      </c>
      <c r="C29" s="894"/>
      <c r="F29" s="430"/>
      <c r="G29" s="430"/>
      <c r="H29" s="430"/>
      <c r="I29" s="430"/>
      <c r="J29" s="202"/>
      <c r="K29" s="203"/>
      <c r="L29" s="893" t="str" cm="1">
        <f t="array" aca="1" ref="L29" ca="1">_xll.d.Curve_Bootstrap("ZARRealCurve",L31:M36,,L39:N43,L45:N53,L55:N62)</f>
        <v>@@ZARRealCurve::08:30:37</v>
      </c>
      <c r="M29" s="894"/>
      <c r="Q29" s="120" t="s">
        <v>473</v>
      </c>
      <c r="R29" s="120"/>
      <c r="S29" s="773">
        <v>1.0000000000000001E-5</v>
      </c>
      <c r="U29" s="730"/>
      <c r="V29" s="120" t="s">
        <v>473</v>
      </c>
      <c r="W29" s="120"/>
      <c r="X29" s="773">
        <v>1E-4</v>
      </c>
      <c r="Y29" s="730"/>
      <c r="Z29" s="202"/>
      <c r="AA29" s="203"/>
      <c r="AB29" s="893" t="str" cm="1">
        <f t="array" aca="1" ref="AB29" ca="1">_xll.d.Curve_Bootstrap(_xll.d.Excel_GetSheetName()&amp;"_USDOIS",AB31:AC35,,AB38:AD40,AB42:AD63)</f>
        <v>@@SingleCurveBootstrapping_USDOIS::08:30:28</v>
      </c>
      <c r="AC29" s="894"/>
      <c r="AD29" s="894"/>
      <c r="AF29" s="120" t="s">
        <v>473</v>
      </c>
      <c r="AG29" s="120"/>
      <c r="AH29" s="773">
        <v>1.0000000000000001E-5</v>
      </c>
      <c r="AK29" s="120" t="s">
        <v>473</v>
      </c>
      <c r="AL29" s="120"/>
      <c r="AM29" s="773">
        <v>1E-4</v>
      </c>
      <c r="AO29" s="202"/>
      <c r="AP29" s="203"/>
      <c r="AQ29" s="893" t="str" cm="1">
        <f t="array" aca="1" ref="AQ29" ca="1">_xll.d.Curve_Bootstrap("CustomRateIndex",AQ31:AR35,AQ38:AS46,AQ50:AS54,AQ56:AS60,AQ62:AS65)</f>
        <v>@@CustomRateIndex::12:13:52</v>
      </c>
      <c r="AR29" s="894"/>
      <c r="AY29" s="54"/>
      <c r="AZ29" s="54"/>
      <c r="BA29" s="54"/>
      <c r="BB29" s="54"/>
      <c r="BC29" s="54"/>
      <c r="BD29" s="54"/>
      <c r="BE29" s="54"/>
      <c r="BF29" s="54"/>
      <c r="BG29" s="54"/>
      <c r="BH29" s="49" t="s">
        <v>47</v>
      </c>
      <c r="BI29" s="50"/>
      <c r="BR29" s="49" t="s">
        <v>47</v>
      </c>
      <c r="BS29" s="50"/>
      <c r="CC29" s="49" t="s">
        <v>47</v>
      </c>
      <c r="CD29" s="50"/>
    </row>
    <row r="30" spans="2:84">
      <c r="J30" s="202"/>
      <c r="K30" s="203"/>
      <c r="Z30" s="202"/>
      <c r="AA30" s="203"/>
      <c r="AO30" s="202"/>
      <c r="AP30" s="203"/>
      <c r="AY30" s="54"/>
      <c r="AZ30" s="54"/>
      <c r="BA30" s="54"/>
      <c r="BB30" s="54"/>
      <c r="BC30" s="54"/>
      <c r="BD30" s="54"/>
      <c r="BE30" s="54"/>
      <c r="BF30" s="54"/>
      <c r="BG30" s="54"/>
      <c r="BH30" s="51" t="s">
        <v>29</v>
      </c>
      <c r="BI30" s="52" t="s">
        <v>30</v>
      </c>
      <c r="BR30" s="51" t="s">
        <v>29</v>
      </c>
      <c r="BS30" s="52" t="s">
        <v>30</v>
      </c>
      <c r="CC30" s="51" t="s">
        <v>29</v>
      </c>
      <c r="CD30" s="52" t="s">
        <v>30</v>
      </c>
    </row>
    <row r="31" spans="2:84">
      <c r="B31" s="12" t="s">
        <v>47</v>
      </c>
      <c r="C31" s="13"/>
      <c r="D31" s="13"/>
      <c r="F31" s="229" t="s">
        <v>196</v>
      </c>
      <c r="G31" s="230"/>
      <c r="H31" s="230"/>
      <c r="I31" s="231"/>
      <c r="J31" s="202"/>
      <c r="K31" s="203"/>
      <c r="L31" s="12" t="s">
        <v>47</v>
      </c>
      <c r="M31" s="13"/>
      <c r="N31" s="13"/>
      <c r="Q31" s="229" t="s">
        <v>196</v>
      </c>
      <c r="R31" s="230"/>
      <c r="S31" s="230"/>
      <c r="T31" s="231"/>
      <c r="U31" s="730"/>
      <c r="V31" s="120" t="s">
        <v>31</v>
      </c>
      <c r="W31" s="744" t="s">
        <v>2</v>
      </c>
      <c r="X31" s="745"/>
      <c r="Y31" s="121" t="s">
        <v>67</v>
      </c>
      <c r="Z31" s="202"/>
      <c r="AA31" s="203"/>
      <c r="AB31" s="12" t="s">
        <v>47</v>
      </c>
      <c r="AC31" s="13"/>
      <c r="AD31" s="13"/>
      <c r="AF31" s="120" t="s">
        <v>196</v>
      </c>
      <c r="AG31" s="191"/>
      <c r="AH31" s="191"/>
      <c r="AI31" s="121"/>
      <c r="AK31" s="120" t="s">
        <v>31</v>
      </c>
      <c r="AL31" s="744" t="s">
        <v>2</v>
      </c>
      <c r="AM31" s="745"/>
      <c r="AN31" s="121" t="s">
        <v>67</v>
      </c>
      <c r="AO31" s="202"/>
      <c r="AP31" s="203"/>
      <c r="AQ31" s="12" t="s">
        <v>47</v>
      </c>
      <c r="AR31" s="13"/>
      <c r="AS31" s="13"/>
      <c r="AU31" s="229" t="s">
        <v>196</v>
      </c>
      <c r="AV31" s="230"/>
      <c r="AW31" s="230"/>
      <c r="AX31" s="231"/>
      <c r="AY31" s="54"/>
      <c r="AZ31" s="54"/>
      <c r="BA31" s="54"/>
      <c r="BB31" s="54"/>
      <c r="BC31" s="54"/>
      <c r="BD31" s="54"/>
      <c r="BE31" s="54"/>
      <c r="BF31" s="54"/>
      <c r="BG31" s="54"/>
      <c r="BH31" s="213" t="s">
        <v>32</v>
      </c>
      <c r="BI31" s="214" t="s">
        <v>33</v>
      </c>
      <c r="BK31" s="53"/>
      <c r="BR31" s="209" t="s">
        <v>182</v>
      </c>
      <c r="BS31" s="46">
        <v>44713</v>
      </c>
      <c r="BU31" s="53"/>
      <c r="CC31" s="209" t="s">
        <v>182</v>
      </c>
      <c r="CD31" s="46">
        <v>44713</v>
      </c>
      <c r="CF31" s="53"/>
    </row>
    <row r="32" spans="2:84">
      <c r="B32" s="61" t="s">
        <v>29</v>
      </c>
      <c r="C32" s="881" t="s">
        <v>30</v>
      </c>
      <c r="D32" s="881"/>
      <c r="F32" s="61" t="s">
        <v>31</v>
      </c>
      <c r="G32" s="62" t="s">
        <v>38</v>
      </c>
      <c r="H32" s="62" t="s">
        <v>39</v>
      </c>
      <c r="I32" s="63" t="s">
        <v>67</v>
      </c>
      <c r="J32" s="202"/>
      <c r="K32" s="203"/>
      <c r="L32" s="61" t="s">
        <v>29</v>
      </c>
      <c r="M32" s="881" t="s">
        <v>30</v>
      </c>
      <c r="N32" s="881"/>
      <c r="Q32" s="61" t="s">
        <v>31</v>
      </c>
      <c r="R32" s="62" t="s">
        <v>38</v>
      </c>
      <c r="S32" s="62" t="s">
        <v>39</v>
      </c>
      <c r="T32" s="63" t="s">
        <v>67</v>
      </c>
      <c r="U32" s="730"/>
      <c r="V32" s="742"/>
      <c r="W32" s="738" t="s">
        <v>582</v>
      </c>
      <c r="X32" s="44" t="s">
        <v>583</v>
      </c>
      <c r="Y32" s="743"/>
      <c r="Z32" s="202"/>
      <c r="AA32" s="203"/>
      <c r="AB32" s="61" t="s">
        <v>29</v>
      </c>
      <c r="AC32" s="881" t="s">
        <v>30</v>
      </c>
      <c r="AD32" s="881"/>
      <c r="AF32" s="752" t="s">
        <v>31</v>
      </c>
      <c r="AG32" s="753" t="s">
        <v>38</v>
      </c>
      <c r="AH32" s="753" t="s">
        <v>39</v>
      </c>
      <c r="AI32" s="754" t="s">
        <v>9</v>
      </c>
      <c r="AK32" s="742"/>
      <c r="AL32" s="738" t="s">
        <v>582</v>
      </c>
      <c r="AM32" s="44" t="s">
        <v>583</v>
      </c>
      <c r="AN32" s="743"/>
      <c r="AO32" s="202"/>
      <c r="AP32" s="203"/>
      <c r="AQ32" s="61" t="s">
        <v>29</v>
      </c>
      <c r="AR32" s="881" t="s">
        <v>30</v>
      </c>
      <c r="AS32" s="881"/>
      <c r="AU32" s="61" t="s">
        <v>31</v>
      </c>
      <c r="AV32" s="62" t="s">
        <v>38</v>
      </c>
      <c r="AW32" s="62" t="s">
        <v>39</v>
      </c>
      <c r="AX32" s="63" t="s">
        <v>67</v>
      </c>
      <c r="AY32" s="54"/>
      <c r="AZ32" s="54"/>
      <c r="BA32" s="54"/>
      <c r="BB32" s="54"/>
      <c r="BC32" s="54"/>
      <c r="BD32" s="54"/>
      <c r="BE32" s="54"/>
      <c r="BF32" s="54"/>
      <c r="BG32" s="54"/>
      <c r="BH32" s="213"/>
      <c r="BI32" s="214"/>
      <c r="BK32" s="53"/>
      <c r="BR32" s="210"/>
      <c r="BS32" s="211"/>
      <c r="BU32" s="53"/>
      <c r="CC32" s="210" t="s">
        <v>32</v>
      </c>
      <c r="CD32" s="212" t="s">
        <v>185</v>
      </c>
      <c r="CF32" s="53"/>
    </row>
    <row r="33" spans="1:83">
      <c r="B33" s="999" t="s">
        <v>722</v>
      </c>
      <c r="C33" s="879">
        <v>44713</v>
      </c>
      <c r="D33" s="879"/>
      <c r="E33" s="53"/>
      <c r="F33" s="226">
        <f>C33</f>
        <v>44713</v>
      </c>
      <c r="G33" s="236">
        <v>1</v>
      </c>
      <c r="H33" s="236" cm="1">
        <f t="array" aca="1" ref="H33" ca="1">_xll.d.Curve_GetDiscountFactors($B$29,F33)</f>
        <v>1</v>
      </c>
      <c r="I33" s="216" t="str" cm="1">
        <f t="array" aca="1" ref="I33" ca="1">_xll.d.TestUtils_Equal(G33,H33,$G$28)</f>
        <v>Ok</v>
      </c>
      <c r="J33" s="202"/>
      <c r="K33" s="203"/>
      <c r="L33" s="215" t="s">
        <v>182</v>
      </c>
      <c r="M33" s="879">
        <v>43861</v>
      </c>
      <c r="N33" s="879"/>
      <c r="O33" s="53"/>
      <c r="Q33" s="226">
        <f>M33</f>
        <v>43861</v>
      </c>
      <c r="R33" s="723">
        <v>1</v>
      </c>
      <c r="S33" s="723" cm="1">
        <f t="array" aca="1" ref="S33" ca="1">_xll.d.Curve_GetDiscountFactors($L$29,Q33)</f>
        <v>1</v>
      </c>
      <c r="T33" s="216" t="str" cm="1">
        <f t="array" aca="1" ref="T33" ca="1">_xll.d.TestUtils_Equal(R33,S33,$S$29)</f>
        <v>Ok</v>
      </c>
      <c r="U33" s="730"/>
      <c r="V33" s="739">
        <v>43861</v>
      </c>
      <c r="W33" s="746">
        <v>1</v>
      </c>
      <c r="X33" s="747" cm="1">
        <f t="array" aca="1" ref="X33:X49" ca="1">_xll.d.Curve_GetDiscountFactors($L$29,V33:V49)</f>
        <v>1</v>
      </c>
      <c r="Y33" s="737" t="str" cm="1">
        <f t="array" aca="1" ref="Y33" ca="1">_xll.d.TestUtils_Equal(W33,X33,$X$29)</f>
        <v>Ok</v>
      </c>
      <c r="Z33" s="202"/>
      <c r="AA33" s="203"/>
      <c r="AB33" s="261" t="s">
        <v>182</v>
      </c>
      <c r="AC33" s="879">
        <v>43921</v>
      </c>
      <c r="AD33" s="879"/>
      <c r="AE33" s="53"/>
      <c r="AF33" s="755">
        <f>AC33</f>
        <v>43921</v>
      </c>
      <c r="AG33" s="728">
        <v>1</v>
      </c>
      <c r="AH33" s="728" cm="1">
        <f t="array" aca="1" ref="AH33" ca="1">_xll.d.Curve_GetDiscountFactors($AB$29,AF33)</f>
        <v>1</v>
      </c>
      <c r="AI33" s="756" t="str" cm="1">
        <f t="array" aca="1" ref="AI33" ca="1">_xll.d.TestUtils_Equal(AG33,AH33,$AH$29)</f>
        <v>Ok</v>
      </c>
      <c r="AK33" s="764">
        <v>43923</v>
      </c>
      <c r="AL33" s="765">
        <v>1</v>
      </c>
      <c r="AM33" s="766" cm="1">
        <f t="array" aca="1" ref="AM33" ca="1">_xll.d.Curve_GetDiscountFactors($AB$29,AK33)</f>
        <v>0.99999584298156807</v>
      </c>
      <c r="AN33" s="737" t="str" cm="1">
        <f t="array" aca="1" ref="AN33" ca="1">_xll.d.TestUtils_Equal(AL33,AM33,$AM$29)</f>
        <v>Ok</v>
      </c>
      <c r="AO33" s="202"/>
      <c r="AP33" s="203"/>
      <c r="AQ33" s="999" t="s">
        <v>722</v>
      </c>
      <c r="AR33" s="879">
        <v>44713</v>
      </c>
      <c r="AS33" s="879"/>
      <c r="AT33" s="53"/>
      <c r="AU33" s="226">
        <f ca="1">AR33</f>
        <v>44713</v>
      </c>
      <c r="AV33" s="236">
        <v>1</v>
      </c>
      <c r="AW33" s="236" cm="1">
        <f t="array" aca="1" ref="AW33" ca="1">_xll.d.Curve_GetDiscountFactors($AQ$29,AU33)</f>
        <v>1</v>
      </c>
      <c r="AX33" s="216" t="str" cm="1">
        <f t="array" aca="1" ref="AX33" ca="1">_xll.d.TestUtils_Equal(AV33,AW33,$G$28)</f>
        <v>Ok</v>
      </c>
      <c r="AY33" s="54"/>
      <c r="AZ33" s="54"/>
      <c r="BA33" s="54"/>
      <c r="BB33" s="54"/>
      <c r="BC33" s="54"/>
      <c r="BD33" s="54"/>
      <c r="BE33" s="54"/>
      <c r="BF33" s="54"/>
      <c r="BG33" s="54"/>
    </row>
    <row r="34" spans="1:83">
      <c r="B34" s="1000" t="s">
        <v>754</v>
      </c>
      <c r="C34" s="1113" t="s">
        <v>33</v>
      </c>
      <c r="D34" s="1103"/>
      <c r="E34" s="53"/>
      <c r="F34" s="227">
        <f>EDATE(F33,1)</f>
        <v>44743</v>
      </c>
      <c r="G34" s="237">
        <f>1/(1+YEARFRAC($F$33,F34,3)*C41)</f>
        <v>0.99184782608695643</v>
      </c>
      <c r="H34" s="237" cm="1">
        <f t="array" aca="1" ref="H34" ca="1">_xll.d.Curve_GetDiscountFactors($B$29,F34)</f>
        <v>0.99184782608695654</v>
      </c>
      <c r="I34" s="216" t="str" cm="1">
        <f t="array" aca="1" ref="I34" ca="1">_xll.d.TestUtils_Equal(G34,H34,$G$28)</f>
        <v>Ok</v>
      </c>
      <c r="J34" s="202"/>
      <c r="K34" s="203"/>
      <c r="L34" s="260" t="s">
        <v>204</v>
      </c>
      <c r="M34" s="1113" t="s">
        <v>33</v>
      </c>
      <c r="N34" s="1103"/>
      <c r="O34" s="53"/>
      <c r="Q34" s="227">
        <v>43862</v>
      </c>
      <c r="R34" s="721" cm="1">
        <f t="array" ref="R34">1/(1+_xll.d.Dates_Act365($Q$33,Q34)*M41)</f>
        <v>0.99982802957891237</v>
      </c>
      <c r="S34" s="721" cm="1">
        <f t="array" aca="1" ref="S34" ca="1">_xll.d.Curve_GetDiscountFactors($L$29,Q34)</f>
        <v>0.99982805914426409</v>
      </c>
      <c r="T34" s="216" t="str" cm="1">
        <f t="array" aca="1" ref="T34" ca="1">_xll.d.TestUtils_Equal(R34,S34,$S$29)</f>
        <v>Ok</v>
      </c>
      <c r="U34" s="730"/>
      <c r="V34" s="740">
        <v>43864</v>
      </c>
      <c r="W34" s="748">
        <v>0.99948429439882203</v>
      </c>
      <c r="X34" s="749">
        <f ca="1"/>
        <v>0.9994842661186828</v>
      </c>
      <c r="Y34" s="737" t="str" cm="1">
        <f t="array" aca="1" ref="Y34" ca="1">_xll.d.TestUtils_Equal(W34,X34,$X$29)</f>
        <v>Ok</v>
      </c>
      <c r="Z34" s="202"/>
      <c r="AA34" s="203"/>
      <c r="AB34" s="704" t="s">
        <v>204</v>
      </c>
      <c r="AC34" s="1113" t="s">
        <v>51</v>
      </c>
      <c r="AD34" s="1103"/>
      <c r="AE34" s="430"/>
      <c r="AF34" s="757">
        <f ca="1">EDATE(AH28,1)</f>
        <v>43953</v>
      </c>
      <c r="AG34" s="729" cm="1">
        <f t="array" aca="1" ref="AG34" ca="1">1/(1+AC44*_xll.d.Dates_Act360($AF$33,AF34))</f>
        <v>0.99993778164914182</v>
      </c>
      <c r="AH34" s="729" cm="1">
        <f t="array" aca="1" ref="AH34" ca="1">_xll.d.Curve_GetDiscountFactors($AB$29,AF34)</f>
        <v>0.99993766874447743</v>
      </c>
      <c r="AI34" s="756" t="str" cm="1">
        <f t="array" aca="1" ref="AI34" ca="1">_xll.d.TestUtils_Equal(AG34,AH34,$AH$29)</f>
        <v>Ok</v>
      </c>
      <c r="AK34" s="767">
        <v>43924</v>
      </c>
      <c r="AL34" s="749">
        <v>0.99999777778271604</v>
      </c>
      <c r="AM34" s="768" cm="1">
        <f t="array" aca="1" ref="AM34" ca="1">_xll.d.Curve_GetDiscountFactors($AB$29,AK34)</f>
        <v>0.99999390818416367</v>
      </c>
      <c r="AN34" s="737" t="str" cm="1">
        <f t="array" aca="1" ref="AN34" ca="1">_xll.d.TestUtils_Equal(AL34,AM34,$AM$29)</f>
        <v>Ok</v>
      </c>
      <c r="AO34" s="202"/>
      <c r="AP34" s="203"/>
      <c r="AQ34" s="1000" t="s">
        <v>753</v>
      </c>
      <c r="AR34" s="1079" t="s">
        <v>24</v>
      </c>
      <c r="AS34" s="1079"/>
      <c r="AT34" s="53"/>
      <c r="AU34" s="227">
        <f ca="1">EDATE(AU33,1)</f>
        <v>44743</v>
      </c>
      <c r="AV34" s="237">
        <f ca="1">1/(1+YEARFRAC($F$33,AU34,3)*AR52)</f>
        <v>0.99184782608695643</v>
      </c>
      <c r="AW34" s="237" cm="1">
        <f t="array" aca="1" ref="AW34" ca="1">_xll.d.Curve_GetDiscountFactors($AQ$29,AU34)</f>
        <v>0.99184782608695654</v>
      </c>
      <c r="AX34" s="216" t="str" cm="1">
        <f t="array" aca="1" ref="AX34" ca="1">_xll.d.TestUtils_Equal(AV34,AW34,$G$28)</f>
        <v>Ok</v>
      </c>
      <c r="AY34" s="54"/>
      <c r="AZ34" s="54"/>
      <c r="BA34" s="54"/>
      <c r="BB34" s="54"/>
      <c r="BC34" s="54"/>
      <c r="BD34" s="54"/>
      <c r="BE34" s="54"/>
      <c r="BF34" s="54"/>
      <c r="BG34" s="54"/>
      <c r="BH34" s="430"/>
      <c r="BI34" s="430"/>
      <c r="BJ34" s="430"/>
      <c r="BK34" s="430"/>
      <c r="BL34" s="54"/>
      <c r="BM34" s="54"/>
      <c r="BN34" s="54"/>
      <c r="BO34" s="260" t="s">
        <v>204</v>
      </c>
      <c r="BP34" s="262" t="s">
        <v>51</v>
      </c>
      <c r="BR34" s="53"/>
      <c r="BT34" s="257" t="str">
        <f ca="1">AB50</f>
        <v>9m</v>
      </c>
      <c r="BU34" s="263" t="e">
        <f ca="1">1/(1+AC50*(AB50-$AF$33)/360)</f>
        <v>#VALUE!</v>
      </c>
      <c r="BV34" s="268" t="e" cm="1">
        <f t="array" aca="1" ref="BV34" ca="1">_xll.d.Curve_GetDiscountFactors($AB$29,BT34)</f>
        <v>#VALUE!</v>
      </c>
      <c r="BW34" s="258" t="str" cm="1">
        <f t="array" aca="1" ref="BW34" ca="1">_xll.d.TestUtils_Equal(BU34,BV34,0.001)</f>
        <v>Error</v>
      </c>
      <c r="BX34" s="202"/>
      <c r="BY34" s="203"/>
    </row>
    <row r="35" spans="1:83">
      <c r="B35" s="1000" t="s">
        <v>753</v>
      </c>
      <c r="C35" s="880" t="s">
        <v>24</v>
      </c>
      <c r="D35" s="880"/>
      <c r="F35" s="227">
        <f>EDATE(F33,2)</f>
        <v>44774</v>
      </c>
      <c r="G35" s="237">
        <f>1/(1+YEARFRAC($F$33,F35,3)*C42)</f>
        <v>0.98356238210724867</v>
      </c>
      <c r="H35" s="237" cm="1">
        <f t="array" aca="1" ref="H35" ca="1">_xll.d.Curve_GetDiscountFactors($B$29,F35)</f>
        <v>0.98356238210724867</v>
      </c>
      <c r="I35" s="216" t="str" cm="1">
        <f t="array" aca="1" ref="I35" ca="1">_xll.d.TestUtils_Equal(G35,H35,$G$28)</f>
        <v>Ok</v>
      </c>
      <c r="J35" s="202"/>
      <c r="K35" s="203"/>
      <c r="L35" s="260" t="s">
        <v>45</v>
      </c>
      <c r="M35" s="880" t="s">
        <v>24</v>
      </c>
      <c r="N35" s="880"/>
      <c r="Q35" s="227" cm="1">
        <f t="array" ref="Q35">_xll.d.Dates_AddTenorToDate($M$33,L42,"ZAR","ModFol")</f>
        <v>43889</v>
      </c>
      <c r="R35" s="721" cm="1">
        <f t="array" ref="R35">1/(1+_xll.d.Dates_Act365($Q$33,Q35)*M42)</f>
        <v>0.99512731140810684</v>
      </c>
      <c r="S35" s="721" cm="1">
        <f t="array" aca="1" ref="S35" ca="1">_xll.d.Curve_GetDiscountFactors($L$29,Q35)</f>
        <v>0.99512731140810684</v>
      </c>
      <c r="T35" s="216" t="str" cm="1">
        <f t="array" aca="1" ref="T35" ca="1">_xll.d.TestUtils_Equal(R35,S35,$S$29)</f>
        <v>Ok</v>
      </c>
      <c r="U35" s="730"/>
      <c r="V35" s="740">
        <v>43892</v>
      </c>
      <c r="W35" s="748">
        <v>0.99460805260486285</v>
      </c>
      <c r="X35" s="749">
        <f ca="1"/>
        <v>0.99459025791532751</v>
      </c>
      <c r="Y35" s="737" t="str" cm="1">
        <f t="array" aca="1" ref="Y35" ca="1">_xll.d.TestUtils_Equal(W35,X35,$X$29)</f>
        <v>Ok</v>
      </c>
      <c r="Z35" s="202"/>
      <c r="AA35" s="203"/>
      <c r="AB35" s="126" t="s">
        <v>43</v>
      </c>
      <c r="AC35" s="1116" t="s">
        <v>662</v>
      </c>
      <c r="AD35" s="1112"/>
      <c r="AF35" s="757">
        <f ca="1">EDATE(AF34,1)</f>
        <v>43984</v>
      </c>
      <c r="AG35" s="729" cm="1">
        <f t="array" aca="1" ref="AG35" ca="1">1/(1+AC45*_xll.d.Dates_Act360($AF$33,AF35))</f>
        <v>0.99987576543614454</v>
      </c>
      <c r="AH35" s="729" cm="1">
        <f t="array" aca="1" ref="AH35" ca="1">_xll.d.Curve_GetDiscountFactors($AB$29,AF35)</f>
        <v>0.99987671328673478</v>
      </c>
      <c r="AI35" s="756" t="str" cm="1">
        <f t="array" aca="1" ref="AI35" ca="1">_xll.d.TestUtils_Equal(AG35,AH35,$AH$29)</f>
        <v>Ok</v>
      </c>
      <c r="AK35" s="767">
        <v>43955</v>
      </c>
      <c r="AL35" s="749">
        <v>0.99993778164914182</v>
      </c>
      <c r="AM35" s="768" cm="1">
        <f t="array" aca="1" ref="AM35" ca="1">_xll.d.Curve_GetDiscountFactors($AB$29,AK35)</f>
        <v>0.99993366743572054</v>
      </c>
      <c r="AN35" s="737" t="str" cm="1">
        <f t="array" aca="1" ref="AN35" ca="1">_xll.d.TestUtils_Equal(AL35,AM35,$AM$29)</f>
        <v>Ok</v>
      </c>
      <c r="AO35" s="202"/>
      <c r="AP35" s="203"/>
      <c r="AQ35" s="142" t="s">
        <v>43</v>
      </c>
      <c r="AR35" s="1076" t="s">
        <v>662</v>
      </c>
      <c r="AS35" s="1075"/>
      <c r="AU35" s="227">
        <f ca="1">EDATE(AU33,2)</f>
        <v>44774</v>
      </c>
      <c r="AV35" s="237">
        <f ca="1">1/(1+YEARFRAC($F$33,AU35,3)*AR53)</f>
        <v>0.98356238210724867</v>
      </c>
      <c r="AW35" s="237" cm="1">
        <f t="array" aca="1" ref="AW35" ca="1">_xll.d.Curve_GetDiscountFactors($AQ$29,AU35)</f>
        <v>0.98356349512204844</v>
      </c>
      <c r="AX35" s="216" t="str" cm="1">
        <f t="array" aca="1" ref="AX35" ca="1">_xll.d.TestUtils_Equal(AV35,AW35,$G$28)</f>
        <v>Ok</v>
      </c>
      <c r="AY35" s="54"/>
      <c r="AZ35" s="54"/>
      <c r="BA35" s="54"/>
      <c r="BB35" s="54"/>
      <c r="BC35" s="54"/>
      <c r="BD35" s="54"/>
      <c r="BE35" s="54"/>
      <c r="BF35" s="54"/>
      <c r="BG35" s="54"/>
    </row>
    <row r="36" spans="1:83">
      <c r="B36" s="142" t="s">
        <v>43</v>
      </c>
      <c r="C36" s="1116" t="s">
        <v>662</v>
      </c>
      <c r="D36" s="1112"/>
      <c r="F36" s="227">
        <f>EDATE(F33,3)</f>
        <v>44805</v>
      </c>
      <c r="G36" s="237">
        <f>1/(1+YEARFRAC($F$33,F36,3)*C43)</f>
        <v>0.97541421699625863</v>
      </c>
      <c r="H36" s="237" cm="1">
        <f t="array" aca="1" ref="H36" ca="1">_xll.d.Curve_GetDiscountFactors($B$29,F36)</f>
        <v>0.97541421699625874</v>
      </c>
      <c r="I36" s="216" t="str" cm="1">
        <f t="array" aca="1" ref="I36" ca="1">_xll.d.TestUtils_Equal(G36,H36,$G$28)</f>
        <v>Ok</v>
      </c>
      <c r="J36" s="202"/>
      <c r="K36" s="203"/>
      <c r="L36" s="142" t="s">
        <v>43</v>
      </c>
      <c r="M36" s="1116" t="s">
        <v>662</v>
      </c>
      <c r="N36" s="1112"/>
      <c r="Q36" s="227" cm="1">
        <f t="array" ref="Q36">_xll.d.Dates_AddTenorToDate($M$33,L43,"ZAR","ModFol")</f>
        <v>43951</v>
      </c>
      <c r="R36" s="721" cm="1">
        <f t="array" ref="R36">1/(1+_xll.d.Dates_Act365($Q$33,Q36)*M43)</f>
        <v>0.98408691024210704</v>
      </c>
      <c r="S36" s="721" cm="1">
        <f t="array" aca="1" ref="S36" ca="1">_xll.d.Curve_GetDiscountFactors($L$29,Q36)</f>
        <v>0.98408691024222983</v>
      </c>
      <c r="T36" s="216" t="str" cm="1">
        <f t="array" aca="1" ref="T36" ca="1">_xll.d.TestUtils_Equal(R36,S36,$S$29)</f>
        <v>Ok</v>
      </c>
      <c r="U36" s="730"/>
      <c r="V36" s="740">
        <v>43951</v>
      </c>
      <c r="W36" s="748">
        <v>0.98408691018216155</v>
      </c>
      <c r="X36" s="749">
        <f ca="1"/>
        <v>0.98408691024222983</v>
      </c>
      <c r="Y36" s="737" t="str" cm="1">
        <f t="array" aca="1" ref="Y36" ca="1">_xll.d.TestUtils_Equal(W36,X36,$X$29)</f>
        <v>Ok</v>
      </c>
      <c r="Z36" s="202"/>
      <c r="AA36" s="203"/>
      <c r="AF36" s="757">
        <f ca="1">EDATE(AF35,1)</f>
        <v>44014</v>
      </c>
      <c r="AG36" s="729" cm="1">
        <f t="array" aca="1" ref="AG36" ca="1">1/(1+AC46*_xll.d.Dates_Act360($AF$33,AF36))</f>
        <v>0.99982436418669129</v>
      </c>
      <c r="AH36" s="729" cm="1">
        <f t="array" aca="1" ref="AH36" ca="1">_xll.d.Curve_GetDiscountFactors($AB$29,AF36)</f>
        <v>0.9998245828397252</v>
      </c>
      <c r="AI36" s="756" t="str" cm="1">
        <f t="array" aca="1" ref="AI36" ca="1">_xll.d.TestUtils_Equal(AG36,AH36,$AH$29)</f>
        <v>Ok</v>
      </c>
      <c r="AK36" s="767">
        <v>43984</v>
      </c>
      <c r="AL36" s="749">
        <v>0.99987970891612998</v>
      </c>
      <c r="AM36" s="768" cm="1">
        <f t="array" aca="1" ref="AM36" ca="1">_xll.d.Curve_GetDiscountFactors($AB$29,AK36)</f>
        <v>0.99987671328673478</v>
      </c>
      <c r="AN36" s="737" t="str" cm="1">
        <f t="array" aca="1" ref="AN36" ca="1">_xll.d.TestUtils_Equal(AL36,AM36,$AM$29)</f>
        <v>Ok</v>
      </c>
      <c r="AO36" s="202"/>
      <c r="AP36" s="203"/>
      <c r="AU36" s="227">
        <f ca="1">EDATE(AU33,3)</f>
        <v>44805</v>
      </c>
      <c r="AV36" s="237">
        <f ca="1">1/(1+YEARFRAC($F$33,AU36,3)*AR54)</f>
        <v>0.97541421699625863</v>
      </c>
      <c r="AW36" s="237" cm="1">
        <f t="array" aca="1" ref="AW36" ca="1">_xll.d.Curve_GetDiscountFactors($AQ$29,AU36)</f>
        <v>0.97541421699625874</v>
      </c>
      <c r="AX36" s="216" t="str" cm="1">
        <f t="array" aca="1" ref="AX36" ca="1">_xll.d.TestUtils_Equal(AV36,AW36,$G$28)</f>
        <v>Ok</v>
      </c>
      <c r="AY36" s="54"/>
      <c r="AZ36" s="54"/>
      <c r="BA36" s="54"/>
      <c r="BB36" s="54"/>
      <c r="BC36" s="54"/>
      <c r="BD36" s="54"/>
      <c r="BE36" s="54"/>
      <c r="BF36" s="54"/>
      <c r="BG36" s="54"/>
      <c r="BH36" s="12" t="s">
        <v>21</v>
      </c>
      <c r="BI36" s="13"/>
      <c r="BJ36" s="13"/>
      <c r="BR36" s="12" t="s">
        <v>21</v>
      </c>
      <c r="BS36" s="13"/>
      <c r="BT36" s="13"/>
      <c r="CC36" s="12" t="s">
        <v>21</v>
      </c>
      <c r="CD36" s="13"/>
      <c r="CE36" s="13"/>
    </row>
    <row r="37" spans="1:83">
      <c r="A37" s="430"/>
      <c r="B37" s="430"/>
      <c r="C37" s="430"/>
      <c r="D37" s="430"/>
      <c r="E37" s="430"/>
      <c r="F37" s="227">
        <f>EDATE(F33,6)</f>
        <v>44896</v>
      </c>
      <c r="G37" s="237">
        <f>G36*1/(1+YEARFRAC($F$36,F37,3)*C47)</f>
        <v>0.95168722053898536</v>
      </c>
      <c r="H37" s="237" cm="1">
        <f t="array" aca="1" ref="H37" ca="1">_xll.d.Curve_GetDiscountFactors($B$29,F37)</f>
        <v>0.95168722053906507</v>
      </c>
      <c r="I37" s="216" t="str" cm="1">
        <f t="array" aca="1" ref="I37" ca="1">_xll.d.TestUtils_Equal(G37,H37,$G$28)</f>
        <v>Ok</v>
      </c>
      <c r="J37" s="202"/>
      <c r="K37" s="203"/>
      <c r="P37" s="725" t="s">
        <v>27</v>
      </c>
      <c r="Q37" s="227" cm="1">
        <f t="array" ref="Q37">_xll.d.Dates_AddTenorToDate($M$33,P37,"ZAR","ModFol")</f>
        <v>44043</v>
      </c>
      <c r="R37" s="721">
        <f t="array" ref="R37">1/(1+_xll.d.Dates_Act365($Q$36,Q37)*M47)*R36</f>
        <v>0.96832000758706194</v>
      </c>
      <c r="S37" s="721" cm="1">
        <f t="array" aca="1" ref="S37" ca="1">_xll.d.Curve_GetDiscountFactors($L$29,Q37)</f>
        <v>0.96832386496367961</v>
      </c>
      <c r="T37" s="216" t="str" cm="1">
        <f t="array" aca="1" ref="T37" ca="1">_xll.d.TestUtils_Equal(R37,S37,$S$29)</f>
        <v>Ok</v>
      </c>
      <c r="U37" s="730"/>
      <c r="V37" s="740">
        <v>44042</v>
      </c>
      <c r="W37" s="748">
        <v>0.96848867041690068</v>
      </c>
      <c r="X37" s="749">
        <f ca="1"/>
        <v>0.96848867052025589</v>
      </c>
      <c r="Y37" s="737" t="str" cm="1">
        <f t="array" aca="1" ref="Y37" ca="1">_xll.d.TestUtils_Equal(W37,X37,$X$29)</f>
        <v>Ok</v>
      </c>
      <c r="Z37" s="202"/>
      <c r="AA37" s="203"/>
      <c r="AB37" s="430"/>
      <c r="AC37" s="430"/>
      <c r="AD37" s="430"/>
      <c r="AE37" s="430"/>
      <c r="AF37" s="757">
        <f ca="1">EDATE(AF36,1)</f>
        <v>44045</v>
      </c>
      <c r="AG37" s="729" cm="1">
        <f t="array" aca="1" ref="AG37" ca="1">1/(1+AC47*_xll.d.Dates_Act360($AF$33,AF37))</f>
        <v>0.99976927546831706</v>
      </c>
      <c r="AH37" s="729" cm="1">
        <f t="array" aca="1" ref="AH37" ca="1">_xll.d.Curve_GetDiscountFactors($AB$29,AF37)</f>
        <v>0.99976954962156106</v>
      </c>
      <c r="AI37" s="756" t="str" cm="1">
        <f t="array" aca="1" ref="AI37" ca="1">_xll.d.TestUtils_Equal(AG37,AH37,$AH$29)</f>
        <v>Ok</v>
      </c>
      <c r="AK37" s="767">
        <v>44014</v>
      </c>
      <c r="AL37" s="749">
        <v>0.99982814065182357</v>
      </c>
      <c r="AM37" s="768" cm="1">
        <f t="array" aca="1" ref="AM37" ca="1">_xll.d.Curve_GetDiscountFactors($AB$29,AK37)</f>
        <v>0.9998245828397252</v>
      </c>
      <c r="AN37" s="737" t="str" cm="1">
        <f t="array" aca="1" ref="AN37" ca="1">_xll.d.TestUtils_Equal(AL37,AM37,$AM$29)</f>
        <v>Ok</v>
      </c>
      <c r="AO37" s="202"/>
      <c r="AP37" s="203"/>
      <c r="AU37" s="227">
        <f ca="1">EDATE(AU33,6)</f>
        <v>44896</v>
      </c>
      <c r="AV37" s="237">
        <f ca="1">AV36*1/(1+YEARFRAC($F$36,AU37,3)*AR58)</f>
        <v>0.95168722053898536</v>
      </c>
      <c r="AW37" s="237" cm="1">
        <f t="array" aca="1" ref="AW37" ca="1">_xll.d.Curve_GetDiscountFactors($AQ$29,AU37)</f>
        <v>0.95168722053906507</v>
      </c>
      <c r="AX37" s="216" t="str" cm="1">
        <f t="array" aca="1" ref="AX37" ca="1">_xll.d.TestUtils_Equal(AV37,AW37,$G$28)</f>
        <v>Ok</v>
      </c>
      <c r="AY37" s="54"/>
      <c r="AZ37" s="54"/>
      <c r="BA37" s="54"/>
      <c r="BB37" s="54"/>
      <c r="BC37" s="54"/>
      <c r="BD37" s="54"/>
      <c r="BE37" s="54"/>
      <c r="BF37" s="54"/>
      <c r="BG37" s="54"/>
      <c r="BH37" s="43" t="s">
        <v>35</v>
      </c>
      <c r="BI37" s="44" t="s">
        <v>36</v>
      </c>
      <c r="BJ37" s="45" t="s">
        <v>42</v>
      </c>
      <c r="BR37" s="43" t="s">
        <v>35</v>
      </c>
      <c r="BS37" s="44" t="s">
        <v>36</v>
      </c>
      <c r="BT37" s="45" t="s">
        <v>42</v>
      </c>
      <c r="CC37" s="43" t="s">
        <v>35</v>
      </c>
      <c r="CD37" s="44" t="s">
        <v>36</v>
      </c>
      <c r="CE37" s="45" t="s">
        <v>42</v>
      </c>
    </row>
    <row r="38" spans="1:83">
      <c r="A38" s="430"/>
      <c r="B38" s="430"/>
      <c r="C38" s="430"/>
      <c r="D38" s="430"/>
      <c r="E38" s="430"/>
      <c r="F38" s="228">
        <f>EDATE(F33,9)</f>
        <v>44986</v>
      </c>
      <c r="G38" s="238">
        <f>G37*1/(1+C48*YEARFRAC(F37,F38,3))</f>
        <v>0.92878565640836808</v>
      </c>
      <c r="H38" s="238" cm="1">
        <f t="array" aca="1" ref="H38" ca="1">_xll.d.Curve_GetDiscountFactors($B$29,F38)</f>
        <v>0.92878565640844579</v>
      </c>
      <c r="I38" s="216" t="str" cm="1">
        <f t="array" aca="1" ref="I38" ca="1">_xll.d.TestUtils_Equal(G38,H38,$G$28)</f>
        <v>Ok</v>
      </c>
      <c r="J38" s="202"/>
      <c r="K38" s="203"/>
      <c r="P38" s="725" t="s">
        <v>28</v>
      </c>
      <c r="Q38" s="227" cm="1">
        <f t="array" ref="Q38">_xll.d.Dates_AddTenorToDate($M$33,P38,"ZAR","ModFol")</f>
        <v>44134</v>
      </c>
      <c r="R38" s="721" cm="1">
        <f t="array" ref="R38">1/(1+_xll.d.Dates_Act365(Q37,Q38)*M48)*R37</f>
        <v>0.95343955884482767</v>
      </c>
      <c r="S38" s="721" cm="1">
        <f t="array" aca="1" ref="S38" ca="1">_xll.d.Curve_GetDiscountFactors($L$29,Q38)</f>
        <v>0.95344335694403037</v>
      </c>
      <c r="T38" s="216" t="str" cm="1">
        <f t="array" aca="1" ref="T38" ca="1">_xll.d.TestUtils_Equal(R38,S38,$S$29)</f>
        <v>Ok</v>
      </c>
      <c r="U38" s="730"/>
      <c r="V38" s="740">
        <v>44134</v>
      </c>
      <c r="W38" s="748">
        <v>0.95344335683361159</v>
      </c>
      <c r="X38" s="749">
        <f ca="1"/>
        <v>0.95344335694403037</v>
      </c>
      <c r="Y38" s="737" t="str" cm="1">
        <f t="array" aca="1" ref="Y38" ca="1">_xll.d.TestUtils_Equal(W38,X38,$X$29)</f>
        <v>Ok</v>
      </c>
      <c r="Z38" s="202"/>
      <c r="AA38" s="203"/>
      <c r="AB38" s="12" t="s">
        <v>21</v>
      </c>
      <c r="AC38" s="27"/>
      <c r="AD38" s="13"/>
      <c r="AF38" s="757">
        <f ca="1">EDATE(AF37,1)</f>
        <v>44076</v>
      </c>
      <c r="AG38" s="729" cm="1">
        <f t="array" aca="1" ref="AG38" ca="1">1/(1+AC48*_xll.d.Dates_Act360($AF$33,AF38))</f>
        <v>0.99971591406108762</v>
      </c>
      <c r="AH38" s="729" cm="1">
        <f t="array" aca="1" ref="AH38" ca="1">_xll.d.Curve_GetDiscountFactors($AB$29,AF38)</f>
        <v>0.99971591415511551</v>
      </c>
      <c r="AI38" s="756" t="str" cm="1">
        <f t="array" aca="1" ref="AI38" ca="1">_xll.d.TestUtils_Equal(AG38,AH38,$AH$29)</f>
        <v>Ok</v>
      </c>
      <c r="AK38" s="767">
        <v>44046</v>
      </c>
      <c r="AL38" s="749">
        <v>0.99977113572418042</v>
      </c>
      <c r="AM38" s="768" cm="1">
        <f t="array" aca="1" ref="AM38" ca="1">_xll.d.Curve_GetDiscountFactors($AB$29,AK38)</f>
        <v>0.99976782644331319</v>
      </c>
      <c r="AN38" s="737" t="str" cm="1">
        <f t="array" aca="1" ref="AN38" ca="1">_xll.d.TestUtils_Equal(AL38,AM38,$AM$29)</f>
        <v>Ok</v>
      </c>
      <c r="AO38" s="202"/>
      <c r="AP38" s="203"/>
      <c r="AQ38" s="12" t="s">
        <v>880</v>
      </c>
      <c r="AR38" s="13"/>
      <c r="AS38" s="13"/>
      <c r="AU38" s="228">
        <f ca="1">EDATE(AU33,9)</f>
        <v>44986</v>
      </c>
      <c r="AV38" s="238">
        <f ca="1">AV37*1/(1+AR59*YEARFRAC(AU37,AU38,3))</f>
        <v>0.92878565640836808</v>
      </c>
      <c r="AW38" s="238" cm="1">
        <f t="array" aca="1" ref="AW38" ca="1">_xll.d.Curve_GetDiscountFactors($AQ$29,AU38)</f>
        <v>0.92878565640844579</v>
      </c>
      <c r="AX38" s="216" t="str" cm="1">
        <f t="array" aca="1" ref="AX38" ca="1">_xll.d.TestUtils_Equal(AV38,AW38,$G$28)</f>
        <v>Ok</v>
      </c>
      <c r="AY38" s="54"/>
      <c r="AZ38" s="54"/>
      <c r="BA38" s="54"/>
      <c r="BB38" s="54"/>
      <c r="BC38" s="54"/>
      <c r="BD38" s="54"/>
      <c r="BE38" s="54"/>
      <c r="BF38" s="54"/>
      <c r="BG38" s="54"/>
      <c r="BH38" s="42" t="s">
        <v>25</v>
      </c>
      <c r="BI38" s="42">
        <v>0.1</v>
      </c>
      <c r="BJ38" s="42" t="b">
        <v>1</v>
      </c>
      <c r="BR38" s="42" t="s">
        <v>25</v>
      </c>
      <c r="BS38" s="42">
        <v>0.1</v>
      </c>
      <c r="BT38" s="42" t="b">
        <v>1</v>
      </c>
      <c r="CC38" s="42" t="s">
        <v>25</v>
      </c>
      <c r="CD38" s="42">
        <v>0.1</v>
      </c>
      <c r="CE38" s="42" t="b">
        <v>1</v>
      </c>
    </row>
    <row r="39" spans="1:83">
      <c r="A39" s="430"/>
      <c r="B39" s="12" t="s">
        <v>21</v>
      </c>
      <c r="C39" s="27"/>
      <c r="D39" s="13"/>
      <c r="G39" s="8"/>
      <c r="J39" s="202"/>
      <c r="K39" s="203"/>
      <c r="L39" s="12" t="s">
        <v>21</v>
      </c>
      <c r="M39" s="27"/>
      <c r="N39" s="13"/>
      <c r="P39" s="725" t="s">
        <v>573</v>
      </c>
      <c r="Q39" s="227" cm="1">
        <f t="array" ref="Q39">_xll.d.Dates_AddTenorToDate($M$33,P39,"ZAR","ModFol")</f>
        <v>44225</v>
      </c>
      <c r="R39" s="721" cm="1">
        <f t="array" ref="R39">1/(1+_xll.d.Dates_Act365(Q38,Q39)*M49)*R38</f>
        <v>0.93890302491578215</v>
      </c>
      <c r="S39" s="721" cm="1">
        <f t="array" aca="1" ref="S39" ca="1">_xll.d.Curve_GetDiscountFactors($L$29,Q39)</f>
        <v>0.93890676510758675</v>
      </c>
      <c r="T39" s="216" t="str" cm="1">
        <f t="array" aca="1" ref="T39" ca="1">_xll.d.TestUtils_Equal(R39,S39,$S$29)</f>
        <v>Ok</v>
      </c>
      <c r="U39" s="730"/>
      <c r="V39" s="740">
        <v>44229</v>
      </c>
      <c r="W39" s="748">
        <v>0.93827416773178896</v>
      </c>
      <c r="X39" s="749">
        <f ca="1"/>
        <v>0.93827588915268834</v>
      </c>
      <c r="Y39" s="737" t="str" cm="1">
        <f t="array" aca="1" ref="Y39" ca="1">_xll.d.TestUtils_Equal(W39,X39,$X$29)</f>
        <v>Ok</v>
      </c>
      <c r="Z39" s="202"/>
      <c r="AA39" s="203"/>
      <c r="AB39" s="61" t="s">
        <v>35</v>
      </c>
      <c r="AC39" s="62" t="s">
        <v>36</v>
      </c>
      <c r="AD39" s="63" t="s">
        <v>42</v>
      </c>
      <c r="AF39" s="758">
        <f ca="1">EDATE(AF38,1)</f>
        <v>44106</v>
      </c>
      <c r="AG39" s="759" cm="1">
        <f t="array" aca="1" ref="AG39" ca="1">1/(1+AC49*_xll.d.Dates_Act360($AF$33,AF39))</f>
        <v>0.99966094832835872</v>
      </c>
      <c r="AH39" s="759" cm="1">
        <f t="array" aca="1" ref="AH39" ca="1">_xll.d.Curve_GetDiscountFactors($AB$29,AF39)</f>
        <v>0.99966094863051846</v>
      </c>
      <c r="AI39" s="756" t="str" cm="1">
        <f t="array" aca="1" ref="AI39" ca="1">_xll.d.TestUtils_Equal(AG39,AH39,$AH$29)</f>
        <v>Ok</v>
      </c>
      <c r="AK39" s="767">
        <v>44076</v>
      </c>
      <c r="AL39" s="749">
        <v>0.9997195786581865</v>
      </c>
      <c r="AM39" s="768" cm="1">
        <f t="array" aca="1" ref="AM39" ca="1">_xll.d.Curve_GetDiscountFactors($AB$29,AK39)</f>
        <v>0.99971591415511551</v>
      </c>
      <c r="AN39" s="737" t="str" cm="1">
        <f t="array" aca="1" ref="AN39" ca="1">_xll.d.TestUtils_Equal(AL39,AM39,$AM$29)</f>
        <v>Ok</v>
      </c>
      <c r="AO39" s="202"/>
      <c r="AP39" s="203"/>
      <c r="AQ39" s="61" t="s">
        <v>29</v>
      </c>
      <c r="AR39" s="881" t="s">
        <v>30</v>
      </c>
      <c r="AS39" s="881"/>
      <c r="AV39" s="8"/>
      <c r="AY39" s="54"/>
      <c r="AZ39" s="54"/>
      <c r="BA39" s="54"/>
      <c r="BB39" s="54"/>
      <c r="BC39" s="54"/>
      <c r="BD39" s="54"/>
      <c r="BE39" s="54"/>
      <c r="BF39" s="54"/>
      <c r="BG39" s="54"/>
      <c r="BH39" s="42" t="s">
        <v>26</v>
      </c>
      <c r="BI39" s="42">
        <v>0.1</v>
      </c>
      <c r="BJ39" s="42" t="b">
        <v>1</v>
      </c>
      <c r="BR39" s="42" t="s">
        <v>26</v>
      </c>
      <c r="BS39" s="42">
        <v>0.1</v>
      </c>
      <c r="BT39" s="42" t="b">
        <v>1</v>
      </c>
      <c r="CC39" s="42" t="s">
        <v>26</v>
      </c>
      <c r="CD39" s="42">
        <v>0.1</v>
      </c>
      <c r="CE39" s="42" t="b">
        <v>1</v>
      </c>
    </row>
    <row r="40" spans="1:83">
      <c r="A40" s="430"/>
      <c r="B40" s="61" t="s">
        <v>35</v>
      </c>
      <c r="C40" s="62" t="s">
        <v>36</v>
      </c>
      <c r="D40" s="63" t="s">
        <v>42</v>
      </c>
      <c r="J40" s="202"/>
      <c r="K40" s="203"/>
      <c r="L40" s="61" t="s">
        <v>35</v>
      </c>
      <c r="M40" s="62" t="s">
        <v>36</v>
      </c>
      <c r="N40" s="63" t="s">
        <v>42</v>
      </c>
      <c r="P40" s="725" t="s">
        <v>574</v>
      </c>
      <c r="Q40" s="227" cm="1">
        <f t="array" ref="Q40">_xll.d.Dates_AddTenorToDate($M$33,P40,"ZAR","ModFol")</f>
        <v>44316</v>
      </c>
      <c r="R40" s="721" cm="1">
        <f t="array" ref="R40">1/(1+_xll.d.Dates_Act365(Q39,Q40)*M50)*R39</f>
        <v>0.92465622578544726</v>
      </c>
      <c r="S40" s="721" cm="1">
        <f t="array" aca="1" ref="S40" ca="1">_xll.d.Curve_GetDiscountFactors($L$29,Q40)</f>
        <v>0.9246579918987835</v>
      </c>
      <c r="T40" s="216" t="str" cm="1">
        <f t="array" aca="1" ref="T40" ca="1">_xll.d.TestUtils_Equal(R40,S40,$S$29)</f>
        <v>Ok</v>
      </c>
      <c r="U40" s="730"/>
      <c r="V40" s="740">
        <v>44319</v>
      </c>
      <c r="W40" s="748">
        <v>0.92419291912677659</v>
      </c>
      <c r="X40" s="749">
        <f ca="1"/>
        <v>0.92418977115362178</v>
      </c>
      <c r="Y40" s="737" t="str" cm="1">
        <f t="array" aca="1" ref="Y40" ca="1">_xll.d.TestUtils_Equal(W40,X40,$X$29)</f>
        <v>Ok</v>
      </c>
      <c r="Z40" s="202"/>
      <c r="AA40" s="203"/>
      <c r="AB40" s="223" t="s">
        <v>52</v>
      </c>
      <c r="AC40" s="225">
        <v>8.0000000000000004E-4</v>
      </c>
      <c r="AD40" s="224" t="b">
        <v>1</v>
      </c>
      <c r="AH40" s="264"/>
      <c r="AI40" s="269"/>
      <c r="AK40" s="767">
        <v>44106</v>
      </c>
      <c r="AL40" s="749">
        <v>0.99966461252249861</v>
      </c>
      <c r="AM40" s="768" cm="1">
        <f t="array" aca="1" ref="AM40" ca="1">_xll.d.Curve_GetDiscountFactors($AB$29,AK40)</f>
        <v>0.99966094863051846</v>
      </c>
      <c r="AN40" s="737" t="str" cm="1">
        <f t="array" aca="1" ref="AN40" ca="1">_xll.d.TestUtils_Equal(AL40,AM40,$AM$29)</f>
        <v>Ok</v>
      </c>
      <c r="AO40" s="202"/>
      <c r="AP40" s="203"/>
      <c r="AQ40" s="1080" t="s">
        <v>881</v>
      </c>
      <c r="AR40" s="1081" t="s">
        <v>882</v>
      </c>
      <c r="AS40" s="879"/>
      <c r="AY40" s="54"/>
      <c r="AZ40" s="54"/>
      <c r="BA40" s="54"/>
      <c r="BB40" s="54"/>
      <c r="BC40" s="54"/>
      <c r="BD40" s="54"/>
      <c r="BE40" s="54"/>
      <c r="BF40" s="54"/>
      <c r="BG40" s="54"/>
      <c r="BH40" s="42" t="s">
        <v>24</v>
      </c>
      <c r="BI40" s="42">
        <v>0.1</v>
      </c>
      <c r="BJ40" s="42" t="b">
        <v>1</v>
      </c>
      <c r="BR40" s="42" t="s">
        <v>24</v>
      </c>
      <c r="BS40" s="42">
        <v>0.1</v>
      </c>
      <c r="BT40" s="42" t="b">
        <v>1</v>
      </c>
      <c r="CC40" s="42" t="s">
        <v>24</v>
      </c>
      <c r="CD40" s="42">
        <v>0.1</v>
      </c>
      <c r="CE40" s="42" t="b">
        <v>1</v>
      </c>
    </row>
    <row r="41" spans="1:83">
      <c r="A41" s="430"/>
      <c r="B41" s="245" t="s">
        <v>25</v>
      </c>
      <c r="C41" s="246">
        <v>0.1</v>
      </c>
      <c r="D41" s="247" t="b">
        <v>1</v>
      </c>
      <c r="F41" s="120" t="s">
        <v>536</v>
      </c>
      <c r="G41" s="191"/>
      <c r="H41" s="191"/>
      <c r="I41" s="121"/>
      <c r="J41" s="202"/>
      <c r="K41" s="203"/>
      <c r="L41" s="697" t="s">
        <v>52</v>
      </c>
      <c r="M41" s="698">
        <v>6.2780000000000002E-2</v>
      </c>
      <c r="N41" s="247" t="b">
        <v>1</v>
      </c>
      <c r="P41" s="725" t="s">
        <v>575</v>
      </c>
      <c r="Q41" s="227" cm="1">
        <f t="array" ref="Q41">_xll.d.Dates_AddTenorToDate($M$33,P41,"ZAR","ModFol")</f>
        <v>44407</v>
      </c>
      <c r="R41" s="721" cm="1">
        <f t="array" ref="R41">1/(1+_xll.d.Dates_Act365(Q40,Q41)*M51)*R40</f>
        <v>0.9105585344591941</v>
      </c>
      <c r="S41" s="721" cm="1">
        <f t="array" aca="1" ref="S41" ca="1">_xll.d.Curve_GetDiscountFactors($L$29,Q41)</f>
        <v>0.91056027364563519</v>
      </c>
      <c r="T41" s="216" t="str" cm="1">
        <f t="array" aca="1" ref="T41" ca="1">_xll.d.TestUtils_Equal(R41,S41,$S$29)</f>
        <v>Ok</v>
      </c>
      <c r="U41" s="730"/>
      <c r="V41" s="740">
        <v>44407</v>
      </c>
      <c r="W41" s="748">
        <v>0.91056113955799578</v>
      </c>
      <c r="X41" s="749">
        <f ca="1"/>
        <v>0.91056027364563519</v>
      </c>
      <c r="Y41" s="737" t="str" cm="1">
        <f t="array" aca="1" ref="Y41" ca="1">_xll.d.TestUtils_Equal(W41,X41,$X$29)</f>
        <v>Ok</v>
      </c>
      <c r="Z41" s="202"/>
      <c r="AA41" s="203"/>
      <c r="AF41" s="120" t="s">
        <v>536</v>
      </c>
      <c r="AG41" s="191"/>
      <c r="AH41" s="191"/>
      <c r="AI41" s="121"/>
      <c r="AK41" s="767">
        <v>44200</v>
      </c>
      <c r="AL41" s="749">
        <v>0.99949242443046016</v>
      </c>
      <c r="AM41" s="768" cm="1">
        <f t="array" aca="1" ref="AM41" ca="1">_xll.d.Curve_GetDiscountFactors($AB$29,AK41)</f>
        <v>0.9994874118399073</v>
      </c>
      <c r="AN41" s="737" t="str" cm="1">
        <f t="array" aca="1" ref="AN41" ca="1">_xll.d.TestUtils_Equal(AL41,AM41,$AM$29)</f>
        <v>Ok</v>
      </c>
      <c r="AO41" s="202"/>
      <c r="AP41" s="203"/>
      <c r="AQ41" s="1082" t="s">
        <v>22</v>
      </c>
      <c r="AR41" s="1079" t="s">
        <v>24</v>
      </c>
      <c r="AS41" s="1079"/>
      <c r="AU41" s="120" t="s">
        <v>536</v>
      </c>
      <c r="AV41" s="191"/>
      <c r="AW41" s="191"/>
      <c r="AX41" s="121"/>
      <c r="AY41" s="54"/>
      <c r="AZ41" s="54"/>
      <c r="BA41" s="54"/>
      <c r="BB41" s="54"/>
      <c r="BC41" s="54"/>
      <c r="BD41" s="54"/>
      <c r="BE41" s="54"/>
      <c r="BF41" s="54"/>
      <c r="BG41" s="54"/>
      <c r="BH41" s="42" t="s">
        <v>27</v>
      </c>
      <c r="BI41" s="42">
        <v>0.1</v>
      </c>
      <c r="BJ41" s="42" t="b">
        <v>1</v>
      </c>
      <c r="BR41" s="42" t="s">
        <v>27</v>
      </c>
      <c r="BS41" s="42">
        <v>0.1</v>
      </c>
      <c r="BT41" s="42" t="b">
        <v>1</v>
      </c>
      <c r="CC41" s="42" t="s">
        <v>27</v>
      </c>
      <c r="CD41" s="42">
        <v>0.1</v>
      </c>
      <c r="CE41" s="42" t="b">
        <v>1</v>
      </c>
    </row>
    <row r="42" spans="1:83">
      <c r="B42" s="248" t="s">
        <v>26</v>
      </c>
      <c r="C42" s="221">
        <v>0.1</v>
      </c>
      <c r="D42" s="249" t="b">
        <v>1</v>
      </c>
      <c r="F42" s="118" t="s">
        <v>0</v>
      </c>
      <c r="G42" s="282" t="s">
        <v>534</v>
      </c>
      <c r="H42" s="282" t="s">
        <v>535</v>
      </c>
      <c r="I42" s="119" t="s">
        <v>2</v>
      </c>
      <c r="J42" s="202"/>
      <c r="K42" s="203"/>
      <c r="L42" s="248" t="s">
        <v>25</v>
      </c>
      <c r="M42" s="699">
        <v>6.3829999999999998E-2</v>
      </c>
      <c r="N42" s="249" t="b">
        <v>1</v>
      </c>
      <c r="P42" s="725" t="s">
        <v>576</v>
      </c>
      <c r="Q42" s="227" cm="1">
        <f t="array" ref="Q42">_xll.d.Dates_AddTenorToDate($M$33,P42,"ZAR","ModFol")</f>
        <v>44498</v>
      </c>
      <c r="R42" s="721" cm="1">
        <f t="array" ref="R42">1/(1+_xll.d.Dates_Act365(Q41,Q42)*M52)*R41</f>
        <v>0.89656572268967616</v>
      </c>
      <c r="S42" s="721" cm="1">
        <f t="array" aca="1" ref="S42" ca="1">_xll.d.Curve_GetDiscountFactors($L$29,Q42)</f>
        <v>0.89656743514954496</v>
      </c>
      <c r="T42" s="216" t="str" cm="1">
        <f t="array" aca="1" ref="T42" ca="1">_xll.d.TestUtils_Equal(R42,S42,$S$29)</f>
        <v>Ok</v>
      </c>
      <c r="U42" s="730"/>
      <c r="V42" s="740">
        <v>44502</v>
      </c>
      <c r="W42" s="748">
        <v>0.89595940151095488</v>
      </c>
      <c r="X42" s="749">
        <f ca="1"/>
        <v>0.89595168092309352</v>
      </c>
      <c r="Y42" s="737" t="str" cm="1">
        <f t="array" aca="1" ref="Y42" ca="1">_xll.d.TestUtils_Equal(W42,X42,$X$29)</f>
        <v>Ok</v>
      </c>
      <c r="Z42" s="202"/>
      <c r="AA42" s="203"/>
      <c r="AB42" s="12" t="s">
        <v>50</v>
      </c>
      <c r="AC42" s="27"/>
      <c r="AD42" s="13"/>
      <c r="AE42" s="430"/>
      <c r="AF42" s="118" t="s">
        <v>0</v>
      </c>
      <c r="AG42" s="282" t="s">
        <v>534</v>
      </c>
      <c r="AH42" s="282" t="s">
        <v>535</v>
      </c>
      <c r="AI42" s="119" t="s">
        <v>2</v>
      </c>
      <c r="AK42" s="767">
        <v>44291</v>
      </c>
      <c r="AL42" s="749">
        <v>0.99929516381112526</v>
      </c>
      <c r="AM42" s="768" cm="1">
        <f t="array" aca="1" ref="AM42" ca="1">_xll.d.Curve_GetDiscountFactors($AB$29,AK42)</f>
        <v>0.99928717658453659</v>
      </c>
      <c r="AN42" s="737" t="str" cm="1">
        <f t="array" aca="1" ref="AN42" ca="1">_xll.d.TestUtils_Equal(AL42,AM42,$AM$29)</f>
        <v>Ok</v>
      </c>
      <c r="AO42" s="202"/>
      <c r="AP42" s="203"/>
      <c r="AQ42" s="1082" t="s">
        <v>744</v>
      </c>
      <c r="AR42" s="1086">
        <v>0</v>
      </c>
      <c r="AS42" s="1079"/>
      <c r="AU42" s="118" t="s">
        <v>0</v>
      </c>
      <c r="AV42" s="282" t="s">
        <v>534</v>
      </c>
      <c r="AW42" s="282" t="s">
        <v>535</v>
      </c>
      <c r="AX42" s="119" t="s">
        <v>2</v>
      </c>
      <c r="AY42" s="54"/>
      <c r="AZ42" s="54"/>
      <c r="BA42" s="54"/>
      <c r="BB42" s="54"/>
      <c r="BC42" s="54"/>
      <c r="BD42" s="54"/>
      <c r="BE42" s="54"/>
      <c r="BF42" s="54"/>
      <c r="BG42" s="54"/>
    </row>
    <row r="43" spans="1:83">
      <c r="B43" s="250" t="s">
        <v>24</v>
      </c>
      <c r="C43" s="251">
        <v>0.1</v>
      </c>
      <c r="D43" s="252" t="b">
        <v>1</v>
      </c>
      <c r="F43" s="600">
        <f t="array" ref="F43:F55">_xll.d.Dates_GenerateSchedule(C33,_xll.d.Dates_AddTenorToDate(C33,"3Y","ZAR","ModFol"),"3m","ZAR","ModFol","Forward")</f>
        <v>44713</v>
      </c>
      <c r="G43" s="713"/>
      <c r="H43" s="713"/>
      <c r="I43" s="715"/>
      <c r="J43" s="202"/>
      <c r="K43" s="203"/>
      <c r="L43" s="250" t="s">
        <v>24</v>
      </c>
      <c r="M43" s="700">
        <v>6.5579999999999999E-2</v>
      </c>
      <c r="N43" s="252" t="b">
        <v>1</v>
      </c>
      <c r="P43" s="725" t="s">
        <v>577</v>
      </c>
      <c r="Q43" s="228" cm="1">
        <f t="array" ref="Q43">_xll.d.Dates_AddTenorToDate($M$33,P43,"ZAR","ModFol")</f>
        <v>44592</v>
      </c>
      <c r="R43" s="722" cm="1">
        <f t="array" ref="R43">1/(1+_xll.d.Dates_Act365(Q42,Q43)*M53)*R42</f>
        <v>0.88220678011621201</v>
      </c>
      <c r="S43" s="722" cm="1">
        <f t="array" aca="1" ref="S43" ca="1">_xll.d.Curve_GetDiscountFactors($L$29,Q43)</f>
        <v>0.88220846515019113</v>
      </c>
      <c r="T43" s="216" t="str" cm="1">
        <f t="array" aca="1" ref="T43" ca="1">_xll.d.TestUtils_Equal(R43,S43,$S$29)</f>
        <v>Ok</v>
      </c>
      <c r="U43" s="730"/>
      <c r="V43" s="740">
        <v>44593</v>
      </c>
      <c r="W43" s="748">
        <v>0.88203888724645341</v>
      </c>
      <c r="X43" s="749">
        <f ca="1"/>
        <v>0.88205105245938864</v>
      </c>
      <c r="Y43" s="737" t="str" cm="1">
        <f t="array" aca="1" ref="Y43" ca="1">_xll.d.TestUtils_Equal(W43,X43,$X$29)</f>
        <v>Ok</v>
      </c>
      <c r="Z43" s="202"/>
      <c r="AA43" s="203"/>
      <c r="AB43" s="61" t="s">
        <v>35</v>
      </c>
      <c r="AC43" s="62" t="s">
        <v>36</v>
      </c>
      <c r="AD43" s="63" t="s">
        <v>42</v>
      </c>
      <c r="AE43" s="430"/>
      <c r="AF43" s="714">
        <f t="array" aca="1" ref="AF43:AF51" ca="1">_xll.d.Dates_GenerateSchedule(AH28,_xll.d.Dates_AddTenorToDate(AH28,"8Y","USD","ModFol"),"1y","USD","ModFol","Forward")</f>
        <v>43923</v>
      </c>
      <c r="AG43" s="713"/>
      <c r="AH43" s="713"/>
      <c r="AI43" s="715"/>
      <c r="AK43" s="767">
        <v>44473</v>
      </c>
      <c r="AL43" s="749">
        <v>0.99879392902080666</v>
      </c>
      <c r="AM43" s="768" cm="1">
        <f t="array" aca="1" ref="AM43" ca="1">_xll.d.Curve_GetDiscountFactors($AB$29,AK43)</f>
        <v>0.99878799846079447</v>
      </c>
      <c r="AN43" s="737" t="str" cm="1">
        <f t="array" aca="1" ref="AN43" ca="1">_xll.d.TestUtils_Equal(AL43,AM43,$AM$29)</f>
        <v>Ok</v>
      </c>
      <c r="AO43" s="202"/>
      <c r="AP43" s="203"/>
      <c r="AQ43" s="1082" t="s">
        <v>867</v>
      </c>
      <c r="AR43" s="1079" t="s">
        <v>253</v>
      </c>
      <c r="AS43" s="1079"/>
      <c r="AU43" s="600">
        <f t="array" aca="1" ref="AU43:AU55" ca="1">_xll.d.Dates_GenerateSchedule(AR33,_xll.d.Dates_AddTenorToDate(AR33,"3Y","ZAR","ModFol"),"3m","ZAR","ModFol","Forward")</f>
        <v>44713</v>
      </c>
      <c r="AV43" s="713"/>
      <c r="AW43" s="713"/>
      <c r="AX43" s="715"/>
      <c r="AY43" s="54"/>
      <c r="AZ43" s="54"/>
      <c r="BA43" s="54"/>
      <c r="BB43" s="54"/>
      <c r="BC43" s="54"/>
      <c r="BD43" s="54"/>
      <c r="BE43" s="54"/>
      <c r="BF43" s="54"/>
      <c r="BG43" s="54"/>
      <c r="BH43" s="12" t="s">
        <v>34</v>
      </c>
      <c r="BI43" s="13"/>
      <c r="BJ43" s="13"/>
      <c r="BR43" s="12" t="s">
        <v>34</v>
      </c>
      <c r="BS43" s="13"/>
      <c r="BT43" s="13"/>
      <c r="CC43" s="12" t="s">
        <v>34</v>
      </c>
      <c r="CD43" s="13"/>
      <c r="CE43" s="13"/>
    </row>
    <row r="44" spans="1:83">
      <c r="F44" s="601">
        <v>44805</v>
      </c>
      <c r="G44" s="270" cm="1">
        <f t="array" ref="G44">_xll.d.Dates_Act365(F43,F44)</f>
        <v>0.25205479452054796</v>
      </c>
      <c r="H44" s="598">
        <f t="array" aca="1" ref="H44:H55" ca="1">_xll.d.Curve_GetForwardRates(B29,F43:F54,F44:F55,"Simple")</f>
        <v>9.9999999999999409E-2</v>
      </c>
      <c r="I44" s="125" cm="1">
        <f t="array" aca="1" ref="I44:I55" ca="1">_xll.d.Curve_GetDiscountFactors(B29,F44:F55)</f>
        <v>0.97541421699625874</v>
      </c>
      <c r="J44" s="202"/>
      <c r="K44" s="203"/>
      <c r="U44" s="730"/>
      <c r="V44" s="740">
        <v>44957</v>
      </c>
      <c r="W44" s="748">
        <v>0.82657950215859954</v>
      </c>
      <c r="X44" s="749">
        <f ca="1"/>
        <v>0.82657902369806091</v>
      </c>
      <c r="Y44" s="737" t="str" cm="1">
        <f t="array" aca="1" ref="Y44" ca="1">_xll.d.TestUtils_Equal(W44,X44,$X$29)</f>
        <v>Ok</v>
      </c>
      <c r="Z44" s="202"/>
      <c r="AA44" s="203"/>
      <c r="AB44" s="761" t="s">
        <v>25</v>
      </c>
      <c r="AC44" s="265">
        <v>7.000000000000001E-4</v>
      </c>
      <c r="AD44" s="204" t="b">
        <v>1</v>
      </c>
      <c r="AE44" s="430"/>
      <c r="AF44" s="716">
        <f ca="1"/>
        <v>44288</v>
      </c>
      <c r="AG44" s="271" cm="1">
        <f t="array" aca="1" ref="AG44" ca="1">_xll.d.Dates_Act360(AF43,AF44)</f>
        <v>1.0138888888888888</v>
      </c>
      <c r="AH44" s="712">
        <f t="array" aca="1" ref="AH44:AH51" ca="1">_xll.d.Curve_GetForwardRates(AB29,AF43:AF50,AF44:AF51,"Simple")</f>
        <v>6.9132110391697827E-4</v>
      </c>
      <c r="AI44" s="717">
        <f t="array" aca="1" ref="AI44:AI51" ca="1">_xll.d.Curve_GetDiscountFactors(AB29,AF44:AF51)</f>
        <v>0.99929541405599509</v>
      </c>
      <c r="AK44" s="767">
        <v>44655</v>
      </c>
      <c r="AL44" s="749">
        <v>0.99831442697204265</v>
      </c>
      <c r="AM44" s="768" cm="1">
        <f t="array" aca="1" ref="AM44" ca="1">_xll.d.Curve_GetDiscountFactors($AB$29,AK44)</f>
        <v>0.99829876088783787</v>
      </c>
      <c r="AN44" s="737" t="str" cm="1">
        <f t="array" aca="1" ref="AN44" ca="1">_xll.d.TestUtils_Equal(AL44,AM44,$AM$29)</f>
        <v>Ok</v>
      </c>
      <c r="AO44" s="202"/>
      <c r="AP44" s="203"/>
      <c r="AQ44" s="1082" t="s">
        <v>57</v>
      </c>
      <c r="AR44" s="1079" t="s">
        <v>253</v>
      </c>
      <c r="AS44" s="1079"/>
      <c r="AU44" s="601">
        <f ca="1"/>
        <v>44805</v>
      </c>
      <c r="AV44" s="270" cm="1">
        <f t="array" aca="1" ref="AV44" ca="1">_xll.d.Dates_Act365(AU43,AU44)</f>
        <v>0.25205479452054796</v>
      </c>
      <c r="AW44" s="598">
        <f t="array" aca="1" ref="AW44:AW55" ca="1">_xll.d.Curve_GetForwardRates(AQ29,AU43:AU54,AU44:AU55,"Simple")</f>
        <v>9.9999999999999409E-2</v>
      </c>
      <c r="AX44" s="125" cm="1">
        <f t="array" aca="1" ref="AX44:AX55" ca="1">_xll.d.Curve_GetDiscountFactors(AQ29,AU44:AU55)</f>
        <v>0.97541421699625874</v>
      </c>
      <c r="AY44" s="54"/>
      <c r="AZ44" s="54"/>
      <c r="BA44" s="54"/>
      <c r="BB44" s="54"/>
      <c r="BC44" s="54"/>
      <c r="BD44" s="54"/>
      <c r="BE44" s="54"/>
      <c r="BF44" s="54"/>
      <c r="BG44" s="54"/>
      <c r="BH44" s="43" t="s">
        <v>35</v>
      </c>
      <c r="BI44" s="44" t="s">
        <v>36</v>
      </c>
      <c r="BJ44" s="45" t="s">
        <v>42</v>
      </c>
      <c r="BR44" s="43" t="s">
        <v>35</v>
      </c>
      <c r="BS44" s="44" t="s">
        <v>36</v>
      </c>
      <c r="BT44" s="45" t="s">
        <v>42</v>
      </c>
      <c r="CC44" s="43" t="s">
        <v>35</v>
      </c>
      <c r="CD44" s="44" t="s">
        <v>36</v>
      </c>
      <c r="CE44" s="45" t="s">
        <v>42</v>
      </c>
    </row>
    <row r="45" spans="1:83">
      <c r="B45" s="12" t="s">
        <v>34</v>
      </c>
      <c r="C45" s="27"/>
      <c r="D45" s="13"/>
      <c r="F45" s="601">
        <v>44896</v>
      </c>
      <c r="G45" s="270" cm="1">
        <f t="array" ref="G45">_xll.d.Dates_Act365(F44,F45)</f>
        <v>0.24931506849315069</v>
      </c>
      <c r="H45" s="598">
        <f ca="1"/>
        <v>9.9999999999655947E-2</v>
      </c>
      <c r="I45" s="125">
        <f ca="1"/>
        <v>0.95168722053906507</v>
      </c>
      <c r="J45" s="202"/>
      <c r="K45" s="203"/>
      <c r="L45" s="12" t="s">
        <v>34</v>
      </c>
      <c r="M45" s="27"/>
      <c r="N45" s="13"/>
      <c r="U45" s="730"/>
      <c r="V45" s="740">
        <v>45322</v>
      </c>
      <c r="W45" s="748">
        <v>0.77142555086444875</v>
      </c>
      <c r="X45" s="749">
        <f ca="1"/>
        <v>0.77142509298979944</v>
      </c>
      <c r="Y45" s="737" t="str" cm="1">
        <f t="array" aca="1" ref="Y45" ca="1">_xll.d.TestUtils_Equal(W45,X45,$X$29)</f>
        <v>Ok</v>
      </c>
      <c r="Z45" s="202"/>
      <c r="AA45" s="203"/>
      <c r="AB45" s="762" t="s">
        <v>26</v>
      </c>
      <c r="AC45" s="266">
        <v>7.0999999999999991E-4</v>
      </c>
      <c r="AD45" s="205" t="b">
        <v>1</v>
      </c>
      <c r="AE45" s="430"/>
      <c r="AF45" s="716">
        <f ca="1"/>
        <v>44655</v>
      </c>
      <c r="AG45" s="270" cm="1">
        <f t="array" aca="1" ref="AG45" ca="1">_xll.d.Dates_Act360(AF44,AF45)</f>
        <v>1.0194444444444444</v>
      </c>
      <c r="AH45" s="598">
        <f ca="1"/>
        <v>9.7930947428526128E-4</v>
      </c>
      <c r="AI45" s="718">
        <f ca="1"/>
        <v>0.99829876088783787</v>
      </c>
      <c r="AK45" s="767">
        <v>45019</v>
      </c>
      <c r="AL45" s="749">
        <v>0.99647638149095108</v>
      </c>
      <c r="AM45" s="768" cm="1">
        <f t="array" aca="1" ref="AM45" ca="1">_xll.d.Curve_GetDiscountFactors($AB$29,AK45)</f>
        <v>0.99645431627693148</v>
      </c>
      <c r="AN45" s="737" t="str" cm="1">
        <f t="array" aca="1" ref="AN45" ca="1">_xll.d.TestUtils_Equal(AL45,AM45,$AM$29)</f>
        <v>Ok</v>
      </c>
      <c r="AO45" s="202"/>
      <c r="AP45" s="203"/>
      <c r="AQ45" s="1082" t="s">
        <v>202</v>
      </c>
      <c r="AR45" s="1079" t="s">
        <v>233</v>
      </c>
      <c r="AS45" s="1079"/>
      <c r="AU45" s="601">
        <f ca="1"/>
        <v>44896</v>
      </c>
      <c r="AV45" s="270" cm="1">
        <f t="array" aca="1" ref="AV45" ca="1">_xll.d.Dates_Act365(AU44,AU45)</f>
        <v>0.24931506849315069</v>
      </c>
      <c r="AW45" s="598">
        <f ca="1"/>
        <v>9.9999999999655947E-2</v>
      </c>
      <c r="AX45" s="125">
        <f ca="1"/>
        <v>0.95168722053906507</v>
      </c>
      <c r="AY45" s="54"/>
      <c r="AZ45" s="54"/>
      <c r="BA45" s="54"/>
      <c r="BB45" s="54"/>
      <c r="BC45" s="54"/>
      <c r="BD45" s="54"/>
      <c r="BE45" s="54"/>
      <c r="BF45" s="54"/>
      <c r="BG45" s="54"/>
      <c r="BH45" s="42" t="s">
        <v>27</v>
      </c>
      <c r="BI45" s="42">
        <v>0.1</v>
      </c>
      <c r="BJ45" s="42" t="b">
        <v>1</v>
      </c>
      <c r="BR45" s="42" t="s">
        <v>27</v>
      </c>
      <c r="BS45" s="42">
        <v>0.1</v>
      </c>
      <c r="BT45" s="42" t="b">
        <v>1</v>
      </c>
      <c r="CC45" s="42" t="s">
        <v>27</v>
      </c>
      <c r="CD45" s="42">
        <v>0.1</v>
      </c>
      <c r="CE45" s="42" t="b">
        <v>1</v>
      </c>
    </row>
    <row r="46" spans="1:83">
      <c r="B46" s="61" t="s">
        <v>191</v>
      </c>
      <c r="C46" s="62" t="s">
        <v>36</v>
      </c>
      <c r="D46" s="63" t="s">
        <v>42</v>
      </c>
      <c r="F46" s="601">
        <v>44986</v>
      </c>
      <c r="G46" s="270" cm="1">
        <f t="array" ref="G46">_xll.d.Dates_Act365(F45,F46)</f>
        <v>0.24657534246575341</v>
      </c>
      <c r="H46" s="598">
        <f ca="1"/>
        <v>0.10000000000000005</v>
      </c>
      <c r="I46" s="125">
        <f ca="1"/>
        <v>0.92878565640844579</v>
      </c>
      <c r="J46" s="202"/>
      <c r="K46" s="203"/>
      <c r="L46" s="61" t="s">
        <v>731</v>
      </c>
      <c r="M46" s="62" t="s">
        <v>36</v>
      </c>
      <c r="N46" s="63" t="s">
        <v>42</v>
      </c>
      <c r="Q46" s="120" t="s">
        <v>536</v>
      </c>
      <c r="R46" s="191"/>
      <c r="S46" s="191"/>
      <c r="T46" s="121"/>
      <c r="U46" s="730"/>
      <c r="V46" s="740">
        <v>45688</v>
      </c>
      <c r="W46" s="748">
        <v>0.71728031027113948</v>
      </c>
      <c r="X46" s="749">
        <f ca="1"/>
        <v>0.7172798723379229</v>
      </c>
      <c r="Y46" s="737" t="str" cm="1">
        <f t="array" aca="1" ref="Y46" ca="1">_xll.d.TestUtils_Equal(W46,X46,$X$29)</f>
        <v>Ok</v>
      </c>
      <c r="Z46" s="202"/>
      <c r="AA46" s="203"/>
      <c r="AB46" s="762" t="s">
        <v>24</v>
      </c>
      <c r="AC46" s="266">
        <v>6.8000000000000005E-4</v>
      </c>
      <c r="AD46" s="205" t="b">
        <v>1</v>
      </c>
      <c r="AE46" s="430"/>
      <c r="AF46" s="716">
        <f ca="1"/>
        <v>45019</v>
      </c>
      <c r="AG46" s="270" cm="1">
        <f t="array" aca="1" ref="AG46" ca="1">_xll.d.Dates_Act360(AF45,AF46)</f>
        <v>1.0111111111111111</v>
      </c>
      <c r="AH46" s="598">
        <f ca="1"/>
        <v>1.8306669548326352E-3</v>
      </c>
      <c r="AI46" s="718">
        <f ca="1"/>
        <v>0.99645431627693148</v>
      </c>
      <c r="AK46" s="767">
        <v>45384</v>
      </c>
      <c r="AL46" s="749">
        <v>0.99353628932238969</v>
      </c>
      <c r="AM46" s="768" cm="1">
        <f t="array" aca="1" ref="AM46" ca="1">_xll.d.Curve_GetDiscountFactors($AB$29,AK46)</f>
        <v>0.9934887360613085</v>
      </c>
      <c r="AN46" s="737" t="str" cm="1">
        <f t="array" aca="1" ref="AN46" ca="1">_xll.d.TestUtils_Equal(AL46,AM46,$AM$29)</f>
        <v>Ok</v>
      </c>
      <c r="AO46" s="202"/>
      <c r="AP46" s="203"/>
      <c r="AQ46" s="1083" t="s">
        <v>653</v>
      </c>
      <c r="AR46" s="1084" t="s">
        <v>244</v>
      </c>
      <c r="AS46" s="1085"/>
      <c r="AU46" s="601">
        <f ca="1"/>
        <v>44986</v>
      </c>
      <c r="AV46" s="270" cm="1">
        <f t="array" aca="1" ref="AV46" ca="1">_xll.d.Dates_Act365(AU45,AU46)</f>
        <v>0.24657534246575341</v>
      </c>
      <c r="AW46" s="598">
        <f ca="1"/>
        <v>0.10000000000000005</v>
      </c>
      <c r="AX46" s="125">
        <f ca="1"/>
        <v>0.92878565640844579</v>
      </c>
      <c r="AY46" s="54"/>
      <c r="AZ46" s="54"/>
      <c r="BA46" s="54"/>
      <c r="BB46" s="54"/>
      <c r="BC46" s="54"/>
      <c r="BD46" s="54"/>
      <c r="BE46" s="54"/>
      <c r="BF46" s="54"/>
      <c r="BG46" s="54"/>
      <c r="BH46" s="42" t="s">
        <v>28</v>
      </c>
      <c r="BI46" s="42">
        <v>0.1</v>
      </c>
      <c r="BJ46" s="42" t="b">
        <v>1</v>
      </c>
      <c r="BR46" s="42" t="s">
        <v>28</v>
      </c>
      <c r="BS46" s="42">
        <v>0.1</v>
      </c>
      <c r="BT46" s="42" t="b">
        <v>1</v>
      </c>
      <c r="CC46" s="42" t="s">
        <v>28</v>
      </c>
      <c r="CD46" s="42">
        <v>0.1</v>
      </c>
      <c r="CE46" s="42" t="b">
        <v>1</v>
      </c>
    </row>
    <row r="47" spans="1:83">
      <c r="B47" s="253" t="s">
        <v>192</v>
      </c>
      <c r="C47" s="244">
        <v>0.1</v>
      </c>
      <c r="D47" s="243" t="b">
        <v>1</v>
      </c>
      <c r="F47" s="601">
        <v>45078</v>
      </c>
      <c r="G47" s="270" cm="1">
        <f t="array" ref="G47">_xll.d.Dates_Act365(F46,F47)</f>
        <v>0.25205479452054796</v>
      </c>
      <c r="H47" s="598">
        <f ca="1"/>
        <v>9.9999999999999409E-2</v>
      </c>
      <c r="I47" s="125">
        <f ca="1"/>
        <v>0.9059507338030004</v>
      </c>
      <c r="J47" s="202"/>
      <c r="K47" s="203"/>
      <c r="L47" s="253" t="s">
        <v>192</v>
      </c>
      <c r="M47" s="706">
        <v>6.4600000000000005E-2</v>
      </c>
      <c r="N47" s="243" t="b">
        <v>1</v>
      </c>
      <c r="Q47" s="118" t="s">
        <v>0</v>
      </c>
      <c r="R47" s="282" t="s">
        <v>534</v>
      </c>
      <c r="S47" s="282" t="s">
        <v>535</v>
      </c>
      <c r="T47" s="119" t="s">
        <v>2</v>
      </c>
      <c r="U47" s="730"/>
      <c r="V47" s="740">
        <v>46052</v>
      </c>
      <c r="W47" s="748">
        <v>0.66351867459800129</v>
      </c>
      <c r="X47" s="749">
        <f ca="1"/>
        <v>0.66351825452723412</v>
      </c>
      <c r="Y47" s="737" t="str" cm="1">
        <f t="array" aca="1" ref="Y47" ca="1">_xll.d.TestUtils_Equal(W47,X47,$X$29)</f>
        <v>Ok</v>
      </c>
      <c r="Z47" s="202"/>
      <c r="AA47" s="203"/>
      <c r="AB47" s="762" t="s">
        <v>585</v>
      </c>
      <c r="AC47" s="266">
        <v>6.7000000000000002E-4</v>
      </c>
      <c r="AD47" s="205" t="b">
        <v>1</v>
      </c>
      <c r="AE47" s="430"/>
      <c r="AF47" s="716">
        <f ca="1"/>
        <v>45384</v>
      </c>
      <c r="AG47" s="270" cm="1">
        <f t="array" aca="1" ref="AG47" ca="1">_xll.d.Dates_Act360(AF46,AF47)</f>
        <v>1.0138888888888888</v>
      </c>
      <c r="AH47" s="598">
        <f ca="1"/>
        <v>2.9441258093208058E-3</v>
      </c>
      <c r="AI47" s="718">
        <f ca="1"/>
        <v>0.9934887360613085</v>
      </c>
      <c r="AK47" s="767">
        <v>45749</v>
      </c>
      <c r="AL47" s="749">
        <v>0.98925951996509143</v>
      </c>
      <c r="AM47" s="768" cm="1">
        <f t="array" aca="1" ref="AM47" ca="1">_xll.d.Curve_GetDiscountFactors($AB$29,AK47)</f>
        <v>0.98921492688719537</v>
      </c>
      <c r="AN47" s="737" t="str" cm="1">
        <f t="array" aca="1" ref="AN47" ca="1">_xll.d.TestUtils_Equal(AL47,AM47,$AM$29)</f>
        <v>Ok</v>
      </c>
      <c r="AO47" s="202"/>
      <c r="AP47" s="203"/>
      <c r="AU47" s="601">
        <f ca="1"/>
        <v>45078</v>
      </c>
      <c r="AV47" s="270" cm="1">
        <f t="array" aca="1" ref="AV47" ca="1">_xll.d.Dates_Act365(AU46,AU47)</f>
        <v>0.25205479452054796</v>
      </c>
      <c r="AW47" s="598">
        <f ca="1"/>
        <v>9.9999999999999409E-2</v>
      </c>
      <c r="AX47" s="125">
        <f ca="1"/>
        <v>0.9059507338030004</v>
      </c>
      <c r="AY47" s="54"/>
      <c r="AZ47" s="54"/>
      <c r="BA47" s="54"/>
      <c r="BB47" s="54"/>
      <c r="BC47" s="54"/>
      <c r="BD47" s="54"/>
      <c r="BE47" s="54"/>
      <c r="BF47" s="54"/>
      <c r="BG47" s="54"/>
    </row>
    <row r="48" spans="1:83">
      <c r="B48" s="254" t="s">
        <v>193</v>
      </c>
      <c r="C48" s="239">
        <v>0.1</v>
      </c>
      <c r="D48" s="240" t="b">
        <v>1</v>
      </c>
      <c r="F48" s="601">
        <v>45170</v>
      </c>
      <c r="G48" s="270" cm="1">
        <f t="array" ref="G48">_xll.d.Dates_Act365(F47,F48)</f>
        <v>0.25205479452054796</v>
      </c>
      <c r="H48" s="598">
        <f ca="1"/>
        <v>0.10000003427727382</v>
      </c>
      <c r="I48" s="125">
        <f ca="1"/>
        <v>0.88367721820259459</v>
      </c>
      <c r="J48" s="202"/>
      <c r="K48" s="203"/>
      <c r="L48" s="254" t="s">
        <v>193</v>
      </c>
      <c r="M48" s="707">
        <v>6.2600000000000003E-2</v>
      </c>
      <c r="N48" s="240" t="b">
        <v>1</v>
      </c>
      <c r="P48" s="9"/>
      <c r="Q48" s="714">
        <f t="array" ref="Q48:Q80">_xll.d.Dates_GenerateSchedule(M33,_xll.d.Dates_AddTenorToDate(M33,"8Y","ZAR","ModFol"),"3m","ZAR","ModFol","Forward")</f>
        <v>43861</v>
      </c>
      <c r="R48" s="713"/>
      <c r="S48" s="713"/>
      <c r="T48" s="715"/>
      <c r="U48" s="730"/>
      <c r="V48" s="740">
        <v>46416</v>
      </c>
      <c r="W48" s="748">
        <v>0.61166546399400523</v>
      </c>
      <c r="X48" s="749">
        <f ca="1"/>
        <v>0.61166506256260311</v>
      </c>
      <c r="Y48" s="737" t="str" cm="1">
        <f t="array" aca="1" ref="Y48" ca="1">_xll.d.TestUtils_Equal(W48,X48,$X$29)</f>
        <v>Ok</v>
      </c>
      <c r="Z48" s="202"/>
      <c r="AA48" s="203"/>
      <c r="AB48" s="762" t="s">
        <v>586</v>
      </c>
      <c r="AC48" s="266">
        <v>6.6E-4</v>
      </c>
      <c r="AD48" s="205" t="b">
        <v>1</v>
      </c>
      <c r="AE48" s="430"/>
      <c r="AF48" s="716">
        <f ca="1"/>
        <v>45749</v>
      </c>
      <c r="AG48" s="270" cm="1">
        <f t="array" aca="1" ref="AG48" ca="1">_xll.d.Dates_Act360(AF47,AF48)</f>
        <v>1.0138888888888888</v>
      </c>
      <c r="AH48" s="598">
        <f ca="1"/>
        <v>4.2612214276075899E-3</v>
      </c>
      <c r="AI48" s="718">
        <f ca="1"/>
        <v>0.98921492688719537</v>
      </c>
      <c r="AK48" s="767">
        <v>46479</v>
      </c>
      <c r="AL48" s="749">
        <v>0.97794158297967493</v>
      </c>
      <c r="AM48" s="768" cm="1">
        <f t="array" aca="1" ref="AM48" ca="1">_xll.d.Curve_GetDiscountFactors($AB$29,AK48)</f>
        <v>0.97786351552440764</v>
      </c>
      <c r="AN48" s="737" t="str" cm="1">
        <f t="array" aca="1" ref="AN48" ca="1">_xll.d.TestUtils_Equal(AL48,AM48,$AM$29)</f>
        <v>Ok</v>
      </c>
      <c r="AO48" s="202"/>
      <c r="AP48" s="203"/>
      <c r="AU48" s="601">
        <f ca="1"/>
        <v>45170</v>
      </c>
      <c r="AV48" s="270" cm="1">
        <f t="array" aca="1" ref="AV48" ca="1">_xll.d.Dates_Act365(AU47,AU48)</f>
        <v>0.25205479452054796</v>
      </c>
      <c r="AW48" s="598">
        <f ca="1"/>
        <v>0.10000003427727382</v>
      </c>
      <c r="AX48" s="125">
        <f ca="1"/>
        <v>0.88367721820259459</v>
      </c>
      <c r="AY48" s="54"/>
      <c r="AZ48" s="54"/>
      <c r="BA48" s="54"/>
      <c r="BB48" s="54"/>
      <c r="BC48" s="54"/>
      <c r="BD48" s="54"/>
      <c r="BE48" s="54"/>
      <c r="BF48" s="54"/>
      <c r="BG48" s="54"/>
      <c r="BH48" s="12" t="s">
        <v>40</v>
      </c>
      <c r="BI48" s="13"/>
      <c r="BJ48" s="13"/>
      <c r="BR48" s="12" t="s">
        <v>40</v>
      </c>
      <c r="BS48" s="13"/>
      <c r="BT48" s="13"/>
      <c r="CC48" s="12" t="s">
        <v>40</v>
      </c>
      <c r="CD48" s="13"/>
      <c r="CE48" s="13"/>
    </row>
    <row r="49" spans="2:83">
      <c r="B49" s="255" t="s">
        <v>194</v>
      </c>
      <c r="C49" s="241">
        <v>0.1</v>
      </c>
      <c r="D49" s="242" t="b">
        <v>1</v>
      </c>
      <c r="F49" s="601">
        <v>45261</v>
      </c>
      <c r="G49" s="270" cm="1">
        <f t="array" ref="G49">_xll.d.Dates_Act365(F48,F49)</f>
        <v>0.24931506849315069</v>
      </c>
      <c r="H49" s="598">
        <f ca="1"/>
        <v>9.9986450530170273E-2</v>
      </c>
      <c r="I49" s="125">
        <f ca="1"/>
        <v>0.86218457021928574</v>
      </c>
      <c r="J49" s="202"/>
      <c r="K49" s="203"/>
      <c r="L49" s="254" t="s">
        <v>194</v>
      </c>
      <c r="M49" s="707">
        <v>6.2100000000000002E-2</v>
      </c>
      <c r="N49" s="240" t="b">
        <v>1</v>
      </c>
      <c r="P49" s="9"/>
      <c r="Q49" s="716">
        <v>43951</v>
      </c>
      <c r="R49" s="271" cm="1">
        <f t="array" ref="R49">_xll.d.Dates_Act365(Q48,Q49)</f>
        <v>0.24657534246575341</v>
      </c>
      <c r="S49" s="712">
        <f t="array" aca="1" ref="S49:S80" ca="1">_xll.d.Curve_GetForwardRates(L29,Q48:Q79,Q49:Q80,"Simple")</f>
        <v>6.5579999999485508E-2</v>
      </c>
      <c r="T49" s="717">
        <f t="array" aca="1" ref="T49:T80" ca="1">_xll.d.Curve_GetDiscountFactors(L29,Q49:Q80)</f>
        <v>0.98408691024222983</v>
      </c>
      <c r="U49" s="730"/>
      <c r="V49" s="741">
        <v>46783</v>
      </c>
      <c r="W49" s="750">
        <v>0.55992571979354799</v>
      </c>
      <c r="X49" s="751">
        <f ca="1"/>
        <v>0.5599253361228067</v>
      </c>
      <c r="Y49" s="737" t="str" cm="1">
        <f t="array" aca="1" ref="Y49" ca="1">_xll.d.TestUtils_Equal(W49,X49,$X$29)</f>
        <v>Ok</v>
      </c>
      <c r="Z49" s="202"/>
      <c r="AA49" s="203"/>
      <c r="AB49" s="762" t="s">
        <v>27</v>
      </c>
      <c r="AC49" s="266">
        <v>6.6E-4</v>
      </c>
      <c r="AD49" s="205" t="b">
        <v>1</v>
      </c>
      <c r="AE49" s="430"/>
      <c r="AF49" s="716">
        <f ca="1"/>
        <v>46114</v>
      </c>
      <c r="AG49" s="270" cm="1">
        <f t="array" aca="1" ref="AG49" ca="1">_xll.d.Dates_Act360(AF48,AF49)</f>
        <v>1.0138888888888888</v>
      </c>
      <c r="AH49" s="598">
        <f ca="1"/>
        <v>5.7040969204802394E-3</v>
      </c>
      <c r="AI49" s="718">
        <f ca="1"/>
        <v>0.98352687575533426</v>
      </c>
      <c r="AK49" s="767">
        <v>47575</v>
      </c>
      <c r="AL49" s="749">
        <v>0.95684032944715969</v>
      </c>
      <c r="AM49" s="768" cm="1">
        <f t="array" aca="1" ref="AM49" ca="1">_xll.d.Curve_GetDiscountFactors($AB$29,AK49)</f>
        <v>0.95676359533900934</v>
      </c>
      <c r="AN49" s="737" t="str" cm="1">
        <f t="array" aca="1" ref="AN49" ca="1">_xll.d.TestUtils_Equal(AL49,AM49,$AM$29)</f>
        <v>Ok</v>
      </c>
      <c r="AO49" s="202"/>
      <c r="AP49" s="203"/>
      <c r="AU49" s="601">
        <f ca="1"/>
        <v>45261</v>
      </c>
      <c r="AV49" s="270" cm="1">
        <f t="array" aca="1" ref="AV49" ca="1">_xll.d.Dates_Act365(AU48,AU49)</f>
        <v>0.24931506849315069</v>
      </c>
      <c r="AW49" s="598">
        <f ca="1"/>
        <v>9.9986450530170273E-2</v>
      </c>
      <c r="AX49" s="125">
        <f ca="1"/>
        <v>0.86218457021928574</v>
      </c>
      <c r="AY49" s="54"/>
      <c r="AZ49" s="54"/>
      <c r="BA49" s="54"/>
      <c r="BB49" s="54"/>
      <c r="BC49" s="54"/>
      <c r="BD49" s="54"/>
      <c r="BE49" s="54"/>
      <c r="BF49" s="54"/>
      <c r="BG49" s="54"/>
      <c r="BH49" s="43" t="s">
        <v>35</v>
      </c>
      <c r="BI49" s="44" t="s">
        <v>36</v>
      </c>
      <c r="BJ49" s="45" t="s">
        <v>42</v>
      </c>
      <c r="BR49" s="43" t="s">
        <v>35</v>
      </c>
      <c r="BS49" s="44" t="s">
        <v>36</v>
      </c>
      <c r="BT49" s="45" t="s">
        <v>42</v>
      </c>
      <c r="CC49" s="43" t="s">
        <v>35</v>
      </c>
      <c r="CD49" s="44" t="s">
        <v>36</v>
      </c>
      <c r="CE49" s="45" t="s">
        <v>42</v>
      </c>
    </row>
    <row r="50" spans="2:83">
      <c r="F50" s="601">
        <v>45352</v>
      </c>
      <c r="G50" s="270" cm="1">
        <f t="array" ref="G50">_xll.d.Dates_Act365(F49,F50)</f>
        <v>0.24931506849315069</v>
      </c>
      <c r="H50" s="598">
        <f ca="1"/>
        <v>9.9986450530170273E-2</v>
      </c>
      <c r="I50" s="125">
        <f ca="1"/>
        <v>0.84121466278854429</v>
      </c>
      <c r="J50" s="202"/>
      <c r="K50" s="203"/>
      <c r="L50" s="704" t="s">
        <v>568</v>
      </c>
      <c r="M50" s="707">
        <v>6.1800000000000001E-2</v>
      </c>
      <c r="N50" s="240" t="b">
        <v>1</v>
      </c>
      <c r="Q50" s="716">
        <v>44043</v>
      </c>
      <c r="R50" s="270" cm="1">
        <f t="array" ref="R50">_xll.d.Dates_Act365(Q49,Q50)</f>
        <v>0.25205479452054796</v>
      </c>
      <c r="S50" s="598">
        <f ca="1"/>
        <v>6.4583938319548381E-2</v>
      </c>
      <c r="T50" s="718">
        <f ca="1"/>
        <v>0.96832386496367961</v>
      </c>
      <c r="U50" s="730"/>
      <c r="V50" s="730"/>
      <c r="W50" s="730"/>
      <c r="X50" s="730"/>
      <c r="Y50" s="730"/>
      <c r="Z50" s="202"/>
      <c r="AA50" s="203"/>
      <c r="AB50" s="762" t="s">
        <v>28</v>
      </c>
      <c r="AC50" s="266">
        <v>6.6E-4</v>
      </c>
      <c r="AD50" s="205" t="b">
        <v>1</v>
      </c>
      <c r="AE50" s="430"/>
      <c r="AF50" s="716">
        <f ca="1"/>
        <v>46479</v>
      </c>
      <c r="AG50" s="270" cm="1">
        <f t="array" aca="1" ref="AG50" ca="1">_xll.d.Dates_Act360(AF49,AF50)</f>
        <v>1.0138888888888888</v>
      </c>
      <c r="AH50" s="598">
        <f ca="1"/>
        <v>5.7122286138214995E-3</v>
      </c>
      <c r="AI50" s="718">
        <f ca="1"/>
        <v>0.97786351552440764</v>
      </c>
      <c r="AK50" s="767">
        <v>48306</v>
      </c>
      <c r="AL50" s="749">
        <v>0.94199581673574373</v>
      </c>
      <c r="AM50" s="768" cm="1">
        <f t="array" aca="1" ref="AM50" ca="1">_xll.d.Curve_GetDiscountFactors($AB$29,AK50)</f>
        <v>0.94192979854187464</v>
      </c>
      <c r="AN50" s="737" t="str" cm="1">
        <f t="array" aca="1" ref="AN50" ca="1">_xll.d.TestUtils_Equal(AL50,AM50,$AM$29)</f>
        <v>Ok</v>
      </c>
      <c r="AO50" s="202"/>
      <c r="AP50" s="203"/>
      <c r="AQ50" s="12" t="s">
        <v>21</v>
      </c>
      <c r="AR50" s="13"/>
      <c r="AS50" s="13"/>
      <c r="AU50" s="601">
        <f ca="1"/>
        <v>45352</v>
      </c>
      <c r="AV50" s="270" cm="1">
        <f t="array" aca="1" ref="AV50" ca="1">_xll.d.Dates_Act365(AU49,AU50)</f>
        <v>0.24931506849315069</v>
      </c>
      <c r="AW50" s="598">
        <f ca="1"/>
        <v>9.9986450530170273E-2</v>
      </c>
      <c r="AX50" s="125">
        <f ca="1"/>
        <v>0.84121466278854429</v>
      </c>
      <c r="AY50" s="54"/>
      <c r="AZ50" s="54"/>
      <c r="BA50" s="54"/>
      <c r="BB50" s="54"/>
      <c r="BC50" s="54"/>
      <c r="BD50" s="54"/>
      <c r="BE50" s="54"/>
      <c r="BF50" s="54"/>
      <c r="BG50" s="54"/>
      <c r="BH50" s="42" t="s">
        <v>49</v>
      </c>
      <c r="BI50" s="42">
        <v>0.1</v>
      </c>
      <c r="BJ50" s="42" t="b">
        <v>1</v>
      </c>
      <c r="BR50" s="42" t="s">
        <v>49</v>
      </c>
      <c r="BS50" s="42">
        <v>0.1</v>
      </c>
      <c r="BT50" s="42" t="b">
        <v>1</v>
      </c>
      <c r="CC50" s="42" t="s">
        <v>49</v>
      </c>
      <c r="CD50" s="42">
        <v>0.1</v>
      </c>
      <c r="CE50" s="42" t="b">
        <v>1</v>
      </c>
    </row>
    <row r="51" spans="2:83">
      <c r="B51" s="12" t="s">
        <v>40</v>
      </c>
      <c r="C51" s="27"/>
      <c r="D51" s="13"/>
      <c r="F51" s="601">
        <v>45446</v>
      </c>
      <c r="G51" s="270" cm="1">
        <f t="array" ref="G51">_xll.d.Dates_Act365(F50,F51)</f>
        <v>0.25753424657534246</v>
      </c>
      <c r="H51" s="598">
        <f ca="1"/>
        <v>0.10002720913876365</v>
      </c>
      <c r="I51" s="125">
        <f ca="1"/>
        <v>0.82008882054014454</v>
      </c>
      <c r="J51" s="202"/>
      <c r="K51" s="203"/>
      <c r="L51" s="704" t="s">
        <v>569</v>
      </c>
      <c r="M51" s="707">
        <v>6.2100000000000002E-2</v>
      </c>
      <c r="N51" s="240" t="b">
        <v>1</v>
      </c>
      <c r="P51" s="9"/>
      <c r="Q51" s="716">
        <v>44134</v>
      </c>
      <c r="R51" s="270" cm="1">
        <f t="array" ref="R51">_xll.d.Dates_Act365(Q50,Q51)</f>
        <v>0.24931506849315069</v>
      </c>
      <c r="S51" s="598">
        <f ca="1"/>
        <v>6.2600000000052947E-2</v>
      </c>
      <c r="T51" s="718">
        <f ca="1"/>
        <v>0.95344335694403037</v>
      </c>
      <c r="U51" s="730"/>
      <c r="V51" s="730"/>
      <c r="W51" s="730"/>
      <c r="X51" s="730"/>
      <c r="Y51" s="730"/>
      <c r="Z51" s="202"/>
      <c r="AA51" s="203"/>
      <c r="AB51" s="762" t="s">
        <v>573</v>
      </c>
      <c r="AC51" s="266">
        <v>6.9000000000000008E-4</v>
      </c>
      <c r="AD51" s="205" t="b">
        <v>1</v>
      </c>
      <c r="AE51" s="430"/>
      <c r="AF51" s="719">
        <f ca="1"/>
        <v>46846</v>
      </c>
      <c r="AG51" s="631" cm="1">
        <f t="array" aca="1" ref="AG51" ca="1">_xll.d.Dates_Act360(AF50,AF51)</f>
        <v>1.0194444444444444</v>
      </c>
      <c r="AH51" s="720">
        <f ca="1"/>
        <v>7.1893786944144502E-3</v>
      </c>
      <c r="AI51" s="319">
        <f ca="1"/>
        <v>0.97074873094246472</v>
      </c>
      <c r="AK51" s="767">
        <v>49401</v>
      </c>
      <c r="AL51" s="749">
        <v>0.92158205934554305</v>
      </c>
      <c r="AM51" s="768" cm="1">
        <f t="array" aca="1" ref="AM51" ca="1">_xll.d.Curve_GetDiscountFactors($AB$29,AK51)</f>
        <v>0.92152194208601756</v>
      </c>
      <c r="AN51" s="737" t="str" cm="1">
        <f t="array" aca="1" ref="AN51" ca="1">_xll.d.TestUtils_Equal(AL51,AM51,$AM$29)</f>
        <v>Ok</v>
      </c>
      <c r="AO51" s="202"/>
      <c r="AP51" s="203"/>
      <c r="AQ51" s="61" t="s">
        <v>35</v>
      </c>
      <c r="AR51" s="62" t="s">
        <v>36</v>
      </c>
      <c r="AS51" s="63" t="s">
        <v>42</v>
      </c>
      <c r="AU51" s="601">
        <f ca="1"/>
        <v>45446</v>
      </c>
      <c r="AV51" s="270" cm="1">
        <f t="array" aca="1" ref="AV51" ca="1">_xll.d.Dates_Act365(AU50,AU51)</f>
        <v>0.25753424657534246</v>
      </c>
      <c r="AW51" s="598">
        <f ca="1"/>
        <v>0.10002720913876365</v>
      </c>
      <c r="AX51" s="125">
        <f ca="1"/>
        <v>0.82008882054014454</v>
      </c>
      <c r="AY51" s="54"/>
      <c r="AZ51" s="54"/>
      <c r="BA51" s="54"/>
      <c r="BB51" s="54"/>
      <c r="BC51" s="54"/>
      <c r="BD51" s="54"/>
      <c r="BE51" s="54"/>
      <c r="BF51" s="54"/>
      <c r="BG51" s="54"/>
      <c r="BH51" s="42" t="s">
        <v>53</v>
      </c>
      <c r="BI51" s="42">
        <v>0.1</v>
      </c>
      <c r="BJ51" s="42" t="b">
        <v>1</v>
      </c>
      <c r="BR51" s="42" t="s">
        <v>53</v>
      </c>
      <c r="BS51" s="42">
        <v>0.1</v>
      </c>
      <c r="BT51" s="42" t="b">
        <v>1</v>
      </c>
      <c r="CC51" s="42" t="s">
        <v>53</v>
      </c>
      <c r="CD51" s="42">
        <v>0.1</v>
      </c>
      <c r="CE51" s="42" t="b">
        <v>1</v>
      </c>
    </row>
    <row r="52" spans="2:83">
      <c r="B52" s="61" t="s">
        <v>35</v>
      </c>
      <c r="C52" s="62" t="s">
        <v>36</v>
      </c>
      <c r="D52" s="63" t="s">
        <v>42</v>
      </c>
      <c r="F52" s="601">
        <v>45537</v>
      </c>
      <c r="G52" s="270" cm="1">
        <f t="array" ref="G52">_xll.d.Dates_Act365(F51,F52)</f>
        <v>0.24931506849315069</v>
      </c>
      <c r="H52" s="598">
        <f ca="1"/>
        <v>0.1000000000000389</v>
      </c>
      <c r="I52" s="125">
        <f ca="1"/>
        <v>0.80014012161761539</v>
      </c>
      <c r="J52" s="202"/>
      <c r="K52" s="203"/>
      <c r="L52" s="704" t="s">
        <v>570</v>
      </c>
      <c r="M52" s="707">
        <v>6.2600000000000003E-2</v>
      </c>
      <c r="N52" s="240" t="b">
        <v>1</v>
      </c>
      <c r="P52" s="9"/>
      <c r="Q52" s="716">
        <v>44225</v>
      </c>
      <c r="R52" s="270" cm="1">
        <f t="array" ref="R52">_xll.d.Dates_Act365(Q51,Q52)</f>
        <v>0.24931506849315069</v>
      </c>
      <c r="S52" s="598">
        <f ca="1"/>
        <v>6.2100000000028716E-2</v>
      </c>
      <c r="T52" s="718">
        <f ca="1"/>
        <v>0.93890676510758675</v>
      </c>
      <c r="U52" s="730"/>
      <c r="V52" s="730"/>
      <c r="W52" s="730"/>
      <c r="X52" s="730"/>
      <c r="Y52" s="730"/>
      <c r="Z52" s="202"/>
      <c r="AA52" s="203"/>
      <c r="AB52" s="762" t="s">
        <v>575</v>
      </c>
      <c r="AC52" s="266">
        <v>7.9000000000000001E-4</v>
      </c>
      <c r="AD52" s="205" t="b">
        <v>1</v>
      </c>
      <c r="AE52" s="430"/>
      <c r="AF52" s="430"/>
      <c r="AG52" s="430"/>
      <c r="AH52" s="430"/>
      <c r="AI52" s="430"/>
      <c r="AK52" s="767">
        <v>51228</v>
      </c>
      <c r="AL52" s="749">
        <v>0.88718364143951234</v>
      </c>
      <c r="AM52" s="768" cm="1">
        <f t="array" aca="1" ref="AM52" ca="1">_xll.d.Curve_GetDiscountFactors($AB$29,AK52)</f>
        <v>0.88713257011543067</v>
      </c>
      <c r="AN52" s="737" t="str" cm="1">
        <f t="array" aca="1" ref="AN52" ca="1">_xll.d.TestUtils_Equal(AL52,AM52,$AM$29)</f>
        <v>Ok</v>
      </c>
      <c r="AO52" s="202"/>
      <c r="AP52" s="203"/>
      <c r="AQ52" s="245" t="s">
        <v>25</v>
      </c>
      <c r="AR52" s="246">
        <v>0.1</v>
      </c>
      <c r="AS52" s="247" t="b">
        <v>1</v>
      </c>
      <c r="AU52" s="601">
        <f ca="1"/>
        <v>45537</v>
      </c>
      <c r="AV52" s="270" cm="1">
        <f t="array" aca="1" ref="AV52" ca="1">_xll.d.Dates_Act365(AU51,AU52)</f>
        <v>0.24931506849315069</v>
      </c>
      <c r="AW52" s="598">
        <f ca="1"/>
        <v>0.1000000000000389</v>
      </c>
      <c r="AX52" s="125">
        <f ca="1"/>
        <v>0.80014012161761539</v>
      </c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</row>
    <row r="53" spans="2:83">
      <c r="B53" s="215" t="s">
        <v>49</v>
      </c>
      <c r="C53" s="220">
        <v>0.1</v>
      </c>
      <c r="D53" s="216" t="b">
        <v>1</v>
      </c>
      <c r="F53" s="601">
        <v>45628</v>
      </c>
      <c r="G53" s="270" cm="1">
        <f t="array" ref="G53">_xll.d.Dates_Act365(F52,F53)</f>
        <v>0.24931506849315069</v>
      </c>
      <c r="H53" s="598">
        <f ca="1"/>
        <v>0.1000000000000389</v>
      </c>
      <c r="I53" s="125">
        <f ca="1"/>
        <v>0.78067667572955579</v>
      </c>
      <c r="J53" s="202"/>
      <c r="K53" s="203"/>
      <c r="L53" s="705" t="s">
        <v>571</v>
      </c>
      <c r="M53" s="708">
        <v>6.3200000000000006E-2</v>
      </c>
      <c r="N53" s="242" t="b">
        <v>1</v>
      </c>
      <c r="Q53" s="716">
        <v>44316</v>
      </c>
      <c r="R53" s="270" cm="1">
        <f t="array" ref="R53">_xll.d.Dates_Act365(Q52,Q53)</f>
        <v>0.24931506849315069</v>
      </c>
      <c r="S53" s="598">
        <f ca="1"/>
        <v>6.1808445134642599E-2</v>
      </c>
      <c r="T53" s="718">
        <f ca="1"/>
        <v>0.9246579918987835</v>
      </c>
      <c r="U53" s="730"/>
      <c r="V53" s="730"/>
      <c r="W53" s="730"/>
      <c r="X53" s="730"/>
      <c r="Y53" s="730"/>
      <c r="Z53" s="202"/>
      <c r="AA53" s="203"/>
      <c r="AB53" s="762" t="s">
        <v>49</v>
      </c>
      <c r="AC53" s="266">
        <v>8.3000000000000001E-4</v>
      </c>
      <c r="AD53" s="205" t="b">
        <v>1</v>
      </c>
      <c r="AE53" s="430"/>
      <c r="AF53" s="285" t="s">
        <v>537</v>
      </c>
      <c r="AG53" s="286"/>
      <c r="AH53" s="286"/>
      <c r="AI53" s="287"/>
      <c r="AK53" s="769">
        <v>53055</v>
      </c>
      <c r="AL53" s="770">
        <v>0.85641643828217151</v>
      </c>
      <c r="AM53" s="771" cm="1">
        <f t="array" aca="1" ref="AM53" ca="1">_xll.d.Curve_GetDiscountFactors($AB$29,AK53)</f>
        <v>0.85637465625714015</v>
      </c>
      <c r="AN53" s="737" t="str" cm="1">
        <f t="array" aca="1" ref="AN53" ca="1">_xll.d.TestUtils_Equal(AL53,AM53,$AM$29)</f>
        <v>Ok</v>
      </c>
      <c r="AO53" s="202"/>
      <c r="AP53" s="203"/>
      <c r="AQ53" s="248" t="s">
        <v>26</v>
      </c>
      <c r="AR53" s="221">
        <v>0.1</v>
      </c>
      <c r="AS53" s="249" t="b">
        <v>1</v>
      </c>
      <c r="AU53" s="601">
        <f ca="1"/>
        <v>45628</v>
      </c>
      <c r="AV53" s="270" cm="1">
        <f t="array" aca="1" ref="AV53" ca="1">_xll.d.Dates_Act365(AU52,AU53)</f>
        <v>0.24931506849315069</v>
      </c>
      <c r="AW53" s="598">
        <f ca="1"/>
        <v>0.1000000000000389</v>
      </c>
      <c r="AX53" s="125">
        <f ca="1"/>
        <v>0.78067667572955579</v>
      </c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 s="54"/>
      <c r="BQ53" s="54"/>
    </row>
    <row r="54" spans="2:83">
      <c r="B54" s="217" t="s">
        <v>53</v>
      </c>
      <c r="C54" s="222">
        <v>0.1</v>
      </c>
      <c r="D54" s="218" t="b">
        <v>1</v>
      </c>
      <c r="F54" s="601">
        <v>45719</v>
      </c>
      <c r="G54" s="270" cm="1">
        <f t="array" ref="G54">_xll.d.Dates_Act365(F53,F54)</f>
        <v>0.24931506849315069</v>
      </c>
      <c r="H54" s="598">
        <f ca="1"/>
        <v>0.1000000000000389</v>
      </c>
      <c r="I54" s="125">
        <f ca="1"/>
        <v>0.76168667907320275</v>
      </c>
      <c r="J54" s="202"/>
      <c r="K54" s="203"/>
      <c r="L54" s="701"/>
      <c r="M54" s="702"/>
      <c r="N54" s="703"/>
      <c r="P54" s="603"/>
      <c r="Q54" s="716">
        <v>44407</v>
      </c>
      <c r="R54" s="270" cm="1">
        <f t="array" ref="R54">_xll.d.Dates_Act365(Q53,Q54)</f>
        <v>0.24931506849315069</v>
      </c>
      <c r="S54" s="598">
        <f ca="1"/>
        <v>6.2100000000003784E-2</v>
      </c>
      <c r="T54" s="718">
        <f ca="1"/>
        <v>0.91056027364563519</v>
      </c>
      <c r="U54" s="730"/>
      <c r="V54" s="730"/>
      <c r="W54" s="730"/>
      <c r="X54" s="730"/>
      <c r="Y54" s="730"/>
      <c r="Z54" s="202"/>
      <c r="AA54" s="203"/>
      <c r="AB54" s="762" t="s">
        <v>53</v>
      </c>
      <c r="AC54" s="266">
        <v>1.16E-3</v>
      </c>
      <c r="AD54" s="205" t="b">
        <v>1</v>
      </c>
      <c r="AE54" s="430"/>
      <c r="AF54" s="494" t="s">
        <v>22</v>
      </c>
      <c r="AG54" s="615" t="s">
        <v>65</v>
      </c>
      <c r="AH54" s="615" t="s">
        <v>66</v>
      </c>
      <c r="AI54" s="616" t="s">
        <v>67</v>
      </c>
      <c r="AO54" s="202"/>
      <c r="AP54" s="203"/>
      <c r="AQ54" s="250" t="s">
        <v>24</v>
      </c>
      <c r="AR54" s="251">
        <v>0.1</v>
      </c>
      <c r="AS54" s="252" t="b">
        <v>1</v>
      </c>
      <c r="AU54" s="601">
        <f ca="1"/>
        <v>45719</v>
      </c>
      <c r="AV54" s="270" cm="1">
        <f t="array" aca="1" ref="AV54" ca="1">_xll.d.Dates_Act365(AU53,AU54)</f>
        <v>0.24931506849315069</v>
      </c>
      <c r="AW54" s="598">
        <f ca="1"/>
        <v>0.1000000000000389</v>
      </c>
      <c r="AX54" s="125">
        <f ca="1"/>
        <v>0.76168667907320275</v>
      </c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</row>
    <row r="55" spans="2:83">
      <c r="F55" s="602">
        <v>45810</v>
      </c>
      <c r="G55" s="190" cm="1">
        <f t="array" ref="G55">_xll.d.Dates_Act365(F54,F55)</f>
        <v>0.24931506849315069</v>
      </c>
      <c r="H55" s="599">
        <f ca="1"/>
        <v>0.1000000000000389</v>
      </c>
      <c r="I55" s="127">
        <f ca="1"/>
        <v>0.7431586149738475</v>
      </c>
      <c r="J55" s="202"/>
      <c r="K55" s="203"/>
      <c r="L55" s="12" t="s">
        <v>40</v>
      </c>
      <c r="M55" s="27"/>
      <c r="N55" s="13"/>
      <c r="Q55" s="716">
        <v>44498</v>
      </c>
      <c r="R55" s="270" cm="1">
        <f t="array" ref="R55">_xll.d.Dates_Act365(Q54,Q55)</f>
        <v>0.24931506849315069</v>
      </c>
      <c r="S55" s="598">
        <f ca="1"/>
        <v>6.2600000000000391E-2</v>
      </c>
      <c r="T55" s="718">
        <f ca="1"/>
        <v>0.89656743514954496</v>
      </c>
      <c r="U55" s="730"/>
      <c r="V55" s="730"/>
      <c r="W55" s="730"/>
      <c r="X55" s="730"/>
      <c r="Y55" s="730"/>
      <c r="Z55" s="202"/>
      <c r="AA55" s="203"/>
      <c r="AB55" s="762" t="s">
        <v>572</v>
      </c>
      <c r="AC55" s="266">
        <v>1.6000000000000001E-3</v>
      </c>
      <c r="AD55" s="205" t="b">
        <v>1</v>
      </c>
      <c r="AE55" s="430"/>
      <c r="AF55" s="617" t="s">
        <v>48</v>
      </c>
      <c r="AG55" s="726">
        <f ca="1">SUMPRODUCT(AG44,AH44,AI44)/SUMPRODUCT(AG44,AI44)</f>
        <v>6.9132110391697827E-4</v>
      </c>
      <c r="AH55" s="726">
        <f>AC51</f>
        <v>6.9000000000000008E-4</v>
      </c>
      <c r="AI55" s="194" t="str" cm="1">
        <f t="array" aca="1" ref="AI55" ca="1">_xll.d.TestUtils_Equal(AG55,AH55,$AH$29)</f>
        <v>Ok</v>
      </c>
      <c r="AO55" s="202"/>
      <c r="AP55" s="203"/>
      <c r="AU55" s="602">
        <f ca="1"/>
        <v>45810</v>
      </c>
      <c r="AV55" s="190" cm="1">
        <f t="array" aca="1" ref="AV55" ca="1">_xll.d.Dates_Act365(AU54,AU55)</f>
        <v>0.24931506849315069</v>
      </c>
      <c r="AW55" s="599">
        <f ca="1"/>
        <v>0.1000000000000389</v>
      </c>
      <c r="AX55" s="127">
        <f ca="1"/>
        <v>0.7431586149738475</v>
      </c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</row>
    <row r="56" spans="2:83">
      <c r="J56" s="202"/>
      <c r="K56" s="203"/>
      <c r="L56" s="61" t="s">
        <v>35</v>
      </c>
      <c r="M56" s="62" t="s">
        <v>36</v>
      </c>
      <c r="N56" s="63" t="s">
        <v>42</v>
      </c>
      <c r="Q56" s="716">
        <v>44592</v>
      </c>
      <c r="R56" s="270" cm="1">
        <f t="array" ref="R56">_xll.d.Dates_Act365(Q55,Q56)</f>
        <v>0.25753424657534246</v>
      </c>
      <c r="S56" s="598">
        <f ca="1"/>
        <v>6.3199999999999007E-2</v>
      </c>
      <c r="T56" s="718">
        <f ca="1"/>
        <v>0.88220846515019113</v>
      </c>
      <c r="U56" s="730"/>
      <c r="V56" s="730"/>
      <c r="W56" s="730"/>
      <c r="X56" s="730"/>
      <c r="Y56" s="730"/>
      <c r="Z56" s="202"/>
      <c r="AA56" s="203"/>
      <c r="AB56" s="762" t="s">
        <v>578</v>
      </c>
      <c r="AC56" s="266">
        <v>2.1299999999999999E-3</v>
      </c>
      <c r="AD56" s="205" t="b">
        <v>1</v>
      </c>
      <c r="AE56" s="430"/>
      <c r="AF56" s="733" t="s">
        <v>49</v>
      </c>
      <c r="AG56" s="734">
        <f t="array" aca="1" ref="AG56" ca="1">SUMPRODUCT(AG44:AG45,AH44:AH45,AI44:AI45)/SUMPRODUCT(AG44:AG45,AI44:AI45)</f>
        <v>8.3563687372424135E-4</v>
      </c>
      <c r="AH56" s="734">
        <f>AC53</f>
        <v>8.3000000000000001E-4</v>
      </c>
      <c r="AI56" s="194" t="str" cm="1">
        <f t="array" aca="1" ref="AI56" ca="1">_xll.d.TestUtils_Equal(AG56,AH56,$AH$29)</f>
        <v>Ok</v>
      </c>
      <c r="AO56" s="202"/>
      <c r="AP56" s="203"/>
      <c r="AQ56" s="12" t="s">
        <v>34</v>
      </c>
      <c r="AR56" s="13"/>
      <c r="AS56" s="13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</row>
    <row r="57" spans="2:83">
      <c r="E57" s="143"/>
      <c r="F57" s="285" t="s">
        <v>537</v>
      </c>
      <c r="G57" s="286"/>
      <c r="H57" s="286"/>
      <c r="I57" s="287"/>
      <c r="J57" s="202"/>
      <c r="K57" s="203"/>
      <c r="L57" s="709" t="s">
        <v>53</v>
      </c>
      <c r="M57" s="710">
        <v>6.3899999999999998E-2</v>
      </c>
      <c r="N57" s="216" t="b">
        <v>1</v>
      </c>
      <c r="Q57" s="716">
        <v>44680</v>
      </c>
      <c r="R57" s="270" cm="1">
        <f t="array" ref="R57">_xll.d.Dates_Act365(Q56,Q57)</f>
        <v>0.24109589041095891</v>
      </c>
      <c r="S57" s="598">
        <f ca="1"/>
        <v>6.5646944640344859E-2</v>
      </c>
      <c r="T57" s="718">
        <f ca="1"/>
        <v>0.8684631182417123</v>
      </c>
      <c r="U57" s="730"/>
      <c r="V57" s="730"/>
      <c r="W57" s="730"/>
      <c r="X57" s="730"/>
      <c r="Y57" s="730"/>
      <c r="Z57" s="202"/>
      <c r="AA57" s="203"/>
      <c r="AB57" s="762" t="s">
        <v>580</v>
      </c>
      <c r="AC57" s="266">
        <v>3.14E-3</v>
      </c>
      <c r="AD57" s="205" t="b">
        <v>1</v>
      </c>
      <c r="AE57" s="430"/>
      <c r="AF57" s="735" t="s">
        <v>53</v>
      </c>
      <c r="AG57" s="734">
        <f ca="1">SUMPRODUCT(AG44:AG46,AH44:AH46,AI44:AI46)/SUMPRODUCT(AG44:AG46,AI44:AI46)</f>
        <v>1.1655852631745052E-3</v>
      </c>
      <c r="AH57" s="736">
        <f>AC54</f>
        <v>1.16E-3</v>
      </c>
      <c r="AI57" s="194" t="str" cm="1">
        <f t="array" aca="1" ref="AI57" ca="1">_xll.d.TestUtils_Equal(AG57,AH57,$AH$29)</f>
        <v>Ok</v>
      </c>
      <c r="AO57" s="202"/>
      <c r="AP57" s="203"/>
      <c r="AQ57" s="61" t="s">
        <v>191</v>
      </c>
      <c r="AR57" s="62" t="s">
        <v>36</v>
      </c>
      <c r="AS57" s="63" t="s">
        <v>42</v>
      </c>
      <c r="AT57" s="143"/>
      <c r="AU57" s="285" t="s">
        <v>537</v>
      </c>
      <c r="AV57" s="286"/>
      <c r="AW57" s="286"/>
      <c r="AX57" s="287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</row>
    <row r="58" spans="2:83">
      <c r="F58" s="494" t="s">
        <v>22</v>
      </c>
      <c r="G58" s="615" t="s">
        <v>65</v>
      </c>
      <c r="H58" s="615" t="s">
        <v>66</v>
      </c>
      <c r="I58" s="616" t="s">
        <v>67</v>
      </c>
      <c r="J58" s="202"/>
      <c r="K58" s="203"/>
      <c r="L58" s="704" t="s">
        <v>572</v>
      </c>
      <c r="M58" s="699">
        <v>6.5199999999999994E-2</v>
      </c>
      <c r="N58" s="219" t="b">
        <v>1</v>
      </c>
      <c r="Q58" s="716">
        <v>44771</v>
      </c>
      <c r="R58" s="270" cm="1">
        <f t="array" ref="R58">_xll.d.Dates_Act365(Q57,Q58)</f>
        <v>0.24931506849315069</v>
      </c>
      <c r="S58" s="598">
        <f ca="1"/>
        <v>6.5664565447619103E-2</v>
      </c>
      <c r="T58" s="718">
        <f ca="1"/>
        <v>0.8544743766924553</v>
      </c>
      <c r="U58" s="730"/>
      <c r="V58" s="730"/>
      <c r="W58" s="730"/>
      <c r="X58" s="730"/>
      <c r="Y58" s="730"/>
      <c r="Z58" s="202"/>
      <c r="AA58" s="203"/>
      <c r="AB58" s="762" t="s">
        <v>587</v>
      </c>
      <c r="AC58" s="266">
        <v>4.3299999999999996E-3</v>
      </c>
      <c r="AD58" s="205" t="b">
        <v>1</v>
      </c>
      <c r="AE58" s="430"/>
      <c r="AF58" s="733" t="s">
        <v>572</v>
      </c>
      <c r="AG58" s="734">
        <f ca="1">SUMPRODUCT(AG$44:AG47,AH$44:AH47,AI$44:AI47)/SUMPRODUCT(AG$44:AG47,AI$44:AI47)</f>
        <v>1.608401600527463E-3</v>
      </c>
      <c r="AH58" s="734">
        <f>AC55</f>
        <v>1.6000000000000001E-3</v>
      </c>
      <c r="AI58" s="194" t="str" cm="1">
        <f t="array" aca="1" ref="AI58" ca="1">_xll.d.TestUtils_Equal(AG58,AH58,$AH$29)</f>
        <v>Ok</v>
      </c>
      <c r="AJ58" s="760"/>
      <c r="AO58" s="202"/>
      <c r="AP58" s="203"/>
      <c r="AQ58" s="253" t="s">
        <v>192</v>
      </c>
      <c r="AR58" s="244">
        <v>0.1</v>
      </c>
      <c r="AS58" s="243" t="b">
        <v>1</v>
      </c>
      <c r="AU58" s="494" t="s">
        <v>22</v>
      </c>
      <c r="AV58" s="615" t="s">
        <v>65</v>
      </c>
      <c r="AW58" s="615" t="s">
        <v>66</v>
      </c>
      <c r="AX58" s="616" t="s">
        <v>67</v>
      </c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</row>
    <row r="59" spans="2:83">
      <c r="F59" s="617" t="s">
        <v>49</v>
      </c>
      <c r="G59" s="193">
        <f ca="1">SUMPRODUCT(G44:G51,H44:H51,I44:I51)/SUMPRODUCT(G44:G51,I44:I51)</f>
        <v>9.999999999999995E-2</v>
      </c>
      <c r="H59" s="193">
        <f>C53</f>
        <v>0.1</v>
      </c>
      <c r="I59" s="194" t="str" cm="1">
        <f t="array" aca="1" ref="I59" ca="1">_xll.d.TestUtils_Equal(G59,H59,$G$28)</f>
        <v>Ok</v>
      </c>
      <c r="J59" s="202"/>
      <c r="K59" s="203"/>
      <c r="L59" s="731" t="s">
        <v>578</v>
      </c>
      <c r="M59" s="699">
        <v>6.6600000000000006E-2</v>
      </c>
      <c r="N59" s="219" t="b">
        <v>1</v>
      </c>
      <c r="Q59" s="716">
        <v>44865</v>
      </c>
      <c r="R59" s="270" cm="1">
        <f t="array" ref="R59">_xll.d.Dates_Act365(Q58,Q59)</f>
        <v>0.25753424657534246</v>
      </c>
      <c r="S59" s="598">
        <f ca="1"/>
        <v>6.5682192553250654E-2</v>
      </c>
      <c r="T59" s="718">
        <f ca="1"/>
        <v>0.84026101379899365</v>
      </c>
      <c r="U59" s="730"/>
      <c r="V59" s="730"/>
      <c r="W59" s="730"/>
      <c r="X59" s="730"/>
      <c r="Y59" s="730"/>
      <c r="Z59" s="202"/>
      <c r="AA59" s="203"/>
      <c r="AB59" s="762" t="s">
        <v>588</v>
      </c>
      <c r="AC59" s="266">
        <v>4.8799999999999998E-3</v>
      </c>
      <c r="AD59" s="205" t="b">
        <v>1</v>
      </c>
      <c r="AE59" s="430"/>
      <c r="AF59" s="735" t="s">
        <v>578</v>
      </c>
      <c r="AG59" s="734">
        <f ca="1">SUMPRODUCT(AG$44:AG48,AH$44:AH48,AI$44:AI48)/SUMPRODUCT(AG$44:AG48,AI$44:AI48)</f>
        <v>2.1354049228864951E-3</v>
      </c>
      <c r="AH59" s="736">
        <f>AC56</f>
        <v>2.1299999999999999E-3</v>
      </c>
      <c r="AI59" s="194" t="str" cm="1">
        <f t="array" aca="1" ref="AI59" ca="1">_xll.d.TestUtils_Equal(AG59,AH59,$AH$29)</f>
        <v>Ok</v>
      </c>
      <c r="AJ59" s="760"/>
      <c r="AO59" s="202"/>
      <c r="AP59" s="203"/>
      <c r="AQ59" s="254" t="s">
        <v>193</v>
      </c>
      <c r="AR59" s="239">
        <v>0.1</v>
      </c>
      <c r="AS59" s="240" t="b">
        <v>1</v>
      </c>
      <c r="AU59" s="617" t="s">
        <v>49</v>
      </c>
      <c r="AV59" s="193">
        <f ca="1">SUMPRODUCT(AV44:AV51,AW44:AW51,AX44:AX51)/SUMPRODUCT(AV44:AV51,AX44:AX51)</f>
        <v>9.999999999999995E-2</v>
      </c>
      <c r="AW59" s="193">
        <f ca="1">AR64</f>
        <v>0.1</v>
      </c>
      <c r="AX59" s="194" t="str" cm="1">
        <f t="array" aca="1" ref="AX59" ca="1">_xll.d.TestUtils_Equal(AV59,AW59,$G$28)</f>
        <v>Ok</v>
      </c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</row>
    <row r="60" spans="2:83">
      <c r="B60" s="430"/>
      <c r="C60" s="430"/>
      <c r="D60" s="430"/>
      <c r="E60" s="430"/>
      <c r="F60" s="618" t="s">
        <v>53</v>
      </c>
      <c r="G60" s="619">
        <f ca="1">SUMPRODUCT(G44:G55,H44:H55,I44:I55)/SUMPRODUCT(G44:G55,I44:I55)</f>
        <v>0.10000000000001162</v>
      </c>
      <c r="H60" s="619">
        <f>C54</f>
        <v>0.1</v>
      </c>
      <c r="I60" s="194" t="str" cm="1">
        <f t="array" aca="1" ref="I60" ca="1">_xll.d.TestUtils_Equal(G60,H60,$G$28)</f>
        <v>Ok</v>
      </c>
      <c r="J60" s="202"/>
      <c r="K60" s="203"/>
      <c r="L60" s="731" t="s">
        <v>579</v>
      </c>
      <c r="M60" s="699">
        <v>6.83E-2</v>
      </c>
      <c r="N60" s="219" t="b">
        <v>1</v>
      </c>
      <c r="Q60" s="716">
        <v>44957</v>
      </c>
      <c r="R60" s="270" cm="1">
        <f t="array" ref="R60">_xll.d.Dates_Act365(Q59,Q60)</f>
        <v>0.25205479452054796</v>
      </c>
      <c r="S60" s="598">
        <f ca="1"/>
        <v>6.567044044955346E-2</v>
      </c>
      <c r="T60" s="718">
        <f ca="1"/>
        <v>0.82657902369806091</v>
      </c>
      <c r="U60" s="730"/>
      <c r="V60" s="730"/>
      <c r="W60" s="730"/>
      <c r="X60" s="730"/>
      <c r="Y60" s="730"/>
      <c r="Z60" s="202"/>
      <c r="AA60" s="203"/>
      <c r="AB60" s="762" t="s">
        <v>589</v>
      </c>
      <c r="AC60" s="266">
        <v>5.3300000000000005E-3</v>
      </c>
      <c r="AD60" s="205" t="b">
        <v>1</v>
      </c>
      <c r="AE60" s="430"/>
      <c r="AF60" s="618" t="s">
        <v>580</v>
      </c>
      <c r="AG60" s="727">
        <f ca="1">SUMPRODUCT(AG$44:AG50,AH$44:AH50,AI$44:AI50)/SUMPRODUCT(AG$44:AG50,AI$44:AI50)</f>
        <v>3.1450099283539404E-3</v>
      </c>
      <c r="AH60" s="727">
        <f>AC57</f>
        <v>3.14E-3</v>
      </c>
      <c r="AI60" s="194" t="str" cm="1">
        <f t="array" aca="1" ref="AI60" ca="1">_xll.d.TestUtils_Equal(AG60,AH60,$AH$29)</f>
        <v>Ok</v>
      </c>
      <c r="AJ60" s="760"/>
      <c r="AO60" s="202"/>
      <c r="AP60" s="203"/>
      <c r="AQ60" s="255" t="s">
        <v>194</v>
      </c>
      <c r="AR60" s="241">
        <v>0.1</v>
      </c>
      <c r="AS60" s="242" t="b">
        <v>1</v>
      </c>
      <c r="AU60" s="618" t="s">
        <v>53</v>
      </c>
      <c r="AV60" s="619">
        <f ca="1">SUMPRODUCT(AV44:AV55,AW44:AW55,AX44:AX55)/SUMPRODUCT(AV44:AV55,AX44:AX55)</f>
        <v>0.10000000000001162</v>
      </c>
      <c r="AW60" s="619">
        <f ca="1">AR65</f>
        <v>0.1</v>
      </c>
      <c r="AX60" s="194" t="str" cm="1">
        <f t="array" aca="1" ref="AX60" ca="1">_xll.d.TestUtils_Equal(AV60,AW60,$G$28)</f>
        <v>Ok</v>
      </c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</row>
    <row r="61" spans="2:83">
      <c r="B61" s="430"/>
      <c r="C61" s="430"/>
      <c r="D61" s="430"/>
      <c r="E61" s="430"/>
      <c r="J61" s="202"/>
      <c r="K61" s="203"/>
      <c r="L61" s="731" t="s">
        <v>580</v>
      </c>
      <c r="M61" s="699">
        <v>6.9900000000000004E-2</v>
      </c>
      <c r="N61" s="219" t="b">
        <v>1</v>
      </c>
      <c r="Q61" s="716">
        <v>45044</v>
      </c>
      <c r="R61" s="270" cm="1">
        <f t="array" ref="R61">_xll.d.Dates_Act365(Q60,Q61)</f>
        <v>0.23835616438356164</v>
      </c>
      <c r="S61" s="598">
        <f ca="1"/>
        <v>6.9627409251456204E-2</v>
      </c>
      <c r="T61" s="718">
        <f ca="1"/>
        <v>0.81308496623525706</v>
      </c>
      <c r="U61" s="730"/>
      <c r="V61" s="730"/>
      <c r="W61" s="730"/>
      <c r="X61" s="730"/>
      <c r="Y61" s="730"/>
      <c r="Z61" s="202"/>
      <c r="AA61" s="203"/>
      <c r="AB61" s="762" t="s">
        <v>590</v>
      </c>
      <c r="AC61" s="266">
        <v>5.8499999999999993E-3</v>
      </c>
      <c r="AD61" s="205" t="b">
        <v>1</v>
      </c>
      <c r="AE61" s="430"/>
      <c r="AF61" s="430"/>
      <c r="AG61" s="430"/>
      <c r="AH61" s="430"/>
      <c r="AI61" s="430"/>
      <c r="AJ61" s="760"/>
      <c r="AO61" s="202"/>
      <c r="AP61" s="203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</row>
    <row r="62" spans="2:83">
      <c r="B62" s="430"/>
      <c r="C62" s="430"/>
      <c r="D62" s="430"/>
      <c r="E62" s="430"/>
      <c r="F62" t="s">
        <v>200</v>
      </c>
      <c r="J62" s="202"/>
      <c r="K62" s="203"/>
      <c r="L62" s="732" t="s">
        <v>581</v>
      </c>
      <c r="M62" s="711">
        <v>7.17E-2</v>
      </c>
      <c r="N62" s="218" t="b">
        <v>1</v>
      </c>
      <c r="Q62" s="716">
        <v>45138</v>
      </c>
      <c r="R62" s="270" cm="1">
        <f t="array" ref="R62">_xll.d.Dates_Act365(Q61,Q62)</f>
        <v>0.25753424657534246</v>
      </c>
      <c r="S62" s="598">
        <f ca="1"/>
        <v>6.9673662080457208E-2</v>
      </c>
      <c r="T62" s="718">
        <f ca="1"/>
        <v>0.79875266436418613</v>
      </c>
      <c r="U62" s="730"/>
      <c r="V62" s="730"/>
      <c r="W62" s="730"/>
      <c r="X62" s="730"/>
      <c r="Y62" s="730"/>
      <c r="Z62" s="202"/>
      <c r="AA62" s="203"/>
      <c r="AB62" s="762" t="s">
        <v>591</v>
      </c>
      <c r="AC62" s="266">
        <v>6.0599999999999994E-3</v>
      </c>
      <c r="AD62" s="205" t="b">
        <v>1</v>
      </c>
      <c r="AE62" s="430"/>
      <c r="AF62" s="289" t="s">
        <v>200</v>
      </c>
      <c r="AG62" s="430"/>
      <c r="AH62" s="430"/>
      <c r="AI62" s="430"/>
      <c r="AJ62" s="760"/>
      <c r="AO62" s="202"/>
      <c r="AP62" s="203"/>
      <c r="AQ62" s="12" t="s">
        <v>40</v>
      </c>
      <c r="AR62" s="13"/>
      <c r="AS62" s="13"/>
      <c r="AU62" s="430" t="s">
        <v>200</v>
      </c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</row>
    <row r="63" spans="2:83">
      <c r="B63" s="430"/>
      <c r="C63" s="430"/>
      <c r="D63" s="430"/>
      <c r="E63" s="430"/>
      <c r="F63" s="259" t="s">
        <v>199</v>
      </c>
      <c r="J63" s="202"/>
      <c r="K63" s="203"/>
      <c r="Q63" s="716">
        <v>45230</v>
      </c>
      <c r="R63" s="270" cm="1">
        <f t="array" ref="R63">_xll.d.Dates_Act365(Q62,Q63)</f>
        <v>0.25205479452054796</v>
      </c>
      <c r="S63" s="598">
        <f ca="1"/>
        <v>6.9660442813186355E-2</v>
      </c>
      <c r="T63" s="718">
        <f ca="1"/>
        <v>0.78496996654839757</v>
      </c>
      <c r="U63" s="730"/>
      <c r="V63" s="730"/>
      <c r="W63" s="730"/>
      <c r="X63" s="730"/>
      <c r="Y63" s="730"/>
      <c r="Z63" s="202"/>
      <c r="AA63" s="203"/>
      <c r="AB63" s="763" t="s">
        <v>592</v>
      </c>
      <c r="AC63" s="267">
        <v>6.0999999999999995E-3</v>
      </c>
      <c r="AD63" s="206" t="b">
        <v>1</v>
      </c>
      <c r="AE63" s="430"/>
      <c r="AF63" s="259" t="s">
        <v>199</v>
      </c>
      <c r="AG63" s="430"/>
      <c r="AH63" s="430"/>
      <c r="AI63" s="430"/>
      <c r="AJ63" s="760"/>
      <c r="AO63" s="202"/>
      <c r="AP63" s="203"/>
      <c r="AQ63" s="61" t="s">
        <v>35</v>
      </c>
      <c r="AR63" s="62" t="s">
        <v>36</v>
      </c>
      <c r="AS63" s="63" t="s">
        <v>42</v>
      </c>
      <c r="AU63" s="259" t="s">
        <v>199</v>
      </c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</row>
    <row r="64" spans="2:83">
      <c r="B64" s="430"/>
      <c r="C64" s="430"/>
      <c r="D64" s="430"/>
      <c r="E64" s="430"/>
      <c r="J64" s="202"/>
      <c r="K64" s="203"/>
      <c r="Q64" s="716">
        <v>45322</v>
      </c>
      <c r="R64" s="270" cm="1">
        <f t="array" ref="R64">_xll.d.Dates_Act365(Q63,Q64)</f>
        <v>0.25205479452054796</v>
      </c>
      <c r="S64" s="598">
        <f ca="1"/>
        <v>6.9660442813186355E-2</v>
      </c>
      <c r="T64" s="718">
        <f ca="1"/>
        <v>0.77142509298979944</v>
      </c>
      <c r="U64" s="730"/>
      <c r="V64" s="730"/>
      <c r="W64" s="730"/>
      <c r="X64" s="730"/>
      <c r="Y64" s="730"/>
      <c r="Z64" s="202"/>
      <c r="AA64" s="203"/>
      <c r="AB64" s="1"/>
      <c r="AO64" s="202"/>
      <c r="AP64" s="203"/>
      <c r="AQ64" s="215" t="s">
        <v>49</v>
      </c>
      <c r="AR64" s="220">
        <v>0.1</v>
      </c>
      <c r="AS64" s="216" t="b">
        <v>1</v>
      </c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</row>
    <row r="65" spans="2:59">
      <c r="B65" s="430"/>
      <c r="C65" s="430"/>
      <c r="D65" s="430"/>
      <c r="E65" s="430"/>
      <c r="F65" s="259"/>
      <c r="G65" s="430"/>
      <c r="H65" s="430"/>
      <c r="I65" s="430"/>
      <c r="K65" s="203"/>
      <c r="Q65" s="716">
        <v>45412</v>
      </c>
      <c r="R65" s="270" cm="1">
        <f t="array" ref="R65">_xll.d.Dates_Act365(Q64,Q65)</f>
        <v>0.24657534246575341</v>
      </c>
      <c r="S65" s="598">
        <f ca="1"/>
        <v>7.3227894012922207E-2</v>
      </c>
      <c r="T65" s="718">
        <f ca="1"/>
        <v>0.75774313663670723</v>
      </c>
      <c r="U65" s="730"/>
      <c r="V65" s="730"/>
      <c r="W65" s="730"/>
      <c r="X65" s="730"/>
      <c r="Y65" s="730"/>
      <c r="Z65" s="202"/>
      <c r="AA65" s="203"/>
      <c r="AB65" s="1"/>
      <c r="AO65" s="202"/>
      <c r="AP65" s="203"/>
      <c r="AQ65" s="217" t="s">
        <v>53</v>
      </c>
      <c r="AR65" s="222">
        <v>0.1</v>
      </c>
      <c r="AS65" s="218" t="b">
        <v>1</v>
      </c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</row>
    <row r="66" spans="2:59">
      <c r="B66" s="430"/>
      <c r="C66" s="430"/>
      <c r="D66" s="430"/>
      <c r="E66" s="430"/>
      <c r="F66" s="259"/>
      <c r="G66" s="430"/>
      <c r="H66" s="430"/>
      <c r="I66" s="430"/>
      <c r="K66" s="203"/>
      <c r="Q66" s="716">
        <v>45504</v>
      </c>
      <c r="R66" s="270" cm="1">
        <f t="array" ref="R66">_xll.d.Dates_Act365(Q65,Q66)</f>
        <v>0.25205479452054796</v>
      </c>
      <c r="S66" s="598">
        <f ca="1"/>
        <v>7.3242499618464976E-2</v>
      </c>
      <c r="T66" s="718">
        <f ca="1"/>
        <v>0.74400791486493201</v>
      </c>
      <c r="U66" s="730"/>
      <c r="V66" s="730"/>
      <c r="W66" s="730"/>
      <c r="X66" s="730"/>
      <c r="Y66" s="730"/>
      <c r="Z66" s="202"/>
      <c r="AA66" s="203"/>
      <c r="AO66" s="202"/>
      <c r="AP66" s="203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</row>
    <row r="67" spans="2:59">
      <c r="B67" s="430"/>
      <c r="C67" s="430"/>
      <c r="D67" s="430"/>
      <c r="E67" s="430"/>
      <c r="F67" s="259"/>
      <c r="G67" s="430"/>
      <c r="H67" s="430"/>
      <c r="I67" s="430"/>
      <c r="K67" s="203"/>
      <c r="L67" s="1"/>
      <c r="Q67" s="716">
        <v>45596</v>
      </c>
      <c r="R67" s="270" cm="1">
        <f t="array" ref="R67">_xll.d.Dates_Act365(Q66,Q67)</f>
        <v>0.25205479452054796</v>
      </c>
      <c r="S67" s="598">
        <f ca="1"/>
        <v>7.3242499618465864E-2</v>
      </c>
      <c r="T67" s="718">
        <f ca="1"/>
        <v>0.7305216644239394</v>
      </c>
      <c r="U67" s="730"/>
      <c r="V67" s="730"/>
      <c r="W67" s="730"/>
      <c r="X67" s="730"/>
      <c r="Y67" s="730"/>
      <c r="Z67" s="202"/>
      <c r="AA67" s="203"/>
      <c r="AF67" s="430"/>
      <c r="AG67" s="430"/>
      <c r="AH67" s="430"/>
      <c r="AI67" s="430"/>
      <c r="AO67" s="202"/>
      <c r="AP67" s="203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</row>
    <row r="68" spans="2:59">
      <c r="B68" s="430"/>
      <c r="C68" s="430"/>
      <c r="D68" s="430"/>
      <c r="E68" s="430"/>
      <c r="F68" s="259"/>
      <c r="G68" s="430"/>
      <c r="H68" s="430"/>
      <c r="I68" s="430"/>
      <c r="K68" s="203"/>
      <c r="Q68" s="716">
        <v>45688</v>
      </c>
      <c r="R68" s="270" cm="1">
        <f t="array" ref="R68">_xll.d.Dates_Act365(Q67,Q68)</f>
        <v>0.25205479452054796</v>
      </c>
      <c r="S68" s="598">
        <f ca="1"/>
        <v>7.3242499618465864E-2</v>
      </c>
      <c r="T68" s="718">
        <f ca="1"/>
        <v>0.7172798723379229</v>
      </c>
      <c r="U68" s="730"/>
      <c r="V68" s="730"/>
      <c r="W68" s="730"/>
      <c r="X68" s="730"/>
      <c r="Y68" s="730"/>
      <c r="Z68" s="202"/>
      <c r="AA68" s="203"/>
      <c r="AF68" s="430"/>
      <c r="AG68" s="430"/>
      <c r="AH68" s="430"/>
      <c r="AI68" s="430"/>
      <c r="AO68" s="202"/>
      <c r="AP68" s="203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</row>
    <row r="69" spans="2:59">
      <c r="B69" s="430"/>
      <c r="C69" s="430"/>
      <c r="D69" s="430"/>
      <c r="E69" s="430"/>
      <c r="F69" s="259"/>
      <c r="G69" s="430"/>
      <c r="H69" s="430"/>
      <c r="I69" s="430"/>
      <c r="K69" s="203"/>
      <c r="Q69" s="716">
        <v>45777</v>
      </c>
      <c r="R69" s="270" cm="1">
        <f t="array" ref="R69">_xll.d.Dates_Act365(Q68,Q69)</f>
        <v>0.24383561643835616</v>
      </c>
      <c r="S69" s="598">
        <f ca="1"/>
        <v>7.8872625681809028E-2</v>
      </c>
      <c r="T69" s="718">
        <f ca="1"/>
        <v>0.70374547089678152</v>
      </c>
      <c r="U69" s="730"/>
      <c r="V69" s="730"/>
      <c r="W69" s="730"/>
      <c r="X69" s="730"/>
      <c r="Y69" s="730"/>
      <c r="Z69" s="202"/>
      <c r="AA69" s="203"/>
      <c r="AF69" s="430"/>
      <c r="AG69" s="430"/>
      <c r="AH69" s="430"/>
      <c r="AI69" s="430"/>
      <c r="AO69" s="202"/>
      <c r="AP69" s="203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</row>
    <row r="70" spans="2:59">
      <c r="B70" s="430"/>
      <c r="C70" s="430"/>
      <c r="D70" s="430"/>
      <c r="E70" s="430"/>
      <c r="F70" s="259"/>
      <c r="G70" s="430"/>
      <c r="H70" s="430"/>
      <c r="I70" s="430"/>
      <c r="J70" s="430"/>
      <c r="K70" s="203"/>
      <c r="Q70" s="716">
        <v>45869</v>
      </c>
      <c r="R70" s="270" cm="1">
        <f t="array" ref="R70">_xll.d.Dates_Act365(Q69,Q70)</f>
        <v>0.25205479452054796</v>
      </c>
      <c r="S70" s="598">
        <f ca="1"/>
        <v>7.8898034102052414E-2</v>
      </c>
      <c r="T70" s="718">
        <f ca="1"/>
        <v>0.69002323565414547</v>
      </c>
      <c r="U70" s="730"/>
      <c r="V70" s="730"/>
      <c r="W70" s="730"/>
      <c r="X70" s="730"/>
      <c r="Y70" s="730"/>
      <c r="Z70" s="202"/>
      <c r="AF70" s="430"/>
      <c r="AG70" s="430"/>
      <c r="AH70" s="430"/>
      <c r="AI70" s="430"/>
      <c r="AO70" s="202"/>
      <c r="AP70" s="203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</row>
    <row r="71" spans="2:59">
      <c r="B71" s="430"/>
      <c r="C71" s="430"/>
      <c r="D71" s="430"/>
      <c r="E71" s="430"/>
      <c r="F71" s="259"/>
      <c r="G71" s="430"/>
      <c r="H71" s="430"/>
      <c r="I71" s="430"/>
      <c r="J71" s="430"/>
      <c r="K71" s="203"/>
      <c r="L71" s="8"/>
      <c r="Q71" s="716">
        <v>45961</v>
      </c>
      <c r="R71" s="270" cm="1">
        <f t="array" ref="R71">_xll.d.Dates_Act365(Q70,Q71)</f>
        <v>0.25205479452054796</v>
      </c>
      <c r="S71" s="598">
        <f ca="1"/>
        <v>7.8898034102052414E-2</v>
      </c>
      <c r="T71" s="718">
        <f ca="1"/>
        <v>0.67656856837157653</v>
      </c>
      <c r="U71" s="730"/>
      <c r="V71" s="730"/>
      <c r="W71" s="730"/>
      <c r="X71" s="730"/>
      <c r="Y71" s="730"/>
      <c r="Z71" s="202"/>
      <c r="AF71" s="430"/>
      <c r="AG71" s="430"/>
      <c r="AH71" s="430"/>
      <c r="AI71" s="430"/>
      <c r="AO71" s="202"/>
      <c r="AP71" s="203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</row>
    <row r="72" spans="2:59">
      <c r="B72" s="430"/>
      <c r="C72" s="430"/>
      <c r="D72" s="430"/>
      <c r="E72" s="430"/>
      <c r="F72" s="259"/>
      <c r="G72" s="430"/>
      <c r="H72" s="430"/>
      <c r="I72" s="430"/>
      <c r="J72" s="430"/>
      <c r="K72" s="203"/>
      <c r="L72" s="8"/>
      <c r="Q72" s="716">
        <v>46052</v>
      </c>
      <c r="R72" s="270" cm="1">
        <f t="array" ref="R72">_xll.d.Dates_Act365(Q71,Q72)</f>
        <v>0.24931506849315069</v>
      </c>
      <c r="S72" s="598">
        <f ca="1"/>
        <v>7.8889563418133274E-2</v>
      </c>
      <c r="T72" s="718">
        <f ca="1"/>
        <v>0.66351825452723412</v>
      </c>
      <c r="U72" s="730"/>
      <c r="V72" s="730"/>
      <c r="W72" s="730"/>
      <c r="X72" s="730"/>
      <c r="Y72" s="730"/>
      <c r="Z72" s="202"/>
      <c r="AO72" s="202"/>
      <c r="AP72" s="203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</row>
    <row r="73" spans="2:59" ht="15.75">
      <c r="B73" s="4" t="s">
        <v>622</v>
      </c>
      <c r="C73" s="4"/>
      <c r="D73" s="4"/>
      <c r="E73" s="4"/>
      <c r="F73" s="4"/>
      <c r="G73" s="4"/>
      <c r="H73" s="4"/>
      <c r="I73" s="4"/>
      <c r="J73" s="430"/>
      <c r="K73" s="203"/>
      <c r="L73" s="8"/>
      <c r="Q73" s="716">
        <v>46142</v>
      </c>
      <c r="R73" s="270" cm="1">
        <f t="array" ref="R73">_xll.d.Dates_Act365(Q72,Q73)</f>
        <v>0.24657534246575341</v>
      </c>
      <c r="S73" s="598">
        <f ca="1"/>
        <v>8.2421416322325455E-2</v>
      </c>
      <c r="T73" s="718">
        <f ca="1"/>
        <v>0.65030210695910651</v>
      </c>
      <c r="U73" s="730"/>
      <c r="V73" s="730"/>
      <c r="W73" s="730"/>
      <c r="X73" s="730"/>
      <c r="Y73" s="730"/>
      <c r="Z73" s="202"/>
      <c r="AO73" s="202"/>
      <c r="AP73" s="203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</row>
    <row r="74" spans="2:59">
      <c r="B74" s="430"/>
      <c r="C74" s="430"/>
      <c r="D74" s="430"/>
      <c r="E74" s="430"/>
      <c r="J74" s="430"/>
      <c r="K74" s="203"/>
      <c r="L74" s="8"/>
      <c r="Q74" s="716">
        <v>46234</v>
      </c>
      <c r="R74" s="270" cm="1">
        <f t="array" ref="R74">_xll.d.Dates_Act365(Q73,Q74)</f>
        <v>0.25205479452054796</v>
      </c>
      <c r="S74" s="598">
        <f ca="1"/>
        <v>8.2439906018469941E-2</v>
      </c>
      <c r="T74" s="718">
        <f ca="1"/>
        <v>0.63706430967903849</v>
      </c>
      <c r="U74" s="730"/>
      <c r="V74" s="730"/>
      <c r="W74" s="730"/>
      <c r="X74" s="730"/>
      <c r="Y74" s="730"/>
      <c r="Z74" s="202"/>
      <c r="AO74" s="202"/>
      <c r="AP74" s="203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</row>
    <row r="75" spans="2:59">
      <c r="B75" s="50" t="s">
        <v>106</v>
      </c>
      <c r="C75" s="291" t="str" cm="1">
        <f t="array" aca="1" ref="C75" ca="1">_xll.d.TestUtils_And(F86:F98)</f>
        <v>Ok</v>
      </c>
      <c r="D75" s="289"/>
      <c r="E75" s="289"/>
      <c r="F75" s="289"/>
      <c r="H75" s="50" t="s">
        <v>106</v>
      </c>
      <c r="I75" s="291" t="str" cm="1">
        <f t="array" aca="1" ref="I75" ca="1">_xll.d.TestUtils_And(L86:L98)</f>
        <v>Error</v>
      </c>
      <c r="J75" s="289"/>
      <c r="K75" s="289"/>
      <c r="L75" s="289"/>
      <c r="Q75" s="716">
        <v>46325</v>
      </c>
      <c r="R75" s="270" cm="1">
        <f t="array" ref="R75">_xll.d.Dates_Act365(Q74,Q75)</f>
        <v>0.24931506849315069</v>
      </c>
      <c r="S75" s="598">
        <f ca="1"/>
        <v>8.2430660480342144E-2</v>
      </c>
      <c r="T75" s="718">
        <f ca="1"/>
        <v>0.62423551712172753</v>
      </c>
      <c r="U75" s="730"/>
      <c r="V75" s="730"/>
      <c r="W75" s="730"/>
      <c r="X75" s="730"/>
      <c r="Y75" s="730"/>
      <c r="Z75" s="202"/>
      <c r="AO75" s="202"/>
      <c r="AP75" s="203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</row>
    <row r="76" spans="2:59">
      <c r="B76" s="289"/>
      <c r="C76" s="289"/>
      <c r="D76" s="289"/>
      <c r="E76" s="289"/>
      <c r="F76" s="289"/>
      <c r="H76" s="289"/>
      <c r="I76" s="289"/>
      <c r="J76" s="289"/>
      <c r="K76" s="289"/>
      <c r="L76" s="289"/>
      <c r="Q76" s="716">
        <v>46416</v>
      </c>
      <c r="R76" s="270" cm="1">
        <f t="array" ref="R76">_xll.d.Dates_Act365(Q75,Q76)</f>
        <v>0.24931506849315069</v>
      </c>
      <c r="S76" s="598">
        <f ca="1"/>
        <v>8.2430660480341256E-2</v>
      </c>
      <c r="T76" s="718">
        <f ca="1"/>
        <v>0.61166506256260311</v>
      </c>
      <c r="U76" s="730"/>
      <c r="V76" s="730"/>
      <c r="W76" s="730"/>
      <c r="X76" s="730"/>
      <c r="Y76" s="730"/>
      <c r="Z76" s="202"/>
      <c r="AO76" s="202"/>
      <c r="AP76" s="203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</row>
    <row r="77" spans="2:59">
      <c r="B77" s="12" t="s">
        <v>29</v>
      </c>
      <c r="C77" s="27" t="s">
        <v>30</v>
      </c>
      <c r="D77" s="289"/>
      <c r="E77" s="289"/>
      <c r="F77" s="289"/>
      <c r="G77" s="430"/>
      <c r="H77" s="12" t="s">
        <v>29</v>
      </c>
      <c r="I77" s="27" t="s">
        <v>30</v>
      </c>
      <c r="J77" s="289"/>
      <c r="K77" s="289"/>
      <c r="L77" s="289"/>
      <c r="Q77" s="716">
        <v>46507</v>
      </c>
      <c r="R77" s="270" cm="1">
        <f t="array" ref="R77">_xll.d.Dates_Act365(Q76,Q77)</f>
        <v>0.24931506849315069</v>
      </c>
      <c r="S77" s="598">
        <f ca="1"/>
        <v>8.8869984700953766E-2</v>
      </c>
      <c r="T77" s="718">
        <f ca="1"/>
        <v>0.59840639566474352</v>
      </c>
      <c r="U77" s="730"/>
      <c r="V77" s="730"/>
      <c r="W77" s="730"/>
      <c r="X77" s="730"/>
      <c r="Y77" s="730"/>
      <c r="Z77" s="202"/>
      <c r="AO77" s="202"/>
      <c r="AP77" s="203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</row>
    <row r="78" spans="2:59">
      <c r="B78" s="882" t="s">
        <v>3</v>
      </c>
      <c r="C78" s="883" t="s">
        <v>655</v>
      </c>
      <c r="D78" s="289"/>
      <c r="E78" s="289"/>
      <c r="F78" s="289"/>
      <c r="G78" s="430"/>
      <c r="H78" s="882" t="s">
        <v>3</v>
      </c>
      <c r="I78" s="883" t="s">
        <v>762</v>
      </c>
      <c r="J78" s="289"/>
      <c r="K78" s="289"/>
      <c r="L78" s="289"/>
      <c r="Q78" s="716">
        <v>46598</v>
      </c>
      <c r="R78" s="270" cm="1">
        <f t="array" ref="R78">_xll.d.Dates_Act365(Q77,Q78)</f>
        <v>0.24931506849315069</v>
      </c>
      <c r="S78" s="598">
        <f ca="1"/>
        <v>8.8869984700953766E-2</v>
      </c>
      <c r="T78" s="718">
        <f ca="1"/>
        <v>0.58543512829101552</v>
      </c>
      <c r="U78" s="730"/>
      <c r="Z78" s="202"/>
      <c r="AO78" s="202"/>
      <c r="AP78" s="203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</row>
    <row r="79" spans="2:59">
      <c r="B79" s="884" t="s">
        <v>44</v>
      </c>
      <c r="C79" s="885" t="s">
        <v>623</v>
      </c>
      <c r="D79" s="289"/>
      <c r="E79" s="289"/>
      <c r="F79" s="289"/>
      <c r="H79" s="884" t="s">
        <v>44</v>
      </c>
      <c r="I79" s="885" t="s">
        <v>763</v>
      </c>
      <c r="J79" s="289"/>
      <c r="K79" s="289"/>
      <c r="L79" s="289"/>
      <c r="Q79" s="716">
        <v>46689</v>
      </c>
      <c r="R79" s="270" cm="1">
        <f t="array" ref="R79">_xll.d.Dates_Act365(Q78,Q79)</f>
        <v>0.24931506849315069</v>
      </c>
      <c r="S79" s="598">
        <f ca="1"/>
        <v>8.8869984700953766E-2</v>
      </c>
      <c r="T79" s="718">
        <f ca="1"/>
        <v>0.57274503066831239</v>
      </c>
      <c r="U79" s="730"/>
      <c r="Z79" s="202"/>
      <c r="AO79" s="202"/>
      <c r="AP79" s="203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</row>
    <row r="80" spans="2:59">
      <c r="B80" s="886" t="s">
        <v>31</v>
      </c>
      <c r="C80" s="887">
        <v>45016</v>
      </c>
      <c r="D80" s="289"/>
      <c r="E80" s="289"/>
      <c r="F80" s="289"/>
      <c r="H80" s="886" t="s">
        <v>31</v>
      </c>
      <c r="I80" s="887">
        <v>45016</v>
      </c>
      <c r="J80" s="289"/>
      <c r="K80" s="289"/>
      <c r="L80" s="289"/>
      <c r="Q80" s="719">
        <v>46783</v>
      </c>
      <c r="R80" s="631" cm="1">
        <f t="array" ref="R80">_xll.d.Dates_Act365(Q79,Q80)</f>
        <v>0.25753424657534246</v>
      </c>
      <c r="S80" s="720">
        <f ca="1"/>
        <v>8.8902212401088004E-2</v>
      </c>
      <c r="T80" s="319">
        <f ca="1"/>
        <v>0.5599253361228067</v>
      </c>
      <c r="U80" s="730"/>
      <c r="Z80" s="202"/>
      <c r="AO80" s="202"/>
      <c r="AP80" s="203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</row>
    <row r="81" spans="2:59">
      <c r="B81" s="888"/>
      <c r="C81" s="889"/>
      <c r="D81" s="890"/>
      <c r="E81" s="891"/>
      <c r="F81" s="289"/>
      <c r="H81" s="888"/>
      <c r="I81" s="889"/>
      <c r="J81" s="890"/>
      <c r="K81" s="891"/>
      <c r="L81" s="289"/>
      <c r="U81" s="730"/>
      <c r="Z81" s="202"/>
      <c r="AO81" s="202"/>
      <c r="AP81" s="203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</row>
    <row r="82" spans="2:59">
      <c r="B82" s="55" t="s">
        <v>12</v>
      </c>
      <c r="C82" s="207" t="str" cm="1">
        <f t="array" ref="C82">_xll.d.Curve_Get(C78,C79,C80)</f>
        <v>@@OmicronZARSwapCurve::08:30:24</v>
      </c>
      <c r="D82" s="892"/>
      <c r="E82" s="891"/>
      <c r="F82" s="289"/>
      <c r="H82" s="55" t="s">
        <v>12</v>
      </c>
      <c r="I82" s="207" t="str" cm="1">
        <f t="array" ref="I82">_xll.d.Curve_Get(I78,I79,I80)</f>
        <v>@@OmicronUsdSwapCurve::08:30:26:: Instruments with NaNs found</v>
      </c>
      <c r="J82" s="892"/>
      <c r="K82" s="891"/>
      <c r="L82" s="289"/>
      <c r="Q82" s="285" t="s">
        <v>537</v>
      </c>
      <c r="R82" s="286"/>
      <c r="S82" s="286"/>
      <c r="T82" s="287"/>
      <c r="U82" s="730"/>
      <c r="Z82" s="202"/>
      <c r="AO82" s="202"/>
      <c r="AP82" s="203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</row>
    <row r="83" spans="2:59">
      <c r="B83" s="724" t="s">
        <v>670</v>
      </c>
      <c r="C83" s="889"/>
      <c r="D83" s="289"/>
      <c r="E83" s="891"/>
      <c r="F83" s="289"/>
      <c r="H83" s="724" t="s">
        <v>670</v>
      </c>
      <c r="I83" s="889"/>
      <c r="J83" s="289"/>
      <c r="K83" s="891"/>
      <c r="L83" s="289"/>
      <c r="Q83" s="494" t="s">
        <v>22</v>
      </c>
      <c r="R83" s="615" t="s">
        <v>65</v>
      </c>
      <c r="S83" s="615" t="s">
        <v>66</v>
      </c>
      <c r="T83" s="616" t="s">
        <v>67</v>
      </c>
      <c r="U83" s="730"/>
      <c r="Z83" s="202"/>
      <c r="AO83" s="202"/>
      <c r="AP83" s="203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</row>
    <row r="84" spans="2:59">
      <c r="B84" s="49" t="s">
        <v>65</v>
      </c>
      <c r="C84" s="186"/>
      <c r="D84" s="832" t="s">
        <v>66</v>
      </c>
      <c r="E84" s="50"/>
      <c r="F84" s="832" t="s">
        <v>188</v>
      </c>
      <c r="H84" s="49" t="s">
        <v>65</v>
      </c>
      <c r="I84" s="186"/>
      <c r="J84" s="832" t="s">
        <v>66</v>
      </c>
      <c r="K84" s="50"/>
      <c r="L84" s="832" t="s">
        <v>188</v>
      </c>
      <c r="Q84" s="617" t="s">
        <v>53</v>
      </c>
      <c r="R84" s="726">
        <f ca="1">SUMPRODUCT(R49:R60,S49:S60,T49:T60)/SUMPRODUCT(R49:R60,T49:T60)</f>
        <v>6.3900000000075619E-2</v>
      </c>
      <c r="S84" s="726">
        <f t="shared" ref="S84:S89" si="0">M57</f>
        <v>6.3899999999999998E-2</v>
      </c>
      <c r="T84" s="194" t="str" cm="1">
        <f t="array" aca="1" ref="T84" ca="1">_xll.d.TestUtils_Equal(R84,S84,$S$29)</f>
        <v>Ok</v>
      </c>
      <c r="U84" s="730"/>
      <c r="Z84" s="202"/>
      <c r="AO84" s="202"/>
      <c r="AP84" s="203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</row>
    <row r="85" spans="2:59">
      <c r="B85" s="833" t="s">
        <v>0</v>
      </c>
      <c r="C85" s="834" t="s">
        <v>2</v>
      </c>
      <c r="D85" s="835" t="s">
        <v>0</v>
      </c>
      <c r="E85" s="836" t="s">
        <v>2</v>
      </c>
      <c r="F85" s="836"/>
      <c r="H85" s="833" t="s">
        <v>0</v>
      </c>
      <c r="I85" s="834" t="s">
        <v>2</v>
      </c>
      <c r="J85" s="835" t="s">
        <v>0</v>
      </c>
      <c r="K85" s="836" t="s">
        <v>2</v>
      </c>
      <c r="L85" s="836"/>
      <c r="Q85" s="733" t="s">
        <v>572</v>
      </c>
      <c r="R85" s="734">
        <f ca="1">SUMPRODUCT(R49:R64,S49:S64,T49:T64)/SUMPRODUCT(R49:R64,T49:T64)</f>
        <v>6.5199999999998454E-2</v>
      </c>
      <c r="S85" s="734">
        <f t="shared" si="0"/>
        <v>6.5199999999999994E-2</v>
      </c>
      <c r="T85" s="194" t="str" cm="1">
        <f t="array" aca="1" ref="T85" ca="1">_xll.d.TestUtils_Equal(R85,S85,$S$29)</f>
        <v>Ok</v>
      </c>
      <c r="U85" s="730"/>
      <c r="Z85" s="202"/>
      <c r="AO85" s="202"/>
      <c r="AP85" s="203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</row>
    <row r="86" spans="2:59">
      <c r="B86" s="837">
        <f>C80</f>
        <v>45016</v>
      </c>
      <c r="C86" s="838" cm="1">
        <f t="array" aca="1" ref="C86:C98" ca="1">_xll.d.Curve_GetDiscountFactors(C82,B86:B98)</f>
        <v>1</v>
      </c>
      <c r="D86" s="839">
        <f>B86</f>
        <v>45016</v>
      </c>
      <c r="E86" s="840">
        <v>1</v>
      </c>
      <c r="F86" s="163" t="str" cm="1">
        <f t="array" aca="1" ref="F86" ca="1">_xll.d.TestUtils_Equal(C86,E86)</f>
        <v>Ok</v>
      </c>
      <c r="H86" s="837">
        <f>I80</f>
        <v>45016</v>
      </c>
      <c r="I86" s="838" cm="1">
        <f t="array" aca="1" ref="I86:I98" ca="1">_xll.d.Curve_GetDiscountFactors(I82,H86:H98)</f>
        <v>1</v>
      </c>
      <c r="J86" s="839">
        <f>H86</f>
        <v>45016</v>
      </c>
      <c r="K86" s="840">
        <v>1</v>
      </c>
      <c r="L86" s="163" t="str" cm="1">
        <f t="array" aca="1" ref="L86" ca="1">_xll.d.TestUtils_Equal(I86,K86)</f>
        <v>Ok</v>
      </c>
      <c r="Q86" s="735" t="s">
        <v>578</v>
      </c>
      <c r="R86" s="734">
        <f ca="1">SUMPRODUCT(R49:R68,S49:S68,T49:T68)/SUMPRODUCT(R49:R68,T49:T68)</f>
        <v>6.659999999998896E-2</v>
      </c>
      <c r="S86" s="736">
        <f t="shared" si="0"/>
        <v>6.6600000000000006E-2</v>
      </c>
      <c r="T86" s="194" t="str" cm="1">
        <f t="array" aca="1" ref="T86" ca="1">_xll.d.TestUtils_Equal(R86,S86,$S$29)</f>
        <v>Ok</v>
      </c>
      <c r="U86" s="730"/>
      <c r="Z86" s="202"/>
      <c r="AO86" s="202"/>
      <c r="AP86" s="203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</row>
    <row r="87" spans="2:59">
      <c r="B87" s="841">
        <f>EDATE(B86,1)</f>
        <v>45046</v>
      </c>
      <c r="C87" s="842">
        <f ca="1"/>
        <v>0.99360206292623832</v>
      </c>
      <c r="D87" s="843">
        <f t="shared" ref="D87:D98" si="1">B87</f>
        <v>45046</v>
      </c>
      <c r="E87" s="844">
        <v>0.99360206292619835</v>
      </c>
      <c r="F87" s="163" t="str" cm="1">
        <f t="array" aca="1" ref="F87" ca="1">_xll.d.TestUtils_Equal(C87,E87)</f>
        <v>Ok</v>
      </c>
      <c r="H87" s="841">
        <f>EDATE(H86,1)</f>
        <v>45046</v>
      </c>
      <c r="I87" s="842">
        <f ca="1"/>
        <v>0.99597365154963957</v>
      </c>
      <c r="J87" s="843">
        <f t="shared" ref="J87:J98" si="2">H87</f>
        <v>45046</v>
      </c>
      <c r="K87" s="844">
        <v>0.99360206292619835</v>
      </c>
      <c r="L87" s="163" t="str" cm="1">
        <f t="array" aca="1" ref="L87" ca="1">_xll.d.TestUtils_Equal(I87,K87)</f>
        <v>Error</v>
      </c>
      <c r="Q87" s="733" t="s">
        <v>579</v>
      </c>
      <c r="R87" s="734">
        <f ca="1">SUMPRODUCT(R49:R72,S49:S72,T49:T72)/SUMPRODUCT(R49:R72,T49:T72)</f>
        <v>6.8299999999972105E-2</v>
      </c>
      <c r="S87" s="734">
        <f t="shared" si="0"/>
        <v>6.83E-2</v>
      </c>
      <c r="T87" s="194" t="str" cm="1">
        <f t="array" aca="1" ref="T87" ca="1">_xll.d.TestUtils_Equal(R87,S87,$S$29)</f>
        <v>Ok</v>
      </c>
      <c r="U87" s="730"/>
      <c r="Z87" s="202"/>
      <c r="AO87" s="202"/>
      <c r="AP87" s="203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</row>
    <row r="88" spans="2:59">
      <c r="B88" s="841">
        <f t="shared" ref="B88:B98" si="3">EDATE(B87,1)</f>
        <v>45076</v>
      </c>
      <c r="C88" s="842">
        <f ca="1"/>
        <v>0.98715921592482847</v>
      </c>
      <c r="D88" s="843">
        <f t="shared" si="1"/>
        <v>45076</v>
      </c>
      <c r="E88" s="844">
        <v>0.98715921592479683</v>
      </c>
      <c r="F88" s="163" t="str" cm="1">
        <f t="array" aca="1" ref="F88" ca="1">_xll.d.TestUtils_Equal(C88,E88)</f>
        <v>Ok</v>
      </c>
      <c r="G88" s="430"/>
      <c r="H88" s="841">
        <f t="shared" ref="H88:H98" si="4">EDATE(H87,1)</f>
        <v>45076</v>
      </c>
      <c r="I88" s="842">
        <f ca="1"/>
        <v>0.99162558620325036</v>
      </c>
      <c r="J88" s="843">
        <f t="shared" si="2"/>
        <v>45076</v>
      </c>
      <c r="K88" s="844">
        <v>0.98715921592479683</v>
      </c>
      <c r="L88" s="163" t="str" cm="1">
        <f t="array" aca="1" ref="L88" ca="1">_xll.d.TestUtils_Equal(I88,K88)</f>
        <v>Error</v>
      </c>
      <c r="Q88" s="735" t="s">
        <v>580</v>
      </c>
      <c r="R88" s="734">
        <f ca="1">SUMPRODUCT(R49:R76,S49:S76,T49:T76)/SUMPRODUCT(R49:R76,T49:T76)</f>
        <v>6.9899999999974857E-2</v>
      </c>
      <c r="S88" s="736">
        <f t="shared" si="0"/>
        <v>6.9900000000000004E-2</v>
      </c>
      <c r="T88" s="194" t="str" cm="1">
        <f t="array" aca="1" ref="T88" ca="1">_xll.d.TestUtils_Equal(R88,S88,$S$29)</f>
        <v>Ok</v>
      </c>
      <c r="U88" s="730"/>
      <c r="Z88" s="202"/>
      <c r="AO88" s="202"/>
      <c r="AP88" s="203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</row>
    <row r="89" spans="2:59">
      <c r="B89" s="841">
        <f t="shared" si="3"/>
        <v>45107</v>
      </c>
      <c r="C89" s="842">
        <f ca="1"/>
        <v>0.98054549384544809</v>
      </c>
      <c r="D89" s="843">
        <f t="shared" si="1"/>
        <v>45107</v>
      </c>
      <c r="E89" s="844">
        <v>0.980545493845425</v>
      </c>
      <c r="F89" s="163" t="str" cm="1">
        <f t="array" aca="1" ref="F89" ca="1">_xll.d.TestUtils_Equal(C89,E89)</f>
        <v>Ok</v>
      </c>
      <c r="H89" s="841">
        <f t="shared" si="4"/>
        <v>45107</v>
      </c>
      <c r="I89" s="842">
        <f ca="1"/>
        <v>0.98710012496926158</v>
      </c>
      <c r="J89" s="843">
        <f t="shared" si="2"/>
        <v>45107</v>
      </c>
      <c r="K89" s="844">
        <v>0.980545493845425</v>
      </c>
      <c r="L89" s="163" t="str" cm="1">
        <f t="array" aca="1" ref="L89" ca="1">_xll.d.TestUtils_Equal(I89,K89)</f>
        <v>Error</v>
      </c>
      <c r="Q89" s="618" t="s">
        <v>581</v>
      </c>
      <c r="R89" s="727">
        <f ca="1">SUMPRODUCT(R49:R80,S49:S80,T49:T80)/SUMPRODUCT(R49:R80,T49:T80)</f>
        <v>7.1699999999962502E-2</v>
      </c>
      <c r="S89" s="727">
        <f t="shared" si="0"/>
        <v>7.17E-2</v>
      </c>
      <c r="T89" s="194" t="str" cm="1">
        <f t="array" aca="1" ref="T89" ca="1">_xll.d.TestUtils_Equal(R89,S89,$S$29)</f>
        <v>Ok</v>
      </c>
      <c r="U89" s="730"/>
    </row>
    <row r="90" spans="2:59">
      <c r="B90" s="841">
        <f t="shared" si="3"/>
        <v>45137</v>
      </c>
      <c r="C90" s="842">
        <f ca="1"/>
        <v>0.97404099755707096</v>
      </c>
      <c r="D90" s="843">
        <f t="shared" si="1"/>
        <v>45137</v>
      </c>
      <c r="E90" s="844">
        <v>0.97404099755704809</v>
      </c>
      <c r="F90" s="163" t="str" cm="1">
        <f t="array" aca="1" ref="F90" ca="1">_xll.d.TestUtils_Equal(C90,E90)</f>
        <v>Ok</v>
      </c>
      <c r="H90" s="841">
        <f t="shared" si="4"/>
        <v>45137</v>
      </c>
      <c r="I90" s="842">
        <f ca="1"/>
        <v>0.98306688953084476</v>
      </c>
      <c r="J90" s="843">
        <f t="shared" si="2"/>
        <v>45137</v>
      </c>
      <c r="K90" s="844">
        <v>0.97404099755704809</v>
      </c>
      <c r="L90" s="163" t="str" cm="1">
        <f t="array" aca="1" ref="L90" ca="1">_xll.d.TestUtils_Equal(I90,K90)</f>
        <v>Error</v>
      </c>
      <c r="AQ90" s="868"/>
    </row>
    <row r="91" spans="2:59">
      <c r="B91" s="841">
        <f t="shared" si="3"/>
        <v>45168</v>
      </c>
      <c r="C91" s="842">
        <f ca="1"/>
        <v>0.96736501063794622</v>
      </c>
      <c r="D91" s="843">
        <f t="shared" si="1"/>
        <v>45168</v>
      </c>
      <c r="E91" s="844">
        <v>0.96736501063792357</v>
      </c>
      <c r="F91" s="163" t="str" cm="1">
        <f t="array" aca="1" ref="F91" ca="1">_xll.d.TestUtils_Equal(C91,E91)</f>
        <v>Ok</v>
      </c>
      <c r="H91" s="841">
        <f t="shared" si="4"/>
        <v>45168</v>
      </c>
      <c r="I91" s="842">
        <f ca="1"/>
        <v>0.97858486278983914</v>
      </c>
      <c r="J91" s="843">
        <f t="shared" si="2"/>
        <v>45168</v>
      </c>
      <c r="K91" s="844">
        <v>0.96736501063792357</v>
      </c>
      <c r="L91" s="163" t="str" cm="1">
        <f t="array" aca="1" ref="L91" ca="1">_xll.d.TestUtils_Equal(I91,K91)</f>
        <v>Error</v>
      </c>
      <c r="Q91" s="289" t="s">
        <v>200</v>
      </c>
    </row>
    <row r="92" spans="2:59">
      <c r="B92" s="841">
        <f t="shared" si="3"/>
        <v>45199</v>
      </c>
      <c r="C92" s="842">
        <f ca="1"/>
        <v>0.96073374854956706</v>
      </c>
      <c r="D92" s="843">
        <f t="shared" si="1"/>
        <v>45199</v>
      </c>
      <c r="E92" s="844">
        <v>0.96073374854954563</v>
      </c>
      <c r="F92" s="163" t="str" cm="1">
        <f t="array" aca="1" ref="F92" ca="1">_xll.d.TestUtils_Equal(C92,E92)</f>
        <v>Ok</v>
      </c>
      <c r="H92" s="841">
        <f t="shared" si="4"/>
        <v>45199</v>
      </c>
      <c r="I92" s="842">
        <f ca="1"/>
        <v>0.97412616654904649</v>
      </c>
      <c r="J92" s="843">
        <f t="shared" si="2"/>
        <v>45199</v>
      </c>
      <c r="K92" s="844">
        <v>0.96073374854954563</v>
      </c>
      <c r="L92" s="163" t="str" cm="1">
        <f t="array" aca="1" ref="L92" ca="1">_xll.d.TestUtils_Equal(I92,K92)</f>
        <v>Error</v>
      </c>
      <c r="Q92" s="259" t="s">
        <v>199</v>
      </c>
    </row>
    <row r="93" spans="2:59">
      <c r="B93" s="841">
        <f t="shared" si="3"/>
        <v>45229</v>
      </c>
      <c r="C93" s="842">
        <f ca="1"/>
        <v>0.95432992729212318</v>
      </c>
      <c r="D93" s="843">
        <f t="shared" si="1"/>
        <v>45229</v>
      </c>
      <c r="E93" s="844">
        <v>0.95432992729213328</v>
      </c>
      <c r="F93" s="163" t="str" cm="1">
        <f t="array" aca="1" ref="F93" ca="1">_xll.d.TestUtils_Equal(C93,E93)</f>
        <v>Ok</v>
      </c>
      <c r="H93" s="841">
        <f t="shared" si="4"/>
        <v>45229</v>
      </c>
      <c r="I93" s="842">
        <f ca="1"/>
        <v>0.97044869067180861</v>
      </c>
      <c r="J93" s="843">
        <f t="shared" si="2"/>
        <v>45229</v>
      </c>
      <c r="K93" s="844">
        <v>0.95432992729213328</v>
      </c>
      <c r="L93" s="163" t="str" cm="1">
        <f t="array" aca="1" ref="L93" ca="1">_xll.d.TestUtils_Equal(I93,K93)</f>
        <v>Error</v>
      </c>
    </row>
    <row r="94" spans="2:59">
      <c r="B94" s="841">
        <f t="shared" si="3"/>
        <v>45260</v>
      </c>
      <c r="C94" s="842">
        <f ca="1"/>
        <v>0.94775748497073764</v>
      </c>
      <c r="D94" s="843">
        <f t="shared" si="1"/>
        <v>45260</v>
      </c>
      <c r="E94" s="844">
        <v>0.94775748497078005</v>
      </c>
      <c r="F94" s="163" t="str" cm="1">
        <f t="array" aca="1" ref="F94" ca="1">_xll.d.TestUtils_Equal(C94,E94)</f>
        <v>Ok</v>
      </c>
      <c r="H94" s="841">
        <f t="shared" si="4"/>
        <v>45260</v>
      </c>
      <c r="I94" s="842">
        <f ca="1"/>
        <v>0.96634400018823186</v>
      </c>
      <c r="J94" s="843">
        <f t="shared" si="2"/>
        <v>45260</v>
      </c>
      <c r="K94" s="844">
        <v>0.94775748497078005</v>
      </c>
      <c r="L94" s="163" t="str" cm="1">
        <f t="array" aca="1" ref="L94" ca="1">_xll.d.TestUtils_Equal(I94,K94)</f>
        <v>Error</v>
      </c>
    </row>
    <row r="95" spans="2:59">
      <c r="B95" s="841">
        <f t="shared" si="3"/>
        <v>45290</v>
      </c>
      <c r="C95" s="842">
        <f ca="1"/>
        <v>0.94144380075975365</v>
      </c>
      <c r="D95" s="843">
        <f t="shared" si="1"/>
        <v>45290</v>
      </c>
      <c r="E95" s="844">
        <v>0.94144380075982581</v>
      </c>
      <c r="F95" s="163" t="str" cm="1">
        <f t="array" aca="1" ref="F95" ca="1">_xll.d.TestUtils_Equal(C95,E95)</f>
        <v>Ok</v>
      </c>
      <c r="H95" s="841">
        <f t="shared" si="4"/>
        <v>45290</v>
      </c>
      <c r="I95" s="842">
        <f ca="1"/>
        <v>0.96236120759642785</v>
      </c>
      <c r="J95" s="843">
        <f t="shared" si="2"/>
        <v>45290</v>
      </c>
      <c r="K95" s="844">
        <v>0.94144380075982581</v>
      </c>
      <c r="L95" s="163" t="str" cm="1">
        <f t="array" aca="1" ref="L95" ca="1">_xll.d.TestUtils_Equal(I95,K95)</f>
        <v>Error</v>
      </c>
    </row>
    <row r="96" spans="2:59">
      <c r="B96" s="841">
        <f t="shared" si="3"/>
        <v>45321</v>
      </c>
      <c r="C96" s="842">
        <f ca="1"/>
        <v>0.93507226945881949</v>
      </c>
      <c r="D96" s="843">
        <f t="shared" si="1"/>
        <v>45321</v>
      </c>
      <c r="E96" s="844">
        <v>0.93507226945889121</v>
      </c>
      <c r="F96" s="163" t="str" cm="1">
        <f t="array" aca="1" ref="F96" ca="1">_xll.d.TestUtils_Equal(C96,E96)</f>
        <v>Ok</v>
      </c>
      <c r="H96" s="841">
        <f t="shared" si="4"/>
        <v>45321</v>
      </c>
      <c r="I96" s="842">
        <f ca="1"/>
        <v>0.95884480563010566</v>
      </c>
      <c r="J96" s="843">
        <f t="shared" si="2"/>
        <v>45321</v>
      </c>
      <c r="K96" s="844">
        <v>0.93507226945889121</v>
      </c>
      <c r="L96" s="163" t="str" cm="1">
        <f t="array" aca="1" ref="L96" ca="1">_xll.d.TestUtils_Equal(I96,K96)</f>
        <v>Error</v>
      </c>
    </row>
    <row r="97" spans="2:12">
      <c r="B97" s="841">
        <f t="shared" si="3"/>
        <v>45351</v>
      </c>
      <c r="C97" s="842">
        <f ca="1"/>
        <v>0.92894733177189004</v>
      </c>
      <c r="D97" s="843">
        <f t="shared" si="1"/>
        <v>45351</v>
      </c>
      <c r="E97" s="844">
        <v>0.92894733177196143</v>
      </c>
      <c r="F97" s="163" t="str" cm="1">
        <f t="array" aca="1" ref="F97" ca="1">_xll.d.TestUtils_Equal(C97,E97)</f>
        <v>Ok</v>
      </c>
      <c r="H97" s="841">
        <f t="shared" si="4"/>
        <v>45351</v>
      </c>
      <c r="I97" s="842">
        <f ca="1"/>
        <v>0.9551967052983158</v>
      </c>
      <c r="J97" s="843">
        <f t="shared" si="2"/>
        <v>45351</v>
      </c>
      <c r="K97" s="844">
        <v>0.92894733177196143</v>
      </c>
      <c r="L97" s="163" t="str" cm="1">
        <f t="array" aca="1" ref="L97" ca="1">_xll.d.TestUtils_Equal(I97,K97)</f>
        <v>Error</v>
      </c>
    </row>
    <row r="98" spans="2:12">
      <c r="B98" s="845">
        <f t="shared" si="3"/>
        <v>45380</v>
      </c>
      <c r="C98" s="846">
        <f ca="1"/>
        <v>0.92307131168988987</v>
      </c>
      <c r="D98" s="847">
        <f t="shared" si="1"/>
        <v>45380</v>
      </c>
      <c r="E98" s="848">
        <v>0.92307131168996104</v>
      </c>
      <c r="F98" s="163" t="str" cm="1">
        <f t="array" aca="1" ref="F98" ca="1">_xll.d.TestUtils_Equal(C98,E98)</f>
        <v>Ok</v>
      </c>
      <c r="H98" s="845">
        <f t="shared" si="4"/>
        <v>45380</v>
      </c>
      <c r="I98" s="846">
        <f ca="1"/>
        <v>0.95167715874990744</v>
      </c>
      <c r="J98" s="847">
        <f t="shared" si="2"/>
        <v>45380</v>
      </c>
      <c r="K98" s="848">
        <v>0.92307131168996104</v>
      </c>
      <c r="L98" s="163" t="str" cm="1">
        <f t="array" aca="1" ref="L98" ca="1">_xll.d.TestUtils_Equal(I98,K98)</f>
        <v>Error</v>
      </c>
    </row>
    <row r="99" spans="2:12">
      <c r="J99" s="430"/>
      <c r="K99" s="203"/>
    </row>
    <row r="100" spans="2:12">
      <c r="J100" s="430"/>
      <c r="K100" s="203"/>
    </row>
    <row r="101" spans="2:12" ht="15.75">
      <c r="B101" s="4" t="s">
        <v>619</v>
      </c>
      <c r="C101" s="4"/>
      <c r="D101" s="4"/>
      <c r="E101" s="4"/>
      <c r="F101" s="4"/>
      <c r="G101" s="4"/>
      <c r="H101" s="4"/>
      <c r="I101" s="4"/>
      <c r="J101" s="4"/>
      <c r="K101" s="203"/>
    </row>
    <row r="102" spans="2:12">
      <c r="C102" s="163"/>
      <c r="K102" s="203"/>
    </row>
    <row r="103" spans="2:12">
      <c r="B103" s="50" t="s">
        <v>106</v>
      </c>
      <c r="C103" s="163" t="str" cm="1">
        <f t="array" aca="1" ref="C103" ca="1">_xll.d.TestUtils_And(H106:J121)</f>
        <v>Ok</v>
      </c>
      <c r="D103" s="430"/>
      <c r="E103" s="430"/>
      <c r="F103" s="430"/>
      <c r="G103" s="430"/>
      <c r="H103" s="430"/>
      <c r="K103" s="203"/>
    </row>
    <row r="104" spans="2:12">
      <c r="B104" s="430"/>
      <c r="C104" s="430"/>
      <c r="D104" s="430"/>
      <c r="E104" s="430"/>
      <c r="F104" s="430"/>
      <c r="G104" s="430"/>
      <c r="H104" s="430"/>
      <c r="K104" s="203"/>
    </row>
    <row r="105" spans="2:12">
      <c r="B105" s="12" t="s">
        <v>65</v>
      </c>
      <c r="C105" s="27"/>
      <c r="D105" s="13"/>
      <c r="E105" s="12" t="s">
        <v>66</v>
      </c>
      <c r="F105" s="27"/>
      <c r="G105" s="13"/>
      <c r="H105" s="12" t="s">
        <v>188</v>
      </c>
      <c r="I105" s="27"/>
      <c r="J105" s="13"/>
      <c r="K105" s="203"/>
    </row>
    <row r="106" spans="2:12">
      <c r="B106" s="822" t="str" cm="1">
        <f t="array" aca="1" ref="B106:D121" ca="1">_xll.d.Curve_GetInstruments(B29)</f>
        <v>Deposits</v>
      </c>
      <c r="C106" s="823" t="str">
        <f ca="1"/>
        <v/>
      </c>
      <c r="D106" s="829" t="str">
        <f ca="1"/>
        <v/>
      </c>
      <c r="E106" s="823" t="str">
        <f t="shared" ref="E106:E121" si="5">IF(B39&lt;&gt;"",B39,"")</f>
        <v>Deposits</v>
      </c>
      <c r="F106" s="823" t="str">
        <f t="shared" ref="F106:F121" si="6">IF(C39&lt;&gt;"",C39,"")</f>
        <v/>
      </c>
      <c r="G106" s="75" t="str">
        <f t="shared" ref="G106:G121" si="7">IF(D39&lt;&gt;"",D39,"")</f>
        <v/>
      </c>
      <c r="H106" s="163" t="str" cm="1">
        <f t="array" aca="1" ref="H106" ca="1">_xll.d.TestUtils_Equal(B106,E106)</f>
        <v>Ok</v>
      </c>
      <c r="I106" s="163" t="str" cm="1">
        <f t="array" aca="1" ref="I106" ca="1">_xll.d.TestUtils_Equal(C106,F106)</f>
        <v>Ok</v>
      </c>
      <c r="J106" s="163" t="str" cm="1">
        <f t="array" aca="1" ref="J106" ca="1">_xll.d.TestUtils_Equal(D106,G106)</f>
        <v>Ok</v>
      </c>
      <c r="K106" s="203"/>
    </row>
    <row r="107" spans="2:12">
      <c r="B107" s="76" t="str">
        <f ca="1"/>
        <v>Tenors</v>
      </c>
      <c r="C107" s="54" t="str">
        <f ca="1"/>
        <v>Rates</v>
      </c>
      <c r="D107" s="830" t="str">
        <f ca="1"/>
        <v>Include</v>
      </c>
      <c r="E107" s="54" t="str">
        <f t="shared" si="5"/>
        <v>Tenors</v>
      </c>
      <c r="F107" s="54" t="str">
        <f t="shared" si="6"/>
        <v>Rates</v>
      </c>
      <c r="G107" s="77" t="str">
        <f t="shared" si="7"/>
        <v>Include</v>
      </c>
      <c r="H107" s="163" t="str" cm="1">
        <f t="array" aca="1" ref="H107" ca="1">_xll.d.TestUtils_Equal(B107,E107)</f>
        <v>Ok</v>
      </c>
      <c r="I107" s="163" t="str" cm="1">
        <f t="array" aca="1" ref="I107" ca="1">_xll.d.TestUtils_Equal(C107,F107)</f>
        <v>Ok</v>
      </c>
      <c r="J107" s="163" t="str" cm="1">
        <f t="array" aca="1" ref="J107" ca="1">_xll.d.TestUtils_Equal(D107,G107)</f>
        <v>Ok</v>
      </c>
      <c r="K107" s="203"/>
    </row>
    <row r="108" spans="2:12">
      <c r="B108" s="76" t="str">
        <f ca="1"/>
        <v>1m</v>
      </c>
      <c r="C108" s="824">
        <f ca="1"/>
        <v>0.1</v>
      </c>
      <c r="D108" s="830" t="b">
        <f ca="1"/>
        <v>1</v>
      </c>
      <c r="E108" s="54" t="str">
        <f t="shared" si="5"/>
        <v>1m</v>
      </c>
      <c r="F108" s="54">
        <f t="shared" si="6"/>
        <v>0.1</v>
      </c>
      <c r="G108" s="77" t="b">
        <f t="shared" si="7"/>
        <v>1</v>
      </c>
      <c r="H108" s="163" t="str" cm="1">
        <f t="array" aca="1" ref="H108" ca="1">_xll.d.TestUtils_Equal(B108,E108)</f>
        <v>Ok</v>
      </c>
      <c r="I108" s="163" t="str" cm="1">
        <f t="array" aca="1" ref="I108" ca="1">_xll.d.TestUtils_Equal(C108,F108)</f>
        <v>Ok</v>
      </c>
      <c r="J108" s="163" t="str" cm="1">
        <f t="array" aca="1" ref="J108" ca="1">_xll.d.TestUtils_Equal(D108,G108)</f>
        <v>Ok</v>
      </c>
      <c r="K108" s="203"/>
    </row>
    <row r="109" spans="2:12">
      <c r="B109" s="76" t="str">
        <f ca="1"/>
        <v>2m</v>
      </c>
      <c r="C109" s="824">
        <f ca="1"/>
        <v>0.1</v>
      </c>
      <c r="D109" s="830" t="b">
        <f ca="1"/>
        <v>1</v>
      </c>
      <c r="E109" s="54" t="str">
        <f t="shared" si="5"/>
        <v>2m</v>
      </c>
      <c r="F109" s="54">
        <f t="shared" si="6"/>
        <v>0.1</v>
      </c>
      <c r="G109" s="77" t="b">
        <f t="shared" si="7"/>
        <v>1</v>
      </c>
      <c r="H109" s="163" t="str" cm="1">
        <f t="array" aca="1" ref="H109" ca="1">_xll.d.TestUtils_Equal(B109,E109)</f>
        <v>Ok</v>
      </c>
      <c r="I109" s="163" t="str" cm="1">
        <f t="array" aca="1" ref="I109" ca="1">_xll.d.TestUtils_Equal(C109,F109)</f>
        <v>Ok</v>
      </c>
      <c r="J109" s="163" t="str" cm="1">
        <f t="array" aca="1" ref="J109" ca="1">_xll.d.TestUtils_Equal(D109,G109)</f>
        <v>Ok</v>
      </c>
      <c r="K109" s="203"/>
    </row>
    <row r="110" spans="2:12">
      <c r="B110" s="825" t="str">
        <f ca="1"/>
        <v>3m</v>
      </c>
      <c r="C110" s="824">
        <f ca="1"/>
        <v>0.1</v>
      </c>
      <c r="D110" s="830" t="b">
        <f ca="1"/>
        <v>1</v>
      </c>
      <c r="E110" s="54" t="str">
        <f t="shared" si="5"/>
        <v>3m</v>
      </c>
      <c r="F110" s="54">
        <f t="shared" si="6"/>
        <v>0.1</v>
      </c>
      <c r="G110" s="77" t="b">
        <f t="shared" si="7"/>
        <v>1</v>
      </c>
      <c r="H110" s="163" t="str" cm="1">
        <f t="array" aca="1" ref="H110" ca="1">_xll.d.TestUtils_Equal(B110,E110)</f>
        <v>Ok</v>
      </c>
      <c r="I110" s="163" t="str" cm="1">
        <f t="array" aca="1" ref="I110" ca="1">_xll.d.TestUtils_Equal(C110,F110)</f>
        <v>Ok</v>
      </c>
      <c r="J110" s="163" t="str" cm="1">
        <f t="array" aca="1" ref="J110" ca="1">_xll.d.TestUtils_Equal(D110,G110)</f>
        <v>Ok</v>
      </c>
      <c r="K110" s="430"/>
    </row>
    <row r="111" spans="2:12">
      <c r="B111" s="76" t="str">
        <f ca="1"/>
        <v/>
      </c>
      <c r="C111" s="54" t="str">
        <f ca="1"/>
        <v/>
      </c>
      <c r="D111" s="830" t="str">
        <f ca="1"/>
        <v/>
      </c>
      <c r="E111" s="54" t="str">
        <f t="shared" si="5"/>
        <v/>
      </c>
      <c r="F111" s="54" t="str">
        <f t="shared" si="6"/>
        <v/>
      </c>
      <c r="G111" s="77" t="str">
        <f t="shared" si="7"/>
        <v/>
      </c>
      <c r="H111" s="163" t="str" cm="1">
        <f t="array" aca="1" ref="H111" ca="1">_xll.d.TestUtils_Equal(B111,E111)</f>
        <v>Ok</v>
      </c>
      <c r="I111" s="163" t="str" cm="1">
        <f t="array" aca="1" ref="I111" ca="1">_xll.d.TestUtils_Equal(C111,F111)</f>
        <v>Ok</v>
      </c>
      <c r="J111" s="163" t="str" cm="1">
        <f t="array" aca="1" ref="J111" ca="1">_xll.d.TestUtils_Equal(D111,G111)</f>
        <v>Ok</v>
      </c>
      <c r="K111" s="430"/>
    </row>
    <row r="112" spans="2:12">
      <c r="B112" s="76" t="str">
        <f ca="1"/>
        <v>FRAs</v>
      </c>
      <c r="C112" s="54" t="str">
        <f ca="1"/>
        <v/>
      </c>
      <c r="D112" s="830" t="str">
        <f ca="1"/>
        <v/>
      </c>
      <c r="E112" s="54" t="str">
        <f t="shared" si="5"/>
        <v>FRAs</v>
      </c>
      <c r="F112" s="54" t="str">
        <f t="shared" si="6"/>
        <v/>
      </c>
      <c r="G112" s="77" t="str">
        <f t="shared" si="7"/>
        <v/>
      </c>
      <c r="H112" s="163" t="str" cm="1">
        <f t="array" aca="1" ref="H112" ca="1">_xll.d.TestUtils_Equal(B112,E112)</f>
        <v>Ok</v>
      </c>
      <c r="I112" s="163" t="str" cm="1">
        <f t="array" aca="1" ref="I112" ca="1">_xll.d.TestUtils_Equal(C112,F112)</f>
        <v>Ok</v>
      </c>
      <c r="J112" s="163" t="str" cm="1">
        <f t="array" aca="1" ref="J112" ca="1">_xll.d.TestUtils_Equal(D112,G112)</f>
        <v>Ok</v>
      </c>
    </row>
    <row r="113" spans="2:13">
      <c r="B113" s="825" t="str">
        <f ca="1"/>
        <v>FraTenors</v>
      </c>
      <c r="C113" s="54" t="str">
        <f ca="1"/>
        <v>Rates</v>
      </c>
      <c r="D113" s="830" t="str">
        <f ca="1"/>
        <v>Include</v>
      </c>
      <c r="E113" s="54" t="str">
        <f t="shared" si="5"/>
        <v>FraTenors</v>
      </c>
      <c r="F113" s="54" t="str">
        <f t="shared" si="6"/>
        <v>Rates</v>
      </c>
      <c r="G113" s="77" t="str">
        <f t="shared" si="7"/>
        <v>Include</v>
      </c>
      <c r="H113" s="163" t="str" cm="1">
        <f t="array" aca="1" ref="H113" ca="1">_xll.d.TestUtils_Equal(B113,E113)</f>
        <v>Ok</v>
      </c>
      <c r="I113" s="163" t="str" cm="1">
        <f t="array" aca="1" ref="I113" ca="1">_xll.d.TestUtils_Equal(C113,F113)</f>
        <v>Ok</v>
      </c>
      <c r="J113" s="163" t="str" cm="1">
        <f t="array" aca="1" ref="J113" ca="1">_xll.d.TestUtils_Equal(D113,G113)</f>
        <v>Ok</v>
      </c>
    </row>
    <row r="114" spans="2:13">
      <c r="B114" s="76" t="str">
        <f ca="1"/>
        <v>3x6</v>
      </c>
      <c r="C114" s="824">
        <f ca="1"/>
        <v>0.1</v>
      </c>
      <c r="D114" s="830" t="b">
        <f ca="1"/>
        <v>1</v>
      </c>
      <c r="E114" s="54" t="str">
        <f t="shared" si="5"/>
        <v>3x6</v>
      </c>
      <c r="F114" s="54">
        <f t="shared" si="6"/>
        <v>0.1</v>
      </c>
      <c r="G114" s="77" t="b">
        <f t="shared" si="7"/>
        <v>1</v>
      </c>
      <c r="H114" s="163" t="str" cm="1">
        <f t="array" aca="1" ref="H114" ca="1">_xll.d.TestUtils_Equal(B114,E114)</f>
        <v>Ok</v>
      </c>
      <c r="I114" s="163" t="str" cm="1">
        <f t="array" aca="1" ref="I114" ca="1">_xll.d.TestUtils_Equal(C114,F114)</f>
        <v>Ok</v>
      </c>
      <c r="J114" s="163" t="str" cm="1">
        <f t="array" aca="1" ref="J114" ca="1">_xll.d.TestUtils_Equal(D114,G114)</f>
        <v>Ok</v>
      </c>
    </row>
    <row r="115" spans="2:13">
      <c r="B115" s="76" t="str">
        <f ca="1"/>
        <v>6x9</v>
      </c>
      <c r="C115" s="824">
        <f ca="1"/>
        <v>0.1</v>
      </c>
      <c r="D115" s="830" t="b">
        <f ca="1"/>
        <v>1</v>
      </c>
      <c r="E115" s="54" t="str">
        <f t="shared" si="5"/>
        <v>6x9</v>
      </c>
      <c r="F115" s="54">
        <f t="shared" si="6"/>
        <v>0.1</v>
      </c>
      <c r="G115" s="77" t="b">
        <f t="shared" si="7"/>
        <v>1</v>
      </c>
      <c r="H115" s="163" t="str" cm="1">
        <f t="array" aca="1" ref="H115" ca="1">_xll.d.TestUtils_Equal(B115,E115)</f>
        <v>Ok</v>
      </c>
      <c r="I115" s="163" t="str" cm="1">
        <f t="array" aca="1" ref="I115" ca="1">_xll.d.TestUtils_Equal(C115,F115)</f>
        <v>Ok</v>
      </c>
      <c r="J115" s="163" t="str" cm="1">
        <f t="array" aca="1" ref="J115" ca="1">_xll.d.TestUtils_Equal(D115,G115)</f>
        <v>Ok</v>
      </c>
    </row>
    <row r="116" spans="2:13">
      <c r="B116" s="825" t="str">
        <f ca="1"/>
        <v>9x12</v>
      </c>
      <c r="C116" s="824">
        <f ca="1"/>
        <v>0.1</v>
      </c>
      <c r="D116" s="830" t="b">
        <f ca="1"/>
        <v>1</v>
      </c>
      <c r="E116" s="54" t="str">
        <f t="shared" si="5"/>
        <v>9x12</v>
      </c>
      <c r="F116" s="54">
        <f t="shared" si="6"/>
        <v>0.1</v>
      </c>
      <c r="G116" s="77" t="b">
        <f t="shared" si="7"/>
        <v>1</v>
      </c>
      <c r="H116" s="163" t="str" cm="1">
        <f t="array" aca="1" ref="H116" ca="1">_xll.d.TestUtils_Equal(B116,E116)</f>
        <v>Ok</v>
      </c>
      <c r="I116" s="163" t="str" cm="1">
        <f t="array" aca="1" ref="I116" ca="1">_xll.d.TestUtils_Equal(C116,F116)</f>
        <v>Ok</v>
      </c>
      <c r="J116" s="163" t="str" cm="1">
        <f t="array" aca="1" ref="J116" ca="1">_xll.d.TestUtils_Equal(D116,G116)</f>
        <v>Ok</v>
      </c>
    </row>
    <row r="117" spans="2:13">
      <c r="B117" s="76" t="str">
        <f ca="1"/>
        <v/>
      </c>
      <c r="C117" s="54" t="str">
        <f ca="1"/>
        <v/>
      </c>
      <c r="D117" s="830" t="str">
        <f ca="1"/>
        <v/>
      </c>
      <c r="E117" s="54" t="str">
        <f t="shared" si="5"/>
        <v/>
      </c>
      <c r="F117" s="54" t="str">
        <f t="shared" si="6"/>
        <v/>
      </c>
      <c r="G117" s="77" t="str">
        <f t="shared" si="7"/>
        <v/>
      </c>
      <c r="H117" s="163" t="str" cm="1">
        <f t="array" aca="1" ref="H117" ca="1">_xll.d.TestUtils_Equal(B117,E117)</f>
        <v>Ok</v>
      </c>
      <c r="I117" s="163" t="str" cm="1">
        <f t="array" aca="1" ref="I117" ca="1">_xll.d.TestUtils_Equal(C117,F117)</f>
        <v>Ok</v>
      </c>
      <c r="J117" s="163" t="str" cm="1">
        <f t="array" aca="1" ref="J117" ca="1">_xll.d.TestUtils_Equal(D117,G117)</f>
        <v>Ok</v>
      </c>
    </row>
    <row r="118" spans="2:13">
      <c r="B118" s="76" t="str">
        <f ca="1"/>
        <v>Interest Rate Swaps</v>
      </c>
      <c r="C118" s="54" t="str">
        <f ca="1"/>
        <v/>
      </c>
      <c r="D118" s="830" t="str">
        <f ca="1"/>
        <v/>
      </c>
      <c r="E118" s="54" t="str">
        <f t="shared" si="5"/>
        <v>Interest Rate Swaps</v>
      </c>
      <c r="F118" s="54" t="str">
        <f t="shared" si="6"/>
        <v/>
      </c>
      <c r="G118" s="77" t="str">
        <f t="shared" si="7"/>
        <v/>
      </c>
      <c r="H118" s="163" t="str" cm="1">
        <f t="array" aca="1" ref="H118" ca="1">_xll.d.TestUtils_Equal(B118,E118)</f>
        <v>Ok</v>
      </c>
      <c r="I118" s="163" t="str" cm="1">
        <f t="array" aca="1" ref="I118" ca="1">_xll.d.TestUtils_Equal(C118,F118)</f>
        <v>Ok</v>
      </c>
      <c r="J118" s="163" t="str" cm="1">
        <f t="array" aca="1" ref="J118" ca="1">_xll.d.TestUtils_Equal(D118,G118)</f>
        <v>Ok</v>
      </c>
    </row>
    <row r="119" spans="2:13">
      <c r="B119" s="76" t="str">
        <f ca="1"/>
        <v>Tenors</v>
      </c>
      <c r="C119" s="54" t="str">
        <f ca="1"/>
        <v>Rates</v>
      </c>
      <c r="D119" s="830" t="str">
        <f ca="1"/>
        <v>Include</v>
      </c>
      <c r="E119" s="54" t="str">
        <f t="shared" si="5"/>
        <v>Tenors</v>
      </c>
      <c r="F119" s="54" t="str">
        <f t="shared" si="6"/>
        <v>Rates</v>
      </c>
      <c r="G119" s="77" t="str">
        <f t="shared" si="7"/>
        <v>Include</v>
      </c>
      <c r="H119" s="163" t="str" cm="1">
        <f t="array" aca="1" ref="H119" ca="1">_xll.d.TestUtils_Equal(B119,E119)</f>
        <v>Ok</v>
      </c>
      <c r="I119" s="163" t="str" cm="1">
        <f t="array" aca="1" ref="I119" ca="1">_xll.d.TestUtils_Equal(C119,F119)</f>
        <v>Ok</v>
      </c>
      <c r="J119" s="163" t="str" cm="1">
        <f t="array" aca="1" ref="J119" ca="1">_xll.d.TestUtils_Equal(D119,G119)</f>
        <v>Ok</v>
      </c>
    </row>
    <row r="120" spans="2:13">
      <c r="B120" s="826" t="str">
        <f ca="1"/>
        <v>2y</v>
      </c>
      <c r="C120" s="824">
        <f ca="1"/>
        <v>0.1</v>
      </c>
      <c r="D120" s="830" t="b">
        <f ca="1"/>
        <v>1</v>
      </c>
      <c r="E120" s="54" t="str">
        <f t="shared" si="5"/>
        <v>2y</v>
      </c>
      <c r="F120" s="54">
        <f t="shared" si="6"/>
        <v>0.1</v>
      </c>
      <c r="G120" s="77" t="b">
        <f t="shared" si="7"/>
        <v>1</v>
      </c>
      <c r="H120" s="163" t="str" cm="1">
        <f t="array" aca="1" ref="H120" ca="1">_xll.d.TestUtils_Equal(B120,E120)</f>
        <v>Ok</v>
      </c>
      <c r="I120" s="163" t="str" cm="1">
        <f t="array" aca="1" ref="I120" ca="1">_xll.d.TestUtils_Equal(C120,F120)</f>
        <v>Ok</v>
      </c>
      <c r="J120" s="163" t="str" cm="1">
        <f t="array" aca="1" ref="J120" ca="1">_xll.d.TestUtils_Equal(D120,G120)</f>
        <v>Ok</v>
      </c>
    </row>
    <row r="121" spans="2:13">
      <c r="B121" s="78" t="str">
        <f ca="1"/>
        <v>3y</v>
      </c>
      <c r="C121" s="827">
        <f ca="1"/>
        <v>0.1</v>
      </c>
      <c r="D121" s="831" t="b">
        <f ca="1"/>
        <v>1</v>
      </c>
      <c r="E121" s="828" t="str">
        <f t="shared" si="5"/>
        <v>3y</v>
      </c>
      <c r="F121" s="828">
        <f t="shared" si="6"/>
        <v>0.1</v>
      </c>
      <c r="G121" s="79" t="b">
        <f t="shared" si="7"/>
        <v>1</v>
      </c>
      <c r="H121" s="163" t="str" cm="1">
        <f t="array" aca="1" ref="H121" ca="1">_xll.d.TestUtils_Equal(B121,E121)</f>
        <v>Ok</v>
      </c>
      <c r="I121" s="163" t="str" cm="1">
        <f t="array" aca="1" ref="I121" ca="1">_xll.d.TestUtils_Equal(C121,F121)</f>
        <v>Ok</v>
      </c>
      <c r="J121" s="163" t="str" cm="1">
        <f t="array" aca="1" ref="J121" ca="1">_xll.d.TestUtils_Equal(D121,G121)</f>
        <v>Ok</v>
      </c>
    </row>
    <row r="125" spans="2:13">
      <c r="B125" s="12" t="s">
        <v>65</v>
      </c>
      <c r="C125" s="27"/>
      <c r="D125" s="13"/>
      <c r="E125" s="13"/>
      <c r="F125" s="12" t="s">
        <v>66</v>
      </c>
      <c r="G125" s="27"/>
      <c r="H125" s="13"/>
      <c r="I125" s="13"/>
      <c r="J125" s="12" t="s">
        <v>188</v>
      </c>
      <c r="K125" s="27"/>
      <c r="L125" s="13"/>
      <c r="M125" s="13"/>
    </row>
    <row r="126" spans="2:13">
      <c r="B126" s="822" t="str" cm="1">
        <f t="array" ref="B126:E156">_xll.d.Curve_GetInstruments(C82)</f>
        <v>Deposits</v>
      </c>
      <c r="C126" s="823" t="str">
        <v/>
      </c>
      <c r="D126" s="823" t="str">
        <v/>
      </c>
      <c r="E126" s="823" t="str">
        <v/>
      </c>
      <c r="F126" s="873" t="s">
        <v>21</v>
      </c>
      <c r="G126" s="823" t="s">
        <v>243</v>
      </c>
      <c r="H126" s="823" t="s">
        <v>243</v>
      </c>
      <c r="I126" s="75" t="s">
        <v>243</v>
      </c>
      <c r="J126" s="163" t="str" cm="1">
        <f t="array" ref="J126">_xll.d.TestUtils_Equal(B126,F126)</f>
        <v>Ok</v>
      </c>
      <c r="K126" s="163" t="str" cm="1">
        <f t="array" ref="K126">_xll.d.TestUtils_Equal(C126,G126)</f>
        <v>Ok</v>
      </c>
      <c r="L126" s="163" t="str" cm="1">
        <f t="array" ref="L126">_xll.d.TestUtils_Equal(D126,H126)</f>
        <v>Ok</v>
      </c>
      <c r="M126" s="163" t="str" cm="1">
        <f t="array" ref="M126">_xll.d.TestUtils_Equal(E126,I126)</f>
        <v>Ok</v>
      </c>
    </row>
    <row r="127" spans="2:13">
      <c r="B127" s="76" t="str">
        <v>Tenors</v>
      </c>
      <c r="C127" s="54" t="str">
        <v>Rate Index</v>
      </c>
      <c r="D127" s="54" t="str">
        <v>Rates</v>
      </c>
      <c r="E127" s="54" t="str">
        <v>Include</v>
      </c>
      <c r="F127" s="874" t="s">
        <v>35</v>
      </c>
      <c r="G127" s="54" t="s">
        <v>732</v>
      </c>
      <c r="H127" s="54" t="s">
        <v>36</v>
      </c>
      <c r="I127" s="77" t="s">
        <v>42</v>
      </c>
      <c r="J127" s="163" t="str" cm="1">
        <f t="array" ref="J127">_xll.d.TestUtils_Equal(B127,F127)</f>
        <v>Ok</v>
      </c>
      <c r="K127" s="163" t="str" cm="1">
        <f t="array" ref="K127">_xll.d.TestUtils_Equal(C127,G127)</f>
        <v>Ok</v>
      </c>
      <c r="L127" s="163" t="str" cm="1">
        <f t="array" ref="L127">_xll.d.TestUtils_Equal(D127,H127)</f>
        <v>Ok</v>
      </c>
      <c r="M127" s="163" t="str" cm="1">
        <f t="array" ref="M127">_xll.d.TestUtils_Equal(E127,I127)</f>
        <v>Ok</v>
      </c>
    </row>
    <row r="128" spans="2:13">
      <c r="B128" s="76" t="str">
        <v>1D</v>
      </c>
      <c r="C128" s="54" t="str">
        <v>JIBAR</v>
      </c>
      <c r="D128" s="54">
        <v>7.0699999999999999E-2</v>
      </c>
      <c r="E128" s="54" t="str">
        <v>TRUE</v>
      </c>
      <c r="F128" s="874" t="s">
        <v>627</v>
      </c>
      <c r="G128" s="54" t="s">
        <v>33</v>
      </c>
      <c r="H128" s="54">
        <v>7.0699999999999999E-2</v>
      </c>
      <c r="I128" s="77" t="s">
        <v>628</v>
      </c>
      <c r="J128" s="163" t="str" cm="1">
        <f t="array" ref="J128">_xll.d.TestUtils_Equal(B128,F128)</f>
        <v>Ok</v>
      </c>
      <c r="K128" s="163" t="str" cm="1">
        <f t="array" ref="K128">_xll.d.TestUtils_Equal(C128,G128)</f>
        <v>Ok</v>
      </c>
      <c r="L128" s="163" t="str" cm="1">
        <f t="array" ref="L128">_xll.d.TestUtils_Equal(D128,H128)</f>
        <v>Ok</v>
      </c>
      <c r="M128" s="163" t="str" cm="1">
        <f t="array" ref="M128">_xll.d.TestUtils_Equal(E128,I128)</f>
        <v>Ok</v>
      </c>
    </row>
    <row r="129" spans="2:13">
      <c r="B129" s="76" t="str">
        <v>1M</v>
      </c>
      <c r="C129" s="54" t="str">
        <v>JIBAR</v>
      </c>
      <c r="D129" s="54">
        <v>7.825E-2</v>
      </c>
      <c r="E129" s="54" t="str">
        <v>TRUE</v>
      </c>
      <c r="F129" s="874" t="s">
        <v>607</v>
      </c>
      <c r="G129" s="54" t="s">
        <v>33</v>
      </c>
      <c r="H129" s="54">
        <v>7.825E-2</v>
      </c>
      <c r="I129" s="77" t="s">
        <v>628</v>
      </c>
      <c r="J129" s="163" t="str" cm="1">
        <f t="array" ref="J129">_xll.d.TestUtils_Equal(B129,F129)</f>
        <v>Ok</v>
      </c>
      <c r="K129" s="163" t="str" cm="1">
        <f t="array" ref="K129">_xll.d.TestUtils_Equal(C129,G129)</f>
        <v>Ok</v>
      </c>
      <c r="L129" s="163" t="str" cm="1">
        <f t="array" ref="L129">_xll.d.TestUtils_Equal(D129,H129)</f>
        <v>Ok</v>
      </c>
      <c r="M129" s="163" t="str" cm="1">
        <f t="array" ref="M129">_xll.d.TestUtils_Equal(E129,I129)</f>
        <v>Ok</v>
      </c>
    </row>
    <row r="130" spans="2:13">
      <c r="B130" s="76" t="str">
        <v>3M</v>
      </c>
      <c r="C130" s="54" t="str">
        <v>JIBAR</v>
      </c>
      <c r="D130" s="54">
        <v>7.9579999999999998E-2</v>
      </c>
      <c r="E130" s="54" t="str">
        <v>TRUE</v>
      </c>
      <c r="F130" s="874" t="s">
        <v>611</v>
      </c>
      <c r="G130" s="54" t="s">
        <v>33</v>
      </c>
      <c r="H130" s="54">
        <v>7.9579999999999998E-2</v>
      </c>
      <c r="I130" s="77" t="s">
        <v>628</v>
      </c>
      <c r="J130" s="163" t="str" cm="1">
        <f t="array" ref="J130">_xll.d.TestUtils_Equal(B130,F130)</f>
        <v>Ok</v>
      </c>
      <c r="K130" s="163" t="str" cm="1">
        <f t="array" ref="K130">_xll.d.TestUtils_Equal(C130,G130)</f>
        <v>Ok</v>
      </c>
      <c r="L130" s="163" t="str" cm="1">
        <f t="array" ref="L130">_xll.d.TestUtils_Equal(D130,H130)</f>
        <v>Ok</v>
      </c>
      <c r="M130" s="163" t="str" cm="1">
        <f t="array" ref="M130">_xll.d.TestUtils_Equal(E130,I130)</f>
        <v>Ok</v>
      </c>
    </row>
    <row r="131" spans="2:13">
      <c r="B131" s="76" t="str">
        <v/>
      </c>
      <c r="C131" s="54" t="str">
        <v/>
      </c>
      <c r="D131" s="54" t="str">
        <v/>
      </c>
      <c r="E131" s="54" t="str">
        <v/>
      </c>
      <c r="F131" s="874" t="s">
        <v>243</v>
      </c>
      <c r="G131" s="54" t="s">
        <v>243</v>
      </c>
      <c r="H131" s="54" t="s">
        <v>243</v>
      </c>
      <c r="I131" s="77" t="s">
        <v>243</v>
      </c>
      <c r="J131" s="163" t="str" cm="1">
        <f t="array" ref="J131">_xll.d.TestUtils_Equal(B131,F131)</f>
        <v>Ok</v>
      </c>
      <c r="K131" s="163" t="str" cm="1">
        <f t="array" ref="K131">_xll.d.TestUtils_Equal(C131,G131)</f>
        <v>Ok</v>
      </c>
      <c r="L131" s="163" t="str" cm="1">
        <f t="array" ref="L131">_xll.d.TestUtils_Equal(D131,H131)</f>
        <v>Ok</v>
      </c>
      <c r="M131" s="163" t="str" cm="1">
        <f t="array" ref="M131">_xll.d.TestUtils_Equal(E131,I131)</f>
        <v>Ok</v>
      </c>
    </row>
    <row r="132" spans="2:13">
      <c r="B132" s="76" t="str">
        <v>FRAs</v>
      </c>
      <c r="C132" s="54" t="str">
        <v/>
      </c>
      <c r="D132" s="54" t="str">
        <v/>
      </c>
      <c r="E132" s="54" t="str">
        <v/>
      </c>
      <c r="F132" s="874" t="s">
        <v>34</v>
      </c>
      <c r="G132" s="54" t="s">
        <v>243</v>
      </c>
      <c r="H132" s="54" t="s">
        <v>243</v>
      </c>
      <c r="I132" s="77" t="s">
        <v>243</v>
      </c>
      <c r="J132" s="163" t="str" cm="1">
        <f t="array" ref="J132">_xll.d.TestUtils_Equal(B132,F132)</f>
        <v>Ok</v>
      </c>
      <c r="K132" s="163" t="str" cm="1">
        <f t="array" ref="K132">_xll.d.TestUtils_Equal(C132,G132)</f>
        <v>Ok</v>
      </c>
      <c r="L132" s="163" t="str" cm="1">
        <f t="array" ref="L132">_xll.d.TestUtils_Equal(D132,H132)</f>
        <v>Ok</v>
      </c>
      <c r="M132" s="163" t="str" cm="1">
        <f t="array" ref="M132">_xll.d.TestUtils_Equal(E132,I132)</f>
        <v>Ok</v>
      </c>
    </row>
    <row r="133" spans="2:13">
      <c r="B133" s="76" t="str">
        <v>Fra Tenors</v>
      </c>
      <c r="C133" s="54" t="str">
        <v>Rate Index</v>
      </c>
      <c r="D133" s="54" t="str">
        <v>Rates</v>
      </c>
      <c r="E133" s="54" t="str">
        <v>Include</v>
      </c>
      <c r="F133" s="874" t="s">
        <v>731</v>
      </c>
      <c r="G133" s="54" t="s">
        <v>732</v>
      </c>
      <c r="H133" s="54" t="s">
        <v>36</v>
      </c>
      <c r="I133" s="77" t="s">
        <v>42</v>
      </c>
      <c r="J133" s="163" t="str" cm="1">
        <f t="array" ref="J133">_xll.d.TestUtils_Equal(B133,F133)</f>
        <v>Ok</v>
      </c>
      <c r="K133" s="163" t="str" cm="1">
        <f t="array" ref="K133">_xll.d.TestUtils_Equal(C133,G133)</f>
        <v>Ok</v>
      </c>
      <c r="L133" s="163" t="str" cm="1">
        <f t="array" ref="L133">_xll.d.TestUtils_Equal(D133,H133)</f>
        <v>Ok</v>
      </c>
      <c r="M133" s="163" t="str" cm="1">
        <f t="array" ref="M133">_xll.d.TestUtils_Equal(E133,I133)</f>
        <v>Ok</v>
      </c>
    </row>
    <row r="134" spans="2:13">
      <c r="B134" s="76" t="str">
        <v>3x6</v>
      </c>
      <c r="C134" s="54" t="str">
        <v>JIBAR</v>
      </c>
      <c r="D134" s="54">
        <v>8.1799999999999998E-2</v>
      </c>
      <c r="E134" s="54" t="str">
        <v>TRUE</v>
      </c>
      <c r="F134" s="874" t="s">
        <v>192</v>
      </c>
      <c r="G134" s="54" t="s">
        <v>33</v>
      </c>
      <c r="H134" s="54">
        <v>8.1799999999999998E-2</v>
      </c>
      <c r="I134" s="77" t="s">
        <v>628</v>
      </c>
      <c r="J134" s="163" t="str" cm="1">
        <f t="array" ref="J134">_xll.d.TestUtils_Equal(B134,F134)</f>
        <v>Ok</v>
      </c>
      <c r="K134" s="163" t="str" cm="1">
        <f t="array" ref="K134">_xll.d.TestUtils_Equal(C134,G134)</f>
        <v>Ok</v>
      </c>
      <c r="L134" s="163" t="str" cm="1">
        <f t="array" ref="L134">_xll.d.TestUtils_Equal(D134,H134)</f>
        <v>Ok</v>
      </c>
      <c r="M134" s="163" t="str" cm="1">
        <f t="array" ref="M134">_xll.d.TestUtils_Equal(E134,I134)</f>
        <v>Ok</v>
      </c>
    </row>
    <row r="135" spans="2:13">
      <c r="B135" s="76" t="str">
        <v>6x9</v>
      </c>
      <c r="C135" s="54" t="str">
        <v>JIBAR</v>
      </c>
      <c r="D135" s="54">
        <v>8.2200000000000009E-2</v>
      </c>
      <c r="E135" s="54" t="str">
        <v>TRUE</v>
      </c>
      <c r="F135" s="874" t="s">
        <v>193</v>
      </c>
      <c r="G135" s="54" t="s">
        <v>33</v>
      </c>
      <c r="H135" s="54">
        <v>8.2200000000000009E-2</v>
      </c>
      <c r="I135" s="77" t="s">
        <v>628</v>
      </c>
      <c r="J135" s="163" t="str" cm="1">
        <f t="array" ref="J135">_xll.d.TestUtils_Equal(B135,F135)</f>
        <v>Ok</v>
      </c>
      <c r="K135" s="163" t="str" cm="1">
        <f t="array" ref="K135">_xll.d.TestUtils_Equal(C135,G135)</f>
        <v>Ok</v>
      </c>
      <c r="L135" s="163" t="str" cm="1">
        <f t="array" ref="L135">_xll.d.TestUtils_Equal(D135,H135)</f>
        <v>Ok</v>
      </c>
      <c r="M135" s="163" t="str" cm="1">
        <f t="array" ref="M135">_xll.d.TestUtils_Equal(E135,I135)</f>
        <v>Ok</v>
      </c>
    </row>
    <row r="136" spans="2:13">
      <c r="B136" s="76" t="str">
        <v>9x12</v>
      </c>
      <c r="C136" s="54" t="str">
        <v>JIBAR</v>
      </c>
      <c r="D136" s="54">
        <v>8.0749999999999988E-2</v>
      </c>
      <c r="E136" s="54" t="str">
        <v>TRUE</v>
      </c>
      <c r="F136" s="874" t="s">
        <v>194</v>
      </c>
      <c r="G136" s="54" t="s">
        <v>33</v>
      </c>
      <c r="H136" s="54">
        <v>8.0749999999999988E-2</v>
      </c>
      <c r="I136" s="77" t="s">
        <v>628</v>
      </c>
      <c r="J136" s="163" t="str" cm="1">
        <f t="array" ref="J136">_xll.d.TestUtils_Equal(B136,F136)</f>
        <v>Ok</v>
      </c>
      <c r="K136" s="163" t="str" cm="1">
        <f t="array" ref="K136">_xll.d.TestUtils_Equal(C136,G136)</f>
        <v>Ok</v>
      </c>
      <c r="L136" s="163" t="str" cm="1">
        <f t="array" ref="L136">_xll.d.TestUtils_Equal(D136,H136)</f>
        <v>Ok</v>
      </c>
      <c r="M136" s="163" t="str" cm="1">
        <f t="array" ref="M136">_xll.d.TestUtils_Equal(E136,I136)</f>
        <v>Ok</v>
      </c>
    </row>
    <row r="137" spans="2:13">
      <c r="B137" s="76" t="str">
        <v>12x15</v>
      </c>
      <c r="C137" s="54" t="str">
        <v>JIBAR</v>
      </c>
      <c r="D137" s="54">
        <v>7.8100000000000003E-2</v>
      </c>
      <c r="E137" s="54" t="str">
        <v>TRUE</v>
      </c>
      <c r="F137" s="874" t="s">
        <v>568</v>
      </c>
      <c r="G137" s="54" t="s">
        <v>33</v>
      </c>
      <c r="H137" s="54">
        <v>7.8100000000000003E-2</v>
      </c>
      <c r="I137" s="77" t="s">
        <v>628</v>
      </c>
      <c r="J137" s="163" t="str" cm="1">
        <f t="array" ref="J137">_xll.d.TestUtils_Equal(B137,F137)</f>
        <v>Ok</v>
      </c>
      <c r="K137" s="163" t="str" cm="1">
        <f t="array" ref="K137">_xll.d.TestUtils_Equal(C137,G137)</f>
        <v>Ok</v>
      </c>
      <c r="L137" s="163" t="str" cm="1">
        <f t="array" ref="L137">_xll.d.TestUtils_Equal(D137,H137)</f>
        <v>Ok</v>
      </c>
      <c r="M137" s="163" t="str" cm="1">
        <f t="array" ref="M137">_xll.d.TestUtils_Equal(E137,I137)</f>
        <v>Ok</v>
      </c>
    </row>
    <row r="138" spans="2:13">
      <c r="B138" s="76" t="str">
        <v>15x18</v>
      </c>
      <c r="C138" s="54" t="str">
        <v>JIBAR</v>
      </c>
      <c r="D138" s="54">
        <v>7.6649999999999996E-2</v>
      </c>
      <c r="E138" s="54" t="str">
        <v>TRUE</v>
      </c>
      <c r="F138" s="874" t="s">
        <v>569</v>
      </c>
      <c r="G138" s="54" t="s">
        <v>33</v>
      </c>
      <c r="H138" s="54">
        <v>7.6649999999999996E-2</v>
      </c>
      <c r="I138" s="77" t="s">
        <v>628</v>
      </c>
      <c r="J138" s="163" t="str" cm="1">
        <f t="array" ref="J138">_xll.d.TestUtils_Equal(B138,F138)</f>
        <v>Ok</v>
      </c>
      <c r="K138" s="163" t="str" cm="1">
        <f t="array" ref="K138">_xll.d.TestUtils_Equal(C138,G138)</f>
        <v>Ok</v>
      </c>
      <c r="L138" s="163" t="str" cm="1">
        <f t="array" ref="L138">_xll.d.TestUtils_Equal(D138,H138)</f>
        <v>Ok</v>
      </c>
      <c r="M138" s="163" t="str" cm="1">
        <f t="array" ref="M138">_xll.d.TestUtils_Equal(E138,I138)</f>
        <v>Ok</v>
      </c>
    </row>
    <row r="139" spans="2:13">
      <c r="B139" s="76" t="str">
        <v>18x21</v>
      </c>
      <c r="C139" s="54" t="str">
        <v>JIBAR</v>
      </c>
      <c r="D139" s="54">
        <v>7.5649999999999995E-2</v>
      </c>
      <c r="E139" s="54" t="str">
        <v>TRUE</v>
      </c>
      <c r="F139" s="874" t="s">
        <v>570</v>
      </c>
      <c r="G139" s="54" t="s">
        <v>33</v>
      </c>
      <c r="H139" s="54">
        <v>7.5649999999999995E-2</v>
      </c>
      <c r="I139" s="77" t="s">
        <v>628</v>
      </c>
      <c r="J139" s="163" t="str" cm="1">
        <f t="array" ref="J139">_xll.d.TestUtils_Equal(B139,F139)</f>
        <v>Ok</v>
      </c>
      <c r="K139" s="163" t="str" cm="1">
        <f t="array" ref="K139">_xll.d.TestUtils_Equal(C139,G139)</f>
        <v>Ok</v>
      </c>
      <c r="L139" s="163" t="str" cm="1">
        <f t="array" ref="L139">_xll.d.TestUtils_Equal(D139,H139)</f>
        <v>Ok</v>
      </c>
      <c r="M139" s="163" t="str" cm="1">
        <f t="array" ref="M139">_xll.d.TestUtils_Equal(E139,I139)</f>
        <v>Ok</v>
      </c>
    </row>
    <row r="140" spans="2:13">
      <c r="B140" s="76" t="str">
        <v>21x24</v>
      </c>
      <c r="C140" s="54" t="str">
        <v>JIBAR</v>
      </c>
      <c r="D140" s="54">
        <v>7.5199999999999989E-2</v>
      </c>
      <c r="E140" s="54" t="str">
        <v>TRUE</v>
      </c>
      <c r="F140" s="874" t="s">
        <v>571</v>
      </c>
      <c r="G140" s="54" t="s">
        <v>33</v>
      </c>
      <c r="H140" s="54">
        <v>7.5199999999999989E-2</v>
      </c>
      <c r="I140" s="77" t="s">
        <v>628</v>
      </c>
      <c r="J140" s="163" t="str" cm="1">
        <f t="array" ref="J140">_xll.d.TestUtils_Equal(B140,F140)</f>
        <v>Ok</v>
      </c>
      <c r="K140" s="163" t="str" cm="1">
        <f t="array" ref="K140">_xll.d.TestUtils_Equal(C140,G140)</f>
        <v>Ok</v>
      </c>
      <c r="L140" s="163" t="str" cm="1">
        <f t="array" ref="L140">_xll.d.TestUtils_Equal(D140,H140)</f>
        <v>Ok</v>
      </c>
      <c r="M140" s="163" t="str" cm="1">
        <f t="array" ref="M140">_xll.d.TestUtils_Equal(E140,I140)</f>
        <v>Ok</v>
      </c>
    </row>
    <row r="141" spans="2:13">
      <c r="B141" s="76" t="str">
        <v/>
      </c>
      <c r="C141" s="54" t="str">
        <v/>
      </c>
      <c r="D141" s="54" t="str">
        <v/>
      </c>
      <c r="E141" s="54" t="str">
        <v/>
      </c>
      <c r="F141" s="874" t="s">
        <v>243</v>
      </c>
      <c r="G141" s="54" t="s">
        <v>243</v>
      </c>
      <c r="H141" s="54" t="s">
        <v>243</v>
      </c>
      <c r="I141" s="77" t="s">
        <v>243</v>
      </c>
      <c r="J141" s="163" t="str" cm="1">
        <f t="array" ref="J141">_xll.d.TestUtils_Equal(B141,F141)</f>
        <v>Ok</v>
      </c>
      <c r="K141" s="163" t="str" cm="1">
        <f t="array" ref="K141">_xll.d.TestUtils_Equal(C141,G141)</f>
        <v>Ok</v>
      </c>
      <c r="L141" s="163" t="str" cm="1">
        <f t="array" ref="L141">_xll.d.TestUtils_Equal(D141,H141)</f>
        <v>Ok</v>
      </c>
      <c r="M141" s="163" t="str" cm="1">
        <f t="array" ref="M141">_xll.d.TestUtils_Equal(E141,I141)</f>
        <v>Ok</v>
      </c>
    </row>
    <row r="142" spans="2:13">
      <c r="B142" s="76" t="str">
        <v>Interest Rate Swaps</v>
      </c>
      <c r="C142" s="54" t="str">
        <v/>
      </c>
      <c r="D142" s="54" t="str">
        <v/>
      </c>
      <c r="E142" s="54" t="str">
        <v/>
      </c>
      <c r="F142" s="874" t="s">
        <v>40</v>
      </c>
      <c r="G142" s="54" t="s">
        <v>243</v>
      </c>
      <c r="H142" s="54" t="s">
        <v>243</v>
      </c>
      <c r="I142" s="77" t="s">
        <v>243</v>
      </c>
      <c r="J142" s="163" t="str" cm="1">
        <f t="array" ref="J142">_xll.d.TestUtils_Equal(B142,F142)</f>
        <v>Ok</v>
      </c>
      <c r="K142" s="163" t="str" cm="1">
        <f t="array" ref="K142">_xll.d.TestUtils_Equal(C142,G142)</f>
        <v>Ok</v>
      </c>
      <c r="L142" s="163" t="str" cm="1">
        <f t="array" ref="L142">_xll.d.TestUtils_Equal(D142,H142)</f>
        <v>Ok</v>
      </c>
      <c r="M142" s="163" t="str" cm="1">
        <f t="array" ref="M142">_xll.d.TestUtils_Equal(E142,I142)</f>
        <v>Ok</v>
      </c>
    </row>
    <row r="143" spans="2:13">
      <c r="B143" s="76" t="str">
        <v>Tenors</v>
      </c>
      <c r="C143" s="54" t="str">
        <v>Rate Index</v>
      </c>
      <c r="D143" s="54" t="str">
        <v>Rates</v>
      </c>
      <c r="E143" s="54" t="str">
        <v>Include</v>
      </c>
      <c r="F143" s="874" t="s">
        <v>35</v>
      </c>
      <c r="G143" s="54" t="s">
        <v>732</v>
      </c>
      <c r="H143" s="54" t="s">
        <v>36</v>
      </c>
      <c r="I143" s="77" t="s">
        <v>42</v>
      </c>
      <c r="J143" s="163" t="str" cm="1">
        <f t="array" ref="J143">_xll.d.TestUtils_Equal(B143,F143)</f>
        <v>Ok</v>
      </c>
      <c r="K143" s="163" t="str" cm="1">
        <f t="array" ref="K143">_xll.d.TestUtils_Equal(C143,G143)</f>
        <v>Ok</v>
      </c>
      <c r="L143" s="163" t="str" cm="1">
        <f t="array" ref="L143">_xll.d.TestUtils_Equal(D143,H143)</f>
        <v>Ok</v>
      </c>
      <c r="M143" s="163" t="str" cm="1">
        <f t="array" ref="M143">_xll.d.TestUtils_Equal(E143,I143)</f>
        <v>Ok</v>
      </c>
    </row>
    <row r="144" spans="2:13">
      <c r="B144" s="76" t="str">
        <v>3Y</v>
      </c>
      <c r="C144" s="54" t="str">
        <v>JIBAR</v>
      </c>
      <c r="D144" s="54">
        <v>7.85E-2</v>
      </c>
      <c r="E144" s="54" t="str">
        <v>TRUE</v>
      </c>
      <c r="F144" s="874" t="s">
        <v>629</v>
      </c>
      <c r="G144" s="54" t="s">
        <v>33</v>
      </c>
      <c r="H144" s="54">
        <v>7.85E-2</v>
      </c>
      <c r="I144" s="77" t="s">
        <v>628</v>
      </c>
      <c r="J144" s="163" t="str" cm="1">
        <f t="array" ref="J144">_xll.d.TestUtils_Equal(B144,F144)</f>
        <v>Ok</v>
      </c>
      <c r="K144" s="163" t="str" cm="1">
        <f t="array" ref="K144">_xll.d.TestUtils_Equal(C144,G144)</f>
        <v>Ok</v>
      </c>
      <c r="L144" s="163" t="str" cm="1">
        <f t="array" ref="L144">_xll.d.TestUtils_Equal(D144,H144)</f>
        <v>Ok</v>
      </c>
      <c r="M144" s="163" t="str" cm="1">
        <f t="array" ref="M144">_xll.d.TestUtils_Equal(E144,I144)</f>
        <v>Ok</v>
      </c>
    </row>
    <row r="145" spans="1:13">
      <c r="B145" s="76" t="str">
        <v>4Y</v>
      </c>
      <c r="C145" s="54" t="str">
        <v>JIBAR</v>
      </c>
      <c r="D145" s="54">
        <v>7.9500000000000001E-2</v>
      </c>
      <c r="E145" s="54" t="str">
        <v>TRUE</v>
      </c>
      <c r="F145" s="874" t="s">
        <v>630</v>
      </c>
      <c r="G145" s="54" t="s">
        <v>33</v>
      </c>
      <c r="H145" s="54">
        <v>7.9500000000000001E-2</v>
      </c>
      <c r="I145" s="77" t="s">
        <v>628</v>
      </c>
      <c r="J145" s="163" t="str" cm="1">
        <f t="array" ref="J145">_xll.d.TestUtils_Equal(B145,F145)</f>
        <v>Ok</v>
      </c>
      <c r="K145" s="163" t="str" cm="1">
        <f t="array" ref="K145">_xll.d.TestUtils_Equal(C145,G145)</f>
        <v>Ok</v>
      </c>
      <c r="L145" s="163" t="str" cm="1">
        <f t="array" ref="L145">_xll.d.TestUtils_Equal(D145,H145)</f>
        <v>Ok</v>
      </c>
      <c r="M145" s="163" t="str" cm="1">
        <f t="array" ref="M145">_xll.d.TestUtils_Equal(E145,I145)</f>
        <v>Ok</v>
      </c>
    </row>
    <row r="146" spans="1:13">
      <c r="B146" s="76" t="str">
        <v>5Y</v>
      </c>
      <c r="C146" s="54" t="str">
        <v>JIBAR</v>
      </c>
      <c r="D146" s="54">
        <v>8.1199999999999994E-2</v>
      </c>
      <c r="E146" s="54" t="str">
        <v>TRUE</v>
      </c>
      <c r="F146" s="874" t="s">
        <v>631</v>
      </c>
      <c r="G146" s="54" t="s">
        <v>33</v>
      </c>
      <c r="H146" s="54">
        <v>8.1199999999999994E-2</v>
      </c>
      <c r="I146" s="77" t="s">
        <v>628</v>
      </c>
      <c r="J146" s="163" t="str" cm="1">
        <f t="array" ref="J146">_xll.d.TestUtils_Equal(B146,F146)</f>
        <v>Ok</v>
      </c>
      <c r="K146" s="163" t="str" cm="1">
        <f t="array" ref="K146">_xll.d.TestUtils_Equal(C146,G146)</f>
        <v>Ok</v>
      </c>
      <c r="L146" s="163" t="str" cm="1">
        <f t="array" ref="L146">_xll.d.TestUtils_Equal(D146,H146)</f>
        <v>Ok</v>
      </c>
      <c r="M146" s="163" t="str" cm="1">
        <f t="array" ref="M146">_xll.d.TestUtils_Equal(E146,I146)</f>
        <v>Ok</v>
      </c>
    </row>
    <row r="147" spans="1:13">
      <c r="B147" s="76" t="str">
        <v>6Y</v>
      </c>
      <c r="C147" s="54" t="str">
        <v>JIBAR</v>
      </c>
      <c r="D147" s="54">
        <v>8.3499999999999991E-2</v>
      </c>
      <c r="E147" s="54" t="str">
        <v>TRUE</v>
      </c>
      <c r="F147" s="874" t="s">
        <v>632</v>
      </c>
      <c r="G147" s="54" t="s">
        <v>33</v>
      </c>
      <c r="H147" s="54">
        <v>8.3499999999999991E-2</v>
      </c>
      <c r="I147" s="77" t="s">
        <v>628</v>
      </c>
      <c r="J147" s="163" t="str" cm="1">
        <f t="array" ref="J147">_xll.d.TestUtils_Equal(B147,F147)</f>
        <v>Ok</v>
      </c>
      <c r="K147" s="163" t="str" cm="1">
        <f t="array" ref="K147">_xll.d.TestUtils_Equal(C147,G147)</f>
        <v>Ok</v>
      </c>
      <c r="L147" s="163" t="str" cm="1">
        <f t="array" ref="L147">_xll.d.TestUtils_Equal(D147,H147)</f>
        <v>Ok</v>
      </c>
      <c r="M147" s="163" t="str" cm="1">
        <f t="array" ref="M147">_xll.d.TestUtils_Equal(E147,I147)</f>
        <v>Ok</v>
      </c>
    </row>
    <row r="148" spans="1:13">
      <c r="B148" s="76" t="str">
        <v>7Y</v>
      </c>
      <c r="C148" s="54" t="str">
        <v>JIBAR</v>
      </c>
      <c r="D148" s="54">
        <v>8.585000000000001E-2</v>
      </c>
      <c r="E148" s="54" t="str">
        <v>TRUE</v>
      </c>
      <c r="F148" s="874" t="s">
        <v>633</v>
      </c>
      <c r="G148" s="54" t="s">
        <v>33</v>
      </c>
      <c r="H148" s="54">
        <v>8.585000000000001E-2</v>
      </c>
      <c r="I148" s="77" t="s">
        <v>628</v>
      </c>
      <c r="J148" s="163" t="str" cm="1">
        <f t="array" ref="J148">_xll.d.TestUtils_Equal(B148,F148)</f>
        <v>Ok</v>
      </c>
      <c r="K148" s="163" t="str" cm="1">
        <f t="array" ref="K148">_xll.d.TestUtils_Equal(C148,G148)</f>
        <v>Ok</v>
      </c>
      <c r="L148" s="163" t="str" cm="1">
        <f t="array" ref="L148">_xll.d.TestUtils_Equal(D148,H148)</f>
        <v>Ok</v>
      </c>
      <c r="M148" s="163" t="str" cm="1">
        <f t="array" ref="M148">_xll.d.TestUtils_Equal(E148,I148)</f>
        <v>Ok</v>
      </c>
    </row>
    <row r="149" spans="1:13">
      <c r="B149" s="76" t="str">
        <v>8Y</v>
      </c>
      <c r="C149" s="54" t="str">
        <v>JIBAR</v>
      </c>
      <c r="D149" s="54">
        <v>8.7899999999999992E-2</v>
      </c>
      <c r="E149" s="54" t="str">
        <v>TRUE</v>
      </c>
      <c r="F149" s="874" t="s">
        <v>634</v>
      </c>
      <c r="G149" s="54" t="s">
        <v>33</v>
      </c>
      <c r="H149" s="54">
        <v>8.7899999999999992E-2</v>
      </c>
      <c r="I149" s="77" t="s">
        <v>628</v>
      </c>
      <c r="J149" s="163" t="str" cm="1">
        <f t="array" ref="J149">_xll.d.TestUtils_Equal(B149,F149)</f>
        <v>Ok</v>
      </c>
      <c r="K149" s="163" t="str" cm="1">
        <f t="array" ref="K149">_xll.d.TestUtils_Equal(C149,G149)</f>
        <v>Ok</v>
      </c>
      <c r="L149" s="163" t="str" cm="1">
        <f t="array" ref="L149">_xll.d.TestUtils_Equal(D149,H149)</f>
        <v>Ok</v>
      </c>
      <c r="M149" s="163" t="str" cm="1">
        <f t="array" ref="M149">_xll.d.TestUtils_Equal(E149,I149)</f>
        <v>Ok</v>
      </c>
    </row>
    <row r="150" spans="1:13">
      <c r="B150" s="76" t="str">
        <v>9Y</v>
      </c>
      <c r="C150" s="54" t="str">
        <v>JIBAR</v>
      </c>
      <c r="D150" s="54">
        <v>8.9499999999999996E-2</v>
      </c>
      <c r="E150" s="54" t="str">
        <v>TRUE</v>
      </c>
      <c r="F150" s="874" t="s">
        <v>635</v>
      </c>
      <c r="G150" s="54" t="s">
        <v>33</v>
      </c>
      <c r="H150" s="54">
        <v>8.9499999999999996E-2</v>
      </c>
      <c r="I150" s="77" t="s">
        <v>628</v>
      </c>
      <c r="J150" s="163" t="str" cm="1">
        <f t="array" ref="J150">_xll.d.TestUtils_Equal(B150,F150)</f>
        <v>Ok</v>
      </c>
      <c r="K150" s="163" t="str" cm="1">
        <f t="array" ref="K150">_xll.d.TestUtils_Equal(C150,G150)</f>
        <v>Ok</v>
      </c>
      <c r="L150" s="163" t="str" cm="1">
        <f t="array" ref="L150">_xll.d.TestUtils_Equal(D150,H150)</f>
        <v>Ok</v>
      </c>
      <c r="M150" s="163" t="str" cm="1">
        <f t="array" ref="M150">_xll.d.TestUtils_Equal(E150,I150)</f>
        <v>Ok</v>
      </c>
    </row>
    <row r="151" spans="1:13">
      <c r="B151" s="76" t="str">
        <v>10Y</v>
      </c>
      <c r="C151" s="54" t="str">
        <v>JIBAR</v>
      </c>
      <c r="D151" s="54">
        <v>9.06E-2</v>
      </c>
      <c r="E151" s="54" t="str">
        <v>TRUE</v>
      </c>
      <c r="F151" s="874" t="s">
        <v>636</v>
      </c>
      <c r="G151" s="54" t="s">
        <v>33</v>
      </c>
      <c r="H151" s="54">
        <v>9.06E-2</v>
      </c>
      <c r="I151" s="77" t="s">
        <v>628</v>
      </c>
      <c r="J151" s="163" t="str" cm="1">
        <f t="array" ref="J151">_xll.d.TestUtils_Equal(B151,F151)</f>
        <v>Ok</v>
      </c>
      <c r="K151" s="163" t="str" cm="1">
        <f t="array" ref="K151">_xll.d.TestUtils_Equal(C151,G151)</f>
        <v>Ok</v>
      </c>
      <c r="L151" s="163" t="str" cm="1">
        <f t="array" ref="L151">_xll.d.TestUtils_Equal(D151,H151)</f>
        <v>Ok</v>
      </c>
      <c r="M151" s="163" t="str" cm="1">
        <f t="array" ref="M151">_xll.d.TestUtils_Equal(E151,I151)</f>
        <v>Ok</v>
      </c>
    </row>
    <row r="152" spans="1:13">
      <c r="B152" s="76" t="str">
        <v>12Y</v>
      </c>
      <c r="C152" s="54" t="str">
        <v>JIBAR</v>
      </c>
      <c r="D152" s="54">
        <v>9.2600000000000002E-2</v>
      </c>
      <c r="E152" s="54" t="str">
        <v>TRUE</v>
      </c>
      <c r="F152" s="874" t="s">
        <v>637</v>
      </c>
      <c r="G152" s="54" t="s">
        <v>33</v>
      </c>
      <c r="H152" s="54">
        <v>9.2600000000000002E-2</v>
      </c>
      <c r="I152" s="77" t="s">
        <v>628</v>
      </c>
      <c r="J152" s="163" t="str" cm="1">
        <f t="array" ref="J152">_xll.d.TestUtils_Equal(B152,F152)</f>
        <v>Ok</v>
      </c>
      <c r="K152" s="163" t="str" cm="1">
        <f t="array" ref="K152">_xll.d.TestUtils_Equal(C152,G152)</f>
        <v>Ok</v>
      </c>
      <c r="L152" s="163" t="str" cm="1">
        <f t="array" ref="L152">_xll.d.TestUtils_Equal(D152,H152)</f>
        <v>Ok</v>
      </c>
      <c r="M152" s="163" t="str" cm="1">
        <f t="array" ref="M152">_xll.d.TestUtils_Equal(E152,I152)</f>
        <v>Ok</v>
      </c>
    </row>
    <row r="153" spans="1:13">
      <c r="B153" s="76" t="str">
        <v>15Y</v>
      </c>
      <c r="C153" s="54" t="str">
        <v>JIBAR</v>
      </c>
      <c r="D153" s="54">
        <v>9.3900000000000011E-2</v>
      </c>
      <c r="E153" s="54" t="str">
        <v>TRUE</v>
      </c>
      <c r="F153" s="874" t="s">
        <v>638</v>
      </c>
      <c r="G153" s="54" t="s">
        <v>33</v>
      </c>
      <c r="H153" s="54">
        <v>9.3900000000000011E-2</v>
      </c>
      <c r="I153" s="77" t="s">
        <v>628</v>
      </c>
      <c r="J153" s="163" t="str" cm="1">
        <f t="array" ref="J153">_xll.d.TestUtils_Equal(B153,F153)</f>
        <v>Ok</v>
      </c>
      <c r="K153" s="163" t="str" cm="1">
        <f t="array" ref="K153">_xll.d.TestUtils_Equal(C153,G153)</f>
        <v>Ok</v>
      </c>
      <c r="L153" s="163" t="str" cm="1">
        <f t="array" ref="L153">_xll.d.TestUtils_Equal(D153,H153)</f>
        <v>Ok</v>
      </c>
      <c r="M153" s="163" t="str" cm="1">
        <f t="array" ref="M153">_xll.d.TestUtils_Equal(E153,I153)</f>
        <v>Ok</v>
      </c>
    </row>
    <row r="154" spans="1:13">
      <c r="B154" s="76" t="str">
        <v>20Y</v>
      </c>
      <c r="C154" s="54" t="str">
        <v>JIBAR</v>
      </c>
      <c r="D154" s="54">
        <v>9.35E-2</v>
      </c>
      <c r="E154" s="54" t="str">
        <v>TRUE</v>
      </c>
      <c r="F154" s="874" t="s">
        <v>639</v>
      </c>
      <c r="G154" s="54" t="s">
        <v>33</v>
      </c>
      <c r="H154" s="54">
        <v>9.35E-2</v>
      </c>
      <c r="I154" s="77" t="s">
        <v>628</v>
      </c>
      <c r="J154" s="163" t="str" cm="1">
        <f t="array" ref="J154">_xll.d.TestUtils_Equal(B154,F154)</f>
        <v>Ok</v>
      </c>
      <c r="K154" s="163" t="str" cm="1">
        <f t="array" ref="K154">_xll.d.TestUtils_Equal(C154,G154)</f>
        <v>Ok</v>
      </c>
      <c r="L154" s="163" t="str" cm="1">
        <f t="array" ref="L154">_xll.d.TestUtils_Equal(D154,H154)</f>
        <v>Ok</v>
      </c>
      <c r="M154" s="163" t="str" cm="1">
        <f t="array" ref="M154">_xll.d.TestUtils_Equal(E154,I154)</f>
        <v>Ok</v>
      </c>
    </row>
    <row r="155" spans="1:13">
      <c r="B155" s="76" t="str">
        <v>25Y</v>
      </c>
      <c r="C155" s="54" t="str">
        <v>JIBAR</v>
      </c>
      <c r="D155" s="54">
        <v>9.2100000000000015E-2</v>
      </c>
      <c r="E155" s="54" t="str">
        <v>TRUE</v>
      </c>
      <c r="F155" s="874" t="s">
        <v>640</v>
      </c>
      <c r="G155" s="54" t="s">
        <v>33</v>
      </c>
      <c r="H155" s="54">
        <v>9.2100000000000015E-2</v>
      </c>
      <c r="I155" s="77" t="s">
        <v>628</v>
      </c>
      <c r="J155" s="163" t="str" cm="1">
        <f t="array" ref="J155">_xll.d.TestUtils_Equal(B155,F155)</f>
        <v>Ok</v>
      </c>
      <c r="K155" s="163" t="str" cm="1">
        <f t="array" ref="K155">_xll.d.TestUtils_Equal(C155,G155)</f>
        <v>Ok</v>
      </c>
      <c r="L155" s="163" t="str" cm="1">
        <f t="array" ref="L155">_xll.d.TestUtils_Equal(D155,H155)</f>
        <v>Ok</v>
      </c>
      <c r="M155" s="163" t="str" cm="1">
        <f t="array" ref="M155">_xll.d.TestUtils_Equal(E155,I155)</f>
        <v>Ok</v>
      </c>
    </row>
    <row r="156" spans="1:13">
      <c r="B156" s="78" t="str">
        <v>30Y</v>
      </c>
      <c r="C156" s="828" t="str">
        <v>JIBAR</v>
      </c>
      <c r="D156" s="828">
        <v>8.9700000000000002E-2</v>
      </c>
      <c r="E156" s="828" t="str">
        <v>TRUE</v>
      </c>
      <c r="F156" s="875" t="s">
        <v>641</v>
      </c>
      <c r="G156" s="828" t="s">
        <v>33</v>
      </c>
      <c r="H156" s="828">
        <v>8.9700000000000002E-2</v>
      </c>
      <c r="I156" s="79" t="s">
        <v>628</v>
      </c>
      <c r="J156" s="163" t="str" cm="1">
        <f t="array" ref="J156">_xll.d.TestUtils_Equal(B156,F156)</f>
        <v>Ok</v>
      </c>
      <c r="K156" s="163" t="str" cm="1">
        <f t="array" ref="K156">_xll.d.TestUtils_Equal(C156,G156)</f>
        <v>Ok</v>
      </c>
      <c r="L156" s="163" t="str" cm="1">
        <f t="array" ref="L156">_xll.d.TestUtils_Equal(D156,H156)</f>
        <v>Ok</v>
      </c>
      <c r="M156" s="163" t="str" cm="1">
        <f t="array" ref="M156">_xll.d.TestUtils_Equal(E156,I156)</f>
        <v>Ok</v>
      </c>
    </row>
    <row r="157" spans="1:13">
      <c r="A157" s="430"/>
      <c r="B157" s="430"/>
      <c r="C157" s="430"/>
      <c r="D157" s="430"/>
      <c r="E157" s="430"/>
      <c r="F157" s="430"/>
      <c r="G157" s="430"/>
      <c r="H157" s="430"/>
      <c r="I157" s="430"/>
      <c r="J157" s="430"/>
      <c r="K157" s="430"/>
    </row>
    <row r="158" spans="1:13">
      <c r="A158" s="430"/>
      <c r="B158" s="430"/>
      <c r="C158" s="430"/>
      <c r="D158" s="430"/>
      <c r="E158" s="430"/>
      <c r="F158" s="430"/>
      <c r="G158" s="430"/>
      <c r="H158" s="430"/>
      <c r="I158" s="430"/>
      <c r="J158" s="430"/>
      <c r="K158" s="430"/>
    </row>
    <row r="159" spans="1:13">
      <c r="A159" s="430"/>
      <c r="B159" s="430"/>
      <c r="C159" s="430"/>
      <c r="D159" s="430"/>
      <c r="E159" s="430"/>
      <c r="F159" s="430"/>
      <c r="G159" s="430"/>
      <c r="H159" s="430"/>
      <c r="I159" s="430"/>
      <c r="J159" s="430"/>
      <c r="K159" s="430"/>
    </row>
    <row r="160" spans="1:13">
      <c r="A160" s="430"/>
      <c r="B160" s="430"/>
      <c r="C160" s="430"/>
      <c r="D160" s="430"/>
      <c r="E160" s="430"/>
      <c r="F160" s="430"/>
      <c r="G160" s="430"/>
      <c r="H160" s="430"/>
      <c r="I160" s="430"/>
      <c r="J160" s="430"/>
      <c r="K160" s="430"/>
    </row>
    <row r="161" spans="1:11">
      <c r="A161" s="430"/>
      <c r="B161" s="430"/>
      <c r="C161" s="430"/>
      <c r="D161" s="430"/>
      <c r="E161" s="430"/>
      <c r="F161" s="430"/>
      <c r="G161" s="430"/>
      <c r="H161" s="430"/>
      <c r="I161" s="430"/>
      <c r="J161" s="430"/>
      <c r="K161" s="430"/>
    </row>
    <row r="162" spans="1:11">
      <c r="A162" s="430"/>
      <c r="B162" s="430"/>
      <c r="C162" s="430"/>
      <c r="D162" s="430"/>
      <c r="E162" s="430"/>
      <c r="F162" s="430"/>
      <c r="G162" s="430"/>
      <c r="H162" s="430"/>
      <c r="I162" s="430"/>
      <c r="J162" s="430"/>
      <c r="K162" s="430"/>
    </row>
    <row r="163" spans="1:11">
      <c r="A163" s="430"/>
      <c r="B163" s="430"/>
      <c r="C163" s="430"/>
      <c r="D163" s="430"/>
      <c r="E163" s="430"/>
      <c r="F163" s="430"/>
      <c r="G163" s="430"/>
      <c r="H163" s="430"/>
      <c r="I163" s="430"/>
      <c r="J163" s="430"/>
      <c r="K163" s="430"/>
    </row>
    <row r="164" spans="1:11">
      <c r="A164" s="430"/>
      <c r="B164" s="430"/>
      <c r="C164" s="430"/>
      <c r="D164" s="430"/>
      <c r="E164" s="430"/>
      <c r="F164" s="430"/>
      <c r="G164" s="430"/>
      <c r="H164" s="430"/>
      <c r="I164" s="430"/>
      <c r="J164" s="430"/>
      <c r="K164" s="430"/>
    </row>
    <row r="165" spans="1:11">
      <c r="A165" s="430"/>
      <c r="B165" s="430"/>
      <c r="C165" s="430"/>
      <c r="D165" s="430"/>
      <c r="E165" s="430"/>
      <c r="F165" s="430"/>
      <c r="G165" s="430"/>
      <c r="H165" s="430"/>
      <c r="I165" s="430"/>
      <c r="J165" s="430"/>
      <c r="K165" s="430"/>
    </row>
    <row r="166" spans="1:11">
      <c r="A166" s="430"/>
      <c r="B166" s="430"/>
      <c r="C166" s="430"/>
      <c r="D166" s="430"/>
      <c r="E166" s="430"/>
      <c r="F166" s="430"/>
      <c r="G166" s="430"/>
      <c r="H166" s="430"/>
      <c r="I166" s="430"/>
      <c r="J166" s="430"/>
      <c r="K166" s="430"/>
    </row>
    <row r="173" spans="1:11">
      <c r="C173" s="8"/>
      <c r="D173" s="797"/>
    </row>
    <row r="174" spans="1:11">
      <c r="C174" s="8"/>
      <c r="D174" s="797"/>
    </row>
    <row r="175" spans="1:11">
      <c r="C175" s="8"/>
      <c r="D175" s="797"/>
    </row>
    <row r="176" spans="1:11">
      <c r="C176" s="8"/>
      <c r="D176" s="797"/>
    </row>
    <row r="177" spans="3:4">
      <c r="C177" s="8"/>
      <c r="D177" s="797"/>
    </row>
    <row r="178" spans="3:4">
      <c r="C178" s="8"/>
      <c r="D178" s="797"/>
    </row>
    <row r="179" spans="3:4">
      <c r="C179" s="8"/>
      <c r="D179" s="797"/>
    </row>
    <row r="180" spans="3:4">
      <c r="C180" s="8"/>
      <c r="D180" s="797"/>
    </row>
    <row r="181" spans="3:4">
      <c r="C181" s="8"/>
      <c r="D181" s="797"/>
    </row>
    <row r="182" spans="3:4">
      <c r="C182" s="8"/>
      <c r="D182" s="797"/>
    </row>
    <row r="183" spans="3:4">
      <c r="D183" s="857"/>
    </row>
    <row r="184" spans="3:4">
      <c r="D184" s="857"/>
    </row>
    <row r="185" spans="3:4">
      <c r="D185" s="857"/>
    </row>
    <row r="232" spans="2:8">
      <c r="B232" s="1">
        <v>45016</v>
      </c>
    </row>
    <row r="233" spans="2:8">
      <c r="B233" t="s">
        <v>623</v>
      </c>
    </row>
    <row r="235" spans="2:8">
      <c r="B235" t="str" cm="1">
        <f t="array" ref="B235">_xll.d.Curve_Get("MyZarCurve",B233,B232)</f>
        <v>@@MyZarCurve::08:30:50</v>
      </c>
    </row>
    <row r="239" spans="2:8">
      <c r="B239" s="8">
        <f>B232</f>
        <v>45016</v>
      </c>
      <c r="C239" t="e" cm="1">
        <f t="array" aca="1" ref="C239" ca="1">_xll.d.Curve_GetDiscountFactors(B235,B239:B255)</f>
        <v>#VALUE!</v>
      </c>
      <c r="E239" t="str" cm="1">
        <f t="array" aca="1" ref="E239:H269" ca="1">_xll.d.Curve_GetInstruments(B235)</f>
        <v>Deposits</v>
      </c>
      <c r="F239" t="str">
        <f ca="1"/>
        <v/>
      </c>
      <c r="G239" t="str">
        <f ca="1"/>
        <v/>
      </c>
      <c r="H239" t="str">
        <f ca="1"/>
        <v/>
      </c>
    </row>
    <row r="240" spans="2:8">
      <c r="B240" s="8">
        <f>EDATE(B239,1)</f>
        <v>45046</v>
      </c>
      <c r="E240" t="str">
        <f ca="1"/>
        <v>Tenors</v>
      </c>
      <c r="F240" t="str">
        <f ca="1"/>
        <v>Rate Index</v>
      </c>
      <c r="G240" t="str">
        <f ca="1"/>
        <v>Rates</v>
      </c>
      <c r="H240" t="str">
        <f ca="1"/>
        <v>Include</v>
      </c>
    </row>
    <row r="241" spans="2:8">
      <c r="B241" s="8">
        <f t="shared" ref="B241:B255" si="8">EDATE(B240,1)</f>
        <v>45076</v>
      </c>
      <c r="E241" t="str">
        <f ca="1"/>
        <v>1D</v>
      </c>
      <c r="F241" t="str">
        <f ca="1"/>
        <v>JIBAR</v>
      </c>
      <c r="G241">
        <f ca="1"/>
        <v>7.0699999999999999E-2</v>
      </c>
      <c r="H241" t="str">
        <f ca="1"/>
        <v>TRUE</v>
      </c>
    </row>
    <row r="242" spans="2:8">
      <c r="B242" s="8">
        <f t="shared" si="8"/>
        <v>45107</v>
      </c>
      <c r="E242" t="str">
        <f ca="1"/>
        <v>1M</v>
      </c>
      <c r="F242" t="str">
        <f ca="1"/>
        <v>JIBAR</v>
      </c>
      <c r="G242">
        <f ca="1"/>
        <v>7.825E-2</v>
      </c>
      <c r="H242" t="str">
        <f ca="1"/>
        <v>TRUE</v>
      </c>
    </row>
    <row r="243" spans="2:8">
      <c r="B243" s="8">
        <f t="shared" si="8"/>
        <v>45137</v>
      </c>
      <c r="E243" t="str">
        <f ca="1"/>
        <v>3M</v>
      </c>
      <c r="F243" t="str">
        <f ca="1"/>
        <v>JIBAR</v>
      </c>
      <c r="G243">
        <f ca="1"/>
        <v>7.9579999999999998E-2</v>
      </c>
      <c r="H243" t="str">
        <f ca="1"/>
        <v>TRUE</v>
      </c>
    </row>
    <row r="244" spans="2:8">
      <c r="B244" s="8">
        <f t="shared" si="8"/>
        <v>45168</v>
      </c>
      <c r="E244" t="str">
        <f ca="1"/>
        <v/>
      </c>
      <c r="F244" t="str">
        <f ca="1"/>
        <v/>
      </c>
      <c r="G244" t="str">
        <f ca="1"/>
        <v/>
      </c>
      <c r="H244" t="str">
        <f ca="1"/>
        <v/>
      </c>
    </row>
    <row r="245" spans="2:8">
      <c r="B245" s="8">
        <f t="shared" si="8"/>
        <v>45199</v>
      </c>
      <c r="E245" t="str">
        <f ca="1"/>
        <v>FRAs</v>
      </c>
      <c r="F245" t="str">
        <f ca="1"/>
        <v/>
      </c>
      <c r="G245" t="str">
        <f ca="1"/>
        <v/>
      </c>
      <c r="H245" t="str">
        <f ca="1"/>
        <v/>
      </c>
    </row>
    <row r="246" spans="2:8">
      <c r="B246" s="8">
        <f t="shared" si="8"/>
        <v>45229</v>
      </c>
      <c r="E246" t="str">
        <f ca="1"/>
        <v>Fra Tenors</v>
      </c>
      <c r="F246" t="str">
        <f ca="1"/>
        <v>Rate Index</v>
      </c>
      <c r="G246" t="str">
        <f ca="1"/>
        <v>Rates</v>
      </c>
      <c r="H246" t="str">
        <f ca="1"/>
        <v>Include</v>
      </c>
    </row>
    <row r="247" spans="2:8">
      <c r="B247" s="8">
        <f t="shared" si="8"/>
        <v>45260</v>
      </c>
      <c r="E247" t="str">
        <f ca="1"/>
        <v>3x6</v>
      </c>
      <c r="F247" t="str">
        <f ca="1"/>
        <v>JIBAR</v>
      </c>
      <c r="G247">
        <f ca="1"/>
        <v>8.1799999999999998E-2</v>
      </c>
      <c r="H247" t="str">
        <f ca="1"/>
        <v>TRUE</v>
      </c>
    </row>
    <row r="248" spans="2:8">
      <c r="B248" s="8">
        <f t="shared" si="8"/>
        <v>45290</v>
      </c>
      <c r="E248" t="str">
        <f ca="1"/>
        <v>6x9</v>
      </c>
      <c r="F248" t="str">
        <f ca="1"/>
        <v>JIBAR</v>
      </c>
      <c r="G248">
        <f ca="1"/>
        <v>8.2200000000000009E-2</v>
      </c>
      <c r="H248" t="str">
        <f ca="1"/>
        <v>TRUE</v>
      </c>
    </row>
    <row r="249" spans="2:8">
      <c r="B249" s="8">
        <f t="shared" si="8"/>
        <v>45321</v>
      </c>
      <c r="E249" t="str">
        <f ca="1"/>
        <v>9x12</v>
      </c>
      <c r="F249" t="str">
        <f ca="1"/>
        <v>JIBAR</v>
      </c>
      <c r="G249">
        <f ca="1"/>
        <v>8.0749999999999988E-2</v>
      </c>
      <c r="H249" t="str">
        <f ca="1"/>
        <v>TRUE</v>
      </c>
    </row>
    <row r="250" spans="2:8">
      <c r="B250" s="8">
        <f t="shared" si="8"/>
        <v>45351</v>
      </c>
      <c r="E250" t="str">
        <f ca="1"/>
        <v>12x15</v>
      </c>
      <c r="F250" t="str">
        <f ca="1"/>
        <v>JIBAR</v>
      </c>
      <c r="G250">
        <f ca="1"/>
        <v>7.8100000000000003E-2</v>
      </c>
      <c r="H250" t="str">
        <f ca="1"/>
        <v>TRUE</v>
      </c>
    </row>
    <row r="251" spans="2:8">
      <c r="B251" s="8">
        <f t="shared" si="8"/>
        <v>45380</v>
      </c>
      <c r="E251" t="str">
        <f ca="1"/>
        <v>15x18</v>
      </c>
      <c r="F251" t="str">
        <f ca="1"/>
        <v>JIBAR</v>
      </c>
      <c r="G251">
        <f ca="1"/>
        <v>7.6649999999999996E-2</v>
      </c>
      <c r="H251" t="str">
        <f ca="1"/>
        <v>TRUE</v>
      </c>
    </row>
    <row r="252" spans="2:8">
      <c r="B252" s="8">
        <f t="shared" si="8"/>
        <v>45411</v>
      </c>
      <c r="E252" t="str">
        <f ca="1"/>
        <v>18x21</v>
      </c>
      <c r="F252" t="str">
        <f ca="1"/>
        <v>JIBAR</v>
      </c>
      <c r="G252">
        <f ca="1"/>
        <v>7.5649999999999995E-2</v>
      </c>
      <c r="H252" t="str">
        <f ca="1"/>
        <v>TRUE</v>
      </c>
    </row>
    <row r="253" spans="2:8">
      <c r="B253" s="8">
        <f t="shared" si="8"/>
        <v>45441</v>
      </c>
      <c r="E253" t="str">
        <f ca="1"/>
        <v>21x24</v>
      </c>
      <c r="F253" t="str">
        <f ca="1"/>
        <v>JIBAR</v>
      </c>
      <c r="G253">
        <f ca="1"/>
        <v>7.5199999999999989E-2</v>
      </c>
      <c r="H253" t="str">
        <f ca="1"/>
        <v>TRUE</v>
      </c>
    </row>
    <row r="254" spans="2:8">
      <c r="B254" s="8">
        <f t="shared" si="8"/>
        <v>45472</v>
      </c>
      <c r="E254" t="str">
        <f ca="1"/>
        <v/>
      </c>
      <c r="F254" t="str">
        <f ca="1"/>
        <v/>
      </c>
      <c r="G254" t="str">
        <f ca="1"/>
        <v/>
      </c>
      <c r="H254" t="str">
        <f ca="1"/>
        <v/>
      </c>
    </row>
    <row r="255" spans="2:8">
      <c r="B255" s="8">
        <f t="shared" si="8"/>
        <v>45502</v>
      </c>
      <c r="E255" t="str">
        <f ca="1"/>
        <v>Interest Rate Swaps</v>
      </c>
      <c r="F255" t="str">
        <f ca="1"/>
        <v/>
      </c>
      <c r="G255" t="str">
        <f ca="1"/>
        <v/>
      </c>
      <c r="H255" t="str">
        <f ca="1"/>
        <v/>
      </c>
    </row>
    <row r="256" spans="2:8">
      <c r="E256" t="str">
        <f ca="1"/>
        <v>Tenors</v>
      </c>
      <c r="F256" t="str">
        <f ca="1"/>
        <v>Rate Index</v>
      </c>
      <c r="G256" t="str">
        <f ca="1"/>
        <v>Rates</v>
      </c>
      <c r="H256" t="str">
        <f ca="1"/>
        <v>Include</v>
      </c>
    </row>
    <row r="257" spans="2:8">
      <c r="E257" t="str">
        <f ca="1"/>
        <v>3Y</v>
      </c>
      <c r="F257" t="str">
        <f ca="1"/>
        <v>JIBAR</v>
      </c>
      <c r="G257">
        <f ca="1"/>
        <v>7.85E-2</v>
      </c>
      <c r="H257" t="str">
        <f ca="1"/>
        <v>TRUE</v>
      </c>
    </row>
    <row r="258" spans="2:8">
      <c r="E258" t="str">
        <f ca="1"/>
        <v>4Y</v>
      </c>
      <c r="F258" t="str">
        <f ca="1"/>
        <v>JIBAR</v>
      </c>
      <c r="G258">
        <f ca="1"/>
        <v>7.9500000000000001E-2</v>
      </c>
      <c r="H258" t="str">
        <f ca="1"/>
        <v>TRUE</v>
      </c>
    </row>
    <row r="259" spans="2:8">
      <c r="E259" t="str">
        <f ca="1"/>
        <v>5Y</v>
      </c>
      <c r="F259" t="str">
        <f ca="1"/>
        <v>JIBAR</v>
      </c>
      <c r="G259">
        <f ca="1"/>
        <v>8.1199999999999994E-2</v>
      </c>
      <c r="H259" t="str">
        <f ca="1"/>
        <v>TRUE</v>
      </c>
    </row>
    <row r="260" spans="2:8">
      <c r="E260" t="str">
        <f ca="1"/>
        <v>6Y</v>
      </c>
      <c r="F260" t="str">
        <f ca="1"/>
        <v>JIBAR</v>
      </c>
      <c r="G260">
        <f ca="1"/>
        <v>8.3499999999999991E-2</v>
      </c>
      <c r="H260" t="str">
        <f ca="1"/>
        <v>TRUE</v>
      </c>
    </row>
    <row r="261" spans="2:8">
      <c r="E261" t="str">
        <f ca="1"/>
        <v>7Y</v>
      </c>
      <c r="F261" t="str">
        <f ca="1"/>
        <v>JIBAR</v>
      </c>
      <c r="G261">
        <f ca="1"/>
        <v>8.585000000000001E-2</v>
      </c>
      <c r="H261" t="str">
        <f ca="1"/>
        <v>TRUE</v>
      </c>
    </row>
    <row r="262" spans="2:8">
      <c r="E262" t="str">
        <f ca="1"/>
        <v>8Y</v>
      </c>
      <c r="F262" t="str">
        <f ca="1"/>
        <v>JIBAR</v>
      </c>
      <c r="G262">
        <f ca="1"/>
        <v>8.7899999999999992E-2</v>
      </c>
      <c r="H262" t="str">
        <f ca="1"/>
        <v>TRUE</v>
      </c>
    </row>
    <row r="263" spans="2:8">
      <c r="E263" t="str">
        <f ca="1"/>
        <v>9Y</v>
      </c>
      <c r="F263" t="str">
        <f ca="1"/>
        <v>JIBAR</v>
      </c>
      <c r="G263">
        <f ca="1"/>
        <v>8.9499999999999996E-2</v>
      </c>
      <c r="H263" t="str">
        <f ca="1"/>
        <v>TRUE</v>
      </c>
    </row>
    <row r="264" spans="2:8">
      <c r="E264" t="str">
        <f ca="1"/>
        <v>10Y</v>
      </c>
      <c r="F264" t="str">
        <f ca="1"/>
        <v>JIBAR</v>
      </c>
      <c r="G264">
        <f ca="1"/>
        <v>9.06E-2</v>
      </c>
      <c r="H264" t="str">
        <f ca="1"/>
        <v>TRUE</v>
      </c>
    </row>
    <row r="265" spans="2:8">
      <c r="E265" t="str">
        <f ca="1"/>
        <v>12Y</v>
      </c>
      <c r="F265" t="str">
        <f ca="1"/>
        <v>JIBAR</v>
      </c>
      <c r="G265">
        <f ca="1"/>
        <v>9.2600000000000002E-2</v>
      </c>
      <c r="H265" t="str">
        <f ca="1"/>
        <v>TRUE</v>
      </c>
    </row>
    <row r="266" spans="2:8">
      <c r="E266" t="str">
        <f ca="1"/>
        <v>15Y</v>
      </c>
      <c r="F266" t="str">
        <f ca="1"/>
        <v>JIBAR</v>
      </c>
      <c r="G266">
        <f ca="1"/>
        <v>9.3900000000000011E-2</v>
      </c>
      <c r="H266" t="str">
        <f ca="1"/>
        <v>TRUE</v>
      </c>
    </row>
    <row r="267" spans="2:8">
      <c r="E267" t="str">
        <f ca="1"/>
        <v>20Y</v>
      </c>
      <c r="F267" t="str">
        <f ca="1"/>
        <v>JIBAR</v>
      </c>
      <c r="G267">
        <f ca="1"/>
        <v>9.35E-2</v>
      </c>
      <c r="H267" t="str">
        <f ca="1"/>
        <v>TRUE</v>
      </c>
    </row>
    <row r="268" spans="2:8">
      <c r="E268" t="str">
        <f ca="1"/>
        <v>25Y</v>
      </c>
      <c r="F268" t="str">
        <f ca="1"/>
        <v>JIBAR</v>
      </c>
      <c r="G268">
        <f ca="1"/>
        <v>9.2100000000000015E-2</v>
      </c>
      <c r="H268" t="str">
        <f ca="1"/>
        <v>TRUE</v>
      </c>
    </row>
    <row r="269" spans="2:8">
      <c r="E269" t="str">
        <f ca="1"/>
        <v>30Y</v>
      </c>
      <c r="F269" t="str">
        <f ca="1"/>
        <v>JIBAR</v>
      </c>
      <c r="G269">
        <f ca="1"/>
        <v>8.9700000000000002E-2</v>
      </c>
      <c r="H269" t="str">
        <f ca="1"/>
        <v>TRUE</v>
      </c>
    </row>
    <row r="271" spans="2:8">
      <c r="B271" s="1">
        <v>45015</v>
      </c>
    </row>
    <row r="273" spans="2:6">
      <c r="B273" t="str" cm="1">
        <f t="array" aca="1" ref="B273" ca="1">_xll.d.Curve_Get("MyOIS","USD-OIS",B271)</f>
        <v>#∂Excel Error: Unknown error: One or more errors occurred. (Server error: "42703: column \"q0\" does not exist\n\nPOSITION: 372")</v>
      </c>
    </row>
    <row r="275" spans="2:6">
      <c r="B275" s="8">
        <v>45016</v>
      </c>
      <c r="C275" t="e" cm="1">
        <f t="array" aca="1" ref="C275" ca="1">_xll.d.Curve_GetDiscountFactors(B273,B275:B291)</f>
        <v>#VALUE!</v>
      </c>
      <c r="F275" t="e" cm="1">
        <f t="array" aca="1" ref="F275" ca="1">_xll.d.Curve_GetInstruments(B273)</f>
        <v>#VALUE!</v>
      </c>
    </row>
    <row r="276" spans="2:6">
      <c r="B276" s="8">
        <v>45046</v>
      </c>
    </row>
    <row r="277" spans="2:6">
      <c r="B277" s="8">
        <v>45076</v>
      </c>
    </row>
    <row r="278" spans="2:6">
      <c r="B278" s="8">
        <v>45107</v>
      </c>
    </row>
    <row r="279" spans="2:6">
      <c r="B279" s="8">
        <v>45137</v>
      </c>
    </row>
    <row r="280" spans="2:6">
      <c r="B280" s="8">
        <v>45168</v>
      </c>
    </row>
    <row r="281" spans="2:6">
      <c r="B281" s="8">
        <v>45199</v>
      </c>
    </row>
    <row r="282" spans="2:6">
      <c r="B282" s="8">
        <v>45229</v>
      </c>
    </row>
    <row r="283" spans="2:6">
      <c r="B283" s="8">
        <v>45260</v>
      </c>
    </row>
    <row r="284" spans="2:6">
      <c r="B284" s="8">
        <v>45290</v>
      </c>
    </row>
    <row r="285" spans="2:6">
      <c r="B285" s="8">
        <v>45321</v>
      </c>
    </row>
    <row r="286" spans="2:6">
      <c r="B286" s="8">
        <v>45351</v>
      </c>
    </row>
    <row r="287" spans="2:6">
      <c r="B287" s="8">
        <v>45380</v>
      </c>
    </row>
    <row r="288" spans="2:6">
      <c r="B288" s="8">
        <v>45411</v>
      </c>
    </row>
    <row r="289" spans="2:2">
      <c r="B289" s="8">
        <v>45441</v>
      </c>
    </row>
    <row r="290" spans="2:2">
      <c r="B290" s="8">
        <v>45472</v>
      </c>
    </row>
    <row r="291" spans="2:2">
      <c r="B291" s="8">
        <v>45502</v>
      </c>
    </row>
  </sheetData>
  <mergeCells count="6">
    <mergeCell ref="C34:D34"/>
    <mergeCell ref="C36:D36"/>
    <mergeCell ref="M36:N36"/>
    <mergeCell ref="M34:N34"/>
    <mergeCell ref="AC34:AD34"/>
    <mergeCell ref="AC35:AD35"/>
  </mergeCells>
  <conditionalFormatting sqref="H12 BW34 V32:W32 U24:Y24 U28 D18 I33:I38 S29 T33:U43 T84:T89 V33:Y77 AI33:AI39 U31:U89 Y28 U29:Y29 H16:H17">
    <cfRule type="cellIs" dxfId="509" priority="211" stopIfTrue="1" operator="equal">
      <formula>"ERROR"</formula>
    </cfRule>
    <cfRule type="cellIs" dxfId="508" priority="212" stopIfTrue="1" operator="equal">
      <formula>"OK"</formula>
    </cfRule>
    <cfRule type="cellIs" dxfId="507" priority="213" stopIfTrue="1" operator="equal">
      <formula>"WARNING"</formula>
    </cfRule>
  </conditionalFormatting>
  <conditionalFormatting sqref="C6">
    <cfRule type="cellIs" dxfId="506" priority="208" stopIfTrue="1" operator="equal">
      <formula>"ERROR"</formula>
    </cfRule>
    <cfRule type="cellIs" dxfId="505" priority="209" stopIfTrue="1" operator="equal">
      <formula>"OK"</formula>
    </cfRule>
    <cfRule type="cellIs" dxfId="504" priority="210" stopIfTrue="1" operator="equal">
      <formula>"WARNING"</formula>
    </cfRule>
  </conditionalFormatting>
  <conditionalFormatting sqref="C25">
    <cfRule type="cellIs" dxfId="503" priority="205" stopIfTrue="1" operator="equal">
      <formula>"ERROR"</formula>
    </cfRule>
    <cfRule type="cellIs" dxfId="502" priority="206" stopIfTrue="1" operator="equal">
      <formula>"OK"</formula>
    </cfRule>
    <cfRule type="cellIs" dxfId="501" priority="207" stopIfTrue="1" operator="equal">
      <formula>"WARNING"</formula>
    </cfRule>
  </conditionalFormatting>
  <conditionalFormatting sqref="AC25">
    <cfRule type="cellIs" dxfId="500" priority="202" stopIfTrue="1" operator="equal">
      <formula>"ERROR"</formula>
    </cfRule>
    <cfRule type="cellIs" dxfId="499" priority="203" stopIfTrue="1" operator="equal">
      <formula>"OK"</formula>
    </cfRule>
    <cfRule type="cellIs" dxfId="498" priority="204" stopIfTrue="1" operator="equal">
      <formula>"WARNING"</formula>
    </cfRule>
  </conditionalFormatting>
  <conditionalFormatting sqref="I59:I60">
    <cfRule type="cellIs" dxfId="497" priority="217" stopIfTrue="1" operator="equal">
      <formula>"ERROR"</formula>
    </cfRule>
    <cfRule type="cellIs" dxfId="496" priority="218" stopIfTrue="1" operator="equal">
      <formula>"OK"</formula>
    </cfRule>
    <cfRule type="cellIs" dxfId="495" priority="219" stopIfTrue="1" operator="equal">
      <formula>"WARNING"</formula>
    </cfRule>
  </conditionalFormatting>
  <conditionalFormatting sqref="M25">
    <cfRule type="cellIs" dxfId="494" priority="193" stopIfTrue="1" operator="equal">
      <formula>"ERROR"</formula>
    </cfRule>
    <cfRule type="cellIs" dxfId="493" priority="194" stopIfTrue="1" operator="equal">
      <formula>"OK"</formula>
    </cfRule>
    <cfRule type="cellIs" dxfId="492" priority="195" stopIfTrue="1" operator="equal">
      <formula>"WARNING"</formula>
    </cfRule>
  </conditionalFormatting>
  <conditionalFormatting sqref="H13">
    <cfRule type="cellIs" dxfId="491" priority="220" stopIfTrue="1" operator="equal">
      <formula>"ERROR"</formula>
    </cfRule>
    <cfRule type="cellIs" dxfId="490" priority="221" stopIfTrue="1" operator="equal">
      <formula>"OK"</formula>
    </cfRule>
    <cfRule type="cellIs" dxfId="489" priority="222" stopIfTrue="1" operator="equal">
      <formula>"WARNING"</formula>
    </cfRule>
  </conditionalFormatting>
  <conditionalFormatting sqref="AI55:AI60">
    <cfRule type="cellIs" dxfId="488" priority="178" stopIfTrue="1" operator="equal">
      <formula>"ERROR"</formula>
    </cfRule>
    <cfRule type="cellIs" dxfId="487" priority="179" stopIfTrue="1" operator="equal">
      <formula>"OK"</formula>
    </cfRule>
    <cfRule type="cellIs" dxfId="486" priority="180" stopIfTrue="1" operator="equal">
      <formula>"WARNING"</formula>
    </cfRule>
  </conditionalFormatting>
  <conditionalFormatting sqref="AK32:AL32 AK33:AK48 AM33:AN33 AM34:AM48 AN34:AN52 AN54">
    <cfRule type="cellIs" dxfId="485" priority="163" stopIfTrue="1" operator="equal">
      <formula>"ERROR"</formula>
    </cfRule>
    <cfRule type="cellIs" dxfId="484" priority="164" stopIfTrue="1" operator="equal">
      <formula>"OK"</formula>
    </cfRule>
    <cfRule type="cellIs" dxfId="483" priority="165" stopIfTrue="1" operator="equal">
      <formula>"WARNING"</formula>
    </cfRule>
  </conditionalFormatting>
  <conditionalFormatting sqref="AL33:AL48">
    <cfRule type="cellIs" dxfId="482" priority="160" stopIfTrue="1" operator="equal">
      <formula>"ERROR"</formula>
    </cfRule>
    <cfRule type="cellIs" dxfId="481" priority="161" stopIfTrue="1" operator="equal">
      <formula>"OK"</formula>
    </cfRule>
    <cfRule type="cellIs" dxfId="480" priority="162" stopIfTrue="1" operator="equal">
      <formula>"WARNING"</formula>
    </cfRule>
  </conditionalFormatting>
  <conditionalFormatting sqref="AK54 AM54">
    <cfRule type="cellIs" dxfId="479" priority="157" stopIfTrue="1" operator="equal">
      <formula>"ERROR"</formula>
    </cfRule>
    <cfRule type="cellIs" dxfId="478" priority="158" stopIfTrue="1" operator="equal">
      <formula>"OK"</formula>
    </cfRule>
    <cfRule type="cellIs" dxfId="477" priority="159" stopIfTrue="1" operator="equal">
      <formula>"WARNING"</formula>
    </cfRule>
  </conditionalFormatting>
  <conditionalFormatting sqref="AL54">
    <cfRule type="cellIs" dxfId="476" priority="154" stopIfTrue="1" operator="equal">
      <formula>"ERROR"</formula>
    </cfRule>
    <cfRule type="cellIs" dxfId="475" priority="155" stopIfTrue="1" operator="equal">
      <formula>"OK"</formula>
    </cfRule>
    <cfRule type="cellIs" dxfId="474" priority="156" stopIfTrue="1" operator="equal">
      <formula>"WARNING"</formula>
    </cfRule>
  </conditionalFormatting>
  <conditionalFormatting sqref="AK49:AK52 AM49:AM52">
    <cfRule type="cellIs" dxfId="473" priority="151" stopIfTrue="1" operator="equal">
      <formula>"ERROR"</formula>
    </cfRule>
    <cfRule type="cellIs" dxfId="472" priority="152" stopIfTrue="1" operator="equal">
      <formula>"OK"</formula>
    </cfRule>
    <cfRule type="cellIs" dxfId="471" priority="153" stopIfTrue="1" operator="equal">
      <formula>"WARNING"</formula>
    </cfRule>
  </conditionalFormatting>
  <conditionalFormatting sqref="AL49:AL52">
    <cfRule type="cellIs" dxfId="470" priority="148" stopIfTrue="1" operator="equal">
      <formula>"ERROR"</formula>
    </cfRule>
    <cfRule type="cellIs" dxfId="469" priority="149" stopIfTrue="1" operator="equal">
      <formula>"OK"</formula>
    </cfRule>
    <cfRule type="cellIs" dxfId="468" priority="150" stopIfTrue="1" operator="equal">
      <formula>"WARNING"</formula>
    </cfRule>
  </conditionalFormatting>
  <conditionalFormatting sqref="H106:J121 J126:M156">
    <cfRule type="cellIs" dxfId="467" priority="223" stopIfTrue="1" operator="equal">
      <formula>"ERROR"</formula>
    </cfRule>
  </conditionalFormatting>
  <conditionalFormatting sqref="H106:J121 J126:M156">
    <cfRule type="cellIs" dxfId="466" priority="224" stopIfTrue="1" operator="equal">
      <formula>"OK"</formula>
    </cfRule>
  </conditionalFormatting>
  <conditionalFormatting sqref="H106:J121 J126:M156">
    <cfRule type="cellIs" dxfId="465" priority="225" stopIfTrue="1" operator="equal">
      <formula>"WARNING"</formula>
    </cfRule>
  </conditionalFormatting>
  <conditionalFormatting sqref="C102">
    <cfRule type="cellIs" dxfId="464" priority="85" stopIfTrue="1" operator="equal">
      <formula>"ERROR"</formula>
    </cfRule>
  </conditionalFormatting>
  <conditionalFormatting sqref="C102">
    <cfRule type="cellIs" dxfId="463" priority="86" stopIfTrue="1" operator="equal">
      <formula>"OK"</formula>
    </cfRule>
  </conditionalFormatting>
  <conditionalFormatting sqref="C102">
    <cfRule type="cellIs" dxfId="462" priority="87" stopIfTrue="1" operator="equal">
      <formula>"WARNING"</formula>
    </cfRule>
  </conditionalFormatting>
  <conditionalFormatting sqref="C103">
    <cfRule type="cellIs" dxfId="461" priority="82" stopIfTrue="1" operator="equal">
      <formula>"ERROR"</formula>
    </cfRule>
  </conditionalFormatting>
  <conditionalFormatting sqref="C103">
    <cfRule type="cellIs" dxfId="460" priority="83" stopIfTrue="1" operator="equal">
      <formula>"OK"</formula>
    </cfRule>
  </conditionalFormatting>
  <conditionalFormatting sqref="C103">
    <cfRule type="cellIs" dxfId="459" priority="84" stopIfTrue="1" operator="equal">
      <formula>"WARNING"</formula>
    </cfRule>
  </conditionalFormatting>
  <conditionalFormatting sqref="D12">
    <cfRule type="cellIs" dxfId="458" priority="79" stopIfTrue="1" operator="equal">
      <formula>"ERROR"</formula>
    </cfRule>
    <cfRule type="cellIs" dxfId="457" priority="80" stopIfTrue="1" operator="equal">
      <formula>"OK"</formula>
    </cfRule>
    <cfRule type="cellIs" dxfId="456" priority="81" stopIfTrue="1" operator="equal">
      <formula>"WARNING"</formula>
    </cfRule>
  </conditionalFormatting>
  <conditionalFormatting sqref="F86:F98">
    <cfRule type="cellIs" dxfId="455" priority="226" stopIfTrue="1" operator="equal">
      <formula>"ERROR"</formula>
    </cfRule>
  </conditionalFormatting>
  <conditionalFormatting sqref="F86:F98">
    <cfRule type="cellIs" dxfId="454" priority="227" stopIfTrue="1" operator="equal">
      <formula>"OK"</formula>
    </cfRule>
  </conditionalFormatting>
  <conditionalFormatting sqref="F86:F98">
    <cfRule type="cellIs" dxfId="453" priority="228" stopIfTrue="1" operator="equal">
      <formula>"WARNING"</formula>
    </cfRule>
  </conditionalFormatting>
  <conditionalFormatting sqref="C75">
    <cfRule type="cellIs" dxfId="452" priority="76" stopIfTrue="1" operator="equal">
      <formula>"ERROR"</formula>
    </cfRule>
  </conditionalFormatting>
  <conditionalFormatting sqref="C75">
    <cfRule type="cellIs" dxfId="451" priority="77" stopIfTrue="1" operator="equal">
      <formula>"OK"</formula>
    </cfRule>
  </conditionalFormatting>
  <conditionalFormatting sqref="C75">
    <cfRule type="cellIs" dxfId="450" priority="78" stopIfTrue="1" operator="equal">
      <formula>"WARNING"</formula>
    </cfRule>
  </conditionalFormatting>
  <conditionalFormatting sqref="D11">
    <cfRule type="cellIs" dxfId="449" priority="229" stopIfTrue="1" operator="equal">
      <formula>"ERROR"</formula>
    </cfRule>
    <cfRule type="cellIs" dxfId="448" priority="230" stopIfTrue="1" operator="equal">
      <formula>"OK"</formula>
    </cfRule>
    <cfRule type="cellIs" dxfId="447" priority="231" stopIfTrue="1" operator="equal">
      <formula>"WARNING"</formula>
    </cfRule>
  </conditionalFormatting>
  <conditionalFormatting sqref="G28">
    <cfRule type="cellIs" dxfId="446" priority="73" stopIfTrue="1" operator="equal">
      <formula>"ERROR"</formula>
    </cfRule>
    <cfRule type="cellIs" dxfId="445" priority="74" stopIfTrue="1" operator="equal">
      <formula>"OK"</formula>
    </cfRule>
    <cfRule type="cellIs" dxfId="444" priority="75" stopIfTrue="1" operator="equal">
      <formula>"WARNING"</formula>
    </cfRule>
  </conditionalFormatting>
  <conditionalFormatting sqref="X29">
    <cfRule type="cellIs" dxfId="443" priority="70" stopIfTrue="1" operator="equal">
      <formula>"ERROR"</formula>
    </cfRule>
    <cfRule type="cellIs" dxfId="442" priority="71" stopIfTrue="1" operator="equal">
      <formula>"OK"</formula>
    </cfRule>
    <cfRule type="cellIs" dxfId="441" priority="72" stopIfTrue="1" operator="equal">
      <formula>"WARNING"</formula>
    </cfRule>
  </conditionalFormatting>
  <conditionalFormatting sqref="AH29">
    <cfRule type="cellIs" dxfId="440" priority="67" stopIfTrue="1" operator="equal">
      <formula>"ERROR"</formula>
    </cfRule>
    <cfRule type="cellIs" dxfId="439" priority="68" stopIfTrue="1" operator="equal">
      <formula>"OK"</formula>
    </cfRule>
    <cfRule type="cellIs" dxfId="438" priority="69" stopIfTrue="1" operator="equal">
      <formula>"WARNING"</formula>
    </cfRule>
  </conditionalFormatting>
  <conditionalFormatting sqref="AH29">
    <cfRule type="cellIs" dxfId="437" priority="64" stopIfTrue="1" operator="equal">
      <formula>"ERROR"</formula>
    </cfRule>
    <cfRule type="cellIs" dxfId="436" priority="65" stopIfTrue="1" operator="equal">
      <formula>"OK"</formula>
    </cfRule>
    <cfRule type="cellIs" dxfId="435" priority="66" stopIfTrue="1" operator="equal">
      <formula>"WARNING"</formula>
    </cfRule>
  </conditionalFormatting>
  <conditionalFormatting sqref="AM29">
    <cfRule type="cellIs" dxfId="434" priority="61" stopIfTrue="1" operator="equal">
      <formula>"ERROR"</formula>
    </cfRule>
    <cfRule type="cellIs" dxfId="433" priority="62" stopIfTrue="1" operator="equal">
      <formula>"OK"</formula>
    </cfRule>
    <cfRule type="cellIs" dxfId="432" priority="63" stopIfTrue="1" operator="equal">
      <formula>"WARNING"</formula>
    </cfRule>
  </conditionalFormatting>
  <conditionalFormatting sqref="AM29">
    <cfRule type="cellIs" dxfId="431" priority="58" stopIfTrue="1" operator="equal">
      <formula>"ERROR"</formula>
    </cfRule>
    <cfRule type="cellIs" dxfId="430" priority="59" stopIfTrue="1" operator="equal">
      <formula>"OK"</formula>
    </cfRule>
    <cfRule type="cellIs" dxfId="429" priority="60" stopIfTrue="1" operator="equal">
      <formula>"WARNING"</formula>
    </cfRule>
  </conditionalFormatting>
  <conditionalFormatting sqref="AH28">
    <cfRule type="cellIs" dxfId="428" priority="55" stopIfTrue="1" operator="equal">
      <formula>"ERROR"</formula>
    </cfRule>
    <cfRule type="cellIs" dxfId="427" priority="56" stopIfTrue="1" operator="equal">
      <formula>"OK"</formula>
    </cfRule>
    <cfRule type="cellIs" dxfId="426" priority="57" stopIfTrue="1" operator="equal">
      <formula>"WARNING"</formula>
    </cfRule>
  </conditionalFormatting>
  <conditionalFormatting sqref="AH28">
    <cfRule type="cellIs" dxfId="425" priority="52" stopIfTrue="1" operator="equal">
      <formula>"ERROR"</formula>
    </cfRule>
    <cfRule type="cellIs" dxfId="424" priority="53" stopIfTrue="1" operator="equal">
      <formula>"OK"</formula>
    </cfRule>
    <cfRule type="cellIs" dxfId="423" priority="54" stopIfTrue="1" operator="equal">
      <formula>"WARNING"</formula>
    </cfRule>
  </conditionalFormatting>
  <conditionalFormatting sqref="AJ26 AN28">
    <cfRule type="cellIs" dxfId="422" priority="49" stopIfTrue="1" operator="equal">
      <formula>"ERROR"</formula>
    </cfRule>
    <cfRule type="cellIs" dxfId="421" priority="50" stopIfTrue="1" operator="equal">
      <formula>"OK"</formula>
    </cfRule>
    <cfRule type="cellIs" dxfId="420" priority="51" stopIfTrue="1" operator="equal">
      <formula>"WARNING"</formula>
    </cfRule>
  </conditionalFormatting>
  <conditionalFormatting sqref="L86:L98">
    <cfRule type="cellIs" dxfId="419" priority="25" stopIfTrue="1" operator="equal">
      <formula>"ERROR"</formula>
    </cfRule>
  </conditionalFormatting>
  <conditionalFormatting sqref="L86:L98">
    <cfRule type="cellIs" dxfId="418" priority="26" stopIfTrue="1" operator="equal">
      <formula>"OK"</formula>
    </cfRule>
  </conditionalFormatting>
  <conditionalFormatting sqref="L86:L98">
    <cfRule type="cellIs" dxfId="417" priority="27" stopIfTrue="1" operator="equal">
      <formula>"WARNING"</formula>
    </cfRule>
  </conditionalFormatting>
  <conditionalFormatting sqref="I75">
    <cfRule type="cellIs" dxfId="416" priority="22" stopIfTrue="1" operator="equal">
      <formula>"ERROR"</formula>
    </cfRule>
  </conditionalFormatting>
  <conditionalFormatting sqref="I75">
    <cfRule type="cellIs" dxfId="415" priority="23" stopIfTrue="1" operator="equal">
      <formula>"OK"</formula>
    </cfRule>
  </conditionalFormatting>
  <conditionalFormatting sqref="I75">
    <cfRule type="cellIs" dxfId="414" priority="24" stopIfTrue="1" operator="equal">
      <formula>"WARNING"</formula>
    </cfRule>
  </conditionalFormatting>
  <conditionalFormatting sqref="AN53">
    <cfRule type="cellIs" dxfId="413" priority="19" stopIfTrue="1" operator="equal">
      <formula>"ERROR"</formula>
    </cfRule>
    <cfRule type="cellIs" dxfId="412" priority="20" stopIfTrue="1" operator="equal">
      <formula>"OK"</formula>
    </cfRule>
    <cfRule type="cellIs" dxfId="411" priority="21" stopIfTrue="1" operator="equal">
      <formula>"WARNING"</formula>
    </cfRule>
  </conditionalFormatting>
  <conditionalFormatting sqref="AK53 AM53">
    <cfRule type="cellIs" dxfId="410" priority="16" stopIfTrue="1" operator="equal">
      <formula>"ERROR"</formula>
    </cfRule>
    <cfRule type="cellIs" dxfId="409" priority="17" stopIfTrue="1" operator="equal">
      <formula>"OK"</formula>
    </cfRule>
    <cfRule type="cellIs" dxfId="408" priority="18" stopIfTrue="1" operator="equal">
      <formula>"WARNING"</formula>
    </cfRule>
  </conditionalFormatting>
  <conditionalFormatting sqref="AL53">
    <cfRule type="cellIs" dxfId="407" priority="13" stopIfTrue="1" operator="equal">
      <formula>"ERROR"</formula>
    </cfRule>
    <cfRule type="cellIs" dxfId="406" priority="14" stopIfTrue="1" operator="equal">
      <formula>"OK"</formula>
    </cfRule>
    <cfRule type="cellIs" dxfId="405" priority="15" stopIfTrue="1" operator="equal">
      <formula>"WARNING"</formula>
    </cfRule>
  </conditionalFormatting>
  <conditionalFormatting sqref="AX33:AX38">
    <cfRule type="cellIs" dxfId="404" priority="7" stopIfTrue="1" operator="equal">
      <formula>"ERROR"</formula>
    </cfRule>
    <cfRule type="cellIs" dxfId="403" priority="8" stopIfTrue="1" operator="equal">
      <formula>"OK"</formula>
    </cfRule>
    <cfRule type="cellIs" dxfId="402" priority="9" stopIfTrue="1" operator="equal">
      <formula>"WARNING"</formula>
    </cfRule>
  </conditionalFormatting>
  <conditionalFormatting sqref="AR25">
    <cfRule type="cellIs" dxfId="401" priority="4" stopIfTrue="1" operator="equal">
      <formula>"ERROR"</formula>
    </cfRule>
    <cfRule type="cellIs" dxfId="400" priority="5" stopIfTrue="1" operator="equal">
      <formula>"OK"</formula>
    </cfRule>
    <cfRule type="cellIs" dxfId="399" priority="6" stopIfTrue="1" operator="equal">
      <formula>"WARNING"</formula>
    </cfRule>
  </conditionalFormatting>
  <conditionalFormatting sqref="AX59:AX60">
    <cfRule type="cellIs" dxfId="398" priority="10" stopIfTrue="1" operator="equal">
      <formula>"ERROR"</formula>
    </cfRule>
    <cfRule type="cellIs" dxfId="397" priority="11" stopIfTrue="1" operator="equal">
      <formula>"OK"</formula>
    </cfRule>
    <cfRule type="cellIs" dxfId="396" priority="12" stopIfTrue="1" operator="equal">
      <formula>"WARNING"</formula>
    </cfRule>
  </conditionalFormatting>
  <conditionalFormatting sqref="AV28">
    <cfRule type="cellIs" dxfId="395" priority="1" stopIfTrue="1" operator="equal">
      <formula>"ERROR"</formula>
    </cfRule>
    <cfRule type="cellIs" dxfId="394" priority="2" stopIfTrue="1" operator="equal">
      <formula>"OK"</formula>
    </cfRule>
    <cfRule type="cellIs" dxfId="393" priority="3" stopIfTrue="1" operator="equal">
      <formula>"WARNING"</formula>
    </cfRule>
  </conditionalFormatting>
  <dataValidations count="2">
    <dataValidation type="list" allowBlank="1" showInputMessage="1" showErrorMessage="1" sqref="C36 AC35 M36:N36 AR35" xr:uid="{962939CE-2C65-49F4-9861-CA3FB4F704D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34 M34:N34 AC34" xr:uid="{04F2663F-629B-4079-9483-A1AEE49038B1}">
      <formula1>"EURIBOR, FEDFUND, JIBAR, USD_LIBOR"</formula1>
    </dataValidation>
  </dataValidations>
  <hyperlinks>
    <hyperlink ref="F63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Q92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F63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  <hyperlink ref="AU63" r:id="rId4" xr:uid="{08DE8AE4-408C-487A-B93A-F2023CB93C84}"/>
  </hyperlinks>
  <pageMargins left="0.7" right="0.7" top="0.75" bottom="0.75" header="0.3" footer="0.3"/>
  <pageSetup paperSize="9" orientation="portrait" r:id="rId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54E3-4EB0-41E0-A7EC-58A5EE25F12A}">
  <sheetPr codeName="SingleCurveBootstrapping1">
    <tabColor theme="4" tint="-0.499984740745262"/>
  </sheetPr>
  <dimension ref="A1:W285"/>
  <sheetViews>
    <sheetView showGridLines="0" topLeftCell="B14" zoomScale="85" zoomScaleNormal="85" workbookViewId="0">
      <selection activeCell="E25" sqref="E25"/>
    </sheetView>
  </sheetViews>
  <sheetFormatPr defaultRowHeight="15"/>
  <cols>
    <col min="1" max="1" width="3.75" style="430" customWidth="1"/>
    <col min="2" max="2" width="15.5" style="430" customWidth="1"/>
    <col min="3" max="3" width="17.125" style="430" customWidth="1"/>
    <col min="4" max="4" width="11.25" style="430" customWidth="1"/>
    <col min="5" max="5" width="13.75" style="430" customWidth="1"/>
    <col min="6" max="6" width="14.875" style="430" bestFit="1" customWidth="1"/>
    <col min="7" max="7" width="19.625" style="430" bestFit="1" customWidth="1"/>
    <col min="8" max="8" width="19.5" style="430" bestFit="1" customWidth="1"/>
    <col min="9" max="9" width="14.5" style="430" bestFit="1" customWidth="1"/>
    <col min="10" max="10" width="10.625" style="430" customWidth="1"/>
    <col min="11" max="11" width="15.25" style="430" customWidth="1"/>
    <col min="12" max="12" width="16.5" style="430" customWidth="1"/>
    <col min="13" max="13" width="13.625" style="430" customWidth="1"/>
    <col min="14" max="14" width="16.5" style="430" customWidth="1"/>
    <col min="15" max="15" width="14.75" style="430" customWidth="1"/>
    <col min="16" max="16" width="17.5" style="430" customWidth="1"/>
    <col min="17" max="17" width="16.5" style="430" customWidth="1"/>
    <col min="18" max="18" width="20.25" style="430" bestFit="1" customWidth="1"/>
    <col min="19" max="19" width="19.5" style="430" bestFit="1" customWidth="1"/>
    <col min="20" max="20" width="16.5" style="430" customWidth="1"/>
    <col min="21" max="21" width="14.125" style="430" customWidth="1"/>
    <col min="22" max="22" width="12.75" style="430" customWidth="1"/>
    <col min="23" max="23" width="18.5" style="430" bestFit="1" customWidth="1"/>
    <col min="24" max="16384" width="9" style="430"/>
  </cols>
  <sheetData>
    <row r="1" spans="1:23">
      <c r="B1" s="399" t="s">
        <v>372</v>
      </c>
    </row>
    <row r="2" spans="1:23" ht="26.25">
      <c r="B2" s="2" t="s">
        <v>624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ht="18.75">
      <c r="B4" s="3" t="s">
        <v>139</v>
      </c>
      <c r="C4" s="3"/>
      <c r="D4" s="3"/>
      <c r="E4" s="3"/>
      <c r="F4" s="3"/>
      <c r="G4" s="3"/>
      <c r="H4" s="3"/>
      <c r="I4" s="3"/>
      <c r="J4" s="3"/>
    </row>
    <row r="6" spans="1:23">
      <c r="B6" s="50" t="s">
        <v>139</v>
      </c>
      <c r="C6" s="163" t="str" cm="1">
        <f t="array" aca="1" ref="C6" ca="1">_xll.d.TestUtils_And(D10)</f>
        <v>Error</v>
      </c>
      <c r="M6" s="54"/>
      <c r="N6" s="54"/>
      <c r="O6" s="54"/>
      <c r="P6" s="54"/>
      <c r="Q6" s="54"/>
      <c r="R6" s="54"/>
      <c r="S6" s="54"/>
      <c r="T6" s="54"/>
    </row>
    <row r="7" spans="1:23">
      <c r="M7" s="54"/>
      <c r="N7" s="54"/>
      <c r="O7" s="54"/>
      <c r="P7" s="54"/>
      <c r="Q7" s="54"/>
      <c r="R7" s="54"/>
      <c r="S7" s="54"/>
      <c r="T7" s="54"/>
    </row>
    <row r="8" spans="1:23">
      <c r="M8" s="54"/>
      <c r="N8" s="54"/>
      <c r="O8" s="54"/>
      <c r="P8" s="54"/>
      <c r="Q8" s="54"/>
      <c r="R8" s="54"/>
      <c r="S8" s="54"/>
      <c r="T8" s="54"/>
    </row>
    <row r="9" spans="1:23">
      <c r="B9" s="233" t="s">
        <v>672</v>
      </c>
      <c r="C9" s="234"/>
      <c r="D9" s="235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</row>
    <row r="10" spans="1:23">
      <c r="B10" s="201" t="s">
        <v>671</v>
      </c>
      <c r="C10" s="201"/>
      <c r="D10" s="163" t="str">
        <f ca="1">C19</f>
        <v>Error</v>
      </c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</row>
    <row r="11" spans="1:23">
      <c r="F11" s="398"/>
      <c r="G11" s="201"/>
      <c r="H11" s="163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</row>
    <row r="12" spans="1:23">
      <c r="B12" s="198"/>
      <c r="C12" s="232"/>
      <c r="D12" s="163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</row>
    <row r="13" spans="1:23"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</row>
    <row r="14" spans="1:23"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772"/>
    </row>
    <row r="15" spans="1:23" ht="18.75">
      <c r="A15" s="203"/>
      <c r="B15" s="3" t="s">
        <v>654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>
      <c r="A16" s="203"/>
    </row>
    <row r="17" spans="1:23" ht="15.75">
      <c r="A17" s="203"/>
      <c r="B17" s="4" t="s">
        <v>671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>
      <c r="A18" s="203"/>
      <c r="O18" s="54"/>
      <c r="P18" s="54"/>
      <c r="Q18" s="54"/>
      <c r="R18" s="54"/>
      <c r="S18" s="54"/>
      <c r="T18" s="54"/>
      <c r="U18" s="54"/>
      <c r="V18" s="54"/>
      <c r="W18" s="54"/>
    </row>
    <row r="19" spans="1:23">
      <c r="A19" s="203"/>
      <c r="B19" s="50" t="s">
        <v>106</v>
      </c>
      <c r="C19" s="163" t="str" cm="1">
        <f t="array" aca="1" ref="C19" ca="1">_xll.d.TestUtils_And(I29:I35,I52:I57,N29:N50,W29:W38,W80:W85)</f>
        <v>Error</v>
      </c>
      <c r="S19" s="54"/>
      <c r="T19" s="54"/>
      <c r="U19" s="54"/>
      <c r="V19" s="54"/>
      <c r="W19" s="54"/>
    </row>
    <row r="20" spans="1:23">
      <c r="A20" s="203"/>
      <c r="F20" s="876" t="s">
        <v>657</v>
      </c>
      <c r="G20" s="876"/>
      <c r="H20" s="876"/>
      <c r="I20" s="876"/>
      <c r="K20" s="876" t="s">
        <v>711</v>
      </c>
      <c r="L20" s="876"/>
      <c r="M20" s="876"/>
      <c r="N20" s="876"/>
      <c r="P20" s="876" t="s">
        <v>674</v>
      </c>
      <c r="Q20" s="876"/>
      <c r="R20" s="876"/>
      <c r="S20" s="54"/>
      <c r="T20" s="876" t="s">
        <v>675</v>
      </c>
      <c r="U20" s="876"/>
      <c r="V20" s="876"/>
      <c r="W20" s="876"/>
    </row>
    <row r="21" spans="1:23">
      <c r="A21" s="203"/>
      <c r="B21" s="55" t="s">
        <v>673</v>
      </c>
      <c r="C21" s="55"/>
      <c r="F21" s="724" t="s">
        <v>658</v>
      </c>
      <c r="K21" s="724" t="s">
        <v>659</v>
      </c>
      <c r="O21" s="54"/>
      <c r="S21" s="54"/>
      <c r="T21" s="54"/>
      <c r="U21" s="54"/>
      <c r="V21" s="54"/>
      <c r="W21" s="54"/>
    </row>
    <row r="22" spans="1:23">
      <c r="A22" s="203"/>
      <c r="B22" s="895" t="str">
        <f ca="1">P23</f>
        <v>@@USDSwap-Dual::08:30:42</v>
      </c>
      <c r="C22" s="896"/>
      <c r="F22" s="12" t="s">
        <v>593</v>
      </c>
      <c r="G22" s="12"/>
      <c r="H22" s="877" cm="1">
        <f t="array" ref="H22">_xll.d.Dates_AddTenorToDate(C29,"2d","USD","MODFOL")</f>
        <v>44655</v>
      </c>
      <c r="K22" s="850" t="s">
        <v>660</v>
      </c>
      <c r="N22" s="730"/>
      <c r="O22" s="54"/>
      <c r="P22" s="55" t="s">
        <v>673</v>
      </c>
      <c r="Q22" s="55"/>
      <c r="S22" s="54"/>
      <c r="T22" s="120" t="s">
        <v>473</v>
      </c>
      <c r="U22" s="54"/>
      <c r="V22" s="54"/>
      <c r="W22" s="54"/>
    </row>
    <row r="23" spans="1:23">
      <c r="A23" s="203"/>
      <c r="F23" s="120" t="s">
        <v>473</v>
      </c>
      <c r="G23" s="120"/>
      <c r="H23" s="773">
        <v>1E-3</v>
      </c>
      <c r="K23" s="120" t="s">
        <v>473</v>
      </c>
      <c r="O23" s="54"/>
      <c r="P23" s="895" t="str" cm="1">
        <f t="array" aca="1" ref="P23" ca="1">_xll.d.Curve_Bootstrap("USDSwap-Dual",P27:Q33,,P35:R39,P41:R48,P50:R64)</f>
        <v>@@USDSwap-Dual::08:30:42</v>
      </c>
      <c r="Q23" s="896"/>
      <c r="R23" s="54"/>
      <c r="S23" s="54"/>
      <c r="T23" s="904">
        <v>1E-3</v>
      </c>
      <c r="V23" s="54"/>
      <c r="W23" s="54"/>
    </row>
    <row r="24" spans="1:23">
      <c r="A24" s="203"/>
      <c r="B24" s="55" t="s">
        <v>37</v>
      </c>
      <c r="C24" s="55"/>
      <c r="K24" s="904">
        <v>1E-3</v>
      </c>
      <c r="O24" s="54"/>
      <c r="P24" s="54"/>
      <c r="Q24" s="54"/>
      <c r="R24" s="54"/>
      <c r="S24" s="54"/>
      <c r="T24" s="54"/>
      <c r="U24" s="54"/>
      <c r="V24" s="54"/>
      <c r="W24" s="54"/>
    </row>
    <row r="25" spans="1:23">
      <c r="A25" s="203"/>
      <c r="B25" s="893" t="str" cm="1">
        <f t="array" aca="1" ref="B25" ca="1">_xll.d.Curve_Bootstrap("USDOIS-Dual",B27:C32,,B35:D37,B39:D60)</f>
        <v>@@USDOIS-Dual::08:30:42</v>
      </c>
      <c r="C25" s="894"/>
      <c r="S25" s="54"/>
      <c r="V25" s="54"/>
      <c r="W25" s="54"/>
    </row>
    <row r="26" spans="1:23">
      <c r="A26" s="203"/>
      <c r="B26" s="897"/>
      <c r="C26" s="898"/>
      <c r="S26" s="54"/>
    </row>
    <row r="27" spans="1:23">
      <c r="A27" s="203"/>
      <c r="B27" s="12" t="s">
        <v>47</v>
      </c>
      <c r="C27" s="13"/>
      <c r="D27" s="13"/>
      <c r="F27" s="120" t="s">
        <v>196</v>
      </c>
      <c r="G27" s="191"/>
      <c r="H27" s="191"/>
      <c r="I27" s="121"/>
      <c r="K27" s="120" t="s">
        <v>31</v>
      </c>
      <c r="L27" s="744" t="s">
        <v>2</v>
      </c>
      <c r="M27" s="745"/>
      <c r="N27" s="121" t="s">
        <v>67</v>
      </c>
      <c r="O27" s="54"/>
      <c r="P27" s="12" t="s">
        <v>47</v>
      </c>
      <c r="Q27" s="13"/>
      <c r="R27" s="13"/>
      <c r="S27" s="54"/>
      <c r="T27" s="810" t="s">
        <v>196</v>
      </c>
      <c r="U27" s="811"/>
      <c r="V27" s="811"/>
      <c r="W27" s="812"/>
    </row>
    <row r="28" spans="1:23">
      <c r="A28" s="203"/>
      <c r="B28" s="61" t="s">
        <v>29</v>
      </c>
      <c r="C28" s="881" t="s">
        <v>30</v>
      </c>
      <c r="D28" s="881"/>
      <c r="F28" s="752" t="s">
        <v>31</v>
      </c>
      <c r="G28" s="753" t="s">
        <v>38</v>
      </c>
      <c r="H28" s="753" t="s">
        <v>39</v>
      </c>
      <c r="I28" s="754" t="s">
        <v>9</v>
      </c>
      <c r="K28" s="742"/>
      <c r="L28" s="738" t="s">
        <v>582</v>
      </c>
      <c r="M28" s="44" t="s">
        <v>583</v>
      </c>
      <c r="N28" s="743"/>
      <c r="O28" s="54"/>
      <c r="P28" s="61" t="s">
        <v>29</v>
      </c>
      <c r="Q28" s="881" t="s">
        <v>30</v>
      </c>
      <c r="R28" s="881"/>
      <c r="T28" s="752" t="s">
        <v>31</v>
      </c>
      <c r="U28" s="753" t="s">
        <v>38</v>
      </c>
      <c r="V28" s="753" t="s">
        <v>39</v>
      </c>
      <c r="W28" s="754" t="s">
        <v>67</v>
      </c>
    </row>
    <row r="29" spans="1:23">
      <c r="A29" s="203"/>
      <c r="B29" s="261" t="s">
        <v>182</v>
      </c>
      <c r="C29" s="879">
        <v>44651</v>
      </c>
      <c r="D29" s="879"/>
      <c r="F29" s="799">
        <f>C29</f>
        <v>44651</v>
      </c>
      <c r="G29" s="800">
        <v>1</v>
      </c>
      <c r="H29" s="800" cm="1">
        <f t="array" aca="1" ref="H29:H35" ca="1">_xll.d.Curve_GetDiscountFactors(B25,F29:F35)</f>
        <v>1</v>
      </c>
      <c r="I29" s="801" t="str" cm="1">
        <f t="array" aca="1" ref="I29" ca="1">_xll.d.TestUtils_Equal(G29,H29,$H$23)</f>
        <v>Ok</v>
      </c>
      <c r="K29" s="764">
        <v>44655</v>
      </c>
      <c r="L29" s="765">
        <v>0.99996333417359595</v>
      </c>
      <c r="M29" s="766" t="str" cm="1">
        <f t="array" aca="1" ref="M29" ca="1">_xll.d.Curve_GetDiscountFactors(B25,K29:K50)</f>
        <v>#∂Excel Error: Extrapolation not enabled. Point 2052-04-04 outside bounds.</v>
      </c>
      <c r="N29" s="737" t="str" cm="1">
        <f t="array" aca="1" ref="N29" ca="1">_xll.d.TestUtils_Equal(L29,M29,$K$24)</f>
        <v>Error</v>
      </c>
      <c r="O29" s="54"/>
      <c r="P29" s="215" t="s">
        <v>182</v>
      </c>
      <c r="Q29" s="879">
        <f>C29</f>
        <v>44651</v>
      </c>
      <c r="R29" s="879"/>
      <c r="T29" s="805">
        <f>Q29</f>
        <v>44651</v>
      </c>
      <c r="U29" s="723">
        <v>1</v>
      </c>
      <c r="V29" s="723" cm="1">
        <f t="array" aca="1" ref="V29" ca="1">_xll.d.Curve_GetDiscountFactors($P$23,T29)</f>
        <v>1</v>
      </c>
      <c r="W29" s="806" t="str" cm="1">
        <f t="array" aca="1" ref="W29" ca="1">_xll.d.TestUtils_Equal(U29,V29,$T$23)</f>
        <v>Ok</v>
      </c>
    </row>
    <row r="30" spans="1:23">
      <c r="A30" s="203"/>
      <c r="B30" s="704" t="s">
        <v>204</v>
      </c>
      <c r="C30" s="1113" t="s">
        <v>51</v>
      </c>
      <c r="D30" s="1103"/>
      <c r="F30" s="757">
        <f>EDATE(H22,1)</f>
        <v>44685</v>
      </c>
      <c r="G30" s="729" cm="1">
        <f t="array" ref="G30">1/(1+C41*_xll.d.Dates_Act360($F$29,F30))</f>
        <v>0.99967710429531254</v>
      </c>
      <c r="H30" s="729">
        <f ca="1"/>
        <v>0.99961813570371139</v>
      </c>
      <c r="I30" s="801" t="str" cm="1">
        <f t="array" aca="1" ref="I30" ca="1">_xll.d.TestUtils_Equal(G30,H30,$H$23)</f>
        <v>Ok</v>
      </c>
      <c r="K30" s="767">
        <v>44656</v>
      </c>
      <c r="L30" s="749">
        <v>0.9999541679270566</v>
      </c>
      <c r="M30" s="768"/>
      <c r="N30" s="737" t="str" cm="1">
        <f t="array" ref="N30">_xll.d.TestUtils_Equal(L30,M30,$K$24)</f>
        <v>Error</v>
      </c>
      <c r="O30" s="54"/>
      <c r="P30" s="993" t="s">
        <v>754</v>
      </c>
      <c r="Q30" s="1113" t="s">
        <v>669</v>
      </c>
      <c r="R30" s="1103"/>
      <c r="T30" s="807" cm="1">
        <f t="array" ref="T30">_xll.d.Dates_AddTenorToDate($Q$29,P37,"USD","ModFol")</f>
        <v>44652</v>
      </c>
      <c r="U30" s="721" cm="1">
        <f t="array" ref="U30">1/(1+_xll.d.Dates_Act360($T$29,T30)*Q37)</f>
        <v>0.99999078591823332</v>
      </c>
      <c r="V30" s="721" cm="1">
        <f t="array" aca="1" ref="V30" ca="1">_xll.d.Curve_GetDiscountFactors($P$23,T30)</f>
        <v>0.99999078591823343</v>
      </c>
      <c r="W30" s="806" t="str" cm="1">
        <f t="array" aca="1" ref="W30" ca="1">_xll.d.TestUtils_Equal(U30,V30,$T$23)</f>
        <v>Ok</v>
      </c>
    </row>
    <row r="31" spans="1:23">
      <c r="A31" s="203"/>
      <c r="B31" s="260" t="s">
        <v>45</v>
      </c>
      <c r="C31" s="880" t="s">
        <v>52</v>
      </c>
      <c r="D31" s="880"/>
      <c r="F31" s="757">
        <f>EDATE(F30,1)</f>
        <v>44716</v>
      </c>
      <c r="G31" s="729" cm="1">
        <f t="array" ref="G31">1/(1+C42*_xll.d.Dates_Act360($F$29,F31))</f>
        <v>0.99898090073390411</v>
      </c>
      <c r="H31" s="729">
        <f ca="1"/>
        <v>0.9989294841062456</v>
      </c>
      <c r="I31" s="801" t="str" cm="1">
        <f t="array" aca="1" ref="I31" ca="1">_xll.d.TestUtils_Equal(G31,H31,$H$23)</f>
        <v>Ok</v>
      </c>
      <c r="K31" s="767">
        <v>44685</v>
      </c>
      <c r="L31" s="749">
        <v>0.99967709816278005</v>
      </c>
      <c r="M31" s="768"/>
      <c r="N31" s="737" t="str" cm="1">
        <f t="array" ref="N31">_xll.d.TestUtils_Equal(L31,M31,$K$24)</f>
        <v>Error</v>
      </c>
      <c r="O31" s="54"/>
      <c r="P31" s="993" t="s">
        <v>753</v>
      </c>
      <c r="Q31" s="880" t="s">
        <v>24</v>
      </c>
      <c r="R31" s="880"/>
      <c r="T31" s="807" cm="1">
        <f t="array" ref="T31">_xll.d.Dates_AddTenorToDate($Q$29,P38,"USD","ModFol")</f>
        <v>44680</v>
      </c>
      <c r="U31" s="721" cm="1">
        <f t="array" ref="U31">1/(1+_xll.d.Dates_Act360($T$29,T31)*Q38)</f>
        <v>0.99963602141753505</v>
      </c>
      <c r="V31" s="721" cm="1">
        <f t="array" aca="1" ref="V31" ca="1">_xll.d.Curve_GetDiscountFactors($P$23,T31)</f>
        <v>0.99964995069796359</v>
      </c>
      <c r="W31" s="806" t="str" cm="1">
        <f t="array" aca="1" ref="W31" ca="1">_xll.d.TestUtils_Equal(U31,V31,$T$23)</f>
        <v>Ok</v>
      </c>
    </row>
    <row r="32" spans="1:23">
      <c r="A32" s="203"/>
      <c r="B32" s="126" t="s">
        <v>43</v>
      </c>
      <c r="C32" s="1116" t="s">
        <v>662</v>
      </c>
      <c r="D32" s="1112"/>
      <c r="F32" s="757">
        <f>EDATE(F31,1)</f>
        <v>44746</v>
      </c>
      <c r="G32" s="729" cm="1">
        <f t="array" ref="G32">1/(1+C43*_xll.d.Dates_Act360($F$29,F32))</f>
        <v>0.99810886096094031</v>
      </c>
      <c r="H32" s="729">
        <f ca="1"/>
        <v>0.99804572013819071</v>
      </c>
      <c r="I32" s="801" t="str" cm="1">
        <f t="array" aca="1" ref="I32" ca="1">_xll.d.TestUtils_Equal(G32,H32,$H$23)</f>
        <v>Ok</v>
      </c>
      <c r="K32" s="767">
        <v>44718</v>
      </c>
      <c r="L32" s="749">
        <v>0.99894954384460399</v>
      </c>
      <c r="M32" s="768"/>
      <c r="N32" s="737" t="str" cm="1">
        <f t="array" ref="N32">_xll.d.TestUtils_Equal(L32,M32,$K$24)</f>
        <v>Error</v>
      </c>
      <c r="O32" s="54"/>
      <c r="P32" s="260" t="s">
        <v>43</v>
      </c>
      <c r="Q32" s="1117" t="s">
        <v>662</v>
      </c>
      <c r="R32" s="1118"/>
      <c r="S32" s="725"/>
      <c r="T32" s="807" cm="1">
        <f t="array" ref="T32">_xll.d.Dates_AddTenorToDate($Q$29,P39,"USD","ModFol")</f>
        <v>44742</v>
      </c>
      <c r="U32" s="721" cm="1">
        <f t="array" ref="U32">1/(1+_xll.d.Dates_Act360($T$29,T32)*Q39)</f>
        <v>0.99757525838473171</v>
      </c>
      <c r="V32" s="721" cm="1">
        <f t="array" aca="1" ref="V32" ca="1">_xll.d.Curve_GetDiscountFactors($P$23,T32)</f>
        <v>0.99767266761427387</v>
      </c>
      <c r="W32" s="806" t="str" cm="1">
        <f t="array" aca="1" ref="W32" ca="1">_xll.d.TestUtils_Equal(U32,V32,$T$23)</f>
        <v>Ok</v>
      </c>
    </row>
    <row r="33" spans="1:23">
      <c r="A33" s="203"/>
      <c r="F33" s="757">
        <f>EDATE(F32,1)</f>
        <v>44777</v>
      </c>
      <c r="G33" s="729" cm="1">
        <f t="array" ref="G33">1/(1+C44*_xll.d.Dates_Act360($F$29,F33))</f>
        <v>0.99701294920418426</v>
      </c>
      <c r="H33" s="729">
        <f ca="1"/>
        <v>0.99689559266333827</v>
      </c>
      <c r="I33" s="801" t="str" cm="1">
        <f t="array" aca="1" ref="I33" ca="1">_xll.d.TestUtils_Equal(G33,H33,$H$23)</f>
        <v>Ok</v>
      </c>
      <c r="K33" s="767">
        <v>44747</v>
      </c>
      <c r="L33" s="749">
        <v>0.99808891623829643</v>
      </c>
      <c r="M33" s="768"/>
      <c r="N33" s="737" t="str" cm="1">
        <f t="array" ref="N33">_xll.d.TestUtils_Equal(L33,M33,$K$24)</f>
        <v>Error</v>
      </c>
      <c r="O33" s="54"/>
      <c r="P33" s="992" t="s">
        <v>752</v>
      </c>
      <c r="Q33" s="899" t="str">
        <f ca="1">B25</f>
        <v>@@USDOIS-Dual::08:30:42</v>
      </c>
      <c r="R33" s="900"/>
      <c r="S33" s="725" t="s">
        <v>27</v>
      </c>
      <c r="T33" s="807" cm="1">
        <f t="array" ref="T33">_xll.d.Dates_AddTenorToDate($Q$29,S33,"USD","ModFol")</f>
        <v>44834</v>
      </c>
      <c r="U33" s="721" cm="1">
        <f t="array" ref="U33">1/(1+_xll.d.Dates_Act360(T32,T33)*Q43)*U32</f>
        <v>0.9933460324656187</v>
      </c>
      <c r="V33" s="721" cm="1">
        <f t="array" aca="1" ref="V33" ca="1">_xll.d.Curve_GetDiscountFactors($P$23,T33)</f>
        <v>0.99349292112696475</v>
      </c>
      <c r="W33" s="806" t="str" cm="1">
        <f t="array" aca="1" ref="W33" ca="1">_xll.d.TestUtils_Equal(U33,V33,$T$23)</f>
        <v>Ok</v>
      </c>
    </row>
    <row r="34" spans="1:23">
      <c r="A34" s="203"/>
      <c r="F34" s="757">
        <f>EDATE(F33,1)</f>
        <v>44808</v>
      </c>
      <c r="G34" s="729" cm="1">
        <f t="array" ref="G34">1/(1+C45*_xll.d.Dates_Act360($F$29,F34))</f>
        <v>0.99561891723511198</v>
      </c>
      <c r="H34" s="729">
        <f ca="1"/>
        <v>0.99554580160762518</v>
      </c>
      <c r="I34" s="801" t="str" cm="1">
        <f t="array" aca="1" ref="I34" ca="1">_xll.d.TestUtils_Equal(G34,H34,$H$23)</f>
        <v>Ok</v>
      </c>
      <c r="K34" s="767">
        <v>44777</v>
      </c>
      <c r="L34" s="749">
        <v>0.9970128077099264</v>
      </c>
      <c r="M34" s="768"/>
      <c r="N34" s="737" t="str" cm="1">
        <f t="array" ref="N34">_xll.d.TestUtils_Equal(L34,M34,$K$24)</f>
        <v>Error</v>
      </c>
      <c r="O34" s="54"/>
      <c r="S34" s="725" t="s">
        <v>28</v>
      </c>
      <c r="T34" s="807" cm="1">
        <f t="array" ref="T34">_xll.d.Dates_AddTenorToDate($Q$29,S34,"USD","ModFol")</f>
        <v>44925</v>
      </c>
      <c r="U34" s="721" cm="1">
        <f t="array" ref="U34">1/(1+_xll.d.Dates_Act360(T33,T34)*Q44)*U33</f>
        <v>0.98760768614641792</v>
      </c>
      <c r="V34" s="721" cm="1">
        <f t="array" aca="1" ref="V34" ca="1">_xll.d.Curve_GetDiscountFactors($P$23,T34)</f>
        <v>0.9878229886829365</v>
      </c>
      <c r="W34" s="806" t="str" cm="1">
        <f t="array" aca="1" ref="W34" ca="1">_xll.d.TestUtils_Equal(U34,V34,$T$23)</f>
        <v>Ok</v>
      </c>
    </row>
    <row r="35" spans="1:23">
      <c r="A35" s="203"/>
      <c r="B35" s="12" t="s">
        <v>21</v>
      </c>
      <c r="C35" s="27"/>
      <c r="D35" s="13"/>
      <c r="F35" s="758">
        <f>EDATE(F34,1)</f>
        <v>44838</v>
      </c>
      <c r="G35" s="759" cm="1">
        <f t="array" ref="G35">1/(1+C46*_xll.d.Dates_Act360($F$29,F35))</f>
        <v>0.9942261421490407</v>
      </c>
      <c r="H35" s="759">
        <f ca="1"/>
        <v>0.99411431920102733</v>
      </c>
      <c r="I35" s="801" t="str" cm="1">
        <f t="array" aca="1" ref="I35" ca="1">_xll.d.TestUtils_Equal(G35,H35,$H$23)</f>
        <v>Ok</v>
      </c>
      <c r="K35" s="767">
        <v>44810</v>
      </c>
      <c r="L35" s="749">
        <v>0.99556310762600775</v>
      </c>
      <c r="M35" s="768"/>
      <c r="N35" s="737" t="str" cm="1">
        <f t="array" ref="N35">_xll.d.TestUtils_Equal(L35,M35,$K$24)</f>
        <v>Error</v>
      </c>
      <c r="O35" s="54"/>
      <c r="P35" s="12" t="s">
        <v>21</v>
      </c>
      <c r="Q35" s="27"/>
      <c r="R35" s="13"/>
      <c r="S35" s="725" t="s">
        <v>573</v>
      </c>
      <c r="T35" s="807" cm="1">
        <f t="array" ref="T35">_xll.d.Dates_AddTenorToDate($Q$29,S35,"USD","ModFol")</f>
        <v>45016</v>
      </c>
      <c r="U35" s="721" cm="1">
        <f t="array" ref="U35">1/(1+_xll.d.Dates_Act360(T34,T35)*Q45)*U34</f>
        <v>0.98075265823113977</v>
      </c>
      <c r="V35" s="721" cm="1">
        <f t="array" aca="1" ref="V35" ca="1">_xll.d.Curve_GetDiscountFactors($P$23,T35)</f>
        <v>0.98102938599449341</v>
      </c>
      <c r="W35" s="806" t="str" cm="1">
        <f t="array" aca="1" ref="W35" ca="1">_xll.d.TestUtils_Equal(U35,V35,$T$23)</f>
        <v>Ok</v>
      </c>
    </row>
    <row r="36" spans="1:23">
      <c r="A36" s="203"/>
      <c r="B36" s="61" t="s">
        <v>35</v>
      </c>
      <c r="C36" s="62" t="s">
        <v>36</v>
      </c>
      <c r="D36" s="63" t="s">
        <v>42</v>
      </c>
      <c r="H36" s="264"/>
      <c r="I36" s="269"/>
      <c r="K36" s="767">
        <v>44838</v>
      </c>
      <c r="L36" s="749">
        <v>0.99422578625789704</v>
      </c>
      <c r="M36" s="768"/>
      <c r="N36" s="737" t="str" cm="1">
        <f t="array" ref="N36">_xll.d.TestUtils_Equal(L36,M36,$K$24)</f>
        <v>Error</v>
      </c>
      <c r="O36" s="54"/>
      <c r="P36" s="61" t="s">
        <v>35</v>
      </c>
      <c r="Q36" s="62" t="s">
        <v>36</v>
      </c>
      <c r="R36" s="63" t="s">
        <v>42</v>
      </c>
      <c r="S36" s="725" t="s">
        <v>574</v>
      </c>
      <c r="T36" s="807" cm="1">
        <f t="array" ref="T36">_xll.d.Dates_AddTenorToDate($Q$29,S36,"USD","ModFol")</f>
        <v>45107</v>
      </c>
      <c r="U36" s="721" cm="1">
        <f t="array" ref="U36">1/(1+_xll.d.Dates_Act360(T35,T36)*Q46)*U35</f>
        <v>0.97323697089520322</v>
      </c>
      <c r="V36" s="721" cm="1">
        <f t="array" aca="1" ref="V36" ca="1">_xll.d.Curve_GetDiscountFactors($P$23,T36)</f>
        <v>0.9735429979106599</v>
      </c>
      <c r="W36" s="806" t="str" cm="1">
        <f t="array" aca="1" ref="W36" ca="1">_xll.d.TestUtils_Equal(U36,V36,$T$23)</f>
        <v>Ok</v>
      </c>
    </row>
    <row r="37" spans="1:23">
      <c r="A37" s="203"/>
      <c r="B37" s="223" t="s">
        <v>52</v>
      </c>
      <c r="C37" s="225">
        <v>3.3E-3</v>
      </c>
      <c r="D37" s="224" t="b">
        <v>1</v>
      </c>
      <c r="K37" s="767">
        <v>44930</v>
      </c>
      <c r="L37" s="749">
        <v>0.9888258604504544</v>
      </c>
      <c r="M37" s="768"/>
      <c r="N37" s="737" t="str" cm="1">
        <f t="array" ref="N37">_xll.d.TestUtils_Equal(L37,M37,$K$24)</f>
        <v>Error</v>
      </c>
      <c r="O37" s="54"/>
      <c r="P37" s="697" t="s">
        <v>52</v>
      </c>
      <c r="Q37" s="698">
        <v>3.3170999999999999E-3</v>
      </c>
      <c r="R37" s="247" t="b">
        <v>1</v>
      </c>
      <c r="S37" s="725" t="s">
        <v>575</v>
      </c>
      <c r="T37" s="807" cm="1">
        <f t="array" ref="T37">_xll.d.Dates_AddTenorToDate($Q$29,S37,"USD","ModFol")</f>
        <v>45198</v>
      </c>
      <c r="U37" s="721" cm="1">
        <f t="array" ref="U37">1/(1+_xll.d.Dates_Act360(T36,T37)*Q47)*U36</f>
        <v>0.96546961497669326</v>
      </c>
      <c r="V37" s="721" cm="1">
        <f t="array" aca="1" ref="V37" ca="1">_xll.d.Curve_GetDiscountFactors($P$23,T37)</f>
        <v>0.96579053316281505</v>
      </c>
      <c r="W37" s="806" t="str" cm="1">
        <f t="array" aca="1" ref="W37" ca="1">_xll.d.TestUtils_Equal(U37,V37,$T$23)</f>
        <v>Ok</v>
      </c>
    </row>
    <row r="38" spans="1:23">
      <c r="A38" s="203"/>
      <c r="F38" s="120" t="s">
        <v>536</v>
      </c>
      <c r="G38" s="191"/>
      <c r="H38" s="191"/>
      <c r="I38" s="121"/>
      <c r="K38" s="767">
        <v>45020</v>
      </c>
      <c r="L38" s="749">
        <v>0.98256492920654781</v>
      </c>
      <c r="M38" s="768"/>
      <c r="N38" s="737" t="str" cm="1">
        <f t="array" ref="N38">_xll.d.TestUtils_Equal(L38,M38,$K$24)</f>
        <v>Error</v>
      </c>
      <c r="O38" s="54"/>
      <c r="P38" s="248" t="s">
        <v>25</v>
      </c>
      <c r="Q38" s="699">
        <v>4.5199999999999997E-3</v>
      </c>
      <c r="R38" s="249" t="b">
        <v>1</v>
      </c>
      <c r="S38" s="725" t="s">
        <v>576</v>
      </c>
      <c r="T38" s="808" cm="1">
        <f t="array" ref="T38">_xll.d.Dates_AddTenorToDate($Q$29,S38,"USD","ModFol")</f>
        <v>45289</v>
      </c>
      <c r="U38" s="809" cm="1">
        <f t="array" ref="U38">1/(1+_xll.d.Dates_Act360(T37,T38)*Q48)*U37</f>
        <v>0.95784519384053368</v>
      </c>
      <c r="V38" s="809" cm="1">
        <f t="array" aca="1" ref="V38" ca="1">_xll.d.Curve_GetDiscountFactors($P$23,T38)</f>
        <v>0.95815945900895705</v>
      </c>
      <c r="W38" s="806" t="str" cm="1">
        <f t="array" aca="1" ref="W38" ca="1">_xll.d.TestUtils_Equal(U38,V38,$T$23)</f>
        <v>Ok</v>
      </c>
    </row>
    <row r="39" spans="1:23">
      <c r="A39" s="203"/>
      <c r="B39" s="12" t="s">
        <v>50</v>
      </c>
      <c r="C39" s="27"/>
      <c r="D39" s="13"/>
      <c r="F39" s="118" t="s">
        <v>0</v>
      </c>
      <c r="G39" s="282" t="s">
        <v>534</v>
      </c>
      <c r="H39" s="282" t="s">
        <v>535</v>
      </c>
      <c r="I39" s="119" t="s">
        <v>2</v>
      </c>
      <c r="K39" s="767">
        <v>45203</v>
      </c>
      <c r="L39" s="749">
        <v>0.96863570501852436</v>
      </c>
      <c r="M39" s="768"/>
      <c r="N39" s="737" t="str" cm="1">
        <f t="array" ref="N39">_xll.d.TestUtils_Equal(L39,M39,$K$24)</f>
        <v>Error</v>
      </c>
      <c r="O39" s="54"/>
      <c r="P39" s="250" t="s">
        <v>24</v>
      </c>
      <c r="Q39" s="700">
        <v>9.6156999999999996E-3</v>
      </c>
      <c r="R39" s="252" t="b">
        <v>1</v>
      </c>
      <c r="S39" s="725"/>
      <c r="T39" s="54"/>
      <c r="U39" s="54"/>
      <c r="V39" s="54"/>
      <c r="W39" s="54"/>
    </row>
    <row r="40" spans="1:23">
      <c r="A40" s="203"/>
      <c r="B40" s="61" t="s">
        <v>35</v>
      </c>
      <c r="C40" s="62" t="s">
        <v>36</v>
      </c>
      <c r="D40" s="63" t="s">
        <v>42</v>
      </c>
      <c r="F40" s="714">
        <f t="array" ref="F40:F48">_xll.d.Dates_GenerateSchedule(H22,_xll.d.Dates_AddTenorToDate(H22,"8Y","USD","ModFol"),"1y","USD","ModFol","Forward")</f>
        <v>44655</v>
      </c>
      <c r="G40" s="713"/>
      <c r="H40" s="713"/>
      <c r="I40" s="715"/>
      <c r="K40" s="767">
        <v>45386</v>
      </c>
      <c r="L40" s="749">
        <v>0.95447497778402202</v>
      </c>
      <c r="M40" s="768"/>
      <c r="N40" s="737" t="str" cm="1">
        <f t="array" ref="N40">_xll.d.TestUtils_Equal(L40,M40,$K$24)</f>
        <v>Error</v>
      </c>
      <c r="O40" s="54"/>
    </row>
    <row r="41" spans="1:23">
      <c r="A41" s="203"/>
      <c r="B41" s="761" t="s">
        <v>25</v>
      </c>
      <c r="C41" s="265">
        <v>3.4200000000000003E-3</v>
      </c>
      <c r="D41" s="204" t="b">
        <v>1</v>
      </c>
      <c r="F41" s="716">
        <v>45020</v>
      </c>
      <c r="G41" s="271" cm="1">
        <f t="array" ref="G41">_xll.d.Dates_Act360(F40,F41)</f>
        <v>1.0138888888888888</v>
      </c>
      <c r="H41" s="712">
        <f t="array" aca="1" ref="H41:H48" ca="1">_xll.d.Curve_GetForwardRates(B25,F40:F47,F41:F48,"Simple")</f>
        <v>1.7583303590050153E-2</v>
      </c>
      <c r="I41" s="717">
        <f t="array" aca="1" ref="I41:I48" ca="1">_xll.d.Curve_GetDiscountFactors(B25,F41:F48)</f>
        <v>0.98244770020052496</v>
      </c>
      <c r="K41" s="767">
        <v>45751</v>
      </c>
      <c r="L41" s="749">
        <v>0.93151665593338084</v>
      </c>
      <c r="M41" s="768"/>
      <c r="N41" s="737" t="str" cm="1">
        <f t="array" ref="N41">_xll.d.TestUtils_Equal(L41,M41,$K$24)</f>
        <v>Error</v>
      </c>
      <c r="O41" s="54"/>
      <c r="P41" s="12" t="s">
        <v>34</v>
      </c>
      <c r="Q41" s="27"/>
      <c r="R41" s="13"/>
      <c r="T41" s="120" t="s">
        <v>536</v>
      </c>
      <c r="U41" s="191"/>
      <c r="V41" s="191"/>
      <c r="W41" s="121"/>
    </row>
    <row r="42" spans="1:23">
      <c r="A42" s="203"/>
      <c r="B42" s="762" t="s">
        <v>26</v>
      </c>
      <c r="C42" s="266">
        <v>5.6499999999999996E-3</v>
      </c>
      <c r="D42" s="205" t="b">
        <v>1</v>
      </c>
      <c r="F42" s="716">
        <v>45386</v>
      </c>
      <c r="G42" s="270" cm="1">
        <f t="array" ref="G42">_xll.d.Dates_Act360(F41,F42)</f>
        <v>1.0166666666666666</v>
      </c>
      <c r="H42" s="598">
        <f ca="1"/>
        <v>2.8906876242475066E-2</v>
      </c>
      <c r="I42" s="718">
        <f ca="1"/>
        <v>0.95439918929546119</v>
      </c>
      <c r="K42" s="767">
        <v>46118</v>
      </c>
      <c r="L42" s="749">
        <v>0.91204003345386175</v>
      </c>
      <c r="M42" s="768"/>
      <c r="N42" s="737" t="str" cm="1">
        <f t="array" ref="N42">_xll.d.TestUtils_Equal(L42,M42,$K$24)</f>
        <v>Error</v>
      </c>
      <c r="O42" s="54"/>
      <c r="P42" s="61" t="s">
        <v>191</v>
      </c>
      <c r="Q42" s="62" t="s">
        <v>36</v>
      </c>
      <c r="R42" s="63" t="s">
        <v>42</v>
      </c>
      <c r="T42" s="118" t="s">
        <v>0</v>
      </c>
      <c r="U42" s="282" t="s">
        <v>534</v>
      </c>
      <c r="V42" s="282" t="s">
        <v>535</v>
      </c>
      <c r="W42" s="119" t="s">
        <v>2</v>
      </c>
    </row>
    <row r="43" spans="1:23">
      <c r="A43" s="203"/>
      <c r="B43" s="762" t="s">
        <v>24</v>
      </c>
      <c r="C43" s="266">
        <v>7.1799999999999998E-3</v>
      </c>
      <c r="D43" s="205" t="b">
        <v>1</v>
      </c>
      <c r="F43" s="716">
        <v>45751</v>
      </c>
      <c r="G43" s="270" cm="1">
        <f t="array" ref="G43">_xll.d.Dates_Act360(F42,F43)</f>
        <v>1.0138888888888888</v>
      </c>
      <c r="H43" s="598">
        <f ca="1"/>
        <v>2.4238166091264252E-2</v>
      </c>
      <c r="I43" s="718">
        <f ca="1"/>
        <v>0.9315075702697232</v>
      </c>
      <c r="K43" s="767">
        <v>46482</v>
      </c>
      <c r="L43" s="749">
        <v>0.89492872245432198</v>
      </c>
      <c r="M43" s="768"/>
      <c r="N43" s="737" t="str" cm="1">
        <f t="array" ref="N43">_xll.d.TestUtils_Equal(L43,M43,$K$24)</f>
        <v>Error</v>
      </c>
      <c r="O43" s="54"/>
      <c r="P43" s="253" t="s">
        <v>192</v>
      </c>
      <c r="Q43" s="706">
        <v>1.6659999999999998E-2</v>
      </c>
      <c r="R43" s="243" t="b">
        <v>1</v>
      </c>
      <c r="T43" s="714">
        <f t="array" ref="T43:T75">_xll.d.Dates_GenerateSchedule(Q29,_xll.d.Dates_AddTenorToDate(Q29,"8Y","USD","ModFol"),"3m","USD","ModFol","Forward")</f>
        <v>44651</v>
      </c>
      <c r="U43" s="713"/>
      <c r="V43" s="713"/>
      <c r="W43" s="715"/>
    </row>
    <row r="44" spans="1:23">
      <c r="A44" s="203"/>
      <c r="B44" s="762" t="s">
        <v>585</v>
      </c>
      <c r="C44" s="266">
        <v>8.5599999999999999E-3</v>
      </c>
      <c r="D44" s="205" t="b">
        <v>1</v>
      </c>
      <c r="F44" s="716">
        <v>46118</v>
      </c>
      <c r="G44" s="270" cm="1">
        <f t="array" ref="G44">_xll.d.Dates_Act360(F43,F44)</f>
        <v>1.0194444444444444</v>
      </c>
      <c r="H44" s="598">
        <f ca="1"/>
        <v>2.0929340414453358E-2</v>
      </c>
      <c r="I44" s="718">
        <f ca="1"/>
        <v>0.9120478440272165</v>
      </c>
      <c r="K44" s="767">
        <v>47212</v>
      </c>
      <c r="L44" s="749">
        <v>0.86066681192648165</v>
      </c>
      <c r="M44" s="768"/>
      <c r="N44" s="737" t="str" cm="1">
        <f t="array" ref="N44">_xll.d.TestUtils_Equal(L44,M44,$K$24)</f>
        <v>Error</v>
      </c>
      <c r="O44" s="54"/>
      <c r="P44" s="254" t="s">
        <v>193</v>
      </c>
      <c r="Q44" s="707">
        <v>2.2985999999999999E-2</v>
      </c>
      <c r="R44" s="240" t="b">
        <v>1</v>
      </c>
      <c r="S44" s="9"/>
      <c r="T44" s="716">
        <v>44742</v>
      </c>
      <c r="U44" s="271" cm="1">
        <f t="array" ref="U44">_xll.d.Dates_Act360(T43,T44)</f>
        <v>0.25277777777777777</v>
      </c>
      <c r="V44" s="712">
        <f t="array" aca="1" ref="V44:V75" ca="1">_xll.d.Curve_GetForwardRates(P23,T43:T74,T44:T75,"Simple")</f>
        <v>9.2285070215201558E-3</v>
      </c>
      <c r="W44" s="717">
        <f t="array" aca="1" ref="W44:W75" ca="1">_xll.d.Curve_GetDiscountFactors(P23,T44:T75)</f>
        <v>0.99767266761427387</v>
      </c>
    </row>
    <row r="45" spans="1:23">
      <c r="A45" s="203"/>
      <c r="B45" s="762" t="s">
        <v>586</v>
      </c>
      <c r="C45" s="266">
        <v>1.0089999999999998E-2</v>
      </c>
      <c r="D45" s="205" t="b">
        <v>1</v>
      </c>
      <c r="F45" s="716">
        <v>46482</v>
      </c>
      <c r="G45" s="270" cm="1">
        <f t="array" ref="G45">_xll.d.Dates_Act360(F44,F45)</f>
        <v>1.0111111111111111</v>
      </c>
      <c r="H45" s="598">
        <f ca="1"/>
        <v>1.8936073786131609E-2</v>
      </c>
      <c r="I45" s="718">
        <f ca="1"/>
        <v>0.89491340720168067</v>
      </c>
      <c r="K45" s="767">
        <v>48309</v>
      </c>
      <c r="L45" s="749">
        <v>0.81049568807084837</v>
      </c>
      <c r="M45" s="768"/>
      <c r="N45" s="737" t="str" cm="1">
        <f t="array" ref="N45">_xll.d.TestUtils_Equal(L45,M45,$K$24)</f>
        <v>Error</v>
      </c>
      <c r="O45" s="54"/>
      <c r="P45" s="254" t="s">
        <v>194</v>
      </c>
      <c r="Q45" s="707">
        <v>2.7650999999999998E-2</v>
      </c>
      <c r="R45" s="240" t="b">
        <v>1</v>
      </c>
      <c r="S45" s="9"/>
      <c r="T45" s="716">
        <v>44834</v>
      </c>
      <c r="U45" s="270" cm="1">
        <f t="array" ref="U45">_xll.d.Dates_Act365(T44,T45)</f>
        <v>0.25205479452054796</v>
      </c>
      <c r="V45" s="598">
        <f ca="1"/>
        <v>1.6462653517849195E-2</v>
      </c>
      <c r="W45" s="718">
        <f ca="1"/>
        <v>0.99349292112696475</v>
      </c>
    </row>
    <row r="46" spans="1:23">
      <c r="A46" s="203"/>
      <c r="B46" s="762" t="s">
        <v>27</v>
      </c>
      <c r="C46" s="266">
        <v>1.1180000000000001E-2</v>
      </c>
      <c r="D46" s="205" t="b">
        <v>1</v>
      </c>
      <c r="F46" s="716">
        <v>46847</v>
      </c>
      <c r="G46" s="270" cm="1">
        <f t="array" ref="G46">_xll.d.Dates_Act360(F45,F46)</f>
        <v>1.0138888888888888</v>
      </c>
      <c r="H46" s="598">
        <f ca="1"/>
        <v>1.9442341494097029E-2</v>
      </c>
      <c r="I46" s="718">
        <f ca="1"/>
        <v>0.87761356045744077</v>
      </c>
      <c r="K46" s="767">
        <v>49038</v>
      </c>
      <c r="L46" s="749">
        <v>0.77683553954317675</v>
      </c>
      <c r="M46" s="768"/>
      <c r="N46" s="737" t="str" cm="1">
        <f t="array" ref="N46">_xll.d.TestUtils_Equal(L46,M46,$K$24)</f>
        <v>Error</v>
      </c>
      <c r="O46" s="54"/>
      <c r="P46" s="704" t="s">
        <v>568</v>
      </c>
      <c r="Q46" s="707">
        <v>3.0550000000000001E-2</v>
      </c>
      <c r="R46" s="240" t="b">
        <v>1</v>
      </c>
      <c r="T46" s="716">
        <v>44925</v>
      </c>
      <c r="U46" s="270" cm="1">
        <f t="array" ref="U46">_xll.d.Dates_Act365(T45,T46)</f>
        <v>0.24931506849315069</v>
      </c>
      <c r="V46" s="598">
        <f ca="1"/>
        <v>2.2707005438578065E-2</v>
      </c>
      <c r="W46" s="718">
        <f ca="1"/>
        <v>0.9878229886829365</v>
      </c>
    </row>
    <row r="47" spans="1:23">
      <c r="A47" s="203"/>
      <c r="B47" s="762" t="s">
        <v>28</v>
      </c>
      <c r="C47" s="266">
        <v>1.4579999999999999E-2</v>
      </c>
      <c r="D47" s="205" t="b">
        <v>1</v>
      </c>
      <c r="F47" s="716">
        <v>47212</v>
      </c>
      <c r="G47" s="270" cm="1">
        <f t="array" ref="G47">_xll.d.Dates_Act360(F46,F47)</f>
        <v>1.0138888888888888</v>
      </c>
      <c r="H47" s="598">
        <f ca="1"/>
        <v>1.9448762988208058E-2</v>
      </c>
      <c r="I47" s="718">
        <f ca="1"/>
        <v>0.86064264732995621</v>
      </c>
      <c r="K47" s="767">
        <v>50136</v>
      </c>
      <c r="L47" s="749">
        <v>0.72962499907491318</v>
      </c>
      <c r="M47" s="768"/>
      <c r="N47" s="737" t="str" cm="1">
        <f t="array" ref="N47">_xll.d.TestUtils_Equal(L47,M47,$K$24)</f>
        <v>Error</v>
      </c>
      <c r="O47" s="54"/>
      <c r="P47" s="704" t="s">
        <v>569</v>
      </c>
      <c r="Q47" s="707">
        <v>3.1827000000000001E-2</v>
      </c>
      <c r="R47" s="240" t="b">
        <v>1</v>
      </c>
      <c r="S47" s="9"/>
      <c r="T47" s="716">
        <v>45016</v>
      </c>
      <c r="U47" s="270" cm="1">
        <f t="array" ref="U47">_xll.d.Dates_Act365(T46,T47)</f>
        <v>0.24931506849315069</v>
      </c>
      <c r="V47" s="598">
        <f ca="1"/>
        <v>2.7395500317387859E-2</v>
      </c>
      <c r="W47" s="718">
        <f ca="1"/>
        <v>0.98102938599449341</v>
      </c>
    </row>
    <row r="48" spans="1:23">
      <c r="A48" s="203"/>
      <c r="B48" s="762" t="s">
        <v>573</v>
      </c>
      <c r="C48" s="266">
        <v>1.7310000000000002E-2</v>
      </c>
      <c r="D48" s="205" t="b">
        <v>1</v>
      </c>
      <c r="F48" s="719">
        <v>47577</v>
      </c>
      <c r="G48" s="631" cm="1">
        <f t="array" ref="G48">_xll.d.Dates_Act360(F47,F48)</f>
        <v>1.0138888888888888</v>
      </c>
      <c r="H48" s="720">
        <f ca="1"/>
        <v>1.9911218328729045E-2</v>
      </c>
      <c r="I48" s="319">
        <f ca="1"/>
        <v>0.84361200802460046</v>
      </c>
      <c r="K48" s="767">
        <v>51963</v>
      </c>
      <c r="L48" s="749">
        <v>0.6587292168104727</v>
      </c>
      <c r="M48" s="768"/>
      <c r="N48" s="737" t="str" cm="1">
        <f t="array" ref="N48">_xll.d.TestUtils_Equal(L48,M48,$K$24)</f>
        <v>Error</v>
      </c>
      <c r="O48" s="54"/>
      <c r="P48" s="705" t="s">
        <v>570</v>
      </c>
      <c r="Q48" s="708">
        <v>3.1489999999999997E-2</v>
      </c>
      <c r="R48" s="242" t="b">
        <v>1</v>
      </c>
      <c r="S48" s="9"/>
      <c r="T48" s="716">
        <v>45107</v>
      </c>
      <c r="U48" s="270" cm="1">
        <f t="array" ref="U48">_xll.d.Dates_Act365(T47,T48)</f>
        <v>0.24931506849315069</v>
      </c>
      <c r="V48" s="598">
        <f ca="1"/>
        <v>3.0421337727465129E-2</v>
      </c>
      <c r="W48" s="718">
        <f ca="1"/>
        <v>0.9735429979106599</v>
      </c>
    </row>
    <row r="49" spans="1:23">
      <c r="A49" s="203"/>
      <c r="B49" s="762" t="s">
        <v>575</v>
      </c>
      <c r="C49" s="266">
        <v>2.0879999999999999E-2</v>
      </c>
      <c r="D49" s="205" t="b">
        <v>1</v>
      </c>
      <c r="K49" s="767">
        <v>53786</v>
      </c>
      <c r="L49" s="749">
        <v>0.60407419555991859</v>
      </c>
      <c r="M49" s="768"/>
      <c r="N49" s="737" t="str" cm="1">
        <f t="array" ref="N49">_xll.d.TestUtils_Equal(L49,M49,$K$24)</f>
        <v>Error</v>
      </c>
      <c r="O49" s="54"/>
      <c r="P49" s="701"/>
      <c r="Q49" s="702"/>
      <c r="R49" s="703"/>
      <c r="T49" s="716">
        <v>45198</v>
      </c>
      <c r="U49" s="270" cm="1">
        <f t="array" ref="U49">_xll.d.Dates_Act365(T48,T49)</f>
        <v>0.24931506849315069</v>
      </c>
      <c r="V49" s="598">
        <f ca="1"/>
        <v>3.1755427556034097E-2</v>
      </c>
      <c r="W49" s="718">
        <f ca="1"/>
        <v>0.96579053316281505</v>
      </c>
    </row>
    <row r="50" spans="1:23">
      <c r="A50" s="203"/>
      <c r="B50" s="762" t="s">
        <v>49</v>
      </c>
      <c r="C50" s="266">
        <v>2.3050000000000001E-2</v>
      </c>
      <c r="D50" s="205" t="b">
        <v>1</v>
      </c>
      <c r="F50" s="285" t="s">
        <v>537</v>
      </c>
      <c r="G50" s="286"/>
      <c r="H50" s="286"/>
      <c r="I50" s="287"/>
      <c r="K50" s="769">
        <v>55613</v>
      </c>
      <c r="L50" s="770">
        <v>0.56044847306900425</v>
      </c>
      <c r="M50" s="771"/>
      <c r="N50" s="737" t="str" cm="1">
        <f t="array" ref="N50">_xll.d.TestUtils_Equal(L50,M50,$K$24)</f>
        <v>Error</v>
      </c>
      <c r="O50" s="54"/>
      <c r="P50" s="12" t="s">
        <v>40</v>
      </c>
      <c r="Q50" s="27"/>
      <c r="R50" s="13"/>
      <c r="S50" s="603"/>
      <c r="T50" s="716">
        <v>45289</v>
      </c>
      <c r="U50" s="270" cm="1">
        <f t="array" ref="U50">_xll.d.Dates_Act365(T49,T50)</f>
        <v>0.24931506849315069</v>
      </c>
      <c r="V50" s="598">
        <f ca="1"/>
        <v>3.1507140591940527E-2</v>
      </c>
      <c r="W50" s="718">
        <f ca="1"/>
        <v>0.95815945900895705</v>
      </c>
    </row>
    <row r="51" spans="1:23">
      <c r="A51" s="203"/>
      <c r="B51" s="762" t="s">
        <v>53</v>
      </c>
      <c r="C51" s="266">
        <v>2.3450000000000002E-2</v>
      </c>
      <c r="D51" s="205" t="b">
        <v>1</v>
      </c>
      <c r="F51" s="494" t="s">
        <v>22</v>
      </c>
      <c r="G51" s="615" t="s">
        <v>65</v>
      </c>
      <c r="H51" s="615" t="s">
        <v>66</v>
      </c>
      <c r="I51" s="616" t="s">
        <v>67</v>
      </c>
      <c r="O51" s="54"/>
      <c r="P51" s="61" t="s">
        <v>35</v>
      </c>
      <c r="Q51" s="62" t="s">
        <v>36</v>
      </c>
      <c r="R51" s="63" t="s">
        <v>42</v>
      </c>
      <c r="T51" s="716">
        <v>45380</v>
      </c>
      <c r="U51" s="270" cm="1">
        <f t="array" ref="U51">_xll.d.Dates_Act365(T50,T51)</f>
        <v>0.24931506849315069</v>
      </c>
      <c r="V51" s="598">
        <f ca="1"/>
        <v>3.5307759451258906E-2</v>
      </c>
      <c r="W51" s="718">
        <f ca="1"/>
        <v>0.94968351749688729</v>
      </c>
    </row>
    <row r="52" spans="1:23">
      <c r="A52" s="203"/>
      <c r="B52" s="762" t="s">
        <v>572</v>
      </c>
      <c r="C52" s="266">
        <v>2.2850000000000002E-2</v>
      </c>
      <c r="D52" s="205" t="b">
        <v>1</v>
      </c>
      <c r="F52" s="617" t="s">
        <v>48</v>
      </c>
      <c r="G52" s="726">
        <f ca="1">SUMPRODUCT(G41,H41,I41)/SUMPRODUCT(G41,I41)</f>
        <v>1.7583303590050153E-2</v>
      </c>
      <c r="H52" s="726">
        <f>C48</f>
        <v>1.7310000000000002E-2</v>
      </c>
      <c r="I52" s="194" t="str" cm="1">
        <f t="array" aca="1" ref="I52" ca="1">_xll.d.TestUtils_Equal(G52,H52,$H$23)</f>
        <v>Ok</v>
      </c>
      <c r="O52" s="54"/>
      <c r="P52" s="802" t="s">
        <v>49</v>
      </c>
      <c r="Q52" s="710">
        <v>2.5665E-2</v>
      </c>
      <c r="R52" s="216" t="b">
        <v>1</v>
      </c>
      <c r="T52" s="716">
        <v>45471</v>
      </c>
      <c r="U52" s="270" cm="1">
        <f t="array" ref="U52">_xll.d.Dates_Act365(T51,T52)</f>
        <v>0.24931506849315069</v>
      </c>
      <c r="V52" s="598">
        <f ca="1"/>
        <v>2.8905855921072039E-2</v>
      </c>
      <c r="W52" s="718">
        <f ca="1"/>
        <v>0.94279474443255473</v>
      </c>
    </row>
    <row r="53" spans="1:23">
      <c r="A53" s="203"/>
      <c r="B53" s="762" t="s">
        <v>578</v>
      </c>
      <c r="C53" s="266">
        <v>2.2099999999999998E-2</v>
      </c>
      <c r="D53" s="205" t="b">
        <v>1</v>
      </c>
      <c r="F53" s="733" t="s">
        <v>49</v>
      </c>
      <c r="G53" s="734">
        <f t="array" aca="1" ref="G53" ca="1">SUMPRODUCT(G41:G42,H41:H42,I41:I42)/SUMPRODUCT(G41:G42,I41:I42)</f>
        <v>2.3170842365213929E-2</v>
      </c>
      <c r="H53" s="734">
        <f>C50</f>
        <v>2.3050000000000001E-2</v>
      </c>
      <c r="I53" s="194" t="str" cm="1">
        <f t="array" aca="1" ref="I53" ca="1">_xll.d.TestUtils_Equal(G53,H53,$H$23)</f>
        <v>Ok</v>
      </c>
      <c r="O53" s="54"/>
      <c r="P53" s="803" t="s">
        <v>53</v>
      </c>
      <c r="Q53" s="699">
        <v>2.656E-2</v>
      </c>
      <c r="R53" s="219" t="b">
        <v>1</v>
      </c>
      <c r="T53" s="716">
        <v>45565</v>
      </c>
      <c r="U53" s="270" cm="1">
        <f t="array" ref="U53">_xll.d.Dates_Act365(T52,T53)</f>
        <v>0.25753424657534246</v>
      </c>
      <c r="V53" s="598">
        <f ca="1"/>
        <v>2.8438700326599349E-2</v>
      </c>
      <c r="W53" s="718">
        <f ca="1"/>
        <v>0.93584547353383174</v>
      </c>
    </row>
    <row r="54" spans="1:23">
      <c r="A54" s="203"/>
      <c r="B54" s="762" t="s">
        <v>580</v>
      </c>
      <c r="C54" s="266">
        <v>2.138E-2</v>
      </c>
      <c r="D54" s="205" t="b">
        <v>1</v>
      </c>
      <c r="F54" s="735" t="s">
        <v>53</v>
      </c>
      <c r="G54" s="734">
        <f ca="1">SUMPRODUCT(G41:G43,H41:H43,I41:I43)/SUMPRODUCT(G41:G43,I41:I43)</f>
        <v>2.3517143576914198E-2</v>
      </c>
      <c r="H54" s="736">
        <f>C51</f>
        <v>2.3450000000000002E-2</v>
      </c>
      <c r="I54" s="194" t="str" cm="1">
        <f t="array" aca="1" ref="I54" ca="1">_xll.d.TestUtils_Equal(G54,H54,$H$23)</f>
        <v>Ok</v>
      </c>
      <c r="J54" s="760"/>
      <c r="O54" s="54"/>
      <c r="P54" s="803" t="s">
        <v>572</v>
      </c>
      <c r="Q54" s="699">
        <v>2.5990000000000003E-2</v>
      </c>
      <c r="R54" s="219" t="b">
        <v>1</v>
      </c>
      <c r="T54" s="716">
        <v>45657</v>
      </c>
      <c r="U54" s="270" cm="1">
        <f t="array" ref="U54">_xll.d.Dates_Act365(T53,T54)</f>
        <v>0.25205479452054796</v>
      </c>
      <c r="V54" s="598">
        <f ca="1"/>
        <v>2.8436459429758868E-2</v>
      </c>
      <c r="W54" s="718">
        <f ca="1"/>
        <v>0.92909366145781735</v>
      </c>
    </row>
    <row r="55" spans="1:23">
      <c r="A55" s="203"/>
      <c r="B55" s="762" t="s">
        <v>587</v>
      </c>
      <c r="C55" s="266">
        <v>2.0969999999999999E-2</v>
      </c>
      <c r="D55" s="205" t="b">
        <v>1</v>
      </c>
      <c r="F55" s="733" t="s">
        <v>572</v>
      </c>
      <c r="G55" s="734">
        <f ca="1">SUMPRODUCT(G$41:G44,H$41:H44,I$41:I44)/SUMPRODUCT(G$41:G44,I$41:I44)</f>
        <v>2.2890658956754604E-2</v>
      </c>
      <c r="H55" s="734">
        <f>C52</f>
        <v>2.2850000000000002E-2</v>
      </c>
      <c r="I55" s="194" t="str" cm="1">
        <f t="array" aca="1" ref="I55" ca="1">_xll.d.TestUtils_Equal(G55,H55,$H$23)</f>
        <v>Ok</v>
      </c>
      <c r="J55" s="760"/>
      <c r="O55" s="54"/>
      <c r="P55" s="803" t="s">
        <v>578</v>
      </c>
      <c r="Q55" s="699">
        <v>2.5137E-2</v>
      </c>
      <c r="R55" s="219" t="b">
        <v>1</v>
      </c>
      <c r="T55" s="716">
        <v>45747</v>
      </c>
      <c r="U55" s="270" cm="1">
        <f t="array" ref="U55">_xll.d.Dates_Act365(T54,T55)</f>
        <v>0.24657534246575341</v>
      </c>
      <c r="V55" s="598">
        <f ca="1"/>
        <v>2.8434218768206065E-2</v>
      </c>
      <c r="W55" s="718">
        <f ca="1"/>
        <v>0.92253576551329253</v>
      </c>
    </row>
    <row r="56" spans="1:23">
      <c r="A56" s="203"/>
      <c r="B56" s="762" t="s">
        <v>588</v>
      </c>
      <c r="C56" s="266">
        <v>2.1000000000000001E-2</v>
      </c>
      <c r="D56" s="205" t="b">
        <v>1</v>
      </c>
      <c r="F56" s="735" t="s">
        <v>578</v>
      </c>
      <c r="G56" s="734">
        <f ca="1">SUMPRODUCT(G$41:G45,H$41:H45,I$41:I45)/SUMPRODUCT(G$41:G45,I$41:I45)</f>
        <v>2.2136608468984045E-2</v>
      </c>
      <c r="H56" s="736">
        <f>C53</f>
        <v>2.2099999999999998E-2</v>
      </c>
      <c r="I56" s="194" t="str" cm="1">
        <f t="array" aca="1" ref="I56" ca="1">_xll.d.TestUtils_Equal(G56,H56,$H$23)</f>
        <v>Ok</v>
      </c>
      <c r="J56" s="760"/>
      <c r="O56" s="54"/>
      <c r="P56" s="803" t="s">
        <v>579</v>
      </c>
      <c r="Q56" s="699">
        <v>2.4760000000000001E-2</v>
      </c>
      <c r="R56" s="219" t="b">
        <v>1</v>
      </c>
      <c r="T56" s="716">
        <v>45838</v>
      </c>
      <c r="U56" s="270" cm="1">
        <f t="array" ref="U56">_xll.d.Dates_Act365(T55,T56)</f>
        <v>0.24931506849315069</v>
      </c>
      <c r="V56" s="598">
        <f ca="1"/>
        <v>2.4378952016042035E-2</v>
      </c>
      <c r="W56" s="718">
        <f ca="1"/>
        <v>0.91688549777038753</v>
      </c>
    </row>
    <row r="57" spans="1:23">
      <c r="A57" s="203"/>
      <c r="B57" s="762" t="s">
        <v>589</v>
      </c>
      <c r="C57" s="266">
        <v>2.0959999999999999E-2</v>
      </c>
      <c r="D57" s="205" t="b">
        <v>1</v>
      </c>
      <c r="F57" s="618" t="s">
        <v>580</v>
      </c>
      <c r="G57" s="727">
        <f ca="1">SUMPRODUCT(G$41:G47,H$41:H47,I$41:I47)/SUMPRODUCT(G$41:G47,I$41:I47)</f>
        <v>2.1407835343746601E-2</v>
      </c>
      <c r="H57" s="727">
        <f>C54</f>
        <v>2.138E-2</v>
      </c>
      <c r="I57" s="194" t="str" cm="1">
        <f t="array" aca="1" ref="I57" ca="1">_xll.d.TestUtils_Equal(G57,H57,$H$23)</f>
        <v>Ok</v>
      </c>
      <c r="J57" s="760"/>
      <c r="O57" s="54"/>
      <c r="P57" s="803" t="s">
        <v>580</v>
      </c>
      <c r="Q57" s="699">
        <v>2.4512999999999997E-2</v>
      </c>
      <c r="R57" s="219" t="b">
        <v>1</v>
      </c>
      <c r="T57" s="716">
        <v>45930</v>
      </c>
      <c r="U57" s="270" cm="1">
        <f t="array" ref="U57">_xll.d.Dates_Act365(T56,T57)</f>
        <v>0.25205479452054796</v>
      </c>
      <c r="V57" s="598">
        <f ca="1"/>
        <v>2.419336204628415E-2</v>
      </c>
      <c r="W57" s="718">
        <f ca="1"/>
        <v>0.91125145955976883</v>
      </c>
    </row>
    <row r="58" spans="1:23">
      <c r="A58" s="203"/>
      <c r="B58" s="762" t="s">
        <v>590</v>
      </c>
      <c r="C58" s="266">
        <v>2.0830000000000001E-2</v>
      </c>
      <c r="D58" s="205" t="b">
        <v>1</v>
      </c>
      <c r="J58" s="760"/>
      <c r="O58" s="54"/>
      <c r="P58" s="803" t="s">
        <v>581</v>
      </c>
      <c r="Q58" s="699">
        <v>2.4540000000000003E-2</v>
      </c>
      <c r="R58" s="219" t="b">
        <v>1</v>
      </c>
      <c r="T58" s="716">
        <v>46022</v>
      </c>
      <c r="U58" s="270" cm="1">
        <f t="array" ref="U58">_xll.d.Dates_Act365(T57,T58)</f>
        <v>0.25205479452054796</v>
      </c>
      <c r="V58" s="598">
        <f ca="1"/>
        <v>2.4193362046283279E-2</v>
      </c>
      <c r="W58" s="718">
        <f ca="1"/>
        <v>0.90565204114260955</v>
      </c>
    </row>
    <row r="59" spans="1:23">
      <c r="A59" s="203"/>
      <c r="B59" s="762" t="s">
        <v>591</v>
      </c>
      <c r="C59" s="266">
        <v>2.0250000000000001E-2</v>
      </c>
      <c r="D59" s="205" t="b">
        <v>1</v>
      </c>
      <c r="F59" s="289" t="s">
        <v>200</v>
      </c>
      <c r="J59" s="760"/>
      <c r="O59" s="54"/>
      <c r="P59" s="803" t="s">
        <v>617</v>
      </c>
      <c r="Q59" s="699">
        <v>2.4089999999999997E-2</v>
      </c>
      <c r="R59" s="219" t="b">
        <v>1</v>
      </c>
      <c r="T59" s="716">
        <v>46112</v>
      </c>
      <c r="U59" s="270" cm="1">
        <f t="array" ref="U59">_xll.d.Dates_Act365(T58,T59)</f>
        <v>0.24657534246575341</v>
      </c>
      <c r="V59" s="598">
        <f ca="1"/>
        <v>2.4191739573818261E-2</v>
      </c>
      <c r="W59" s="718">
        <f ca="1"/>
        <v>0.9002076439215817</v>
      </c>
    </row>
    <row r="60" spans="1:23">
      <c r="A60" s="203"/>
      <c r="B60" s="763" t="s">
        <v>592</v>
      </c>
      <c r="C60" s="267">
        <v>1.9550000000000001E-2</v>
      </c>
      <c r="D60" s="206" t="b">
        <v>1</v>
      </c>
      <c r="F60" s="259" t="s">
        <v>199</v>
      </c>
      <c r="O60" s="54"/>
      <c r="P60" s="803" t="s">
        <v>587</v>
      </c>
      <c r="Q60" s="699">
        <v>2.3950999999999997E-2</v>
      </c>
      <c r="R60" s="219" t="b">
        <v>1</v>
      </c>
      <c r="T60" s="716">
        <v>46203</v>
      </c>
      <c r="U60" s="270" cm="1">
        <f t="array" ref="U60">_xll.d.Dates_Act365(T59,T60)</f>
        <v>0.24931506849315069</v>
      </c>
      <c r="V60" s="598">
        <f ca="1"/>
        <v>2.1673968839576601E-2</v>
      </c>
      <c r="W60" s="718">
        <f ca="1"/>
        <v>0.89530255190853347</v>
      </c>
    </row>
    <row r="61" spans="1:23">
      <c r="A61" s="203"/>
      <c r="B61" s="1"/>
      <c r="O61" s="54"/>
      <c r="P61" s="803" t="s">
        <v>588</v>
      </c>
      <c r="Q61" s="699">
        <v>2.4050999999999999E-2</v>
      </c>
      <c r="R61" s="219" t="b">
        <v>1</v>
      </c>
      <c r="T61" s="716">
        <v>46295</v>
      </c>
      <c r="U61" s="270" cm="1">
        <f t="array" ref="U61">_xll.d.Dates_Act365(T60,T61)</f>
        <v>0.25205479452054796</v>
      </c>
      <c r="V61" s="598">
        <f ca="1"/>
        <v>2.1464797695144651E-2</v>
      </c>
      <c r="W61" s="718">
        <f ca="1"/>
        <v>0.8904182088585767</v>
      </c>
    </row>
    <row r="62" spans="1:23">
      <c r="A62" s="203"/>
      <c r="B62" s="1"/>
      <c r="O62" s="54"/>
      <c r="P62" s="803" t="s">
        <v>589</v>
      </c>
      <c r="Q62" s="699">
        <v>2.4262499999999999E-2</v>
      </c>
      <c r="R62" s="219" t="b">
        <v>1</v>
      </c>
      <c r="T62" s="716">
        <v>46387</v>
      </c>
      <c r="U62" s="270" cm="1">
        <f t="array" ref="U62">_xll.d.Dates_Act365(T61,T62)</f>
        <v>0.25205479452054796</v>
      </c>
      <c r="V62" s="598">
        <f ca="1"/>
        <v>2.146479769514378E-2</v>
      </c>
      <c r="W62" s="718">
        <f ca="1"/>
        <v>0.88556051245111955</v>
      </c>
    </row>
    <row r="63" spans="1:23">
      <c r="A63" s="203"/>
      <c r="O63" s="54"/>
      <c r="P63" s="803" t="s">
        <v>590</v>
      </c>
      <c r="Q63" s="699">
        <v>2.3692999999999999E-2</v>
      </c>
      <c r="R63" s="219" t="b">
        <v>1</v>
      </c>
      <c r="T63" s="716">
        <v>46477</v>
      </c>
      <c r="U63" s="270" cm="1">
        <f t="array" ref="U63">_xll.d.Dates_Act365(T62,T63)</f>
        <v>0.24657534246575341</v>
      </c>
      <c r="V63" s="598">
        <f ca="1"/>
        <v>2.1463520253050206E-2</v>
      </c>
      <c r="W63" s="718">
        <f ca="1"/>
        <v>0.88083406251602236</v>
      </c>
    </row>
    <row r="64" spans="1:23">
      <c r="A64" s="203"/>
      <c r="O64" s="54"/>
      <c r="P64" s="803" t="s">
        <v>591</v>
      </c>
      <c r="Q64" s="699">
        <v>2.3399999999999997E-2</v>
      </c>
      <c r="R64" s="219" t="b">
        <v>1</v>
      </c>
      <c r="T64" s="716">
        <v>46568</v>
      </c>
      <c r="U64" s="270" cm="1">
        <f t="array" ref="U64">_xll.d.Dates_Act365(T63,T64)</f>
        <v>0.24931506849315069</v>
      </c>
      <c r="V64" s="598">
        <f ca="1"/>
        <v>2.2655955717808308E-2</v>
      </c>
      <c r="W64" s="718">
        <f ca="1"/>
        <v>0.87581831919340936</v>
      </c>
    </row>
    <row r="65" spans="1:23">
      <c r="A65" s="203"/>
      <c r="O65" s="54"/>
      <c r="P65" s="803" t="s">
        <v>592</v>
      </c>
      <c r="Q65" s="699">
        <v>2.2423999999999999E-2</v>
      </c>
      <c r="R65" s="219" t="b">
        <v>1</v>
      </c>
      <c r="T65" s="716">
        <v>46660</v>
      </c>
      <c r="U65" s="270" cm="1">
        <f t="array" ref="U65">_xll.d.Dates_Act365(T64,T65)</f>
        <v>0.25205479452054796</v>
      </c>
      <c r="V65" s="598">
        <f ca="1"/>
        <v>2.2725973129866989E-2</v>
      </c>
      <c r="W65" s="718">
        <f ca="1"/>
        <v>0.87076115722433078</v>
      </c>
    </row>
    <row r="66" spans="1:23">
      <c r="A66" s="203"/>
      <c r="O66" s="54"/>
      <c r="P66" s="804" t="s">
        <v>618</v>
      </c>
      <c r="Q66" s="711">
        <v>2.1080000000000002E-2</v>
      </c>
      <c r="R66" s="218" t="b">
        <v>1</v>
      </c>
      <c r="T66" s="716">
        <v>46752</v>
      </c>
      <c r="U66" s="270" cm="1">
        <f t="array" ref="U66">_xll.d.Dates_Act365(T65,T66)</f>
        <v>0.25205479452054796</v>
      </c>
      <c r="V66" s="598">
        <f ca="1"/>
        <v>2.2725973129866989E-2</v>
      </c>
      <c r="W66" s="718">
        <f ca="1"/>
        <v>0.86573319638820523</v>
      </c>
    </row>
    <row r="67" spans="1:23">
      <c r="A67" s="203"/>
      <c r="B67" s="54"/>
      <c r="C67" s="54"/>
      <c r="D67" s="54"/>
      <c r="E67" s="54"/>
      <c r="O67" s="54"/>
      <c r="P67" s="54"/>
      <c r="Q67" s="54"/>
      <c r="R67" s="54"/>
      <c r="T67" s="716">
        <v>46843</v>
      </c>
      <c r="U67" s="270" cm="1">
        <f t="array" ref="U67">_xll.d.Dates_Act365(T66,T67)</f>
        <v>0.24931506849315069</v>
      </c>
      <c r="V67" s="598">
        <f ca="1"/>
        <v>2.27252572103037E-2</v>
      </c>
      <c r="W67" s="718">
        <f ca="1"/>
        <v>0.86078844877683802</v>
      </c>
    </row>
    <row r="68" spans="1:23">
      <c r="A68" s="203"/>
      <c r="B68" s="54"/>
      <c r="C68" s="54"/>
      <c r="D68" s="54"/>
      <c r="E68" s="54"/>
      <c r="O68" s="54"/>
      <c r="P68" s="54"/>
      <c r="Q68" s="54"/>
      <c r="R68" s="54"/>
      <c r="T68" s="716">
        <v>46934</v>
      </c>
      <c r="U68" s="270" cm="1">
        <f t="array" ref="U68">_xll.d.Dates_Act365(T67,T68)</f>
        <v>0.24931506849315069</v>
      </c>
      <c r="V68" s="598">
        <f ca="1"/>
        <v>2.2888425516610938E-2</v>
      </c>
      <c r="W68" s="718">
        <f ca="1"/>
        <v>0.85583684608394173</v>
      </c>
    </row>
    <row r="69" spans="1:23">
      <c r="A69" s="203"/>
      <c r="B69" s="54"/>
      <c r="C69" s="54"/>
      <c r="D69" s="54"/>
      <c r="E69" s="54"/>
      <c r="O69" s="54"/>
      <c r="P69" s="54"/>
      <c r="Q69" s="54"/>
      <c r="R69" s="54"/>
      <c r="T69" s="716">
        <v>47025</v>
      </c>
      <c r="U69" s="270" cm="1">
        <f t="array" ref="U69">_xll.d.Dates_Act365(T68,T69)</f>
        <v>0.24931506849315069</v>
      </c>
      <c r="V69" s="598">
        <f ca="1"/>
        <v>2.2895927668603318E-2</v>
      </c>
      <c r="W69" s="718">
        <f ca="1"/>
        <v>0.85091212264082694</v>
      </c>
    </row>
    <row r="70" spans="1:23">
      <c r="A70" s="203"/>
      <c r="B70" s="54"/>
      <c r="C70" s="54"/>
      <c r="D70" s="54"/>
      <c r="E70" s="54"/>
      <c r="O70" s="54"/>
      <c r="P70" s="54"/>
      <c r="Q70" s="54"/>
      <c r="R70" s="54"/>
      <c r="T70" s="716">
        <v>47116</v>
      </c>
      <c r="U70" s="270" cm="1">
        <f t="array" ref="U70">_xll.d.Dates_Act365(T69,T70)</f>
        <v>0.24931506849315069</v>
      </c>
      <c r="V70" s="598">
        <f ca="1"/>
        <v>2.2895927668602441E-2</v>
      </c>
      <c r="W70" s="718">
        <f ca="1"/>
        <v>0.84601573742725</v>
      </c>
    </row>
    <row r="71" spans="1:23">
      <c r="A71" s="203"/>
      <c r="B71" s="54"/>
      <c r="C71" s="54"/>
      <c r="D71" s="54"/>
      <c r="E71" s="54"/>
      <c r="K71" s="54"/>
      <c r="L71" s="54"/>
      <c r="M71" s="54"/>
      <c r="N71" s="54"/>
      <c r="O71" s="54"/>
      <c r="P71" s="54"/>
      <c r="Q71" s="54"/>
      <c r="R71" s="54"/>
      <c r="T71" s="716">
        <v>47207</v>
      </c>
      <c r="U71" s="270" cm="1">
        <f t="array" ref="U71">_xll.d.Dates_Act365(T70,T71)</f>
        <v>0.24931506849315069</v>
      </c>
      <c r="V71" s="598">
        <f ca="1"/>
        <v>2.2895927668603318E-2</v>
      </c>
      <c r="W71" s="718">
        <f ca="1"/>
        <v>0.84114752737714971</v>
      </c>
    </row>
    <row r="72" spans="1:23">
      <c r="A72" s="203"/>
      <c r="B72" s="54"/>
      <c r="C72" s="54"/>
      <c r="D72" s="54"/>
      <c r="E72" s="54"/>
      <c r="K72" s="54"/>
      <c r="L72" s="54"/>
      <c r="M72" s="54"/>
      <c r="N72" s="54"/>
      <c r="O72" s="54"/>
      <c r="P72" s="54"/>
      <c r="Q72" s="54"/>
      <c r="R72" s="54"/>
      <c r="T72" s="716">
        <v>47298</v>
      </c>
      <c r="U72" s="270" cm="1">
        <f t="array" ref="U72">_xll.d.Dates_Act365(T71,T72)</f>
        <v>0.24931506849315069</v>
      </c>
      <c r="V72" s="598">
        <f ca="1"/>
        <v>2.4646723472107997E-2</v>
      </c>
      <c r="W72" s="718">
        <f ca="1"/>
        <v>0.83593950390192906</v>
      </c>
    </row>
    <row r="73" spans="1:23">
      <c r="A73" s="203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T73" s="716">
        <v>47389</v>
      </c>
      <c r="U73" s="270" cm="1">
        <f t="array" ref="U73">_xll.d.Dates_Act365(T72,T73)</f>
        <v>0.24931506849315069</v>
      </c>
      <c r="V73" s="598">
        <f ca="1"/>
        <v>2.4748537619239633E-2</v>
      </c>
      <c r="W73" s="718">
        <f ca="1"/>
        <v>0.83074247836174875</v>
      </c>
    </row>
    <row r="74" spans="1:23">
      <c r="A74" s="203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T74" s="716">
        <v>47483</v>
      </c>
      <c r="U74" s="270" cm="1">
        <f t="array" ref="U74">_xll.d.Dates_Act365(T73,T74)</f>
        <v>0.25753424657534246</v>
      </c>
      <c r="V74" s="598">
        <f ca="1"/>
        <v>2.4751084530842297E-2</v>
      </c>
      <c r="W74" s="718">
        <f ca="1"/>
        <v>0.82540804512853516</v>
      </c>
    </row>
    <row r="75" spans="1:23">
      <c r="A75" s="203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T75" s="719">
        <v>47571</v>
      </c>
      <c r="U75" s="631" cm="1">
        <f t="array" ref="U75">_xll.d.Dates_Act365(T74,T75)</f>
        <v>0.24109589041095891</v>
      </c>
      <c r="V75" s="720">
        <f ca="1"/>
        <v>2.4745991056883888E-2</v>
      </c>
      <c r="W75" s="319">
        <f ca="1"/>
        <v>0.82044515594170031</v>
      </c>
    </row>
    <row r="76" spans="1:23">
      <c r="A76" s="203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</row>
    <row r="77" spans="1:23">
      <c r="A77" s="203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</row>
    <row r="78" spans="1:23">
      <c r="A78" s="203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T78" s="285" t="s">
        <v>537</v>
      </c>
      <c r="U78" s="286"/>
      <c r="V78" s="286"/>
      <c r="W78" s="287"/>
    </row>
    <row r="79" spans="1:23">
      <c r="A79" s="203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T79" s="494" t="s">
        <v>22</v>
      </c>
      <c r="U79" s="615" t="s">
        <v>65</v>
      </c>
      <c r="V79" s="615" t="s">
        <v>66</v>
      </c>
      <c r="W79" s="616" t="s">
        <v>67</v>
      </c>
    </row>
    <row r="80" spans="1:23">
      <c r="A80" s="203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T80" s="617" t="s">
        <v>53</v>
      </c>
      <c r="U80" s="726">
        <f ca="1">SUMPRODUCT(U44:U55,V44:V55,W44:W55)/SUMPRODUCT(U44:U55,W44:W55)</f>
        <v>2.6444880538704769E-2</v>
      </c>
      <c r="V80" s="726">
        <f t="shared" ref="V80:V85" si="0">Q53</f>
        <v>2.656E-2</v>
      </c>
      <c r="W80" s="194" t="str" cm="1">
        <f t="array" aca="1" ref="W80" ca="1">_xll.d.TestUtils_Equal(U80,V80,$T$23)</f>
        <v>Ok</v>
      </c>
    </row>
    <row r="81" spans="1:23">
      <c r="A81" s="203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T81" s="733" t="s">
        <v>572</v>
      </c>
      <c r="U81" s="734">
        <f ca="1">SUMPRODUCT(U44:U59,V44:V59,W44:W59)/SUMPRODUCT(U44:U59,W44:W59)</f>
        <v>2.5917490066459936E-2</v>
      </c>
      <c r="V81" s="734">
        <f t="shared" si="0"/>
        <v>2.5990000000000003E-2</v>
      </c>
      <c r="W81" s="194" t="str" cm="1">
        <f t="array" aca="1" ref="W81" ca="1">_xll.d.TestUtils_Equal(U81,V81,$T$23)</f>
        <v>Ok</v>
      </c>
    </row>
    <row r="82" spans="1:23">
      <c r="A82" s="203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T82" s="735" t="s">
        <v>578</v>
      </c>
      <c r="U82" s="734">
        <f ca="1">SUMPRODUCT(U44:U63,V44:V63,W44:W63)/SUMPRODUCT(U44:U63,W44:W63)</f>
        <v>2.5083724208388097E-2</v>
      </c>
      <c r="V82" s="734">
        <f t="shared" si="0"/>
        <v>2.5137E-2</v>
      </c>
      <c r="W82" s="194" t="str" cm="1">
        <f t="array" aca="1" ref="W82" ca="1">_xll.d.TestUtils_Equal(U82,V82,$T$23)</f>
        <v>Ok</v>
      </c>
    </row>
    <row r="83" spans="1:23"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T83" s="733" t="s">
        <v>579</v>
      </c>
      <c r="U83" s="734">
        <f ca="1">SUMPRODUCT(U44:U67,V44:V67,W44:W67)/SUMPRODUCT(U44:U67,W44:W67)</f>
        <v>2.4711578447134144E-2</v>
      </c>
      <c r="V83" s="734">
        <f t="shared" si="0"/>
        <v>2.4760000000000001E-2</v>
      </c>
      <c r="W83" s="194" t="str" cm="1">
        <f t="array" aca="1" ref="W83" ca="1">_xll.d.TestUtils_Equal(U83,V83,$T$23)</f>
        <v>Ok</v>
      </c>
    </row>
    <row r="84" spans="1:23"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T84" s="735" t="s">
        <v>580</v>
      </c>
      <c r="U84" s="734">
        <f ca="1">SUMPRODUCT(U44:U71,V44:V71,W44:W71)/SUMPRODUCT(U44:U71,W44:W71)</f>
        <v>2.4471418327032958E-2</v>
      </c>
      <c r="V84" s="736">
        <f t="shared" si="0"/>
        <v>2.4512999999999997E-2</v>
      </c>
      <c r="W84" s="194" t="str" cm="1">
        <f t="array" aca="1" ref="W84" ca="1">_xll.d.TestUtils_Equal(U84,V84,$T$23)</f>
        <v>Ok</v>
      </c>
    </row>
    <row r="85" spans="1:23">
      <c r="F85" s="54"/>
      <c r="G85" s="54"/>
      <c r="H85" s="54"/>
      <c r="I85" s="54"/>
      <c r="J85" s="54"/>
      <c r="K85" s="54"/>
      <c r="L85" s="54"/>
      <c r="M85" s="54"/>
      <c r="N85" s="54"/>
      <c r="O85" s="54"/>
      <c r="T85" s="618" t="s">
        <v>581</v>
      </c>
      <c r="U85" s="727">
        <f ca="1">SUMPRODUCT(U44:U75,V44:V75,W44:W75)/SUMPRODUCT(U44:U75,W44:W75)</f>
        <v>2.4500146307837974E-2</v>
      </c>
      <c r="V85" s="727">
        <f t="shared" si="0"/>
        <v>2.4540000000000003E-2</v>
      </c>
      <c r="W85" s="194" t="str" cm="1">
        <f t="array" aca="1" ref="W85" ca="1">_xll.d.TestUtils_Equal(U85,V85,$T$23)</f>
        <v>Ok</v>
      </c>
    </row>
    <row r="86" spans="1:23">
      <c r="F86" s="54"/>
      <c r="G86" s="54"/>
      <c r="H86" s="54"/>
      <c r="I86" s="54"/>
      <c r="J86" s="54"/>
      <c r="K86" s="54"/>
      <c r="L86" s="54"/>
      <c r="M86" s="54"/>
      <c r="N86" s="54"/>
      <c r="O86" s="54"/>
      <c r="S86" s="54"/>
      <c r="T86" s="54"/>
      <c r="U86" s="54"/>
      <c r="V86" s="54"/>
      <c r="W86" s="54"/>
    </row>
    <row r="87" spans="1:23">
      <c r="F87" s="54"/>
      <c r="G87" s="54"/>
      <c r="H87" s="54"/>
      <c r="I87" s="54"/>
      <c r="J87" s="54"/>
      <c r="K87" s="54"/>
      <c r="L87" s="54"/>
      <c r="M87" s="54"/>
      <c r="N87" s="54"/>
      <c r="O87" s="54"/>
      <c r="S87" s="54"/>
      <c r="T87" s="54"/>
      <c r="U87" s="54"/>
      <c r="V87" s="54"/>
      <c r="W87" s="54"/>
    </row>
    <row r="88" spans="1:23">
      <c r="F88" s="54"/>
      <c r="G88" s="54"/>
      <c r="H88" s="54"/>
      <c r="I88" s="54"/>
      <c r="J88" s="54"/>
      <c r="K88" s="54"/>
      <c r="L88" s="54"/>
      <c r="M88" s="54"/>
      <c r="N88" s="54"/>
      <c r="O88" s="54"/>
      <c r="S88" s="54"/>
      <c r="T88" s="54"/>
      <c r="U88" s="54"/>
      <c r="V88" s="54"/>
      <c r="W88" s="54"/>
    </row>
    <row r="89" spans="1:23">
      <c r="F89" s="54"/>
      <c r="G89" s="54"/>
      <c r="H89" s="54"/>
      <c r="I89" s="54"/>
      <c r="J89" s="54"/>
      <c r="S89" s="54"/>
      <c r="T89" s="54"/>
      <c r="U89" s="54"/>
      <c r="V89" s="54"/>
      <c r="W89" s="54"/>
    </row>
    <row r="90" spans="1:23">
      <c r="F90" s="54"/>
      <c r="G90" s="54"/>
      <c r="H90" s="54"/>
      <c r="I90" s="54"/>
      <c r="J90" s="54"/>
      <c r="S90" s="54"/>
      <c r="T90" s="54"/>
      <c r="U90" s="54"/>
      <c r="V90" s="54"/>
      <c r="W90" s="54"/>
    </row>
    <row r="285" spans="2:2">
      <c r="B285" s="8">
        <v>45502</v>
      </c>
    </row>
  </sheetData>
  <mergeCells count="4">
    <mergeCell ref="C30:D30"/>
    <mergeCell ref="Q30:R30"/>
    <mergeCell ref="C32:D32"/>
    <mergeCell ref="Q32:R32"/>
  </mergeCells>
  <conditionalFormatting sqref="W29:W38 D12 H11 D10">
    <cfRule type="cellIs" dxfId="392" priority="130" stopIfTrue="1" operator="equal">
      <formula>"ERROR"</formula>
    </cfRule>
    <cfRule type="cellIs" dxfId="391" priority="131" stopIfTrue="1" operator="equal">
      <formula>"OK"</formula>
    </cfRule>
    <cfRule type="cellIs" dxfId="390" priority="132" stopIfTrue="1" operator="equal">
      <formula>"WARNING"</formula>
    </cfRule>
  </conditionalFormatting>
  <conditionalFormatting sqref="C6">
    <cfRule type="cellIs" dxfId="389" priority="127" stopIfTrue="1" operator="equal">
      <formula>"ERROR"</formula>
    </cfRule>
    <cfRule type="cellIs" dxfId="388" priority="128" stopIfTrue="1" operator="equal">
      <formula>"OK"</formula>
    </cfRule>
    <cfRule type="cellIs" dxfId="387" priority="129" stopIfTrue="1" operator="equal">
      <formula>"WARNING"</formula>
    </cfRule>
  </conditionalFormatting>
  <conditionalFormatting sqref="I29:I35">
    <cfRule type="cellIs" dxfId="386" priority="94" stopIfTrue="1" operator="equal">
      <formula>"ERROR"</formula>
    </cfRule>
    <cfRule type="cellIs" dxfId="385" priority="95" stopIfTrue="1" operator="equal">
      <formula>"OK"</formula>
    </cfRule>
    <cfRule type="cellIs" dxfId="384" priority="96" stopIfTrue="1" operator="equal">
      <formula>"WARNING"</formula>
    </cfRule>
  </conditionalFormatting>
  <conditionalFormatting sqref="C19">
    <cfRule type="cellIs" dxfId="383" priority="91" stopIfTrue="1" operator="equal">
      <formula>"ERROR"</formula>
    </cfRule>
    <cfRule type="cellIs" dxfId="382" priority="92" stopIfTrue="1" operator="equal">
      <formula>"OK"</formula>
    </cfRule>
    <cfRule type="cellIs" dxfId="381" priority="93" stopIfTrue="1" operator="equal">
      <formula>"WARNING"</formula>
    </cfRule>
  </conditionalFormatting>
  <conditionalFormatting sqref="I52:I57">
    <cfRule type="cellIs" dxfId="380" priority="88" stopIfTrue="1" operator="equal">
      <formula>"ERROR"</formula>
    </cfRule>
    <cfRule type="cellIs" dxfId="379" priority="89" stopIfTrue="1" operator="equal">
      <formula>"OK"</formula>
    </cfRule>
    <cfRule type="cellIs" dxfId="378" priority="90" stopIfTrue="1" operator="equal">
      <formula>"WARNING"</formula>
    </cfRule>
  </conditionalFormatting>
  <conditionalFormatting sqref="K28:L28 K29:K44 M29:N29 M30:M44 N30:N50">
    <cfRule type="cellIs" dxfId="377" priority="85" stopIfTrue="1" operator="equal">
      <formula>"ERROR"</formula>
    </cfRule>
    <cfRule type="cellIs" dxfId="376" priority="86" stopIfTrue="1" operator="equal">
      <formula>"OK"</formula>
    </cfRule>
    <cfRule type="cellIs" dxfId="375" priority="87" stopIfTrue="1" operator="equal">
      <formula>"WARNING"</formula>
    </cfRule>
  </conditionalFormatting>
  <conditionalFormatting sqref="L29:L44">
    <cfRule type="cellIs" dxfId="374" priority="82" stopIfTrue="1" operator="equal">
      <formula>"ERROR"</formula>
    </cfRule>
    <cfRule type="cellIs" dxfId="373" priority="83" stopIfTrue="1" operator="equal">
      <formula>"OK"</formula>
    </cfRule>
    <cfRule type="cellIs" dxfId="372" priority="84" stopIfTrue="1" operator="equal">
      <formula>"WARNING"</formula>
    </cfRule>
  </conditionalFormatting>
  <conditionalFormatting sqref="K49:K50 M49:M50">
    <cfRule type="cellIs" dxfId="371" priority="79" stopIfTrue="1" operator="equal">
      <formula>"ERROR"</formula>
    </cfRule>
    <cfRule type="cellIs" dxfId="370" priority="80" stopIfTrue="1" operator="equal">
      <formula>"OK"</formula>
    </cfRule>
    <cfRule type="cellIs" dxfId="369" priority="81" stopIfTrue="1" operator="equal">
      <formula>"WARNING"</formula>
    </cfRule>
  </conditionalFormatting>
  <conditionalFormatting sqref="L49:L50">
    <cfRule type="cellIs" dxfId="368" priority="76" stopIfTrue="1" operator="equal">
      <formula>"ERROR"</formula>
    </cfRule>
    <cfRule type="cellIs" dxfId="367" priority="77" stopIfTrue="1" operator="equal">
      <formula>"OK"</formula>
    </cfRule>
    <cfRule type="cellIs" dxfId="366" priority="78" stopIfTrue="1" operator="equal">
      <formula>"WARNING"</formula>
    </cfRule>
  </conditionalFormatting>
  <conditionalFormatting sqref="K45:K48 M45:M48">
    <cfRule type="cellIs" dxfId="365" priority="73" stopIfTrue="1" operator="equal">
      <formula>"ERROR"</formula>
    </cfRule>
    <cfRule type="cellIs" dxfId="364" priority="74" stopIfTrue="1" operator="equal">
      <formula>"OK"</formula>
    </cfRule>
    <cfRule type="cellIs" dxfId="363" priority="75" stopIfTrue="1" operator="equal">
      <formula>"WARNING"</formula>
    </cfRule>
  </conditionalFormatting>
  <conditionalFormatting sqref="L45:L48">
    <cfRule type="cellIs" dxfId="362" priority="70" stopIfTrue="1" operator="equal">
      <formula>"ERROR"</formula>
    </cfRule>
    <cfRule type="cellIs" dxfId="361" priority="71" stopIfTrue="1" operator="equal">
      <formula>"OK"</formula>
    </cfRule>
    <cfRule type="cellIs" dxfId="360" priority="72" stopIfTrue="1" operator="equal">
      <formula>"WARNING"</formula>
    </cfRule>
  </conditionalFormatting>
  <conditionalFormatting sqref="W80:W85">
    <cfRule type="cellIs" dxfId="359" priority="67" stopIfTrue="1" operator="equal">
      <formula>"ERROR"</formula>
    </cfRule>
    <cfRule type="cellIs" dxfId="358" priority="68" stopIfTrue="1" operator="equal">
      <formula>"OK"</formula>
    </cfRule>
    <cfRule type="cellIs" dxfId="357" priority="69" stopIfTrue="1" operator="equal">
      <formula>"WARNING"</formula>
    </cfRule>
  </conditionalFormatting>
  <conditionalFormatting sqref="T23">
    <cfRule type="cellIs" dxfId="356" priority="64" stopIfTrue="1" operator="equal">
      <formula>"ERROR"</formula>
    </cfRule>
    <cfRule type="cellIs" dxfId="355" priority="65" stopIfTrue="1" operator="equal">
      <formula>"OK"</formula>
    </cfRule>
    <cfRule type="cellIs" dxfId="354" priority="66" stopIfTrue="1" operator="equal">
      <formula>"WARNING"</formula>
    </cfRule>
  </conditionalFormatting>
  <conditionalFormatting sqref="H23">
    <cfRule type="cellIs" dxfId="353" priority="22" stopIfTrue="1" operator="equal">
      <formula>"ERROR"</formula>
    </cfRule>
    <cfRule type="cellIs" dxfId="352" priority="23" stopIfTrue="1" operator="equal">
      <formula>"OK"</formula>
    </cfRule>
    <cfRule type="cellIs" dxfId="351" priority="24" stopIfTrue="1" operator="equal">
      <formula>"WARNING"</formula>
    </cfRule>
  </conditionalFormatting>
  <conditionalFormatting sqref="H23">
    <cfRule type="cellIs" dxfId="350" priority="19" stopIfTrue="1" operator="equal">
      <formula>"ERROR"</formula>
    </cfRule>
    <cfRule type="cellIs" dxfId="349" priority="20" stopIfTrue="1" operator="equal">
      <formula>"OK"</formula>
    </cfRule>
    <cfRule type="cellIs" dxfId="348" priority="21" stopIfTrue="1" operator="equal">
      <formula>"WARNING"</formula>
    </cfRule>
  </conditionalFormatting>
  <conditionalFormatting sqref="H22">
    <cfRule type="cellIs" dxfId="347" priority="16" stopIfTrue="1" operator="equal">
      <formula>"ERROR"</formula>
    </cfRule>
    <cfRule type="cellIs" dxfId="346" priority="17" stopIfTrue="1" operator="equal">
      <formula>"OK"</formula>
    </cfRule>
    <cfRule type="cellIs" dxfId="345" priority="18" stopIfTrue="1" operator="equal">
      <formula>"WARNING"</formula>
    </cfRule>
  </conditionalFormatting>
  <conditionalFormatting sqref="H22">
    <cfRule type="cellIs" dxfId="344" priority="13" stopIfTrue="1" operator="equal">
      <formula>"ERROR"</formula>
    </cfRule>
    <cfRule type="cellIs" dxfId="343" priority="14" stopIfTrue="1" operator="equal">
      <formula>"OK"</formula>
    </cfRule>
    <cfRule type="cellIs" dxfId="342" priority="15" stopIfTrue="1" operator="equal">
      <formula>"WARNING"</formula>
    </cfRule>
  </conditionalFormatting>
  <conditionalFormatting sqref="N22">
    <cfRule type="cellIs" dxfId="341" priority="4" stopIfTrue="1" operator="equal">
      <formula>"ERROR"</formula>
    </cfRule>
    <cfRule type="cellIs" dxfId="340" priority="5" stopIfTrue="1" operator="equal">
      <formula>"OK"</formula>
    </cfRule>
    <cfRule type="cellIs" dxfId="339" priority="6" stopIfTrue="1" operator="equal">
      <formula>"WARNING"</formula>
    </cfRule>
  </conditionalFormatting>
  <conditionalFormatting sqref="K24">
    <cfRule type="cellIs" dxfId="338" priority="1" stopIfTrue="1" operator="equal">
      <formula>"ERROR"</formula>
    </cfRule>
    <cfRule type="cellIs" dxfId="337" priority="2" stopIfTrue="1" operator="equal">
      <formula>"OK"</formula>
    </cfRule>
    <cfRule type="cellIs" dxfId="336" priority="3" stopIfTrue="1" operator="equal">
      <formula>"WARNING"</formula>
    </cfRule>
  </conditionalFormatting>
  <dataValidations count="2">
    <dataValidation type="list" allowBlank="1" showInputMessage="1" showErrorMessage="1" sqref="C30:D30 Q30" xr:uid="{0AF80431-AF96-4473-AEBC-198F9E4611A7}">
      <formula1>"EURIBOR, FEDFUND, JIBAR, USD_LIBOR"</formula1>
    </dataValidation>
    <dataValidation type="list" allowBlank="1" showInputMessage="1" showErrorMessage="1" sqref="C32:D32 Q32" xr:uid="{08FF9686-5134-4032-B9A1-9FC6E5E77CE7}">
      <formula1>"Flat_On_ForwardRates, CubicSpline_On_DiscountFactors, Exponential_On_DiscountFactors, LogCubic_On_DiscountFactors, NaturalLogCubic_On_DiscountFactors, Cubic_On_ZeroRates, Linear_On_ZeroRates, NaturalCubic_On_ZeroRates"</formula1>
    </dataValidation>
  </dataValidations>
  <hyperlinks>
    <hyperlink ref="B1" location="Summary!A1" display="Summary!A1" xr:uid="{4A26FFD4-7DEF-4D20-980F-1294630FF794}"/>
    <hyperlink ref="F60" r:id="rId1" xr:uid="{EB479E20-5AD6-4A08-9238-D79562337C59}"/>
    <hyperlink ref="B10:C10" location="CurveBootstrapping.Title.DualBoostrappedRealCurveFEDFUND" display="CurveBootstrapping.Title.DualBoostrappedRealCurveFEDFUND" xr:uid="{DD69D8B6-AF92-4CC9-AA93-7FF86D29D3D7}"/>
  </hyperlinks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130" zoomScaleNormal="130" workbookViewId="0">
      <selection activeCell="I22" sqref="I22"/>
    </sheetView>
  </sheetViews>
  <sheetFormatPr defaultRowHeight="1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0"/>
    <col min="26" max="27" width="9" style="430"/>
    <col min="30" max="30" width="11.625" customWidth="1"/>
  </cols>
  <sheetData>
    <row r="1" spans="1:39">
      <c r="A1" s="430"/>
      <c r="B1" s="399" t="s">
        <v>372</v>
      </c>
      <c r="C1" s="430"/>
      <c r="D1" s="430"/>
      <c r="E1" s="430"/>
      <c r="F1" s="430"/>
      <c r="G1" s="430"/>
      <c r="H1" s="430"/>
      <c r="I1" s="430"/>
      <c r="J1" s="430"/>
      <c r="K1" s="430"/>
      <c r="L1" s="430"/>
    </row>
    <row r="2" spans="1:39" ht="26.25">
      <c r="A2" s="430"/>
      <c r="B2" s="2" t="s">
        <v>485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</row>
    <row r="3" spans="1:39">
      <c r="A3" s="430"/>
      <c r="B3" s="430"/>
      <c r="C3" s="430"/>
      <c r="D3" s="430"/>
      <c r="E3" s="430"/>
      <c r="F3" s="430"/>
      <c r="G3" s="430"/>
      <c r="H3" s="430"/>
      <c r="I3" s="430"/>
      <c r="J3" s="430"/>
      <c r="K3" s="430"/>
      <c r="L3" s="430"/>
      <c r="AC3" s="430"/>
      <c r="AD3" s="430"/>
      <c r="AE3" s="430"/>
      <c r="AF3" s="430"/>
      <c r="AG3" s="430"/>
      <c r="AH3" s="430"/>
      <c r="AI3" s="430"/>
      <c r="AJ3" s="430"/>
      <c r="AK3" s="430"/>
      <c r="AL3" s="430"/>
      <c r="AM3" s="430"/>
    </row>
    <row r="4" spans="1:39">
      <c r="A4" s="430"/>
      <c r="B4" s="50" t="s">
        <v>139</v>
      </c>
      <c r="C4" s="291" t="str" cm="1">
        <f t="array" aca="1" ref="C4" ca="1">_xll.d.TestUtils_And(E7)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AC4" s="430"/>
      <c r="AD4" s="430"/>
      <c r="AE4" s="430"/>
      <c r="AF4" s="430"/>
      <c r="AG4" s="430"/>
      <c r="AH4" s="430"/>
      <c r="AI4" s="430"/>
      <c r="AJ4" s="430"/>
      <c r="AK4" s="430"/>
      <c r="AL4" s="430"/>
      <c r="AM4" s="430"/>
    </row>
    <row r="5" spans="1:39">
      <c r="A5" s="430"/>
      <c r="B5" s="430"/>
      <c r="C5" s="430"/>
      <c r="D5" s="430"/>
      <c r="E5" s="430"/>
      <c r="F5" s="430"/>
      <c r="G5" s="430"/>
      <c r="H5" s="430"/>
      <c r="I5" s="430"/>
      <c r="J5" s="430"/>
      <c r="K5" s="430"/>
      <c r="L5" s="289"/>
      <c r="AC5" s="430"/>
      <c r="AD5" s="430"/>
      <c r="AE5" s="430"/>
      <c r="AF5" s="430"/>
      <c r="AG5" s="430"/>
      <c r="AH5" s="430"/>
      <c r="AI5" s="430"/>
      <c r="AJ5" s="430"/>
      <c r="AK5" s="430"/>
      <c r="AL5" s="430"/>
      <c r="AM5" s="430"/>
    </row>
    <row r="6" spans="1:39">
      <c r="A6" s="430"/>
      <c r="B6" s="133" t="s">
        <v>196</v>
      </c>
      <c r="C6" s="189"/>
      <c r="D6" s="189"/>
      <c r="E6" s="189" t="s">
        <v>10</v>
      </c>
      <c r="F6" s="289"/>
      <c r="G6" s="289"/>
      <c r="H6" s="289"/>
      <c r="I6" s="289"/>
      <c r="J6" s="289"/>
      <c r="K6" s="289"/>
      <c r="L6" s="289"/>
      <c r="AC6" s="430"/>
      <c r="AD6" s="430"/>
      <c r="AE6" s="430"/>
      <c r="AF6" s="430"/>
      <c r="AG6" s="430"/>
      <c r="AH6" s="430"/>
      <c r="AI6" s="430"/>
      <c r="AJ6" s="430"/>
      <c r="AK6" s="430"/>
      <c r="AL6" s="430"/>
      <c r="AM6" s="430"/>
    </row>
    <row r="7" spans="1:39">
      <c r="A7" s="430"/>
      <c r="B7" s="201" t="s">
        <v>479</v>
      </c>
      <c r="C7" s="406"/>
      <c r="D7" s="406"/>
      <c r="E7" s="291" t="str">
        <f ca="1">C12</f>
        <v>Ok</v>
      </c>
      <c r="F7" s="289"/>
      <c r="G7" s="289"/>
      <c r="H7" s="289"/>
      <c r="I7" s="289"/>
      <c r="J7" s="289"/>
      <c r="K7" s="289"/>
      <c r="L7" s="289"/>
      <c r="AC7" s="430"/>
      <c r="AD7" s="430"/>
      <c r="AE7" s="430"/>
      <c r="AF7" s="430"/>
      <c r="AG7" s="430"/>
      <c r="AH7" s="430"/>
      <c r="AI7" s="430"/>
      <c r="AJ7" s="430"/>
      <c r="AK7" s="430"/>
      <c r="AL7" s="430"/>
      <c r="AM7" s="430"/>
    </row>
    <row r="8" spans="1:39">
      <c r="A8" s="430"/>
      <c r="B8" s="430"/>
      <c r="C8" s="430"/>
      <c r="D8" s="430"/>
      <c r="E8" s="430"/>
      <c r="F8" s="430"/>
      <c r="G8" s="430"/>
      <c r="H8" s="430"/>
      <c r="I8" s="430"/>
      <c r="J8" s="430"/>
      <c r="K8" s="430"/>
      <c r="L8" s="430"/>
      <c r="AC8" s="430"/>
      <c r="AD8" s="430"/>
      <c r="AE8" s="430"/>
      <c r="AF8" s="430"/>
      <c r="AG8" s="430"/>
      <c r="AH8" s="430"/>
      <c r="AI8" s="430"/>
      <c r="AJ8" s="430"/>
      <c r="AK8" s="430"/>
      <c r="AL8" s="430"/>
      <c r="AM8" s="430"/>
    </row>
    <row r="9" spans="1:39">
      <c r="A9" s="430"/>
      <c r="B9" s="430"/>
      <c r="C9" s="430"/>
      <c r="D9" s="430"/>
      <c r="E9" s="430"/>
      <c r="F9" s="430"/>
      <c r="G9" s="430"/>
      <c r="H9" s="430"/>
      <c r="I9" s="430"/>
      <c r="J9" s="430"/>
      <c r="K9" s="430"/>
      <c r="L9" s="430"/>
      <c r="AC9" s="430"/>
      <c r="AD9" s="430"/>
      <c r="AE9" s="430"/>
      <c r="AF9" s="430"/>
      <c r="AG9" s="430"/>
      <c r="AH9" s="430"/>
      <c r="AI9" s="430"/>
      <c r="AJ9" s="430"/>
      <c r="AK9" s="430"/>
      <c r="AL9" s="430"/>
      <c r="AM9" s="430"/>
    </row>
    <row r="10" spans="1:39" ht="18.75">
      <c r="A10" s="430"/>
      <c r="B10" s="3" t="s">
        <v>479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</row>
    <row r="11" spans="1:39">
      <c r="A11" s="430"/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 s="430"/>
    </row>
    <row r="12" spans="1:39">
      <c r="A12" s="430"/>
      <c r="B12" s="50" t="s">
        <v>139</v>
      </c>
      <c r="C12" s="291" t="str" cm="1">
        <f t="array" aca="1" ref="C12" ca="1">_xll.d.TestUtils_And(I17:J20,Q17,AB17,AM17)</f>
        <v>Ok</v>
      </c>
      <c r="D12" s="289"/>
      <c r="E12" s="430"/>
      <c r="F12" s="430"/>
      <c r="G12" s="430"/>
      <c r="H12" s="430"/>
      <c r="I12" s="430"/>
      <c r="J12" s="430"/>
      <c r="K12" s="430"/>
      <c r="L12" s="430"/>
    </row>
    <row r="13" spans="1:39">
      <c r="A13" s="430"/>
      <c r="B13" s="289"/>
      <c r="C13" s="289"/>
      <c r="D13" s="289"/>
      <c r="E13" s="289"/>
      <c r="F13" s="289"/>
      <c r="G13" s="430"/>
      <c r="H13" s="430"/>
      <c r="I13" s="430"/>
      <c r="J13" s="430"/>
      <c r="K13" s="430"/>
      <c r="L13" s="430"/>
    </row>
    <row r="14" spans="1:39" ht="15.75">
      <c r="A14" s="430"/>
      <c r="B14" s="4" t="s">
        <v>486</v>
      </c>
      <c r="C14" s="298"/>
      <c r="D14" s="298"/>
      <c r="E14" s="298"/>
      <c r="F14" s="298"/>
      <c r="G14" s="298"/>
      <c r="H14" s="298"/>
      <c r="I14" s="298"/>
      <c r="J14" s="298"/>
      <c r="K14" s="430"/>
      <c r="L14" s="4" t="s">
        <v>491</v>
      </c>
      <c r="M14" s="298"/>
      <c r="N14" s="298"/>
      <c r="O14" s="298"/>
      <c r="P14" s="298"/>
      <c r="Q14" s="298"/>
      <c r="R14" s="430"/>
      <c r="S14" s="4" t="s">
        <v>493</v>
      </c>
      <c r="T14" s="298"/>
      <c r="U14" s="298"/>
      <c r="V14" s="298"/>
      <c r="W14" s="298"/>
      <c r="X14" s="298"/>
      <c r="Y14" s="298"/>
      <c r="Z14" s="298"/>
      <c r="AA14" s="298"/>
      <c r="AB14" s="298"/>
      <c r="AD14" s="4" t="s">
        <v>497</v>
      </c>
      <c r="AE14" s="298"/>
      <c r="AF14" s="298"/>
      <c r="AG14" s="298"/>
      <c r="AH14" s="298"/>
      <c r="AI14" s="298"/>
      <c r="AJ14" s="298"/>
      <c r="AK14" s="298"/>
      <c r="AL14" s="298"/>
      <c r="AM14" s="298"/>
    </row>
    <row r="15" spans="1:39">
      <c r="A15" s="436"/>
      <c r="B15" s="436"/>
      <c r="C15" s="436"/>
      <c r="D15" s="436"/>
      <c r="E15" s="436"/>
      <c r="F15" s="436"/>
      <c r="G15" s="436"/>
      <c r="H15" s="436"/>
      <c r="I15" s="436"/>
      <c r="J15" s="436"/>
      <c r="K15" s="430"/>
      <c r="L15" s="436"/>
      <c r="M15" s="436"/>
      <c r="N15" s="436"/>
      <c r="O15" s="436"/>
      <c r="P15" s="436"/>
      <c r="Q15" s="436"/>
      <c r="R15" s="430"/>
      <c r="AD15" s="430"/>
      <c r="AE15" s="430"/>
      <c r="AF15" s="430"/>
      <c r="AG15" s="430"/>
      <c r="AH15" s="430"/>
      <c r="AI15" s="430"/>
      <c r="AJ15" s="430"/>
      <c r="AK15" s="430"/>
      <c r="AL15" s="430"/>
      <c r="AM15" s="430"/>
    </row>
    <row r="16" spans="1:39">
      <c r="A16" s="436"/>
      <c r="B16" s="285" t="s">
        <v>212</v>
      </c>
      <c r="C16" s="287"/>
      <c r="D16" s="430"/>
      <c r="E16" s="120" t="s">
        <v>65</v>
      </c>
      <c r="F16" s="121"/>
      <c r="G16" s="120" t="s">
        <v>66</v>
      </c>
      <c r="H16" s="121"/>
      <c r="I16" s="120" t="s">
        <v>67</v>
      </c>
      <c r="J16" s="120"/>
      <c r="K16" s="430"/>
      <c r="L16" s="285" t="s">
        <v>212</v>
      </c>
      <c r="M16" s="287"/>
      <c r="N16" s="430"/>
      <c r="O16" s="572" t="s">
        <v>65</v>
      </c>
      <c r="P16" s="573" t="s">
        <v>66</v>
      </c>
      <c r="Q16" s="574" t="s">
        <v>67</v>
      </c>
      <c r="R16" s="430"/>
      <c r="S16" s="285" t="s">
        <v>212</v>
      </c>
      <c r="T16" s="287"/>
      <c r="V16" s="572" t="s">
        <v>65</v>
      </c>
      <c r="W16" s="575"/>
      <c r="X16" s="575"/>
      <c r="Y16" s="573" t="s">
        <v>66</v>
      </c>
      <c r="Z16" s="573"/>
      <c r="AA16" s="573"/>
      <c r="AB16" s="574" t="s">
        <v>67</v>
      </c>
      <c r="AD16" s="285" t="s">
        <v>212</v>
      </c>
      <c r="AE16" s="287"/>
      <c r="AF16" s="430"/>
      <c r="AG16" s="572" t="s">
        <v>65</v>
      </c>
      <c r="AH16" s="575"/>
      <c r="AI16" s="575"/>
      <c r="AJ16" s="573" t="s">
        <v>66</v>
      </c>
      <c r="AK16" s="573"/>
      <c r="AL16" s="573"/>
      <c r="AM16" s="574" t="s">
        <v>67</v>
      </c>
    </row>
    <row r="17" spans="1:39">
      <c r="A17" s="430"/>
      <c r="B17" s="122" t="s">
        <v>480</v>
      </c>
      <c r="C17" s="563">
        <v>0.1</v>
      </c>
      <c r="D17" s="430"/>
      <c r="E17" s="122" t="str">
        <f t="array" aca="1" ref="E17:F20" ca="1">_xll.d.IR_BlackForwardOptionPricer(C17,C18,C19,C20,C21,C22,C23,"VERBOSE")</f>
        <v>Price</v>
      </c>
      <c r="F17" s="567">
        <f ca="1"/>
        <v>5.5832072827947171E-3</v>
      </c>
      <c r="G17" s="122" t="s">
        <v>487</v>
      </c>
      <c r="H17" s="567">
        <f ca="1">-1*EXP(-1*C19*C21)*C17*(_xlfn.NORM.S.DIST(-1*H18,TRUE)-(_xlfn.NORM.S.DIST(-1*H19,TRUE)))</f>
        <v>5.5832072827947232E-3</v>
      </c>
      <c r="I17" s="570" t="str" cm="1">
        <f t="array" aca="1" ref="I17" ca="1">_xll.d.TestUtils_Equal(E17,G17)</f>
        <v>Ok</v>
      </c>
      <c r="J17" s="570" t="str" cm="1">
        <f t="array" aca="1" ref="J17" ca="1">_xll.d.TestUtils_Equal(F17,H17)</f>
        <v>Ok</v>
      </c>
      <c r="K17" s="430"/>
      <c r="L17" s="122" t="s">
        <v>480</v>
      </c>
      <c r="M17" s="563">
        <v>0.1</v>
      </c>
      <c r="N17" s="430"/>
      <c r="O17" s="571" cm="1">
        <f t="array" aca="1" ref="O17" ca="1">_xll.d.IR_BlackForwardOptionPricer(M17,M18,M19,M20,M21,M22,M23)</f>
        <v>5.5832072827947171E-3</v>
      </c>
      <c r="P17" s="566">
        <f ca="1">H17</f>
        <v>5.5832072827947232E-3</v>
      </c>
      <c r="Q17" s="570" t="str" cm="1">
        <f t="array" aca="1" ref="Q17" ca="1">_xll.d.TestUtils_Equal(O17,P17)</f>
        <v>Ok</v>
      </c>
      <c r="R17" s="430"/>
      <c r="S17" s="122" t="s">
        <v>480</v>
      </c>
      <c r="T17" s="563">
        <v>0.1</v>
      </c>
      <c r="V17" s="576" t="str" cm="1">
        <f t="array" aca="1" ref="V17" ca="1">_xll.d.IR_BlackForwardOptionPricer(T17,T18,T19,T20,T21,T22,T23)</f>
        <v>#∂Excel Error: Invalid option type: 'Q'</v>
      </c>
      <c r="W17" s="577"/>
      <c r="X17" s="577"/>
      <c r="Y17" s="578" t="s">
        <v>494</v>
      </c>
      <c r="Z17" s="579"/>
      <c r="AA17" s="579"/>
      <c r="AB17" s="570" t="str" cm="1">
        <f t="array" aca="1" ref="AB17" ca="1">_xll.d.TestUtils_Equal(V17,Y17)</f>
        <v>Ok</v>
      </c>
      <c r="AD17" s="122" t="s">
        <v>480</v>
      </c>
      <c r="AE17" s="563">
        <v>0.1</v>
      </c>
      <c r="AF17" s="430"/>
      <c r="AG17" s="576" t="str" cm="1">
        <f t="array" aca="1" ref="AG17" ca="1">_xll.d.IR_BlackForwardOptionPricer(AE17,AE18,AE19,AE20,AE21,AE22,AE23)</f>
        <v>#∂Excel Error: Invalid direction: 'Q'</v>
      </c>
      <c r="AH17" s="577"/>
      <c r="AI17" s="577"/>
      <c r="AJ17" s="578" t="s">
        <v>498</v>
      </c>
      <c r="AK17" s="579"/>
      <c r="AL17" s="579"/>
      <c r="AM17" s="570" t="str" cm="1">
        <f t="array" aca="1" ref="AM17" ca="1">_xll.d.TestUtils_Equal(AG17,AJ17)</f>
        <v>Ok</v>
      </c>
    </row>
    <row r="18" spans="1:39">
      <c r="A18" s="430"/>
      <c r="B18" s="124" t="s">
        <v>481</v>
      </c>
      <c r="C18" s="564">
        <v>0.1</v>
      </c>
      <c r="D18" s="430"/>
      <c r="E18" s="124" t="str">
        <f ca="1"/>
        <v>d1</v>
      </c>
      <c r="F18" s="568">
        <f ca="1"/>
        <v>7.2168783648703216E-2</v>
      </c>
      <c r="G18" s="124" t="s">
        <v>488</v>
      </c>
      <c r="H18" s="568">
        <f ca="1">(LN(C17/C18)+0.5*C20*C20*C21)/(C20*SQRT(C21))</f>
        <v>7.2168783648703216E-2</v>
      </c>
      <c r="I18" s="570" t="str" cm="1">
        <f t="array" aca="1" ref="I18" ca="1">_xll.d.TestUtils_Equal(E18,G18)</f>
        <v>Ok</v>
      </c>
      <c r="J18" s="570" t="str" cm="1">
        <f t="array" aca="1" ref="J18" ca="1">_xll.d.TestUtils_Equal(F18,H18)</f>
        <v>Ok</v>
      </c>
      <c r="K18" s="430"/>
      <c r="L18" s="124" t="s">
        <v>481</v>
      </c>
      <c r="M18" s="564">
        <v>0.1</v>
      </c>
      <c r="N18" s="430"/>
      <c r="O18" s="430"/>
      <c r="P18" s="430"/>
      <c r="Q18" s="430"/>
      <c r="R18" s="430"/>
      <c r="S18" s="124" t="s">
        <v>481</v>
      </c>
      <c r="T18" s="564">
        <v>0.1</v>
      </c>
      <c r="AD18" s="124" t="s">
        <v>481</v>
      </c>
      <c r="AE18" s="564">
        <v>0.1</v>
      </c>
      <c r="AF18" s="430"/>
      <c r="AG18" s="430"/>
      <c r="AH18" s="430"/>
      <c r="AI18" s="430"/>
      <c r="AJ18" s="430"/>
      <c r="AK18" s="430"/>
      <c r="AL18" s="430"/>
      <c r="AM18" s="430"/>
    </row>
    <row r="19" spans="1:39">
      <c r="A19" s="430"/>
      <c r="B19" s="124" t="s">
        <v>483</v>
      </c>
      <c r="C19" s="564">
        <v>0.09</v>
      </c>
      <c r="D19" s="430"/>
      <c r="E19" s="124" t="str">
        <f ca="1"/>
        <v>d2</v>
      </c>
      <c r="F19" s="568">
        <f ca="1"/>
        <v>-7.2168783648703216E-2</v>
      </c>
      <c r="G19" s="124" t="s">
        <v>489</v>
      </c>
      <c r="H19" s="568">
        <f ca="1">H18-C20*SQRT(C21)</f>
        <v>-7.2168783648703216E-2</v>
      </c>
      <c r="I19" s="570" t="str" cm="1">
        <f t="array" aca="1" ref="I19" ca="1">_xll.d.TestUtils_Equal(E19,G19)</f>
        <v>Ok</v>
      </c>
      <c r="J19" s="570" t="str" cm="1">
        <f t="array" aca="1" ref="J19" ca="1">_xll.d.TestUtils_Equal(F19,H19)</f>
        <v>Ok</v>
      </c>
      <c r="K19" s="430"/>
      <c r="L19" s="124" t="s">
        <v>483</v>
      </c>
      <c r="M19" s="564">
        <v>0.09</v>
      </c>
      <c r="N19" s="430"/>
      <c r="O19" s="430"/>
      <c r="P19" s="430"/>
      <c r="Q19" s="430"/>
      <c r="R19" s="430"/>
      <c r="S19" s="124" t="s">
        <v>483</v>
      </c>
      <c r="T19" s="564">
        <v>0.09</v>
      </c>
      <c r="AD19" s="124" t="s">
        <v>483</v>
      </c>
      <c r="AE19" s="564">
        <v>0.09</v>
      </c>
      <c r="AF19" s="430"/>
      <c r="AG19" s="430"/>
      <c r="AH19" s="430"/>
      <c r="AI19" s="430"/>
      <c r="AJ19" s="430"/>
      <c r="AK19" s="430"/>
      <c r="AL19" s="430"/>
      <c r="AM19" s="430"/>
    </row>
    <row r="20" spans="1:39" ht="15" customHeight="1">
      <c r="A20" s="430"/>
      <c r="B20" s="124" t="s">
        <v>72</v>
      </c>
      <c r="C20" s="564">
        <v>0.25</v>
      </c>
      <c r="D20" s="430"/>
      <c r="E20" s="126" t="str">
        <f ca="1"/>
        <v>Discount Factor</v>
      </c>
      <c r="F20" s="569">
        <f ca="1"/>
        <v>0.97044553354850815</v>
      </c>
      <c r="G20" s="126" t="s">
        <v>490</v>
      </c>
      <c r="H20" s="569">
        <v>0.97044553354850815</v>
      </c>
      <c r="I20" s="570" t="str" cm="1">
        <f t="array" aca="1" ref="I20" ca="1">_xll.d.TestUtils_Equal(E20,G20)</f>
        <v>Ok</v>
      </c>
      <c r="J20" s="570" t="str" cm="1">
        <f t="array" aca="1" ref="J20" ca="1">_xll.d.TestUtils_Equal(F20,H20)</f>
        <v>Ok</v>
      </c>
      <c r="L20" s="124" t="s">
        <v>72</v>
      </c>
      <c r="M20" s="564">
        <v>0.25</v>
      </c>
      <c r="N20" s="430"/>
      <c r="O20" s="430"/>
      <c r="P20" s="430"/>
      <c r="Q20" s="430"/>
      <c r="R20" s="430"/>
      <c r="S20" s="124" t="s">
        <v>72</v>
      </c>
      <c r="T20" s="564">
        <v>0.25</v>
      </c>
      <c r="AD20" s="124" t="s">
        <v>72</v>
      </c>
      <c r="AE20" s="564">
        <v>0.25</v>
      </c>
      <c r="AF20" s="430"/>
      <c r="AG20" s="430"/>
      <c r="AH20" s="430"/>
      <c r="AI20" s="430"/>
      <c r="AJ20" s="430"/>
      <c r="AK20" s="430"/>
      <c r="AL20" s="430"/>
      <c r="AM20" s="430"/>
    </row>
    <row r="21" spans="1:39">
      <c r="A21" s="430"/>
      <c r="B21" s="124" t="s">
        <v>482</v>
      </c>
      <c r="C21" s="125">
        <f ca="1">4/12</f>
        <v>0.33333333333333331</v>
      </c>
      <c r="D21" s="430"/>
      <c r="G21" s="430"/>
      <c r="H21" s="430"/>
      <c r="I21" s="430"/>
      <c r="L21" s="124" t="s">
        <v>482</v>
      </c>
      <c r="M21" s="125">
        <f ca="1">4/12</f>
        <v>0.33333333333333331</v>
      </c>
      <c r="N21" s="430"/>
      <c r="O21" s="430"/>
      <c r="P21" s="430"/>
      <c r="Q21" s="430"/>
      <c r="R21" s="430"/>
      <c r="S21" s="124" t="s">
        <v>482</v>
      </c>
      <c r="T21" s="125">
        <f ca="1">4/12</f>
        <v>0.33333333333333331</v>
      </c>
      <c r="AD21" s="124" t="s">
        <v>482</v>
      </c>
      <c r="AE21" s="125">
        <f ca="1">4/12</f>
        <v>0.33333333333333331</v>
      </c>
      <c r="AF21" s="430"/>
      <c r="AG21" s="430"/>
      <c r="AH21" s="430"/>
      <c r="AI21" s="430"/>
      <c r="AJ21" s="430"/>
      <c r="AK21" s="430"/>
      <c r="AL21" s="430"/>
      <c r="AM21" s="430"/>
    </row>
    <row r="22" spans="1:39" s="430" customFormat="1">
      <c r="B22" s="124" t="s">
        <v>403</v>
      </c>
      <c r="C22" s="125" t="s">
        <v>484</v>
      </c>
      <c r="L22" s="124" t="s">
        <v>403</v>
      </c>
      <c r="M22" s="125" t="s">
        <v>484</v>
      </c>
      <c r="S22" s="124" t="s">
        <v>403</v>
      </c>
      <c r="T22" s="125" t="s">
        <v>492</v>
      </c>
      <c r="AD22" s="124" t="s">
        <v>403</v>
      </c>
      <c r="AE22" s="125" t="s">
        <v>484</v>
      </c>
    </row>
    <row r="23" spans="1:39">
      <c r="A23" s="430"/>
      <c r="B23" s="126" t="s">
        <v>495</v>
      </c>
      <c r="C23" s="127" t="s">
        <v>496</v>
      </c>
      <c r="D23" s="430"/>
      <c r="G23" s="430"/>
      <c r="H23" s="430"/>
      <c r="I23" s="430"/>
      <c r="L23" s="126" t="s">
        <v>495</v>
      </c>
      <c r="M23" s="127" t="s">
        <v>496</v>
      </c>
      <c r="N23" s="430"/>
      <c r="O23" s="430"/>
      <c r="P23" s="430"/>
      <c r="Q23" s="430"/>
      <c r="R23" s="430"/>
      <c r="S23" s="126" t="s">
        <v>495</v>
      </c>
      <c r="T23" s="127" t="s">
        <v>496</v>
      </c>
      <c r="AD23" s="126" t="s">
        <v>495</v>
      </c>
      <c r="AE23" s="127" t="s">
        <v>492</v>
      </c>
      <c r="AF23" s="430"/>
      <c r="AG23" s="430"/>
      <c r="AH23" s="430"/>
      <c r="AI23" s="430"/>
      <c r="AJ23" s="430"/>
      <c r="AK23" s="430"/>
      <c r="AL23" s="430"/>
      <c r="AM23" s="430"/>
    </row>
    <row r="24" spans="1:39">
      <c r="A24" s="430"/>
      <c r="D24" s="430"/>
      <c r="E24" s="430"/>
      <c r="F24" s="430"/>
      <c r="G24" s="430"/>
      <c r="H24" s="430"/>
      <c r="I24" s="430"/>
      <c r="L24" s="430"/>
      <c r="M24" s="430"/>
      <c r="N24" s="430"/>
      <c r="O24" s="430"/>
      <c r="P24" s="430"/>
      <c r="Q24" s="430"/>
      <c r="R24" s="430"/>
    </row>
    <row r="25" spans="1:39">
      <c r="A25" s="430"/>
      <c r="B25" s="289"/>
      <c r="C25" s="289"/>
      <c r="D25" s="430"/>
      <c r="E25" s="430"/>
      <c r="F25" s="430"/>
      <c r="G25" s="430"/>
      <c r="H25" s="430"/>
      <c r="I25" s="430"/>
      <c r="L25" s="430"/>
    </row>
    <row r="26" spans="1:39">
      <c r="A26" s="430"/>
      <c r="E26" s="430"/>
      <c r="F26" s="430"/>
      <c r="G26" s="430"/>
      <c r="H26" s="430"/>
      <c r="I26" s="430"/>
      <c r="J26" s="430"/>
      <c r="K26" s="430"/>
      <c r="L26" s="430"/>
    </row>
    <row r="27" spans="1:39">
      <c r="B27" t="s">
        <v>195</v>
      </c>
      <c r="D27" t="e" cm="1">
        <f t="array" aca="1" ref="D27" ca="1">_xll.d.IR_CreateInterestRateSwap(B27,B28,B29,B30,B31,B32,B33)</f>
        <v>#NAME?</v>
      </c>
      <c r="E27" s="430"/>
      <c r="F27" s="430"/>
      <c r="G27" s="430"/>
      <c r="H27" s="430"/>
      <c r="I27" s="430"/>
      <c r="J27" s="430"/>
      <c r="K27" s="430"/>
      <c r="L27" s="430"/>
    </row>
    <row r="28" spans="1:39">
      <c r="B28" s="8">
        <v>45016</v>
      </c>
    </row>
    <row r="29" spans="1:39">
      <c r="B29" s="8">
        <f>EDATE(B28,12)</f>
        <v>45382</v>
      </c>
    </row>
    <row r="30" spans="1:39">
      <c r="B30" t="s">
        <v>24</v>
      </c>
    </row>
    <row r="31" spans="1:39">
      <c r="B31" t="s">
        <v>54</v>
      </c>
    </row>
    <row r="32" spans="1:39">
      <c r="B32" t="s">
        <v>233</v>
      </c>
    </row>
    <row r="33" spans="2:11">
      <c r="B33" t="s">
        <v>319</v>
      </c>
    </row>
    <row r="42" spans="2:11">
      <c r="F42" s="486"/>
    </row>
    <row r="44" spans="2:11">
      <c r="C44" s="486"/>
      <c r="K44" s="430"/>
    </row>
    <row r="45" spans="2:11">
      <c r="K45" s="430"/>
    </row>
  </sheetData>
  <conditionalFormatting sqref="E7 Q17">
    <cfRule type="cellIs" dxfId="335" priority="19" stopIfTrue="1" operator="equal">
      <formula>"ERROR"</formula>
    </cfRule>
    <cfRule type="cellIs" dxfId="334" priority="20" stopIfTrue="1" operator="equal">
      <formula>"OK"</formula>
    </cfRule>
    <cfRule type="cellIs" dxfId="333" priority="21" stopIfTrue="1" operator="equal">
      <formula>"WARNING"</formula>
    </cfRule>
  </conditionalFormatting>
  <conditionalFormatting sqref="C4">
    <cfRule type="cellIs" dxfId="332" priority="16" stopIfTrue="1" operator="equal">
      <formula>"ERROR"</formula>
    </cfRule>
    <cfRule type="cellIs" dxfId="331" priority="17" stopIfTrue="1" operator="equal">
      <formula>"OK"</formula>
    </cfRule>
    <cfRule type="cellIs" dxfId="330" priority="18" stopIfTrue="1" operator="equal">
      <formula>"WARNING"</formula>
    </cfRule>
  </conditionalFormatting>
  <conditionalFormatting sqref="C12">
    <cfRule type="cellIs" dxfId="329" priority="13" stopIfTrue="1" operator="equal">
      <formula>"ERROR"</formula>
    </cfRule>
  </conditionalFormatting>
  <conditionalFormatting sqref="C12">
    <cfRule type="cellIs" dxfId="328" priority="14" stopIfTrue="1" operator="equal">
      <formula>"OK"</formula>
    </cfRule>
  </conditionalFormatting>
  <conditionalFormatting sqref="C12">
    <cfRule type="cellIs" dxfId="327" priority="15" stopIfTrue="1" operator="equal">
      <formula>"WARNING"</formula>
    </cfRule>
  </conditionalFormatting>
  <conditionalFormatting sqref="I17:J20">
    <cfRule type="cellIs" dxfId="326" priority="22" stopIfTrue="1" operator="equal">
      <formula>"ERROR"</formula>
    </cfRule>
    <cfRule type="cellIs" dxfId="325" priority="23" stopIfTrue="1" operator="equal">
      <formula>"OK"</formula>
    </cfRule>
    <cfRule type="cellIs" dxfId="324" priority="24" stopIfTrue="1" operator="equal">
      <formula>"WARNING"</formula>
    </cfRule>
  </conditionalFormatting>
  <conditionalFormatting sqref="AB17">
    <cfRule type="cellIs" dxfId="323" priority="4" stopIfTrue="1" operator="equal">
      <formula>"ERROR"</formula>
    </cfRule>
    <cfRule type="cellIs" dxfId="322" priority="5" stopIfTrue="1" operator="equal">
      <formula>"OK"</formula>
    </cfRule>
    <cfRule type="cellIs" dxfId="321" priority="6" stopIfTrue="1" operator="equal">
      <formula>"WARNING"</formula>
    </cfRule>
  </conditionalFormatting>
  <conditionalFormatting sqref="AM17">
    <cfRule type="cellIs" dxfId="320" priority="1" stopIfTrue="1" operator="equal">
      <formula>"ERROR"</formula>
    </cfRule>
    <cfRule type="cellIs" dxfId="319" priority="2" stopIfTrue="1" operator="equal">
      <formula>"OK"</formula>
    </cfRule>
    <cfRule type="cellIs" dxfId="318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>
      <c r="B1" s="399" t="s">
        <v>372</v>
      </c>
    </row>
    <row r="2" spans="1:54" ht="26.25">
      <c r="B2" s="2" t="s">
        <v>373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</row>
    <row r="4" spans="1:54">
      <c r="B4" s="50" t="s">
        <v>139</v>
      </c>
      <c r="C4" s="291" t="str" cm="1">
        <f t="array" aca="1" ref="C4" ca="1">_xll.d.TestUtils_And(D7:D8)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</row>
    <row r="6" spans="1:54">
      <c r="B6" s="133" t="s">
        <v>196</v>
      </c>
      <c r="C6" s="189"/>
      <c r="D6" s="189" t="s">
        <v>10</v>
      </c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</row>
    <row r="7" spans="1:54">
      <c r="B7" s="201" t="s">
        <v>374</v>
      </c>
      <c r="C7" s="406"/>
      <c r="D7" s="291" t="str">
        <f ca="1">C13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</row>
    <row r="8" spans="1:54">
      <c r="B8" s="201" t="s">
        <v>375</v>
      </c>
      <c r="C8" s="406"/>
      <c r="D8" s="291" t="str">
        <f ca="1">C31</f>
        <v>Ok</v>
      </c>
      <c r="E8" s="289"/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11" spans="1:54" s="289" customFormat="1" ht="18.75">
      <c r="A11"/>
      <c r="B11" s="3" t="s">
        <v>374</v>
      </c>
      <c r="C11" s="297"/>
      <c r="D11" s="297"/>
      <c r="E11" s="297"/>
      <c r="F11" s="297"/>
      <c r="G11" s="297"/>
      <c r="H11" s="297"/>
      <c r="I11" s="297"/>
      <c r="J11" s="297"/>
      <c r="K11" s="297"/>
      <c r="L11" s="297"/>
      <c r="M11" s="297"/>
      <c r="N11" s="297"/>
      <c r="O11" s="297"/>
      <c r="P11" s="297"/>
      <c r="Q11" s="297"/>
      <c r="R11" s="297"/>
      <c r="S11" s="297"/>
      <c r="T11" s="297"/>
      <c r="U11" s="297"/>
      <c r="V11" s="297"/>
      <c r="W11" s="297"/>
      <c r="X11" s="297"/>
      <c r="Y11" s="297"/>
      <c r="Z11" s="297"/>
      <c r="AA11" s="297"/>
      <c r="AB11" s="297"/>
      <c r="AC11" s="297"/>
      <c r="AD11" s="297"/>
      <c r="AE11" s="297"/>
      <c r="AF11" s="297"/>
      <c r="AG11" s="297"/>
      <c r="AH11" s="297"/>
      <c r="AI11" s="297"/>
      <c r="AJ11" s="297"/>
      <c r="AK11" s="297"/>
      <c r="AL11" s="297"/>
      <c r="AM11" s="297"/>
      <c r="AN11" s="297"/>
      <c r="AO11" s="297"/>
      <c r="AP11" s="297"/>
      <c r="AQ11" s="297"/>
      <c r="AR11" s="297"/>
      <c r="AS11" s="297"/>
      <c r="AT11" s="297"/>
      <c r="AU11" s="297"/>
      <c r="AV11" s="297"/>
      <c r="AW11" s="297"/>
      <c r="AX11" s="297"/>
      <c r="AY11" s="297"/>
      <c r="AZ11" s="297"/>
      <c r="BA11" s="297"/>
      <c r="BB11" s="297"/>
    </row>
    <row r="13" spans="1:54">
      <c r="B13" s="50" t="s">
        <v>139</v>
      </c>
      <c r="C13" s="291" t="str" cm="1">
        <f t="array" aca="1" ref="C13" ca="1">_xll.d.TestUtils_And(C17,AG17,AS17)</f>
        <v>Ok</v>
      </c>
      <c r="D13" s="289"/>
      <c r="G13" s="289"/>
    </row>
    <row r="14" spans="1:54">
      <c r="B14" s="289"/>
      <c r="C14" s="289"/>
      <c r="D14" s="289"/>
      <c r="E14" s="289"/>
      <c r="F14" s="289"/>
      <c r="G14" s="290"/>
    </row>
    <row r="15" spans="1:54" ht="15.75">
      <c r="B15" s="4" t="s">
        <v>89</v>
      </c>
      <c r="C15" s="298"/>
      <c r="D15" s="298"/>
      <c r="E15" s="298"/>
      <c r="F15" s="298"/>
      <c r="G15" s="298"/>
      <c r="H15" s="298"/>
      <c r="I15" s="298"/>
      <c r="J15" s="298"/>
      <c r="K15" s="298"/>
      <c r="L15" s="298"/>
      <c r="M15" s="298"/>
      <c r="N15" s="298"/>
      <c r="O15" s="298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430"/>
      <c r="AF15" s="4" t="s">
        <v>418</v>
      </c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430"/>
      <c r="AR15" s="4" t="s">
        <v>423</v>
      </c>
      <c r="AS15" s="298"/>
      <c r="AT15" s="298"/>
      <c r="AU15" s="298"/>
      <c r="AV15" s="298"/>
      <c r="AW15" s="298"/>
      <c r="AX15" s="298"/>
      <c r="AY15" s="298"/>
      <c r="AZ15" s="298"/>
      <c r="BA15" s="298"/>
      <c r="BB15" s="298"/>
    </row>
    <row r="16" spans="1:54" s="436" customFormat="1">
      <c r="AE16" s="430"/>
      <c r="AF16" s="430"/>
      <c r="AG16" s="430"/>
      <c r="AR16" s="430"/>
      <c r="AS16" s="430"/>
    </row>
    <row r="17" spans="1:54" s="436" customFormat="1">
      <c r="B17" s="50" t="s">
        <v>139</v>
      </c>
      <c r="C17" s="291" t="str" cm="1">
        <f t="array" aca="1" ref="C17" ca="1">_xll.d.TestUtils_And(Y21:AD26)</f>
        <v>Ok</v>
      </c>
      <c r="P17" s="635"/>
      <c r="Q17" s="635"/>
      <c r="R17" s="635"/>
      <c r="S17" s="635"/>
      <c r="T17" s="635"/>
      <c r="U17" s="635"/>
      <c r="AE17" s="430"/>
      <c r="AF17" s="50" t="s">
        <v>139</v>
      </c>
      <c r="AG17" s="446" t="str">
        <f ca="1">AP20</f>
        <v>Ok</v>
      </c>
      <c r="AR17" s="50" t="s">
        <v>139</v>
      </c>
      <c r="AS17" s="446" t="str">
        <f ca="1">BB20</f>
        <v>Ok</v>
      </c>
    </row>
    <row r="18" spans="1:54">
      <c r="B18" s="289"/>
      <c r="C18" s="289"/>
      <c r="D18" s="289"/>
      <c r="F18" s="289"/>
      <c r="G18" s="604"/>
      <c r="H18" s="606">
        <v>1</v>
      </c>
      <c r="I18" s="606">
        <v>2</v>
      </c>
      <c r="J18" s="607">
        <v>4</v>
      </c>
      <c r="K18" s="607">
        <v>12</v>
      </c>
      <c r="L18" s="607"/>
      <c r="M18" s="289"/>
      <c r="N18" s="289"/>
      <c r="O18" s="290"/>
      <c r="R18" s="289"/>
      <c r="S18" s="289"/>
      <c r="T18" s="289"/>
      <c r="U18" s="289"/>
      <c r="V18" s="289"/>
      <c r="W18" s="289"/>
      <c r="X18" s="290"/>
      <c r="AA18" s="289"/>
      <c r="AB18" s="289"/>
      <c r="AC18" s="289"/>
      <c r="AD18" s="289"/>
      <c r="AE18" s="430"/>
      <c r="AQ18" s="289"/>
      <c r="AR18" s="430"/>
      <c r="AS18" s="430"/>
      <c r="AT18" s="430"/>
      <c r="AU18" s="430"/>
      <c r="AV18" s="430"/>
      <c r="AW18" s="430"/>
      <c r="AX18" s="430"/>
      <c r="AY18" s="430"/>
      <c r="AZ18" s="430"/>
      <c r="BA18" s="430"/>
      <c r="BB18" s="430"/>
    </row>
    <row r="19" spans="1:54" s="430" customFormat="1">
      <c r="B19" s="120" t="s">
        <v>212</v>
      </c>
      <c r="C19" s="121"/>
      <c r="D19" s="289"/>
      <c r="E19" s="439" t="s">
        <v>533</v>
      </c>
      <c r="F19" s="289"/>
      <c r="G19" s="120" t="s">
        <v>416</v>
      </c>
      <c r="H19" s="191"/>
      <c r="I19" s="191"/>
      <c r="J19" s="191"/>
      <c r="K19" s="191"/>
      <c r="L19" s="121"/>
      <c r="N19" s="439" t="s">
        <v>113</v>
      </c>
      <c r="O19" s="289"/>
      <c r="P19" s="120" t="s">
        <v>416</v>
      </c>
      <c r="Q19" s="191"/>
      <c r="R19" s="191"/>
      <c r="S19" s="191"/>
      <c r="T19" s="191"/>
      <c r="U19" s="121"/>
      <c r="V19" s="289"/>
      <c r="W19" s="439" t="s">
        <v>67</v>
      </c>
      <c r="X19" s="289"/>
      <c r="Y19" s="120" t="s">
        <v>416</v>
      </c>
      <c r="Z19" s="191"/>
      <c r="AA19" s="191"/>
      <c r="AB19" s="191"/>
      <c r="AC19" s="191"/>
      <c r="AD19" s="121"/>
      <c r="AF19" s="12" t="s">
        <v>212</v>
      </c>
      <c r="AG19" s="12"/>
      <c r="AH19" s="121"/>
      <c r="AI19" s="436"/>
      <c r="AJ19" s="12" t="s">
        <v>113</v>
      </c>
      <c r="AK19" s="27"/>
      <c r="AL19" s="27"/>
      <c r="AM19" s="27" t="s">
        <v>214</v>
      </c>
      <c r="AN19" s="27"/>
      <c r="AO19" s="27"/>
      <c r="AP19" s="13" t="s">
        <v>67</v>
      </c>
      <c r="AR19" s="12" t="s">
        <v>212</v>
      </c>
      <c r="AS19" s="12"/>
      <c r="AT19" s="121"/>
      <c r="AU19" s="436"/>
      <c r="AV19" s="12" t="s">
        <v>113</v>
      </c>
      <c r="AW19" s="27"/>
      <c r="AX19" s="27"/>
      <c r="AY19" s="27" t="s">
        <v>214</v>
      </c>
      <c r="AZ19" s="27"/>
      <c r="BA19" s="27"/>
      <c r="BB19" s="13" t="s">
        <v>67</v>
      </c>
    </row>
    <row r="20" spans="1:54" ht="15" customHeight="1">
      <c r="B20" s="476" t="s">
        <v>23</v>
      </c>
      <c r="C20" s="478">
        <v>1.15E-2</v>
      </c>
      <c r="D20" s="437"/>
      <c r="F20" s="289"/>
      <c r="G20" s="273" t="s">
        <v>205</v>
      </c>
      <c r="H20" s="274" t="s">
        <v>78</v>
      </c>
      <c r="I20" s="440" t="s">
        <v>79</v>
      </c>
      <c r="J20" s="274" t="s">
        <v>64</v>
      </c>
      <c r="K20" s="274" t="s">
        <v>63</v>
      </c>
      <c r="L20" s="275" t="s">
        <v>62</v>
      </c>
      <c r="N20" s="289"/>
      <c r="O20" s="289"/>
      <c r="P20" s="273" t="s">
        <v>205</v>
      </c>
      <c r="Q20" s="274" t="s">
        <v>78</v>
      </c>
      <c r="R20" s="440" t="s">
        <v>79</v>
      </c>
      <c r="S20" s="274" t="s">
        <v>64</v>
      </c>
      <c r="T20" s="274" t="s">
        <v>63</v>
      </c>
      <c r="U20" s="275" t="s">
        <v>62</v>
      </c>
      <c r="W20" s="430"/>
      <c r="X20" s="289"/>
      <c r="Y20" s="273" t="s">
        <v>205</v>
      </c>
      <c r="Z20" s="274" t="s">
        <v>78</v>
      </c>
      <c r="AA20" s="440" t="s">
        <v>79</v>
      </c>
      <c r="AB20" s="274" t="s">
        <v>64</v>
      </c>
      <c r="AC20" s="274" t="s">
        <v>63</v>
      </c>
      <c r="AD20" s="275" t="s">
        <v>62</v>
      </c>
      <c r="AF20" s="447" t="s">
        <v>23</v>
      </c>
      <c r="AG20" s="447"/>
      <c r="AH20" s="454">
        <v>1.15E-2</v>
      </c>
      <c r="AJ20" s="450" t="str" cm="1">
        <f t="array" aca="1" ref="AJ20" ca="1">_xll.d.IR_ConvertInterestRate(AH20,AH21,AH22,AH23)</f>
        <v>#∂Excel Error: Invalid old compounding convention: NACP</v>
      </c>
      <c r="AK20" s="451"/>
      <c r="AL20" s="451"/>
      <c r="AM20" s="452" t="s">
        <v>422</v>
      </c>
      <c r="AN20" s="453"/>
      <c r="AO20" s="453"/>
      <c r="AP20" s="329" t="str" cm="1">
        <f t="array" aca="1" ref="AP20" ca="1">_xll.d.TestUtils_Equal(AJ20,AM20)</f>
        <v>Ok</v>
      </c>
      <c r="AR20" s="447" t="s">
        <v>23</v>
      </c>
      <c r="AS20" s="447"/>
      <c r="AT20" s="454">
        <v>1.15E-2</v>
      </c>
      <c r="AU20" s="430"/>
      <c r="AV20" s="450" t="str" cm="1">
        <f t="array" aca="1" ref="AV20" ca="1">_xll.d.IR_ConvertInterestRate(AT20,AT21,AT22,AT23)</f>
        <v>#∂Excel Error: Invalid new compounding convention: NACP</v>
      </c>
      <c r="AW20" s="451"/>
      <c r="AX20" s="451"/>
      <c r="AY20" s="452" t="s">
        <v>421</v>
      </c>
      <c r="AZ20" s="453"/>
      <c r="BA20" s="453"/>
      <c r="BB20" s="329" t="str" cm="1">
        <f t="array" aca="1" ref="BB20" ca="1">_xll.d.TestUtils_Equal(AV20,AY20)</f>
        <v>Ok</v>
      </c>
    </row>
    <row r="21" spans="1:54" s="430" customFormat="1">
      <c r="B21" s="477" t="s">
        <v>433</v>
      </c>
      <c r="C21" s="479">
        <f ca="1">3/12</f>
        <v>0.25</v>
      </c>
      <c r="D21" s="605"/>
      <c r="E21" s="1119" t="s">
        <v>415</v>
      </c>
      <c r="F21" s="279" t="s">
        <v>205</v>
      </c>
      <c r="G21" s="442">
        <f ca="1">$C$20</f>
        <v>1.15E-2</v>
      </c>
      <c r="H21" s="480">
        <f ca="1">H$18*((1+$C$20*$C$21)^(1/(H$18*$C$21))-1)</f>
        <v>1.1549688873008002E-2</v>
      </c>
      <c r="I21" s="480">
        <f ca="1">I$18*((1+$C$20*$C$21)^(1/(I$18*$C$21))-1)</f>
        <v>1.1516531249999851E-2</v>
      </c>
      <c r="J21" s="480">
        <f ca="1">J$18*((1+$C$20*$C$21)^(1/(J$18*$C$21))-1)</f>
        <v>1.1499999999999844E-2</v>
      </c>
      <c r="K21" s="480">
        <f ca="1">K$18*((1+$C$20*$C$21)^(1/(K$18*$C$21))-1)</f>
        <v>1.1488996735719681E-2</v>
      </c>
      <c r="L21" s="481">
        <f ca="1">LN(1+$C$20*$C$21)/$C$21</f>
        <v>1.1483500366731883E-2</v>
      </c>
      <c r="N21" s="1119" t="s">
        <v>415</v>
      </c>
      <c r="O21" s="279" t="s">
        <v>205</v>
      </c>
      <c r="P21" s="632" cm="1">
        <f t="array" aca="1" ref="P21" ca="1">_xll.d.IR_ConvertInterestRate($C$20,$O21,P$20,$C$21)</f>
        <v>1.15E-2</v>
      </c>
      <c r="Q21" s="633" cm="1">
        <f t="array" aca="1" ref="Q21" ca="1">_xll.d.IR_ConvertInterestRate($C$20,$O21,Q$20,$C$21)</f>
        <v>1.1549688873008002E-2</v>
      </c>
      <c r="R21" s="633" cm="1">
        <f t="array" aca="1" ref="R21" ca="1">_xll.d.IR_ConvertInterestRate($C$20,$O21,R$20,$C$21)</f>
        <v>1.1516531249999851E-2</v>
      </c>
      <c r="S21" s="633" cm="1">
        <f t="array" aca="1" ref="S21" ca="1">_xll.d.IR_ConvertInterestRate($C$20,$O21,S$20,$C$21)</f>
        <v>1.1499999999999844E-2</v>
      </c>
      <c r="T21" s="633" cm="1">
        <f t="array" aca="1" ref="T21" ca="1">_xll.d.IR_ConvertInterestRate($C$20,$O21,T$20,$C$21)</f>
        <v>1.1488996735719681E-2</v>
      </c>
      <c r="U21" s="636" cm="1">
        <f t="array" aca="1" ref="U21" ca="1">_xll.d.IR_ConvertInterestRate($C$20,$O21,U$20,$C$21)</f>
        <v>1.1483500366731883E-2</v>
      </c>
      <c r="W21" s="1119" t="s">
        <v>415</v>
      </c>
      <c r="X21" s="279" t="s">
        <v>205</v>
      </c>
      <c r="Y21" s="442" t="str" cm="1">
        <f t="array" aca="1" ref="Y21" ca="1">_xll.d.TestUtils_Equal(G21,P21)</f>
        <v>Ok</v>
      </c>
      <c r="Z21" s="442" t="str" cm="1">
        <f t="array" aca="1" ref="Z21" ca="1">_xll.d.TestUtils_Equal(H21,Q21)</f>
        <v>Ok</v>
      </c>
      <c r="AA21" s="442" t="str" cm="1">
        <f t="array" aca="1" ref="AA21" ca="1">_xll.d.TestUtils_Equal(I21,R21)</f>
        <v>Ok</v>
      </c>
      <c r="AB21" s="442" t="str" cm="1">
        <f t="array" aca="1" ref="AB21" ca="1">_xll.d.TestUtils_Equal(J21,S21)</f>
        <v>Ok</v>
      </c>
      <c r="AC21" s="442" t="str" cm="1">
        <f t="array" aca="1" ref="AC21" ca="1">_xll.d.TestUtils_Equal(K21,T21)</f>
        <v>Ok</v>
      </c>
      <c r="AD21" s="442" t="str" cm="1">
        <f t="array" aca="1" ref="AD21" ca="1">_xll.d.TestUtils_Equal(L21,U21)</f>
        <v>Ok</v>
      </c>
      <c r="AF21" s="448" t="s">
        <v>419</v>
      </c>
      <c r="AG21" s="448"/>
      <c r="AH21" s="125" t="s">
        <v>417</v>
      </c>
      <c r="AJ21" s="289"/>
      <c r="AK21" s="436"/>
      <c r="AM21" s="438"/>
      <c r="AN21" s="289"/>
      <c r="AO21" s="290"/>
      <c r="AR21" s="448" t="s">
        <v>419</v>
      </c>
      <c r="AS21" s="448"/>
      <c r="AT21" s="125" t="s">
        <v>64</v>
      </c>
      <c r="AV21" s="289"/>
      <c r="AW21" s="436"/>
      <c r="AY21" s="438"/>
      <c r="AZ21" s="289"/>
      <c r="BA21" s="290"/>
    </row>
    <row r="22" spans="1:54" s="430" customFormat="1">
      <c r="B22" s="289"/>
      <c r="C22" s="438"/>
      <c r="D22" s="606">
        <v>1</v>
      </c>
      <c r="E22" s="1120"/>
      <c r="F22" s="280" t="s">
        <v>78</v>
      </c>
      <c r="G22" s="443">
        <f ca="1">((1+$C$20/$D22)^($D22*$C$21)-1)/$C$21</f>
        <v>1.1450736333546985E-2</v>
      </c>
      <c r="H22" s="482">
        <f ca="1">H$18*((1+$C$20/$D22)^($D22/H$18)-1)</f>
        <v>1.1500000000000066E-2</v>
      </c>
      <c r="I22" s="482">
        <f ca="1">I$18*((1+$C$20/$D22)^($D22/I$18)-1)</f>
        <v>1.1467126253869697E-2</v>
      </c>
      <c r="J22" s="482">
        <f ca="1">J$18*((1+$C$20/$D22)^($D22/J$18)-1)</f>
        <v>1.1450736333546985E-2</v>
      </c>
      <c r="K22" s="482">
        <f ca="1">K$18*((1+$C$20/$D22)^($D22/K$18)-1)</f>
        <v>1.1439827064371855E-2</v>
      </c>
      <c r="L22" s="483">
        <f ca="1">$D22*LN(1+$C$20/$D22)</f>
        <v>1.143437762566317E-2</v>
      </c>
      <c r="N22" s="1120"/>
      <c r="O22" s="280" t="s">
        <v>78</v>
      </c>
      <c r="P22" s="634" cm="1">
        <f t="array" aca="1" ref="P22" ca="1">_xll.d.IR_ConvertInterestRate($C$20,$O22,P$20,$C$21)</f>
        <v>1.1450736333546985E-2</v>
      </c>
      <c r="Q22" s="482" cm="1">
        <f t="array" aca="1" ref="Q22" ca="1">_xll.d.IR_ConvertInterestRate($C$20,$O22,Q$20,$C$21)</f>
        <v>1.15E-2</v>
      </c>
      <c r="R22" s="482" cm="1">
        <f t="array" aca="1" ref="R22" ca="1">_xll.d.IR_ConvertInterestRate($C$20,$O22,R$20,$C$21)</f>
        <v>1.1467126253869697E-2</v>
      </c>
      <c r="S22" s="482" cm="1">
        <f t="array" aca="1" ref="S22" ca="1">_xll.d.IR_ConvertInterestRate($C$20,$O22,S$20,$C$21)</f>
        <v>1.1450736333546985E-2</v>
      </c>
      <c r="T22" s="482" cm="1">
        <f t="array" aca="1" ref="T22" ca="1">_xll.d.IR_ConvertInterestRate($C$20,$O22,T$20,$C$21)</f>
        <v>1.1439827064371855E-2</v>
      </c>
      <c r="U22" s="637" cm="1">
        <f t="array" aca="1" ref="U22" ca="1">_xll.d.IR_ConvertInterestRate($C$20,$O22,U$20,$C$21)</f>
        <v>1.143437762566317E-2</v>
      </c>
      <c r="W22" s="1120"/>
      <c r="X22" s="280" t="s">
        <v>78</v>
      </c>
      <c r="Y22" s="442" t="str" cm="1">
        <f t="array" aca="1" ref="Y22" ca="1">_xll.d.TestUtils_Equal(G22,P22)</f>
        <v>Ok</v>
      </c>
      <c r="Z22" s="442" t="str" cm="1">
        <f t="array" aca="1" ref="Z22" ca="1">_xll.d.TestUtils_Equal(H22,Q22)</f>
        <v>Ok</v>
      </c>
      <c r="AA22" s="442" t="str" cm="1">
        <f t="array" aca="1" ref="AA22" ca="1">_xll.d.TestUtils_Equal(I22,R22)</f>
        <v>Ok</v>
      </c>
      <c r="AB22" s="442" t="str" cm="1">
        <f t="array" aca="1" ref="AB22" ca="1">_xll.d.TestUtils_Equal(J22,S22)</f>
        <v>Ok</v>
      </c>
      <c r="AC22" s="442" t="str" cm="1">
        <f t="array" aca="1" ref="AC22" ca="1">_xll.d.TestUtils_Equal(K22,T22)</f>
        <v>Ok</v>
      </c>
      <c r="AD22" s="442" t="str" cm="1">
        <f t="array" aca="1" ref="AD22" ca="1">_xll.d.TestUtils_Equal(L22,U22)</f>
        <v>Ok</v>
      </c>
      <c r="AF22" s="448" t="s">
        <v>420</v>
      </c>
      <c r="AG22" s="448"/>
      <c r="AH22" s="125" t="s">
        <v>64</v>
      </c>
      <c r="AI22"/>
      <c r="AJ22"/>
      <c r="AK22"/>
      <c r="AM22" s="289"/>
      <c r="AN22"/>
      <c r="AO22"/>
      <c r="AP22"/>
      <c r="AR22" s="448" t="s">
        <v>420</v>
      </c>
      <c r="AS22" s="448"/>
      <c r="AT22" s="125" t="s">
        <v>417</v>
      </c>
      <c r="AY22" s="289"/>
    </row>
    <row r="23" spans="1:54" s="430" customFormat="1">
      <c r="B23" s="289"/>
      <c r="D23" s="606">
        <v>2</v>
      </c>
      <c r="E23" s="1120"/>
      <c r="F23" s="280" t="s">
        <v>79</v>
      </c>
      <c r="G23" s="443">
        <f ca="1">((1+$C$20/$D23)^($D23*$C$21)-1)/$C$21</f>
        <v>1.1483516107226421E-2</v>
      </c>
      <c r="H23" s="482">
        <f t="shared" ref="H23:K25" ca="1" si="0">H$18*((1+$C$20/$D23)^($D23/H$18)-1)</f>
        <v>1.1533062499999858E-2</v>
      </c>
      <c r="I23" s="482">
        <f t="shared" ca="1" si="0"/>
        <v>1.1499999999999844E-2</v>
      </c>
      <c r="J23" s="482">
        <f t="shared" ca="1" si="0"/>
        <v>1.1483516107226421E-2</v>
      </c>
      <c r="K23" s="482">
        <f t="shared" ca="1" si="0"/>
        <v>1.1472544339037327E-2</v>
      </c>
      <c r="L23" s="483">
        <f ca="1">$D23*LN(1+$C$20/$D23)</f>
        <v>1.1467063695520934E-2</v>
      </c>
      <c r="N23" s="1120"/>
      <c r="O23" s="280" t="s">
        <v>79</v>
      </c>
      <c r="P23" s="634" cm="1">
        <f t="array" aca="1" ref="P23" ca="1">_xll.d.IR_ConvertInterestRate($C$20,$O23,P$20,$C$21)</f>
        <v>1.1483516107226421E-2</v>
      </c>
      <c r="Q23" s="482" cm="1">
        <f t="array" aca="1" ref="Q23" ca="1">_xll.d.IR_ConvertInterestRate($C$20,$O23,Q$20,$C$21)</f>
        <v>1.1533062499999858E-2</v>
      </c>
      <c r="R23" s="482" cm="1">
        <f t="array" aca="1" ref="R23" ca="1">_xll.d.IR_ConvertInterestRate($C$20,$O23,R$20,$C$21)</f>
        <v>1.15E-2</v>
      </c>
      <c r="S23" s="482" cm="1">
        <f t="array" aca="1" ref="S23" ca="1">_xll.d.IR_ConvertInterestRate($C$20,$O23,S$20,$C$21)</f>
        <v>1.1483516107226421E-2</v>
      </c>
      <c r="T23" s="482" cm="1">
        <f t="array" aca="1" ref="T23" ca="1">_xll.d.IR_ConvertInterestRate($C$20,$O23,T$20,$C$21)</f>
        <v>1.1472544339037327E-2</v>
      </c>
      <c r="U23" s="637" cm="1">
        <f t="array" aca="1" ref="U23" ca="1">_xll.d.IR_ConvertInterestRate($C$20,$O23,U$20,$C$21)</f>
        <v>1.1467063695520934E-2</v>
      </c>
      <c r="W23" s="1120"/>
      <c r="X23" s="280" t="s">
        <v>79</v>
      </c>
      <c r="Y23" s="442" t="str" cm="1">
        <f t="array" aca="1" ref="Y23" ca="1">_xll.d.TestUtils_Equal(G23,P23)</f>
        <v>Ok</v>
      </c>
      <c r="Z23" s="442" t="str" cm="1">
        <f t="array" aca="1" ref="Z23" ca="1">_xll.d.TestUtils_Equal(H23,Q23)</f>
        <v>Ok</v>
      </c>
      <c r="AA23" s="442" t="str" cm="1">
        <f t="array" aca="1" ref="AA23" ca="1">_xll.d.TestUtils_Equal(I23,R23)</f>
        <v>Ok</v>
      </c>
      <c r="AB23" s="442" t="str" cm="1">
        <f t="array" aca="1" ref="AB23" ca="1">_xll.d.TestUtils_Equal(J23,S23)</f>
        <v>Ok</v>
      </c>
      <c r="AC23" s="442" t="str" cm="1">
        <f t="array" aca="1" ref="AC23" ca="1">_xll.d.TestUtils_Equal(K23,T23)</f>
        <v>Ok</v>
      </c>
      <c r="AD23" s="442" t="str" cm="1">
        <f t="array" aca="1" ref="AD23" ca="1">_xll.d.TestUtils_Equal(L23,U23)</f>
        <v>Ok</v>
      </c>
      <c r="AF23" s="449" t="s">
        <v>433</v>
      </c>
      <c r="AG23" s="449"/>
      <c r="AH23" s="127">
        <f ca="1">3/12</f>
        <v>0.25</v>
      </c>
      <c r="AR23" s="449" t="s">
        <v>433</v>
      </c>
      <c r="AS23" s="449"/>
      <c r="AT23" s="127">
        <f ca="1">3/12</f>
        <v>0.25</v>
      </c>
    </row>
    <row r="24" spans="1:54" s="430" customFormat="1">
      <c r="B24" s="289"/>
      <c r="D24" s="606">
        <v>4</v>
      </c>
      <c r="E24" s="1120"/>
      <c r="F24" s="280" t="s">
        <v>64</v>
      </c>
      <c r="G24" s="443">
        <f ca="1">((1+$C$20/$D24)^($D24*$C$21)-1)/$C$21</f>
        <v>1.1499999999999844E-2</v>
      </c>
      <c r="H24" s="482">
        <f t="shared" ca="1" si="0"/>
        <v>1.1549688873008002E-2</v>
      </c>
      <c r="I24" s="482">
        <f t="shared" ca="1" si="0"/>
        <v>1.1516531249999851E-2</v>
      </c>
      <c r="J24" s="482">
        <f t="shared" ca="1" si="0"/>
        <v>1.1499999999999844E-2</v>
      </c>
      <c r="K24" s="482">
        <f t="shared" ca="1" si="0"/>
        <v>1.1488996735719681E-2</v>
      </c>
      <c r="L24" s="483">
        <f ca="1">$D24*LN(1+$C$20/$D24)</f>
        <v>1.1483500366731883E-2</v>
      </c>
      <c r="N24" s="1120"/>
      <c r="O24" s="280" t="s">
        <v>64</v>
      </c>
      <c r="P24" s="634" cm="1">
        <f t="array" aca="1" ref="P24" ca="1">_xll.d.IR_ConvertInterestRate($C$20,$O24,P$20,$C$21)</f>
        <v>1.1499999999999844E-2</v>
      </c>
      <c r="Q24" s="482" cm="1">
        <f t="array" aca="1" ref="Q24" ca="1">_xll.d.IR_ConvertInterestRate($C$20,$O24,Q$20,$C$21)</f>
        <v>1.1549688873008002E-2</v>
      </c>
      <c r="R24" s="482" cm="1">
        <f t="array" aca="1" ref="R24" ca="1">_xll.d.IR_ConvertInterestRate($C$20,$O24,R$20,$C$21)</f>
        <v>1.1516531249999851E-2</v>
      </c>
      <c r="S24" s="482" cm="1">
        <f t="array" aca="1" ref="S24" ca="1">_xll.d.IR_ConvertInterestRate($C$20,$O24,S$20,$C$21)</f>
        <v>1.15E-2</v>
      </c>
      <c r="T24" s="482" cm="1">
        <f t="array" aca="1" ref="T24" ca="1">_xll.d.IR_ConvertInterestRate($C$20,$O24,T$20,$C$21)</f>
        <v>1.1488996735719681E-2</v>
      </c>
      <c r="U24" s="637" cm="1">
        <f t="array" aca="1" ref="U24" ca="1">_xll.d.IR_ConvertInterestRate($C$20,$O24,U$20,$C$21)</f>
        <v>1.1483500366731883E-2</v>
      </c>
      <c r="W24" s="1120"/>
      <c r="X24" s="280" t="s">
        <v>64</v>
      </c>
      <c r="Y24" s="442" t="str" cm="1">
        <f t="array" aca="1" ref="Y24" ca="1">_xll.d.TestUtils_Equal(G24,P24)</f>
        <v>Ok</v>
      </c>
      <c r="Z24" s="442" t="str" cm="1">
        <f t="array" aca="1" ref="Z24" ca="1">_xll.d.TestUtils_Equal(H24,Q24)</f>
        <v>Ok</v>
      </c>
      <c r="AA24" s="442" t="str" cm="1">
        <f t="array" aca="1" ref="AA24" ca="1">_xll.d.TestUtils_Equal(I24,R24)</f>
        <v>Ok</v>
      </c>
      <c r="AB24" s="442" t="str" cm="1">
        <f t="array" aca="1" ref="AB24" ca="1">_xll.d.TestUtils_Equal(J24,S24)</f>
        <v>Ok</v>
      </c>
      <c r="AC24" s="442" t="str" cm="1">
        <f t="array" aca="1" ref="AC24" ca="1">_xll.d.TestUtils_Equal(K24,T24)</f>
        <v>Ok</v>
      </c>
      <c r="AD24" s="442" t="str" cm="1">
        <f t="array" aca="1" ref="AD24" ca="1">_xll.d.TestUtils_Equal(L24,U24)</f>
        <v>Ok</v>
      </c>
    </row>
    <row r="25" spans="1:54" s="430" customFormat="1">
      <c r="B25" s="289"/>
      <c r="D25" s="607">
        <v>12</v>
      </c>
      <c r="E25" s="1120"/>
      <c r="F25" s="280" t="s">
        <v>63</v>
      </c>
      <c r="G25" s="443">
        <f ca="1">((1+$C$20/$D25)^($D25*$C$21)-1)/$C$21</f>
        <v>1.1511024353878518E-2</v>
      </c>
      <c r="H25" s="482">
        <f t="shared" ca="1" si="0"/>
        <v>1.1560808631408515E-2</v>
      </c>
      <c r="I25" s="482">
        <f t="shared" ca="1" si="0"/>
        <v>1.1527587314087651E-2</v>
      </c>
      <c r="J25" s="482">
        <f t="shared" ca="1" si="0"/>
        <v>1.1511024353878518E-2</v>
      </c>
      <c r="K25" s="482">
        <f t="shared" ca="1" si="0"/>
        <v>1.1500000000000732E-2</v>
      </c>
      <c r="L25" s="483">
        <f ca="1">$D25*LN(1+$C$20/$D25)</f>
        <v>1.1494493101349593E-2</v>
      </c>
      <c r="N25" s="1120"/>
      <c r="O25" s="280" t="s">
        <v>63</v>
      </c>
      <c r="P25" s="634" cm="1">
        <f t="array" aca="1" ref="P25" ca="1">_xll.d.IR_ConvertInterestRate($C$20,$O25,P$20,$C$21)</f>
        <v>1.151102435387763E-2</v>
      </c>
      <c r="Q25" s="482" cm="1">
        <f t="array" aca="1" ref="Q25" ca="1">_xll.d.IR_ConvertInterestRate($C$20,$O25,Q$20,$C$21)</f>
        <v>1.1560808631408515E-2</v>
      </c>
      <c r="R25" s="482" cm="1">
        <f t="array" aca="1" ref="R25" ca="1">_xll.d.IR_ConvertInterestRate($C$20,$O25,R$20,$C$21)</f>
        <v>1.1527587314087651E-2</v>
      </c>
      <c r="S25" s="482" cm="1">
        <f t="array" aca="1" ref="S25" ca="1">_xll.d.IR_ConvertInterestRate($C$20,$O25,S$20,$C$21)</f>
        <v>1.151102435387763E-2</v>
      </c>
      <c r="T25" s="482" cm="1">
        <f t="array" aca="1" ref="T25" ca="1">_xll.d.IR_ConvertInterestRate($C$20,$O25,T$20,$C$21)</f>
        <v>1.15E-2</v>
      </c>
      <c r="U25" s="637" cm="1">
        <f t="array" aca="1" ref="U25" ca="1">_xll.d.IR_ConvertInterestRate($C$20,$O25,U$20,$C$21)</f>
        <v>1.1494493101349593E-2</v>
      </c>
      <c r="W25" s="1120"/>
      <c r="X25" s="280" t="s">
        <v>63</v>
      </c>
      <c r="Y25" s="442" t="str" cm="1">
        <f t="array" aca="1" ref="Y25" ca="1">_xll.d.TestUtils_Equal(G25,P25)</f>
        <v>Ok</v>
      </c>
      <c r="Z25" s="442" t="str" cm="1">
        <f t="array" aca="1" ref="Z25" ca="1">_xll.d.TestUtils_Equal(H25,Q25)</f>
        <v>Ok</v>
      </c>
      <c r="AA25" s="442" t="str" cm="1">
        <f t="array" aca="1" ref="AA25" ca="1">_xll.d.TestUtils_Equal(I25,R25)</f>
        <v>Ok</v>
      </c>
      <c r="AB25" s="442" t="str" cm="1">
        <f t="array" aca="1" ref="AB25" ca="1">_xll.d.TestUtils_Equal(J25,S25)</f>
        <v>Ok</v>
      </c>
      <c r="AC25" s="442" t="str" cm="1">
        <f t="array" aca="1" ref="AC25" ca="1">_xll.d.TestUtils_Equal(K25,T25)</f>
        <v>Ok</v>
      </c>
      <c r="AD25" s="442" t="str" cm="1">
        <f t="array" aca="1" ref="AD25" ca="1">_xll.d.TestUtils_Equal(L25,U25)</f>
        <v>Ok</v>
      </c>
    </row>
    <row r="26" spans="1:54" s="430" customFormat="1">
      <c r="B26" s="289"/>
      <c r="D26" s="607"/>
      <c r="E26" s="1121"/>
      <c r="F26" s="281" t="s">
        <v>62</v>
      </c>
      <c r="G26" s="444">
        <f ca="1">(EXP(C20*C21)-1)/C21</f>
        <v>1.1516547103841646E-2</v>
      </c>
      <c r="H26" s="484">
        <f ca="1">H$18*(EXP($C$20/H$18)-1)</f>
        <v>1.1566379209598576E-2</v>
      </c>
      <c r="I26" s="484">
        <f ca="1">I$18*(EXP($C$20/I$18)-1)</f>
        <v>1.1533125960990542E-2</v>
      </c>
      <c r="J26" s="484">
        <f ca="1">J$18*(EXP($C$20/J$18)-1)</f>
        <v>1.1516547103841646E-2</v>
      </c>
      <c r="K26" s="484">
        <f ca="1">K$18*(EXP($C$20/K$18)-1)</f>
        <v>1.1505512177360622E-2</v>
      </c>
      <c r="L26" s="485">
        <f ca="1">$C$20</f>
        <v>1.15E-2</v>
      </c>
      <c r="N26" s="1121"/>
      <c r="O26" s="281" t="s">
        <v>62</v>
      </c>
      <c r="P26" s="638" cm="1">
        <f t="array" aca="1" ref="P26" ca="1">_xll.d.IR_ConvertInterestRate($C$20,$O26,P$20,$C$21)</f>
        <v>1.1516547103841646E-2</v>
      </c>
      <c r="Q26" s="639" cm="1">
        <f t="array" aca="1" ref="Q26" ca="1">_xll.d.IR_ConvertInterestRate($C$20,$O26,Q$20,$C$21)</f>
        <v>1.1566379209598576E-2</v>
      </c>
      <c r="R26" s="639" cm="1">
        <f t="array" aca="1" ref="R26" ca="1">_xll.d.IR_ConvertInterestRate($C$20,$O26,R$20,$C$21)</f>
        <v>1.1533125960990542E-2</v>
      </c>
      <c r="S26" s="639" cm="1">
        <f t="array" aca="1" ref="S26" ca="1">_xll.d.IR_ConvertInterestRate($C$20,$O26,S$20,$C$21)</f>
        <v>1.1516547103841646E-2</v>
      </c>
      <c r="T26" s="639" cm="1">
        <f t="array" aca="1" ref="T26" ca="1">_xll.d.IR_ConvertInterestRate($C$20,$O26,T$20,$C$21)</f>
        <v>1.1505512177360622E-2</v>
      </c>
      <c r="U26" s="640" cm="1">
        <f t="array" aca="1" ref="U26" ca="1">_xll.d.IR_ConvertInterestRate($C$20,$O26,U$20,$C$21)</f>
        <v>1.15E-2</v>
      </c>
      <c r="W26" s="1121"/>
      <c r="X26" s="281" t="s">
        <v>62</v>
      </c>
      <c r="Y26" s="442" t="str" cm="1">
        <f t="array" aca="1" ref="Y26" ca="1">_xll.d.TestUtils_Equal(G26,P26)</f>
        <v>Ok</v>
      </c>
      <c r="Z26" s="442" t="str" cm="1">
        <f t="array" aca="1" ref="Z26" ca="1">_xll.d.TestUtils_Equal(H26,Q26)</f>
        <v>Ok</v>
      </c>
      <c r="AA26" s="442" t="str" cm="1">
        <f t="array" aca="1" ref="AA26" ca="1">_xll.d.TestUtils_Equal(I26,R26)</f>
        <v>Ok</v>
      </c>
      <c r="AB26" s="442" t="str" cm="1">
        <f t="array" aca="1" ref="AB26" ca="1">_xll.d.TestUtils_Equal(J26,S26)</f>
        <v>Ok</v>
      </c>
      <c r="AC26" s="442" t="str" cm="1">
        <f t="array" aca="1" ref="AC26" ca="1">_xll.d.TestUtils_Equal(K26,T26)</f>
        <v>Ok</v>
      </c>
      <c r="AD26" s="442" t="str" cm="1">
        <f t="array" aca="1" ref="AD26" ca="1">_xll.d.TestUtils_Equal(L26,U26)</f>
        <v>Ok</v>
      </c>
    </row>
    <row r="27" spans="1:54" s="430" customFormat="1">
      <c r="B27" s="289"/>
      <c r="C27" s="289"/>
      <c r="D27" s="289"/>
      <c r="E27" s="289"/>
      <c r="F27" s="289"/>
      <c r="G27" s="289"/>
      <c r="H27" s="290"/>
    </row>
    <row r="28" spans="1:54" s="430" customFormat="1">
      <c r="B28" s="289"/>
      <c r="C28" s="289"/>
      <c r="D28" s="289"/>
      <c r="E28" s="289"/>
      <c r="F28" s="289"/>
      <c r="G28" s="290"/>
    </row>
    <row r="29" spans="1:54" s="289" customFormat="1" ht="18.75">
      <c r="A29"/>
      <c r="B29" s="3" t="s">
        <v>375</v>
      </c>
      <c r="C29" s="297"/>
      <c r="D29" s="297"/>
      <c r="E29" s="297"/>
      <c r="F29" s="297"/>
      <c r="G29" s="297"/>
      <c r="H29" s="297"/>
      <c r="I29" s="297"/>
      <c r="J29" s="297"/>
      <c r="K29" s="297"/>
      <c r="L29" s="297"/>
      <c r="M29" s="297"/>
      <c r="N29" s="297"/>
      <c r="O29" s="297"/>
      <c r="P29" s="297"/>
      <c r="Q29" s="297"/>
      <c r="R29" s="297"/>
      <c r="S29" s="297"/>
      <c r="T29" s="297"/>
      <c r="U29" s="297"/>
      <c r="V29" s="297"/>
      <c r="W29" s="297"/>
      <c r="X29" s="297"/>
      <c r="Y29" s="297"/>
      <c r="Z29" s="297"/>
      <c r="AA29" s="297"/>
      <c r="AB29" s="297"/>
      <c r="AC29" s="297"/>
      <c r="AD29" s="297"/>
      <c r="AE29" s="297"/>
      <c r="AF29" s="297"/>
      <c r="AG29" s="297"/>
      <c r="AH29" s="297"/>
      <c r="AI29" s="297"/>
      <c r="AJ29" s="297"/>
      <c r="AK29" s="297"/>
      <c r="AL29" s="297"/>
      <c r="AM29" s="297"/>
      <c r="AN29" s="297"/>
      <c r="AO29" s="297"/>
      <c r="AP29" s="297"/>
      <c r="AQ29" s="297"/>
      <c r="AR29" s="297"/>
      <c r="AS29" s="297"/>
      <c r="AT29" s="297"/>
      <c r="AU29" s="297"/>
      <c r="AV29" s="297"/>
      <c r="AW29" s="297"/>
      <c r="AX29" s="297"/>
      <c r="AY29" s="297"/>
      <c r="AZ29" s="297"/>
      <c r="BA29" s="297"/>
      <c r="BB29" s="297"/>
    </row>
    <row r="31" spans="1:54" s="289" customFormat="1">
      <c r="A31"/>
      <c r="B31" s="50" t="s">
        <v>139</v>
      </c>
      <c r="C31" s="291" t="str" cm="1">
        <f t="array" aca="1" ref="C31" ca="1">_xll.d.TestUtils_And(C35,K35)</f>
        <v>Ok</v>
      </c>
      <c r="E31" s="430"/>
      <c r="F31" s="430"/>
      <c r="G31" s="430"/>
      <c r="H31" s="430"/>
      <c r="I31" s="430"/>
    </row>
    <row r="32" spans="1:54">
      <c r="E32" s="430"/>
      <c r="F32" s="430"/>
      <c r="G32" s="430"/>
      <c r="H32" s="430"/>
    </row>
    <row r="33" spans="2:24" ht="15.75">
      <c r="B33" s="4" t="s">
        <v>89</v>
      </c>
      <c r="C33" s="298"/>
      <c r="D33" s="298"/>
      <c r="E33" s="298"/>
      <c r="F33" s="298"/>
      <c r="G33" s="298"/>
      <c r="H33" s="298"/>
      <c r="I33" s="430"/>
      <c r="J33" s="4" t="s">
        <v>427</v>
      </c>
      <c r="K33" s="298"/>
      <c r="L33" s="298"/>
      <c r="M33" s="298"/>
      <c r="N33" s="298"/>
      <c r="O33" s="298"/>
      <c r="P33" s="298"/>
      <c r="Q33" s="298"/>
      <c r="R33" s="298"/>
      <c r="S33" s="298"/>
    </row>
    <row r="34" spans="2:24" s="430" customFormat="1"/>
    <row r="35" spans="2:24" s="430" customFormat="1">
      <c r="B35" s="50" t="s">
        <v>139</v>
      </c>
      <c r="C35" s="291" t="str" cm="1">
        <f t="array" aca="1" ref="C35" ca="1">_xll.d.TestUtils_And(H38:H43)</f>
        <v>Ok</v>
      </c>
      <c r="J35" s="50" t="s">
        <v>139</v>
      </c>
      <c r="K35" s="446" t="str">
        <f ca="1">S38</f>
        <v>Ok</v>
      </c>
    </row>
    <row r="36" spans="2:24" s="430" customFormat="1"/>
    <row r="37" spans="2:24">
      <c r="B37" s="120" t="s">
        <v>212</v>
      </c>
      <c r="C37" s="121"/>
      <c r="E37" s="120"/>
      <c r="F37" s="323" t="s">
        <v>113</v>
      </c>
      <c r="G37" s="458" t="s">
        <v>214</v>
      </c>
      <c r="H37" s="445" t="s">
        <v>67</v>
      </c>
      <c r="I37" s="430"/>
      <c r="J37" s="120" t="s">
        <v>212</v>
      </c>
      <c r="K37" s="121"/>
      <c r="M37" s="120" t="s">
        <v>113</v>
      </c>
      <c r="N37" s="191"/>
      <c r="O37" s="191"/>
      <c r="P37" s="191" t="s">
        <v>214</v>
      </c>
      <c r="Q37" s="191"/>
      <c r="R37" s="191"/>
      <c r="S37" s="121" t="s">
        <v>67</v>
      </c>
    </row>
    <row r="38" spans="2:24">
      <c r="B38" s="122" t="s">
        <v>424</v>
      </c>
      <c r="C38" s="455">
        <v>0.9993298952745</v>
      </c>
      <c r="D38" s="430"/>
      <c r="E38" s="394" t="s">
        <v>205</v>
      </c>
      <c r="F38" s="461" cm="1">
        <f t="array" aca="1" ref="F38" ca="1">_xll.d.IR_DiscountFactorsToForwardRate(E38,$C$38,$C$39,$C$40)</f>
        <v>1.1751446475177119E-2</v>
      </c>
      <c r="G38" s="462">
        <f ca="1">(C38/C39-1)/C40</f>
        <v>1.1751446475177119E-2</v>
      </c>
      <c r="H38" s="463" t="str" cm="1">
        <f t="array" aca="1" ref="H38" ca="1">_xll.d.TestUtils_Equal(F38,G38,0.0001)</f>
        <v>Ok</v>
      </c>
      <c r="I38" s="431"/>
      <c r="J38" s="122" t="s">
        <v>428</v>
      </c>
      <c r="K38" s="455" t="s">
        <v>417</v>
      </c>
      <c r="L38" s="430"/>
      <c r="M38" s="450" t="str" cm="1">
        <f t="array" aca="1" ref="M38" ca="1">_xll.d.IR_DiscountFactorsToForwardRate(K38,K39,K40,K41)</f>
        <v>#∂Excel Error: Invalid compounding convention: NACP</v>
      </c>
      <c r="N38" s="451"/>
      <c r="O38" s="451"/>
      <c r="P38" s="452" t="s">
        <v>429</v>
      </c>
      <c r="Q38" s="453"/>
      <c r="R38" s="453"/>
      <c r="S38" s="329" t="str" cm="1">
        <f t="array" aca="1" ref="S38" ca="1">_xll.d.TestUtils_Equal(M38,P38)</f>
        <v>Ok</v>
      </c>
      <c r="T38" s="430"/>
      <c r="U38" s="430"/>
      <c r="V38" s="430"/>
      <c r="W38" s="430"/>
      <c r="X38" s="430"/>
    </row>
    <row r="39" spans="2:24">
      <c r="B39" s="124" t="s">
        <v>425</v>
      </c>
      <c r="C39" s="456">
        <v>0.99640260231230005</v>
      </c>
      <c r="D39" s="430"/>
      <c r="E39" s="459" t="s">
        <v>62</v>
      </c>
      <c r="F39" s="464" cm="1">
        <f t="array" aca="1" ref="F39" ca="1">_xll.d.IR_DiscountFactorsToForwardRate(E39,$C$38,$C$39,$C$40)</f>
        <v>1.1734218148106865E-2</v>
      </c>
      <c r="G39" s="465">
        <f ca="1">(LN(C38)-LN(C39))/C40</f>
        <v>1.1734218148106865E-2</v>
      </c>
      <c r="H39" s="466" t="str" cm="1">
        <f t="array" aca="1" ref="H39" ca="1">_xll.d.TestUtils_Equal(F39,G39,0.0001)</f>
        <v>Ok</v>
      </c>
      <c r="I39" s="430"/>
      <c r="J39" s="124" t="s">
        <v>424</v>
      </c>
      <c r="K39" s="456">
        <v>0.9993298952745</v>
      </c>
      <c r="L39" s="430"/>
      <c r="M39" s="430"/>
      <c r="N39" s="430"/>
      <c r="O39" s="457"/>
      <c r="P39" s="457"/>
      <c r="Q39" s="457"/>
      <c r="R39" s="457"/>
      <c r="S39" s="457"/>
      <c r="T39" s="457"/>
    </row>
    <row r="40" spans="2:24">
      <c r="B40" s="126" t="s">
        <v>426</v>
      </c>
      <c r="C40" s="127">
        <v>0.25</v>
      </c>
      <c r="D40" s="430"/>
      <c r="E40" s="459" t="s">
        <v>78</v>
      </c>
      <c r="F40" s="464" cm="1">
        <f t="array" aca="1" ref="F40" ca="1">_xll.d.IR_DiscountFactorsToForwardRate(E40,$C$38,$C$39,$C$40)</f>
        <v>1.1803334162116208E-2</v>
      </c>
      <c r="G40" s="465">
        <f ca="1">EXP((LN(C38)-LN(C39))/C40)-1</f>
        <v>1.1803334162116208E-2</v>
      </c>
      <c r="H40" s="466" t="str" cm="1">
        <f t="array" aca="1" ref="H40" ca="1">_xll.d.TestUtils_Equal(F40,G40,0.0001)</f>
        <v>Ok</v>
      </c>
      <c r="I40" s="430"/>
      <c r="J40" s="124" t="s">
        <v>425</v>
      </c>
      <c r="K40" s="456">
        <v>0.99640260231230005</v>
      </c>
      <c r="L40" s="430"/>
      <c r="M40" s="430"/>
      <c r="N40" s="430"/>
      <c r="O40" s="457"/>
      <c r="P40" s="457"/>
      <c r="Q40" s="457"/>
      <c r="R40" s="457"/>
      <c r="S40" s="457"/>
      <c r="T40" s="457"/>
    </row>
    <row r="41" spans="2:24">
      <c r="D41" s="430"/>
      <c r="E41" s="459" t="s">
        <v>79</v>
      </c>
      <c r="F41" s="464" cm="1">
        <f t="array" aca="1" ref="F41" ca="1">_xll.d.IR_DiscountFactorsToForwardRate(E41,$C$38,$C$39,$C$40)</f>
        <v>1.1768708536959327E-2</v>
      </c>
      <c r="G41" s="465">
        <f ca="1">((EXP((LN(C38)-LN(C39))/C40))^(0.5)-1)*2</f>
        <v>1.1768708536959327E-2</v>
      </c>
      <c r="H41" s="466" t="str" cm="1">
        <f t="array" aca="1" ref="H41" ca="1">_xll.d.TestUtils_Equal(F41,G41,0.0001)</f>
        <v>Ok</v>
      </c>
      <c r="I41" s="430"/>
      <c r="J41" s="126" t="s">
        <v>426</v>
      </c>
      <c r="K41" s="127">
        <v>0.25</v>
      </c>
      <c r="L41" s="430"/>
      <c r="M41" s="430"/>
      <c r="N41" s="430"/>
      <c r="O41" s="457"/>
      <c r="P41" s="457"/>
      <c r="Q41" s="457"/>
      <c r="R41" s="457"/>
      <c r="S41" s="457"/>
      <c r="T41" s="457"/>
    </row>
    <row r="42" spans="2:24">
      <c r="E42" s="459" t="s">
        <v>64</v>
      </c>
      <c r="F42" s="464" cm="1">
        <f t="array" aca="1" ref="F42" ca="1">_xll.d.IR_DiscountFactorsToForwardRate(E42,$C$38,$C$39,$C$40)</f>
        <v>1.1751446475177119E-2</v>
      </c>
      <c r="G42" s="465">
        <f ca="1">((EXP((LN(C38)-LN(C39))/C40))^(1/4)-1)*4</f>
        <v>1.1751446475177119E-2</v>
      </c>
      <c r="H42" s="466" t="str" cm="1">
        <f t="array" aca="1" ref="H42" ca="1">_xll.d.TestUtils_Equal(F42,G42,0.0001)</f>
        <v>Ok</v>
      </c>
      <c r="I42" s="430"/>
      <c r="J42" s="430"/>
      <c r="K42" s="430"/>
      <c r="L42" s="430"/>
    </row>
    <row r="43" spans="2:24">
      <c r="E43" s="460" t="s">
        <v>63</v>
      </c>
      <c r="F43" s="467" cm="1">
        <f t="array" aca="1" ref="F43" ca="1">_xll.d.IR_DiscountFactorsToForwardRate(E43,$C$38,$C$39,$C$40)</f>
        <v>1.1739957180076033E-2</v>
      </c>
      <c r="G43" s="468">
        <f ca="1">((EXP((LN(C38)-LN(C39))/C40))^(1/12)-1)*12</f>
        <v>1.1739957180076033E-2</v>
      </c>
      <c r="H43" s="469" t="str" cm="1">
        <f t="array" aca="1" ref="H43" ca="1">_xll.d.TestUtils_Equal(F43,G43,0.0001)</f>
        <v>Ok</v>
      </c>
      <c r="J43" s="430"/>
      <c r="K43" s="430"/>
    </row>
  </sheetData>
  <mergeCells count="3">
    <mergeCell ref="N21:N26"/>
    <mergeCell ref="E21:E26"/>
    <mergeCell ref="W21:W26"/>
  </mergeCells>
  <conditionalFormatting sqref="D7:D8">
    <cfRule type="cellIs" dxfId="317" priority="61" stopIfTrue="1" operator="equal">
      <formula>"ERROR"</formula>
    </cfRule>
    <cfRule type="cellIs" dxfId="316" priority="62" stopIfTrue="1" operator="equal">
      <formula>"OK"</formula>
    </cfRule>
    <cfRule type="cellIs" dxfId="315" priority="63" stopIfTrue="1" operator="equal">
      <formula>"WARNING"</formula>
    </cfRule>
  </conditionalFormatting>
  <conditionalFormatting sqref="C4">
    <cfRule type="cellIs" dxfId="314" priority="58" stopIfTrue="1" operator="equal">
      <formula>"ERROR"</formula>
    </cfRule>
    <cfRule type="cellIs" dxfId="313" priority="59" stopIfTrue="1" operator="equal">
      <formula>"OK"</formula>
    </cfRule>
    <cfRule type="cellIs" dxfId="312" priority="60" stopIfTrue="1" operator="equal">
      <formula>"WARNING"</formula>
    </cfRule>
  </conditionalFormatting>
  <conditionalFormatting sqref="C13">
    <cfRule type="cellIs" dxfId="311" priority="55" stopIfTrue="1" operator="equal">
      <formula>"ERROR"</formula>
    </cfRule>
  </conditionalFormatting>
  <conditionalFormatting sqref="C13">
    <cfRule type="cellIs" dxfId="310" priority="56" stopIfTrue="1" operator="equal">
      <formula>"OK"</formula>
    </cfRule>
  </conditionalFormatting>
  <conditionalFormatting sqref="C13">
    <cfRule type="cellIs" dxfId="309" priority="57" stopIfTrue="1" operator="equal">
      <formula>"WARNING"</formula>
    </cfRule>
  </conditionalFormatting>
  <conditionalFormatting sqref="C31">
    <cfRule type="cellIs" dxfId="308" priority="52" stopIfTrue="1" operator="equal">
      <formula>"ERROR"</formula>
    </cfRule>
  </conditionalFormatting>
  <conditionalFormatting sqref="C31">
    <cfRule type="cellIs" dxfId="307" priority="53" stopIfTrue="1" operator="equal">
      <formula>"OK"</formula>
    </cfRule>
  </conditionalFormatting>
  <conditionalFormatting sqref="C31">
    <cfRule type="cellIs" dxfId="306" priority="54" stopIfTrue="1" operator="equal">
      <formula>"WARNING"</formula>
    </cfRule>
  </conditionalFormatting>
  <conditionalFormatting sqref="Y21:AD26">
    <cfRule type="cellIs" dxfId="305" priority="64" stopIfTrue="1" operator="equal">
      <formula>"ERROR"</formula>
    </cfRule>
    <cfRule type="cellIs" dxfId="304" priority="65" stopIfTrue="1" operator="equal">
      <formula>"OK"</formula>
    </cfRule>
    <cfRule type="cellIs" dxfId="303" priority="66" stopIfTrue="1" operator="equal">
      <formula>"WARNING"</formula>
    </cfRule>
  </conditionalFormatting>
  <conditionalFormatting sqref="C17">
    <cfRule type="cellIs" dxfId="302" priority="16" stopIfTrue="1" operator="equal">
      <formula>"ERROR"</formula>
    </cfRule>
  </conditionalFormatting>
  <conditionalFormatting sqref="C17">
    <cfRule type="cellIs" dxfId="301" priority="17" stopIfTrue="1" operator="equal">
      <formula>"OK"</formula>
    </cfRule>
  </conditionalFormatting>
  <conditionalFormatting sqref="C17">
    <cfRule type="cellIs" dxfId="300" priority="18" stopIfTrue="1" operator="equal">
      <formula>"WARNING"</formula>
    </cfRule>
  </conditionalFormatting>
  <conditionalFormatting sqref="AP20">
    <cfRule type="cellIs" dxfId="299" priority="67" stopIfTrue="1" operator="equal">
      <formula>"ERROR"</formula>
    </cfRule>
    <cfRule type="cellIs" dxfId="298" priority="68" stopIfTrue="1" operator="equal">
      <formula>"OK"</formula>
    </cfRule>
    <cfRule type="cellIs" dxfId="297" priority="69" stopIfTrue="1" operator="equal">
      <formula>"WARNING"</formula>
    </cfRule>
  </conditionalFormatting>
  <conditionalFormatting sqref="AG17">
    <cfRule type="cellIs" dxfId="296" priority="13" stopIfTrue="1" operator="equal">
      <formula>"ERROR"</formula>
    </cfRule>
  </conditionalFormatting>
  <conditionalFormatting sqref="AG17">
    <cfRule type="cellIs" dxfId="295" priority="14" stopIfTrue="1" operator="equal">
      <formula>"OK"</formula>
    </cfRule>
  </conditionalFormatting>
  <conditionalFormatting sqref="AG17">
    <cfRule type="cellIs" dxfId="294" priority="15" stopIfTrue="1" operator="equal">
      <formula>"WARNING"</formula>
    </cfRule>
  </conditionalFormatting>
  <conditionalFormatting sqref="BB20">
    <cfRule type="cellIs" dxfId="293" priority="10" stopIfTrue="1" operator="equal">
      <formula>"ERROR"</formula>
    </cfRule>
    <cfRule type="cellIs" dxfId="292" priority="11" stopIfTrue="1" operator="equal">
      <formula>"OK"</formula>
    </cfRule>
    <cfRule type="cellIs" dxfId="291" priority="12" stopIfTrue="1" operator="equal">
      <formula>"WARNING"</formula>
    </cfRule>
  </conditionalFormatting>
  <conditionalFormatting sqref="AS17">
    <cfRule type="cellIs" dxfId="290" priority="7" stopIfTrue="1" operator="equal">
      <formula>"ERROR"</formula>
    </cfRule>
  </conditionalFormatting>
  <conditionalFormatting sqref="AS17">
    <cfRule type="cellIs" dxfId="289" priority="8" stopIfTrue="1" operator="equal">
      <formula>"OK"</formula>
    </cfRule>
  </conditionalFormatting>
  <conditionalFormatting sqref="AS17">
    <cfRule type="cellIs" dxfId="288" priority="9" stopIfTrue="1" operator="equal">
      <formula>"WARNING"</formula>
    </cfRule>
  </conditionalFormatting>
  <conditionalFormatting sqref="H38:H43">
    <cfRule type="cellIs" dxfId="287" priority="70" stopIfTrue="1" operator="equal">
      <formula>"ERROR"</formula>
    </cfRule>
  </conditionalFormatting>
  <conditionalFormatting sqref="H38:H43">
    <cfRule type="cellIs" dxfId="286" priority="71" stopIfTrue="1" operator="equal">
      <formula>"OK"</formula>
    </cfRule>
  </conditionalFormatting>
  <conditionalFormatting sqref="H38:H43">
    <cfRule type="cellIs" dxfId="285" priority="72" stopIfTrue="1" operator="equal">
      <formula>"WARNING"</formula>
    </cfRule>
  </conditionalFormatting>
  <conditionalFormatting sqref="C35">
    <cfRule type="cellIs" dxfId="284" priority="4" stopIfTrue="1" operator="equal">
      <formula>"ERROR"</formula>
    </cfRule>
  </conditionalFormatting>
  <conditionalFormatting sqref="C35">
    <cfRule type="cellIs" dxfId="283" priority="5" stopIfTrue="1" operator="equal">
      <formula>"OK"</formula>
    </cfRule>
  </conditionalFormatting>
  <conditionalFormatting sqref="C35">
    <cfRule type="cellIs" dxfId="282" priority="6" stopIfTrue="1" operator="equal">
      <formula>"WARNING"</formula>
    </cfRule>
  </conditionalFormatting>
  <conditionalFormatting sqref="K35">
    <cfRule type="cellIs" dxfId="281" priority="1" stopIfTrue="1" operator="equal">
      <formula>"ERROR"</formula>
    </cfRule>
  </conditionalFormatting>
  <conditionalFormatting sqref="K35">
    <cfRule type="cellIs" dxfId="280" priority="2" stopIfTrue="1" operator="equal">
      <formula>"OK"</formula>
    </cfRule>
  </conditionalFormatting>
  <conditionalFormatting sqref="K35">
    <cfRule type="cellIs" dxfId="279" priority="3" stopIfTrue="1" operator="equal">
      <formula>"WARNING"</formula>
    </cfRule>
  </conditionalFormatting>
  <conditionalFormatting sqref="S38">
    <cfRule type="cellIs" dxfId="278" priority="73" stopIfTrue="1" operator="equal">
      <formula>"ERROR"</formula>
    </cfRule>
  </conditionalFormatting>
  <conditionalFormatting sqref="S38">
    <cfRule type="cellIs" dxfId="277" priority="74" stopIfTrue="1" operator="equal">
      <formula>"OK"</formula>
    </cfRule>
  </conditionalFormatting>
  <conditionalFormatting sqref="S38">
    <cfRule type="cellIs" dxfId="276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>
      <c r="B1" s="399" t="s">
        <v>372</v>
      </c>
    </row>
    <row r="2" spans="2:10" ht="26.2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>
      <c r="B6" s="12" t="s">
        <v>3</v>
      </c>
      <c r="C6" s="25" t="e" cm="1">
        <f t="array" aca="1" ref="C6" ca="1">_xll.d.Curve_Create("CurveForHullWhite",,B9:B41,C9:C41)</f>
        <v>#NAME?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>
      <c r="B13" s="18">
        <v>44773</v>
      </c>
      <c r="C13" s="21">
        <v>0.99979600000000002</v>
      </c>
    </row>
    <row r="14" spans="2:10">
      <c r="B14" s="18">
        <v>44802</v>
      </c>
      <c r="C14" s="21">
        <v>0.99965800000000005</v>
      </c>
    </row>
    <row r="15" spans="2:10" ht="18.7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>
      <c r="B16" s="18">
        <v>44857</v>
      </c>
      <c r="C16" s="21">
        <v>0.999421</v>
      </c>
    </row>
    <row r="17" spans="2:9">
      <c r="B17" s="18">
        <v>44887</v>
      </c>
      <c r="C17" s="21">
        <v>0.99924900000000005</v>
      </c>
      <c r="G17" s="12" t="s">
        <v>20</v>
      </c>
      <c r="H17" s="39" t="e" cm="1">
        <f t="array" aca="1" ref="H17" ca="1">_xll.d.HullWhite_Calibrate("HW",C6,G6:J12)</f>
        <v>#VALUE!</v>
      </c>
      <c r="I17" s="40"/>
    </row>
    <row r="18" spans="2:9">
      <c r="B18" s="18">
        <v>44920</v>
      </c>
      <c r="C18" s="21">
        <v>0.99921499999999996</v>
      </c>
    </row>
    <row r="19" spans="2:9">
      <c r="B19" s="18">
        <v>44949</v>
      </c>
      <c r="C19" s="21">
        <v>0.99906200000000001</v>
      </c>
    </row>
    <row r="20" spans="2:9">
      <c r="B20" s="18">
        <v>44979</v>
      </c>
      <c r="C20" s="21">
        <v>0.99885800000000002</v>
      </c>
    </row>
    <row r="21" spans="2:9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>
      <c r="B22" s="18">
        <v>45041</v>
      </c>
      <c r="C22" s="21">
        <v>0.99856400000000001</v>
      </c>
      <c r="G22" s="18"/>
      <c r="H22" s="21"/>
    </row>
    <row r="23" spans="2:9">
      <c r="B23" s="18">
        <v>45071</v>
      </c>
      <c r="C23" s="21">
        <v>0.998309</v>
      </c>
      <c r="G23" s="19"/>
      <c r="H23" s="22"/>
    </row>
    <row r="24" spans="2:9">
      <c r="B24" s="18">
        <v>45162</v>
      </c>
      <c r="C24" s="21">
        <v>0.99748499999999996</v>
      </c>
    </row>
    <row r="25" spans="2:9">
      <c r="B25" s="18">
        <v>45252</v>
      </c>
      <c r="C25" s="21">
        <v>0.99626000000000003</v>
      </c>
    </row>
    <row r="26" spans="2:9">
      <c r="B26" s="18">
        <v>45344</v>
      </c>
      <c r="C26" s="21">
        <v>0.99468800000000002</v>
      </c>
    </row>
    <row r="27" spans="2:9">
      <c r="B27" s="18">
        <v>45438</v>
      </c>
      <c r="C27" s="21">
        <v>0.99261299999999997</v>
      </c>
    </row>
    <row r="28" spans="2:9">
      <c r="B28" s="18">
        <v>45806</v>
      </c>
      <c r="C28" s="21">
        <v>0.98043999999999998</v>
      </c>
    </row>
    <row r="29" spans="2:9">
      <c r="B29" s="18">
        <v>46173</v>
      </c>
      <c r="C29" s="21">
        <v>0.96520099999999998</v>
      </c>
    </row>
    <row r="30" spans="2:9">
      <c r="B30" s="18">
        <v>46537</v>
      </c>
      <c r="C30" s="21">
        <v>0.94818400000000003</v>
      </c>
    </row>
    <row r="31" spans="2:9">
      <c r="B31" s="18">
        <v>46901</v>
      </c>
      <c r="C31" s="21">
        <v>0.93045800000000001</v>
      </c>
    </row>
    <row r="32" spans="2:9">
      <c r="B32" s="18">
        <v>47267</v>
      </c>
      <c r="C32" s="21">
        <v>0.91225999999999996</v>
      </c>
    </row>
    <row r="33" spans="2:3">
      <c r="B33" s="18">
        <v>47632</v>
      </c>
      <c r="C33" s="21">
        <v>0.89427000000000001</v>
      </c>
    </row>
    <row r="34" spans="2:3">
      <c r="B34" s="18">
        <v>47997</v>
      </c>
      <c r="C34" s="21">
        <v>0.87622500000000003</v>
      </c>
    </row>
    <row r="35" spans="2:3">
      <c r="B35" s="18">
        <v>48364</v>
      </c>
      <c r="C35" s="21">
        <v>0.85857799999999995</v>
      </c>
    </row>
    <row r="36" spans="2:3">
      <c r="B36" s="18">
        <v>49093</v>
      </c>
      <c r="C36" s="21">
        <v>0.82275399999999999</v>
      </c>
    </row>
    <row r="37" spans="2:3">
      <c r="B37" s="18">
        <v>50191</v>
      </c>
      <c r="C37" s="21">
        <v>0.77304499999999998</v>
      </c>
    </row>
    <row r="38" spans="2:3">
      <c r="B38" s="18">
        <v>52015</v>
      </c>
      <c r="C38" s="21">
        <v>0.69641399999999998</v>
      </c>
    </row>
    <row r="39" spans="2:3">
      <c r="B39" s="18">
        <v>53841</v>
      </c>
      <c r="C39" s="21">
        <v>0.63234400000000002</v>
      </c>
    </row>
    <row r="40" spans="2:3">
      <c r="B40" s="18">
        <v>55667</v>
      </c>
      <c r="C40" s="21">
        <v>0.57906999999999997</v>
      </c>
    </row>
    <row r="41" spans="2:3">
      <c r="B41" s="19">
        <v>59320</v>
      </c>
      <c r="C41" s="22">
        <v>0.49973099999999998</v>
      </c>
    </row>
    <row r="42" spans="2:3">
      <c r="B42" s="8"/>
    </row>
    <row r="55" spans="2:6" ht="18.75">
      <c r="B55" s="3" t="s">
        <v>4</v>
      </c>
      <c r="C55" s="3"/>
    </row>
    <row r="57" spans="2:6">
      <c r="B57" s="7" t="s">
        <v>9</v>
      </c>
      <c r="C57" s="7" t="s">
        <v>10</v>
      </c>
    </row>
    <row r="58" spans="2:6">
      <c r="B58" t="s">
        <v>5</v>
      </c>
      <c r="C58" t="e" cm="1">
        <f t="array" aca="1" ref="C58" ca="1">_xll.d.And(F62:F64)</f>
        <v>#NAME?</v>
      </c>
    </row>
    <row r="60" spans="2:6" ht="15.75">
      <c r="B60" s="4" t="s">
        <v>5</v>
      </c>
      <c r="C60" s="4"/>
    </row>
    <row r="62" spans="2:6">
      <c r="B62" t="s">
        <v>7</v>
      </c>
      <c r="C62" s="1">
        <f ca="1">B12</f>
        <v>44741</v>
      </c>
      <c r="D62" s="5" t="e" cm="1">
        <f t="array" aca="1" ref="D62" ca="1">_xll.d.Curve_DF(C6,C62)</f>
        <v>#NAME?</v>
      </c>
      <c r="E62" s="5">
        <f ca="1">VLOOKUP(C62,B9:C14,2,FALSE)</f>
        <v>0.99992300000000001</v>
      </c>
      <c r="F62" t="e" cm="1">
        <f t="array" aca="1" ref="F62" ca="1">_xll.d.Equal(D62,E62)</f>
        <v>#NAME?</v>
      </c>
    </row>
    <row r="64" spans="2:6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 ca="1"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EB2D7-45C2-4E7B-A0C0-B84A3F2883D9}">
  <sheetPr codeName="FixedIncomeInstruments">
    <tabColor theme="1"/>
  </sheetPr>
  <dimension ref="B2"/>
  <sheetViews>
    <sheetView showGridLines="0" workbookViewId="0">
      <selection activeCell="B2" sqref="B2"/>
    </sheetView>
  </sheetViews>
  <sheetFormatPr defaultRowHeight="15"/>
  <cols>
    <col min="1" max="1" width="3.75" style="430" customWidth="1"/>
    <col min="2" max="16384" width="9" style="430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945BD-CD97-42F0-8097-AFF92BD7A1E5}">
  <sheetPr codeName="InterestRateSwaps">
    <tabColor theme="4" tint="-0.499984740745262"/>
  </sheetPr>
  <dimension ref="A1:AO191"/>
  <sheetViews>
    <sheetView showGridLines="0" zoomScale="115" zoomScaleNormal="115" workbookViewId="0">
      <selection activeCell="E6" sqref="E6"/>
    </sheetView>
  </sheetViews>
  <sheetFormatPr defaultRowHeight="15"/>
  <cols>
    <col min="1" max="1" width="3.75" style="430" customWidth="1"/>
    <col min="2" max="2" width="26" style="430" customWidth="1"/>
    <col min="3" max="3" width="25.5" style="430" customWidth="1"/>
    <col min="4" max="4" width="22.75" style="430" bestFit="1" customWidth="1"/>
    <col min="5" max="5" width="17.5" style="430" customWidth="1"/>
    <col min="6" max="6" width="15.625" style="430" customWidth="1"/>
    <col min="7" max="7" width="11" style="430" bestFit="1" customWidth="1"/>
    <col min="8" max="8" width="17.25" style="430" bestFit="1" customWidth="1"/>
    <col min="9" max="9" width="22.75" style="430" bestFit="1" customWidth="1"/>
    <col min="10" max="10" width="11.5" style="430" bestFit="1" customWidth="1"/>
    <col min="11" max="11" width="13.375" style="430" bestFit="1" customWidth="1"/>
    <col min="12" max="12" width="12.5" style="430" bestFit="1" customWidth="1"/>
    <col min="13" max="13" width="11.5" style="430" bestFit="1" customWidth="1"/>
    <col min="14" max="15" width="14.875" style="430" bestFit="1" customWidth="1"/>
    <col min="16" max="16" width="12" style="430" bestFit="1" customWidth="1"/>
    <col min="17" max="17" width="14.75" style="430" bestFit="1" customWidth="1"/>
    <col min="18" max="18" width="12" style="430" bestFit="1" customWidth="1"/>
    <col min="19" max="20" width="14.75" style="430" bestFit="1" customWidth="1"/>
    <col min="21" max="21" width="13.5" style="430" customWidth="1"/>
    <col min="22" max="22" width="13.125" style="430" bestFit="1" customWidth="1"/>
    <col min="23" max="23" width="12.625" style="430" bestFit="1" customWidth="1"/>
    <col min="24" max="25" width="18.75" style="430" bestFit="1" customWidth="1"/>
    <col min="26" max="26" width="13.375" style="430" bestFit="1" customWidth="1"/>
    <col min="27" max="27" width="17.25" style="430" bestFit="1" customWidth="1"/>
    <col min="28" max="28" width="17.375" style="430" bestFit="1" customWidth="1"/>
    <col min="29" max="29" width="12" style="430" bestFit="1" customWidth="1"/>
    <col min="30" max="30" width="14.75" style="430" bestFit="1" customWidth="1"/>
    <col min="31" max="31" width="16.75" style="430" bestFit="1" customWidth="1"/>
    <col min="32" max="32" width="6.75" style="430" bestFit="1" customWidth="1"/>
    <col min="33" max="33" width="11.375" style="430" bestFit="1" customWidth="1"/>
    <col min="34" max="34" width="9" style="430"/>
    <col min="35" max="35" width="10.75" style="430" bestFit="1" customWidth="1"/>
    <col min="36" max="36" width="9" style="430"/>
    <col min="37" max="38" width="18.75" style="430" bestFit="1" customWidth="1"/>
    <col min="39" max="39" width="9.125" style="430" bestFit="1" customWidth="1"/>
    <col min="40" max="40" width="9.75" style="430" bestFit="1" customWidth="1"/>
    <col min="41" max="16384" width="9" style="430"/>
  </cols>
  <sheetData>
    <row r="1" spans="2:30">
      <c r="B1" s="399" t="s">
        <v>372</v>
      </c>
    </row>
    <row r="2" spans="2:30" ht="26.25">
      <c r="B2" s="2" t="s">
        <v>40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4" spans="2:30" ht="18.75">
      <c r="B4" s="3" t="s">
        <v>139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6" spans="2:30">
      <c r="B6" s="50" t="s">
        <v>139</v>
      </c>
      <c r="C6" s="163" t="str" cm="1">
        <f t="array" aca="1" ref="C6" ca="1">_xll.d.TestUtils_And(D9:D13)</f>
        <v>Ok</v>
      </c>
    </row>
    <row r="8" spans="2:30">
      <c r="B8" s="188" t="s">
        <v>9</v>
      </c>
      <c r="C8" s="188"/>
      <c r="D8" s="189" t="s">
        <v>10</v>
      </c>
    </row>
    <row r="9" spans="2:30">
      <c r="B9" s="1067" t="str">
        <f ca="1">B40</f>
        <v>d.IR_CreateVanillaInterestRateSwap</v>
      </c>
      <c r="C9" s="201"/>
      <c r="D9" s="163" t="str">
        <f ca="1">C42</f>
        <v>Ok</v>
      </c>
    </row>
    <row r="10" spans="2:30">
      <c r="B10" s="1067" t="str">
        <f ca="1">B68</f>
        <v>d.IR_CreateNonStandardInterestRateSwap</v>
      </c>
      <c r="C10" s="201"/>
      <c r="D10" s="163" t="str">
        <f ca="1">C70</f>
        <v>Ok</v>
      </c>
    </row>
    <row r="11" spans="2:30">
      <c r="B11" s="1067" t="str">
        <f ca="1">B108</f>
        <v>d.IR_CreateFloatForFloatInterestRateSwap</v>
      </c>
      <c r="C11" s="201"/>
      <c r="D11" s="163" t="str">
        <f ca="1">C110</f>
        <v>Ok</v>
      </c>
    </row>
    <row r="12" spans="2:30">
      <c r="B12" s="1067" t="str">
        <f ca="1">B132</f>
        <v>d.IR_CreateConstantNotionalFloatingLeg</v>
      </c>
      <c r="C12" s="201"/>
      <c r="D12" s="163" t="str">
        <f ca="1">C134</f>
        <v>Ok</v>
      </c>
    </row>
    <row r="13" spans="2:30">
      <c r="B13" s="1067" t="str">
        <f ca="1">B156</f>
        <v>d.IR_CreateConstantNotionalCrossCurrencySwap</v>
      </c>
      <c r="C13" s="201"/>
      <c r="D13" s="163" t="str">
        <f ca="1">C158</f>
        <v>Ok</v>
      </c>
    </row>
    <row r="14" spans="2:30">
      <c r="B14" s="1027"/>
      <c r="C14" s="232"/>
      <c r="D14" s="163"/>
    </row>
    <row r="16" spans="2:30" ht="18.75">
      <c r="B16" s="3" t="s">
        <v>778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</row>
    <row r="18" spans="2:30">
      <c r="B18" s="120" t="s">
        <v>779</v>
      </c>
      <c r="C18" s="445" t="s">
        <v>30</v>
      </c>
    </row>
    <row r="19" spans="2:30">
      <c r="B19" s="279" t="s">
        <v>381</v>
      </c>
      <c r="C19" s="1028">
        <v>44941</v>
      </c>
      <c r="D19" s="584" t="s">
        <v>869</v>
      </c>
    </row>
    <row r="20" spans="2:30">
      <c r="B20" s="280" t="s">
        <v>780</v>
      </c>
      <c r="C20" s="1029" t="str" cm="1">
        <f t="array" aca="1" ref="C20" ca="1">_xll.d.Curve_CreateFlatCurve(B20,$C$19,0.15,"Act360")</f>
        <v>@@Forecast Curve USD 3m::08:34:04</v>
      </c>
    </row>
    <row r="21" spans="2:30">
      <c r="B21" s="280" t="s">
        <v>781</v>
      </c>
      <c r="C21" s="1029" t="str" cm="1">
        <f t="array" aca="1" ref="C21" ca="1">_xll.d.Curve_CreateFlatCurve(B21,$C$19,0.12,"Act360")</f>
        <v>@@Forecast Curve USD 6m::08:34:04</v>
      </c>
    </row>
    <row r="22" spans="2:30">
      <c r="B22" s="280" t="s">
        <v>782</v>
      </c>
      <c r="C22" s="1029" t="str" cm="1">
        <f t="array" aca="1" ref="C22" ca="1">_xll.d.Curve_CreateFlatCurve(B22,$C$19,0.12,"Act365")</f>
        <v>@@Forecast Curve ZAR 6m::08:34:04</v>
      </c>
    </row>
    <row r="23" spans="2:30">
      <c r="B23" s="280" t="s">
        <v>783</v>
      </c>
      <c r="C23" s="1029" t="str" cm="1">
        <f t="array" aca="1" ref="C23" ca="1">_xll.d.Curve_CreateFlatCurve(B23,$C$19,0.1,"Act360")</f>
        <v>@@Discount Curve USD::08:34:04</v>
      </c>
    </row>
    <row r="24" spans="2:30">
      <c r="B24" s="281" t="s">
        <v>784</v>
      </c>
      <c r="C24" s="1029" t="str" cm="1">
        <f t="array" aca="1" ref="C24" ca="1">_xll.d.Curve_CreateFlatCurve(B24,$C$19,0.05,"Act365")</f>
        <v>@@Discount Curve ZAR::08:34:04</v>
      </c>
    </row>
    <row r="26" spans="2:30" ht="18.75">
      <c r="B26" s="3" t="s">
        <v>785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</row>
    <row r="28" spans="2:30">
      <c r="B28" s="323" t="s">
        <v>779</v>
      </c>
      <c r="C28" s="445" t="s">
        <v>30</v>
      </c>
      <c r="E28" s="323" t="s">
        <v>779</v>
      </c>
      <c r="F28" s="445" t="s">
        <v>30</v>
      </c>
      <c r="H28" s="323" t="s">
        <v>779</v>
      </c>
      <c r="I28" s="445" t="s">
        <v>30</v>
      </c>
    </row>
    <row r="29" spans="2:30">
      <c r="B29" s="1030" t="s">
        <v>786</v>
      </c>
      <c r="C29" s="1031" t="s">
        <v>787</v>
      </c>
      <c r="E29" s="1030" t="s">
        <v>786</v>
      </c>
      <c r="F29" s="1031" t="s">
        <v>788</v>
      </c>
      <c r="H29" s="1030" t="s">
        <v>786</v>
      </c>
      <c r="I29" s="1031" t="s">
        <v>789</v>
      </c>
    </row>
    <row r="30" spans="2:30">
      <c r="B30" s="1032" t="s">
        <v>790</v>
      </c>
      <c r="C30" s="1031" t="s">
        <v>791</v>
      </c>
      <c r="E30" s="1032" t="s">
        <v>790</v>
      </c>
      <c r="F30" s="1031" t="s">
        <v>791</v>
      </c>
      <c r="H30" s="1032" t="s">
        <v>790</v>
      </c>
      <c r="I30" s="1031" t="s">
        <v>792</v>
      </c>
    </row>
    <row r="31" spans="2:30">
      <c r="B31" s="1032" t="s">
        <v>22</v>
      </c>
      <c r="C31" s="1031" t="s">
        <v>24</v>
      </c>
      <c r="E31" s="1032" t="s">
        <v>22</v>
      </c>
      <c r="F31" s="1031" t="s">
        <v>27</v>
      </c>
      <c r="H31" s="1032" t="s">
        <v>22</v>
      </c>
      <c r="I31" s="1031" t="s">
        <v>27</v>
      </c>
    </row>
    <row r="32" spans="2:30">
      <c r="B32" s="1033" t="s">
        <v>793</v>
      </c>
      <c r="C32" s="1031" t="str">
        <f ca="1">C20</f>
        <v>@@Forecast Curve USD 3m::08:34:04</v>
      </c>
      <c r="E32" s="1033" t="s">
        <v>793</v>
      </c>
      <c r="F32" s="1031" t="str">
        <f ca="1">C21</f>
        <v>@@Forecast Curve USD 6m::08:34:04</v>
      </c>
      <c r="H32" s="1033" t="s">
        <v>793</v>
      </c>
      <c r="I32" s="1031" t="str">
        <f ca="1">C22</f>
        <v>@@Forecast Curve ZAR 6m::08:34:04</v>
      </c>
    </row>
    <row r="34" spans="2:31">
      <c r="B34" s="1034" t="s">
        <v>794</v>
      </c>
      <c r="C34" s="1035" t="s">
        <v>795</v>
      </c>
      <c r="D34" s="438"/>
      <c r="E34" s="120" t="s">
        <v>794</v>
      </c>
      <c r="F34" s="121" t="s">
        <v>795</v>
      </c>
      <c r="H34" s="1034" t="s">
        <v>794</v>
      </c>
      <c r="I34" s="1035" t="s">
        <v>795</v>
      </c>
    </row>
    <row r="35" spans="2:31">
      <c r="B35" s="1036">
        <v>45014</v>
      </c>
      <c r="C35" s="1031">
        <v>7.0000000000000007E-2</v>
      </c>
      <c r="D35" s="438"/>
      <c r="E35" s="1036">
        <v>45014</v>
      </c>
      <c r="F35" s="1031">
        <v>7.0000000000000007E-2</v>
      </c>
      <c r="H35" s="1036"/>
      <c r="I35" s="1031"/>
    </row>
    <row r="36" spans="2:31">
      <c r="B36" s="1036">
        <v>45105</v>
      </c>
      <c r="C36" s="1031">
        <v>7.4999999999999997E-2</v>
      </c>
      <c r="D36" s="438"/>
      <c r="E36" s="438"/>
      <c r="F36" s="438"/>
      <c r="H36" s="1036"/>
      <c r="I36" s="1031"/>
    </row>
    <row r="37" spans="2:31">
      <c r="B37" s="438"/>
      <c r="C37" s="438"/>
      <c r="D37" s="438"/>
      <c r="E37" s="438"/>
      <c r="F37" s="438"/>
      <c r="H37" s="438"/>
      <c r="I37" s="438"/>
      <c r="AE37" s="1048"/>
    </row>
    <row r="38" spans="2:31">
      <c r="B38" s="1037" t="s">
        <v>796</v>
      </c>
      <c r="C38" s="1029" t="str" cm="1">
        <f t="array" aca="1" ref="C38" ca="1">_xll.d.IR_CreateReferenceRateIndex(C29,C30,C31,C32,B35:B36,C35:C36)</f>
        <v>@@USDLibor3mIndex::08:34:05</v>
      </c>
      <c r="D38" s="438"/>
      <c r="E38" s="1037" t="s">
        <v>796</v>
      </c>
      <c r="F38" s="1029" t="str" cm="1">
        <f t="array" aca="1" ref="F38" ca="1">_xll.d.IR_CreateReferenceRateIndex(F29,F30,F31,F32,E35,F35)</f>
        <v>@@USDLibor6mIndex::08:34:05</v>
      </c>
      <c r="H38" s="1037" t="s">
        <v>796</v>
      </c>
      <c r="I38" s="1029" t="str" cm="1">
        <f t="array" aca="1" ref="I38" ca="1">_xll.d.IR_CreateReferenceRateIndex(I29,I30,I31,I32)</f>
        <v>@@ZARJibarr6mIndex::08:34:05</v>
      </c>
    </row>
    <row r="40" spans="2:31" ht="18.75">
      <c r="B40" s="3" t="s">
        <v>797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2" spans="2:31">
      <c r="B42" s="50" t="s">
        <v>106</v>
      </c>
      <c r="C42" s="163" t="str" cm="1">
        <f t="array" aca="1" ref="C42" ca="1">_xll.d.TestUtils_And(AD42)</f>
        <v>Ok</v>
      </c>
      <c r="AC42" s="13" t="s">
        <v>67</v>
      </c>
      <c r="AD42" s="446" t="str" cm="1">
        <f t="array" aca="1" ref="AD42" ca="1">_xll.d.TestUtils_Equal(AD43,C62)</f>
        <v>Ok</v>
      </c>
    </row>
    <row r="43" spans="2:31">
      <c r="AC43" s="1039" t="s">
        <v>833</v>
      </c>
      <c r="AD43" s="1042">
        <f ca="1">SUM(AD46:AD65)</f>
        <v>207412.94538320263</v>
      </c>
    </row>
    <row r="44" spans="2:31">
      <c r="B44" s="1034" t="s">
        <v>779</v>
      </c>
      <c r="C44" s="1035" t="s">
        <v>30</v>
      </c>
    </row>
    <row r="45" spans="2:31">
      <c r="B45" s="1030" t="s">
        <v>822</v>
      </c>
      <c r="C45" s="1031" t="s">
        <v>823</v>
      </c>
      <c r="F45" s="1038" t="s">
        <v>798</v>
      </c>
      <c r="G45" s="1038" t="s">
        <v>799</v>
      </c>
      <c r="H45" s="1038" t="s">
        <v>800</v>
      </c>
      <c r="I45" s="1038" t="s">
        <v>801</v>
      </c>
      <c r="J45" s="1038" t="s">
        <v>802</v>
      </c>
      <c r="K45" s="1038" t="s">
        <v>803</v>
      </c>
      <c r="L45" s="1038" t="s">
        <v>804</v>
      </c>
      <c r="M45" s="1038" t="s">
        <v>805</v>
      </c>
      <c r="N45" s="1038" t="s">
        <v>806</v>
      </c>
      <c r="O45" s="1038" t="s">
        <v>807</v>
      </c>
      <c r="P45" s="1038" t="s">
        <v>808</v>
      </c>
      <c r="Q45" s="1038" t="s">
        <v>809</v>
      </c>
      <c r="R45" s="1038" t="s">
        <v>810</v>
      </c>
      <c r="S45" s="1038" t="s">
        <v>811</v>
      </c>
      <c r="T45" s="1038" t="s">
        <v>812</v>
      </c>
      <c r="U45" s="1038" t="s">
        <v>813</v>
      </c>
      <c r="V45" s="1038" t="s">
        <v>814</v>
      </c>
      <c r="W45" s="1038" t="s">
        <v>815</v>
      </c>
      <c r="X45" s="1038" t="s">
        <v>816</v>
      </c>
      <c r="Y45" s="1038" t="s">
        <v>817</v>
      </c>
      <c r="AA45" s="1039" t="s">
        <v>818</v>
      </c>
      <c r="AB45" s="1039" t="s">
        <v>819</v>
      </c>
      <c r="AC45" s="1039" t="s">
        <v>820</v>
      </c>
      <c r="AD45" s="1039" t="s">
        <v>821</v>
      </c>
    </row>
    <row r="46" spans="2:31">
      <c r="B46" s="1032" t="s">
        <v>381</v>
      </c>
      <c r="C46" s="1036">
        <f ca="1">ValuationDate</f>
        <v>44941</v>
      </c>
      <c r="F46" s="1040" cm="1">
        <f t="array" aca="1" ref="F46:Y65" ca="1">_xll.d.IR_VanillaInterestRateSwap_GetPrice(C61,TRUE)</f>
        <v>45016</v>
      </c>
      <c r="G46" s="1040">
        <f ca="1"/>
        <v>45107</v>
      </c>
      <c r="H46" s="1041">
        <f ca="1"/>
        <v>91</v>
      </c>
      <c r="I46" s="1040">
        <f ca="1"/>
        <v>45014</v>
      </c>
      <c r="J46" s="1040">
        <f ca="1"/>
        <v>45016</v>
      </c>
      <c r="K46" s="1040">
        <f ca="1"/>
        <v>45107</v>
      </c>
      <c r="L46" s="1040">
        <f ca="1"/>
        <v>45016</v>
      </c>
      <c r="M46" s="1040">
        <f ca="1"/>
        <v>45107</v>
      </c>
      <c r="N46" s="1040">
        <f ca="1"/>
        <v>45107</v>
      </c>
      <c r="O46" s="1042">
        <f ca="1"/>
        <v>1000000</v>
      </c>
      <c r="P46" s="1041">
        <f ca="1"/>
        <v>0.1</v>
      </c>
      <c r="Q46" s="1042">
        <f ca="1"/>
        <v>25277.777777777734</v>
      </c>
      <c r="R46" s="1042">
        <f ca="1"/>
        <v>1000000</v>
      </c>
      <c r="S46" s="1043">
        <f ca="1"/>
        <v>0.1528800351390196</v>
      </c>
      <c r="T46" s="1043">
        <f ca="1"/>
        <v>0.1528800351390196</v>
      </c>
      <c r="U46" s="1041">
        <f ca="1"/>
        <v>1E-3</v>
      </c>
      <c r="V46" s="1041">
        <f ca="1"/>
        <v>1</v>
      </c>
      <c r="W46" s="1041">
        <f ca="1"/>
        <v>0</v>
      </c>
      <c r="X46" s="1043">
        <f ca="1"/>
        <v>0.1538800351390196</v>
      </c>
      <c r="Y46" s="1042">
        <f ca="1"/>
        <v>38897.453326807736</v>
      </c>
      <c r="AA46" s="1042" cm="1">
        <f t="array" aca="1" ref="AA46" ca="1">((_xll.d.Curve_GetDiscountFactors($C$32,L46)/_xll.d.Curve_GetDiscountFactors($C$32,M46)-1)*(360/(M46-L46))+U46)*(H46/360)*O46</f>
        <v>38897.453326807736</v>
      </c>
      <c r="AB46" s="1042">
        <f ca="1">P46*(H46/360)*R46</f>
        <v>25277.777777777777</v>
      </c>
      <c r="AC46" s="1042" cm="1">
        <f t="array" aca="1" ref="AC46" ca="1">_xll.d.Curve_GetDiscountFactors($C$59,N46)</f>
        <v>0.95493585231224021</v>
      </c>
      <c r="AD46" s="1042">
        <f ca="1">(AA46-AB46)*AC46</f>
        <v>13005.916478629102</v>
      </c>
    </row>
    <row r="47" spans="2:31">
      <c r="B47" s="1032" t="s">
        <v>593</v>
      </c>
      <c r="C47" s="1044">
        <v>45016</v>
      </c>
      <c r="F47" s="1040">
        <f ca="1"/>
        <v>45107</v>
      </c>
      <c r="G47" s="1040">
        <f ca="1"/>
        <v>45198</v>
      </c>
      <c r="H47" s="1041">
        <f ca="1"/>
        <v>91</v>
      </c>
      <c r="I47" s="1040">
        <f ca="1"/>
        <v>45105</v>
      </c>
      <c r="J47" s="1040">
        <f ca="1"/>
        <v>45107</v>
      </c>
      <c r="K47" s="1040">
        <f ca="1"/>
        <v>45198</v>
      </c>
      <c r="L47" s="1040">
        <f ca="1"/>
        <v>45107</v>
      </c>
      <c r="M47" s="1040">
        <f ca="1"/>
        <v>45198</v>
      </c>
      <c r="N47" s="1040">
        <f ca="1"/>
        <v>45198</v>
      </c>
      <c r="O47" s="1042">
        <f ca="1"/>
        <v>1000000</v>
      </c>
      <c r="P47" s="1041">
        <f ca="1"/>
        <v>0.1</v>
      </c>
      <c r="Q47" s="1042">
        <f ca="1"/>
        <v>25277.777777777734</v>
      </c>
      <c r="R47" s="1042">
        <f ca="1"/>
        <v>1000000</v>
      </c>
      <c r="S47" s="1043">
        <f ca="1"/>
        <v>0.1528800351390196</v>
      </c>
      <c r="T47" s="1043">
        <f ca="1"/>
        <v>0.1528800351390196</v>
      </c>
      <c r="U47" s="1041">
        <f ca="1"/>
        <v>1E-3</v>
      </c>
      <c r="V47" s="1041">
        <f ca="1"/>
        <v>1</v>
      </c>
      <c r="W47" s="1041">
        <f ca="1"/>
        <v>0</v>
      </c>
      <c r="X47" s="1043">
        <f ca="1"/>
        <v>0.1538800351390196</v>
      </c>
      <c r="Y47" s="1042">
        <f ca="1"/>
        <v>38897.453326807736</v>
      </c>
      <c r="AA47" s="1042" cm="1">
        <f t="array" aca="1" ref="AA47" ca="1">((_xll.d.Curve_GetDiscountFactors($C$32,L47)/_xll.d.Curve_GetDiscountFactors($C$32,M47)-1)*(360/(M47-L47))+U47)*(H47/360)*O47</f>
        <v>38897.453326807736</v>
      </c>
      <c r="AB47" s="1042">
        <f t="shared" ref="AB47:AB65" ca="1" si="0">P47*(H47/360)*R47</f>
        <v>25277.777777777777</v>
      </c>
      <c r="AC47" s="1042" cm="1">
        <f t="array" aca="1" ref="AC47" ca="1">_xll.d.Curve_GetDiscountFactors($C$59,N47)</f>
        <v>0.93109972737280911</v>
      </c>
      <c r="AD47" s="1042">
        <f t="shared" ref="AD47:AD65" ca="1" si="1">(AA47-AB47)*AC47</f>
        <v>12681.276190607909</v>
      </c>
    </row>
    <row r="48" spans="2:31">
      <c r="B48" s="1032" t="s">
        <v>824</v>
      </c>
      <c r="C48" s="1044">
        <f ca="1">EDATE(C47,60)</f>
        <v>46843</v>
      </c>
      <c r="F48" s="1040">
        <f ca="1"/>
        <v>45198</v>
      </c>
      <c r="G48" s="1040">
        <f ca="1"/>
        <v>45289</v>
      </c>
      <c r="H48" s="1041">
        <f ca="1"/>
        <v>91</v>
      </c>
      <c r="I48" s="1040">
        <f ca="1"/>
        <v>45196</v>
      </c>
      <c r="J48" s="1040">
        <f ca="1"/>
        <v>45198</v>
      </c>
      <c r="K48" s="1040">
        <f ca="1"/>
        <v>45289</v>
      </c>
      <c r="L48" s="1040">
        <f ca="1"/>
        <v>45198</v>
      </c>
      <c r="M48" s="1040">
        <f ca="1"/>
        <v>45289</v>
      </c>
      <c r="N48" s="1040">
        <f ca="1"/>
        <v>45289</v>
      </c>
      <c r="O48" s="1042">
        <f ca="1"/>
        <v>1000000</v>
      </c>
      <c r="P48" s="1041">
        <f ca="1"/>
        <v>0.1</v>
      </c>
      <c r="Q48" s="1042">
        <f ca="1"/>
        <v>25277.777777777734</v>
      </c>
      <c r="R48" s="1042">
        <f ca="1"/>
        <v>1000000</v>
      </c>
      <c r="S48" s="1043">
        <f ca="1"/>
        <v>0.1528800351390196</v>
      </c>
      <c r="T48" s="1043">
        <f ca="1"/>
        <v>0.1528800351390196</v>
      </c>
      <c r="U48" s="1041">
        <f ca="1"/>
        <v>1E-3</v>
      </c>
      <c r="V48" s="1041">
        <f ca="1"/>
        <v>1</v>
      </c>
      <c r="W48" s="1041">
        <f ca="1"/>
        <v>0</v>
      </c>
      <c r="X48" s="1043">
        <f ca="1"/>
        <v>0.1538800351390196</v>
      </c>
      <c r="Y48" s="1042">
        <f ca="1"/>
        <v>38897.453326807736</v>
      </c>
      <c r="AA48" s="1042" cm="1">
        <f t="array" aca="1" ref="AA48" ca="1">((_xll.d.Curve_GetDiscountFactors($C$32,L48)/_xll.d.Curve_GetDiscountFactors($C$32,M48)-1)*(360/(M48-L48))+U48)*(H48/360)*O48</f>
        <v>38897.453326807736</v>
      </c>
      <c r="AB48" s="1042">
        <f t="shared" ca="1" si="0"/>
        <v>25277.777777777777</v>
      </c>
      <c r="AC48" s="1042" cm="1">
        <f t="array" aca="1" ref="AC48" ca="1">_xll.d.Curve_GetDiscountFactors($C$59,N48)</f>
        <v>0.90785857522736457</v>
      </c>
      <c r="AD48" s="1042">
        <f t="shared" ca="1" si="1"/>
        <v>12364.739239001312</v>
      </c>
    </row>
    <row r="49" spans="1:30">
      <c r="B49" s="1032" t="s">
        <v>22</v>
      </c>
      <c r="C49" s="1031" t="s">
        <v>24</v>
      </c>
      <c r="F49" s="1040">
        <f ca="1"/>
        <v>45289</v>
      </c>
      <c r="G49" s="1040">
        <f ca="1"/>
        <v>45380</v>
      </c>
      <c r="H49" s="1041">
        <f ca="1"/>
        <v>91</v>
      </c>
      <c r="I49" s="1040">
        <f ca="1"/>
        <v>45287</v>
      </c>
      <c r="J49" s="1040">
        <f ca="1"/>
        <v>45289</v>
      </c>
      <c r="K49" s="1040">
        <f ca="1"/>
        <v>45379</v>
      </c>
      <c r="L49" s="1040">
        <f ca="1"/>
        <v>45289</v>
      </c>
      <c r="M49" s="1040">
        <f ca="1"/>
        <v>45384</v>
      </c>
      <c r="N49" s="1040">
        <f ca="1"/>
        <v>45380</v>
      </c>
      <c r="O49" s="1042">
        <f ca="1"/>
        <v>1000000</v>
      </c>
      <c r="P49" s="1041">
        <f ca="1"/>
        <v>0.1</v>
      </c>
      <c r="Q49" s="1042">
        <f ca="1"/>
        <v>25277.777777777734</v>
      </c>
      <c r="R49" s="1042">
        <f ca="1"/>
        <v>1000000</v>
      </c>
      <c r="S49" s="1043">
        <f ca="1"/>
        <v>0.15284798832730129</v>
      </c>
      <c r="T49" s="1043">
        <f ca="1"/>
        <v>0.15300831172579707</v>
      </c>
      <c r="U49" s="1041">
        <f ca="1"/>
        <v>1E-3</v>
      </c>
      <c r="V49" s="1041">
        <f ca="1"/>
        <v>1</v>
      </c>
      <c r="W49" s="1041">
        <f ca="1"/>
        <v>0</v>
      </c>
      <c r="X49" s="1043">
        <f ca="1"/>
        <v>0.15400831172579707</v>
      </c>
      <c r="Y49" s="1042">
        <f ca="1"/>
        <v>38929.878797354257</v>
      </c>
      <c r="AA49" s="1042" cm="1">
        <f t="array" aca="1" ref="AA49" ca="1">((_xll.d.Curve_GetDiscountFactors($C$32,L49)/_xll.d.Curve_GetDiscountFactors($C$32,M49)-1)*(360/(M49-L49))+U49)*(H49/360)*O49</f>
        <v>38929.878797354257</v>
      </c>
      <c r="AB49" s="1042">
        <f t="shared" ca="1" si="0"/>
        <v>25277.777777777777</v>
      </c>
      <c r="AC49" s="1042" cm="1">
        <f t="array" aca="1" ref="AC49" ca="1">_xll.d.Curve_GetDiscountFactors($C$59,N49)</f>
        <v>0.88519754477798329</v>
      </c>
      <c r="AD49" s="1042">
        <f t="shared" ca="1" si="1"/>
        <v>12084.806303590101</v>
      </c>
    </row>
    <row r="50" spans="1:30">
      <c r="B50" s="1032" t="s">
        <v>201</v>
      </c>
      <c r="C50" s="1031" t="s">
        <v>309</v>
      </c>
      <c r="F50" s="1040">
        <f ca="1"/>
        <v>45380</v>
      </c>
      <c r="G50" s="1040">
        <f ca="1"/>
        <v>45471</v>
      </c>
      <c r="H50" s="1041">
        <f ca="1"/>
        <v>91</v>
      </c>
      <c r="I50" s="1040">
        <f ca="1"/>
        <v>45378</v>
      </c>
      <c r="J50" s="1040">
        <f ca="1"/>
        <v>45384</v>
      </c>
      <c r="K50" s="1040">
        <f ca="1"/>
        <v>45475</v>
      </c>
      <c r="L50" s="1040">
        <f ca="1"/>
        <v>45384</v>
      </c>
      <c r="M50" s="1040">
        <f ca="1"/>
        <v>45471</v>
      </c>
      <c r="N50" s="1040">
        <f ca="1"/>
        <v>45471</v>
      </c>
      <c r="O50" s="1042">
        <f ca="1"/>
        <v>1000000</v>
      </c>
      <c r="P50" s="1041">
        <f ca="1"/>
        <v>0.1</v>
      </c>
      <c r="Q50" s="1042">
        <f ca="1"/>
        <v>25277.777777777734</v>
      </c>
      <c r="R50" s="1042">
        <f ca="1"/>
        <v>1000000</v>
      </c>
      <c r="S50" s="1043">
        <f ca="1"/>
        <v>0.1528800351390196</v>
      </c>
      <c r="T50" s="1043">
        <f ca="1"/>
        <v>0.15275190145134385</v>
      </c>
      <c r="U50" s="1041">
        <f ca="1"/>
        <v>1E-3</v>
      </c>
      <c r="V50" s="1041">
        <f ca="1"/>
        <v>1</v>
      </c>
      <c r="W50" s="1041">
        <f ca="1"/>
        <v>0</v>
      </c>
      <c r="X50" s="1043">
        <f ca="1"/>
        <v>0.15375190145134385</v>
      </c>
      <c r="Y50" s="1042">
        <f ca="1"/>
        <v>38865.063977978585</v>
      </c>
      <c r="AA50" s="1042" cm="1">
        <f t="array" aca="1" ref="AA50" ca="1">((_xll.d.Curve_GetDiscountFactors($C$32,L50)/_xll.d.Curve_GetDiscountFactors($C$32,M50)-1)*(360/(M50-L50))+U50)*(H50/360)*O50</f>
        <v>38865.063977978592</v>
      </c>
      <c r="AB50" s="1042">
        <f t="shared" ca="1" si="0"/>
        <v>25277.777777777777</v>
      </c>
      <c r="AC50" s="1042" cm="1">
        <f t="array" aca="1" ref="AC50" ca="1">_xll.d.Curve_GetDiscountFactors($C$59,N50)</f>
        <v>0.86310215562454862</v>
      </c>
      <c r="AD50" s="1042">
        <f t="shared" ca="1" si="1"/>
        <v>11727.216008481006</v>
      </c>
    </row>
    <row r="51" spans="1:30">
      <c r="B51" s="1032" t="s">
        <v>202</v>
      </c>
      <c r="C51" s="1031" t="s">
        <v>233</v>
      </c>
      <c r="F51" s="1040">
        <f ca="1"/>
        <v>45471</v>
      </c>
      <c r="G51" s="1040">
        <f ca="1"/>
        <v>45565</v>
      </c>
      <c r="H51" s="1041">
        <f ca="1"/>
        <v>94</v>
      </c>
      <c r="I51" s="1040">
        <f ca="1"/>
        <v>45469</v>
      </c>
      <c r="J51" s="1040">
        <f ca="1"/>
        <v>45471</v>
      </c>
      <c r="K51" s="1040">
        <f ca="1"/>
        <v>45565</v>
      </c>
      <c r="L51" s="1040">
        <f ca="1"/>
        <v>45471</v>
      </c>
      <c r="M51" s="1040">
        <f ca="1"/>
        <v>45565</v>
      </c>
      <c r="N51" s="1040">
        <f ca="1"/>
        <v>45565</v>
      </c>
      <c r="O51" s="1042">
        <f ca="1"/>
        <v>1000000</v>
      </c>
      <c r="P51" s="1041">
        <f ca="1"/>
        <v>0.1</v>
      </c>
      <c r="Q51" s="1042">
        <f ca="1"/>
        <v>26111.111111111197</v>
      </c>
      <c r="R51" s="1042">
        <f ca="1"/>
        <v>1000000</v>
      </c>
      <c r="S51" s="1043">
        <f ca="1"/>
        <v>0.15297622917252227</v>
      </c>
      <c r="T51" s="1043">
        <f ca="1"/>
        <v>0.15297622917252227</v>
      </c>
      <c r="U51" s="1041">
        <f ca="1"/>
        <v>1E-3</v>
      </c>
      <c r="V51" s="1041">
        <f ca="1"/>
        <v>1</v>
      </c>
      <c r="W51" s="1041">
        <f ca="1"/>
        <v>0</v>
      </c>
      <c r="X51" s="1043">
        <f ca="1"/>
        <v>0.15397622917252227</v>
      </c>
      <c r="Y51" s="1042">
        <f ca="1"/>
        <v>40204.904283936376</v>
      </c>
      <c r="AA51" s="1042" cm="1">
        <f t="array" aca="1" ref="AA51" ca="1">((_xll.d.Curve_GetDiscountFactors($C$32,L51)/_xll.d.Curve_GetDiscountFactors($C$32,M51)-1)*(360/(M51-L51))+U51)*(H51/360)*O51</f>
        <v>40204.904283936376</v>
      </c>
      <c r="AB51" s="1042">
        <f t="shared" ca="1" si="0"/>
        <v>26111.111111111113</v>
      </c>
      <c r="AC51" s="1042" cm="1">
        <f t="array" aca="1" ref="AC51" ca="1">_xll.d.Curve_GetDiscountFactors($C$59,N51)</f>
        <v>0.84085728236435064</v>
      </c>
      <c r="AD51" s="1042">
        <f t="shared" ca="1" si="1"/>
        <v>11850.86862550709</v>
      </c>
    </row>
    <row r="52" spans="1:30">
      <c r="B52" s="1032" t="s">
        <v>825</v>
      </c>
      <c r="C52" s="1031" t="s">
        <v>317</v>
      </c>
      <c r="F52" s="1040">
        <f ca="1"/>
        <v>45565</v>
      </c>
      <c r="G52" s="1040">
        <f ca="1"/>
        <v>45657</v>
      </c>
      <c r="H52" s="1041">
        <f ca="1"/>
        <v>92</v>
      </c>
      <c r="I52" s="1040">
        <f ca="1"/>
        <v>45561</v>
      </c>
      <c r="J52" s="1040">
        <f ca="1"/>
        <v>45565</v>
      </c>
      <c r="K52" s="1040">
        <f ca="1"/>
        <v>45657</v>
      </c>
      <c r="L52" s="1040">
        <f ca="1"/>
        <v>45565</v>
      </c>
      <c r="M52" s="1040">
        <f ca="1"/>
        <v>45657</v>
      </c>
      <c r="N52" s="1040">
        <f ca="1"/>
        <v>45657</v>
      </c>
      <c r="O52" s="1042">
        <f ca="1"/>
        <v>1000000</v>
      </c>
      <c r="P52" s="1041">
        <f ca="1"/>
        <v>0.1</v>
      </c>
      <c r="Q52" s="1042">
        <f ca="1"/>
        <v>25555.555555555555</v>
      </c>
      <c r="R52" s="1042">
        <f ca="1"/>
        <v>1000000</v>
      </c>
      <c r="S52" s="1043">
        <f ca="1"/>
        <v>0.15291209088193206</v>
      </c>
      <c r="T52" s="1043">
        <f ca="1"/>
        <v>0.15291209088193206</v>
      </c>
      <c r="U52" s="1041">
        <f ca="1"/>
        <v>1E-3</v>
      </c>
      <c r="V52" s="1041">
        <f ca="1"/>
        <v>1</v>
      </c>
      <c r="W52" s="1041">
        <f ca="1"/>
        <v>0</v>
      </c>
      <c r="X52" s="1043">
        <f ca="1"/>
        <v>0.15391209088193206</v>
      </c>
      <c r="Y52" s="1042">
        <f ca="1"/>
        <v>39333.089892049298</v>
      </c>
      <c r="AA52" s="1042" cm="1">
        <f t="array" aca="1" ref="AA52" ca="1">((_xll.d.Curve_GetDiscountFactors($C$32,L52)/_xll.d.Curve_GetDiscountFactors($C$32,M52)-1)*(360/(M52-L52))+U52)*(H52/360)*O52</f>
        <v>39333.089892049298</v>
      </c>
      <c r="AB52" s="1042">
        <f t="shared" ca="1" si="0"/>
        <v>25555.555555555555</v>
      </c>
      <c r="AC52" s="1042" cm="1">
        <f t="array" aca="1" ref="AC52" ca="1">_xll.d.Curve_GetDiscountFactors($C$59,N52)</f>
        <v>0.8196409594913221</v>
      </c>
      <c r="AD52" s="1042">
        <f t="shared" ca="1" si="1"/>
        <v>11292.631462988367</v>
      </c>
    </row>
    <row r="53" spans="1:30">
      <c r="B53" s="1032" t="s">
        <v>826</v>
      </c>
      <c r="C53" s="1031" t="s">
        <v>195</v>
      </c>
      <c r="F53" s="1040">
        <f ca="1"/>
        <v>45657</v>
      </c>
      <c r="G53" s="1040">
        <f ca="1"/>
        <v>45747</v>
      </c>
      <c r="H53" s="1041">
        <f ca="1"/>
        <v>90</v>
      </c>
      <c r="I53" s="1040">
        <f ca="1"/>
        <v>45653</v>
      </c>
      <c r="J53" s="1040">
        <f ca="1"/>
        <v>45657</v>
      </c>
      <c r="K53" s="1040">
        <f ca="1"/>
        <v>45747</v>
      </c>
      <c r="L53" s="1040">
        <f ca="1"/>
        <v>45657</v>
      </c>
      <c r="M53" s="1040">
        <f ca="1"/>
        <v>45747</v>
      </c>
      <c r="N53" s="1040">
        <f ca="1"/>
        <v>45747</v>
      </c>
      <c r="O53" s="1042">
        <f ca="1"/>
        <v>1000000</v>
      </c>
      <c r="P53" s="1041">
        <f ca="1"/>
        <v>0.1</v>
      </c>
      <c r="Q53" s="1042">
        <f ca="1"/>
        <v>24999.999999999913</v>
      </c>
      <c r="R53" s="1042">
        <f ca="1"/>
        <v>1000000</v>
      </c>
      <c r="S53" s="1043">
        <f ca="1"/>
        <v>0.15284798832729951</v>
      </c>
      <c r="T53" s="1043">
        <f ca="1"/>
        <v>0.15284798832729951</v>
      </c>
      <c r="U53" s="1041">
        <f ca="1"/>
        <v>1E-3</v>
      </c>
      <c r="V53" s="1041">
        <f ca="1"/>
        <v>1</v>
      </c>
      <c r="W53" s="1041">
        <f ca="1"/>
        <v>0</v>
      </c>
      <c r="X53" s="1043">
        <f ca="1"/>
        <v>0.15384798832729951</v>
      </c>
      <c r="Y53" s="1042">
        <f ca="1"/>
        <v>38461.997081824877</v>
      </c>
      <c r="AA53" s="1042" cm="1">
        <f t="array" aca="1" ref="AA53" ca="1">((_xll.d.Curve_GetDiscountFactors($C$32,L53)/_xll.d.Curve_GetDiscountFactors($C$32,M53)-1)*(360/(M53-L53))+U53)*(H53/360)*O53</f>
        <v>38461.997081824877</v>
      </c>
      <c r="AB53" s="1042">
        <f t="shared" ca="1" si="0"/>
        <v>25000</v>
      </c>
      <c r="AC53" s="1042" cm="1">
        <f t="array" aca="1" ref="AC53" ca="1">_xll.d.Curve_GetDiscountFactors($C$59,N53)</f>
        <v>0.79940395209629955</v>
      </c>
      <c r="AD53" s="1042">
        <f t="shared" ca="1" si="1"/>
        <v>10761.573670319658</v>
      </c>
    </row>
    <row r="54" spans="1:30">
      <c r="B54" s="1032" t="s">
        <v>827</v>
      </c>
      <c r="C54" s="1045">
        <v>1000000</v>
      </c>
      <c r="F54" s="1040">
        <f ca="1"/>
        <v>45747</v>
      </c>
      <c r="G54" s="1040">
        <f ca="1"/>
        <v>45838</v>
      </c>
      <c r="H54" s="1041">
        <f ca="1"/>
        <v>91</v>
      </c>
      <c r="I54" s="1040">
        <f ca="1"/>
        <v>45743</v>
      </c>
      <c r="J54" s="1040">
        <f ca="1"/>
        <v>45747</v>
      </c>
      <c r="K54" s="1040">
        <f ca="1"/>
        <v>45838</v>
      </c>
      <c r="L54" s="1040">
        <f ca="1"/>
        <v>45747</v>
      </c>
      <c r="M54" s="1040">
        <f ca="1"/>
        <v>45838</v>
      </c>
      <c r="N54" s="1040">
        <f ca="1"/>
        <v>45838</v>
      </c>
      <c r="O54" s="1042">
        <f ca="1"/>
        <v>1000000</v>
      </c>
      <c r="P54" s="1041">
        <f ca="1"/>
        <v>0.1</v>
      </c>
      <c r="Q54" s="1042">
        <f ca="1"/>
        <v>25277.777777777734</v>
      </c>
      <c r="R54" s="1042">
        <f ca="1"/>
        <v>1000000</v>
      </c>
      <c r="S54" s="1043">
        <f ca="1"/>
        <v>0.1528800351390196</v>
      </c>
      <c r="T54" s="1043">
        <f ca="1"/>
        <v>0.1528800351390196</v>
      </c>
      <c r="U54" s="1041">
        <f ca="1"/>
        <v>1E-3</v>
      </c>
      <c r="V54" s="1041">
        <f ca="1"/>
        <v>1</v>
      </c>
      <c r="W54" s="1041">
        <f ca="1"/>
        <v>0</v>
      </c>
      <c r="X54" s="1043">
        <f ca="1"/>
        <v>0.1538800351390196</v>
      </c>
      <c r="Y54" s="1042">
        <f ca="1"/>
        <v>38897.453326807736</v>
      </c>
      <c r="AA54" s="1042" cm="1">
        <f t="array" aca="1" ref="AA54" ca="1">((_xll.d.Curve_GetDiscountFactors($C$32,L54)/_xll.d.Curve_GetDiscountFactors($C$32,M54)-1)*(360/(M54-L54))+U54)*(H54/360)*O54</f>
        <v>38897.453326807736</v>
      </c>
      <c r="AB54" s="1042">
        <f t="shared" ca="1" si="0"/>
        <v>25277.777777777777</v>
      </c>
      <c r="AC54" s="1042" cm="1">
        <f t="array" aca="1" ref="AC54" ca="1">_xll.d.Curve_GetDiscountFactors($C$59,N54)</f>
        <v>0.77945005421603442</v>
      </c>
      <c r="AD54" s="1042">
        <f t="shared" ca="1" si="1"/>
        <v>10615.856845096199</v>
      </c>
    </row>
    <row r="55" spans="1:30">
      <c r="A55" s="1046"/>
      <c r="B55" s="1032" t="s">
        <v>808</v>
      </c>
      <c r="C55" s="1031">
        <v>0.1</v>
      </c>
      <c r="F55" s="1040">
        <f ca="1"/>
        <v>45838</v>
      </c>
      <c r="G55" s="1040">
        <f ca="1"/>
        <v>45930</v>
      </c>
      <c r="H55" s="1041">
        <f ca="1"/>
        <v>92</v>
      </c>
      <c r="I55" s="1040">
        <f ca="1"/>
        <v>45834</v>
      </c>
      <c r="J55" s="1040">
        <f ca="1"/>
        <v>45838</v>
      </c>
      <c r="K55" s="1040">
        <f ca="1"/>
        <v>45930</v>
      </c>
      <c r="L55" s="1040">
        <f ca="1"/>
        <v>45838</v>
      </c>
      <c r="M55" s="1040">
        <f ca="1"/>
        <v>45930</v>
      </c>
      <c r="N55" s="1040">
        <f ca="1"/>
        <v>45930</v>
      </c>
      <c r="O55" s="1042">
        <f ca="1"/>
        <v>1000000</v>
      </c>
      <c r="P55" s="1041">
        <f ca="1"/>
        <v>0.1</v>
      </c>
      <c r="Q55" s="1042">
        <f ca="1"/>
        <v>25555.555555555555</v>
      </c>
      <c r="R55" s="1042">
        <f ca="1"/>
        <v>1000000</v>
      </c>
      <c r="S55" s="1043">
        <f ca="1"/>
        <v>0.15291209088193206</v>
      </c>
      <c r="T55" s="1043">
        <f ca="1"/>
        <v>0.15291209088193206</v>
      </c>
      <c r="U55" s="1041">
        <f ca="1"/>
        <v>1E-3</v>
      </c>
      <c r="V55" s="1041">
        <f ca="1"/>
        <v>1</v>
      </c>
      <c r="W55" s="1041">
        <f ca="1"/>
        <v>0</v>
      </c>
      <c r="X55" s="1043">
        <f ca="1"/>
        <v>0.15391209088193206</v>
      </c>
      <c r="Y55" s="1042">
        <f ca="1"/>
        <v>39333.089892049298</v>
      </c>
      <c r="AA55" s="1042" cm="1">
        <f t="array" aca="1" ref="AA55" ca="1">((_xll.d.Curve_GetDiscountFactors($C$32,L55)/_xll.d.Curve_GetDiscountFactors($C$32,M55)-1)*(360/(M55-L55))+U55)*(H55/360)*O55</f>
        <v>39333.089892049298</v>
      </c>
      <c r="AB55" s="1042">
        <f t="shared" ca="1" si="0"/>
        <v>25555.555555555555</v>
      </c>
      <c r="AC55" s="1042" cm="1">
        <f t="array" aca="1" ref="AC55" ca="1">_xll.d.Curve_GetDiscountFactors($C$59,N55)</f>
        <v>0.75978314478861342</v>
      </c>
      <c r="AD55" s="1042">
        <f t="shared" ca="1" si="1"/>
        <v>10467.938365614318</v>
      </c>
    </row>
    <row r="56" spans="1:30">
      <c r="B56" s="1032" t="s">
        <v>653</v>
      </c>
      <c r="C56" s="1031" t="s">
        <v>241</v>
      </c>
      <c r="F56" s="1040">
        <f ca="1"/>
        <v>45930</v>
      </c>
      <c r="G56" s="1040">
        <f ca="1"/>
        <v>46022</v>
      </c>
      <c r="H56" s="1041">
        <f ca="1"/>
        <v>92</v>
      </c>
      <c r="I56" s="1040">
        <f ca="1"/>
        <v>45926</v>
      </c>
      <c r="J56" s="1040">
        <f ca="1"/>
        <v>45930</v>
      </c>
      <c r="K56" s="1040">
        <f ca="1"/>
        <v>46022</v>
      </c>
      <c r="L56" s="1040">
        <f ca="1"/>
        <v>45930</v>
      </c>
      <c r="M56" s="1040">
        <f ca="1"/>
        <v>46022</v>
      </c>
      <c r="N56" s="1040">
        <f ca="1"/>
        <v>46022</v>
      </c>
      <c r="O56" s="1042">
        <f ca="1"/>
        <v>1000000</v>
      </c>
      <c r="P56" s="1041">
        <f ca="1"/>
        <v>0.1</v>
      </c>
      <c r="Q56" s="1042">
        <f ca="1"/>
        <v>25555.555555555555</v>
      </c>
      <c r="R56" s="1042">
        <f ca="1"/>
        <v>1000000</v>
      </c>
      <c r="S56" s="1043">
        <f ca="1"/>
        <v>0.15291209088193206</v>
      </c>
      <c r="T56" s="1043">
        <f ca="1"/>
        <v>0.15291209088193206</v>
      </c>
      <c r="U56" s="1041">
        <f ca="1"/>
        <v>1E-3</v>
      </c>
      <c r="V56" s="1041">
        <f ca="1"/>
        <v>1</v>
      </c>
      <c r="W56" s="1041">
        <f ca="1"/>
        <v>0</v>
      </c>
      <c r="X56" s="1043">
        <f ca="1"/>
        <v>0.15391209088193206</v>
      </c>
      <c r="Y56" s="1042">
        <f ca="1"/>
        <v>39333.089892049298</v>
      </c>
      <c r="AA56" s="1042" cm="1">
        <f t="array" aca="1" ref="AA56" ca="1">((_xll.d.Curve_GetDiscountFactors($C$32,L56)/_xll.d.Curve_GetDiscountFactors($C$32,M56)-1)*(360/(M56-L56))+U56)*(H56/360)*O56</f>
        <v>39333.089892049298</v>
      </c>
      <c r="AB56" s="1042">
        <f t="shared" ca="1" si="0"/>
        <v>25555.555555555555</v>
      </c>
      <c r="AC56" s="1042" cm="1">
        <f t="array" aca="1" ref="AC56" ca="1">_xll.d.Curve_GetDiscountFactors($C$59,N56)</f>
        <v>0.74061246642094325</v>
      </c>
      <c r="AD56" s="1042">
        <f t="shared" ca="1" si="1"/>
        <v>10203.813686149866</v>
      </c>
    </row>
    <row r="57" spans="1:30">
      <c r="B57" s="1032" t="s">
        <v>828</v>
      </c>
      <c r="C57" s="1031" t="str">
        <f ca="1">C38</f>
        <v>@@USDLibor3mIndex::08:34:05</v>
      </c>
      <c r="F57" s="1040">
        <f ca="1"/>
        <v>46022</v>
      </c>
      <c r="G57" s="1040">
        <f ca="1"/>
        <v>46112</v>
      </c>
      <c r="H57" s="1041">
        <f ca="1"/>
        <v>90</v>
      </c>
      <c r="I57" s="1040">
        <f ca="1"/>
        <v>46020</v>
      </c>
      <c r="J57" s="1040">
        <f ca="1"/>
        <v>46022</v>
      </c>
      <c r="K57" s="1040">
        <f ca="1"/>
        <v>46112</v>
      </c>
      <c r="L57" s="1040">
        <f ca="1"/>
        <v>46022</v>
      </c>
      <c r="M57" s="1040">
        <f ca="1"/>
        <v>46112</v>
      </c>
      <c r="N57" s="1040">
        <f ca="1"/>
        <v>46112</v>
      </c>
      <c r="O57" s="1042">
        <f ca="1"/>
        <v>1000000</v>
      </c>
      <c r="P57" s="1041">
        <f ca="1"/>
        <v>0.1</v>
      </c>
      <c r="Q57" s="1042">
        <f ca="1"/>
        <v>24999.999999999913</v>
      </c>
      <c r="R57" s="1042">
        <f ca="1"/>
        <v>1000000</v>
      </c>
      <c r="S57" s="1043">
        <f ca="1"/>
        <v>0.1528479883273004</v>
      </c>
      <c r="T57" s="1043">
        <f ca="1"/>
        <v>0.1528479883273004</v>
      </c>
      <c r="U57" s="1041">
        <f ca="1"/>
        <v>1E-3</v>
      </c>
      <c r="V57" s="1041">
        <f ca="1"/>
        <v>1</v>
      </c>
      <c r="W57" s="1041">
        <f ca="1"/>
        <v>0</v>
      </c>
      <c r="X57" s="1043">
        <f ca="1"/>
        <v>0.1538479883273004</v>
      </c>
      <c r="Y57" s="1042">
        <f ca="1"/>
        <v>38461.997081825102</v>
      </c>
      <c r="AA57" s="1042" cm="1">
        <f t="array" aca="1" ref="AA57" ca="1">((_xll.d.Curve_GetDiscountFactors($C$32,L57)/_xll.d.Curve_GetDiscountFactors($C$32,M57)-1)*(360/(M57-L57))+U57)*(H57/360)*O57</f>
        <v>38461.997081825102</v>
      </c>
      <c r="AB57" s="1042">
        <f t="shared" ca="1" si="0"/>
        <v>25000</v>
      </c>
      <c r="AC57" s="1042" cm="1">
        <f t="array" aca="1" ref="AC57" ca="1">_xll.d.Curve_GetDiscountFactors($C$59,N57)</f>
        <v>0.72232667947209672</v>
      </c>
      <c r="AD57" s="1042">
        <f t="shared" ca="1" si="1"/>
        <v>9723.9596511777818</v>
      </c>
    </row>
    <row r="58" spans="1:30">
      <c r="B58" s="1032" t="s">
        <v>829</v>
      </c>
      <c r="C58" s="1031">
        <f ca="1">10/10000</f>
        <v>1E-3</v>
      </c>
      <c r="F58" s="1040">
        <f ca="1"/>
        <v>46112</v>
      </c>
      <c r="G58" s="1040">
        <f ca="1"/>
        <v>46203</v>
      </c>
      <c r="H58" s="1041">
        <f ca="1"/>
        <v>91</v>
      </c>
      <c r="I58" s="1040">
        <f ca="1"/>
        <v>46108</v>
      </c>
      <c r="J58" s="1040">
        <f ca="1"/>
        <v>46112</v>
      </c>
      <c r="K58" s="1040">
        <f ca="1"/>
        <v>46203</v>
      </c>
      <c r="L58" s="1040">
        <f ca="1"/>
        <v>46112</v>
      </c>
      <c r="M58" s="1040">
        <f ca="1"/>
        <v>46203</v>
      </c>
      <c r="N58" s="1040">
        <f ca="1"/>
        <v>46203</v>
      </c>
      <c r="O58" s="1042">
        <f ca="1"/>
        <v>1000000</v>
      </c>
      <c r="P58" s="1041">
        <f ca="1"/>
        <v>0.1</v>
      </c>
      <c r="Q58" s="1042">
        <f ca="1"/>
        <v>25277.777777777734</v>
      </c>
      <c r="R58" s="1042">
        <f ca="1"/>
        <v>1000000</v>
      </c>
      <c r="S58" s="1043">
        <f ca="1"/>
        <v>0.1528800351390196</v>
      </c>
      <c r="T58" s="1043">
        <f ca="1"/>
        <v>0.1528800351390196</v>
      </c>
      <c r="U58" s="1041">
        <f ca="1"/>
        <v>1E-3</v>
      </c>
      <c r="V58" s="1041">
        <f ca="1"/>
        <v>1</v>
      </c>
      <c r="W58" s="1041">
        <f ca="1"/>
        <v>0</v>
      </c>
      <c r="X58" s="1043">
        <f ca="1"/>
        <v>0.1538800351390196</v>
      </c>
      <c r="Y58" s="1042">
        <f ca="1"/>
        <v>38897.453326807736</v>
      </c>
      <c r="AA58" s="1042" cm="1">
        <f t="array" aca="1" ref="AA58" ca="1">((_xll.d.Curve_GetDiscountFactors($C$32,L58)/_xll.d.Curve_GetDiscountFactors($C$32,M58)-1)*(360/(M58-L58))+U58)*(H58/360)*O58</f>
        <v>38897.453326807736</v>
      </c>
      <c r="AB58" s="1042">
        <f t="shared" ca="1" si="0"/>
        <v>25277.777777777777</v>
      </c>
      <c r="AC58" s="1042" cm="1">
        <f t="array" aca="1" ref="AC58" ca="1">_xll.d.Curve_GetDiscountFactors($C$59,N58)</f>
        <v>0.70429670506356257</v>
      </c>
      <c r="AD58" s="1042">
        <f t="shared" ca="1" si="1"/>
        <v>9592.2926132165667</v>
      </c>
    </row>
    <row r="59" spans="1:30">
      <c r="B59" s="1033" t="s">
        <v>830</v>
      </c>
      <c r="C59" s="1031" t="str">
        <f ca="1">C23</f>
        <v>@@Discount Curve USD::08:34:04</v>
      </c>
      <c r="F59" s="1040">
        <f ca="1"/>
        <v>46203</v>
      </c>
      <c r="G59" s="1040">
        <f ca="1"/>
        <v>46295</v>
      </c>
      <c r="H59" s="1041">
        <f ca="1"/>
        <v>92</v>
      </c>
      <c r="I59" s="1040">
        <f ca="1"/>
        <v>46199</v>
      </c>
      <c r="J59" s="1040">
        <f ca="1"/>
        <v>46203</v>
      </c>
      <c r="K59" s="1040">
        <f ca="1"/>
        <v>46295</v>
      </c>
      <c r="L59" s="1040">
        <f ca="1"/>
        <v>46203</v>
      </c>
      <c r="M59" s="1040">
        <f ca="1"/>
        <v>46295</v>
      </c>
      <c r="N59" s="1040">
        <f ca="1"/>
        <v>46295</v>
      </c>
      <c r="O59" s="1042">
        <f ca="1"/>
        <v>1000000</v>
      </c>
      <c r="P59" s="1041">
        <f ca="1"/>
        <v>0.1</v>
      </c>
      <c r="Q59" s="1042">
        <f ca="1"/>
        <v>25555.555555555555</v>
      </c>
      <c r="R59" s="1042">
        <f ca="1"/>
        <v>1000000</v>
      </c>
      <c r="S59" s="1043">
        <f ca="1"/>
        <v>0.15291209088193206</v>
      </c>
      <c r="T59" s="1043">
        <f ca="1"/>
        <v>0.15291209088193206</v>
      </c>
      <c r="U59" s="1041">
        <f ca="1"/>
        <v>1E-3</v>
      </c>
      <c r="V59" s="1041">
        <f ca="1"/>
        <v>1</v>
      </c>
      <c r="W59" s="1041">
        <f ca="1"/>
        <v>0</v>
      </c>
      <c r="X59" s="1043">
        <f ca="1"/>
        <v>0.15391209088193206</v>
      </c>
      <c r="Y59" s="1042">
        <f ca="1"/>
        <v>39333.089892049298</v>
      </c>
      <c r="AA59" s="1042" cm="1">
        <f t="array" aca="1" ref="AA59" ca="1">((_xll.d.Curve_GetDiscountFactors($C$32,L59)/_xll.d.Curve_GetDiscountFactors($C$32,M59)-1)*(360/(M59-L59))+U59)*(H59/360)*O59</f>
        <v>39333.089892049298</v>
      </c>
      <c r="AB59" s="1042">
        <f t="shared" ca="1" si="0"/>
        <v>25555.555555555555</v>
      </c>
      <c r="AC59" s="1042" cm="1">
        <f t="array" aca="1" ref="AC59" ca="1">_xll.d.Curve_GetDiscountFactors($C$59,N59)</f>
        <v>0.68652604813231433</v>
      </c>
      <c r="AD59" s="1042">
        <f t="shared" ca="1" si="1"/>
        <v>9458.6362010403172</v>
      </c>
    </row>
    <row r="60" spans="1:30">
      <c r="F60" s="1040">
        <f ca="1"/>
        <v>46295</v>
      </c>
      <c r="G60" s="1040">
        <f ca="1"/>
        <v>46387</v>
      </c>
      <c r="H60" s="1041">
        <f ca="1"/>
        <v>92</v>
      </c>
      <c r="I60" s="1040">
        <f ca="1"/>
        <v>46293</v>
      </c>
      <c r="J60" s="1040">
        <f ca="1"/>
        <v>46295</v>
      </c>
      <c r="K60" s="1040">
        <f ca="1"/>
        <v>46387</v>
      </c>
      <c r="L60" s="1040">
        <f ca="1"/>
        <v>46295</v>
      </c>
      <c r="M60" s="1040">
        <f ca="1"/>
        <v>46387</v>
      </c>
      <c r="N60" s="1040">
        <f ca="1"/>
        <v>46387</v>
      </c>
      <c r="O60" s="1042">
        <f ca="1"/>
        <v>1000000</v>
      </c>
      <c r="P60" s="1041">
        <f ca="1"/>
        <v>0.1</v>
      </c>
      <c r="Q60" s="1042">
        <f ca="1"/>
        <v>25555.555555555555</v>
      </c>
      <c r="R60" s="1042">
        <f ca="1"/>
        <v>1000000</v>
      </c>
      <c r="S60" s="1043">
        <f ca="1"/>
        <v>0.15291209088193206</v>
      </c>
      <c r="T60" s="1043">
        <f ca="1"/>
        <v>0.15291209088193206</v>
      </c>
      <c r="U60" s="1041">
        <f ca="1"/>
        <v>1E-3</v>
      </c>
      <c r="V60" s="1041">
        <f ca="1"/>
        <v>1</v>
      </c>
      <c r="W60" s="1041">
        <f ca="1"/>
        <v>0</v>
      </c>
      <c r="X60" s="1043">
        <f ca="1"/>
        <v>0.15391209088193206</v>
      </c>
      <c r="Y60" s="1042">
        <f ca="1"/>
        <v>39333.089892049298</v>
      </c>
      <c r="AA60" s="1042" cm="1">
        <f t="array" aca="1" ref="AA60" ca="1">((_xll.d.Curve_GetDiscountFactors($C$32,L60)/_xll.d.Curve_GetDiscountFactors($C$32,M60)-1)*(360/(M60-L60))+U60)*(H60/360)*O60</f>
        <v>39333.089892049298</v>
      </c>
      <c r="AB60" s="1042">
        <f t="shared" ca="1" si="0"/>
        <v>25555.555555555555</v>
      </c>
      <c r="AC60" s="1042" cm="1">
        <f t="array" aca="1" ref="AC60" ca="1">_xll.d.Curve_GetDiscountFactors($C$59,N60)</f>
        <v>0.66920377644197027</v>
      </c>
      <c r="AD60" s="1042">
        <f t="shared" ca="1" si="1"/>
        <v>9219.9780080405289</v>
      </c>
    </row>
    <row r="61" spans="1:30">
      <c r="B61" s="1047" t="s">
        <v>831</v>
      </c>
      <c r="C61" s="1031" t="str" cm="1">
        <f t="array" aca="1" ref="C61" ca="1">_xll.d.IR_CreateVanillaInterestRateSwap(C45,C46,C47,C48,C49,C50,C51,C52,C53,C54,C55,C56,C57,C58,C59)</f>
        <v>@@TestVanillaIRS::08:34:05</v>
      </c>
      <c r="F61" s="1040">
        <f ca="1"/>
        <v>46387</v>
      </c>
      <c r="G61" s="1040">
        <f ca="1"/>
        <v>46477</v>
      </c>
      <c r="H61" s="1041">
        <f ca="1"/>
        <v>90</v>
      </c>
      <c r="I61" s="1040">
        <f ca="1"/>
        <v>46385</v>
      </c>
      <c r="J61" s="1040">
        <f ca="1"/>
        <v>46387</v>
      </c>
      <c r="K61" s="1040">
        <f ca="1"/>
        <v>46477</v>
      </c>
      <c r="L61" s="1040">
        <f ca="1"/>
        <v>46387</v>
      </c>
      <c r="M61" s="1040">
        <f ca="1"/>
        <v>46477</v>
      </c>
      <c r="N61" s="1040">
        <f ca="1"/>
        <v>46477</v>
      </c>
      <c r="O61" s="1042">
        <f ca="1"/>
        <v>1000000</v>
      </c>
      <c r="P61" s="1041">
        <f ca="1"/>
        <v>0.1</v>
      </c>
      <c r="Q61" s="1042">
        <f ca="1"/>
        <v>24999.999999999913</v>
      </c>
      <c r="R61" s="1042">
        <f ca="1"/>
        <v>1000000</v>
      </c>
      <c r="S61" s="1043">
        <f ca="1"/>
        <v>0.1528479883273004</v>
      </c>
      <c r="T61" s="1043">
        <f ca="1"/>
        <v>0.1528479883273004</v>
      </c>
      <c r="U61" s="1041">
        <f ca="1"/>
        <v>1E-3</v>
      </c>
      <c r="V61" s="1041">
        <f ca="1"/>
        <v>1</v>
      </c>
      <c r="W61" s="1041">
        <f ca="1"/>
        <v>0</v>
      </c>
      <c r="X61" s="1043">
        <f ca="1"/>
        <v>0.1538479883273004</v>
      </c>
      <c r="Y61" s="1042">
        <f ca="1"/>
        <v>38461.997081825102</v>
      </c>
      <c r="AA61" s="1042" cm="1">
        <f t="array" aca="1" ref="AA61" ca="1">((_xll.d.Curve_GetDiscountFactors($C$32,L61)/_xll.d.Curve_GetDiscountFactors($C$32,M61)-1)*(360/(M61-L61))+U61)*(H61/360)*O61</f>
        <v>38461.997081825102</v>
      </c>
      <c r="AB61" s="1042">
        <f t="shared" ca="1" si="0"/>
        <v>25000</v>
      </c>
      <c r="AC61" s="1042" cm="1">
        <f t="array" aca="1" ref="AC61" ca="1">_xll.d.Curve_GetDiscountFactors($C$59,N61)</f>
        <v>0.65268107633064609</v>
      </c>
      <c r="AD61" s="1042">
        <f t="shared" ca="1" si="1"/>
        <v>8786.3907449256239</v>
      </c>
    </row>
    <row r="62" spans="1:30">
      <c r="B62" s="1047" t="s">
        <v>832</v>
      </c>
      <c r="C62" s="1045" cm="1">
        <f t="array" aca="1" ref="C62" ca="1">_xll.d.IR_VanillaInterestRateSwap_GetPrice(C61,FALSE)</f>
        <v>207412.94538320292</v>
      </c>
      <c r="F62" s="1040">
        <f ca="1"/>
        <v>46477</v>
      </c>
      <c r="G62" s="1040">
        <f ca="1"/>
        <v>46568</v>
      </c>
      <c r="H62" s="1041">
        <f ca="1"/>
        <v>91</v>
      </c>
      <c r="I62" s="1040">
        <f ca="1"/>
        <v>46471</v>
      </c>
      <c r="J62" s="1040">
        <f ca="1"/>
        <v>46477</v>
      </c>
      <c r="K62" s="1040">
        <f ca="1"/>
        <v>46568</v>
      </c>
      <c r="L62" s="1040">
        <f ca="1"/>
        <v>46477</v>
      </c>
      <c r="M62" s="1040">
        <f ca="1"/>
        <v>46568</v>
      </c>
      <c r="N62" s="1040">
        <f ca="1"/>
        <v>46568</v>
      </c>
      <c r="O62" s="1042">
        <f ca="1"/>
        <v>1000000</v>
      </c>
      <c r="P62" s="1041">
        <f ca="1"/>
        <v>0.1</v>
      </c>
      <c r="Q62" s="1042">
        <f ca="1"/>
        <v>25277.777777777734</v>
      </c>
      <c r="R62" s="1042">
        <f ca="1"/>
        <v>1000000</v>
      </c>
      <c r="S62" s="1043">
        <f ca="1"/>
        <v>0.15288003513902046</v>
      </c>
      <c r="T62" s="1043">
        <f ca="1"/>
        <v>0.15288003513902046</v>
      </c>
      <c r="U62" s="1041">
        <f ca="1"/>
        <v>1E-3</v>
      </c>
      <c r="V62" s="1041">
        <f ca="1"/>
        <v>1</v>
      </c>
      <c r="W62" s="1041">
        <f ca="1"/>
        <v>0</v>
      </c>
      <c r="X62" s="1043">
        <f ca="1"/>
        <v>0.15388003513902046</v>
      </c>
      <c r="Y62" s="1042">
        <f ca="1"/>
        <v>38897.453326807947</v>
      </c>
      <c r="AA62" s="1042" cm="1">
        <f t="array" aca="1" ref="AA62" ca="1">((_xll.d.Curve_GetDiscountFactors($C$32,L62)/_xll.d.Curve_GetDiscountFactors($C$32,M62)-1)*(360/(M62-L62))+U62)*(H62/360)*O62</f>
        <v>38897.453326807947</v>
      </c>
      <c r="AB62" s="1042">
        <f t="shared" ca="1" si="0"/>
        <v>25277.777777777777</v>
      </c>
      <c r="AC62" s="1042" cm="1">
        <f t="array" aca="1" ref="AC62" ca="1">_xll.d.Curve_GetDiscountFactors($C$59,N62)</f>
        <v>0.63638952371656232</v>
      </c>
      <c r="AD62" s="1042">
        <f t="shared" ca="1" si="1"/>
        <v>8667.4188358214196</v>
      </c>
    </row>
    <row r="63" spans="1:30">
      <c r="F63" s="1040">
        <f ca="1"/>
        <v>46568</v>
      </c>
      <c r="G63" s="1040">
        <f ca="1"/>
        <v>46660</v>
      </c>
      <c r="H63" s="1041">
        <f ca="1"/>
        <v>92</v>
      </c>
      <c r="I63" s="1040">
        <f ca="1"/>
        <v>46566</v>
      </c>
      <c r="J63" s="1040">
        <f ca="1"/>
        <v>46568</v>
      </c>
      <c r="K63" s="1040">
        <f ca="1"/>
        <v>46660</v>
      </c>
      <c r="L63" s="1040">
        <f ca="1"/>
        <v>46568</v>
      </c>
      <c r="M63" s="1040">
        <f ca="1"/>
        <v>46660</v>
      </c>
      <c r="N63" s="1040">
        <f ca="1"/>
        <v>46660</v>
      </c>
      <c r="O63" s="1042">
        <f ca="1"/>
        <v>1000000</v>
      </c>
      <c r="P63" s="1041">
        <f ca="1"/>
        <v>0.1</v>
      </c>
      <c r="Q63" s="1042">
        <f ca="1"/>
        <v>25555.555555555555</v>
      </c>
      <c r="R63" s="1042">
        <f ca="1"/>
        <v>1000000</v>
      </c>
      <c r="S63" s="1043">
        <f ca="1"/>
        <v>0.15291209088193206</v>
      </c>
      <c r="T63" s="1043">
        <f ca="1"/>
        <v>0.15291209088193206</v>
      </c>
      <c r="U63" s="1041">
        <f ca="1"/>
        <v>1E-3</v>
      </c>
      <c r="V63" s="1041">
        <f ca="1"/>
        <v>1</v>
      </c>
      <c r="W63" s="1041">
        <f ca="1"/>
        <v>0</v>
      </c>
      <c r="X63" s="1043">
        <f ca="1"/>
        <v>0.15391209088193206</v>
      </c>
      <c r="Y63" s="1042">
        <f ca="1"/>
        <v>39333.089892049298</v>
      </c>
      <c r="AA63" s="1042" cm="1">
        <f t="array" aca="1" ref="AA63" ca="1">((_xll.d.Curve_GetDiscountFactors($C$32,L63)/_xll.d.Curve_GetDiscountFactors($C$32,M63)-1)*(360/(M63-L63))+U63)*(H63/360)*O63</f>
        <v>39333.089892049298</v>
      </c>
      <c r="AB63" s="1042">
        <f t="shared" ca="1" si="0"/>
        <v>25555.555555555555</v>
      </c>
      <c r="AC63" s="1042" cm="1">
        <f t="array" aca="1" ref="AC63" ca="1">_xll.d.Curve_GetDiscountFactors($C$59,N63)</f>
        <v>0.62033228559617826</v>
      </c>
      <c r="AD63" s="1042">
        <f t="shared" ca="1" si="1"/>
        <v>8546.6493648369888</v>
      </c>
    </row>
    <row r="64" spans="1:30">
      <c r="F64" s="1040">
        <f ca="1"/>
        <v>46660</v>
      </c>
      <c r="G64" s="1040">
        <f ca="1"/>
        <v>46752</v>
      </c>
      <c r="H64" s="1041">
        <f ca="1"/>
        <v>92</v>
      </c>
      <c r="I64" s="1040">
        <f ca="1"/>
        <v>46658</v>
      </c>
      <c r="J64" s="1040">
        <f ca="1"/>
        <v>46660</v>
      </c>
      <c r="K64" s="1040">
        <f ca="1"/>
        <v>46751</v>
      </c>
      <c r="L64" s="1040">
        <f ca="1"/>
        <v>46660</v>
      </c>
      <c r="M64" s="1040">
        <f ca="1"/>
        <v>46752</v>
      </c>
      <c r="N64" s="1040">
        <f ca="1"/>
        <v>46752</v>
      </c>
      <c r="O64" s="1042">
        <f ca="1"/>
        <v>1000000</v>
      </c>
      <c r="P64" s="1041">
        <f ca="1"/>
        <v>0.1</v>
      </c>
      <c r="Q64" s="1042">
        <f ca="1"/>
        <v>25555.555555555555</v>
      </c>
      <c r="R64" s="1042">
        <f ca="1"/>
        <v>1000000</v>
      </c>
      <c r="S64" s="1043">
        <f ca="1"/>
        <v>0.1528800351390196</v>
      </c>
      <c r="T64" s="1043">
        <f ca="1"/>
        <v>0.15291209088193206</v>
      </c>
      <c r="U64" s="1041">
        <f ca="1"/>
        <v>1E-3</v>
      </c>
      <c r="V64" s="1041">
        <f ca="1"/>
        <v>1</v>
      </c>
      <c r="W64" s="1041">
        <f ca="1"/>
        <v>0</v>
      </c>
      <c r="X64" s="1043">
        <f ca="1"/>
        <v>0.15391209088193206</v>
      </c>
      <c r="Y64" s="1042">
        <f ca="1"/>
        <v>39333.089892049298</v>
      </c>
      <c r="AA64" s="1042" cm="1">
        <f t="array" aca="1" ref="AA64" ca="1">((_xll.d.Curve_GetDiscountFactors($C$32,L64)/_xll.d.Curve_GetDiscountFactors($C$32,M64)-1)*(360/(M64-L64))+U64)*(H64/360)*O64</f>
        <v>39333.089892049298</v>
      </c>
      <c r="AB64" s="1042">
        <f t="shared" ca="1" si="0"/>
        <v>25555.555555555555</v>
      </c>
      <c r="AC64" s="1042" cm="1">
        <f t="array" aca="1" ref="AC64" ca="1">_xll.d.Curve_GetDiscountFactors($C$59,N64)</f>
        <v>0.60468020011650536</v>
      </c>
      <c r="AD64" s="1042">
        <f t="shared" ca="1" si="1"/>
        <v>8331.0022197030612</v>
      </c>
    </row>
    <row r="65" spans="1:30">
      <c r="F65" s="1040">
        <f ca="1"/>
        <v>46752</v>
      </c>
      <c r="G65" s="1040">
        <f ca="1"/>
        <v>46843</v>
      </c>
      <c r="H65" s="1041">
        <f ca="1"/>
        <v>91</v>
      </c>
      <c r="I65" s="1040">
        <f ca="1"/>
        <v>46750</v>
      </c>
      <c r="J65" s="1040">
        <f ca="1"/>
        <v>46756</v>
      </c>
      <c r="K65" s="1040">
        <f ca="1"/>
        <v>46847</v>
      </c>
      <c r="L65" s="1040">
        <f ca="1"/>
        <v>46752</v>
      </c>
      <c r="M65" s="1040">
        <f ca="1"/>
        <v>46843</v>
      </c>
      <c r="N65" s="1040">
        <f ca="1"/>
        <v>46843</v>
      </c>
      <c r="O65" s="1042">
        <f ca="1"/>
        <v>1000000</v>
      </c>
      <c r="P65" s="1041">
        <f ca="1"/>
        <v>0.1</v>
      </c>
      <c r="Q65" s="1042">
        <f ca="1"/>
        <v>25277.777777777734</v>
      </c>
      <c r="R65" s="1042">
        <f ca="1"/>
        <v>1000000</v>
      </c>
      <c r="S65" s="1043">
        <f ca="1"/>
        <v>0.1528800351390196</v>
      </c>
      <c r="T65" s="1043">
        <f ca="1"/>
        <v>0.1528800351390196</v>
      </c>
      <c r="U65" s="1041">
        <f ca="1"/>
        <v>1E-3</v>
      </c>
      <c r="V65" s="1041">
        <f ca="1"/>
        <v>1</v>
      </c>
      <c r="W65" s="1041">
        <f ca="1"/>
        <v>0</v>
      </c>
      <c r="X65" s="1043">
        <f ca="1"/>
        <v>0.1538800351390196</v>
      </c>
      <c r="Y65" s="1042">
        <f ca="1"/>
        <v>38897.453326807736</v>
      </c>
      <c r="AA65" s="1042" cm="1">
        <f t="array" aca="1" ref="AA65" ca="1">((_xll.d.Curve_GetDiscountFactors($C$32,L65)/_xll.d.Curve_GetDiscountFactors($C$32,M65)-1)*(360/(M65-L65))+U65)*(H65/360)*O65</f>
        <v>38897.453326807736</v>
      </c>
      <c r="AB65" s="1042">
        <f t="shared" ca="1" si="0"/>
        <v>25277.777777777777</v>
      </c>
      <c r="AC65" s="1042" cm="1">
        <f t="array" aca="1" ref="AC65" ca="1">_xll.d.Curve_GetDiscountFactors($C$59,N65)</f>
        <v>0.58958679592241459</v>
      </c>
      <c r="AD65" s="1042">
        <f t="shared" ca="1" si="1"/>
        <v>8029.9808684554255</v>
      </c>
    </row>
    <row r="68" spans="1:30" ht="18.75">
      <c r="B68" s="3" t="s">
        <v>834</v>
      </c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</row>
    <row r="69" spans="1:30">
      <c r="A69" s="1046"/>
    </row>
    <row r="70" spans="1:30">
      <c r="B70" s="50" t="s">
        <v>106</v>
      </c>
      <c r="C70" s="163" t="str" cm="1">
        <f t="array" aca="1" ref="C70" ca="1">_xll.d.TestUtils_And(AD105)</f>
        <v>Ok</v>
      </c>
    </row>
    <row r="72" spans="1:30">
      <c r="B72" s="1034" t="s">
        <v>779</v>
      </c>
      <c r="C72" s="1035" t="s">
        <v>30</v>
      </c>
    </row>
    <row r="73" spans="1:30">
      <c r="B73" s="1030" t="s">
        <v>822</v>
      </c>
      <c r="C73" s="1031" t="s">
        <v>835</v>
      </c>
    </row>
    <row r="74" spans="1:30">
      <c r="B74" s="1032" t="s">
        <v>381</v>
      </c>
      <c r="C74" s="1036">
        <f ca="1">ValuationDate</f>
        <v>44941</v>
      </c>
    </row>
    <row r="75" spans="1:30">
      <c r="B75" s="1032" t="s">
        <v>826</v>
      </c>
      <c r="C75" s="1031" t="s">
        <v>195</v>
      </c>
    </row>
    <row r="76" spans="1:30">
      <c r="B76" s="1032" t="s">
        <v>808</v>
      </c>
      <c r="C76" s="1031">
        <v>0.1</v>
      </c>
    </row>
    <row r="77" spans="1:30">
      <c r="B77" s="1047" t="s">
        <v>653</v>
      </c>
      <c r="C77" s="1031" t="s">
        <v>241</v>
      </c>
    </row>
    <row r="78" spans="1:30">
      <c r="B78" s="1032" t="s">
        <v>828</v>
      </c>
      <c r="C78" s="1031" t="str">
        <f ca="1">C38</f>
        <v>@@USDLibor3mIndex::08:34:05</v>
      </c>
    </row>
    <row r="79" spans="1:30">
      <c r="B79" s="1032" t="s">
        <v>829</v>
      </c>
      <c r="C79" s="1031">
        <f ca="1">10/10000</f>
        <v>1E-3</v>
      </c>
    </row>
    <row r="80" spans="1:30">
      <c r="B80" s="1033" t="s">
        <v>830</v>
      </c>
      <c r="C80" s="1031" t="str">
        <f ca="1">C23</f>
        <v>@@Discount Curve USD::08:34:04</v>
      </c>
    </row>
    <row r="82" spans="2:30">
      <c r="B82" s="120" t="s">
        <v>836</v>
      </c>
      <c r="C82" s="330" t="s">
        <v>837</v>
      </c>
      <c r="D82" s="328" t="s">
        <v>838</v>
      </c>
      <c r="F82" s="1038" t="s">
        <v>798</v>
      </c>
      <c r="G82" s="1038" t="s">
        <v>799</v>
      </c>
      <c r="H82" s="1038" t="s">
        <v>800</v>
      </c>
      <c r="I82" s="1038" t="s">
        <v>801</v>
      </c>
      <c r="J82" s="1038" t="s">
        <v>802</v>
      </c>
      <c r="K82" s="1038" t="s">
        <v>803</v>
      </c>
      <c r="L82" s="1038" t="s">
        <v>804</v>
      </c>
      <c r="M82" s="1038" t="s">
        <v>805</v>
      </c>
      <c r="N82" s="1038" t="s">
        <v>806</v>
      </c>
      <c r="O82" s="1038" t="s">
        <v>807</v>
      </c>
      <c r="P82" s="1038" t="s">
        <v>808</v>
      </c>
      <c r="Q82" s="1038" t="s">
        <v>809</v>
      </c>
      <c r="R82" s="1038" t="s">
        <v>810</v>
      </c>
      <c r="S82" s="1038" t="s">
        <v>811</v>
      </c>
      <c r="T82" s="1038" t="s">
        <v>812</v>
      </c>
      <c r="U82" s="1038" t="s">
        <v>813</v>
      </c>
      <c r="V82" s="1038" t="s">
        <v>814</v>
      </c>
      <c r="W82" s="1038" t="s">
        <v>815</v>
      </c>
      <c r="X82" s="1038" t="s">
        <v>816</v>
      </c>
      <c r="Y82" s="1038" t="s">
        <v>817</v>
      </c>
      <c r="AA82" s="1039" t="s">
        <v>818</v>
      </c>
      <c r="AB82" s="1039" t="s">
        <v>819</v>
      </c>
      <c r="AC82" s="1039" t="s">
        <v>820</v>
      </c>
      <c r="AD82" s="1039" t="s">
        <v>821</v>
      </c>
    </row>
    <row r="83" spans="2:30">
      <c r="B83" s="1049" cm="1">
        <f t="array" aca="1" ref="B83:B103" ca="1">_xll.d.Dates_GenerateSchedule(C47,C48,C49,C50,C51,C52)</f>
        <v>45016</v>
      </c>
      <c r="C83" s="1050">
        <v>1000000</v>
      </c>
      <c r="D83" s="1050">
        <v>1000000</v>
      </c>
      <c r="F83" s="1040" cm="1">
        <f t="array" aca="1" ref="F83:Y102" ca="1">_xll.d.IR_NonStandardInterestRateSwap_GetPrice(C105,TRUE)</f>
        <v>45016</v>
      </c>
      <c r="G83" s="1040">
        <f ca="1"/>
        <v>45107</v>
      </c>
      <c r="H83" s="1041">
        <f ca="1"/>
        <v>91</v>
      </c>
      <c r="I83" s="1040">
        <f ca="1"/>
        <v>45014</v>
      </c>
      <c r="J83" s="1040">
        <f ca="1"/>
        <v>45016</v>
      </c>
      <c r="K83" s="1040">
        <f ca="1"/>
        <v>45107</v>
      </c>
      <c r="L83" s="1040">
        <f ca="1"/>
        <v>45016</v>
      </c>
      <c r="M83" s="1040">
        <f ca="1"/>
        <v>45107</v>
      </c>
      <c r="N83" s="1040">
        <f ca="1"/>
        <v>45107</v>
      </c>
      <c r="O83" s="1042">
        <f ca="1"/>
        <v>1000000</v>
      </c>
      <c r="P83" s="1042">
        <f ca="1"/>
        <v>0.1</v>
      </c>
      <c r="Q83" s="1042">
        <f ca="1"/>
        <v>25277.777777777734</v>
      </c>
      <c r="R83" s="1042">
        <f ca="1"/>
        <v>1000000</v>
      </c>
      <c r="S83" s="1043">
        <f ca="1"/>
        <v>0.1528800351390196</v>
      </c>
      <c r="T83" s="1043">
        <f ca="1"/>
        <v>0.1528800351390196</v>
      </c>
      <c r="U83" s="1041">
        <f ca="1"/>
        <v>1E-3</v>
      </c>
      <c r="V83" s="1041">
        <f ca="1"/>
        <v>1</v>
      </c>
      <c r="W83" s="1041">
        <f ca="1"/>
        <v>0</v>
      </c>
      <c r="X83" s="1043">
        <f ca="1"/>
        <v>0.1538800351390196</v>
      </c>
      <c r="Y83" s="1042">
        <f ca="1"/>
        <v>38897.453326807736</v>
      </c>
      <c r="AA83" s="1042" cm="1">
        <f t="array" aca="1" ref="AA83" ca="1">((_xll.d.Curve_GetDiscountFactors($C$32,L83)/_xll.d.Curve_GetDiscountFactors($C$32,M83)-1)*(360/(M83-L83))+U83)*(H83/360)*C83</f>
        <v>38897.453326807736</v>
      </c>
      <c r="AB83" s="1042">
        <f ca="1">P83*(H83/360)*D83</f>
        <v>25277.777777777777</v>
      </c>
      <c r="AC83" s="1042" cm="1">
        <f t="array" aca="1" ref="AC83" ca="1">_xll.d.Curve_GetDiscountFactors($C$80,N83)</f>
        <v>0.95493585231224021</v>
      </c>
      <c r="AD83" s="1042">
        <f ca="1">(AA83-AB83)*AC83</f>
        <v>13005.916478629102</v>
      </c>
    </row>
    <row r="84" spans="2:30">
      <c r="B84" s="1049">
        <f ca="1"/>
        <v>45107</v>
      </c>
      <c r="C84" s="1050">
        <v>2000000</v>
      </c>
      <c r="D84" s="1050">
        <v>1000000</v>
      </c>
      <c r="F84" s="1040">
        <f ca="1"/>
        <v>45107</v>
      </c>
      <c r="G84" s="1040">
        <f ca="1"/>
        <v>45198</v>
      </c>
      <c r="H84" s="1041">
        <f ca="1"/>
        <v>91</v>
      </c>
      <c r="I84" s="1040">
        <f ca="1"/>
        <v>45105</v>
      </c>
      <c r="J84" s="1040">
        <f ca="1"/>
        <v>45107</v>
      </c>
      <c r="K84" s="1040">
        <f ca="1"/>
        <v>45198</v>
      </c>
      <c r="L84" s="1040">
        <f ca="1"/>
        <v>45107</v>
      </c>
      <c r="M84" s="1040">
        <f ca="1"/>
        <v>45198</v>
      </c>
      <c r="N84" s="1040">
        <f ca="1"/>
        <v>45198</v>
      </c>
      <c r="O84" s="1042">
        <f ca="1"/>
        <v>1000000</v>
      </c>
      <c r="P84" s="1042">
        <f ca="1"/>
        <v>0.1</v>
      </c>
      <c r="Q84" s="1042">
        <f ca="1"/>
        <v>25277.777777777734</v>
      </c>
      <c r="R84" s="1042">
        <f ca="1"/>
        <v>2000000</v>
      </c>
      <c r="S84" s="1043">
        <f ca="1"/>
        <v>0.1528800351390196</v>
      </c>
      <c r="T84" s="1043">
        <f ca="1"/>
        <v>0.1528800351390196</v>
      </c>
      <c r="U84" s="1041">
        <f ca="1"/>
        <v>1E-3</v>
      </c>
      <c r="V84" s="1041">
        <f ca="1"/>
        <v>1</v>
      </c>
      <c r="W84" s="1041">
        <f ca="1"/>
        <v>0</v>
      </c>
      <c r="X84" s="1043">
        <f ca="1"/>
        <v>0.1538800351390196</v>
      </c>
      <c r="Y84" s="1042">
        <f ca="1"/>
        <v>77794.906653615471</v>
      </c>
      <c r="AA84" s="1042" cm="1">
        <f t="array" aca="1" ref="AA84" ca="1">((_xll.d.Curve_GetDiscountFactors($C$32,L84)/_xll.d.Curve_GetDiscountFactors($C$32,M84)-1)*(360/(M84-L84))+U84)*(H84/360)*C84</f>
        <v>77794.906653615471</v>
      </c>
      <c r="AB84" s="1042">
        <f t="shared" ref="AB84:AB102" ca="1" si="2">P84*(H84/360)*D84</f>
        <v>25277.777777777777</v>
      </c>
      <c r="AC84" s="1042" cm="1">
        <f t="array" aca="1" ref="AC84" ca="1">_xll.d.Curve_GetDiscountFactors($C$80,N84)</f>
        <v>0.93109972737280911</v>
      </c>
      <c r="AD84" s="1042">
        <f t="shared" ref="AD84:AD102" ca="1" si="3">(AA84-AB84)*AC84</f>
        <v>48898.684378695158</v>
      </c>
    </row>
    <row r="85" spans="2:30">
      <c r="B85" s="1049">
        <f ca="1"/>
        <v>45198</v>
      </c>
      <c r="C85" s="1050">
        <v>1000000</v>
      </c>
      <c r="D85" s="1050">
        <v>1000000</v>
      </c>
      <c r="F85" s="1040">
        <f ca="1"/>
        <v>45198</v>
      </c>
      <c r="G85" s="1040">
        <f ca="1"/>
        <v>45289</v>
      </c>
      <c r="H85" s="1041">
        <f ca="1"/>
        <v>91</v>
      </c>
      <c r="I85" s="1040">
        <f ca="1"/>
        <v>45196</v>
      </c>
      <c r="J85" s="1040">
        <f ca="1"/>
        <v>45198</v>
      </c>
      <c r="K85" s="1040">
        <f ca="1"/>
        <v>45289</v>
      </c>
      <c r="L85" s="1040">
        <f ca="1"/>
        <v>45198</v>
      </c>
      <c r="M85" s="1040">
        <f ca="1"/>
        <v>45289</v>
      </c>
      <c r="N85" s="1040">
        <f ca="1"/>
        <v>45289</v>
      </c>
      <c r="O85" s="1042">
        <f ca="1"/>
        <v>1000000</v>
      </c>
      <c r="P85" s="1042">
        <f ca="1"/>
        <v>0.1</v>
      </c>
      <c r="Q85" s="1042">
        <f ca="1"/>
        <v>25277.777777777734</v>
      </c>
      <c r="R85" s="1042">
        <f ca="1"/>
        <v>1000000</v>
      </c>
      <c r="S85" s="1043">
        <f ca="1"/>
        <v>0.1528800351390196</v>
      </c>
      <c r="T85" s="1043">
        <f ca="1"/>
        <v>0.1528800351390196</v>
      </c>
      <c r="U85" s="1041">
        <f ca="1"/>
        <v>1E-3</v>
      </c>
      <c r="V85" s="1041">
        <f ca="1"/>
        <v>1</v>
      </c>
      <c r="W85" s="1041">
        <f ca="1"/>
        <v>0</v>
      </c>
      <c r="X85" s="1043">
        <f ca="1"/>
        <v>0.1538800351390196</v>
      </c>
      <c r="Y85" s="1042">
        <f ca="1"/>
        <v>38897.453326807736</v>
      </c>
      <c r="AA85" s="1042" cm="1">
        <f t="array" aca="1" ref="AA85" ca="1">((_xll.d.Curve_GetDiscountFactors($C$32,L85)/_xll.d.Curve_GetDiscountFactors($C$32,M85)-1)*(360/(M85-L85))+U85)*(H85/360)*C85</f>
        <v>38897.453326807736</v>
      </c>
      <c r="AB85" s="1042">
        <f t="shared" ca="1" si="2"/>
        <v>25277.777777777777</v>
      </c>
      <c r="AC85" s="1042" cm="1">
        <f t="array" aca="1" ref="AC85" ca="1">_xll.d.Curve_GetDiscountFactors($C$80,N85)</f>
        <v>0.90785857522736457</v>
      </c>
      <c r="AD85" s="1042">
        <f t="shared" ca="1" si="3"/>
        <v>12364.739239001312</v>
      </c>
    </row>
    <row r="86" spans="2:30">
      <c r="B86" s="1049">
        <f ca="1"/>
        <v>45289</v>
      </c>
      <c r="C86" s="1050">
        <v>1000000</v>
      </c>
      <c r="D86" s="1050">
        <v>2500000</v>
      </c>
      <c r="F86" s="1040">
        <f ca="1"/>
        <v>45289</v>
      </c>
      <c r="G86" s="1040">
        <f ca="1"/>
        <v>45380</v>
      </c>
      <c r="H86" s="1041">
        <f ca="1"/>
        <v>91</v>
      </c>
      <c r="I86" s="1040">
        <f ca="1"/>
        <v>45287</v>
      </c>
      <c r="J86" s="1040">
        <f ca="1"/>
        <v>45289</v>
      </c>
      <c r="K86" s="1040">
        <f ca="1"/>
        <v>45379</v>
      </c>
      <c r="L86" s="1040">
        <f ca="1"/>
        <v>45289</v>
      </c>
      <c r="M86" s="1040">
        <f ca="1"/>
        <v>45384</v>
      </c>
      <c r="N86" s="1040">
        <f ca="1"/>
        <v>45380</v>
      </c>
      <c r="O86" s="1042">
        <f ca="1"/>
        <v>2500000</v>
      </c>
      <c r="P86" s="1042">
        <f ca="1"/>
        <v>0.1</v>
      </c>
      <c r="Q86" s="1042">
        <f ca="1"/>
        <v>63194.444444444329</v>
      </c>
      <c r="R86" s="1042">
        <f ca="1"/>
        <v>1000000</v>
      </c>
      <c r="S86" s="1043">
        <f ca="1"/>
        <v>0.15284798832730129</v>
      </c>
      <c r="T86" s="1043">
        <f ca="1"/>
        <v>0.15300831172579707</v>
      </c>
      <c r="U86" s="1041">
        <f ca="1"/>
        <v>1E-3</v>
      </c>
      <c r="V86" s="1041">
        <f ca="1"/>
        <v>1</v>
      </c>
      <c r="W86" s="1041">
        <f ca="1"/>
        <v>0</v>
      </c>
      <c r="X86" s="1043">
        <f ca="1"/>
        <v>0.15400831172579707</v>
      </c>
      <c r="Y86" s="1042">
        <f ca="1"/>
        <v>38929.878797354257</v>
      </c>
      <c r="AA86" s="1042" cm="1">
        <f t="array" aca="1" ref="AA86" ca="1">((_xll.d.Curve_GetDiscountFactors($C$32,L86)/_xll.d.Curve_GetDiscountFactors($C$32,M86)-1)*(360/(M86-L86))+U86)*(H86/360)*C86</f>
        <v>38929.878797354257</v>
      </c>
      <c r="AB86" s="1042">
        <f t="shared" ca="1" si="2"/>
        <v>63194.444444444445</v>
      </c>
      <c r="AC86" s="1042" cm="1">
        <f t="array" aca="1" ref="AC86" ca="1">_xll.d.Curve_GetDiscountFactors($C$80,N86)</f>
        <v>0.88519754477798329</v>
      </c>
      <c r="AD86" s="1042">
        <f t="shared" ca="1" si="3"/>
        <v>-21478.933935908433</v>
      </c>
    </row>
    <row r="87" spans="2:30">
      <c r="B87" s="1049">
        <f ca="1"/>
        <v>45380</v>
      </c>
      <c r="C87" s="1050">
        <v>1000000</v>
      </c>
      <c r="D87" s="1050">
        <v>1000000</v>
      </c>
      <c r="F87" s="1040">
        <f ca="1"/>
        <v>45380</v>
      </c>
      <c r="G87" s="1040">
        <f ca="1"/>
        <v>45471</v>
      </c>
      <c r="H87" s="1041">
        <f ca="1"/>
        <v>91</v>
      </c>
      <c r="I87" s="1040">
        <f ca="1"/>
        <v>45378</v>
      </c>
      <c r="J87" s="1040">
        <f ca="1"/>
        <v>45384</v>
      </c>
      <c r="K87" s="1040">
        <f ca="1"/>
        <v>45475</v>
      </c>
      <c r="L87" s="1040">
        <f ca="1"/>
        <v>45384</v>
      </c>
      <c r="M87" s="1040">
        <f ca="1"/>
        <v>45471</v>
      </c>
      <c r="N87" s="1040">
        <f ca="1"/>
        <v>45471</v>
      </c>
      <c r="O87" s="1042">
        <f ca="1"/>
        <v>1000000</v>
      </c>
      <c r="P87" s="1042">
        <f ca="1"/>
        <v>0.1</v>
      </c>
      <c r="Q87" s="1042">
        <f ca="1"/>
        <v>25277.777777777734</v>
      </c>
      <c r="R87" s="1042">
        <f ca="1"/>
        <v>1000000</v>
      </c>
      <c r="S87" s="1043">
        <f ca="1"/>
        <v>0.1528800351390196</v>
      </c>
      <c r="T87" s="1043">
        <f ca="1"/>
        <v>0.15275190145134385</v>
      </c>
      <c r="U87" s="1041">
        <f ca="1"/>
        <v>1E-3</v>
      </c>
      <c r="V87" s="1041">
        <f ca="1"/>
        <v>1</v>
      </c>
      <c r="W87" s="1041">
        <f ca="1"/>
        <v>0</v>
      </c>
      <c r="X87" s="1043">
        <f ca="1"/>
        <v>0.15375190145134385</v>
      </c>
      <c r="Y87" s="1042">
        <f ca="1"/>
        <v>38865.063977978585</v>
      </c>
      <c r="AA87" s="1042" cm="1">
        <f t="array" aca="1" ref="AA87" ca="1">((_xll.d.Curve_GetDiscountFactors($C$32,L87)/_xll.d.Curve_GetDiscountFactors($C$32,M87)-1)*(360/(M87-L87))+U87)*(H87/360)*C87</f>
        <v>38865.063977978592</v>
      </c>
      <c r="AB87" s="1042">
        <f t="shared" ca="1" si="2"/>
        <v>25277.777777777777</v>
      </c>
      <c r="AC87" s="1042" cm="1">
        <f t="array" aca="1" ref="AC87" ca="1">_xll.d.Curve_GetDiscountFactors($C$80,N87)</f>
        <v>0.86310215562454862</v>
      </c>
      <c r="AD87" s="1042">
        <f t="shared" ca="1" si="3"/>
        <v>11727.216008481006</v>
      </c>
    </row>
    <row r="88" spans="2:30">
      <c r="B88" s="1049">
        <f ca="1"/>
        <v>45471</v>
      </c>
      <c r="C88" s="1050">
        <v>2000000</v>
      </c>
      <c r="D88" s="1050">
        <v>1000000</v>
      </c>
      <c r="F88" s="1040">
        <f ca="1"/>
        <v>45471</v>
      </c>
      <c r="G88" s="1040">
        <f ca="1"/>
        <v>45565</v>
      </c>
      <c r="H88" s="1041">
        <f ca="1"/>
        <v>94</v>
      </c>
      <c r="I88" s="1040">
        <f ca="1"/>
        <v>45469</v>
      </c>
      <c r="J88" s="1040">
        <f ca="1"/>
        <v>45471</v>
      </c>
      <c r="K88" s="1040">
        <f ca="1"/>
        <v>45565</v>
      </c>
      <c r="L88" s="1040">
        <f ca="1"/>
        <v>45471</v>
      </c>
      <c r="M88" s="1040">
        <f ca="1"/>
        <v>45565</v>
      </c>
      <c r="N88" s="1040">
        <f ca="1"/>
        <v>45565</v>
      </c>
      <c r="O88" s="1042">
        <f ca="1"/>
        <v>1000000</v>
      </c>
      <c r="P88" s="1042">
        <f ca="1"/>
        <v>0.1</v>
      </c>
      <c r="Q88" s="1042">
        <f ca="1"/>
        <v>26111.111111111197</v>
      </c>
      <c r="R88" s="1042">
        <f ca="1"/>
        <v>2000000</v>
      </c>
      <c r="S88" s="1043">
        <f ca="1"/>
        <v>0.15297622917252227</v>
      </c>
      <c r="T88" s="1043">
        <f ca="1"/>
        <v>0.15297622917252227</v>
      </c>
      <c r="U88" s="1041">
        <f ca="1"/>
        <v>1E-3</v>
      </c>
      <c r="V88" s="1041">
        <f ca="1"/>
        <v>1</v>
      </c>
      <c r="W88" s="1041">
        <f ca="1"/>
        <v>0</v>
      </c>
      <c r="X88" s="1043">
        <f ca="1"/>
        <v>0.15397622917252227</v>
      </c>
      <c r="Y88" s="1042">
        <f ca="1"/>
        <v>80409.808567872751</v>
      </c>
      <c r="AA88" s="1042" cm="1">
        <f t="array" aca="1" ref="AA88" ca="1">((_xll.d.Curve_GetDiscountFactors($C$32,L88)/_xll.d.Curve_GetDiscountFactors($C$32,M88)-1)*(360/(M88-L88))+U88)*(H88/360)*C88</f>
        <v>80409.808567872751</v>
      </c>
      <c r="AB88" s="1042">
        <f t="shared" ca="1" si="2"/>
        <v>26111.111111111113</v>
      </c>
      <c r="AC88" s="1042" cm="1">
        <f t="array" aca="1" ref="AC88" ca="1">_xll.d.Curve_GetDiscountFactors($C$80,N88)</f>
        <v>0.84085728236435064</v>
      </c>
      <c r="AD88" s="1042">
        <f t="shared" ca="1" si="3"/>
        <v>45657.455179416669</v>
      </c>
    </row>
    <row r="89" spans="2:30">
      <c r="B89" s="1049">
        <f ca="1"/>
        <v>45565</v>
      </c>
      <c r="C89" s="1050">
        <v>1000000</v>
      </c>
      <c r="D89" s="1050">
        <v>2500000</v>
      </c>
      <c r="F89" s="1040">
        <f ca="1"/>
        <v>45565</v>
      </c>
      <c r="G89" s="1040">
        <f ca="1"/>
        <v>45657</v>
      </c>
      <c r="H89" s="1041">
        <f ca="1"/>
        <v>92</v>
      </c>
      <c r="I89" s="1040">
        <f ca="1"/>
        <v>45561</v>
      </c>
      <c r="J89" s="1040">
        <f ca="1"/>
        <v>45565</v>
      </c>
      <c r="K89" s="1040">
        <f ca="1"/>
        <v>45657</v>
      </c>
      <c r="L89" s="1040">
        <f ca="1"/>
        <v>45565</v>
      </c>
      <c r="M89" s="1040">
        <f ca="1"/>
        <v>45657</v>
      </c>
      <c r="N89" s="1040">
        <f ca="1"/>
        <v>45657</v>
      </c>
      <c r="O89" s="1042">
        <f ca="1"/>
        <v>2500000</v>
      </c>
      <c r="P89" s="1042">
        <f ca="1"/>
        <v>0.1</v>
      </c>
      <c r="Q89" s="1042">
        <f ca="1"/>
        <v>63888.888888888883</v>
      </c>
      <c r="R89" s="1042">
        <f ca="1"/>
        <v>1000000</v>
      </c>
      <c r="S89" s="1043">
        <f ca="1"/>
        <v>0.15291209088193206</v>
      </c>
      <c r="T89" s="1043">
        <f ca="1"/>
        <v>0.15291209088193206</v>
      </c>
      <c r="U89" s="1041">
        <f ca="1"/>
        <v>1E-3</v>
      </c>
      <c r="V89" s="1041">
        <f ca="1"/>
        <v>1</v>
      </c>
      <c r="W89" s="1041">
        <f ca="1"/>
        <v>0</v>
      </c>
      <c r="X89" s="1043">
        <f ca="1"/>
        <v>0.15391209088193206</v>
      </c>
      <c r="Y89" s="1042">
        <f ca="1"/>
        <v>39333.089892049298</v>
      </c>
      <c r="AA89" s="1042" cm="1">
        <f t="array" aca="1" ref="AA89" ca="1">((_xll.d.Curve_GetDiscountFactors($C$32,L89)/_xll.d.Curve_GetDiscountFactors($C$32,M89)-1)*(360/(M89-L89))+U89)*(H89/360)*C89</f>
        <v>39333.089892049298</v>
      </c>
      <c r="AB89" s="1042">
        <f t="shared" ca="1" si="2"/>
        <v>63888.888888888883</v>
      </c>
      <c r="AC89" s="1042" cm="1">
        <f t="array" aca="1" ref="AC89" ca="1">_xll.d.Curve_GetDiscountFactors($C$80,N89)</f>
        <v>0.8196409594913221</v>
      </c>
      <c r="AD89" s="1042">
        <f t="shared" ca="1" si="3"/>
        <v>-20126.938650845641</v>
      </c>
    </row>
    <row r="90" spans="2:30">
      <c r="B90" s="1049">
        <f ca="1"/>
        <v>45657</v>
      </c>
      <c r="C90" s="1050">
        <v>1000000</v>
      </c>
      <c r="D90" s="1050">
        <v>1000000</v>
      </c>
      <c r="F90" s="1040">
        <f ca="1"/>
        <v>45657</v>
      </c>
      <c r="G90" s="1040">
        <f ca="1"/>
        <v>45747</v>
      </c>
      <c r="H90" s="1041">
        <f ca="1"/>
        <v>90</v>
      </c>
      <c r="I90" s="1040">
        <f ca="1"/>
        <v>45653</v>
      </c>
      <c r="J90" s="1040">
        <f ca="1"/>
        <v>45657</v>
      </c>
      <c r="K90" s="1040">
        <f ca="1"/>
        <v>45747</v>
      </c>
      <c r="L90" s="1040">
        <f ca="1"/>
        <v>45657</v>
      </c>
      <c r="M90" s="1040">
        <f ca="1"/>
        <v>45747</v>
      </c>
      <c r="N90" s="1040">
        <f ca="1"/>
        <v>45747</v>
      </c>
      <c r="O90" s="1042">
        <f ca="1"/>
        <v>1000000</v>
      </c>
      <c r="P90" s="1042">
        <f ca="1"/>
        <v>0.1</v>
      </c>
      <c r="Q90" s="1042">
        <f ca="1"/>
        <v>24999.999999999913</v>
      </c>
      <c r="R90" s="1042">
        <f ca="1"/>
        <v>1000000</v>
      </c>
      <c r="S90" s="1043">
        <f ca="1"/>
        <v>0.15284798832729951</v>
      </c>
      <c r="T90" s="1043">
        <f ca="1"/>
        <v>0.15284798832729951</v>
      </c>
      <c r="U90" s="1041">
        <f ca="1"/>
        <v>1E-3</v>
      </c>
      <c r="V90" s="1041">
        <f ca="1"/>
        <v>1</v>
      </c>
      <c r="W90" s="1041">
        <f ca="1"/>
        <v>0</v>
      </c>
      <c r="X90" s="1043">
        <f ca="1"/>
        <v>0.15384798832729951</v>
      </c>
      <c r="Y90" s="1042">
        <f ca="1"/>
        <v>38461.997081824877</v>
      </c>
      <c r="AA90" s="1042" cm="1">
        <f t="array" aca="1" ref="AA90" ca="1">((_xll.d.Curve_GetDiscountFactors($C$32,L90)/_xll.d.Curve_GetDiscountFactors($C$32,M90)-1)*(360/(M90-L90))+U90)*(H90/360)*C90</f>
        <v>38461.997081824877</v>
      </c>
      <c r="AB90" s="1042">
        <f t="shared" ca="1" si="2"/>
        <v>25000</v>
      </c>
      <c r="AC90" s="1042" cm="1">
        <f t="array" aca="1" ref="AC90" ca="1">_xll.d.Curve_GetDiscountFactors($C$80,N90)</f>
        <v>0.79940395209629955</v>
      </c>
      <c r="AD90" s="1042">
        <f t="shared" ca="1" si="3"/>
        <v>10761.573670319658</v>
      </c>
    </row>
    <row r="91" spans="2:30">
      <c r="B91" s="1049">
        <f ca="1"/>
        <v>45747</v>
      </c>
      <c r="C91" s="1050">
        <v>1000000</v>
      </c>
      <c r="D91" s="1050">
        <v>1000000</v>
      </c>
      <c r="F91" s="1040">
        <f ca="1"/>
        <v>45747</v>
      </c>
      <c r="G91" s="1040">
        <f ca="1"/>
        <v>45838</v>
      </c>
      <c r="H91" s="1041">
        <f ca="1"/>
        <v>91</v>
      </c>
      <c r="I91" s="1040">
        <f ca="1"/>
        <v>45743</v>
      </c>
      <c r="J91" s="1040">
        <f ca="1"/>
        <v>45747</v>
      </c>
      <c r="K91" s="1040">
        <f ca="1"/>
        <v>45838</v>
      </c>
      <c r="L91" s="1040">
        <f ca="1"/>
        <v>45747</v>
      </c>
      <c r="M91" s="1040">
        <f ca="1"/>
        <v>45838</v>
      </c>
      <c r="N91" s="1040">
        <f ca="1"/>
        <v>45838</v>
      </c>
      <c r="O91" s="1042">
        <f ca="1"/>
        <v>1000000</v>
      </c>
      <c r="P91" s="1042">
        <f ca="1"/>
        <v>0.1</v>
      </c>
      <c r="Q91" s="1042">
        <f ca="1"/>
        <v>25277.777777777734</v>
      </c>
      <c r="R91" s="1042">
        <f ca="1"/>
        <v>1000000</v>
      </c>
      <c r="S91" s="1043">
        <f ca="1"/>
        <v>0.1528800351390196</v>
      </c>
      <c r="T91" s="1043">
        <f ca="1"/>
        <v>0.1528800351390196</v>
      </c>
      <c r="U91" s="1041">
        <f ca="1"/>
        <v>1E-3</v>
      </c>
      <c r="V91" s="1041">
        <f ca="1"/>
        <v>1</v>
      </c>
      <c r="W91" s="1041">
        <f ca="1"/>
        <v>0</v>
      </c>
      <c r="X91" s="1043">
        <f ca="1"/>
        <v>0.1538800351390196</v>
      </c>
      <c r="Y91" s="1042">
        <f ca="1"/>
        <v>38897.453326807736</v>
      </c>
      <c r="AA91" s="1042" cm="1">
        <f t="array" aca="1" ref="AA91" ca="1">((_xll.d.Curve_GetDiscountFactors($C$32,L91)/_xll.d.Curve_GetDiscountFactors($C$32,M91)-1)*(360/(M91-L91))+U91)*(H91/360)*C91</f>
        <v>38897.453326807736</v>
      </c>
      <c r="AB91" s="1042">
        <f t="shared" ca="1" si="2"/>
        <v>25277.777777777777</v>
      </c>
      <c r="AC91" s="1042" cm="1">
        <f t="array" aca="1" ref="AC91" ca="1">_xll.d.Curve_GetDiscountFactors($C$80,N91)</f>
        <v>0.77945005421603442</v>
      </c>
      <c r="AD91" s="1042">
        <f t="shared" ca="1" si="3"/>
        <v>10615.856845096199</v>
      </c>
    </row>
    <row r="92" spans="2:30">
      <c r="B92" s="1049">
        <f ca="1"/>
        <v>45838</v>
      </c>
      <c r="C92" s="1050">
        <v>1000000</v>
      </c>
      <c r="D92" s="1050">
        <v>1000000</v>
      </c>
      <c r="F92" s="1040">
        <f ca="1"/>
        <v>45838</v>
      </c>
      <c r="G92" s="1040">
        <f ca="1"/>
        <v>45930</v>
      </c>
      <c r="H92" s="1041">
        <f ca="1"/>
        <v>92</v>
      </c>
      <c r="I92" s="1040">
        <f ca="1"/>
        <v>45834</v>
      </c>
      <c r="J92" s="1040">
        <f ca="1"/>
        <v>45838</v>
      </c>
      <c r="K92" s="1040">
        <f ca="1"/>
        <v>45930</v>
      </c>
      <c r="L92" s="1040">
        <f ca="1"/>
        <v>45838</v>
      </c>
      <c r="M92" s="1040">
        <f ca="1"/>
        <v>45930</v>
      </c>
      <c r="N92" s="1040">
        <f ca="1"/>
        <v>45930</v>
      </c>
      <c r="O92" s="1042">
        <f ca="1"/>
        <v>1000000</v>
      </c>
      <c r="P92" s="1042">
        <f ca="1"/>
        <v>0.1</v>
      </c>
      <c r="Q92" s="1042">
        <f ca="1"/>
        <v>25555.555555555555</v>
      </c>
      <c r="R92" s="1042">
        <f ca="1"/>
        <v>1000000</v>
      </c>
      <c r="S92" s="1043">
        <f ca="1"/>
        <v>0.15291209088193206</v>
      </c>
      <c r="T92" s="1043">
        <f ca="1"/>
        <v>0.15291209088193206</v>
      </c>
      <c r="U92" s="1041">
        <f ca="1"/>
        <v>1E-3</v>
      </c>
      <c r="V92" s="1041">
        <f ca="1"/>
        <v>1</v>
      </c>
      <c r="W92" s="1041">
        <f ca="1"/>
        <v>0</v>
      </c>
      <c r="X92" s="1043">
        <f ca="1"/>
        <v>0.15391209088193206</v>
      </c>
      <c r="Y92" s="1042">
        <f ca="1"/>
        <v>39333.089892049298</v>
      </c>
      <c r="AA92" s="1042" cm="1">
        <f t="array" aca="1" ref="AA92" ca="1">((_xll.d.Curve_GetDiscountFactors($C$32,L92)/_xll.d.Curve_GetDiscountFactors($C$32,M92)-1)*(360/(M92-L92))+U92)*(H92/360)*C92</f>
        <v>39333.089892049298</v>
      </c>
      <c r="AB92" s="1042">
        <f t="shared" ca="1" si="2"/>
        <v>25555.555555555555</v>
      </c>
      <c r="AC92" s="1042" cm="1">
        <f t="array" aca="1" ref="AC92" ca="1">_xll.d.Curve_GetDiscountFactors($C$80,N92)</f>
        <v>0.75978314478861342</v>
      </c>
      <c r="AD92" s="1042">
        <f t="shared" ca="1" si="3"/>
        <v>10467.938365614318</v>
      </c>
    </row>
    <row r="93" spans="2:30">
      <c r="B93" s="1049">
        <f ca="1"/>
        <v>45930</v>
      </c>
      <c r="C93" s="1050">
        <v>1000000</v>
      </c>
      <c r="D93" s="1050">
        <v>1000000</v>
      </c>
      <c r="F93" s="1040">
        <f ca="1"/>
        <v>45930</v>
      </c>
      <c r="G93" s="1040">
        <f ca="1"/>
        <v>46022</v>
      </c>
      <c r="H93" s="1041">
        <f ca="1"/>
        <v>92</v>
      </c>
      <c r="I93" s="1040">
        <f ca="1"/>
        <v>45926</v>
      </c>
      <c r="J93" s="1040">
        <f ca="1"/>
        <v>45930</v>
      </c>
      <c r="K93" s="1040">
        <f ca="1"/>
        <v>46022</v>
      </c>
      <c r="L93" s="1040">
        <f ca="1"/>
        <v>45930</v>
      </c>
      <c r="M93" s="1040">
        <f ca="1"/>
        <v>46022</v>
      </c>
      <c r="N93" s="1040">
        <f ca="1"/>
        <v>46022</v>
      </c>
      <c r="O93" s="1042">
        <f ca="1"/>
        <v>1000000</v>
      </c>
      <c r="P93" s="1042">
        <f ca="1"/>
        <v>0.1</v>
      </c>
      <c r="Q93" s="1042">
        <f ca="1"/>
        <v>25555.555555555555</v>
      </c>
      <c r="R93" s="1042">
        <f ca="1"/>
        <v>1000000</v>
      </c>
      <c r="S93" s="1043">
        <f ca="1"/>
        <v>0.15291209088193206</v>
      </c>
      <c r="T93" s="1043">
        <f ca="1"/>
        <v>0.15291209088193206</v>
      </c>
      <c r="U93" s="1041">
        <f ca="1"/>
        <v>1E-3</v>
      </c>
      <c r="V93" s="1041">
        <f ca="1"/>
        <v>1</v>
      </c>
      <c r="W93" s="1041">
        <f ca="1"/>
        <v>0</v>
      </c>
      <c r="X93" s="1043">
        <f ca="1"/>
        <v>0.15391209088193206</v>
      </c>
      <c r="Y93" s="1042">
        <f ca="1"/>
        <v>39333.089892049298</v>
      </c>
      <c r="AA93" s="1042" cm="1">
        <f t="array" aca="1" ref="AA93" ca="1">((_xll.d.Curve_GetDiscountFactors($C$32,L93)/_xll.d.Curve_GetDiscountFactors($C$32,M93)-1)*(360/(M93-L93))+U93)*(H93/360)*C93</f>
        <v>39333.089892049298</v>
      </c>
      <c r="AB93" s="1042">
        <f t="shared" ca="1" si="2"/>
        <v>25555.555555555555</v>
      </c>
      <c r="AC93" s="1042" cm="1">
        <f t="array" aca="1" ref="AC93" ca="1">_xll.d.Curve_GetDiscountFactors($C$80,N93)</f>
        <v>0.74061246642094325</v>
      </c>
      <c r="AD93" s="1042">
        <f t="shared" ca="1" si="3"/>
        <v>10203.813686149866</v>
      </c>
    </row>
    <row r="94" spans="2:30">
      <c r="B94" s="1049">
        <f ca="1"/>
        <v>46022</v>
      </c>
      <c r="C94" s="1050">
        <v>2000000</v>
      </c>
      <c r="D94" s="1050">
        <v>2500000</v>
      </c>
      <c r="F94" s="1040">
        <f ca="1"/>
        <v>46022</v>
      </c>
      <c r="G94" s="1040">
        <f ca="1"/>
        <v>46112</v>
      </c>
      <c r="H94" s="1041">
        <f ca="1"/>
        <v>90</v>
      </c>
      <c r="I94" s="1040">
        <f ca="1"/>
        <v>46020</v>
      </c>
      <c r="J94" s="1040">
        <f ca="1"/>
        <v>46022</v>
      </c>
      <c r="K94" s="1040">
        <f ca="1"/>
        <v>46112</v>
      </c>
      <c r="L94" s="1040">
        <f ca="1"/>
        <v>46022</v>
      </c>
      <c r="M94" s="1040">
        <f ca="1"/>
        <v>46112</v>
      </c>
      <c r="N94" s="1040">
        <f ca="1"/>
        <v>46112</v>
      </c>
      <c r="O94" s="1042">
        <f ca="1"/>
        <v>2500000</v>
      </c>
      <c r="P94" s="1042">
        <f ca="1"/>
        <v>0.1</v>
      </c>
      <c r="Q94" s="1042">
        <f ca="1"/>
        <v>62499.999999999774</v>
      </c>
      <c r="R94" s="1042">
        <f ca="1"/>
        <v>2000000</v>
      </c>
      <c r="S94" s="1043">
        <f ca="1"/>
        <v>0.1528479883273004</v>
      </c>
      <c r="T94" s="1043">
        <f ca="1"/>
        <v>0.1528479883273004</v>
      </c>
      <c r="U94" s="1041">
        <f ca="1"/>
        <v>1E-3</v>
      </c>
      <c r="V94" s="1041">
        <f ca="1"/>
        <v>1</v>
      </c>
      <c r="W94" s="1041">
        <f ca="1"/>
        <v>0</v>
      </c>
      <c r="X94" s="1043">
        <f ca="1"/>
        <v>0.1538479883273004</v>
      </c>
      <c r="Y94" s="1042">
        <f ca="1"/>
        <v>76923.994163650204</v>
      </c>
      <c r="AA94" s="1042" cm="1">
        <f t="array" aca="1" ref="AA94" ca="1">((_xll.d.Curve_GetDiscountFactors($C$32,L94)/_xll.d.Curve_GetDiscountFactors($C$32,M94)-1)*(360/(M94-L94))+U94)*(H94/360)*C94</f>
        <v>76923.994163650204</v>
      </c>
      <c r="AB94" s="1042">
        <f t="shared" ca="1" si="2"/>
        <v>62500</v>
      </c>
      <c r="AC94" s="1042" cm="1">
        <f t="array" aca="1" ref="AC94" ca="1">_xll.d.Curve_GetDiscountFactors($C$80,N94)</f>
        <v>0.72232667947209672</v>
      </c>
      <c r="AD94" s="1042">
        <f t="shared" ca="1" si="3"/>
        <v>10418.835808954354</v>
      </c>
    </row>
    <row r="95" spans="2:30">
      <c r="B95" s="1049">
        <f ca="1"/>
        <v>46112</v>
      </c>
      <c r="C95" s="1050">
        <v>1000000</v>
      </c>
      <c r="D95" s="1050">
        <v>1000000</v>
      </c>
      <c r="F95" s="1040">
        <f ca="1"/>
        <v>46112</v>
      </c>
      <c r="G95" s="1040">
        <f ca="1"/>
        <v>46203</v>
      </c>
      <c r="H95" s="1041">
        <f ca="1"/>
        <v>91</v>
      </c>
      <c r="I95" s="1040">
        <f ca="1"/>
        <v>46108</v>
      </c>
      <c r="J95" s="1040">
        <f ca="1"/>
        <v>46112</v>
      </c>
      <c r="K95" s="1040">
        <f ca="1"/>
        <v>46203</v>
      </c>
      <c r="L95" s="1040">
        <f ca="1"/>
        <v>46112</v>
      </c>
      <c r="M95" s="1040">
        <f ca="1"/>
        <v>46203</v>
      </c>
      <c r="N95" s="1040">
        <f ca="1"/>
        <v>46203</v>
      </c>
      <c r="O95" s="1042">
        <f ca="1"/>
        <v>1000000</v>
      </c>
      <c r="P95" s="1042">
        <f ca="1"/>
        <v>0.1</v>
      </c>
      <c r="Q95" s="1042">
        <f ca="1"/>
        <v>25277.777777777734</v>
      </c>
      <c r="R95" s="1042">
        <f ca="1"/>
        <v>1000000</v>
      </c>
      <c r="S95" s="1043">
        <f ca="1"/>
        <v>0.1528800351390196</v>
      </c>
      <c r="T95" s="1043">
        <f ca="1"/>
        <v>0.1528800351390196</v>
      </c>
      <c r="U95" s="1041">
        <f ca="1"/>
        <v>1E-3</v>
      </c>
      <c r="V95" s="1041">
        <f ca="1"/>
        <v>1</v>
      </c>
      <c r="W95" s="1041">
        <f ca="1"/>
        <v>0</v>
      </c>
      <c r="X95" s="1043">
        <f ca="1"/>
        <v>0.1538800351390196</v>
      </c>
      <c r="Y95" s="1042">
        <f ca="1"/>
        <v>38897.453326807736</v>
      </c>
      <c r="AA95" s="1042" cm="1">
        <f t="array" aca="1" ref="AA95" ca="1">((_xll.d.Curve_GetDiscountFactors($C$32,L95)/_xll.d.Curve_GetDiscountFactors($C$32,M95)-1)*(360/(M95-L95))+U95)*(H95/360)*C95</f>
        <v>38897.453326807736</v>
      </c>
      <c r="AB95" s="1042">
        <f t="shared" ca="1" si="2"/>
        <v>25277.777777777777</v>
      </c>
      <c r="AC95" s="1042" cm="1">
        <f t="array" aca="1" ref="AC95" ca="1">_xll.d.Curve_GetDiscountFactors($C$80,N95)</f>
        <v>0.70429670506356257</v>
      </c>
      <c r="AD95" s="1042">
        <f t="shared" ca="1" si="3"/>
        <v>9592.2926132165667</v>
      </c>
    </row>
    <row r="96" spans="2:30">
      <c r="B96" s="1049">
        <f ca="1"/>
        <v>46203</v>
      </c>
      <c r="C96" s="1050">
        <v>1000000</v>
      </c>
      <c r="D96" s="1050">
        <v>1000000</v>
      </c>
      <c r="F96" s="1040">
        <f ca="1"/>
        <v>46203</v>
      </c>
      <c r="G96" s="1040">
        <f ca="1"/>
        <v>46295</v>
      </c>
      <c r="H96" s="1041">
        <f ca="1"/>
        <v>92</v>
      </c>
      <c r="I96" s="1040">
        <f ca="1"/>
        <v>46199</v>
      </c>
      <c r="J96" s="1040">
        <f ca="1"/>
        <v>46203</v>
      </c>
      <c r="K96" s="1040">
        <f ca="1"/>
        <v>46295</v>
      </c>
      <c r="L96" s="1040">
        <f ca="1"/>
        <v>46203</v>
      </c>
      <c r="M96" s="1040">
        <f ca="1"/>
        <v>46295</v>
      </c>
      <c r="N96" s="1040">
        <f ca="1"/>
        <v>46295</v>
      </c>
      <c r="O96" s="1042">
        <f ca="1"/>
        <v>1000000</v>
      </c>
      <c r="P96" s="1042">
        <f ca="1"/>
        <v>0.1</v>
      </c>
      <c r="Q96" s="1042">
        <f ca="1"/>
        <v>25555.555555555555</v>
      </c>
      <c r="R96" s="1042">
        <f ca="1"/>
        <v>1000000</v>
      </c>
      <c r="S96" s="1043">
        <f ca="1"/>
        <v>0.15291209088193206</v>
      </c>
      <c r="T96" s="1043">
        <f ca="1"/>
        <v>0.15291209088193206</v>
      </c>
      <c r="U96" s="1041">
        <f ca="1"/>
        <v>1E-3</v>
      </c>
      <c r="V96" s="1041">
        <f ca="1"/>
        <v>1</v>
      </c>
      <c r="W96" s="1041">
        <f ca="1"/>
        <v>0</v>
      </c>
      <c r="X96" s="1043">
        <f ca="1"/>
        <v>0.15391209088193206</v>
      </c>
      <c r="Y96" s="1042">
        <f ca="1"/>
        <v>39333.089892049298</v>
      </c>
      <c r="AA96" s="1042" cm="1">
        <f t="array" aca="1" ref="AA96" ca="1">((_xll.d.Curve_GetDiscountFactors($C$32,L96)/_xll.d.Curve_GetDiscountFactors($C$32,M96)-1)*(360/(M96-L96))+U96)*(H96/360)*C96</f>
        <v>39333.089892049298</v>
      </c>
      <c r="AB96" s="1042">
        <f t="shared" ca="1" si="2"/>
        <v>25555.555555555555</v>
      </c>
      <c r="AC96" s="1042" cm="1">
        <f t="array" aca="1" ref="AC96" ca="1">_xll.d.Curve_GetDiscountFactors($C$80,N96)</f>
        <v>0.68652604813231433</v>
      </c>
      <c r="AD96" s="1042">
        <f t="shared" ca="1" si="3"/>
        <v>9458.6362010403172</v>
      </c>
    </row>
    <row r="97" spans="2:40">
      <c r="B97" s="1049">
        <f ca="1"/>
        <v>46295</v>
      </c>
      <c r="C97" s="1050">
        <v>1000000</v>
      </c>
      <c r="D97" s="1050">
        <v>1000000</v>
      </c>
      <c r="F97" s="1040">
        <f ca="1"/>
        <v>46295</v>
      </c>
      <c r="G97" s="1040">
        <f ca="1"/>
        <v>46387</v>
      </c>
      <c r="H97" s="1041">
        <f ca="1"/>
        <v>92</v>
      </c>
      <c r="I97" s="1040">
        <f ca="1"/>
        <v>46293</v>
      </c>
      <c r="J97" s="1040">
        <f ca="1"/>
        <v>46295</v>
      </c>
      <c r="K97" s="1040">
        <f ca="1"/>
        <v>46387</v>
      </c>
      <c r="L97" s="1040">
        <f ca="1"/>
        <v>46295</v>
      </c>
      <c r="M97" s="1040">
        <f ca="1"/>
        <v>46387</v>
      </c>
      <c r="N97" s="1040">
        <f ca="1"/>
        <v>46387</v>
      </c>
      <c r="O97" s="1042">
        <f ca="1"/>
        <v>1000000</v>
      </c>
      <c r="P97" s="1042">
        <f ca="1"/>
        <v>0.1</v>
      </c>
      <c r="Q97" s="1042">
        <f ca="1"/>
        <v>25555.555555555555</v>
      </c>
      <c r="R97" s="1042">
        <f ca="1"/>
        <v>1000000</v>
      </c>
      <c r="S97" s="1043">
        <f ca="1"/>
        <v>0.15291209088193206</v>
      </c>
      <c r="T97" s="1043">
        <f ca="1"/>
        <v>0.15291209088193206</v>
      </c>
      <c r="U97" s="1041">
        <f ca="1"/>
        <v>1E-3</v>
      </c>
      <c r="V97" s="1041">
        <f ca="1"/>
        <v>1</v>
      </c>
      <c r="W97" s="1041">
        <f ca="1"/>
        <v>0</v>
      </c>
      <c r="X97" s="1043">
        <f ca="1"/>
        <v>0.15391209088193206</v>
      </c>
      <c r="Y97" s="1042">
        <f ca="1"/>
        <v>39333.089892049298</v>
      </c>
      <c r="AA97" s="1042" cm="1">
        <f t="array" aca="1" ref="AA97" ca="1">((_xll.d.Curve_GetDiscountFactors($C$32,L97)/_xll.d.Curve_GetDiscountFactors($C$32,M97)-1)*(360/(M97-L97))+U97)*(H97/360)*C97</f>
        <v>39333.089892049298</v>
      </c>
      <c r="AB97" s="1042">
        <f t="shared" ca="1" si="2"/>
        <v>25555.555555555555</v>
      </c>
      <c r="AC97" s="1042" cm="1">
        <f t="array" aca="1" ref="AC97" ca="1">_xll.d.Curve_GetDiscountFactors($C$80,N97)</f>
        <v>0.66920377644197027</v>
      </c>
      <c r="AD97" s="1042">
        <f t="shared" ca="1" si="3"/>
        <v>9219.9780080405289</v>
      </c>
    </row>
    <row r="98" spans="2:40">
      <c r="B98" s="1049">
        <f ca="1"/>
        <v>46387</v>
      </c>
      <c r="C98" s="1050">
        <v>1000000</v>
      </c>
      <c r="D98" s="1050">
        <v>1000000</v>
      </c>
      <c r="F98" s="1040">
        <f ca="1"/>
        <v>46387</v>
      </c>
      <c r="G98" s="1040">
        <f ca="1"/>
        <v>46477</v>
      </c>
      <c r="H98" s="1041">
        <f ca="1"/>
        <v>90</v>
      </c>
      <c r="I98" s="1040">
        <f ca="1"/>
        <v>46385</v>
      </c>
      <c r="J98" s="1040">
        <f ca="1"/>
        <v>46387</v>
      </c>
      <c r="K98" s="1040">
        <f ca="1"/>
        <v>46477</v>
      </c>
      <c r="L98" s="1040">
        <f ca="1"/>
        <v>46387</v>
      </c>
      <c r="M98" s="1040">
        <f ca="1"/>
        <v>46477</v>
      </c>
      <c r="N98" s="1040">
        <f ca="1"/>
        <v>46477</v>
      </c>
      <c r="O98" s="1042">
        <f ca="1"/>
        <v>1000000</v>
      </c>
      <c r="P98" s="1042">
        <f ca="1"/>
        <v>0.1</v>
      </c>
      <c r="Q98" s="1042">
        <f ca="1"/>
        <v>24999.999999999913</v>
      </c>
      <c r="R98" s="1042">
        <f ca="1"/>
        <v>1000000</v>
      </c>
      <c r="S98" s="1043">
        <f ca="1"/>
        <v>0.1528479883273004</v>
      </c>
      <c r="T98" s="1043">
        <f ca="1"/>
        <v>0.1528479883273004</v>
      </c>
      <c r="U98" s="1041">
        <f ca="1"/>
        <v>1E-3</v>
      </c>
      <c r="V98" s="1041">
        <f ca="1"/>
        <v>1</v>
      </c>
      <c r="W98" s="1041">
        <f ca="1"/>
        <v>0</v>
      </c>
      <c r="X98" s="1043">
        <f ca="1"/>
        <v>0.1538479883273004</v>
      </c>
      <c r="Y98" s="1042">
        <f ca="1"/>
        <v>38461.997081825102</v>
      </c>
      <c r="AA98" s="1042" cm="1">
        <f t="array" aca="1" ref="AA98" ca="1">((_xll.d.Curve_GetDiscountFactors($C$32,L98)/_xll.d.Curve_GetDiscountFactors($C$32,M98)-1)*(360/(M98-L98))+U98)*(H98/360)*C98</f>
        <v>38461.997081825102</v>
      </c>
      <c r="AB98" s="1042">
        <f t="shared" ca="1" si="2"/>
        <v>25000</v>
      </c>
      <c r="AC98" s="1042" cm="1">
        <f t="array" aca="1" ref="AC98" ca="1">_xll.d.Curve_GetDiscountFactors($C$80,N98)</f>
        <v>0.65268107633064609</v>
      </c>
      <c r="AD98" s="1042">
        <f t="shared" ca="1" si="3"/>
        <v>8786.3907449256239</v>
      </c>
    </row>
    <row r="99" spans="2:40">
      <c r="B99" s="1049">
        <f ca="1"/>
        <v>46477</v>
      </c>
      <c r="C99" s="1050">
        <v>2000000</v>
      </c>
      <c r="D99" s="1050">
        <v>2500000</v>
      </c>
      <c r="F99" s="1040">
        <f ca="1"/>
        <v>46477</v>
      </c>
      <c r="G99" s="1040">
        <f ca="1"/>
        <v>46568</v>
      </c>
      <c r="H99" s="1041">
        <f ca="1"/>
        <v>91</v>
      </c>
      <c r="I99" s="1040">
        <f ca="1"/>
        <v>46471</v>
      </c>
      <c r="J99" s="1040">
        <f ca="1"/>
        <v>46477</v>
      </c>
      <c r="K99" s="1040">
        <f ca="1"/>
        <v>46568</v>
      </c>
      <c r="L99" s="1040">
        <f ca="1"/>
        <v>46477</v>
      </c>
      <c r="M99" s="1040">
        <f ca="1"/>
        <v>46568</v>
      </c>
      <c r="N99" s="1040">
        <f ca="1"/>
        <v>46568</v>
      </c>
      <c r="O99" s="1042">
        <f ca="1"/>
        <v>2500000</v>
      </c>
      <c r="P99" s="1042">
        <f ca="1"/>
        <v>0.1</v>
      </c>
      <c r="Q99" s="1042">
        <f ca="1"/>
        <v>63194.444444444329</v>
      </c>
      <c r="R99" s="1042">
        <f ca="1"/>
        <v>2000000</v>
      </c>
      <c r="S99" s="1043">
        <f ca="1"/>
        <v>0.15288003513902046</v>
      </c>
      <c r="T99" s="1043">
        <f ca="1"/>
        <v>0.15288003513902046</v>
      </c>
      <c r="U99" s="1041">
        <f ca="1"/>
        <v>1E-3</v>
      </c>
      <c r="V99" s="1041">
        <f ca="1"/>
        <v>1</v>
      </c>
      <c r="W99" s="1041">
        <f ca="1"/>
        <v>0</v>
      </c>
      <c r="X99" s="1043">
        <f ca="1"/>
        <v>0.15388003513902046</v>
      </c>
      <c r="Y99" s="1042">
        <f ca="1"/>
        <v>77794.906653615893</v>
      </c>
      <c r="AA99" s="1042" cm="1">
        <f t="array" aca="1" ref="AA99" ca="1">((_xll.d.Curve_GetDiscountFactors($C$32,L99)/_xll.d.Curve_GetDiscountFactors($C$32,M99)-1)*(360/(M99-L99))+U99)*(H99/360)*C99</f>
        <v>77794.906653615893</v>
      </c>
      <c r="AB99" s="1042">
        <f t="shared" ca="1" si="2"/>
        <v>63194.444444444445</v>
      </c>
      <c r="AC99" s="1042" cm="1">
        <f t="array" aca="1" ref="AC99" ca="1">_xll.d.Curve_GetDiscountFactors($C$80,N99)</f>
        <v>0.63638952371656232</v>
      </c>
      <c r="AD99" s="1042">
        <f t="shared" ca="1" si="3"/>
        <v>9291.581191336285</v>
      </c>
    </row>
    <row r="100" spans="2:40">
      <c r="B100" s="1049">
        <f ca="1"/>
        <v>46568</v>
      </c>
      <c r="C100" s="1050">
        <v>1000000</v>
      </c>
      <c r="D100" s="1050">
        <v>1000000</v>
      </c>
      <c r="F100" s="1040">
        <f ca="1"/>
        <v>46568</v>
      </c>
      <c r="G100" s="1040">
        <f ca="1"/>
        <v>46660</v>
      </c>
      <c r="H100" s="1041">
        <f ca="1"/>
        <v>92</v>
      </c>
      <c r="I100" s="1040">
        <f ca="1"/>
        <v>46566</v>
      </c>
      <c r="J100" s="1040">
        <f ca="1"/>
        <v>46568</v>
      </c>
      <c r="K100" s="1040">
        <f ca="1"/>
        <v>46660</v>
      </c>
      <c r="L100" s="1040">
        <f ca="1"/>
        <v>46568</v>
      </c>
      <c r="M100" s="1040">
        <f ca="1"/>
        <v>46660</v>
      </c>
      <c r="N100" s="1040">
        <f ca="1"/>
        <v>46660</v>
      </c>
      <c r="O100" s="1042">
        <f ca="1"/>
        <v>1000000</v>
      </c>
      <c r="P100" s="1042">
        <f ca="1"/>
        <v>0.1</v>
      </c>
      <c r="Q100" s="1042">
        <f ca="1"/>
        <v>25555.555555555555</v>
      </c>
      <c r="R100" s="1042">
        <f ca="1"/>
        <v>1000000</v>
      </c>
      <c r="S100" s="1043">
        <f ca="1"/>
        <v>0.15291209088193206</v>
      </c>
      <c r="T100" s="1043">
        <f ca="1"/>
        <v>0.15291209088193206</v>
      </c>
      <c r="U100" s="1041">
        <f ca="1"/>
        <v>1E-3</v>
      </c>
      <c r="V100" s="1041">
        <f ca="1"/>
        <v>1</v>
      </c>
      <c r="W100" s="1041">
        <f ca="1"/>
        <v>0</v>
      </c>
      <c r="X100" s="1043">
        <f ca="1"/>
        <v>0.15391209088193206</v>
      </c>
      <c r="Y100" s="1042">
        <f ca="1"/>
        <v>39333.089892049298</v>
      </c>
      <c r="AA100" s="1042" cm="1">
        <f t="array" aca="1" ref="AA100" ca="1">((_xll.d.Curve_GetDiscountFactors($C$32,L100)/_xll.d.Curve_GetDiscountFactors($C$32,M100)-1)*(360/(M100-L100))+U100)*(H100/360)*C100</f>
        <v>39333.089892049298</v>
      </c>
      <c r="AB100" s="1042">
        <f t="shared" ca="1" si="2"/>
        <v>25555.555555555555</v>
      </c>
      <c r="AC100" s="1042" cm="1">
        <f t="array" aca="1" ref="AC100" ca="1">_xll.d.Curve_GetDiscountFactors($C$80,N100)</f>
        <v>0.62033228559617826</v>
      </c>
      <c r="AD100" s="1042">
        <f t="shared" ca="1" si="3"/>
        <v>8546.6493648369888</v>
      </c>
    </row>
    <row r="101" spans="2:40">
      <c r="B101" s="1049">
        <f ca="1"/>
        <v>46660</v>
      </c>
      <c r="C101" s="1050">
        <v>1000000</v>
      </c>
      <c r="D101" s="1050">
        <v>1000000</v>
      </c>
      <c r="F101" s="1040">
        <f ca="1"/>
        <v>46660</v>
      </c>
      <c r="G101" s="1040">
        <f ca="1"/>
        <v>46752</v>
      </c>
      <c r="H101" s="1041">
        <f ca="1"/>
        <v>92</v>
      </c>
      <c r="I101" s="1040">
        <f ca="1"/>
        <v>46658</v>
      </c>
      <c r="J101" s="1040">
        <f ca="1"/>
        <v>46660</v>
      </c>
      <c r="K101" s="1040">
        <f ca="1"/>
        <v>46751</v>
      </c>
      <c r="L101" s="1040">
        <f ca="1"/>
        <v>46660</v>
      </c>
      <c r="M101" s="1040">
        <f ca="1"/>
        <v>46752</v>
      </c>
      <c r="N101" s="1040">
        <f ca="1"/>
        <v>46752</v>
      </c>
      <c r="O101" s="1042">
        <f ca="1"/>
        <v>1000000</v>
      </c>
      <c r="P101" s="1042">
        <f ca="1"/>
        <v>0.1</v>
      </c>
      <c r="Q101" s="1042">
        <f ca="1"/>
        <v>25555.555555555555</v>
      </c>
      <c r="R101" s="1042">
        <f ca="1"/>
        <v>1000000</v>
      </c>
      <c r="S101" s="1043">
        <f ca="1"/>
        <v>0.1528800351390196</v>
      </c>
      <c r="T101" s="1043">
        <f ca="1"/>
        <v>0.15291209088193206</v>
      </c>
      <c r="U101" s="1041">
        <f ca="1"/>
        <v>1E-3</v>
      </c>
      <c r="V101" s="1041">
        <f ca="1"/>
        <v>1</v>
      </c>
      <c r="W101" s="1041">
        <f ca="1"/>
        <v>0</v>
      </c>
      <c r="X101" s="1043">
        <f ca="1"/>
        <v>0.15391209088193206</v>
      </c>
      <c r="Y101" s="1042">
        <f ca="1"/>
        <v>39333.089892049298</v>
      </c>
      <c r="AA101" s="1042" cm="1">
        <f t="array" aca="1" ref="AA101" ca="1">((_xll.d.Curve_GetDiscountFactors($C$32,L101)/_xll.d.Curve_GetDiscountFactors($C$32,M101)-1)*(360/(M101-L101))+U101)*(H101/360)*C101</f>
        <v>39333.089892049298</v>
      </c>
      <c r="AB101" s="1042">
        <f t="shared" ca="1" si="2"/>
        <v>25555.555555555555</v>
      </c>
      <c r="AC101" s="1042" cm="1">
        <f t="array" aca="1" ref="AC101" ca="1">_xll.d.Curve_GetDiscountFactors($C$80,N101)</f>
        <v>0.60468020011650536</v>
      </c>
      <c r="AD101" s="1042">
        <f t="shared" ca="1" si="3"/>
        <v>8331.0022197030612</v>
      </c>
    </row>
    <row r="102" spans="2:40">
      <c r="B102" s="1049">
        <f ca="1"/>
        <v>46752</v>
      </c>
      <c r="C102" s="1050">
        <v>1000000</v>
      </c>
      <c r="D102" s="1050">
        <v>1000000</v>
      </c>
      <c r="F102" s="1040">
        <f ca="1"/>
        <v>46752</v>
      </c>
      <c r="G102" s="1040">
        <f ca="1"/>
        <v>46843</v>
      </c>
      <c r="H102" s="1041">
        <f ca="1"/>
        <v>91</v>
      </c>
      <c r="I102" s="1040">
        <f ca="1"/>
        <v>46750</v>
      </c>
      <c r="J102" s="1040">
        <f ca="1"/>
        <v>46756</v>
      </c>
      <c r="K102" s="1040">
        <f ca="1"/>
        <v>46847</v>
      </c>
      <c r="L102" s="1040">
        <f ca="1"/>
        <v>46752</v>
      </c>
      <c r="M102" s="1040">
        <f ca="1"/>
        <v>46843</v>
      </c>
      <c r="N102" s="1040">
        <f ca="1"/>
        <v>46843</v>
      </c>
      <c r="O102" s="1042">
        <f ca="1"/>
        <v>1000000</v>
      </c>
      <c r="P102" s="1042">
        <f ca="1"/>
        <v>0.1</v>
      </c>
      <c r="Q102" s="1042">
        <f ca="1"/>
        <v>25277.777777777734</v>
      </c>
      <c r="R102" s="1042">
        <f ca="1"/>
        <v>1000000</v>
      </c>
      <c r="S102" s="1043">
        <f ca="1"/>
        <v>0.1528800351390196</v>
      </c>
      <c r="T102" s="1043">
        <f ca="1"/>
        <v>0.1528800351390196</v>
      </c>
      <c r="U102" s="1041">
        <f ca="1"/>
        <v>1E-3</v>
      </c>
      <c r="V102" s="1041">
        <f ca="1"/>
        <v>1</v>
      </c>
      <c r="W102" s="1041">
        <f ca="1"/>
        <v>0</v>
      </c>
      <c r="X102" s="1043">
        <f ca="1"/>
        <v>0.1538800351390196</v>
      </c>
      <c r="Y102" s="1042">
        <f ca="1"/>
        <v>38897.453326807736</v>
      </c>
      <c r="AA102" s="1042" cm="1">
        <f t="array" aca="1" ref="AA102" ca="1">((_xll.d.Curve_GetDiscountFactors($C$32,L102)/_xll.d.Curve_GetDiscountFactors($C$32,M102)-1)*(360/(M102-L102))+U102)*(H102/360)*C102</f>
        <v>38897.453326807736</v>
      </c>
      <c r="AB102" s="1042">
        <f t="shared" ca="1" si="2"/>
        <v>25277.777777777777</v>
      </c>
      <c r="AC102" s="1042" cm="1">
        <f t="array" aca="1" ref="AC102" ca="1">_xll.d.Curve_GetDiscountFactors($C$80,N102)</f>
        <v>0.58958679592241459</v>
      </c>
      <c r="AD102" s="1042">
        <f t="shared" ca="1" si="3"/>
        <v>8029.9808684554255</v>
      </c>
    </row>
    <row r="103" spans="2:40">
      <c r="B103" s="1049">
        <f ca="1"/>
        <v>46843</v>
      </c>
    </row>
    <row r="104" spans="2:40">
      <c r="AC104" s="1039" t="s">
        <v>833</v>
      </c>
      <c r="AD104" s="1042">
        <f ca="1">SUM(AD83:AD102)</f>
        <v>213772.66828515835</v>
      </c>
      <c r="AE104" s="1048">
        <f ca="1">AD104-C106</f>
        <v>-5.2386894822120667E-10</v>
      </c>
    </row>
    <row r="105" spans="2:40">
      <c r="B105" s="1047" t="s">
        <v>831</v>
      </c>
      <c r="C105" s="1031" t="str" cm="1">
        <f t="array" aca="1" ref="C105" ca="1">_xll.d.IR_CreateNonStandardInterestRateSwap(C73,C74,C75,C76,C77,C78,C79,C80,B83:B103,C83:C102,D83:D102)</f>
        <v>@@TestNonStandardIRS::08:34:05</v>
      </c>
      <c r="AC105" s="13" t="s">
        <v>67</v>
      </c>
      <c r="AD105" s="446" t="str" cm="1">
        <f t="array" aca="1" ref="AD105" ca="1">_xll.d.TestUtils_Equal(AD104,C106)</f>
        <v>Ok</v>
      </c>
    </row>
    <row r="106" spans="2:40">
      <c r="B106" s="1047" t="s">
        <v>832</v>
      </c>
      <c r="C106" s="1045" cm="1">
        <f t="array" aca="1" ref="C106" ca="1">_xll.d.IR_NonStandardInterestRateSwap_GetPrice(C105,FALSE)</f>
        <v>213772.66828515887</v>
      </c>
    </row>
    <row r="108" spans="2:40" ht="18.75">
      <c r="B108" s="3" t="s">
        <v>839</v>
      </c>
      <c r="C108" s="3"/>
      <c r="D108" s="3"/>
      <c r="E108" s="3"/>
      <c r="F108" s="3"/>
      <c r="G108" s="3"/>
      <c r="H108" s="3"/>
      <c r="I108" s="3"/>
    </row>
    <row r="110" spans="2:40">
      <c r="B110" s="50" t="s">
        <v>106</v>
      </c>
      <c r="C110" s="163" t="str" cm="1">
        <f t="array" aca="1" ref="C110" ca="1">_xll.d.TestUtils_And(AN125)</f>
        <v>Ok</v>
      </c>
    </row>
    <row r="112" spans="2:40">
      <c r="B112" s="1034" t="s">
        <v>779</v>
      </c>
      <c r="C112" s="1035" t="s">
        <v>30</v>
      </c>
      <c r="F112" s="323" t="s">
        <v>840</v>
      </c>
      <c r="G112" s="458" t="s">
        <v>841</v>
      </c>
      <c r="H112" s="458" t="s">
        <v>800</v>
      </c>
      <c r="I112" s="458" t="s">
        <v>801</v>
      </c>
      <c r="J112" s="458" t="s">
        <v>802</v>
      </c>
      <c r="K112" s="458" t="s">
        <v>803</v>
      </c>
      <c r="L112" s="458" t="s">
        <v>804</v>
      </c>
      <c r="M112" s="458" t="s">
        <v>805</v>
      </c>
      <c r="N112" s="458" t="s">
        <v>806</v>
      </c>
      <c r="O112" s="458" t="s">
        <v>842</v>
      </c>
      <c r="P112" s="458" t="s">
        <v>811</v>
      </c>
      <c r="Q112" s="458" t="s">
        <v>812</v>
      </c>
      <c r="R112" s="458" t="s">
        <v>813</v>
      </c>
      <c r="S112" s="458" t="s">
        <v>814</v>
      </c>
      <c r="T112" s="458" t="s">
        <v>815</v>
      </c>
      <c r="U112" s="458" t="s">
        <v>816</v>
      </c>
      <c r="V112" s="458" t="s">
        <v>817</v>
      </c>
      <c r="W112" s="458" t="s">
        <v>801</v>
      </c>
      <c r="X112" s="458" t="s">
        <v>802</v>
      </c>
      <c r="Y112" s="458" t="s">
        <v>803</v>
      </c>
      <c r="Z112" s="458" t="s">
        <v>804</v>
      </c>
      <c r="AA112" s="458" t="s">
        <v>805</v>
      </c>
      <c r="AB112" s="458" t="s">
        <v>843</v>
      </c>
      <c r="AC112" s="458" t="s">
        <v>811</v>
      </c>
      <c r="AD112" s="458" t="s">
        <v>812</v>
      </c>
      <c r="AE112" s="458" t="s">
        <v>813</v>
      </c>
      <c r="AF112" s="458" t="s">
        <v>814</v>
      </c>
      <c r="AG112" s="458" t="s">
        <v>815</v>
      </c>
      <c r="AH112" s="458" t="s">
        <v>816</v>
      </c>
      <c r="AI112" s="445" t="s">
        <v>817</v>
      </c>
      <c r="AK112" s="1039" t="s">
        <v>844</v>
      </c>
      <c r="AL112" s="1039" t="s">
        <v>845</v>
      </c>
      <c r="AM112" s="1039" t="s">
        <v>820</v>
      </c>
      <c r="AN112" s="1039" t="s">
        <v>821</v>
      </c>
    </row>
    <row r="113" spans="2:41">
      <c r="B113" s="1030" t="s">
        <v>822</v>
      </c>
      <c r="C113" s="1031" t="s">
        <v>846</v>
      </c>
      <c r="F113" s="1051" cm="1">
        <f t="array" aca="1" ref="F113:AI122" ca="1">_xll.d.IR_FloatForFloatInterestRateSwap_GetPrice(C129,TRUE)</f>
        <v>45016</v>
      </c>
      <c r="G113" s="1051">
        <f ca="1"/>
        <v>45198</v>
      </c>
      <c r="H113" s="1052">
        <f ca="1"/>
        <v>182</v>
      </c>
      <c r="I113" s="1051">
        <f ca="1"/>
        <v>45014</v>
      </c>
      <c r="J113" s="1051">
        <f ca="1"/>
        <v>45016</v>
      </c>
      <c r="K113" s="1051">
        <f ca="1"/>
        <v>45107</v>
      </c>
      <c r="L113" s="1051">
        <f ca="1"/>
        <v>45016</v>
      </c>
      <c r="M113" s="1051">
        <f ca="1"/>
        <v>45198</v>
      </c>
      <c r="N113" s="1051">
        <f ca="1"/>
        <v>45198</v>
      </c>
      <c r="O113" s="1053">
        <f ca="1"/>
        <v>1000000</v>
      </c>
      <c r="P113" s="1052">
        <f ca="1"/>
        <v>0.1528800351390196</v>
      </c>
      <c r="Q113" s="1052">
        <f ca="1"/>
        <v>0.15583403481695549</v>
      </c>
      <c r="R113" s="1052">
        <f ca="1"/>
        <v>1E-3</v>
      </c>
      <c r="S113" s="1052">
        <f ca="1"/>
        <v>1</v>
      </c>
      <c r="T113" s="1052">
        <f ca="1"/>
        <v>0</v>
      </c>
      <c r="U113" s="1052">
        <f ca="1"/>
        <v>0.15683403481695549</v>
      </c>
      <c r="V113" s="1053">
        <f ca="1"/>
        <v>79288.317601905277</v>
      </c>
      <c r="W113" s="1051">
        <f ca="1"/>
        <v>45014</v>
      </c>
      <c r="X113" s="1051">
        <f ca="1"/>
        <v>45016</v>
      </c>
      <c r="Y113" s="1051">
        <f ca="1"/>
        <v>45198</v>
      </c>
      <c r="Z113" s="1051">
        <f ca="1"/>
        <v>45016</v>
      </c>
      <c r="AA113" s="1051">
        <f ca="1"/>
        <v>45198</v>
      </c>
      <c r="AB113" s="1053">
        <f ca="1"/>
        <v>1000000</v>
      </c>
      <c r="AC113" s="1052">
        <f ca="1"/>
        <v>0.12371473897419985</v>
      </c>
      <c r="AD113" s="1052">
        <f ca="1"/>
        <v>0.12371473897419985</v>
      </c>
      <c r="AE113" s="1052">
        <f ca="1"/>
        <v>0</v>
      </c>
      <c r="AF113" s="1052">
        <f ca="1"/>
        <v>1</v>
      </c>
      <c r="AG113" s="1052">
        <f ca="1"/>
        <v>0</v>
      </c>
      <c r="AH113" s="1052">
        <f ca="1"/>
        <v>0.12371473897419985</v>
      </c>
      <c r="AI113" s="1053">
        <f ca="1"/>
        <v>62544.673592512147</v>
      </c>
      <c r="AK113" s="1042" cm="1">
        <f t="array" aca="1" ref="AK113" ca="1">((_xll.d.Curve_GetDiscountFactors($C$32,L113)/_xll.d.Curve_GetDiscountFactors($C$32,M113)-1)*(360/(M113-L113))+R113)*(H113/360)*O113</f>
        <v>79288.317601905277</v>
      </c>
      <c r="AL113" s="1042" cm="1">
        <f t="array" aca="1" ref="AL113" ca="1">((_xll.d.Curve_GetDiscountFactors($F$32,Z113)/_xll.d.Curve_GetDiscountFactors($F$32,AA113)-1)*(360/(AA113-Z113))+AE113)*(H113/360)*O113</f>
        <v>62544.673592512147</v>
      </c>
      <c r="AM113" s="1042" cm="1">
        <f t="array" aca="1" ref="AM113" ca="1">_xll.d.Curve_GetDiscountFactors($C$127,N113)</f>
        <v>0.93109972737280911</v>
      </c>
      <c r="AN113" s="1042">
        <f ca="1">(AL113-AK113)*AM113</f>
        <v>-15590.002372373312</v>
      </c>
    </row>
    <row r="114" spans="2:41">
      <c r="B114" s="1032" t="s">
        <v>381</v>
      </c>
      <c r="C114" s="1036">
        <f ca="1">ValuationDate</f>
        <v>44941</v>
      </c>
      <c r="F114" s="1040">
        <f ca="1"/>
        <v>45198</v>
      </c>
      <c r="G114" s="1040">
        <f ca="1"/>
        <v>45380</v>
      </c>
      <c r="H114" s="1041">
        <f ca="1"/>
        <v>182</v>
      </c>
      <c r="I114" s="1040">
        <f ca="1"/>
        <v>45196</v>
      </c>
      <c r="J114" s="1040">
        <f ca="1"/>
        <v>45198</v>
      </c>
      <c r="K114" s="1040">
        <f ca="1"/>
        <v>45289</v>
      </c>
      <c r="L114" s="1040">
        <f ca="1"/>
        <v>45198</v>
      </c>
      <c r="M114" s="1040">
        <f ca="1"/>
        <v>45384</v>
      </c>
      <c r="N114" s="1040">
        <f ca="1"/>
        <v>45380</v>
      </c>
      <c r="O114" s="1042">
        <f ca="1"/>
        <v>1000000</v>
      </c>
      <c r="P114" s="1041">
        <f ca="1"/>
        <v>0.1528800351390196</v>
      </c>
      <c r="Q114" s="1041">
        <f ca="1"/>
        <v>0.1559656112101159</v>
      </c>
      <c r="R114" s="1041">
        <f ca="1"/>
        <v>1E-3</v>
      </c>
      <c r="S114" s="1041">
        <f ca="1"/>
        <v>1</v>
      </c>
      <c r="T114" s="1041">
        <f ca="1"/>
        <v>0</v>
      </c>
      <c r="U114" s="1041">
        <f ca="1"/>
        <v>0.1569656112101159</v>
      </c>
      <c r="V114" s="1042">
        <f ca="1"/>
        <v>79354.836778447483</v>
      </c>
      <c r="W114" s="1040">
        <f ca="1"/>
        <v>45196</v>
      </c>
      <c r="X114" s="1040">
        <f ca="1"/>
        <v>45198</v>
      </c>
      <c r="Y114" s="1040">
        <f ca="1"/>
        <v>45379</v>
      </c>
      <c r="Z114" s="1040">
        <f ca="1"/>
        <v>45198</v>
      </c>
      <c r="AA114" s="1040">
        <f ca="1"/>
        <v>45384</v>
      </c>
      <c r="AB114" s="1042">
        <f ca="1"/>
        <v>1000000</v>
      </c>
      <c r="AC114" s="1041">
        <f ca="1"/>
        <v>0.12369391370721332</v>
      </c>
      <c r="AD114" s="1041">
        <f ca="1"/>
        <v>0.12379808657038746</v>
      </c>
      <c r="AE114" s="1041">
        <f ca="1"/>
        <v>0</v>
      </c>
      <c r="AF114" s="1041">
        <f ca="1"/>
        <v>1</v>
      </c>
      <c r="AG114" s="1041">
        <f ca="1"/>
        <v>0</v>
      </c>
      <c r="AH114" s="1041">
        <f ca="1"/>
        <v>0.12379808657038746</v>
      </c>
      <c r="AI114" s="1042">
        <f ca="1"/>
        <v>62586.810432806989</v>
      </c>
      <c r="AK114" s="1042" cm="1">
        <f t="array" aca="1" ref="AK114" ca="1">((_xll.d.Curve_GetDiscountFactors($C$32,L114)/_xll.d.Curve_GetDiscountFactors($C$32,M114)-1)*(360/(M114-L114))+R114)*(H114/360)*O114</f>
        <v>79354.836778447498</v>
      </c>
      <c r="AL114" s="1042" cm="1">
        <f t="array" aca="1" ref="AL114" ca="1">((_xll.d.Curve_GetDiscountFactors($F$32,Z114)/_xll.d.Curve_GetDiscountFactors($F$32,AA114)-1)*(360/(AA114-Z114))+AE114)*(H114/360)*O114</f>
        <v>62586.810432807004</v>
      </c>
      <c r="AM114" s="1042" cm="1">
        <f t="array" aca="1" ref="AM114" ca="1">_xll.d.Curve_GetDiscountFactors($C$127,N114)</f>
        <v>0.88519754477798329</v>
      </c>
      <c r="AN114" s="1042">
        <f t="shared" ref="AN114:AN122" ca="1" si="4">(AL114-AK114)*AM114</f>
        <v>-14843.015751933504</v>
      </c>
    </row>
    <row r="115" spans="2:41">
      <c r="B115" s="1032" t="s">
        <v>593</v>
      </c>
      <c r="C115" s="1044">
        <v>45016</v>
      </c>
      <c r="F115" s="1040">
        <f ca="1"/>
        <v>45380</v>
      </c>
      <c r="G115" s="1040">
        <f ca="1"/>
        <v>45565</v>
      </c>
      <c r="H115" s="1041">
        <f ca="1"/>
        <v>185</v>
      </c>
      <c r="I115" s="1040">
        <f ca="1"/>
        <v>45378</v>
      </c>
      <c r="J115" s="1040">
        <f ca="1"/>
        <v>45384</v>
      </c>
      <c r="K115" s="1040">
        <f ca="1"/>
        <v>45475</v>
      </c>
      <c r="L115" s="1040">
        <f ca="1"/>
        <v>45384</v>
      </c>
      <c r="M115" s="1040">
        <f ca="1"/>
        <v>45565</v>
      </c>
      <c r="N115" s="1040">
        <f ca="1"/>
        <v>45565</v>
      </c>
      <c r="O115" s="1042">
        <f ca="1"/>
        <v>1000000</v>
      </c>
      <c r="P115" s="1041">
        <f ca="1"/>
        <v>0.1528800351390196</v>
      </c>
      <c r="Q115" s="1041">
        <f ca="1"/>
        <v>0.15580116369977129</v>
      </c>
      <c r="R115" s="1041">
        <f ca="1"/>
        <v>1E-3</v>
      </c>
      <c r="S115" s="1041">
        <f ca="1"/>
        <v>1</v>
      </c>
      <c r="T115" s="1041">
        <f ca="1"/>
        <v>0</v>
      </c>
      <c r="U115" s="1041">
        <f ca="1"/>
        <v>0.15680116369977129</v>
      </c>
      <c r="V115" s="1042">
        <f ca="1"/>
        <v>80578.375790160237</v>
      </c>
      <c r="W115" s="1040">
        <f ca="1"/>
        <v>45378</v>
      </c>
      <c r="X115" s="1040">
        <f ca="1"/>
        <v>45384</v>
      </c>
      <c r="Y115" s="1040">
        <f ca="1"/>
        <v>45567</v>
      </c>
      <c r="Z115" s="1040">
        <f ca="1"/>
        <v>45384</v>
      </c>
      <c r="AA115" s="1040">
        <f ca="1"/>
        <v>45565</v>
      </c>
      <c r="AB115" s="1042">
        <f ca="1"/>
        <v>1000000</v>
      </c>
      <c r="AC115" s="1041">
        <f ca="1"/>
        <v>0.12373556889284297</v>
      </c>
      <c r="AD115" s="1041">
        <f ca="1"/>
        <v>0.12369391370721332</v>
      </c>
      <c r="AE115" s="1041">
        <f ca="1"/>
        <v>0</v>
      </c>
      <c r="AF115" s="1041">
        <f ca="1"/>
        <v>1</v>
      </c>
      <c r="AG115" s="1041">
        <f ca="1"/>
        <v>0</v>
      </c>
      <c r="AH115" s="1041">
        <f ca="1"/>
        <v>0.12369391370721332</v>
      </c>
      <c r="AI115" s="1042">
        <f ca="1"/>
        <v>63564.927877317947</v>
      </c>
      <c r="AK115" s="1042" cm="1">
        <f t="array" aca="1" ref="AK115" ca="1">((_xll.d.Curve_GetDiscountFactors($C$32,L115)/_xll.d.Curve_GetDiscountFactors($C$32,M115)-1)*(360/(M115-L115))+R115)*(H115/360)*O115</f>
        <v>80578.375790160237</v>
      </c>
      <c r="AL115" s="1042" cm="1">
        <f t="array" aca="1" ref="AL115" ca="1">((_xll.d.Curve_GetDiscountFactors($F$32,Z115)/_xll.d.Curve_GetDiscountFactors($F$32,AA115)-1)*(360/(AA115-Z115))+AE115)*(H115/360)*O115</f>
        <v>63564.927877317947</v>
      </c>
      <c r="AM115" s="1042" cm="1">
        <f t="array" aca="1" ref="AM115" ca="1">_xll.d.Curve_GetDiscountFactors($C$127,N115)</f>
        <v>0.84085728236435064</v>
      </c>
      <c r="AN115" s="1042">
        <f t="shared" ca="1" si="4"/>
        <v>-14305.881575640002</v>
      </c>
    </row>
    <row r="116" spans="2:41">
      <c r="B116" s="1032" t="s">
        <v>824</v>
      </c>
      <c r="C116" s="1044">
        <f ca="1">EDATE(C115,60)</f>
        <v>46843</v>
      </c>
      <c r="F116" s="1040">
        <f ca="1"/>
        <v>45565</v>
      </c>
      <c r="G116" s="1040">
        <f ca="1"/>
        <v>45747</v>
      </c>
      <c r="H116" s="1041">
        <f ca="1"/>
        <v>182</v>
      </c>
      <c r="I116" s="1040">
        <f ca="1"/>
        <v>45561</v>
      </c>
      <c r="J116" s="1040">
        <f ca="1"/>
        <v>45565</v>
      </c>
      <c r="K116" s="1040">
        <f ca="1"/>
        <v>45657</v>
      </c>
      <c r="L116" s="1040">
        <f ca="1"/>
        <v>45565</v>
      </c>
      <c r="M116" s="1040">
        <f ca="1"/>
        <v>45747</v>
      </c>
      <c r="N116" s="1040">
        <f ca="1"/>
        <v>45747</v>
      </c>
      <c r="O116" s="1042">
        <f ca="1"/>
        <v>1000000</v>
      </c>
      <c r="P116" s="1041">
        <f ca="1"/>
        <v>0.15291209088193206</v>
      </c>
      <c r="Q116" s="1041">
        <f ca="1"/>
        <v>0.15583403481695549</v>
      </c>
      <c r="R116" s="1041">
        <f ca="1"/>
        <v>1E-3</v>
      </c>
      <c r="S116" s="1041">
        <f ca="1"/>
        <v>1</v>
      </c>
      <c r="T116" s="1041">
        <f ca="1"/>
        <v>0</v>
      </c>
      <c r="U116" s="1041">
        <f ca="1"/>
        <v>0.15683403481695549</v>
      </c>
      <c r="V116" s="1042">
        <f ca="1"/>
        <v>79288.317601905277</v>
      </c>
      <c r="W116" s="1040">
        <f ca="1"/>
        <v>45561</v>
      </c>
      <c r="X116" s="1040">
        <f ca="1"/>
        <v>45565</v>
      </c>
      <c r="Y116" s="1040">
        <f ca="1"/>
        <v>45747</v>
      </c>
      <c r="Z116" s="1040">
        <f ca="1"/>
        <v>45565</v>
      </c>
      <c r="AA116" s="1040">
        <f ca="1"/>
        <v>45747</v>
      </c>
      <c r="AB116" s="1042">
        <f ca="1"/>
        <v>1000000</v>
      </c>
      <c r="AC116" s="1041">
        <f ca="1"/>
        <v>0.12371473897419985</v>
      </c>
      <c r="AD116" s="1041">
        <f ca="1"/>
        <v>0.12371473897419985</v>
      </c>
      <c r="AE116" s="1041">
        <f ca="1"/>
        <v>0</v>
      </c>
      <c r="AF116" s="1041">
        <f ca="1"/>
        <v>1</v>
      </c>
      <c r="AG116" s="1041">
        <f ca="1"/>
        <v>0</v>
      </c>
      <c r="AH116" s="1041">
        <f ca="1"/>
        <v>0.12371473897419985</v>
      </c>
      <c r="AI116" s="1042">
        <f ca="1"/>
        <v>62544.673592512147</v>
      </c>
      <c r="AK116" s="1042" cm="1">
        <f t="array" aca="1" ref="AK116" ca="1">((_xll.d.Curve_GetDiscountFactors($C$32,L116)/_xll.d.Curve_GetDiscountFactors($C$32,M116)-1)*(360/(M116-L116))+R116)*(H116/360)*O116</f>
        <v>79288.317601905277</v>
      </c>
      <c r="AL116" s="1042" cm="1">
        <f t="array" aca="1" ref="AL116" ca="1">((_xll.d.Curve_GetDiscountFactors($F$32,Z116)/_xll.d.Curve_GetDiscountFactors($F$32,AA116)-1)*(360/(AA116-Z116))+AE116)*(H116/360)*O116</f>
        <v>62544.673592512147</v>
      </c>
      <c r="AM116" s="1042" cm="1">
        <f t="array" aca="1" ref="AM116" ca="1">_xll.d.Curve_GetDiscountFactors($C$127,N116)</f>
        <v>0.79940395209629955</v>
      </c>
      <c r="AN116" s="1042">
        <f t="shared" ca="1" si="4"/>
        <v>-13384.9351936024</v>
      </c>
    </row>
    <row r="117" spans="2:41">
      <c r="B117" s="1032" t="s">
        <v>22</v>
      </c>
      <c r="C117" s="1031" t="s">
        <v>27</v>
      </c>
      <c r="F117" s="1040">
        <f ca="1"/>
        <v>45747</v>
      </c>
      <c r="G117" s="1040">
        <f ca="1"/>
        <v>45930</v>
      </c>
      <c r="H117" s="1041">
        <f ca="1"/>
        <v>183</v>
      </c>
      <c r="I117" s="1040">
        <f ca="1"/>
        <v>45743</v>
      </c>
      <c r="J117" s="1040">
        <f ca="1"/>
        <v>45747</v>
      </c>
      <c r="K117" s="1040">
        <f ca="1"/>
        <v>45838</v>
      </c>
      <c r="L117" s="1040">
        <f ca="1"/>
        <v>45747</v>
      </c>
      <c r="M117" s="1040">
        <f ca="1"/>
        <v>45930</v>
      </c>
      <c r="N117" s="1040">
        <f ca="1"/>
        <v>45930</v>
      </c>
      <c r="O117" s="1042">
        <f ca="1"/>
        <v>1000000</v>
      </c>
      <c r="P117" s="1041">
        <f ca="1"/>
        <v>0.1528800351390196</v>
      </c>
      <c r="Q117" s="1041">
        <f ca="1"/>
        <v>0.15586691512369941</v>
      </c>
      <c r="R117" s="1041">
        <f ca="1"/>
        <v>1E-3</v>
      </c>
      <c r="S117" s="1041">
        <f ca="1"/>
        <v>1</v>
      </c>
      <c r="T117" s="1041">
        <f ca="1"/>
        <v>0</v>
      </c>
      <c r="U117" s="1041">
        <f ca="1"/>
        <v>0.15686691512369941</v>
      </c>
      <c r="V117" s="1042">
        <f ca="1"/>
        <v>79740.681854547191</v>
      </c>
      <c r="W117" s="1040">
        <f ca="1"/>
        <v>45743</v>
      </c>
      <c r="X117" s="1040">
        <f ca="1"/>
        <v>45747</v>
      </c>
      <c r="Y117" s="1040">
        <f ca="1"/>
        <v>45930</v>
      </c>
      <c r="Z117" s="1040">
        <f ca="1"/>
        <v>45747</v>
      </c>
      <c r="AA117" s="1040">
        <f ca="1"/>
        <v>45930</v>
      </c>
      <c r="AB117" s="1042">
        <f ca="1"/>
        <v>1000000</v>
      </c>
      <c r="AC117" s="1041">
        <f ca="1"/>
        <v>0.12373556889284297</v>
      </c>
      <c r="AD117" s="1041">
        <f ca="1"/>
        <v>0.12373556889284297</v>
      </c>
      <c r="AE117" s="1041">
        <f ca="1"/>
        <v>0</v>
      </c>
      <c r="AF117" s="1041">
        <f ca="1"/>
        <v>1</v>
      </c>
      <c r="AG117" s="1041">
        <f ca="1"/>
        <v>0</v>
      </c>
      <c r="AH117" s="1041">
        <f ca="1"/>
        <v>0.12373556889284297</v>
      </c>
      <c r="AI117" s="1042">
        <f ca="1"/>
        <v>62898.91418719518</v>
      </c>
      <c r="AK117" s="1042" cm="1">
        <f t="array" aca="1" ref="AK117" ca="1">((_xll.d.Curve_GetDiscountFactors($C$32,L117)/_xll.d.Curve_GetDiscountFactors($C$32,M117)-1)*(360/(M117-L117))+R117)*(H117/360)*O117</f>
        <v>79740.681854547176</v>
      </c>
      <c r="AL117" s="1042" cm="1">
        <f t="array" aca="1" ref="AL117" ca="1">((_xll.d.Curve_GetDiscountFactors($F$32,Z117)/_xll.d.Curve_GetDiscountFactors($F$32,AA117)-1)*(360/(AA117-Z117))+AE117)*(H117/360)*O117</f>
        <v>62898.91418719518</v>
      </c>
      <c r="AM117" s="1042" cm="1">
        <f t="array" aca="1" ref="AM117" ca="1">_xll.d.Curve_GetDiscountFactors($C$127,N117)</f>
        <v>0.75978314478861342</v>
      </c>
      <c r="AN117" s="1042">
        <f t="shared" ca="1" si="4"/>
        <v>-12796.091202099889</v>
      </c>
    </row>
    <row r="118" spans="2:41">
      <c r="B118" s="1032" t="s">
        <v>201</v>
      </c>
      <c r="C118" s="1031" t="s">
        <v>309</v>
      </c>
      <c r="F118" s="1040">
        <f ca="1"/>
        <v>45930</v>
      </c>
      <c r="G118" s="1040">
        <f ca="1"/>
        <v>46112</v>
      </c>
      <c r="H118" s="1041">
        <f ca="1"/>
        <v>182</v>
      </c>
      <c r="I118" s="1040">
        <f ca="1"/>
        <v>45926</v>
      </c>
      <c r="J118" s="1040">
        <f ca="1"/>
        <v>45930</v>
      </c>
      <c r="K118" s="1040">
        <f ca="1"/>
        <v>46022</v>
      </c>
      <c r="L118" s="1040">
        <f ca="1"/>
        <v>45930</v>
      </c>
      <c r="M118" s="1040">
        <f ca="1"/>
        <v>46112</v>
      </c>
      <c r="N118" s="1040">
        <f ca="1"/>
        <v>46112</v>
      </c>
      <c r="O118" s="1042">
        <f ca="1"/>
        <v>1000000</v>
      </c>
      <c r="P118" s="1041">
        <f ca="1"/>
        <v>0.15291209088193206</v>
      </c>
      <c r="Q118" s="1041">
        <f ca="1"/>
        <v>0.1558340348169559</v>
      </c>
      <c r="R118" s="1041">
        <f ca="1"/>
        <v>1E-3</v>
      </c>
      <c r="S118" s="1041">
        <f ca="1"/>
        <v>1</v>
      </c>
      <c r="T118" s="1041">
        <f ca="1"/>
        <v>0</v>
      </c>
      <c r="U118" s="1041">
        <f ca="1"/>
        <v>0.1568340348169559</v>
      </c>
      <c r="V118" s="1042">
        <f ca="1"/>
        <v>79288.317601905481</v>
      </c>
      <c r="W118" s="1040">
        <f ca="1"/>
        <v>45926</v>
      </c>
      <c r="X118" s="1040">
        <f ca="1"/>
        <v>45930</v>
      </c>
      <c r="Y118" s="1040">
        <f ca="1"/>
        <v>46112</v>
      </c>
      <c r="Z118" s="1040">
        <f ca="1"/>
        <v>45930</v>
      </c>
      <c r="AA118" s="1040">
        <f ca="1"/>
        <v>46112</v>
      </c>
      <c r="AB118" s="1042">
        <f ca="1"/>
        <v>1000000</v>
      </c>
      <c r="AC118" s="1041">
        <f ca="1"/>
        <v>0.12371473897419985</v>
      </c>
      <c r="AD118" s="1041">
        <f ca="1"/>
        <v>0.12371473897419985</v>
      </c>
      <c r="AE118" s="1041">
        <f ca="1"/>
        <v>0</v>
      </c>
      <c r="AF118" s="1041">
        <f ca="1"/>
        <v>1</v>
      </c>
      <c r="AG118" s="1041">
        <f ca="1"/>
        <v>0</v>
      </c>
      <c r="AH118" s="1041">
        <f ca="1"/>
        <v>0.12371473897419985</v>
      </c>
      <c r="AI118" s="1042">
        <f ca="1"/>
        <v>62544.673592512147</v>
      </c>
      <c r="AK118" s="1042" cm="1">
        <f t="array" aca="1" ref="AK118" ca="1">((_xll.d.Curve_GetDiscountFactors($C$32,L118)/_xll.d.Curve_GetDiscountFactors($C$32,M118)-1)*(360/(M118-L118))+R118)*(H118/360)*O118</f>
        <v>79288.317601905481</v>
      </c>
      <c r="AL118" s="1042" cm="1">
        <f t="array" aca="1" ref="AL118" ca="1">((_xll.d.Curve_GetDiscountFactors($F$32,Z118)/_xll.d.Curve_GetDiscountFactors($F$32,AA118)-1)*(360/(AA118-Z118))+AE118)*(H118/360)*O118</f>
        <v>62544.673592512147</v>
      </c>
      <c r="AM118" s="1042" cm="1">
        <f t="array" aca="1" ref="AM118" ca="1">_xll.d.Curve_GetDiscountFactors($C$127,N118)</f>
        <v>0.72232667947209672</v>
      </c>
      <c r="AN118" s="1042">
        <f t="shared" ca="1" si="4"/>
        <v>-12094.380779567951</v>
      </c>
    </row>
    <row r="119" spans="2:41">
      <c r="B119" s="1032" t="s">
        <v>202</v>
      </c>
      <c r="C119" s="1031" t="s">
        <v>233</v>
      </c>
      <c r="F119" s="1040">
        <f ca="1"/>
        <v>46112</v>
      </c>
      <c r="G119" s="1040">
        <f ca="1"/>
        <v>46295</v>
      </c>
      <c r="H119" s="1041">
        <f ca="1"/>
        <v>183</v>
      </c>
      <c r="I119" s="1040">
        <f ca="1"/>
        <v>46108</v>
      </c>
      <c r="J119" s="1040">
        <f ca="1"/>
        <v>46112</v>
      </c>
      <c r="K119" s="1040">
        <f ca="1"/>
        <v>46203</v>
      </c>
      <c r="L119" s="1040">
        <f ca="1"/>
        <v>46112</v>
      </c>
      <c r="M119" s="1040">
        <f ca="1"/>
        <v>46295</v>
      </c>
      <c r="N119" s="1040">
        <f ca="1"/>
        <v>46295</v>
      </c>
      <c r="O119" s="1042">
        <f ca="1"/>
        <v>1000000</v>
      </c>
      <c r="P119" s="1041">
        <f ca="1"/>
        <v>0.1528800351390196</v>
      </c>
      <c r="Q119" s="1041">
        <f ca="1"/>
        <v>0.15586691512369852</v>
      </c>
      <c r="R119" s="1041">
        <f ca="1"/>
        <v>1E-3</v>
      </c>
      <c r="S119" s="1041">
        <f ca="1"/>
        <v>1</v>
      </c>
      <c r="T119" s="1041">
        <f ca="1"/>
        <v>0</v>
      </c>
      <c r="U119" s="1041">
        <f ca="1"/>
        <v>0.15686691512369852</v>
      </c>
      <c r="V119" s="1042">
        <f ca="1"/>
        <v>79740.681854546739</v>
      </c>
      <c r="W119" s="1040">
        <f ca="1"/>
        <v>46108</v>
      </c>
      <c r="X119" s="1040">
        <f ca="1"/>
        <v>46112</v>
      </c>
      <c r="Y119" s="1040">
        <f ca="1"/>
        <v>46295</v>
      </c>
      <c r="Z119" s="1040">
        <f ca="1"/>
        <v>46112</v>
      </c>
      <c r="AA119" s="1040">
        <f ca="1"/>
        <v>46295</v>
      </c>
      <c r="AB119" s="1042">
        <f ca="1"/>
        <v>1000000</v>
      </c>
      <c r="AC119" s="1041">
        <f ca="1"/>
        <v>0.12373556889284297</v>
      </c>
      <c r="AD119" s="1041">
        <f ca="1"/>
        <v>0.12373556889284297</v>
      </c>
      <c r="AE119" s="1041">
        <f ca="1"/>
        <v>0</v>
      </c>
      <c r="AF119" s="1041">
        <f ca="1"/>
        <v>1</v>
      </c>
      <c r="AG119" s="1041">
        <f ca="1"/>
        <v>0</v>
      </c>
      <c r="AH119" s="1041">
        <f ca="1"/>
        <v>0.12373556889284297</v>
      </c>
      <c r="AI119" s="1042">
        <f ca="1"/>
        <v>62898.91418719518</v>
      </c>
      <c r="AK119" s="1042" cm="1">
        <f t="array" aca="1" ref="AK119" ca="1">((_xll.d.Curve_GetDiscountFactors($C$32,L119)/_xll.d.Curve_GetDiscountFactors($C$32,M119)-1)*(360/(M119-L119))+R119)*(H119/360)*O119</f>
        <v>79740.681854546739</v>
      </c>
      <c r="AL119" s="1042" cm="1">
        <f t="array" aca="1" ref="AL119" ca="1">((_xll.d.Curve_GetDiscountFactors($F$32,Z119)/_xll.d.Curve_GetDiscountFactors($F$32,AA119)-1)*(360/(AA119-Z119))+AE119)*(H119/360)*O119</f>
        <v>62898.91418719518</v>
      </c>
      <c r="AM119" s="1042" cm="1">
        <f t="array" aca="1" ref="AM119" ca="1">_xll.d.Curve_GetDiscountFactors($C$127,N119)</f>
        <v>0.68652604813231433</v>
      </c>
      <c r="AN119" s="1042">
        <f t="shared" ca="1" si="4"/>
        <v>-11562.312200229451</v>
      </c>
    </row>
    <row r="120" spans="2:41">
      <c r="B120" s="1032" t="s">
        <v>825</v>
      </c>
      <c r="C120" s="1031" t="s">
        <v>317</v>
      </c>
      <c r="F120" s="1040">
        <f ca="1"/>
        <v>46295</v>
      </c>
      <c r="G120" s="1040">
        <f ca="1"/>
        <v>46477</v>
      </c>
      <c r="H120" s="1041">
        <f ca="1"/>
        <v>182</v>
      </c>
      <c r="I120" s="1040">
        <f ca="1"/>
        <v>46293</v>
      </c>
      <c r="J120" s="1040">
        <f ca="1"/>
        <v>46295</v>
      </c>
      <c r="K120" s="1040">
        <f ca="1"/>
        <v>46387</v>
      </c>
      <c r="L120" s="1040">
        <f ca="1"/>
        <v>46295</v>
      </c>
      <c r="M120" s="1040">
        <f ca="1"/>
        <v>46477</v>
      </c>
      <c r="N120" s="1040">
        <f ca="1"/>
        <v>46477</v>
      </c>
      <c r="O120" s="1042">
        <f ca="1"/>
        <v>1000000</v>
      </c>
      <c r="P120" s="1041">
        <f ca="1"/>
        <v>0.15291209088193206</v>
      </c>
      <c r="Q120" s="1041">
        <f ca="1"/>
        <v>0.1558340348169559</v>
      </c>
      <c r="R120" s="1041">
        <f ca="1"/>
        <v>1E-3</v>
      </c>
      <c r="S120" s="1041">
        <f ca="1"/>
        <v>1</v>
      </c>
      <c r="T120" s="1041">
        <f ca="1"/>
        <v>0</v>
      </c>
      <c r="U120" s="1041">
        <f ca="1"/>
        <v>0.1568340348169559</v>
      </c>
      <c r="V120" s="1042">
        <f ca="1"/>
        <v>79288.317601905481</v>
      </c>
      <c r="W120" s="1040">
        <f ca="1"/>
        <v>46293</v>
      </c>
      <c r="X120" s="1040">
        <f ca="1"/>
        <v>46295</v>
      </c>
      <c r="Y120" s="1040">
        <f ca="1"/>
        <v>46477</v>
      </c>
      <c r="Z120" s="1040">
        <f ca="1"/>
        <v>46295</v>
      </c>
      <c r="AA120" s="1040">
        <f ca="1"/>
        <v>46477</v>
      </c>
      <c r="AB120" s="1042">
        <f ca="1"/>
        <v>1000000</v>
      </c>
      <c r="AC120" s="1041">
        <f ca="1"/>
        <v>0.12371473897419985</v>
      </c>
      <c r="AD120" s="1041">
        <f ca="1"/>
        <v>0.12371473897419985</v>
      </c>
      <c r="AE120" s="1041">
        <f ca="1"/>
        <v>0</v>
      </c>
      <c r="AF120" s="1041">
        <f ca="1"/>
        <v>1</v>
      </c>
      <c r="AG120" s="1041">
        <f ca="1"/>
        <v>0</v>
      </c>
      <c r="AH120" s="1041">
        <f ca="1"/>
        <v>0.12371473897419985</v>
      </c>
      <c r="AI120" s="1042">
        <f ca="1"/>
        <v>62544.673592512147</v>
      </c>
      <c r="AK120" s="1042" cm="1">
        <f t="array" aca="1" ref="AK120" ca="1">((_xll.d.Curve_GetDiscountFactors($C$32,L120)/_xll.d.Curve_GetDiscountFactors($C$32,M120)-1)*(360/(M120-L120))+R120)*(H120/360)*O120</f>
        <v>79288.317601905481</v>
      </c>
      <c r="AL120" s="1042" cm="1">
        <f t="array" aca="1" ref="AL120" ca="1">((_xll.d.Curve_GetDiscountFactors($F$32,Z120)/_xll.d.Curve_GetDiscountFactors($F$32,AA120)-1)*(360/(AA120-Z120))+AE120)*(H120/360)*O120</f>
        <v>62544.673592512147</v>
      </c>
      <c r="AM120" s="1042" cm="1">
        <f t="array" aca="1" ref="AM120" ca="1">_xll.d.Curve_GetDiscountFactors($C$127,N120)</f>
        <v>0.65268107633064609</v>
      </c>
      <c r="AN120" s="1042">
        <f t="shared" ca="1" si="4"/>
        <v>-10928.259593748016</v>
      </c>
    </row>
    <row r="121" spans="2:41">
      <c r="B121" s="1032" t="s">
        <v>847</v>
      </c>
      <c r="C121" s="1031" t="s">
        <v>195</v>
      </c>
      <c r="F121" s="1040">
        <f ca="1"/>
        <v>46477</v>
      </c>
      <c r="G121" s="1040">
        <f ca="1"/>
        <v>46660</v>
      </c>
      <c r="H121" s="1041">
        <f ca="1"/>
        <v>183</v>
      </c>
      <c r="I121" s="1040">
        <f ca="1"/>
        <v>46471</v>
      </c>
      <c r="J121" s="1040">
        <f ca="1"/>
        <v>46477</v>
      </c>
      <c r="K121" s="1040">
        <f ca="1"/>
        <v>46568</v>
      </c>
      <c r="L121" s="1040">
        <f ca="1"/>
        <v>46477</v>
      </c>
      <c r="M121" s="1040">
        <f ca="1"/>
        <v>46660</v>
      </c>
      <c r="N121" s="1040">
        <f ca="1"/>
        <v>46660</v>
      </c>
      <c r="O121" s="1042">
        <f ca="1"/>
        <v>1000000</v>
      </c>
      <c r="P121" s="1041">
        <f ca="1"/>
        <v>0.15288003513902046</v>
      </c>
      <c r="Q121" s="1041">
        <f ca="1"/>
        <v>0.15586691512369896</v>
      </c>
      <c r="R121" s="1041">
        <f ca="1"/>
        <v>1E-3</v>
      </c>
      <c r="S121" s="1041">
        <f ca="1"/>
        <v>1</v>
      </c>
      <c r="T121" s="1041">
        <f ca="1"/>
        <v>0</v>
      </c>
      <c r="U121" s="1041">
        <f ca="1"/>
        <v>0.15686691512369896</v>
      </c>
      <c r="V121" s="1042">
        <f ca="1"/>
        <v>79740.681854546972</v>
      </c>
      <c r="W121" s="1040">
        <f ca="1"/>
        <v>46471</v>
      </c>
      <c r="X121" s="1040">
        <f ca="1"/>
        <v>46477</v>
      </c>
      <c r="Y121" s="1040">
        <f ca="1"/>
        <v>46660</v>
      </c>
      <c r="Z121" s="1040">
        <f ca="1"/>
        <v>46477</v>
      </c>
      <c r="AA121" s="1040">
        <f ca="1"/>
        <v>46660</v>
      </c>
      <c r="AB121" s="1042">
        <f ca="1"/>
        <v>1000000</v>
      </c>
      <c r="AC121" s="1041">
        <f ca="1"/>
        <v>0.12373556889284297</v>
      </c>
      <c r="AD121" s="1041">
        <f ca="1"/>
        <v>0.12373556889284297</v>
      </c>
      <c r="AE121" s="1041">
        <f ca="1"/>
        <v>0</v>
      </c>
      <c r="AF121" s="1041">
        <f ca="1"/>
        <v>1</v>
      </c>
      <c r="AG121" s="1041">
        <f ca="1"/>
        <v>0</v>
      </c>
      <c r="AH121" s="1041">
        <f ca="1"/>
        <v>0.12373556889284297</v>
      </c>
      <c r="AI121" s="1042">
        <f ca="1"/>
        <v>62898.91418719518</v>
      </c>
      <c r="AK121" s="1042" cm="1">
        <f t="array" aca="1" ref="AK121" ca="1">((_xll.d.Curve_GetDiscountFactors($C$32,L121)/_xll.d.Curve_GetDiscountFactors($C$32,M121)-1)*(360/(M121-L121))+R121)*(H121/360)*O121</f>
        <v>79740.681854546972</v>
      </c>
      <c r="AL121" s="1042" cm="1">
        <f t="array" aca="1" ref="AL121" ca="1">((_xll.d.Curve_GetDiscountFactors($F$32,Z121)/_xll.d.Curve_GetDiscountFactors($F$32,AA121)-1)*(360/(AA121-Z121))+AE121)*(H121/360)*O121</f>
        <v>62898.91418719518</v>
      </c>
      <c r="AM121" s="1042" cm="1">
        <f t="array" aca="1" ref="AM121" ca="1">_xll.d.Curve_GetDiscountFactors($C$127,N121)</f>
        <v>0.62033228559617826</v>
      </c>
      <c r="AN121" s="1042">
        <f t="shared" ca="1" si="4"/>
        <v>-10447.492230568154</v>
      </c>
    </row>
    <row r="122" spans="2:41">
      <c r="B122" s="1032" t="s">
        <v>827</v>
      </c>
      <c r="C122" s="1045">
        <v>1000000</v>
      </c>
      <c r="F122" s="1040">
        <f ca="1"/>
        <v>46660</v>
      </c>
      <c r="G122" s="1040">
        <f ca="1"/>
        <v>46843</v>
      </c>
      <c r="H122" s="1041">
        <f ca="1"/>
        <v>183</v>
      </c>
      <c r="I122" s="1040">
        <f ca="1"/>
        <v>46658</v>
      </c>
      <c r="J122" s="1040">
        <f ca="1"/>
        <v>46660</v>
      </c>
      <c r="K122" s="1040">
        <f ca="1"/>
        <v>46751</v>
      </c>
      <c r="L122" s="1040">
        <f ca="1"/>
        <v>46660</v>
      </c>
      <c r="M122" s="1040">
        <f ca="1"/>
        <v>46843</v>
      </c>
      <c r="N122" s="1040">
        <f ca="1"/>
        <v>46843</v>
      </c>
      <c r="O122" s="1042">
        <f ca="1"/>
        <v>1000000</v>
      </c>
      <c r="P122" s="1041">
        <f ca="1"/>
        <v>0.1528800351390196</v>
      </c>
      <c r="Q122" s="1041">
        <f ca="1"/>
        <v>0.15586691512369896</v>
      </c>
      <c r="R122" s="1041">
        <f ca="1"/>
        <v>1E-3</v>
      </c>
      <c r="S122" s="1041">
        <f ca="1"/>
        <v>1</v>
      </c>
      <c r="T122" s="1041">
        <f ca="1"/>
        <v>0</v>
      </c>
      <c r="U122" s="1041">
        <f ca="1"/>
        <v>0.15686691512369896</v>
      </c>
      <c r="V122" s="1042">
        <f ca="1"/>
        <v>79740.681854546972</v>
      </c>
      <c r="W122" s="1040">
        <f ca="1"/>
        <v>46658</v>
      </c>
      <c r="X122" s="1040">
        <f ca="1"/>
        <v>46660</v>
      </c>
      <c r="Y122" s="1040">
        <f ca="1"/>
        <v>46843</v>
      </c>
      <c r="Z122" s="1040">
        <f ca="1"/>
        <v>46660</v>
      </c>
      <c r="AA122" s="1040">
        <f ca="1"/>
        <v>46843</v>
      </c>
      <c r="AB122" s="1042">
        <f ca="1"/>
        <v>1000000</v>
      </c>
      <c r="AC122" s="1041">
        <f ca="1"/>
        <v>0.12373556889284297</v>
      </c>
      <c r="AD122" s="1041">
        <f ca="1"/>
        <v>0.12373556889284297</v>
      </c>
      <c r="AE122" s="1041">
        <f ca="1"/>
        <v>0</v>
      </c>
      <c r="AF122" s="1041">
        <f ca="1"/>
        <v>1</v>
      </c>
      <c r="AG122" s="1041">
        <f ca="1"/>
        <v>0</v>
      </c>
      <c r="AH122" s="1041">
        <f ca="1"/>
        <v>0.12373556889284297</v>
      </c>
      <c r="AI122" s="1042">
        <f ca="1"/>
        <v>62898.91418719518</v>
      </c>
      <c r="AK122" s="1042" cm="1">
        <f t="array" aca="1" ref="AK122" ca="1">((_xll.d.Curve_GetDiscountFactors($C$32,L122)/_xll.d.Curve_GetDiscountFactors($C$32,M122)-1)*(360/(M122-L122))+R122)*(H122/360)*O122</f>
        <v>79740.681854546972</v>
      </c>
      <c r="AL122" s="1042" cm="1">
        <f t="array" aca="1" ref="AL122" ca="1">((_xll.d.Curve_GetDiscountFactors($F$32,Z122)/_xll.d.Curve_GetDiscountFactors($F$32,AA122)-1)*(360/(AA122-Z122))+AE122)*(H122/360)*O122</f>
        <v>62898.91418719518</v>
      </c>
      <c r="AM122" s="1042" cm="1">
        <f t="array" aca="1" ref="AM122" ca="1">_xll.d.Curve_GetDiscountFactors($C$127,N122)</f>
        <v>0.58958679592241459</v>
      </c>
      <c r="AN122" s="1042">
        <f t="shared" ca="1" si="4"/>
        <v>-9929.6838366636621</v>
      </c>
    </row>
    <row r="123" spans="2:41">
      <c r="B123" s="1032" t="s">
        <v>653</v>
      </c>
      <c r="C123" s="1031" t="s">
        <v>241</v>
      </c>
      <c r="AK123" s="1054"/>
      <c r="AL123" s="1054"/>
    </row>
    <row r="124" spans="2:41">
      <c r="B124" s="1032" t="s">
        <v>848</v>
      </c>
      <c r="C124" s="1031" t="str">
        <f ca="1">C38</f>
        <v>@@USDLibor3mIndex::08:34:05</v>
      </c>
      <c r="AM124" s="1039" t="s">
        <v>833</v>
      </c>
      <c r="AN124" s="1042">
        <f ca="1">SUM(AN113:AN122)</f>
        <v>-125882.05473642635</v>
      </c>
    </row>
    <row r="125" spans="2:41">
      <c r="B125" s="1032" t="s">
        <v>849</v>
      </c>
      <c r="C125" s="1031" t="str">
        <f ca="1">F38</f>
        <v>@@USDLibor6mIndex::08:34:05</v>
      </c>
      <c r="AM125" s="13" t="s">
        <v>67</v>
      </c>
      <c r="AN125" s="446" t="str" cm="1">
        <f t="array" aca="1" ref="AN125" ca="1">_xll.d.TestUtils_Equal(AN124,C130)</f>
        <v>Ok</v>
      </c>
      <c r="AO125" s="1054">
        <f ca="1">AN124-C130</f>
        <v>0</v>
      </c>
    </row>
    <row r="126" spans="2:41">
      <c r="B126" s="1032" t="s">
        <v>850</v>
      </c>
      <c r="C126" s="1031">
        <f ca="1">10/10000</f>
        <v>1E-3</v>
      </c>
    </row>
    <row r="127" spans="2:41">
      <c r="B127" s="1033" t="s">
        <v>830</v>
      </c>
      <c r="C127" s="1031" t="str">
        <f ca="1">C23</f>
        <v>@@Discount Curve USD::08:34:04</v>
      </c>
    </row>
    <row r="129" spans="2:26">
      <c r="B129" s="1032" t="s">
        <v>831</v>
      </c>
      <c r="C129" s="1055" t="str" cm="1">
        <f t="array" aca="1" ref="C129" ca="1">_xll.d.IR_CreateFloatForFloatInterestRateSwap(C113,C114,C115,C116,C117,C118,C119,C120,C121,C122,C123,C124,C125,C126,C127)</f>
        <v>@@TestFloatFloatIRS::08:34:05</v>
      </c>
    </row>
    <row r="130" spans="2:26">
      <c r="B130" s="1032" t="s">
        <v>832</v>
      </c>
      <c r="C130" s="1050" cm="1">
        <f t="array" aca="1" ref="C130" ca="1">_xll.d.IR_FloatForFloatInterestRateSwap_GetPrice(C129,FALSE)</f>
        <v>-125882.05473642627</v>
      </c>
      <c r="X130" s="1054"/>
    </row>
    <row r="131" spans="2:26">
      <c r="X131" s="1054"/>
    </row>
    <row r="132" spans="2:26" ht="18.75">
      <c r="B132" s="3" t="s">
        <v>851</v>
      </c>
      <c r="C132" s="3"/>
      <c r="D132" s="3"/>
      <c r="E132" s="3"/>
      <c r="F132" s="3"/>
      <c r="G132" s="3"/>
      <c r="H132" s="3"/>
      <c r="I132" s="3"/>
    </row>
    <row r="133" spans="2:26">
      <c r="X133" s="1054"/>
    </row>
    <row r="134" spans="2:26">
      <c r="B134" s="50" t="s">
        <v>106</v>
      </c>
      <c r="C134" s="163" t="str" cm="1">
        <f t="array" aca="1" ref="C134" ca="1">_xll.d.TestUtils_And(Z151)</f>
        <v>Ok</v>
      </c>
      <c r="X134" s="1054"/>
    </row>
    <row r="135" spans="2:26">
      <c r="X135" s="1054"/>
    </row>
    <row r="136" spans="2:26">
      <c r="B136" s="1034" t="s">
        <v>779</v>
      </c>
      <c r="C136" s="1035" t="s">
        <v>30</v>
      </c>
      <c r="F136" s="323" t="s">
        <v>840</v>
      </c>
      <c r="G136" s="458" t="s">
        <v>841</v>
      </c>
      <c r="H136" s="458" t="s">
        <v>800</v>
      </c>
      <c r="I136" s="458" t="s">
        <v>801</v>
      </c>
      <c r="J136" s="458" t="s">
        <v>802</v>
      </c>
      <c r="K136" s="458" t="s">
        <v>803</v>
      </c>
      <c r="L136" s="458" t="s">
        <v>804</v>
      </c>
      <c r="M136" s="458" t="s">
        <v>805</v>
      </c>
      <c r="N136" s="458" t="s">
        <v>806</v>
      </c>
      <c r="O136" s="458" t="s">
        <v>842</v>
      </c>
      <c r="P136" s="458" t="s">
        <v>811</v>
      </c>
      <c r="Q136" s="458" t="s">
        <v>812</v>
      </c>
      <c r="R136" s="458" t="s">
        <v>813</v>
      </c>
      <c r="S136" s="458" t="s">
        <v>814</v>
      </c>
      <c r="T136" s="458" t="s">
        <v>815</v>
      </c>
      <c r="U136" s="458" t="s">
        <v>816</v>
      </c>
      <c r="V136" s="458" t="s">
        <v>852</v>
      </c>
      <c r="X136" s="1039" t="s">
        <v>844</v>
      </c>
      <c r="Y136" s="1039" t="s">
        <v>820</v>
      </c>
      <c r="Z136" s="1039" t="s">
        <v>821</v>
      </c>
    </row>
    <row r="137" spans="2:26">
      <c r="B137" s="1030" t="s">
        <v>853</v>
      </c>
      <c r="C137" s="1031" t="s">
        <v>854</v>
      </c>
      <c r="F137" s="1040" cm="1">
        <f t="array" aca="1" ref="F137:V148" ca="1">_xll.d.IR_ConstantNotionalFloatingLeg_GetPrice(C152,TRUE)</f>
        <v>45016</v>
      </c>
      <c r="G137" s="1040">
        <f ca="1"/>
        <v>45198</v>
      </c>
      <c r="H137" s="1041">
        <f ca="1"/>
        <v>182</v>
      </c>
      <c r="I137" s="1040">
        <f ca="1"/>
        <v>45016</v>
      </c>
      <c r="J137" s="1040">
        <f ca="1"/>
        <v>45016</v>
      </c>
      <c r="K137" s="1040">
        <f ca="1"/>
        <v>45198</v>
      </c>
      <c r="L137" s="1040">
        <f ca="1"/>
        <v>45016</v>
      </c>
      <c r="M137" s="1040">
        <f ca="1"/>
        <v>45198</v>
      </c>
      <c r="N137" s="1040">
        <f ca="1"/>
        <v>45198</v>
      </c>
      <c r="O137" s="1042">
        <f ca="1"/>
        <v>1000000</v>
      </c>
      <c r="P137" s="1041">
        <f ca="1"/>
        <v>0.12366282710126851</v>
      </c>
      <c r="Q137" s="1041">
        <f ca="1"/>
        <v>0.12366282710126851</v>
      </c>
      <c r="R137" s="1041">
        <f ca="1"/>
        <v>1E-3</v>
      </c>
      <c r="S137" s="1041">
        <f ca="1"/>
        <v>1</v>
      </c>
      <c r="T137" s="1041">
        <f ca="1"/>
        <v>0</v>
      </c>
      <c r="U137" s="1041">
        <f ca="1"/>
        <v>0.12466282710126851</v>
      </c>
      <c r="V137" s="1042">
        <f ca="1"/>
        <v>62160.642554605118</v>
      </c>
      <c r="W137" s="1056"/>
      <c r="X137" s="1042" cm="1">
        <f t="array" aca="1" ref="X137" ca="1">((_xll.d.Curve_GetDiscountFactors($I$32,L137)/_xll.d.Curve_GetDiscountFactors($I$32,M137)-1)*(365/(M137-L137))+R137)*(H137/365)*O137</f>
        <v>62160.642554605118</v>
      </c>
      <c r="Y137" s="1057" cm="1">
        <f t="array" aca="1" ref="Y137" ca="1">_xll.d.Curve_GetDiscountFactors($C$149,N137)</f>
        <v>0.96540702456913852</v>
      </c>
      <c r="Z137" s="1042">
        <f ca="1">X137*Y137</f>
        <v>60010.320973947099</v>
      </c>
    </row>
    <row r="138" spans="2:26">
      <c r="B138" s="1032" t="s">
        <v>381</v>
      </c>
      <c r="C138" s="1036">
        <f ca="1">ValuationDate</f>
        <v>44941</v>
      </c>
      <c r="F138" s="1040">
        <f ca="1"/>
        <v>45198</v>
      </c>
      <c r="G138" s="1040">
        <f ca="1"/>
        <v>45379</v>
      </c>
      <c r="H138" s="1041">
        <f ca="1"/>
        <v>181</v>
      </c>
      <c r="I138" s="1040">
        <f ca="1"/>
        <v>45198</v>
      </c>
      <c r="J138" s="1040">
        <f ca="1"/>
        <v>45198</v>
      </c>
      <c r="K138" s="1040">
        <f ca="1"/>
        <v>45379</v>
      </c>
      <c r="L138" s="1040">
        <f ca="1"/>
        <v>45198</v>
      </c>
      <c r="M138" s="1040">
        <f ca="1"/>
        <v>45379</v>
      </c>
      <c r="N138" s="1040">
        <f ca="1"/>
        <v>45379</v>
      </c>
      <c r="O138" s="1042">
        <f ca="1"/>
        <v>1000000</v>
      </c>
      <c r="P138" s="1041">
        <f ca="1"/>
        <v>0.12364229851392096</v>
      </c>
      <c r="Q138" s="1041">
        <f ca="1"/>
        <v>0.12364229851392096</v>
      </c>
      <c r="R138" s="1041">
        <f ca="1"/>
        <v>1E-3</v>
      </c>
      <c r="S138" s="1041">
        <f ca="1"/>
        <v>1</v>
      </c>
      <c r="T138" s="1041">
        <f ca="1"/>
        <v>0</v>
      </c>
      <c r="U138" s="1041">
        <f ca="1"/>
        <v>0.12464229851392096</v>
      </c>
      <c r="V138" s="1042">
        <f ca="1"/>
        <v>61808.920632930669</v>
      </c>
      <c r="W138" s="1056"/>
      <c r="X138" s="1042" cm="1">
        <f t="array" aca="1" ref="X138" ca="1">((_xll.d.Curve_GetDiscountFactors($I$32,L138)/_xll.d.Curve_GetDiscountFactors($I$32,M138)-1)*(365/(M138-L138))+R138)*(H138/365)*O138</f>
        <v>61808.920632930676</v>
      </c>
      <c r="Y138" s="1057" cm="1">
        <f t="array" aca="1" ref="Y138" ca="1">_xll.d.Curve_GetDiscountFactors($C$149,N138)</f>
        <v>0.94176453358424872</v>
      </c>
      <c r="Z138" s="1042">
        <f t="shared" ref="Z138:Z148" ca="1" si="5">X138*Y138</f>
        <v>58209.449311217802</v>
      </c>
    </row>
    <row r="139" spans="2:26">
      <c r="B139" s="1032" t="s">
        <v>593</v>
      </c>
      <c r="C139" s="1044">
        <v>45016</v>
      </c>
      <c r="F139" s="1040">
        <f ca="1"/>
        <v>45379</v>
      </c>
      <c r="G139" s="1040">
        <f ca="1"/>
        <v>45565</v>
      </c>
      <c r="H139" s="1041">
        <f ca="1"/>
        <v>186</v>
      </c>
      <c r="I139" s="1040">
        <f ca="1"/>
        <v>45379</v>
      </c>
      <c r="J139" s="1040">
        <f ca="1"/>
        <v>45379</v>
      </c>
      <c r="K139" s="1040">
        <f ca="1"/>
        <v>45565</v>
      </c>
      <c r="L139" s="1040">
        <f ca="1"/>
        <v>45379</v>
      </c>
      <c r="M139" s="1040">
        <f ca="1"/>
        <v>45565</v>
      </c>
      <c r="N139" s="1040">
        <f ca="1"/>
        <v>45565</v>
      </c>
      <c r="O139" s="1042">
        <f ca="1"/>
        <v>1000000</v>
      </c>
      <c r="P139" s="1041">
        <f ca="1"/>
        <v>0.12374498668444239</v>
      </c>
      <c r="Q139" s="1041">
        <f ca="1"/>
        <v>0.12374498668444239</v>
      </c>
      <c r="R139" s="1041">
        <f ca="1"/>
        <v>1E-3</v>
      </c>
      <c r="S139" s="1041">
        <f ca="1"/>
        <v>1</v>
      </c>
      <c r="T139" s="1041">
        <f ca="1"/>
        <v>0</v>
      </c>
      <c r="U139" s="1041">
        <f ca="1"/>
        <v>0.12474498668444239</v>
      </c>
      <c r="V139" s="1042">
        <f ca="1"/>
        <v>63568.678146044622</v>
      </c>
      <c r="W139" s="1056"/>
      <c r="X139" s="1042" cm="1">
        <f t="array" aca="1" ref="X139" ca="1">((_xll.d.Curve_GetDiscountFactors($I$32,L139)/_xll.d.Curve_GetDiscountFactors($I$32,M139)-1)*(365/(M139-L139))+R139)*(H139/365)*O139</f>
        <v>63568.678146044622</v>
      </c>
      <c r="Y139" s="1057" cm="1">
        <f t="array" aca="1" ref="Y139" ca="1">_xll.d.Curve_GetDiscountFactors($C$149,N139)</f>
        <v>0.91807200735364869</v>
      </c>
      <c r="Z139" s="1042">
        <f t="shared" ca="1" si="5"/>
        <v>58360.623950357207</v>
      </c>
    </row>
    <row r="140" spans="2:26">
      <c r="B140" s="1032" t="s">
        <v>824</v>
      </c>
      <c r="C140" s="1044">
        <v>46843</v>
      </c>
      <c r="F140" s="1040">
        <f ca="1"/>
        <v>45565</v>
      </c>
      <c r="G140" s="1040">
        <f ca="1"/>
        <v>45747</v>
      </c>
      <c r="H140" s="1041">
        <f ca="1"/>
        <v>182</v>
      </c>
      <c r="I140" s="1040">
        <f ca="1"/>
        <v>45565</v>
      </c>
      <c r="J140" s="1040">
        <f ca="1"/>
        <v>45565</v>
      </c>
      <c r="K140" s="1040">
        <f ca="1"/>
        <v>45747</v>
      </c>
      <c r="L140" s="1040">
        <f ca="1"/>
        <v>45565</v>
      </c>
      <c r="M140" s="1040">
        <f ca="1"/>
        <v>45747</v>
      </c>
      <c r="N140" s="1040">
        <f ca="1"/>
        <v>45747</v>
      </c>
      <c r="O140" s="1042">
        <f ca="1"/>
        <v>1000000</v>
      </c>
      <c r="P140" s="1041">
        <f ca="1"/>
        <v>0.12366282710126805</v>
      </c>
      <c r="Q140" s="1041">
        <f ca="1"/>
        <v>0.12366282710126805</v>
      </c>
      <c r="R140" s="1041">
        <f ca="1"/>
        <v>1E-3</v>
      </c>
      <c r="S140" s="1041">
        <f ca="1"/>
        <v>1</v>
      </c>
      <c r="T140" s="1041">
        <f ca="1"/>
        <v>0</v>
      </c>
      <c r="U140" s="1041">
        <f ca="1"/>
        <v>0.12466282710126805</v>
      </c>
      <c r="V140" s="1042">
        <f ca="1"/>
        <v>62160.642554604892</v>
      </c>
      <c r="W140" s="1056"/>
      <c r="X140" s="1042" cm="1">
        <f t="array" aca="1" ref="X140" ca="1">((_xll.d.Curve_GetDiscountFactors($I$32,L140)/_xll.d.Curve_GetDiscountFactors($I$32,M140)-1)*(365/(M140-L140))+R140)*(H140/365)*O140</f>
        <v>62160.642554604899</v>
      </c>
      <c r="Y140" s="1057" cm="1">
        <f t="array" aca="1" ref="Y140" ca="1">_xll.d.Curve_GetDiscountFactors($C$149,N140)</f>
        <v>0.89546605991912998</v>
      </c>
      <c r="Z140" s="1042">
        <f t="shared" ca="1" si="5"/>
        <v>55662.745670413453</v>
      </c>
    </row>
    <row r="141" spans="2:26">
      <c r="B141" s="1032" t="s">
        <v>22</v>
      </c>
      <c r="C141" s="1031" t="s">
        <v>27</v>
      </c>
      <c r="F141" s="1040">
        <f ca="1"/>
        <v>45747</v>
      </c>
      <c r="G141" s="1040">
        <f ca="1"/>
        <v>45930</v>
      </c>
      <c r="H141" s="1041">
        <f ca="1"/>
        <v>183</v>
      </c>
      <c r="I141" s="1040">
        <f ca="1"/>
        <v>45747</v>
      </c>
      <c r="J141" s="1040">
        <f ca="1"/>
        <v>45747</v>
      </c>
      <c r="K141" s="1040">
        <f ca="1"/>
        <v>45930</v>
      </c>
      <c r="L141" s="1040">
        <f ca="1"/>
        <v>45747</v>
      </c>
      <c r="M141" s="1040">
        <f ca="1"/>
        <v>45930</v>
      </c>
      <c r="N141" s="1040">
        <f ca="1"/>
        <v>45930</v>
      </c>
      <c r="O141" s="1042">
        <f ca="1"/>
        <v>1000000</v>
      </c>
      <c r="P141" s="1041">
        <f ca="1"/>
        <v>0.12368336021087489</v>
      </c>
      <c r="Q141" s="1041">
        <f ca="1"/>
        <v>0.12368336021087489</v>
      </c>
      <c r="R141" s="1041">
        <f ca="1"/>
        <v>1E-3</v>
      </c>
      <c r="S141" s="1041">
        <f ca="1"/>
        <v>1</v>
      </c>
      <c r="T141" s="1041">
        <f ca="1"/>
        <v>0</v>
      </c>
      <c r="U141" s="1041">
        <f ca="1"/>
        <v>0.12468336021087489</v>
      </c>
      <c r="V141" s="1042">
        <f ca="1"/>
        <v>62512.479229013996</v>
      </c>
      <c r="W141" s="1056"/>
      <c r="X141" s="1042" cm="1">
        <f t="array" aca="1" ref="X141" ca="1">((_xll.d.Curve_GetDiscountFactors($I$32,L141)/_xll.d.Curve_GetDiscountFactors($I$32,M141)-1)*(365/(M141-L141))+R141)*(H141/365)*O141</f>
        <v>62512.479229013996</v>
      </c>
      <c r="Y141" s="1057" cm="1">
        <f t="array" aca="1" ref="Y141" ca="1">_xll.d.Curve_GetDiscountFactors($C$149,N141)</f>
        <v>0.87329710720522646</v>
      </c>
      <c r="Z141" s="1042">
        <f t="shared" ca="1" si="5"/>
        <v>54591.967274924726</v>
      </c>
    </row>
    <row r="142" spans="2:26">
      <c r="B142" s="1032" t="s">
        <v>201</v>
      </c>
      <c r="C142" s="1031" t="s">
        <v>54</v>
      </c>
      <c r="F142" s="1040">
        <f ca="1"/>
        <v>45930</v>
      </c>
      <c r="G142" s="1040">
        <f ca="1"/>
        <v>46112</v>
      </c>
      <c r="H142" s="1041">
        <f ca="1"/>
        <v>182</v>
      </c>
      <c r="I142" s="1040">
        <f ca="1"/>
        <v>45930</v>
      </c>
      <c r="J142" s="1040">
        <f ca="1"/>
        <v>45930</v>
      </c>
      <c r="K142" s="1040">
        <f ca="1"/>
        <v>46111</v>
      </c>
      <c r="L142" s="1040">
        <f ca="1"/>
        <v>45930</v>
      </c>
      <c r="M142" s="1040">
        <f ca="1"/>
        <v>46112</v>
      </c>
      <c r="N142" s="1040">
        <f ca="1"/>
        <v>46112</v>
      </c>
      <c r="O142" s="1042">
        <f ca="1"/>
        <v>1000000</v>
      </c>
      <c r="P142" s="1041">
        <f ca="1"/>
        <v>0.12364229851392185</v>
      </c>
      <c r="Q142" s="1041">
        <f ca="1"/>
        <v>0.12366282710126805</v>
      </c>
      <c r="R142" s="1041">
        <f ca="1"/>
        <v>1E-3</v>
      </c>
      <c r="S142" s="1041">
        <f ca="1"/>
        <v>1</v>
      </c>
      <c r="T142" s="1041">
        <f ca="1"/>
        <v>0</v>
      </c>
      <c r="U142" s="1041">
        <f ca="1"/>
        <v>0.12466282710126805</v>
      </c>
      <c r="V142" s="1042">
        <f ca="1"/>
        <v>62160.642554604892</v>
      </c>
      <c r="W142" s="1056"/>
      <c r="X142" s="1042" cm="1">
        <f t="array" aca="1" ref="X142" ca="1">((_xll.d.Curve_GetDiscountFactors($I$32,L142)/_xll.d.Curve_GetDiscountFactors($I$32,M142)-1)*(365/(M142-L142))+R142)*(H142/365)*O142</f>
        <v>62160.642554604899</v>
      </c>
      <c r="Y142" s="1057" cm="1">
        <f t="array" aca="1" ref="Y142" ca="1">_xll.d.Curve_GetDiscountFactors($C$149,N142)</f>
        <v>0.85179366483679586</v>
      </c>
      <c r="Z142" s="1042">
        <f t="shared" ca="1" si="5"/>
        <v>52948.041530196999</v>
      </c>
    </row>
    <row r="143" spans="2:26">
      <c r="B143" s="1032" t="s">
        <v>202</v>
      </c>
      <c r="C143" s="1031" t="s">
        <v>233</v>
      </c>
      <c r="F143" s="1040">
        <f ca="1"/>
        <v>46112</v>
      </c>
      <c r="G143" s="1040">
        <f ca="1"/>
        <v>46295</v>
      </c>
      <c r="H143" s="1041">
        <f ca="1"/>
        <v>183</v>
      </c>
      <c r="I143" s="1040">
        <f ca="1"/>
        <v>46112</v>
      </c>
      <c r="J143" s="1040">
        <f ca="1"/>
        <v>46112</v>
      </c>
      <c r="K143" s="1040">
        <f ca="1"/>
        <v>46295</v>
      </c>
      <c r="L143" s="1040">
        <f ca="1"/>
        <v>46112</v>
      </c>
      <c r="M143" s="1040">
        <f ca="1"/>
        <v>46295</v>
      </c>
      <c r="N143" s="1040">
        <f ca="1"/>
        <v>46295</v>
      </c>
      <c r="O143" s="1042">
        <f ca="1"/>
        <v>1000000</v>
      </c>
      <c r="P143" s="1041">
        <f ca="1"/>
        <v>0.12368336021087534</v>
      </c>
      <c r="Q143" s="1041">
        <f ca="1"/>
        <v>0.12368336021087534</v>
      </c>
      <c r="R143" s="1041">
        <f ca="1"/>
        <v>1E-3</v>
      </c>
      <c r="S143" s="1041">
        <f ca="1"/>
        <v>1</v>
      </c>
      <c r="T143" s="1041">
        <f ca="1"/>
        <v>0</v>
      </c>
      <c r="U143" s="1041">
        <f ca="1"/>
        <v>0.12468336021087534</v>
      </c>
      <c r="V143" s="1042">
        <f ca="1"/>
        <v>62512.479229014221</v>
      </c>
      <c r="W143" s="1056"/>
      <c r="X143" s="1042" cm="1">
        <f t="array" aca="1" ref="X143" ca="1">((_xll.d.Curve_GetDiscountFactors($I$32,L143)/_xll.d.Curve_GetDiscountFactors($I$32,M143)-1)*(365/(M143-L143))+R143)*(H143/365)*O143</f>
        <v>62512.479229014221</v>
      </c>
      <c r="Y143" s="1057" cm="1">
        <f t="array" aca="1" ref="Y143" ca="1">_xll.d.Curve_GetDiscountFactors($C$149,N143)</f>
        <v>0.83070590470496608</v>
      </c>
      <c r="Z143" s="1042">
        <f t="shared" ca="1" si="5"/>
        <v>51929.485613288656</v>
      </c>
    </row>
    <row r="144" spans="2:26">
      <c r="B144" s="1032" t="s">
        <v>825</v>
      </c>
      <c r="C144" s="1031" t="s">
        <v>317</v>
      </c>
      <c r="F144" s="1040">
        <f ca="1"/>
        <v>46295</v>
      </c>
      <c r="G144" s="1040">
        <f ca="1"/>
        <v>46477</v>
      </c>
      <c r="H144" s="1041">
        <f ca="1"/>
        <v>182</v>
      </c>
      <c r="I144" s="1040">
        <f ca="1"/>
        <v>46295</v>
      </c>
      <c r="J144" s="1040">
        <f ca="1"/>
        <v>46295</v>
      </c>
      <c r="K144" s="1040">
        <f ca="1"/>
        <v>46476</v>
      </c>
      <c r="L144" s="1040">
        <f ca="1"/>
        <v>46295</v>
      </c>
      <c r="M144" s="1040">
        <f ca="1"/>
        <v>46477</v>
      </c>
      <c r="N144" s="1040">
        <f ca="1"/>
        <v>46477</v>
      </c>
      <c r="O144" s="1042">
        <f ca="1"/>
        <v>1000000</v>
      </c>
      <c r="P144" s="1041">
        <f ca="1"/>
        <v>0.1236422985139214</v>
      </c>
      <c r="Q144" s="1041">
        <f ca="1"/>
        <v>0.12366282710126805</v>
      </c>
      <c r="R144" s="1041">
        <f ca="1"/>
        <v>1E-3</v>
      </c>
      <c r="S144" s="1041">
        <f ca="1"/>
        <v>1</v>
      </c>
      <c r="T144" s="1041">
        <f ca="1"/>
        <v>0</v>
      </c>
      <c r="U144" s="1041">
        <f ca="1"/>
        <v>0.12466282710126805</v>
      </c>
      <c r="V144" s="1042">
        <f ca="1"/>
        <v>62160.642554604892</v>
      </c>
      <c r="W144" s="1056"/>
      <c r="X144" s="1042" cm="1">
        <f t="array" aca="1" ref="X144" ca="1">((_xll.d.Curve_GetDiscountFactors($I$32,L144)/_xll.d.Curve_GetDiscountFactors($I$32,M144)-1)*(365/(M144-L144))+R144)*(H144/365)*O144</f>
        <v>62160.642554604899</v>
      </c>
      <c r="Y144" s="1057" cm="1">
        <f t="array" aca="1" ref="Y144" ca="1">_xll.d.Curve_GetDiscountFactors($C$149,N144)</f>
        <v>0.81025119759605946</v>
      </c>
      <c r="Z144" s="1042">
        <f t="shared" ca="1" si="5"/>
        <v>50365.735073209195</v>
      </c>
    </row>
    <row r="145" spans="2:28">
      <c r="B145" s="1032" t="s">
        <v>827</v>
      </c>
      <c r="C145" s="1045">
        <v>1000000</v>
      </c>
      <c r="F145" s="1040">
        <f ca="1"/>
        <v>46477</v>
      </c>
      <c r="G145" s="1040">
        <f ca="1"/>
        <v>46660</v>
      </c>
      <c r="H145" s="1041">
        <f ca="1"/>
        <v>183</v>
      </c>
      <c r="I145" s="1040">
        <f ca="1"/>
        <v>46477</v>
      </c>
      <c r="J145" s="1040">
        <f ca="1"/>
        <v>46477</v>
      </c>
      <c r="K145" s="1040">
        <f ca="1"/>
        <v>46660</v>
      </c>
      <c r="L145" s="1040">
        <f ca="1"/>
        <v>46477</v>
      </c>
      <c r="M145" s="1040">
        <f ca="1"/>
        <v>46660</v>
      </c>
      <c r="N145" s="1040">
        <f ca="1"/>
        <v>46660</v>
      </c>
      <c r="O145" s="1042">
        <f ca="1"/>
        <v>1000000</v>
      </c>
      <c r="P145" s="1041">
        <f ca="1"/>
        <v>0.12368336021087489</v>
      </c>
      <c r="Q145" s="1041">
        <f ca="1"/>
        <v>0.12368336021087489</v>
      </c>
      <c r="R145" s="1041">
        <f ca="1"/>
        <v>1E-3</v>
      </c>
      <c r="S145" s="1041">
        <f ca="1"/>
        <v>1</v>
      </c>
      <c r="T145" s="1041">
        <f ca="1"/>
        <v>0</v>
      </c>
      <c r="U145" s="1041">
        <f ca="1"/>
        <v>0.12468336021087489</v>
      </c>
      <c r="V145" s="1042">
        <f ca="1"/>
        <v>62512.479229013996</v>
      </c>
      <c r="W145" s="1056"/>
      <c r="X145" s="1042" cm="1">
        <f t="array" aca="1" ref="X145" ca="1">((_xll.d.Curve_GetDiscountFactors($I$32,L145)/_xll.d.Curve_GetDiscountFactors($I$32,M145)-1)*(365/(M145-L145))+R145)*(H145/365)*O145</f>
        <v>62512.479229013996</v>
      </c>
      <c r="Y145" s="1057" cm="1">
        <f t="array" aca="1" ref="Y145" ca="1">_xll.d.Curve_GetDiscountFactors($C$149,N145)</f>
        <v>0.79019189966184977</v>
      </c>
      <c r="Z145" s="1042">
        <f t="shared" ca="1" si="5"/>
        <v>49396.854714546498</v>
      </c>
    </row>
    <row r="146" spans="2:28">
      <c r="B146" s="1032" t="s">
        <v>653</v>
      </c>
      <c r="C146" s="1031" t="s">
        <v>244</v>
      </c>
      <c r="F146" s="1040">
        <f ca="1"/>
        <v>46660</v>
      </c>
      <c r="G146" s="1040">
        <f ca="1"/>
        <v>46843</v>
      </c>
      <c r="H146" s="1041">
        <f ca="1"/>
        <v>183</v>
      </c>
      <c r="I146" s="1040">
        <f ca="1"/>
        <v>46660</v>
      </c>
      <c r="J146" s="1040">
        <f ca="1"/>
        <v>46660</v>
      </c>
      <c r="K146" s="1040">
        <f ca="1"/>
        <v>46842</v>
      </c>
      <c r="L146" s="1040">
        <f ca="1"/>
        <v>46660</v>
      </c>
      <c r="M146" s="1040">
        <f ca="1"/>
        <v>46843</v>
      </c>
      <c r="N146" s="1040">
        <f ca="1"/>
        <v>46843</v>
      </c>
      <c r="O146" s="1042">
        <f ca="1"/>
        <v>1000000</v>
      </c>
      <c r="P146" s="1041">
        <f ca="1"/>
        <v>0.12366282710126851</v>
      </c>
      <c r="Q146" s="1041">
        <f ca="1"/>
        <v>0.12368336021087489</v>
      </c>
      <c r="R146" s="1041">
        <f ca="1"/>
        <v>1E-3</v>
      </c>
      <c r="S146" s="1041">
        <f ca="1"/>
        <v>1</v>
      </c>
      <c r="T146" s="1041">
        <f ca="1"/>
        <v>0</v>
      </c>
      <c r="U146" s="1041">
        <f ca="1"/>
        <v>0.12468336021087489</v>
      </c>
      <c r="V146" s="1042">
        <f ca="1"/>
        <v>62512.479229013996</v>
      </c>
      <c r="W146" s="1056"/>
      <c r="X146" s="1042" cm="1">
        <f t="array" aca="1" ref="X146" ca="1">((_xll.d.Curve_GetDiscountFactors($I$32,L146)/_xll.d.Curve_GetDiscountFactors($I$32,M146)-1)*(365/(M146-L146))+R146)*(H146/365)*O146</f>
        <v>62512.479229013996</v>
      </c>
      <c r="Y146" s="1057" cm="1">
        <f t="array" aca="1" ref="Y146" ca="1">_xll.d.Curve_GetDiscountFactors($C$149,N146)</f>
        <v>0.77062920751459518</v>
      </c>
      <c r="Z146" s="1042">
        <f t="shared" ca="1" si="5"/>
        <v>48173.942328027646</v>
      </c>
    </row>
    <row r="147" spans="2:28">
      <c r="B147" s="1032" t="s">
        <v>849</v>
      </c>
      <c r="C147" s="1031" t="str">
        <f ca="1">I38</f>
        <v>@@ZARJibarr6mIndex::08:34:05</v>
      </c>
      <c r="F147" s="1040">
        <f ca="1"/>
        <v>0</v>
      </c>
      <c r="G147" s="1040">
        <f ca="1"/>
        <v>0</v>
      </c>
      <c r="H147" s="1041">
        <f ca="1"/>
        <v>0</v>
      </c>
      <c r="I147" s="1040">
        <f ca="1"/>
        <v>0</v>
      </c>
      <c r="J147" s="1040">
        <f ca="1"/>
        <v>0</v>
      </c>
      <c r="K147" s="1040">
        <f ca="1"/>
        <v>0</v>
      </c>
      <c r="L147" s="1040">
        <f ca="1"/>
        <v>0</v>
      </c>
      <c r="M147" s="1040">
        <f ca="1"/>
        <v>0</v>
      </c>
      <c r="N147" s="1040">
        <f ca="1"/>
        <v>45016</v>
      </c>
      <c r="O147" s="1042">
        <f ca="1"/>
        <v>1000000</v>
      </c>
      <c r="P147" s="1041">
        <f ca="1"/>
        <v>0</v>
      </c>
      <c r="Q147" s="1041">
        <f ca="1"/>
        <v>0</v>
      </c>
      <c r="R147" s="1041">
        <f ca="1"/>
        <v>0</v>
      </c>
      <c r="S147" s="1041">
        <f ca="1"/>
        <v>0</v>
      </c>
      <c r="T147" s="1041">
        <f ca="1"/>
        <v>0</v>
      </c>
      <c r="U147" s="1041">
        <f ca="1"/>
        <v>0</v>
      </c>
      <c r="V147" s="1042">
        <f ca="1"/>
        <v>1000000</v>
      </c>
      <c r="W147" s="1054"/>
      <c r="X147" s="1042">
        <f ca="1">V147</f>
        <v>1000000</v>
      </c>
      <c r="Y147" s="1057" cm="1">
        <f t="array" aca="1" ref="Y147" ca="1">_xll.d.Curve_GetDiscountFactors($C$149,N147)</f>
        <v>0.98977862437303943</v>
      </c>
      <c r="Z147" s="1042">
        <f t="shared" ca="1" si="5"/>
        <v>989778.62437303946</v>
      </c>
    </row>
    <row r="148" spans="2:28">
      <c r="B148" s="1032" t="s">
        <v>850</v>
      </c>
      <c r="C148" s="1031">
        <f ca="1">C126</f>
        <v>1E-3</v>
      </c>
      <c r="F148" s="1040">
        <f ca="1"/>
        <v>0</v>
      </c>
      <c r="G148" s="1040">
        <f ca="1"/>
        <v>0</v>
      </c>
      <c r="H148" s="1041">
        <f ca="1"/>
        <v>0</v>
      </c>
      <c r="I148" s="1040">
        <f ca="1"/>
        <v>0</v>
      </c>
      <c r="J148" s="1040">
        <f ca="1"/>
        <v>0</v>
      </c>
      <c r="K148" s="1040">
        <f ca="1"/>
        <v>0</v>
      </c>
      <c r="L148" s="1040">
        <f ca="1"/>
        <v>0</v>
      </c>
      <c r="M148" s="1040">
        <f ca="1"/>
        <v>0</v>
      </c>
      <c r="N148" s="1040">
        <f ca="1"/>
        <v>46843</v>
      </c>
      <c r="O148" s="1042">
        <f ca="1"/>
        <v>-1000000</v>
      </c>
      <c r="P148" s="1041">
        <f ca="1"/>
        <v>0</v>
      </c>
      <c r="Q148" s="1041">
        <f ca="1"/>
        <v>0</v>
      </c>
      <c r="R148" s="1041">
        <f ca="1"/>
        <v>0</v>
      </c>
      <c r="S148" s="1041">
        <f ca="1"/>
        <v>0</v>
      </c>
      <c r="T148" s="1041">
        <f ca="1"/>
        <v>0</v>
      </c>
      <c r="U148" s="1041">
        <f ca="1"/>
        <v>0</v>
      </c>
      <c r="V148" s="1042">
        <f ca="1"/>
        <v>-1000000</v>
      </c>
      <c r="W148" s="1054"/>
      <c r="X148" s="1042">
        <f ca="1">V148</f>
        <v>-1000000</v>
      </c>
      <c r="Y148" s="1057" cm="1">
        <f t="array" aca="1" ref="Y148" ca="1">_xll.d.Curve_GetDiscountFactors($C$149,N148)</f>
        <v>0.77062920751459518</v>
      </c>
      <c r="Z148" s="1042">
        <f t="shared" ca="1" si="5"/>
        <v>-770629.20751459524</v>
      </c>
    </row>
    <row r="149" spans="2:28">
      <c r="B149" s="280" t="s">
        <v>830</v>
      </c>
      <c r="C149" s="1029" t="str">
        <f ca="1">C24</f>
        <v>@@Discount Curve ZAR::08:34:04</v>
      </c>
    </row>
    <row r="150" spans="2:28">
      <c r="B150" s="1058" t="s">
        <v>855</v>
      </c>
      <c r="C150" s="1029" t="b">
        <v>1</v>
      </c>
      <c r="Y150" s="1039" t="s">
        <v>833</v>
      </c>
      <c r="Z150" s="1042">
        <f ca="1">SUM(Z137:Z148)</f>
        <v>758798.58329857374</v>
      </c>
    </row>
    <row r="151" spans="2:28">
      <c r="Y151" s="13" t="s">
        <v>67</v>
      </c>
      <c r="Z151" s="446" t="str" cm="1">
        <f t="array" aca="1" ref="Z151" ca="1">_xll.d.TestUtils_Equal(Z150,C153)</f>
        <v>Ok</v>
      </c>
    </row>
    <row r="152" spans="2:28">
      <c r="B152" s="279" t="s">
        <v>856</v>
      </c>
      <c r="C152" s="1029" t="str" cm="1">
        <f t="array" aca="1" ref="C152" ca="1">_xll.d.IR_CreateConstantNotionalFloatingLeg(C137,C138,C139,C140,C141,C142,C143,C144,C145,C146,C147,C148,C149,C150)</f>
        <v>@@TestConstantNotionalFloatingLeg::08:34:05</v>
      </c>
    </row>
    <row r="153" spans="2:28">
      <c r="B153" s="281" t="s">
        <v>832</v>
      </c>
      <c r="C153" s="1059" cm="1">
        <f t="array" aca="1" ref="C153" ca="1">_xll.d.IR_ConstantNotionalFloatingLeg_GetPrice(C152,FALSE)</f>
        <v>758798.5832985735</v>
      </c>
    </row>
    <row r="156" spans="2:28" ht="18.75">
      <c r="B156" s="3" t="s">
        <v>857</v>
      </c>
      <c r="C156" s="3"/>
      <c r="D156" s="3"/>
      <c r="E156" s="3"/>
      <c r="F156" s="3"/>
      <c r="G156" s="3"/>
      <c r="H156" s="3"/>
      <c r="I156" s="3"/>
    </row>
    <row r="158" spans="2:28">
      <c r="B158" s="50" t="s">
        <v>106</v>
      </c>
      <c r="C158" s="163" t="str" cm="1">
        <f t="array" aca="1" ref="C158" ca="1">_xll.d.TestUtils_And(AB187)</f>
        <v>Ok</v>
      </c>
    </row>
    <row r="160" spans="2:28">
      <c r="B160" s="12" t="s">
        <v>858</v>
      </c>
      <c r="C160" s="13"/>
      <c r="F160" s="120" t="s">
        <v>859</v>
      </c>
      <c r="G160" s="323" t="s">
        <v>840</v>
      </c>
      <c r="H160" s="458" t="s">
        <v>841</v>
      </c>
      <c r="I160" s="458" t="s">
        <v>800</v>
      </c>
      <c r="J160" s="458" t="s">
        <v>801</v>
      </c>
      <c r="K160" s="458" t="s">
        <v>802</v>
      </c>
      <c r="L160" s="458" t="s">
        <v>803</v>
      </c>
      <c r="M160" s="458" t="s">
        <v>804</v>
      </c>
      <c r="N160" s="458" t="s">
        <v>805</v>
      </c>
      <c r="O160" s="458" t="s">
        <v>806</v>
      </c>
      <c r="P160" s="458" t="s">
        <v>842</v>
      </c>
      <c r="Q160" s="458" t="s">
        <v>811</v>
      </c>
      <c r="R160" s="458" t="s">
        <v>812</v>
      </c>
      <c r="S160" s="458" t="s">
        <v>813</v>
      </c>
      <c r="T160" s="458" t="s">
        <v>814</v>
      </c>
      <c r="U160" s="458" t="s">
        <v>815</v>
      </c>
      <c r="V160" s="458" t="s">
        <v>816</v>
      </c>
      <c r="W160" s="458" t="s">
        <v>852</v>
      </c>
      <c r="Y160" s="1039" t="s">
        <v>844</v>
      </c>
      <c r="Z160" s="1039" t="s">
        <v>820</v>
      </c>
      <c r="AA160" s="1039" t="s">
        <v>821</v>
      </c>
      <c r="AB160" s="1060" t="s">
        <v>860</v>
      </c>
    </row>
    <row r="161" spans="2:28">
      <c r="B161" s="279" t="s">
        <v>779</v>
      </c>
      <c r="C161" s="1061" t="s">
        <v>30</v>
      </c>
      <c r="F161" s="1041" t="str" cm="1">
        <f t="array" aca="1" ref="F161:W184" ca="1">_xll.d.IR_ConstantNotionalXccySwap_GetPrice(C181,TRUE)</f>
        <v>USDLeg</v>
      </c>
      <c r="G161" s="1040">
        <f ca="1"/>
        <v>45016</v>
      </c>
      <c r="H161" s="1040">
        <f ca="1"/>
        <v>45198</v>
      </c>
      <c r="I161" s="1041">
        <f ca="1"/>
        <v>182</v>
      </c>
      <c r="J161" s="1040">
        <f ca="1"/>
        <v>45014</v>
      </c>
      <c r="K161" s="1040">
        <f ca="1"/>
        <v>45016</v>
      </c>
      <c r="L161" s="1040">
        <f ca="1"/>
        <v>45198</v>
      </c>
      <c r="M161" s="1040">
        <f ca="1"/>
        <v>45016</v>
      </c>
      <c r="N161" s="1040">
        <f ca="1"/>
        <v>45198</v>
      </c>
      <c r="O161" s="1040">
        <f ca="1"/>
        <v>45198</v>
      </c>
      <c r="P161" s="1042">
        <f ca="1"/>
        <v>1000000</v>
      </c>
      <c r="Q161" s="1041">
        <f ca="1"/>
        <v>0.12371473897419985</v>
      </c>
      <c r="R161" s="1041">
        <f ca="1"/>
        <v>0.12371473897419985</v>
      </c>
      <c r="S161" s="1041">
        <f ca="1"/>
        <v>0</v>
      </c>
      <c r="T161" s="1041">
        <f ca="1"/>
        <v>1</v>
      </c>
      <c r="U161" s="1041">
        <f ca="1"/>
        <v>0</v>
      </c>
      <c r="V161" s="1041">
        <f ca="1"/>
        <v>0.12371473897419985</v>
      </c>
      <c r="W161" s="1042">
        <f ca="1"/>
        <v>62544.673592512147</v>
      </c>
      <c r="Y161" s="1042" cm="1">
        <f t="array" aca="1" ref="Y161" ca="1">((_xll.d.Curve_GetDiscountFactors($F$32,M161)/_xll.d.Curve_GetDiscountFactors($F$32,N161)-1)*(360/(N161-M161))+S161)*(I161/360)*P161</f>
        <v>62544.673592512147</v>
      </c>
      <c r="Z161" s="1057" cm="1">
        <f t="array" aca="1" ref="Z161" ca="1">_xll.d.Curve_GetDiscountFactors($C$179,O161)</f>
        <v>0.93109972737280911</v>
      </c>
      <c r="AA161" s="1042">
        <f ca="1">Y161*Z161</f>
        <v>58235.328530609389</v>
      </c>
      <c r="AB161" s="1042">
        <f ca="1">AA161*$C$170</f>
        <v>990000.58502035961</v>
      </c>
    </row>
    <row r="162" spans="2:28">
      <c r="B162" s="280" t="s">
        <v>861</v>
      </c>
      <c r="C162" s="856" t="s">
        <v>862</v>
      </c>
      <c r="F162" s="1041" t="str">
        <f ca="1"/>
        <v>USDLeg</v>
      </c>
      <c r="G162" s="1040">
        <f ca="1"/>
        <v>45198</v>
      </c>
      <c r="H162" s="1040">
        <f ca="1"/>
        <v>45379</v>
      </c>
      <c r="I162" s="1041">
        <f ca="1"/>
        <v>181</v>
      </c>
      <c r="J162" s="1040">
        <f ca="1"/>
        <v>45196</v>
      </c>
      <c r="K162" s="1040">
        <f ca="1"/>
        <v>45198</v>
      </c>
      <c r="L162" s="1040">
        <f ca="1"/>
        <v>45379</v>
      </c>
      <c r="M162" s="1040">
        <f ca="1"/>
        <v>45198</v>
      </c>
      <c r="N162" s="1040">
        <f ca="1"/>
        <v>45379</v>
      </c>
      <c r="O162" s="1040">
        <f ca="1"/>
        <v>45379</v>
      </c>
      <c r="P162" s="1042">
        <f ca="1"/>
        <v>1000000</v>
      </c>
      <c r="Q162" s="1041">
        <f ca="1"/>
        <v>0.12369391370721332</v>
      </c>
      <c r="R162" s="1041">
        <f ca="1"/>
        <v>0.12369391370721332</v>
      </c>
      <c r="S162" s="1041">
        <f ca="1"/>
        <v>0</v>
      </c>
      <c r="T162" s="1041">
        <f ca="1"/>
        <v>1</v>
      </c>
      <c r="U162" s="1041">
        <f ca="1"/>
        <v>0</v>
      </c>
      <c r="V162" s="1041">
        <f ca="1"/>
        <v>0.12369391370721332</v>
      </c>
      <c r="W162" s="1042">
        <f ca="1"/>
        <v>62190.551058348923</v>
      </c>
      <c r="Y162" s="1042" cm="1">
        <f t="array" aca="1" ref="Y162" ca="1">((_xll.d.Curve_GetDiscountFactors($F$32,M162)/_xll.d.Curve_GetDiscountFactors($F$32,N162)-1)*(360/(N162-M162))+S162)*(I162/360)*P162</f>
        <v>62190.551058348923</v>
      </c>
      <c r="Z162" s="1057" cm="1">
        <f t="array" aca="1" ref="Z162" ca="1">_xll.d.Curve_GetDiscountFactors($C$179,O162)</f>
        <v>0.88544346713916833</v>
      </c>
      <c r="AA162" s="1042">
        <f t="shared" ref="AA162:AA170" ca="1" si="6">Y162*Z162</f>
        <v>55066.217152399942</v>
      </c>
      <c r="AB162" s="1042">
        <f t="shared" ref="AB162:AB172" ca="1" si="7">AA162*$C$170</f>
        <v>936125.69159079902</v>
      </c>
    </row>
    <row r="163" spans="2:28">
      <c r="B163" s="280" t="s">
        <v>381</v>
      </c>
      <c r="C163" s="1062">
        <f ca="1">ValuationDate</f>
        <v>44941</v>
      </c>
      <c r="D163" s="1054"/>
      <c r="F163" s="1041" t="str">
        <f ca="1"/>
        <v>USDLeg</v>
      </c>
      <c r="G163" s="1040">
        <f ca="1"/>
        <v>45379</v>
      </c>
      <c r="H163" s="1040">
        <f ca="1"/>
        <v>45565</v>
      </c>
      <c r="I163" s="1041">
        <f ca="1"/>
        <v>186</v>
      </c>
      <c r="J163" s="1040">
        <f ca="1"/>
        <v>45377</v>
      </c>
      <c r="K163" s="1040">
        <f ca="1"/>
        <v>45379</v>
      </c>
      <c r="L163" s="1040">
        <f ca="1"/>
        <v>45565</v>
      </c>
      <c r="M163" s="1040">
        <f ca="1"/>
        <v>45379</v>
      </c>
      <c r="N163" s="1040">
        <f ca="1"/>
        <v>45565</v>
      </c>
      <c r="O163" s="1040">
        <f ca="1"/>
        <v>45565</v>
      </c>
      <c r="P163" s="1042">
        <f ca="1"/>
        <v>1000000</v>
      </c>
      <c r="Q163" s="1041">
        <f ca="1"/>
        <v>0.12379808657038789</v>
      </c>
      <c r="R163" s="1041">
        <f ca="1"/>
        <v>0.12379808657038789</v>
      </c>
      <c r="S163" s="1041">
        <f ca="1"/>
        <v>0</v>
      </c>
      <c r="T163" s="1041">
        <f ca="1"/>
        <v>1</v>
      </c>
      <c r="U163" s="1041">
        <f ca="1"/>
        <v>0</v>
      </c>
      <c r="V163" s="1041">
        <f ca="1"/>
        <v>0.12379808657038789</v>
      </c>
      <c r="W163" s="1042">
        <f ca="1"/>
        <v>63962.34472803375</v>
      </c>
      <c r="Y163" s="1042" cm="1">
        <f t="array" aca="1" ref="Y163" ca="1">((_xll.d.Curve_GetDiscountFactors($F$32,M163)/_xll.d.Curve_GetDiscountFactors($F$32,N163)-1)*(360/(N163-M163))+S163)*(I163/360)*P163</f>
        <v>63962.344728033764</v>
      </c>
      <c r="Z163" s="1057" cm="1">
        <f t="array" aca="1" ref="Z163" ca="1">_xll.d.Curve_GetDiscountFactors($C$179,O163)</f>
        <v>0.84085728236435064</v>
      </c>
      <c r="AA163" s="1042">
        <f t="shared" ca="1" si="6"/>
        <v>53783.203361666223</v>
      </c>
      <c r="AB163" s="1042">
        <f t="shared" ca="1" si="7"/>
        <v>914314.45714832575</v>
      </c>
    </row>
    <row r="164" spans="2:28">
      <c r="B164" s="280" t="s">
        <v>593</v>
      </c>
      <c r="C164" s="1063">
        <v>45016</v>
      </c>
      <c r="F164" s="1041" t="str">
        <f ca="1"/>
        <v>USDLeg</v>
      </c>
      <c r="G164" s="1040">
        <f ca="1"/>
        <v>45565</v>
      </c>
      <c r="H164" s="1040">
        <f ca="1"/>
        <v>45747</v>
      </c>
      <c r="I164" s="1041">
        <f ca="1"/>
        <v>182</v>
      </c>
      <c r="J164" s="1040">
        <f ca="1"/>
        <v>45561</v>
      </c>
      <c r="K164" s="1040">
        <f ca="1"/>
        <v>45565</v>
      </c>
      <c r="L164" s="1040">
        <f ca="1"/>
        <v>45747</v>
      </c>
      <c r="M164" s="1040">
        <f ca="1"/>
        <v>45565</v>
      </c>
      <c r="N164" s="1040">
        <f ca="1"/>
        <v>45747</v>
      </c>
      <c r="O164" s="1040">
        <f ca="1"/>
        <v>45747</v>
      </c>
      <c r="P164" s="1042">
        <f ca="1"/>
        <v>1000000</v>
      </c>
      <c r="Q164" s="1041">
        <f ca="1"/>
        <v>0.12371473897419985</v>
      </c>
      <c r="R164" s="1041">
        <f ca="1"/>
        <v>0.12371473897419985</v>
      </c>
      <c r="S164" s="1041">
        <f ca="1"/>
        <v>0</v>
      </c>
      <c r="T164" s="1041">
        <f ca="1"/>
        <v>1</v>
      </c>
      <c r="U164" s="1041">
        <f ca="1"/>
        <v>0</v>
      </c>
      <c r="V164" s="1041">
        <f ca="1"/>
        <v>0.12371473897419985</v>
      </c>
      <c r="W164" s="1042">
        <f ca="1"/>
        <v>62544.673592512147</v>
      </c>
      <c r="Y164" s="1042" cm="1">
        <f t="array" aca="1" ref="Y164" ca="1">((_xll.d.Curve_GetDiscountFactors($F$32,M164)/_xll.d.Curve_GetDiscountFactors($F$32,N164)-1)*(360/(N164-M164))+S164)*(I164/360)*P164</f>
        <v>62544.673592512147</v>
      </c>
      <c r="Z164" s="1057" cm="1">
        <f t="array" aca="1" ref="Z164" ca="1">_xll.d.Curve_GetDiscountFactors($C$179,O164)</f>
        <v>0.79940395209629955</v>
      </c>
      <c r="AA164" s="1042">
        <f t="shared" ca="1" si="6"/>
        <v>49998.459252427274</v>
      </c>
      <c r="AB164" s="1042">
        <f t="shared" ca="1" si="7"/>
        <v>849973.80729126371</v>
      </c>
    </row>
    <row r="165" spans="2:28">
      <c r="B165" s="280" t="s">
        <v>824</v>
      </c>
      <c r="C165" s="1063">
        <v>46843</v>
      </c>
      <c r="F165" s="1041" t="str">
        <f ca="1"/>
        <v>USDLeg</v>
      </c>
      <c r="G165" s="1040">
        <f ca="1"/>
        <v>45747</v>
      </c>
      <c r="H165" s="1040">
        <f ca="1"/>
        <v>45930</v>
      </c>
      <c r="I165" s="1041">
        <f ca="1"/>
        <v>183</v>
      </c>
      <c r="J165" s="1040">
        <f ca="1"/>
        <v>45743</v>
      </c>
      <c r="K165" s="1040">
        <f ca="1"/>
        <v>45747</v>
      </c>
      <c r="L165" s="1040">
        <f ca="1"/>
        <v>45930</v>
      </c>
      <c r="M165" s="1040">
        <f ca="1"/>
        <v>45747</v>
      </c>
      <c r="N165" s="1040">
        <f ca="1"/>
        <v>45930</v>
      </c>
      <c r="O165" s="1040">
        <f ca="1"/>
        <v>45930</v>
      </c>
      <c r="P165" s="1042">
        <f ca="1"/>
        <v>1000000</v>
      </c>
      <c r="Q165" s="1041">
        <f ca="1"/>
        <v>0.12373556889284297</v>
      </c>
      <c r="R165" s="1041">
        <f ca="1"/>
        <v>0.12373556889284297</v>
      </c>
      <c r="S165" s="1041">
        <f ca="1"/>
        <v>0</v>
      </c>
      <c r="T165" s="1041">
        <f ca="1"/>
        <v>1</v>
      </c>
      <c r="U165" s="1041">
        <f ca="1"/>
        <v>0</v>
      </c>
      <c r="V165" s="1041">
        <f ca="1"/>
        <v>0.12373556889284297</v>
      </c>
      <c r="W165" s="1042">
        <f ca="1"/>
        <v>62898.91418719518</v>
      </c>
      <c r="Y165" s="1042" cm="1">
        <f t="array" aca="1" ref="Y165" ca="1">((_xll.d.Curve_GetDiscountFactors($F$32,M165)/_xll.d.Curve_GetDiscountFactors($F$32,N165)-1)*(360/(N165-M165))+S165)*(I165/360)*P165</f>
        <v>62898.91418719518</v>
      </c>
      <c r="Z165" s="1057" cm="1">
        <f t="array" aca="1" ref="Z165" ca="1">_xll.d.Curve_GetDiscountFactors($C$179,O165)</f>
        <v>0.75978314478861342</v>
      </c>
      <c r="AA165" s="1042">
        <f t="shared" ca="1" si="6"/>
        <v>47789.534824936287</v>
      </c>
      <c r="AB165" s="1042">
        <f t="shared" ca="1" si="7"/>
        <v>812422.09202391689</v>
      </c>
    </row>
    <row r="166" spans="2:28">
      <c r="B166" s="280" t="s">
        <v>22</v>
      </c>
      <c r="C166" s="1029" t="s">
        <v>27</v>
      </c>
      <c r="F166" s="1041" t="str">
        <f ca="1"/>
        <v>USDLeg</v>
      </c>
      <c r="G166" s="1040">
        <f ca="1"/>
        <v>45930</v>
      </c>
      <c r="H166" s="1040">
        <f ca="1"/>
        <v>46112</v>
      </c>
      <c r="I166" s="1041">
        <f ca="1"/>
        <v>182</v>
      </c>
      <c r="J166" s="1040">
        <f ca="1"/>
        <v>45926</v>
      </c>
      <c r="K166" s="1040">
        <f ca="1"/>
        <v>45930</v>
      </c>
      <c r="L166" s="1040">
        <f ca="1"/>
        <v>46112</v>
      </c>
      <c r="M166" s="1040">
        <f ca="1"/>
        <v>45930</v>
      </c>
      <c r="N166" s="1040">
        <f ca="1"/>
        <v>46112</v>
      </c>
      <c r="O166" s="1040">
        <f ca="1"/>
        <v>46112</v>
      </c>
      <c r="P166" s="1042">
        <f ca="1"/>
        <v>1000000</v>
      </c>
      <c r="Q166" s="1041">
        <f ca="1"/>
        <v>0.12371473897419985</v>
      </c>
      <c r="R166" s="1041">
        <f ca="1"/>
        <v>0.12371473897419985</v>
      </c>
      <c r="S166" s="1041">
        <f ca="1"/>
        <v>0</v>
      </c>
      <c r="T166" s="1041">
        <f ca="1"/>
        <v>1</v>
      </c>
      <c r="U166" s="1041">
        <f ca="1"/>
        <v>0</v>
      </c>
      <c r="V166" s="1041">
        <f ca="1"/>
        <v>0.12371473897419985</v>
      </c>
      <c r="W166" s="1042">
        <f ca="1"/>
        <v>62544.673592512147</v>
      </c>
      <c r="Y166" s="1042" cm="1">
        <f t="array" aca="1" ref="Y166" ca="1">((_xll.d.Curve_GetDiscountFactors($F$32,M166)/_xll.d.Curve_GetDiscountFactors($F$32,N166)-1)*(360/(N166-M166))+S166)*(I166/360)*P166</f>
        <v>62544.673592512147</v>
      </c>
      <c r="Z166" s="1057" cm="1">
        <f t="array" aca="1" ref="Z166" ca="1">_xll.d.Curve_GetDiscountFactors($C$179,O166)</f>
        <v>0.72232667947209672</v>
      </c>
      <c r="AA166" s="1042">
        <f t="shared" ca="1" si="6"/>
        <v>45177.686394745433</v>
      </c>
      <c r="AB166" s="1042">
        <f t="shared" ca="1" si="7"/>
        <v>768020.66871067241</v>
      </c>
    </row>
    <row r="167" spans="2:28">
      <c r="B167" s="280" t="s">
        <v>201</v>
      </c>
      <c r="C167" s="1029" t="s">
        <v>217</v>
      </c>
      <c r="F167" s="1041" t="str">
        <f ca="1"/>
        <v>USDLeg</v>
      </c>
      <c r="G167" s="1040">
        <f ca="1"/>
        <v>46112</v>
      </c>
      <c r="H167" s="1040">
        <f ca="1"/>
        <v>46295</v>
      </c>
      <c r="I167" s="1041">
        <f ca="1"/>
        <v>183</v>
      </c>
      <c r="J167" s="1040">
        <f ca="1"/>
        <v>46108</v>
      </c>
      <c r="K167" s="1040">
        <f ca="1"/>
        <v>46112</v>
      </c>
      <c r="L167" s="1040">
        <f ca="1"/>
        <v>46295</v>
      </c>
      <c r="M167" s="1040">
        <f ca="1"/>
        <v>46112</v>
      </c>
      <c r="N167" s="1040">
        <f ca="1"/>
        <v>46295</v>
      </c>
      <c r="O167" s="1040">
        <f ca="1"/>
        <v>46295</v>
      </c>
      <c r="P167" s="1042">
        <f ca="1"/>
        <v>1000000</v>
      </c>
      <c r="Q167" s="1041">
        <f ca="1"/>
        <v>0.12373556889284297</v>
      </c>
      <c r="R167" s="1041">
        <f ca="1"/>
        <v>0.12373556889284297</v>
      </c>
      <c r="S167" s="1041">
        <f ca="1"/>
        <v>0</v>
      </c>
      <c r="T167" s="1041">
        <f ca="1"/>
        <v>1</v>
      </c>
      <c r="U167" s="1041">
        <f ca="1"/>
        <v>0</v>
      </c>
      <c r="V167" s="1041">
        <f ca="1"/>
        <v>0.12373556889284297</v>
      </c>
      <c r="W167" s="1042">
        <f ca="1"/>
        <v>62898.91418719518</v>
      </c>
      <c r="Y167" s="1042" cm="1">
        <f t="array" aca="1" ref="Y167" ca="1">((_xll.d.Curve_GetDiscountFactors($F$32,M167)/_xll.d.Curve_GetDiscountFactors($F$32,N167)-1)*(360/(N167-M167))+S167)*(I167/360)*P167</f>
        <v>62898.91418719518</v>
      </c>
      <c r="Z167" s="1057" cm="1">
        <f t="array" aca="1" ref="Z167" ca="1">_xll.d.Curve_GetDiscountFactors($C$179,O167)</f>
        <v>0.68652604813231433</v>
      </c>
      <c r="AA167" s="1042">
        <f t="shared" ca="1" si="6"/>
        <v>43181.742988748665</v>
      </c>
      <c r="AB167" s="1042">
        <f t="shared" ca="1" si="7"/>
        <v>734089.63080872735</v>
      </c>
    </row>
    <row r="168" spans="2:28">
      <c r="B168" s="280" t="s">
        <v>202</v>
      </c>
      <c r="C168" s="1029" t="s">
        <v>233</v>
      </c>
      <c r="F168" s="1041" t="str">
        <f ca="1"/>
        <v>USDLeg</v>
      </c>
      <c r="G168" s="1040">
        <f ca="1"/>
        <v>46295</v>
      </c>
      <c r="H168" s="1040">
        <f ca="1"/>
        <v>46477</v>
      </c>
      <c r="I168" s="1041">
        <f ca="1"/>
        <v>182</v>
      </c>
      <c r="J168" s="1040">
        <f ca="1"/>
        <v>46293</v>
      </c>
      <c r="K168" s="1040">
        <f ca="1"/>
        <v>46295</v>
      </c>
      <c r="L168" s="1040">
        <f ca="1"/>
        <v>46477</v>
      </c>
      <c r="M168" s="1040">
        <f ca="1"/>
        <v>46295</v>
      </c>
      <c r="N168" s="1040">
        <f ca="1"/>
        <v>46477</v>
      </c>
      <c r="O168" s="1040">
        <f ca="1"/>
        <v>46477</v>
      </c>
      <c r="P168" s="1042">
        <f ca="1"/>
        <v>1000000</v>
      </c>
      <c r="Q168" s="1041">
        <f ca="1"/>
        <v>0.12371473897419985</v>
      </c>
      <c r="R168" s="1041">
        <f ca="1"/>
        <v>0.12371473897419985</v>
      </c>
      <c r="S168" s="1041">
        <f ca="1"/>
        <v>0</v>
      </c>
      <c r="T168" s="1041">
        <f ca="1"/>
        <v>1</v>
      </c>
      <c r="U168" s="1041">
        <f ca="1"/>
        <v>0</v>
      </c>
      <c r="V168" s="1041">
        <f ca="1"/>
        <v>0.12371473897419985</v>
      </c>
      <c r="W168" s="1042">
        <f ca="1"/>
        <v>62544.673592512147</v>
      </c>
      <c r="Y168" s="1042" cm="1">
        <f t="array" aca="1" ref="Y168" ca="1">((_xll.d.Curve_GetDiscountFactors($F$32,M168)/_xll.d.Curve_GetDiscountFactors($F$32,N168)-1)*(360/(N168-M168))+S168)*(I168/360)*P168</f>
        <v>62544.673592512147</v>
      </c>
      <c r="Z168" s="1057" cm="1">
        <f t="array" aca="1" ref="Z168" ca="1">_xll.d.Curve_GetDiscountFactors($C$179,O168)</f>
        <v>0.65268107633064609</v>
      </c>
      <c r="AA168" s="1042">
        <f t="shared" ca="1" si="6"/>
        <v>40821.724879109766</v>
      </c>
      <c r="AB168" s="1042">
        <f t="shared" ca="1" si="7"/>
        <v>693969.32294486603</v>
      </c>
    </row>
    <row r="169" spans="2:28">
      <c r="B169" s="280" t="s">
        <v>825</v>
      </c>
      <c r="C169" s="1029" t="s">
        <v>317</v>
      </c>
      <c r="F169" s="1041" t="str">
        <f ca="1"/>
        <v>USDLeg</v>
      </c>
      <c r="G169" s="1040">
        <f ca="1"/>
        <v>46477</v>
      </c>
      <c r="H169" s="1040">
        <f ca="1"/>
        <v>46660</v>
      </c>
      <c r="I169" s="1041">
        <f ca="1"/>
        <v>183</v>
      </c>
      <c r="J169" s="1040">
        <f ca="1"/>
        <v>46471</v>
      </c>
      <c r="K169" s="1040">
        <f ca="1"/>
        <v>46477</v>
      </c>
      <c r="L169" s="1040">
        <f ca="1"/>
        <v>46660</v>
      </c>
      <c r="M169" s="1040">
        <f ca="1"/>
        <v>46477</v>
      </c>
      <c r="N169" s="1040">
        <f ca="1"/>
        <v>46660</v>
      </c>
      <c r="O169" s="1040">
        <f ca="1"/>
        <v>46660</v>
      </c>
      <c r="P169" s="1042">
        <f ca="1"/>
        <v>1000000</v>
      </c>
      <c r="Q169" s="1041">
        <f ca="1"/>
        <v>0.12373556889284297</v>
      </c>
      <c r="R169" s="1041">
        <f ca="1"/>
        <v>0.12373556889284297</v>
      </c>
      <c r="S169" s="1041">
        <f ca="1"/>
        <v>0</v>
      </c>
      <c r="T169" s="1041">
        <f ca="1"/>
        <v>1</v>
      </c>
      <c r="U169" s="1041">
        <f ca="1"/>
        <v>0</v>
      </c>
      <c r="V169" s="1041">
        <f ca="1"/>
        <v>0.12373556889284297</v>
      </c>
      <c r="W169" s="1042">
        <f ca="1"/>
        <v>62898.91418719518</v>
      </c>
      <c r="Y169" s="1042" cm="1">
        <f t="array" aca="1" ref="Y169" ca="1">((_xll.d.Curve_GetDiscountFactors($F$32,M169)/_xll.d.Curve_GetDiscountFactors($F$32,N169)-1)*(360/(N169-M169))+S169)*(I169/360)*P169</f>
        <v>62898.91418719518</v>
      </c>
      <c r="Z169" s="1057" cm="1">
        <f t="array" aca="1" ref="Z169" ca="1">_xll.d.Curve_GetDiscountFactors($C$179,O169)</f>
        <v>0.62033228559617826</v>
      </c>
      <c r="AA169" s="1042">
        <f t="shared" ca="1" si="6"/>
        <v>39018.227199260669</v>
      </c>
      <c r="AB169" s="1042">
        <f t="shared" ca="1" si="7"/>
        <v>663309.86238743132</v>
      </c>
    </row>
    <row r="170" spans="2:28">
      <c r="B170" s="281" t="s">
        <v>863</v>
      </c>
      <c r="C170" s="1029">
        <v>17</v>
      </c>
      <c r="D170" s="1046"/>
      <c r="F170" s="1041" t="str">
        <f ca="1"/>
        <v>USDLeg</v>
      </c>
      <c r="G170" s="1040">
        <f ca="1"/>
        <v>46660</v>
      </c>
      <c r="H170" s="1040">
        <f ca="1"/>
        <v>46843</v>
      </c>
      <c r="I170" s="1041">
        <f ca="1"/>
        <v>183</v>
      </c>
      <c r="J170" s="1040">
        <f ca="1"/>
        <v>46658</v>
      </c>
      <c r="K170" s="1040">
        <f ca="1"/>
        <v>46660</v>
      </c>
      <c r="L170" s="1040">
        <f ca="1"/>
        <v>46843</v>
      </c>
      <c r="M170" s="1040">
        <f ca="1"/>
        <v>46660</v>
      </c>
      <c r="N170" s="1040">
        <f ca="1"/>
        <v>46843</v>
      </c>
      <c r="O170" s="1040">
        <f ca="1"/>
        <v>46843</v>
      </c>
      <c r="P170" s="1042">
        <f ca="1"/>
        <v>1000000</v>
      </c>
      <c r="Q170" s="1041">
        <f ca="1"/>
        <v>0.12373556889284297</v>
      </c>
      <c r="R170" s="1041">
        <f ca="1"/>
        <v>0.12373556889284297</v>
      </c>
      <c r="S170" s="1041">
        <f ca="1"/>
        <v>0</v>
      </c>
      <c r="T170" s="1041">
        <f ca="1"/>
        <v>1</v>
      </c>
      <c r="U170" s="1041">
        <f ca="1"/>
        <v>0</v>
      </c>
      <c r="V170" s="1041">
        <f ca="1"/>
        <v>0.12373556889284297</v>
      </c>
      <c r="W170" s="1042">
        <f ca="1"/>
        <v>62898.91418719518</v>
      </c>
      <c r="Y170" s="1042" cm="1">
        <f t="array" aca="1" ref="Y170" ca="1">((_xll.d.Curve_GetDiscountFactors($F$32,M170)/_xll.d.Curve_GetDiscountFactors($F$32,N170)-1)*(360/(N170-M170))+S170)*(I170/360)*P170</f>
        <v>62898.91418719518</v>
      </c>
      <c r="Z170" s="1057" cm="1">
        <f t="array" aca="1" ref="Z170" ca="1">_xll.d.Curve_GetDiscountFactors($C$179,O170)</f>
        <v>0.58958679592241459</v>
      </c>
      <c r="AA170" s="1042">
        <f t="shared" ca="1" si="6"/>
        <v>37084.369282627311</v>
      </c>
      <c r="AB170" s="1042">
        <f t="shared" ca="1" si="7"/>
        <v>630434.27780466434</v>
      </c>
    </row>
    <row r="171" spans="2:28">
      <c r="F171" s="1041" t="str">
        <f ca="1"/>
        <v>USDLeg</v>
      </c>
      <c r="G171" s="1040">
        <f ca="1"/>
        <v>0</v>
      </c>
      <c r="H171" s="1040">
        <f ca="1"/>
        <v>0</v>
      </c>
      <c r="I171" s="1041">
        <f ca="1"/>
        <v>0</v>
      </c>
      <c r="J171" s="1040">
        <f ca="1"/>
        <v>0</v>
      </c>
      <c r="K171" s="1040">
        <f ca="1"/>
        <v>0</v>
      </c>
      <c r="L171" s="1040">
        <f ca="1"/>
        <v>0</v>
      </c>
      <c r="M171" s="1040">
        <f ca="1"/>
        <v>0</v>
      </c>
      <c r="N171" s="1040">
        <f ca="1"/>
        <v>0</v>
      </c>
      <c r="O171" s="1040">
        <f ca="1"/>
        <v>45016</v>
      </c>
      <c r="P171" s="1042">
        <f ca="1"/>
        <v>1000000</v>
      </c>
      <c r="Q171" s="1041">
        <f ca="1"/>
        <v>0</v>
      </c>
      <c r="R171" s="1041">
        <f ca="1"/>
        <v>0</v>
      </c>
      <c r="S171" s="1041">
        <f ca="1"/>
        <v>0</v>
      </c>
      <c r="T171" s="1041">
        <f ca="1"/>
        <v>0</v>
      </c>
      <c r="U171" s="1041">
        <f ca="1"/>
        <v>0</v>
      </c>
      <c r="V171" s="1041">
        <f ca="1"/>
        <v>0</v>
      </c>
      <c r="W171" s="1042">
        <f ca="1"/>
        <v>1000000</v>
      </c>
      <c r="Y171" s="1042">
        <f ca="1">W171</f>
        <v>1000000</v>
      </c>
      <c r="Z171" s="1057" cm="1">
        <f t="array" aca="1" ref="Z171" ca="1">_xll.d.Curve_GetDiscountFactors($C$179,O171)</f>
        <v>0.97938218133124011</v>
      </c>
      <c r="AA171" s="1042">
        <f ca="1">Y171*Z171</f>
        <v>979382.18133124011</v>
      </c>
      <c r="AB171" s="1042">
        <f t="shared" ca="1" si="7"/>
        <v>16649497.082631081</v>
      </c>
    </row>
    <row r="172" spans="2:28">
      <c r="B172" s="12" t="s">
        <v>864</v>
      </c>
      <c r="C172" s="27"/>
      <c r="D172" s="13"/>
      <c r="F172" s="1041" t="str">
        <f ca="1"/>
        <v>USDLeg</v>
      </c>
      <c r="G172" s="1040">
        <f ca="1"/>
        <v>0</v>
      </c>
      <c r="H172" s="1040">
        <f ca="1"/>
        <v>0</v>
      </c>
      <c r="I172" s="1041">
        <f ca="1"/>
        <v>0</v>
      </c>
      <c r="J172" s="1040">
        <f ca="1"/>
        <v>0</v>
      </c>
      <c r="K172" s="1040">
        <f ca="1"/>
        <v>0</v>
      </c>
      <c r="L172" s="1040">
        <f ca="1"/>
        <v>0</v>
      </c>
      <c r="M172" s="1040">
        <f ca="1"/>
        <v>0</v>
      </c>
      <c r="N172" s="1040">
        <f ca="1"/>
        <v>0</v>
      </c>
      <c r="O172" s="1040">
        <f ca="1"/>
        <v>46843</v>
      </c>
      <c r="P172" s="1042">
        <f ca="1"/>
        <v>-1000000</v>
      </c>
      <c r="Q172" s="1041">
        <f ca="1"/>
        <v>0</v>
      </c>
      <c r="R172" s="1041">
        <f ca="1"/>
        <v>0</v>
      </c>
      <c r="S172" s="1041">
        <f ca="1"/>
        <v>0</v>
      </c>
      <c r="T172" s="1041">
        <f ca="1"/>
        <v>0</v>
      </c>
      <c r="U172" s="1041">
        <f ca="1"/>
        <v>0</v>
      </c>
      <c r="V172" s="1041">
        <f ca="1"/>
        <v>0</v>
      </c>
      <c r="W172" s="1042">
        <f ca="1"/>
        <v>-1000000</v>
      </c>
      <c r="Y172" s="1042">
        <f ca="1">W172</f>
        <v>-1000000</v>
      </c>
      <c r="Z172" s="1057" cm="1">
        <f t="array" aca="1" ref="Z172" ca="1">_xll.d.Curve_GetDiscountFactors($C$179,O172)</f>
        <v>0.58958679592241459</v>
      </c>
      <c r="AA172" s="1042">
        <f ca="1">Y172*Z172</f>
        <v>-589586.79592241463</v>
      </c>
      <c r="AB172" s="1042">
        <f t="shared" ca="1" si="7"/>
        <v>-10022975.530681049</v>
      </c>
    </row>
    <row r="173" spans="2:28">
      <c r="B173" s="279" t="s">
        <v>779</v>
      </c>
      <c r="C173" s="1064" t="s">
        <v>865</v>
      </c>
      <c r="D173" s="275" t="s">
        <v>866</v>
      </c>
      <c r="F173" s="1041" t="str">
        <f ca="1"/>
        <v>ZARLeg</v>
      </c>
      <c r="G173" s="1040">
        <f ca="1"/>
        <v>45016</v>
      </c>
      <c r="H173" s="1040">
        <f ca="1"/>
        <v>45198</v>
      </c>
      <c r="I173" s="1041">
        <f ca="1"/>
        <v>182</v>
      </c>
      <c r="J173" s="1040">
        <f ca="1"/>
        <v>45016</v>
      </c>
      <c r="K173" s="1040">
        <f ca="1"/>
        <v>45016</v>
      </c>
      <c r="L173" s="1040">
        <f ca="1"/>
        <v>45198</v>
      </c>
      <c r="M173" s="1040">
        <f ca="1"/>
        <v>45016</v>
      </c>
      <c r="N173" s="1040">
        <f ca="1"/>
        <v>45198</v>
      </c>
      <c r="O173" s="1040">
        <f ca="1"/>
        <v>45198</v>
      </c>
      <c r="P173" s="1042">
        <f ca="1"/>
        <v>-17000000</v>
      </c>
      <c r="Q173" s="1041">
        <f ca="1"/>
        <v>0.12366282710126851</v>
      </c>
      <c r="R173" s="1041">
        <f ca="1"/>
        <v>0.12366282710126851</v>
      </c>
      <c r="S173" s="1041">
        <f ca="1"/>
        <v>1E-3</v>
      </c>
      <c r="T173" s="1041">
        <f ca="1"/>
        <v>1</v>
      </c>
      <c r="U173" s="1041">
        <f ca="1"/>
        <v>0</v>
      </c>
      <c r="V173" s="1041">
        <f ca="1"/>
        <v>0.12466282710126851</v>
      </c>
      <c r="W173" s="1042">
        <f ca="1"/>
        <v>-1056730.923428287</v>
      </c>
      <c r="X173" s="1054"/>
      <c r="Y173" s="1042" cm="1">
        <f t="array" aca="1" ref="Y173" ca="1">((_xll.d.Curve_GetDiscountFactors($I$32,M173)/_xll.d.Curve_GetDiscountFactors($I$32,N173)-1)*(365/(N173-M173))+S173)*(I173/365)*P173</f>
        <v>-1056730.923428287</v>
      </c>
      <c r="Z173" s="1057" cm="1">
        <f t="array" aca="1" ref="Z173" ca="1">_xll.d.Curve_GetDiscountFactors($D$179,O173)</f>
        <v>0.96540702456913852</v>
      </c>
      <c r="AA173" s="1042">
        <f t="shared" ref="AA173:AA184" ca="1" si="8">Y173*Z173</f>
        <v>-1020175.4565571008</v>
      </c>
      <c r="AB173" s="1042">
        <f ca="1">AA173</f>
        <v>-1020175.4565571008</v>
      </c>
    </row>
    <row r="174" spans="2:28">
      <c r="B174" s="280" t="s">
        <v>867</v>
      </c>
      <c r="C174" s="856" t="s">
        <v>309</v>
      </c>
      <c r="D174" s="1065" t="s">
        <v>54</v>
      </c>
      <c r="F174" s="1041" t="str">
        <f ca="1"/>
        <v>ZARLeg</v>
      </c>
      <c r="G174" s="1040">
        <f ca="1"/>
        <v>45198</v>
      </c>
      <c r="H174" s="1040">
        <f ca="1"/>
        <v>45379</v>
      </c>
      <c r="I174" s="1041">
        <f ca="1"/>
        <v>181</v>
      </c>
      <c r="J174" s="1040">
        <f ca="1"/>
        <v>45198</v>
      </c>
      <c r="K174" s="1040">
        <f ca="1"/>
        <v>45198</v>
      </c>
      <c r="L174" s="1040">
        <f ca="1"/>
        <v>45379</v>
      </c>
      <c r="M174" s="1040">
        <f ca="1"/>
        <v>45198</v>
      </c>
      <c r="N174" s="1040">
        <f ca="1"/>
        <v>45379</v>
      </c>
      <c r="O174" s="1040">
        <f ca="1"/>
        <v>45379</v>
      </c>
      <c r="P174" s="1042">
        <f ca="1"/>
        <v>-17000000</v>
      </c>
      <c r="Q174" s="1041">
        <f ca="1"/>
        <v>0.12364229851392096</v>
      </c>
      <c r="R174" s="1041">
        <f ca="1"/>
        <v>0.12364229851392096</v>
      </c>
      <c r="S174" s="1041">
        <f ca="1"/>
        <v>1E-3</v>
      </c>
      <c r="T174" s="1041">
        <f ca="1"/>
        <v>1</v>
      </c>
      <c r="U174" s="1041">
        <f ca="1"/>
        <v>0</v>
      </c>
      <c r="V174" s="1041">
        <f ca="1"/>
        <v>0.12464229851392096</v>
      </c>
      <c r="W174" s="1042">
        <f ca="1"/>
        <v>-1050751.6507598213</v>
      </c>
      <c r="X174" s="1054"/>
      <c r="Y174" s="1042" cm="1">
        <f t="array" aca="1" ref="Y174" ca="1">((_xll.d.Curve_GetDiscountFactors($I$32,M174)/_xll.d.Curve_GetDiscountFactors($I$32,N174)-1)*(365/(N174-M174))+S174)*(I174/365)*P174</f>
        <v>-1050751.6507598215</v>
      </c>
      <c r="Z174" s="1057" cm="1">
        <f t="array" aca="1" ref="Z174" ca="1">_xll.d.Curve_GetDiscountFactors($D$179,O174)</f>
        <v>0.94176453358424872</v>
      </c>
      <c r="AA174" s="1042">
        <f t="shared" ca="1" si="8"/>
        <v>-989560.63829070271</v>
      </c>
      <c r="AB174" s="1042">
        <f t="shared" ref="AB174:AB184" ca="1" si="9">AA174</f>
        <v>-989560.63829070271</v>
      </c>
    </row>
    <row r="175" spans="2:28">
      <c r="B175" s="280" t="s">
        <v>827</v>
      </c>
      <c r="C175" s="1066">
        <v>1000000</v>
      </c>
      <c r="D175" s="1045">
        <v>-17000000</v>
      </c>
      <c r="F175" s="1041" t="str">
        <f ca="1"/>
        <v>ZARLeg</v>
      </c>
      <c r="G175" s="1040">
        <f ca="1"/>
        <v>45379</v>
      </c>
      <c r="H175" s="1040">
        <f ca="1"/>
        <v>45565</v>
      </c>
      <c r="I175" s="1041">
        <f ca="1"/>
        <v>186</v>
      </c>
      <c r="J175" s="1040">
        <f ca="1"/>
        <v>45379</v>
      </c>
      <c r="K175" s="1040">
        <f ca="1"/>
        <v>45379</v>
      </c>
      <c r="L175" s="1040">
        <f ca="1"/>
        <v>45565</v>
      </c>
      <c r="M175" s="1040">
        <f ca="1"/>
        <v>45379</v>
      </c>
      <c r="N175" s="1040">
        <f ca="1"/>
        <v>45565</v>
      </c>
      <c r="O175" s="1040">
        <f ca="1"/>
        <v>45565</v>
      </c>
      <c r="P175" s="1042">
        <f ca="1"/>
        <v>-17000000</v>
      </c>
      <c r="Q175" s="1041">
        <f ca="1"/>
        <v>0.12374498668444239</v>
      </c>
      <c r="R175" s="1041">
        <f ca="1"/>
        <v>0.12374498668444239</v>
      </c>
      <c r="S175" s="1041">
        <f ca="1"/>
        <v>1E-3</v>
      </c>
      <c r="T175" s="1041">
        <f ca="1"/>
        <v>1</v>
      </c>
      <c r="U175" s="1041">
        <f ca="1"/>
        <v>0</v>
      </c>
      <c r="V175" s="1041">
        <f ca="1"/>
        <v>0.12474498668444239</v>
      </c>
      <c r="W175" s="1042">
        <f ca="1"/>
        <v>-1080667.5284827587</v>
      </c>
      <c r="X175" s="1054"/>
      <c r="Y175" s="1042" cm="1">
        <f t="array" aca="1" ref="Y175" ca="1">((_xll.d.Curve_GetDiscountFactors($I$32,M175)/_xll.d.Curve_GetDiscountFactors($I$32,N175)-1)*(365/(N175-M175))+S175)*(I175/365)*P175</f>
        <v>-1080667.5284827587</v>
      </c>
      <c r="Z175" s="1057" cm="1">
        <f t="array" aca="1" ref="Z175" ca="1">_xll.d.Curve_GetDiscountFactors($D$179,O175)</f>
        <v>0.91807200735364869</v>
      </c>
      <c r="AA175" s="1042">
        <f t="shared" ca="1" si="8"/>
        <v>-992130.60715607263</v>
      </c>
      <c r="AB175" s="1042">
        <f t="shared" ca="1" si="9"/>
        <v>-992130.60715607263</v>
      </c>
    </row>
    <row r="176" spans="2:28">
      <c r="B176" s="280" t="s">
        <v>653</v>
      </c>
      <c r="C176" s="1029" t="s">
        <v>241</v>
      </c>
      <c r="D176" s="1031" t="s">
        <v>244</v>
      </c>
      <c r="F176" s="1041" t="str">
        <f ca="1"/>
        <v>ZARLeg</v>
      </c>
      <c r="G176" s="1040">
        <f ca="1"/>
        <v>45565</v>
      </c>
      <c r="H176" s="1040">
        <f ca="1"/>
        <v>45747</v>
      </c>
      <c r="I176" s="1041">
        <f ca="1"/>
        <v>182</v>
      </c>
      <c r="J176" s="1040">
        <f ca="1"/>
        <v>45565</v>
      </c>
      <c r="K176" s="1040">
        <f ca="1"/>
        <v>45565</v>
      </c>
      <c r="L176" s="1040">
        <f ca="1"/>
        <v>45747</v>
      </c>
      <c r="M176" s="1040">
        <f ca="1"/>
        <v>45565</v>
      </c>
      <c r="N176" s="1040">
        <f ca="1"/>
        <v>45747</v>
      </c>
      <c r="O176" s="1040">
        <f ca="1"/>
        <v>45747</v>
      </c>
      <c r="P176" s="1042">
        <f ca="1"/>
        <v>-17000000</v>
      </c>
      <c r="Q176" s="1041">
        <f ca="1"/>
        <v>0.12366282710126805</v>
      </c>
      <c r="R176" s="1041">
        <f ca="1"/>
        <v>0.12366282710126805</v>
      </c>
      <c r="S176" s="1041">
        <f ca="1"/>
        <v>1E-3</v>
      </c>
      <c r="T176" s="1041">
        <f ca="1"/>
        <v>1</v>
      </c>
      <c r="U176" s="1041">
        <f ca="1"/>
        <v>0</v>
      </c>
      <c r="V176" s="1041">
        <f ca="1"/>
        <v>0.12466282710126805</v>
      </c>
      <c r="W176" s="1042">
        <f ca="1"/>
        <v>-1056730.9234282831</v>
      </c>
      <c r="X176" s="1054"/>
      <c r="Y176" s="1042" cm="1">
        <f t="array" aca="1" ref="Y176" ca="1">((_xll.d.Curve_GetDiscountFactors($I$32,M176)/_xll.d.Curve_GetDiscountFactors($I$32,N176)-1)*(365/(N176-M176))+S176)*(I176/365)*P176</f>
        <v>-1056730.9234282833</v>
      </c>
      <c r="Z176" s="1057" cm="1">
        <f t="array" aca="1" ref="Z176" ca="1">_xll.d.Curve_GetDiscountFactors($D$179,O176)</f>
        <v>0.89546605991912998</v>
      </c>
      <c r="AA176" s="1042">
        <f t="shared" ca="1" si="8"/>
        <v>-946266.67639702873</v>
      </c>
      <c r="AB176" s="1042">
        <f t="shared" ca="1" si="9"/>
        <v>-946266.67639702873</v>
      </c>
    </row>
    <row r="177" spans="2:29">
      <c r="B177" s="280" t="s">
        <v>828</v>
      </c>
      <c r="C177" s="1029" t="str">
        <f ca="1">F38</f>
        <v>@@USDLibor6mIndex::08:34:05</v>
      </c>
      <c r="D177" s="1031" t="str">
        <f ca="1">I38</f>
        <v>@@ZARJibarr6mIndex::08:34:05</v>
      </c>
      <c r="F177" s="1041" t="str">
        <f ca="1"/>
        <v>ZARLeg</v>
      </c>
      <c r="G177" s="1040">
        <f ca="1"/>
        <v>45747</v>
      </c>
      <c r="H177" s="1040">
        <f ca="1"/>
        <v>45930</v>
      </c>
      <c r="I177" s="1041">
        <f ca="1"/>
        <v>183</v>
      </c>
      <c r="J177" s="1040">
        <f ca="1"/>
        <v>45747</v>
      </c>
      <c r="K177" s="1040">
        <f ca="1"/>
        <v>45747</v>
      </c>
      <c r="L177" s="1040">
        <f ca="1"/>
        <v>45930</v>
      </c>
      <c r="M177" s="1040">
        <f ca="1"/>
        <v>45747</v>
      </c>
      <c r="N177" s="1040">
        <f ca="1"/>
        <v>45930</v>
      </c>
      <c r="O177" s="1040">
        <f ca="1"/>
        <v>45930</v>
      </c>
      <c r="P177" s="1042">
        <f ca="1"/>
        <v>-17000000</v>
      </c>
      <c r="Q177" s="1041">
        <f ca="1"/>
        <v>0.12368336021087489</v>
      </c>
      <c r="R177" s="1041">
        <f ca="1"/>
        <v>0.12368336021087489</v>
      </c>
      <c r="S177" s="1041">
        <f ca="1"/>
        <v>1E-3</v>
      </c>
      <c r="T177" s="1041">
        <f ca="1"/>
        <v>1</v>
      </c>
      <c r="U177" s="1041">
        <f ca="1"/>
        <v>0</v>
      </c>
      <c r="V177" s="1041">
        <f ca="1"/>
        <v>0.12468336021087489</v>
      </c>
      <c r="W177" s="1042">
        <f ca="1"/>
        <v>-1062712.146893238</v>
      </c>
      <c r="X177" s="1054"/>
      <c r="Y177" s="1042" cm="1">
        <f t="array" aca="1" ref="Y177" ca="1">((_xll.d.Curve_GetDiscountFactors($I$32,M177)/_xll.d.Curve_GetDiscountFactors($I$32,N177)-1)*(365/(N177-M177))+S177)*(I177/365)*P177</f>
        <v>-1062712.146893238</v>
      </c>
      <c r="Z177" s="1057" cm="1">
        <f t="array" aca="1" ref="Z177" ca="1">_xll.d.Curve_GetDiscountFactors($D$179,O177)</f>
        <v>0.87329710720522646</v>
      </c>
      <c r="AA177" s="1042">
        <f t="shared" ca="1" si="8"/>
        <v>-928063.44367372035</v>
      </c>
      <c r="AB177" s="1042">
        <f t="shared" ca="1" si="9"/>
        <v>-928063.44367372035</v>
      </c>
    </row>
    <row r="178" spans="2:29">
      <c r="B178" s="280" t="s">
        <v>829</v>
      </c>
      <c r="C178" s="81">
        <v>0</v>
      </c>
      <c r="D178" s="1055">
        <v>1E-3</v>
      </c>
      <c r="F178" s="1041" t="str">
        <f ca="1"/>
        <v>ZARLeg</v>
      </c>
      <c r="G178" s="1040">
        <f ca="1"/>
        <v>45930</v>
      </c>
      <c r="H178" s="1040">
        <f ca="1"/>
        <v>46112</v>
      </c>
      <c r="I178" s="1041">
        <f ca="1"/>
        <v>182</v>
      </c>
      <c r="J178" s="1040">
        <f ca="1"/>
        <v>45930</v>
      </c>
      <c r="K178" s="1040">
        <f ca="1"/>
        <v>45930</v>
      </c>
      <c r="L178" s="1040">
        <f ca="1"/>
        <v>46111</v>
      </c>
      <c r="M178" s="1040">
        <f ca="1"/>
        <v>45930</v>
      </c>
      <c r="N178" s="1040">
        <f ca="1"/>
        <v>46112</v>
      </c>
      <c r="O178" s="1040">
        <f ca="1"/>
        <v>46112</v>
      </c>
      <c r="P178" s="1042">
        <f ca="1"/>
        <v>-17000000</v>
      </c>
      <c r="Q178" s="1041">
        <f ca="1"/>
        <v>0.12364229851392185</v>
      </c>
      <c r="R178" s="1041">
        <f ca="1"/>
        <v>0.12366282710126805</v>
      </c>
      <c r="S178" s="1041">
        <f ca="1"/>
        <v>1E-3</v>
      </c>
      <c r="T178" s="1041">
        <f ca="1"/>
        <v>1</v>
      </c>
      <c r="U178" s="1041">
        <f ca="1"/>
        <v>0</v>
      </c>
      <c r="V178" s="1041">
        <f ca="1"/>
        <v>0.12466282710126805</v>
      </c>
      <c r="W178" s="1042">
        <f ca="1"/>
        <v>-1056730.9234282831</v>
      </c>
      <c r="X178" s="1054"/>
      <c r="Y178" s="1042" cm="1">
        <f t="array" aca="1" ref="Y178" ca="1">((_xll.d.Curve_GetDiscountFactors($I$32,M178)/_xll.d.Curve_GetDiscountFactors($I$32,N178)-1)*(365/(N178-M178))+S178)*(I178/365)*P178</f>
        <v>-1056730.9234282833</v>
      </c>
      <c r="Z178" s="1057" cm="1">
        <f t="array" aca="1" ref="Z178" ca="1">_xll.d.Curve_GetDiscountFactors($D$179,O178)</f>
        <v>0.85179366483679586</v>
      </c>
      <c r="AA178" s="1042">
        <f t="shared" ca="1" si="8"/>
        <v>-900116.70601334888</v>
      </c>
      <c r="AB178" s="1042">
        <f t="shared" ca="1" si="9"/>
        <v>-900116.70601334888</v>
      </c>
    </row>
    <row r="179" spans="2:29">
      <c r="B179" s="281" t="s">
        <v>830</v>
      </c>
      <c r="C179" s="1029" t="str">
        <f ca="1">C23</f>
        <v>@@Discount Curve USD::08:34:04</v>
      </c>
      <c r="D179" s="1031" t="str">
        <f ca="1">C24</f>
        <v>@@Discount Curve ZAR::08:34:04</v>
      </c>
      <c r="F179" s="1041" t="str">
        <f ca="1"/>
        <v>ZARLeg</v>
      </c>
      <c r="G179" s="1040">
        <f ca="1"/>
        <v>46112</v>
      </c>
      <c r="H179" s="1040">
        <f ca="1"/>
        <v>46295</v>
      </c>
      <c r="I179" s="1041">
        <f ca="1"/>
        <v>183</v>
      </c>
      <c r="J179" s="1040">
        <f ca="1"/>
        <v>46112</v>
      </c>
      <c r="K179" s="1040">
        <f ca="1"/>
        <v>46112</v>
      </c>
      <c r="L179" s="1040">
        <f ca="1"/>
        <v>46295</v>
      </c>
      <c r="M179" s="1040">
        <f ca="1"/>
        <v>46112</v>
      </c>
      <c r="N179" s="1040">
        <f ca="1"/>
        <v>46295</v>
      </c>
      <c r="O179" s="1040">
        <f ca="1"/>
        <v>46295</v>
      </c>
      <c r="P179" s="1042">
        <f ca="1"/>
        <v>-17000000</v>
      </c>
      <c r="Q179" s="1041">
        <f ca="1"/>
        <v>0.12368336021087534</v>
      </c>
      <c r="R179" s="1041">
        <f ca="1"/>
        <v>0.12368336021087534</v>
      </c>
      <c r="S179" s="1041">
        <f ca="1"/>
        <v>1E-3</v>
      </c>
      <c r="T179" s="1041">
        <f ca="1"/>
        <v>1</v>
      </c>
      <c r="U179" s="1041">
        <f ca="1"/>
        <v>0</v>
      </c>
      <c r="V179" s="1041">
        <f ca="1"/>
        <v>0.12468336021087534</v>
      </c>
      <c r="W179" s="1042">
        <f ca="1"/>
        <v>-1062712.1468932417</v>
      </c>
      <c r="X179" s="1054"/>
      <c r="Y179" s="1042" cm="1">
        <f t="array" aca="1" ref="Y179" ca="1">((_xll.d.Curve_GetDiscountFactors($I$32,M179)/_xll.d.Curve_GetDiscountFactors($I$32,N179)-1)*(365/(N179-M179))+S179)*(I179/365)*P179</f>
        <v>-1062712.1468932417</v>
      </c>
      <c r="Z179" s="1057" cm="1">
        <f t="array" aca="1" ref="Z179" ca="1">_xll.d.Curve_GetDiscountFactors($D$179,O179)</f>
        <v>0.83070590470496608</v>
      </c>
      <c r="AA179" s="1042">
        <f t="shared" ca="1" si="8"/>
        <v>-882801.25542590709</v>
      </c>
      <c r="AB179" s="1042">
        <f t="shared" ca="1" si="9"/>
        <v>-882801.25542590709</v>
      </c>
    </row>
    <row r="180" spans="2:29">
      <c r="F180" s="1041" t="str">
        <f ca="1"/>
        <v>ZARLeg</v>
      </c>
      <c r="G180" s="1040">
        <f ca="1"/>
        <v>46295</v>
      </c>
      <c r="H180" s="1040">
        <f ca="1"/>
        <v>46477</v>
      </c>
      <c r="I180" s="1041">
        <f ca="1"/>
        <v>182</v>
      </c>
      <c r="J180" s="1040">
        <f ca="1"/>
        <v>46295</v>
      </c>
      <c r="K180" s="1040">
        <f ca="1"/>
        <v>46295</v>
      </c>
      <c r="L180" s="1040">
        <f ca="1"/>
        <v>46476</v>
      </c>
      <c r="M180" s="1040">
        <f ca="1"/>
        <v>46295</v>
      </c>
      <c r="N180" s="1040">
        <f ca="1"/>
        <v>46477</v>
      </c>
      <c r="O180" s="1040">
        <f ca="1"/>
        <v>46477</v>
      </c>
      <c r="P180" s="1042">
        <f ca="1"/>
        <v>-17000000</v>
      </c>
      <c r="Q180" s="1041">
        <f ca="1"/>
        <v>0.1236422985139214</v>
      </c>
      <c r="R180" s="1041">
        <f ca="1"/>
        <v>0.12366282710126805</v>
      </c>
      <c r="S180" s="1041">
        <f ca="1"/>
        <v>1E-3</v>
      </c>
      <c r="T180" s="1041">
        <f ca="1"/>
        <v>1</v>
      </c>
      <c r="U180" s="1041">
        <f ca="1"/>
        <v>0</v>
      </c>
      <c r="V180" s="1041">
        <f ca="1"/>
        <v>0.12466282710126805</v>
      </c>
      <c r="W180" s="1042">
        <f ca="1"/>
        <v>-1056730.9234282831</v>
      </c>
      <c r="X180" s="1054"/>
      <c r="Y180" s="1042" cm="1">
        <f t="array" aca="1" ref="Y180" ca="1">((_xll.d.Curve_GetDiscountFactors($I$32,M180)/_xll.d.Curve_GetDiscountFactors($I$32,N180)-1)*(365/(N180-M180))+S180)*(I180/365)*P180</f>
        <v>-1056730.9234282833</v>
      </c>
      <c r="Z180" s="1057" cm="1">
        <f t="array" aca="1" ref="Z180" ca="1">_xll.d.Curve_GetDiscountFactors($D$179,O180)</f>
        <v>0.81025119759605946</v>
      </c>
      <c r="AA180" s="1042">
        <f t="shared" ca="1" si="8"/>
        <v>-856217.49624455639</v>
      </c>
      <c r="AB180" s="1042">
        <f t="shared" ca="1" si="9"/>
        <v>-856217.49624455639</v>
      </c>
    </row>
    <row r="181" spans="2:29">
      <c r="B181" s="1030" t="s">
        <v>868</v>
      </c>
      <c r="C181" s="1055" t="str" cm="1">
        <f t="array" aca="1" ref="C181" ca="1">_xll.d.IR_CreateConstantNotionalCrossCurrencySwap(B160:C170,B172:D179)</f>
        <v>@@Xccy Swap::08:34:05</v>
      </c>
      <c r="F181" s="1041" t="str">
        <f ca="1"/>
        <v>ZARLeg</v>
      </c>
      <c r="G181" s="1040">
        <f ca="1"/>
        <v>46477</v>
      </c>
      <c r="H181" s="1040">
        <f ca="1"/>
        <v>46660</v>
      </c>
      <c r="I181" s="1041">
        <f ca="1"/>
        <v>183</v>
      </c>
      <c r="J181" s="1040">
        <f ca="1"/>
        <v>46477</v>
      </c>
      <c r="K181" s="1040">
        <f ca="1"/>
        <v>46477</v>
      </c>
      <c r="L181" s="1040">
        <f ca="1"/>
        <v>46660</v>
      </c>
      <c r="M181" s="1040">
        <f ca="1"/>
        <v>46477</v>
      </c>
      <c r="N181" s="1040">
        <f ca="1"/>
        <v>46660</v>
      </c>
      <c r="O181" s="1040">
        <f ca="1"/>
        <v>46660</v>
      </c>
      <c r="P181" s="1042">
        <f ca="1"/>
        <v>-17000000</v>
      </c>
      <c r="Q181" s="1041">
        <f ca="1"/>
        <v>0.12368336021087489</v>
      </c>
      <c r="R181" s="1041">
        <f ca="1"/>
        <v>0.12368336021087489</v>
      </c>
      <c r="S181" s="1041">
        <f ca="1"/>
        <v>1E-3</v>
      </c>
      <c r="T181" s="1041">
        <f ca="1"/>
        <v>1</v>
      </c>
      <c r="U181" s="1041">
        <f ca="1"/>
        <v>0</v>
      </c>
      <c r="V181" s="1041">
        <f ca="1"/>
        <v>0.12468336021087489</v>
      </c>
      <c r="W181" s="1042">
        <f ca="1"/>
        <v>-1062712.146893238</v>
      </c>
      <c r="X181" s="1054"/>
      <c r="Y181" s="1042" cm="1">
        <f t="array" aca="1" ref="Y181" ca="1">((_xll.d.Curve_GetDiscountFactors($I$32,M181)/_xll.d.Curve_GetDiscountFactors($I$32,N181)-1)*(365/(N181-M181))+S181)*(I181/365)*P181</f>
        <v>-1062712.146893238</v>
      </c>
      <c r="Z181" s="1057" cm="1">
        <f t="array" aca="1" ref="Z181" ca="1">_xll.d.Curve_GetDiscountFactors($D$179,O181)</f>
        <v>0.79019189966184977</v>
      </c>
      <c r="AA181" s="1042">
        <f t="shared" ca="1" si="8"/>
        <v>-839746.53014729044</v>
      </c>
      <c r="AB181" s="1042">
        <f t="shared" ca="1" si="9"/>
        <v>-839746.53014729044</v>
      </c>
    </row>
    <row r="182" spans="2:29">
      <c r="B182" s="1033" t="s">
        <v>832</v>
      </c>
      <c r="C182" s="1050" cm="1">
        <f t="array" aca="1" ref="C182" ca="1">_xll.d.IR_ConstantNotionalXccySwap_GetPrice(C181,FALSE)</f>
        <v>1719606.0316053089</v>
      </c>
      <c r="F182" s="1041" t="str">
        <f ca="1"/>
        <v>ZARLeg</v>
      </c>
      <c r="G182" s="1040">
        <f ca="1"/>
        <v>46660</v>
      </c>
      <c r="H182" s="1040">
        <f ca="1"/>
        <v>46843</v>
      </c>
      <c r="I182" s="1041">
        <f ca="1"/>
        <v>183</v>
      </c>
      <c r="J182" s="1040">
        <f ca="1"/>
        <v>46660</v>
      </c>
      <c r="K182" s="1040">
        <f ca="1"/>
        <v>46660</v>
      </c>
      <c r="L182" s="1040">
        <f ca="1"/>
        <v>46842</v>
      </c>
      <c r="M182" s="1040">
        <f ca="1"/>
        <v>46660</v>
      </c>
      <c r="N182" s="1040">
        <f ca="1"/>
        <v>46843</v>
      </c>
      <c r="O182" s="1040">
        <f ca="1"/>
        <v>46843</v>
      </c>
      <c r="P182" s="1042">
        <f ca="1"/>
        <v>-17000000</v>
      </c>
      <c r="Q182" s="1041">
        <f ca="1"/>
        <v>0.12366282710126851</v>
      </c>
      <c r="R182" s="1041">
        <f ca="1"/>
        <v>0.12368336021087489</v>
      </c>
      <c r="S182" s="1041">
        <f ca="1"/>
        <v>1E-3</v>
      </c>
      <c r="T182" s="1041">
        <f ca="1"/>
        <v>1</v>
      </c>
      <c r="U182" s="1041">
        <f ca="1"/>
        <v>0</v>
      </c>
      <c r="V182" s="1041">
        <f ca="1"/>
        <v>0.12468336021087489</v>
      </c>
      <c r="W182" s="1042">
        <f ca="1"/>
        <v>-1062712.146893238</v>
      </c>
      <c r="X182" s="1054"/>
      <c r="Y182" s="1042" cm="1">
        <f t="array" aca="1" ref="Y182" ca="1">((_xll.d.Curve_GetDiscountFactors($I$32,M182)/_xll.d.Curve_GetDiscountFactors($I$32,N182)-1)*(365/(N182-M182))+S182)*(I182/365)*P182</f>
        <v>-1062712.146893238</v>
      </c>
      <c r="Z182" s="1057" cm="1">
        <f t="array" aca="1" ref="Z182" ca="1">_xll.d.Curve_GetDiscountFactors($D$179,O182)</f>
        <v>0.77062920751459518</v>
      </c>
      <c r="AA182" s="1042">
        <f t="shared" ca="1" si="8"/>
        <v>-818957.01957647002</v>
      </c>
      <c r="AB182" s="1042">
        <f t="shared" ca="1" si="9"/>
        <v>-818957.01957647002</v>
      </c>
    </row>
    <row r="183" spans="2:29">
      <c r="F183" s="1041" t="str">
        <f ca="1"/>
        <v>ZARLeg</v>
      </c>
      <c r="G183" s="1040">
        <f ca="1"/>
        <v>0</v>
      </c>
      <c r="H183" s="1040">
        <f ca="1"/>
        <v>0</v>
      </c>
      <c r="I183" s="1041">
        <f ca="1"/>
        <v>0</v>
      </c>
      <c r="J183" s="1040">
        <f ca="1"/>
        <v>0</v>
      </c>
      <c r="K183" s="1040">
        <f ca="1"/>
        <v>0</v>
      </c>
      <c r="L183" s="1040">
        <f ca="1"/>
        <v>0</v>
      </c>
      <c r="M183" s="1040">
        <f ca="1"/>
        <v>0</v>
      </c>
      <c r="N183" s="1040">
        <f ca="1"/>
        <v>0</v>
      </c>
      <c r="O183" s="1040">
        <f ca="1"/>
        <v>45016</v>
      </c>
      <c r="P183" s="1042">
        <f ca="1"/>
        <v>-17000000</v>
      </c>
      <c r="Q183" s="1041">
        <f ca="1"/>
        <v>0</v>
      </c>
      <c r="R183" s="1041">
        <f ca="1"/>
        <v>0</v>
      </c>
      <c r="S183" s="1041">
        <f ca="1"/>
        <v>0</v>
      </c>
      <c r="T183" s="1041">
        <f ca="1"/>
        <v>0</v>
      </c>
      <c r="U183" s="1041">
        <f ca="1"/>
        <v>0</v>
      </c>
      <c r="V183" s="1041">
        <f ca="1"/>
        <v>0</v>
      </c>
      <c r="W183" s="1042">
        <f ca="1"/>
        <v>-17000000</v>
      </c>
      <c r="X183" s="1054"/>
      <c r="Y183" s="1042">
        <f ca="1">P183</f>
        <v>-17000000</v>
      </c>
      <c r="Z183" s="1057" cm="1">
        <f t="array" aca="1" ref="Z183" ca="1">_xll.d.Curve_GetDiscountFactors($D$179,O183)</f>
        <v>0.98977862437303943</v>
      </c>
      <c r="AA183" s="1042">
        <f t="shared" ca="1" si="8"/>
        <v>-16826236.614341669</v>
      </c>
      <c r="AB183" s="1042">
        <f t="shared" ca="1" si="9"/>
        <v>-16826236.614341669</v>
      </c>
    </row>
    <row r="184" spans="2:29">
      <c r="F184" s="1041" t="str">
        <f ca="1"/>
        <v>ZARLeg</v>
      </c>
      <c r="G184" s="1040">
        <f ca="1"/>
        <v>0</v>
      </c>
      <c r="H184" s="1040">
        <f ca="1"/>
        <v>0</v>
      </c>
      <c r="I184" s="1041">
        <f ca="1"/>
        <v>0</v>
      </c>
      <c r="J184" s="1040">
        <f ca="1"/>
        <v>0</v>
      </c>
      <c r="K184" s="1040">
        <f ca="1"/>
        <v>0</v>
      </c>
      <c r="L184" s="1040">
        <f ca="1"/>
        <v>0</v>
      </c>
      <c r="M184" s="1040">
        <f ca="1"/>
        <v>0</v>
      </c>
      <c r="N184" s="1040">
        <f ca="1"/>
        <v>0</v>
      </c>
      <c r="O184" s="1040">
        <f ca="1"/>
        <v>46843</v>
      </c>
      <c r="P184" s="1042">
        <f ca="1"/>
        <v>17000000</v>
      </c>
      <c r="Q184" s="1041">
        <f ca="1"/>
        <v>0</v>
      </c>
      <c r="R184" s="1041">
        <f ca="1"/>
        <v>0</v>
      </c>
      <c r="S184" s="1041">
        <f ca="1"/>
        <v>0</v>
      </c>
      <c r="T184" s="1041">
        <f ca="1"/>
        <v>0</v>
      </c>
      <c r="U184" s="1041">
        <f ca="1"/>
        <v>0</v>
      </c>
      <c r="V184" s="1041">
        <f ca="1"/>
        <v>0</v>
      </c>
      <c r="W184" s="1042">
        <f ca="1"/>
        <v>17000000</v>
      </c>
      <c r="X184" s="1054"/>
      <c r="Y184" s="1042">
        <f ca="1">P184</f>
        <v>17000000</v>
      </c>
      <c r="Z184" s="1057" cm="1">
        <f t="array" aca="1" ref="Z184" ca="1">_xll.d.Curve_GetDiscountFactors($D$179,O184)</f>
        <v>0.77062920751459518</v>
      </c>
      <c r="AA184" s="1042">
        <f t="shared" ca="1" si="8"/>
        <v>13100696.527748117</v>
      </c>
      <c r="AB184" s="1042">
        <f t="shared" ca="1" si="9"/>
        <v>13100696.527748117</v>
      </c>
    </row>
    <row r="186" spans="2:29">
      <c r="Y186" s="1054"/>
      <c r="AA186" s="1039" t="s">
        <v>833</v>
      </c>
      <c r="AB186" s="1042">
        <f ca="1">SUM(AB161:AB184)</f>
        <v>1719606.0316053089</v>
      </c>
      <c r="AC186" s="1054">
        <f ca="1">AB186-C182</f>
        <v>0</v>
      </c>
    </row>
    <row r="187" spans="2:29">
      <c r="Y187" s="1054"/>
      <c r="AA187" s="13" t="s">
        <v>67</v>
      </c>
      <c r="AB187" s="446" t="str" cm="1">
        <f t="array" aca="1" ref="AB187" ca="1">_xll.d.TestUtils_Equal(AB186,C182)</f>
        <v>Ok</v>
      </c>
    </row>
    <row r="191" spans="2:29">
      <c r="F191" s="1046"/>
    </row>
  </sheetData>
  <conditionalFormatting sqref="D9:D14">
    <cfRule type="cellIs" dxfId="275" priority="43" stopIfTrue="1" operator="equal">
      <formula>"ERROR"</formula>
    </cfRule>
    <cfRule type="cellIs" dxfId="274" priority="44" stopIfTrue="1" operator="equal">
      <formula>"OK"</formula>
    </cfRule>
    <cfRule type="cellIs" dxfId="273" priority="45" stopIfTrue="1" operator="equal">
      <formula>"WARNING"</formula>
    </cfRule>
  </conditionalFormatting>
  <conditionalFormatting sqref="C6">
    <cfRule type="cellIs" dxfId="272" priority="40" stopIfTrue="1" operator="equal">
      <formula>"ERROR"</formula>
    </cfRule>
    <cfRule type="cellIs" dxfId="271" priority="41" stopIfTrue="1" operator="equal">
      <formula>"OK"</formula>
    </cfRule>
    <cfRule type="cellIs" dxfId="270" priority="42" stopIfTrue="1" operator="equal">
      <formula>"WARNING"</formula>
    </cfRule>
  </conditionalFormatting>
  <conditionalFormatting sqref="C42">
    <cfRule type="cellIs" dxfId="269" priority="37" stopIfTrue="1" operator="equal">
      <formula>"ERROR"</formula>
    </cfRule>
    <cfRule type="cellIs" dxfId="268" priority="38" stopIfTrue="1" operator="equal">
      <formula>"OK"</formula>
    </cfRule>
    <cfRule type="cellIs" dxfId="267" priority="39" stopIfTrue="1" operator="equal">
      <formula>"WARNING"</formula>
    </cfRule>
  </conditionalFormatting>
  <conditionalFormatting sqref="B29:B32">
    <cfRule type="cellIs" dxfId="266" priority="46" stopIfTrue="1" operator="equal">
      <formula>"ERROR"</formula>
    </cfRule>
    <cfRule type="cellIs" dxfId="265" priority="47" stopIfTrue="1" operator="equal">
      <formula>"OK"</formula>
    </cfRule>
    <cfRule type="cellIs" dxfId="264" priority="48" stopIfTrue="1" operator="equal">
      <formula>"WARNING"</formula>
    </cfRule>
    <cfRule type="cellIs" dxfId="263" priority="49" stopIfTrue="1" operator="equal">
      <formula>"ERROR"</formula>
    </cfRule>
    <cfRule type="cellIs" dxfId="262" priority="50" stopIfTrue="1" operator="equal">
      <formula>"OK"</formula>
    </cfRule>
    <cfRule type="cellIs" dxfId="261" priority="51" stopIfTrue="1" operator="equal">
      <formula>"WARNING"</formula>
    </cfRule>
    <cfRule type="cellIs" dxfId="260" priority="52" stopIfTrue="1" operator="equal">
      <formula>"ERROR"</formula>
    </cfRule>
    <cfRule type="cellIs" dxfId="259" priority="53" stopIfTrue="1" operator="equal">
      <formula>"OK"</formula>
    </cfRule>
    <cfRule type="cellIs" dxfId="258" priority="54" stopIfTrue="1" operator="equal">
      <formula>"WARNING"</formula>
    </cfRule>
  </conditionalFormatting>
  <conditionalFormatting sqref="C70">
    <cfRule type="cellIs" dxfId="257" priority="34" stopIfTrue="1" operator="equal">
      <formula>"ERROR"</formula>
    </cfRule>
    <cfRule type="cellIs" dxfId="256" priority="35" stopIfTrue="1" operator="equal">
      <formula>"OK"</formula>
    </cfRule>
    <cfRule type="cellIs" dxfId="255" priority="36" stopIfTrue="1" operator="equal">
      <formula>"WARNING"</formula>
    </cfRule>
  </conditionalFormatting>
  <conditionalFormatting sqref="C110">
    <cfRule type="cellIs" dxfId="254" priority="31" stopIfTrue="1" operator="equal">
      <formula>"ERROR"</formula>
    </cfRule>
    <cfRule type="cellIs" dxfId="253" priority="32" stopIfTrue="1" operator="equal">
      <formula>"OK"</formula>
    </cfRule>
    <cfRule type="cellIs" dxfId="252" priority="33" stopIfTrue="1" operator="equal">
      <formula>"WARNING"</formula>
    </cfRule>
  </conditionalFormatting>
  <conditionalFormatting sqref="C134">
    <cfRule type="cellIs" dxfId="251" priority="28" stopIfTrue="1" operator="equal">
      <formula>"ERROR"</formula>
    </cfRule>
    <cfRule type="cellIs" dxfId="250" priority="29" stopIfTrue="1" operator="equal">
      <formula>"OK"</formula>
    </cfRule>
    <cfRule type="cellIs" dxfId="249" priority="30" stopIfTrue="1" operator="equal">
      <formula>"WARNING"</formula>
    </cfRule>
  </conditionalFormatting>
  <conditionalFormatting sqref="H29:H32">
    <cfRule type="cellIs" dxfId="248" priority="19" stopIfTrue="1" operator="equal">
      <formula>"ERROR"</formula>
    </cfRule>
    <cfRule type="cellIs" dxfId="247" priority="20" stopIfTrue="1" operator="equal">
      <formula>"OK"</formula>
    </cfRule>
    <cfRule type="cellIs" dxfId="246" priority="21" stopIfTrue="1" operator="equal">
      <formula>"WARNING"</formula>
    </cfRule>
    <cfRule type="cellIs" dxfId="245" priority="22" stopIfTrue="1" operator="equal">
      <formula>"ERROR"</formula>
    </cfRule>
    <cfRule type="cellIs" dxfId="244" priority="23" stopIfTrue="1" operator="equal">
      <formula>"OK"</formula>
    </cfRule>
    <cfRule type="cellIs" dxfId="243" priority="24" stopIfTrue="1" operator="equal">
      <formula>"WARNING"</formula>
    </cfRule>
    <cfRule type="cellIs" dxfId="242" priority="25" stopIfTrue="1" operator="equal">
      <formula>"ERROR"</formula>
    </cfRule>
    <cfRule type="cellIs" dxfId="241" priority="26" stopIfTrue="1" operator="equal">
      <formula>"OK"</formula>
    </cfRule>
    <cfRule type="cellIs" dxfId="240" priority="27" stopIfTrue="1" operator="equal">
      <formula>"WARNING"</formula>
    </cfRule>
  </conditionalFormatting>
  <conditionalFormatting sqref="C158">
    <cfRule type="cellIs" dxfId="239" priority="16" stopIfTrue="1" operator="equal">
      <formula>"ERROR"</formula>
    </cfRule>
    <cfRule type="cellIs" dxfId="238" priority="17" stopIfTrue="1" operator="equal">
      <formula>"OK"</formula>
    </cfRule>
    <cfRule type="cellIs" dxfId="237" priority="18" stopIfTrue="1" operator="equal">
      <formula>"WARNING"</formula>
    </cfRule>
  </conditionalFormatting>
  <conditionalFormatting sqref="AD42">
    <cfRule type="cellIs" dxfId="236" priority="13" stopIfTrue="1" operator="equal">
      <formula>"ERROR"</formula>
    </cfRule>
  </conditionalFormatting>
  <conditionalFormatting sqref="AD42">
    <cfRule type="cellIs" dxfId="235" priority="14" stopIfTrue="1" operator="equal">
      <formula>"OK"</formula>
    </cfRule>
  </conditionalFormatting>
  <conditionalFormatting sqref="AD42">
    <cfRule type="cellIs" dxfId="234" priority="15" stopIfTrue="1" operator="equal">
      <formula>"WARNING"</formula>
    </cfRule>
  </conditionalFormatting>
  <conditionalFormatting sqref="AD105">
    <cfRule type="cellIs" dxfId="233" priority="10" stopIfTrue="1" operator="equal">
      <formula>"ERROR"</formula>
    </cfRule>
  </conditionalFormatting>
  <conditionalFormatting sqref="AD105">
    <cfRule type="cellIs" dxfId="232" priority="11" stopIfTrue="1" operator="equal">
      <formula>"OK"</formula>
    </cfRule>
  </conditionalFormatting>
  <conditionalFormatting sqref="AD105">
    <cfRule type="cellIs" dxfId="231" priority="12" stopIfTrue="1" operator="equal">
      <formula>"WARNING"</formula>
    </cfRule>
  </conditionalFormatting>
  <conditionalFormatting sqref="AN125">
    <cfRule type="cellIs" dxfId="230" priority="7" stopIfTrue="1" operator="equal">
      <formula>"ERROR"</formula>
    </cfRule>
  </conditionalFormatting>
  <conditionalFormatting sqref="AN125">
    <cfRule type="cellIs" dxfId="229" priority="8" stopIfTrue="1" operator="equal">
      <formula>"OK"</formula>
    </cfRule>
  </conditionalFormatting>
  <conditionalFormatting sqref="AN125">
    <cfRule type="cellIs" dxfId="228" priority="9" stopIfTrue="1" operator="equal">
      <formula>"WARNING"</formula>
    </cfRule>
  </conditionalFormatting>
  <conditionalFormatting sqref="Z151">
    <cfRule type="cellIs" dxfId="227" priority="4" stopIfTrue="1" operator="equal">
      <formula>"ERROR"</formula>
    </cfRule>
  </conditionalFormatting>
  <conditionalFormatting sqref="Z151">
    <cfRule type="cellIs" dxfId="226" priority="5" stopIfTrue="1" operator="equal">
      <formula>"OK"</formula>
    </cfRule>
  </conditionalFormatting>
  <conditionalFormatting sqref="Z151">
    <cfRule type="cellIs" dxfId="225" priority="6" stopIfTrue="1" operator="equal">
      <formula>"WARNING"</formula>
    </cfRule>
  </conditionalFormatting>
  <conditionalFormatting sqref="AB187">
    <cfRule type="cellIs" dxfId="224" priority="1" stopIfTrue="1" operator="equal">
      <formula>"ERROR"</formula>
    </cfRule>
  </conditionalFormatting>
  <conditionalFormatting sqref="AB187">
    <cfRule type="cellIs" dxfId="223" priority="2" stopIfTrue="1" operator="equal">
      <formula>"OK"</formula>
    </cfRule>
  </conditionalFormatting>
  <conditionalFormatting sqref="AB187">
    <cfRule type="cellIs" dxfId="222" priority="3" stopIfTrue="1" operator="equal">
      <formula>"WARNING"</formula>
    </cfRule>
  </conditionalFormatting>
  <hyperlinks>
    <hyperlink ref="B1" location="Summary!A1" display="Summary!A1" xr:uid="{5C0BC098-998C-488A-8AC9-A91B2731082F}"/>
    <hyperlink ref="B9:C9" location="InterestRateSwaps.Title.d.IR_CreateVanillaInterestRateSwap" display="InterestRateSwaps.Title.d.IR_CreateVanillaInterestRateSwap" xr:uid="{9954A2FA-2E7E-4355-AA3B-3DE67C453831}"/>
    <hyperlink ref="B10:C10" location="InterestRateSwaps.Title.d.IR_CreateNonStandardInterestRateSwap" display="InterestRateSwaps.Title.d.IR_CreateNonStandardInterestRateSwap" xr:uid="{331C4BE1-B5EE-4FD3-8DDD-77AD07A7F808}"/>
    <hyperlink ref="B11:C11" location="InterestRateSwaps.Title.d.IR_CreateFloatForFloatInterestRateSwap" display="InterestRateSwaps.Title.d.IR_CreateFloatForFloatInterestRateSwap" xr:uid="{D6DDC5B3-A94E-4976-9E0B-B04F0FE9F01A}"/>
    <hyperlink ref="B12:C12" location="InterestRateSwaps.Title.d.IR_CreateConstantNotionalFloatingLeg" display="InterestRateSwaps.Title.d.IR_CreateConstantNotionalFloatingLeg" xr:uid="{5923D3BE-BD57-4288-BE6D-41546D4527D6}"/>
    <hyperlink ref="B13:C13" location="InterestRateSwaps.Title.d.IR_CreateConstantNotionalCrossCurrencySwap" display="InterestRateSwaps.Title.d.IR_CreateConstantNotionalCrossCurrencySwap" xr:uid="{FBE74E7C-9F6B-40F9-A5C8-335364BBB2D5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2" sqref="B2"/>
    </sheetView>
  </sheetViews>
  <sheetFormatPr defaultRowHeight="15"/>
  <cols>
    <col min="1" max="1" width="3.75" customWidth="1"/>
  </cols>
  <sheetData>
    <row r="2" spans="2:2">
      <c r="B2" s="56" t="s">
        <v>69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/>
  <cols>
    <col min="1" max="1" width="3.75" style="430" customWidth="1"/>
    <col min="2" max="4" width="14.125" style="430" customWidth="1"/>
    <col min="5" max="5" width="11.75" style="430" customWidth="1"/>
    <col min="6" max="8" width="14.125" style="430" customWidth="1"/>
    <col min="9" max="9" width="11.375" style="430" bestFit="1" customWidth="1"/>
    <col min="10" max="16384" width="9" style="430"/>
  </cols>
  <sheetData>
    <row r="1" spans="2:34">
      <c r="B1" s="399" t="s">
        <v>372</v>
      </c>
    </row>
    <row r="2" spans="2:34" ht="26.25">
      <c r="B2" s="2" t="s">
        <v>544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>
      <c r="N3" s="486"/>
      <c r="O3" s="486"/>
      <c r="P3" s="486"/>
      <c r="Q3" s="486"/>
      <c r="R3" s="486"/>
    </row>
    <row r="4" spans="2:34">
      <c r="B4" s="186" t="s">
        <v>141</v>
      </c>
      <c r="C4" s="187" t="str" cm="1">
        <f t="array" aca="1" ref="C4" ca="1">_xll.d.TestUtils_And(C8:C9)</f>
        <v>Ok</v>
      </c>
      <c r="E4" s="133" t="s">
        <v>96</v>
      </c>
      <c r="F4" s="50"/>
    </row>
    <row r="5" spans="2:34">
      <c r="E5" s="587" t="s">
        <v>435</v>
      </c>
      <c r="F5" s="588"/>
    </row>
    <row r="6" spans="2:34">
      <c r="E6" s="589" t="s">
        <v>434</v>
      </c>
      <c r="F6" s="590"/>
    </row>
    <row r="7" spans="2:34">
      <c r="B7" s="188" t="s">
        <v>9</v>
      </c>
      <c r="C7" s="189" t="s">
        <v>10</v>
      </c>
    </row>
    <row r="8" spans="2:34">
      <c r="B8" s="471" t="s">
        <v>547</v>
      </c>
      <c r="C8" s="163" t="str" cm="1">
        <f t="array" aca="1" ref="C8" ca="1">_xll.d.TestUtils_And(J20,J23,H26:J28,H31:J33,Y20,Y23,Y26,Y31)</f>
        <v>Ok</v>
      </c>
      <c r="E8" s="603" t="s">
        <v>551</v>
      </c>
    </row>
    <row r="9" spans="2:34">
      <c r="B9" s="471" t="s">
        <v>548</v>
      </c>
      <c r="C9" s="163" t="str" cm="1">
        <f t="array" aca="1" ref="C9" ca="1">_xll.d.TestUtils_And(J39,J42,H45:J47,H50:J52,Y39,Y42,Y45,Y50)</f>
        <v>Ok</v>
      </c>
      <c r="E9" s="603" t="s">
        <v>552</v>
      </c>
    </row>
    <row r="12" spans="2:34">
      <c r="B12" s="50" t="s">
        <v>556</v>
      </c>
      <c r="C12" s="50" t="s">
        <v>546</v>
      </c>
      <c r="D12" s="50"/>
      <c r="E12" s="50"/>
      <c r="F12" s="50"/>
      <c r="G12" s="50"/>
      <c r="H12" s="50"/>
    </row>
    <row r="13" spans="2:34">
      <c r="B13" s="644" t="s">
        <v>547</v>
      </c>
      <c r="C13" s="645" t="s">
        <v>543</v>
      </c>
      <c r="D13" s="625"/>
      <c r="E13" s="625"/>
      <c r="F13" s="625"/>
      <c r="G13" s="625"/>
      <c r="H13" s="626"/>
    </row>
    <row r="14" spans="2:34">
      <c r="B14" s="646" t="s">
        <v>548</v>
      </c>
      <c r="C14" s="647" t="s">
        <v>545</v>
      </c>
      <c r="D14" s="627"/>
      <c r="E14" s="627"/>
      <c r="F14" s="627"/>
      <c r="G14" s="627"/>
      <c r="H14" s="628"/>
    </row>
    <row r="17" spans="2:34" ht="18.75">
      <c r="B17" s="3" t="s">
        <v>547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>
      <c r="B19" s="50" t="s">
        <v>539</v>
      </c>
      <c r="C19" s="50"/>
      <c r="D19" s="50"/>
      <c r="E19" s="50" t="s">
        <v>553</v>
      </c>
      <c r="F19" s="50"/>
      <c r="G19" s="50"/>
      <c r="H19" s="50" t="s">
        <v>557</v>
      </c>
      <c r="I19" s="50"/>
      <c r="J19" s="50"/>
      <c r="K19" s="50" t="s">
        <v>560</v>
      </c>
      <c r="L19" s="50"/>
      <c r="M19" s="50"/>
      <c r="N19" s="50"/>
      <c r="O19" s="50"/>
      <c r="P19" s="50"/>
      <c r="Q19" s="50"/>
      <c r="R19" s="50" t="s">
        <v>559</v>
      </c>
      <c r="S19" s="50"/>
      <c r="T19" s="50"/>
      <c r="U19" s="50"/>
      <c r="V19" s="50"/>
      <c r="W19" s="50"/>
      <c r="X19" s="50"/>
      <c r="Y19" s="50" t="s">
        <v>561</v>
      </c>
      <c r="AF19" s="624" t="s">
        <v>539</v>
      </c>
      <c r="AG19" s="624"/>
      <c r="AH19" s="624"/>
    </row>
    <row r="20" spans="2:34">
      <c r="B20" s="657"/>
      <c r="C20" s="658"/>
      <c r="D20" s="658">
        <f t="array" aca="1" ref="D20" ca="1">[2]Sheet1!$B$3</f>
        <v>8093742</v>
      </c>
      <c r="E20" s="657"/>
      <c r="F20" s="658"/>
      <c r="G20" s="659">
        <v>8093742</v>
      </c>
      <c r="H20" s="660"/>
      <c r="I20" s="661"/>
      <c r="J20" s="301" t="str" cm="1">
        <f t="array" aca="1" ref="J20" ca="1">_xll.d.TestUtils_Equal(FixEMSLinks.File1.SingleCell,G20)</f>
        <v>Ok</v>
      </c>
      <c r="K20" s="662" t="s">
        <v>562</v>
      </c>
      <c r="L20" s="663"/>
      <c r="M20" s="663"/>
      <c r="N20" s="663"/>
      <c r="O20" s="663"/>
      <c r="P20" s="663"/>
      <c r="Q20" s="664"/>
      <c r="R20" s="663" t="s">
        <v>562</v>
      </c>
      <c r="S20" s="663"/>
      <c r="T20" s="663"/>
      <c r="U20" s="663"/>
      <c r="V20" s="663"/>
      <c r="W20" s="663"/>
      <c r="X20" s="664"/>
      <c r="Y20" s="291" t="str" cm="1">
        <f t="array" aca="1" ref="Y20" ca="1">_xll.d.TestUtils_Equal(K20,FixEMSLinks.File1.SingleCell.ActualPath)</f>
        <v>Ok</v>
      </c>
      <c r="Z20" s="289"/>
      <c r="AA20" s="289"/>
      <c r="AB20" s="289"/>
      <c r="AC20" s="289"/>
      <c r="AD20" s="289"/>
      <c r="AE20" s="289"/>
      <c r="AF20" s="289"/>
      <c r="AG20" s="289"/>
      <c r="AH20" s="642">
        <f t="array" aca="1" ref="AH20" ca="1">[3]Sheet1!$B$3</f>
        <v>3545764</v>
      </c>
    </row>
    <row r="21" spans="2:34">
      <c r="B21" s="643"/>
      <c r="C21" s="643"/>
      <c r="D21" s="643"/>
      <c r="E21" s="643"/>
      <c r="F21" s="643"/>
      <c r="G21" s="643"/>
      <c r="I21" s="289"/>
      <c r="J21" s="289"/>
      <c r="R21" s="289"/>
      <c r="S21" s="289"/>
      <c r="T21" s="289"/>
      <c r="U21" s="289"/>
      <c r="V21" s="289"/>
      <c r="W21" s="289"/>
      <c r="X21" s="289"/>
      <c r="Y21" s="289"/>
      <c r="Z21" s="289"/>
      <c r="AA21" s="289"/>
      <c r="AB21" s="289"/>
      <c r="AC21" s="289"/>
      <c r="AD21" s="289"/>
      <c r="AE21" s="289"/>
      <c r="AF21" s="289"/>
      <c r="AG21" s="289"/>
      <c r="AH21" s="289"/>
    </row>
    <row r="22" spans="2:34">
      <c r="B22" s="50" t="s">
        <v>540</v>
      </c>
      <c r="C22" s="50"/>
      <c r="D22" s="50"/>
      <c r="E22" s="50" t="s">
        <v>553</v>
      </c>
      <c r="F22" s="50"/>
      <c r="G22" s="50"/>
      <c r="H22" s="50" t="s">
        <v>557</v>
      </c>
      <c r="I22" s="50"/>
      <c r="J22" s="50"/>
      <c r="K22" s="50" t="s">
        <v>560</v>
      </c>
      <c r="L22" s="50"/>
      <c r="M22" s="50"/>
      <c r="N22" s="50"/>
      <c r="O22" s="50"/>
      <c r="P22" s="50"/>
      <c r="Q22" s="50"/>
      <c r="R22" s="50" t="s">
        <v>559</v>
      </c>
      <c r="S22" s="50"/>
      <c r="T22" s="50"/>
      <c r="U22" s="50"/>
      <c r="V22" s="50"/>
      <c r="W22" s="50"/>
      <c r="X22" s="50"/>
      <c r="Y22" s="50" t="s">
        <v>561</v>
      </c>
      <c r="Z22" s="289"/>
      <c r="AA22" s="289"/>
      <c r="AB22" s="289"/>
      <c r="AC22" s="289"/>
      <c r="AD22" s="289"/>
      <c r="AE22" s="289"/>
      <c r="AF22" s="624" t="s">
        <v>540</v>
      </c>
      <c r="AG22" s="624"/>
      <c r="AH22" s="624"/>
    </row>
    <row r="23" spans="2:34">
      <c r="B23" s="657"/>
      <c r="C23" s="658"/>
      <c r="D23" s="658">
        <f t="array" aca="1" ref="D23" ca="1">[2]!SingleCell</f>
        <v>4513215</v>
      </c>
      <c r="E23" s="657"/>
      <c r="F23" s="658"/>
      <c r="G23" s="659">
        <v>4513215</v>
      </c>
      <c r="H23" s="660"/>
      <c r="I23" s="661"/>
      <c r="J23" s="301" t="str" cm="1">
        <f t="array" aca="1" ref="J23" ca="1">_xll.d.TestUtils_Equal(FixEMSLinks.File1.SingleCellNamedRange,G23)</f>
        <v>Ok</v>
      </c>
      <c r="K23" s="662" t="s">
        <v>562</v>
      </c>
      <c r="L23" s="663"/>
      <c r="M23" s="663"/>
      <c r="N23" s="663"/>
      <c r="O23" s="663"/>
      <c r="P23" s="663"/>
      <c r="Q23" s="664"/>
      <c r="R23" s="663" t="s">
        <v>562</v>
      </c>
      <c r="S23" s="663"/>
      <c r="T23" s="663"/>
      <c r="U23" s="663"/>
      <c r="V23" s="663"/>
      <c r="W23" s="663"/>
      <c r="X23" s="664"/>
      <c r="Y23" s="291" t="str" cm="1">
        <f t="array" aca="1" ref="Y23" ca="1">_xll.d.TestUtils_Equal(K23,FixEMSLinks.File1.SingleCellNamedRange.ActualPath)</f>
        <v>Ok</v>
      </c>
      <c r="Z23" s="289"/>
      <c r="AA23" s="289"/>
      <c r="AB23" s="289"/>
      <c r="AC23" s="289"/>
      <c r="AD23" s="289"/>
      <c r="AE23" s="289"/>
      <c r="AF23" s="289"/>
      <c r="AG23" s="289"/>
      <c r="AH23" s="642">
        <f t="array" aca="1" ref="AH23" ca="1">[3]!SingleCell</f>
        <v>26215498721</v>
      </c>
    </row>
    <row r="24" spans="2:34">
      <c r="B24" s="643"/>
      <c r="C24" s="643"/>
      <c r="D24" s="643"/>
      <c r="E24" s="643"/>
      <c r="F24" s="643"/>
      <c r="G24" s="643"/>
      <c r="H24" s="289"/>
      <c r="I24" s="289"/>
      <c r="J24" s="289"/>
      <c r="R24" s="289"/>
      <c r="S24" s="289"/>
      <c r="T24" s="289"/>
      <c r="U24" s="289"/>
      <c r="V24" s="289"/>
      <c r="W24" s="289"/>
      <c r="X24" s="289"/>
      <c r="Y24" s="289"/>
      <c r="Z24" s="289"/>
      <c r="AA24" s="289"/>
      <c r="AB24" s="289"/>
      <c r="AC24" s="289"/>
      <c r="AD24" s="289"/>
      <c r="AE24" s="289"/>
      <c r="AF24" s="289"/>
      <c r="AG24" s="289"/>
      <c r="AH24" s="289"/>
    </row>
    <row r="25" spans="2:34">
      <c r="B25" s="50" t="s">
        <v>541</v>
      </c>
      <c r="C25" s="50"/>
      <c r="D25" s="50"/>
      <c r="E25" s="50" t="s">
        <v>558</v>
      </c>
      <c r="F25" s="50"/>
      <c r="G25" s="50"/>
      <c r="H25" s="50" t="s">
        <v>557</v>
      </c>
      <c r="I25" s="50"/>
      <c r="J25" s="50"/>
      <c r="K25" s="50" t="s">
        <v>560</v>
      </c>
      <c r="L25" s="50"/>
      <c r="M25" s="50"/>
      <c r="N25" s="50"/>
      <c r="O25" s="50"/>
      <c r="P25" s="50"/>
      <c r="Q25" s="50"/>
      <c r="R25" s="50" t="s">
        <v>559</v>
      </c>
      <c r="S25" s="50"/>
      <c r="T25" s="50"/>
      <c r="U25" s="50"/>
      <c r="V25" s="50"/>
      <c r="W25" s="50"/>
      <c r="X25" s="50"/>
      <c r="Y25" s="50" t="s">
        <v>561</v>
      </c>
      <c r="Z25" s="289"/>
      <c r="AA25" s="289"/>
      <c r="AB25" s="289"/>
      <c r="AC25" s="289"/>
      <c r="AD25" s="289"/>
      <c r="AE25" s="289"/>
      <c r="AF25" s="624" t="s">
        <v>541</v>
      </c>
      <c r="AG25" s="624"/>
      <c r="AH25" s="624"/>
    </row>
    <row r="26" spans="2:34">
      <c r="B26" s="648">
        <f t="array" aca="1" ref="B26:D28" ca="1">[2]Sheet1!$B$9:$D$11</f>
        <v>1654654654</v>
      </c>
      <c r="C26" s="649">
        <f ca="1"/>
        <v>3554129</v>
      </c>
      <c r="D26" s="650">
        <f ca="1"/>
        <v>321754</v>
      </c>
      <c r="E26" s="648">
        <v>1654654654</v>
      </c>
      <c r="F26" s="649">
        <v>3554129</v>
      </c>
      <c r="G26" s="650">
        <v>321754</v>
      </c>
      <c r="H26" s="291" t="str" cm="1">
        <f t="array" aca="1" ref="H26" ca="1">_xll.d.TestUtils_Equal(B26,E26)</f>
        <v>Ok</v>
      </c>
      <c r="I26" s="291" t="str" cm="1">
        <f t="array" aca="1" ref="I26" ca="1">_xll.d.TestUtils_Equal(C26,F26)</f>
        <v>Ok</v>
      </c>
      <c r="J26" s="291" t="str" cm="1">
        <f t="array" aca="1" ref="J26" ca="1">_xll.d.TestUtils_Equal(D26,G26)</f>
        <v>Ok</v>
      </c>
      <c r="K26" s="671" t="s">
        <v>562</v>
      </c>
      <c r="L26" s="665"/>
      <c r="M26" s="665"/>
      <c r="N26" s="665"/>
      <c r="O26" s="665"/>
      <c r="P26" s="665"/>
      <c r="Q26" s="666"/>
      <c r="R26" s="665" t="s">
        <v>562</v>
      </c>
      <c r="S26" s="665"/>
      <c r="T26" s="665"/>
      <c r="U26" s="665"/>
      <c r="V26" s="665"/>
      <c r="W26" s="665"/>
      <c r="X26" s="666"/>
      <c r="Y26" s="291" t="str" cm="1">
        <f t="array" aca="1" ref="Y26" ca="1">_xll.d.TestUtils_Equal(K26,FixEMSLinks.File1.Array.ActualPath)</f>
        <v>Ok</v>
      </c>
      <c r="Z26" s="289"/>
      <c r="AA26" s="289"/>
      <c r="AB26" s="289"/>
      <c r="AC26" s="289"/>
      <c r="AD26" s="289"/>
      <c r="AE26" s="289"/>
      <c r="AF26" s="642">
        <f t="array" aca="1" ref="AF26:AH28" ca="1">[3]Sheet1!$B$9:$D$11</f>
        <v>6768</v>
      </c>
      <c r="AG26" s="642">
        <f ca="1"/>
        <v>87784</v>
      </c>
      <c r="AH26" s="642">
        <f ca="1"/>
        <v>8486787</v>
      </c>
    </row>
    <row r="27" spans="2:34">
      <c r="B27" s="651">
        <f ca="1"/>
        <v>454654</v>
      </c>
      <c r="C27" s="652">
        <f ca="1"/>
        <v>23154</v>
      </c>
      <c r="D27" s="653">
        <f ca="1"/>
        <v>258724</v>
      </c>
      <c r="E27" s="651">
        <v>454654</v>
      </c>
      <c r="F27" s="652">
        <v>23154</v>
      </c>
      <c r="G27" s="653">
        <v>258724</v>
      </c>
      <c r="H27" s="291" t="str" cm="1">
        <f t="array" aca="1" ref="H27" ca="1">_xll.d.TestUtils_Equal(B27,E27)</f>
        <v>Ok</v>
      </c>
      <c r="I27" s="291" t="str" cm="1">
        <f t="array" aca="1" ref="I27" ca="1">_xll.d.TestUtils_Equal(C27,F27)</f>
        <v>Ok</v>
      </c>
      <c r="J27" s="291" t="str" cm="1">
        <f t="array" aca="1" ref="J27" ca="1">_xll.d.TestUtils_Equal(D27,G27)</f>
        <v>Ok</v>
      </c>
      <c r="K27" s="672"/>
      <c r="L27" s="667"/>
      <c r="M27" s="667"/>
      <c r="N27" s="667"/>
      <c r="O27" s="667"/>
      <c r="P27" s="667"/>
      <c r="Q27" s="668"/>
      <c r="R27" s="667"/>
      <c r="S27" s="667"/>
      <c r="T27" s="667"/>
      <c r="U27" s="667"/>
      <c r="V27" s="667"/>
      <c r="W27" s="667"/>
      <c r="X27" s="668"/>
      <c r="Y27" s="289"/>
      <c r="Z27" s="289"/>
      <c r="AA27" s="289"/>
      <c r="AB27" s="289"/>
      <c r="AC27" s="289"/>
      <c r="AD27" s="289"/>
      <c r="AE27" s="289"/>
      <c r="AF27" s="642">
        <f ca="1"/>
        <v>351132</v>
      </c>
      <c r="AG27" s="642">
        <f ca="1"/>
        <v>468468</v>
      </c>
      <c r="AH27" s="642">
        <f ca="1"/>
        <v>486864</v>
      </c>
    </row>
    <row r="28" spans="2:34">
      <c r="B28" s="654">
        <f ca="1"/>
        <v>873213</v>
      </c>
      <c r="C28" s="655">
        <f ca="1"/>
        <v>45321</v>
      </c>
      <c r="D28" s="656">
        <f ca="1"/>
        <v>1475435</v>
      </c>
      <c r="E28" s="654">
        <v>873213</v>
      </c>
      <c r="F28" s="655">
        <v>45321</v>
      </c>
      <c r="G28" s="656">
        <v>1475435</v>
      </c>
      <c r="H28" s="291" t="str" cm="1">
        <f t="array" aca="1" ref="H28" ca="1">_xll.d.TestUtils_Equal(B28,E28)</f>
        <v>Ok</v>
      </c>
      <c r="I28" s="291" t="str" cm="1">
        <f t="array" aca="1" ref="I28" ca="1">_xll.d.TestUtils_Equal(C28,F28)</f>
        <v>Ok</v>
      </c>
      <c r="J28" s="291" t="str" cm="1">
        <f t="array" aca="1" ref="J28" ca="1">_xll.d.TestUtils_Equal(D28,G28)</f>
        <v>Ok</v>
      </c>
      <c r="K28" s="673"/>
      <c r="L28" s="669"/>
      <c r="M28" s="669"/>
      <c r="N28" s="669"/>
      <c r="O28" s="669"/>
      <c r="P28" s="669"/>
      <c r="Q28" s="670"/>
      <c r="R28" s="669"/>
      <c r="S28" s="669"/>
      <c r="T28" s="669"/>
      <c r="U28" s="669"/>
      <c r="V28" s="669"/>
      <c r="W28" s="669"/>
      <c r="X28" s="670"/>
      <c r="Y28" s="289"/>
      <c r="Z28" s="289"/>
      <c r="AA28" s="289"/>
      <c r="AB28" s="289"/>
      <c r="AC28" s="289"/>
      <c r="AD28" s="289"/>
      <c r="AE28" s="289"/>
      <c r="AF28" s="642">
        <f ca="1"/>
        <v>49848519</v>
      </c>
      <c r="AG28" s="642">
        <f ca="1"/>
        <v>1974746</v>
      </c>
      <c r="AH28" s="642">
        <f ca="1"/>
        <v>5445</v>
      </c>
    </row>
    <row r="29" spans="2:34">
      <c r="B29" s="643"/>
      <c r="C29" s="643"/>
      <c r="D29" s="643"/>
      <c r="E29" s="643"/>
      <c r="F29" s="643"/>
      <c r="G29" s="643"/>
      <c r="H29" s="289"/>
      <c r="I29" s="289"/>
      <c r="J29" s="289"/>
      <c r="R29" s="289"/>
      <c r="S29" s="289"/>
      <c r="T29" s="289"/>
      <c r="U29" s="289"/>
      <c r="V29" s="289"/>
      <c r="W29" s="289"/>
      <c r="X29" s="289"/>
      <c r="Y29" s="289"/>
      <c r="Z29" s="289"/>
      <c r="AA29" s="289"/>
      <c r="AB29" s="289"/>
      <c r="AC29" s="289"/>
      <c r="AD29" s="289"/>
      <c r="AE29" s="289"/>
      <c r="AF29" s="289"/>
      <c r="AG29" s="289"/>
      <c r="AH29" s="289"/>
    </row>
    <row r="30" spans="2:34">
      <c r="B30" s="50" t="s">
        <v>542</v>
      </c>
      <c r="C30" s="50"/>
      <c r="D30" s="50"/>
      <c r="E30" s="50" t="s">
        <v>558</v>
      </c>
      <c r="F30" s="50"/>
      <c r="G30" s="50"/>
      <c r="H30" s="50" t="s">
        <v>557</v>
      </c>
      <c r="I30" s="50"/>
      <c r="J30" s="50"/>
      <c r="K30" s="50" t="s">
        <v>560</v>
      </c>
      <c r="L30" s="50"/>
      <c r="M30" s="50"/>
      <c r="N30" s="50"/>
      <c r="O30" s="50"/>
      <c r="P30" s="50"/>
      <c r="Q30" s="50"/>
      <c r="R30" s="50" t="s">
        <v>559</v>
      </c>
      <c r="S30" s="50"/>
      <c r="T30" s="50"/>
      <c r="U30" s="50"/>
      <c r="V30" s="50"/>
      <c r="W30" s="50"/>
      <c r="X30" s="50"/>
      <c r="Y30" s="50" t="s">
        <v>561</v>
      </c>
      <c r="Z30" s="289"/>
      <c r="AA30" s="289"/>
      <c r="AB30" s="289"/>
      <c r="AC30" s="289"/>
      <c r="AD30" s="289"/>
      <c r="AE30" s="289"/>
      <c r="AF30" s="624" t="s">
        <v>542</v>
      </c>
      <c r="AG30" s="624"/>
      <c r="AH30" s="624"/>
    </row>
    <row r="31" spans="2:34">
      <c r="B31" s="648">
        <f t="array" aca="1" ref="B31:D33" ca="1">[2]!Array</f>
        <v>154</v>
      </c>
      <c r="C31" s="649">
        <f ca="1"/>
        <v>254257</v>
      </c>
      <c r="D31" s="650">
        <f ca="1"/>
        <v>1358354</v>
      </c>
      <c r="E31" s="648">
        <v>154</v>
      </c>
      <c r="F31" s="649">
        <v>254257</v>
      </c>
      <c r="G31" s="650">
        <v>1358354</v>
      </c>
      <c r="H31" s="291" t="str" cm="1">
        <f t="array" aca="1" ref="H31" ca="1">_xll.d.TestUtils_Equal(B31,E31)</f>
        <v>Ok</v>
      </c>
      <c r="I31" s="291" t="str" cm="1">
        <f t="array" aca="1" ref="I31" ca="1">_xll.d.TestUtils_Equal(C31,F31)</f>
        <v>Ok</v>
      </c>
      <c r="J31" s="291" t="str" cm="1">
        <f t="array" aca="1" ref="J31" ca="1">_xll.d.TestUtils_Equal(D31,G31)</f>
        <v>Ok</v>
      </c>
      <c r="K31" s="671" t="s">
        <v>562</v>
      </c>
      <c r="L31" s="665"/>
      <c r="M31" s="665"/>
      <c r="N31" s="665"/>
      <c r="O31" s="665"/>
      <c r="P31" s="665"/>
      <c r="Q31" s="666"/>
      <c r="R31" s="665" t="s">
        <v>562</v>
      </c>
      <c r="S31" s="665"/>
      <c r="T31" s="665"/>
      <c r="U31" s="665"/>
      <c r="V31" s="665"/>
      <c r="W31" s="665"/>
      <c r="X31" s="666"/>
      <c r="Y31" s="291" t="str" cm="1">
        <f t="array" aca="1" ref="Y31" ca="1">_xll.d.TestUtils_Equal(K31,FixEMSLinks.File1.ArrayNamedRange.ActualPath)</f>
        <v>Ok</v>
      </c>
      <c r="Z31" s="289"/>
      <c r="AA31" s="289"/>
      <c r="AB31" s="289"/>
      <c r="AC31" s="289"/>
      <c r="AD31" s="289"/>
      <c r="AE31" s="289"/>
      <c r="AF31" s="642">
        <f t="array" aca="1" ref="AF31:AH33" ca="1">[3]!Array</f>
        <v>56384</v>
      </c>
      <c r="AG31" s="642">
        <f ca="1"/>
        <v>89436</v>
      </c>
      <c r="AH31" s="642">
        <f ca="1"/>
        <v>4497</v>
      </c>
    </row>
    <row r="32" spans="2:34">
      <c r="B32" s="651">
        <f ca="1"/>
        <v>835</v>
      </c>
      <c r="C32" s="652">
        <f ca="1"/>
        <v>76843</v>
      </c>
      <c r="D32" s="653">
        <f ca="1"/>
        <v>332156</v>
      </c>
      <c r="E32" s="651">
        <v>835</v>
      </c>
      <c r="F32" s="652">
        <v>76843</v>
      </c>
      <c r="G32" s="653">
        <v>332156</v>
      </c>
      <c r="H32" s="291" t="str" cm="1">
        <f t="array" aca="1" ref="H32" ca="1">_xll.d.TestUtils_Equal(B32,E32)</f>
        <v>Ok</v>
      </c>
      <c r="I32" s="291" t="str" cm="1">
        <f t="array" aca="1" ref="I32" ca="1">_xll.d.TestUtils_Equal(C32,F32)</f>
        <v>Ok</v>
      </c>
      <c r="J32" s="291" t="str" cm="1">
        <f t="array" aca="1" ref="J32" ca="1">_xll.d.TestUtils_Equal(D32,G32)</f>
        <v>Ok</v>
      </c>
      <c r="K32" s="672"/>
      <c r="L32" s="667"/>
      <c r="M32" s="667"/>
      <c r="N32" s="667"/>
      <c r="O32" s="667"/>
      <c r="P32" s="667"/>
      <c r="Q32" s="668"/>
      <c r="R32" s="667"/>
      <c r="S32" s="667"/>
      <c r="T32" s="667"/>
      <c r="U32" s="667"/>
      <c r="V32" s="667"/>
      <c r="W32" s="667"/>
      <c r="X32" s="668"/>
      <c r="Y32" s="289"/>
      <c r="Z32" s="289"/>
      <c r="AA32" s="289"/>
      <c r="AB32" s="289"/>
      <c r="AC32" s="289"/>
      <c r="AD32" s="289"/>
      <c r="AE32" s="289"/>
      <c r="AF32" s="642">
        <f ca="1"/>
        <v>486465</v>
      </c>
      <c r="AG32" s="642">
        <f ca="1"/>
        <v>4863</v>
      </c>
      <c r="AH32" s="642">
        <f ca="1"/>
        <v>44978</v>
      </c>
    </row>
    <row r="33" spans="2:34">
      <c r="B33" s="654">
        <f ca="1"/>
        <v>45358</v>
      </c>
      <c r="C33" s="655">
        <f ca="1"/>
        <v>6546</v>
      </c>
      <c r="D33" s="656">
        <f ca="1"/>
        <v>53853654</v>
      </c>
      <c r="E33" s="654">
        <v>45358</v>
      </c>
      <c r="F33" s="655">
        <v>6546</v>
      </c>
      <c r="G33" s="656">
        <v>53853654</v>
      </c>
      <c r="H33" s="291" t="str" cm="1">
        <f t="array" aca="1" ref="H33" ca="1">_xll.d.TestUtils_Equal(B33,E33)</f>
        <v>Ok</v>
      </c>
      <c r="I33" s="291" t="str" cm="1">
        <f t="array" aca="1" ref="I33" ca="1">_xll.d.TestUtils_Equal(C33,F33)</f>
        <v>Ok</v>
      </c>
      <c r="J33" s="291" t="str" cm="1">
        <f t="array" aca="1" ref="J33" ca="1">_xll.d.TestUtils_Equal(D33,G33)</f>
        <v>Ok</v>
      </c>
      <c r="K33" s="673"/>
      <c r="L33" s="669"/>
      <c r="M33" s="669"/>
      <c r="N33" s="669"/>
      <c r="O33" s="669"/>
      <c r="P33" s="669"/>
      <c r="Q33" s="670"/>
      <c r="R33" s="669"/>
      <c r="S33" s="669"/>
      <c r="T33" s="669"/>
      <c r="U33" s="669"/>
      <c r="V33" s="669"/>
      <c r="W33" s="669"/>
      <c r="X33" s="670"/>
      <c r="Y33" s="289"/>
      <c r="Z33" s="289"/>
      <c r="AA33" s="289"/>
      <c r="AB33" s="289"/>
      <c r="AC33" s="289"/>
      <c r="AD33" s="289"/>
      <c r="AE33" s="289"/>
      <c r="AF33" s="642">
        <f ca="1"/>
        <v>687845</v>
      </c>
      <c r="AG33" s="642">
        <f ca="1"/>
        <v>8977986</v>
      </c>
      <c r="AH33" s="642">
        <f ca="1"/>
        <v>3687</v>
      </c>
    </row>
    <row r="36" spans="2:34" ht="18.75">
      <c r="B36" s="3" t="s">
        <v>548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>
      <c r="B38" s="50" t="s">
        <v>539</v>
      </c>
      <c r="C38" s="50"/>
      <c r="D38" s="50"/>
      <c r="E38" s="50" t="s">
        <v>553</v>
      </c>
      <c r="F38" s="50"/>
      <c r="G38" s="50"/>
      <c r="H38" s="50" t="s">
        <v>557</v>
      </c>
      <c r="I38" s="50"/>
      <c r="J38" s="50"/>
      <c r="K38" s="50" t="s">
        <v>560</v>
      </c>
      <c r="L38" s="50"/>
      <c r="M38" s="50"/>
      <c r="N38" s="50"/>
      <c r="O38" s="50"/>
      <c r="P38" s="50"/>
      <c r="Q38" s="50"/>
      <c r="R38" s="50" t="s">
        <v>559</v>
      </c>
      <c r="S38" s="50"/>
      <c r="T38" s="50"/>
      <c r="U38" s="50"/>
      <c r="V38" s="50"/>
      <c r="W38" s="50"/>
      <c r="X38" s="50"/>
      <c r="Y38" s="50" t="s">
        <v>561</v>
      </c>
    </row>
    <row r="39" spans="2:34">
      <c r="B39" s="657"/>
      <c r="C39" s="658"/>
      <c r="D39" s="658">
        <f t="array" aca="1" ref="D39" ca="1">[3]Sheet1!$B$3</f>
        <v>3545764</v>
      </c>
      <c r="E39" s="657"/>
      <c r="F39" s="658"/>
      <c r="G39" s="659">
        <v>3545764</v>
      </c>
      <c r="H39" s="660"/>
      <c r="I39" s="661"/>
      <c r="J39" s="301" t="str" cm="1">
        <f t="array" aca="1" ref="J39" ca="1">_xll.d.TestUtils_Equal(D39,G39)</f>
        <v>Ok</v>
      </c>
      <c r="K39" s="662" t="s">
        <v>562</v>
      </c>
      <c r="L39" s="663"/>
      <c r="M39" s="663"/>
      <c r="N39" s="663"/>
      <c r="O39" s="663"/>
      <c r="P39" s="663"/>
      <c r="Q39" s="664"/>
      <c r="R39" s="663" t="s">
        <v>562</v>
      </c>
      <c r="S39" s="663"/>
      <c r="T39" s="663"/>
      <c r="U39" s="663"/>
      <c r="V39" s="663"/>
      <c r="W39" s="663"/>
      <c r="X39" s="664"/>
      <c r="Y39" s="291" t="str" cm="1">
        <f t="array" aca="1" ref="Y39" ca="1">_xll.d.TestUtils_Equal(K39,FixEMSLinks.File2.SingleCell.ActualPath)</f>
        <v>Ok</v>
      </c>
    </row>
    <row r="40" spans="2:34">
      <c r="B40" s="643"/>
      <c r="C40" s="643"/>
      <c r="D40" s="643"/>
      <c r="E40" s="643"/>
      <c r="F40" s="643"/>
      <c r="G40" s="643"/>
      <c r="I40" s="289"/>
      <c r="J40" s="289"/>
    </row>
    <row r="41" spans="2:34">
      <c r="B41" s="50" t="s">
        <v>540</v>
      </c>
      <c r="C41" s="50"/>
      <c r="D41" s="50"/>
      <c r="E41" s="50" t="s">
        <v>553</v>
      </c>
      <c r="F41" s="50"/>
      <c r="G41" s="50"/>
      <c r="H41" s="50" t="s">
        <v>557</v>
      </c>
      <c r="I41" s="50"/>
      <c r="J41" s="50"/>
      <c r="K41" s="50" t="s">
        <v>560</v>
      </c>
      <c r="L41" s="50"/>
      <c r="M41" s="50"/>
      <c r="N41" s="50"/>
      <c r="O41" s="50"/>
      <c r="P41" s="50"/>
      <c r="Q41" s="50"/>
      <c r="R41" s="50" t="s">
        <v>559</v>
      </c>
      <c r="S41" s="50"/>
      <c r="T41" s="50"/>
      <c r="U41" s="50"/>
      <c r="V41" s="50"/>
      <c r="W41" s="50"/>
      <c r="X41" s="50"/>
      <c r="Y41" s="50" t="s">
        <v>561</v>
      </c>
    </row>
    <row r="42" spans="2:34">
      <c r="B42" s="657"/>
      <c r="C42" s="658"/>
      <c r="D42" s="658">
        <f t="array" aca="1" ref="D42" ca="1">[3]!SingleCell</f>
        <v>26215498721</v>
      </c>
      <c r="E42" s="657"/>
      <c r="F42" s="658"/>
      <c r="G42" s="659">
        <v>26215498721</v>
      </c>
      <c r="H42" s="660"/>
      <c r="I42" s="661"/>
      <c r="J42" s="301" t="str" cm="1">
        <f t="array" aca="1" ref="J42" ca="1">_xll.d.TestUtils_Equal(D42,G42)</f>
        <v>Ok</v>
      </c>
      <c r="K42" s="662" t="s">
        <v>562</v>
      </c>
      <c r="L42" s="663"/>
      <c r="M42" s="663"/>
      <c r="N42" s="663"/>
      <c r="O42" s="663"/>
      <c r="P42" s="663"/>
      <c r="Q42" s="664"/>
      <c r="R42" s="663" t="s">
        <v>562</v>
      </c>
      <c r="S42" s="663"/>
      <c r="T42" s="663"/>
      <c r="U42" s="663"/>
      <c r="V42" s="663"/>
      <c r="W42" s="663"/>
      <c r="X42" s="664"/>
      <c r="Y42" s="291" t="str" cm="1">
        <f t="array" aca="1" ref="Y42" ca="1">_xll.d.TestUtils_Equal(K42,FixEMSLinks.File2.SingleCellNamedRange.ActualPath)</f>
        <v>Ok</v>
      </c>
    </row>
    <row r="43" spans="2:34">
      <c r="B43" s="643"/>
      <c r="C43" s="643"/>
      <c r="D43" s="643"/>
      <c r="E43" s="643"/>
      <c r="F43" s="643"/>
      <c r="G43" s="643"/>
      <c r="H43" s="289"/>
      <c r="I43" s="289"/>
      <c r="J43" s="289"/>
    </row>
    <row r="44" spans="2:34">
      <c r="B44" s="50" t="s">
        <v>541</v>
      </c>
      <c r="C44" s="50"/>
      <c r="D44" s="50"/>
      <c r="E44" s="50" t="s">
        <v>558</v>
      </c>
      <c r="F44" s="50"/>
      <c r="G44" s="50"/>
      <c r="H44" s="50" t="s">
        <v>557</v>
      </c>
      <c r="I44" s="50"/>
      <c r="J44" s="50"/>
      <c r="K44" s="50" t="s">
        <v>560</v>
      </c>
      <c r="L44" s="50"/>
      <c r="M44" s="50"/>
      <c r="N44" s="50"/>
      <c r="O44" s="50"/>
      <c r="P44" s="50"/>
      <c r="Q44" s="50"/>
      <c r="R44" s="50" t="s">
        <v>559</v>
      </c>
      <c r="S44" s="50"/>
      <c r="T44" s="50"/>
      <c r="U44" s="50"/>
      <c r="V44" s="50"/>
      <c r="W44" s="50"/>
      <c r="X44" s="50"/>
      <c r="Y44" s="50" t="s">
        <v>561</v>
      </c>
    </row>
    <row r="45" spans="2:34">
      <c r="B45" s="648">
        <f t="array" aca="1" ref="B45:D47" ca="1">[3]Sheet1!$B$9:$D$11</f>
        <v>6768</v>
      </c>
      <c r="C45" s="649">
        <f ca="1"/>
        <v>87784</v>
      </c>
      <c r="D45" s="650">
        <f ca="1"/>
        <v>8486787</v>
      </c>
      <c r="E45" s="648">
        <v>6768</v>
      </c>
      <c r="F45" s="649">
        <v>87784</v>
      </c>
      <c r="G45" s="650">
        <v>8486787</v>
      </c>
      <c r="H45" s="291" t="str" cm="1">
        <f t="array" aca="1" ref="H45" ca="1">_xll.d.TestUtils_Equal(B45,E45)</f>
        <v>Ok</v>
      </c>
      <c r="I45" s="291" t="str" cm="1">
        <f t="array" aca="1" ref="I45" ca="1">_xll.d.TestUtils_Equal(C45,F45)</f>
        <v>Ok</v>
      </c>
      <c r="J45" s="291" t="str" cm="1">
        <f t="array" aca="1" ref="J45" ca="1">_xll.d.TestUtils_Equal(D45,G45)</f>
        <v>Ok</v>
      </c>
      <c r="K45" s="671" t="s">
        <v>562</v>
      </c>
      <c r="L45" s="665"/>
      <c r="M45" s="665"/>
      <c r="N45" s="665"/>
      <c r="O45" s="665"/>
      <c r="P45" s="665"/>
      <c r="Q45" s="666"/>
      <c r="R45" s="665" t="s">
        <v>562</v>
      </c>
      <c r="S45" s="665"/>
      <c r="T45" s="665"/>
      <c r="U45" s="665"/>
      <c r="V45" s="665"/>
      <c r="W45" s="665"/>
      <c r="X45" s="666"/>
      <c r="Y45" s="291" t="str" cm="1">
        <f t="array" aca="1" ref="Y45" ca="1">_xll.d.TestUtils_Equal(K45,FixEMSLinks.File2.Array.ActualPath)</f>
        <v>Ok</v>
      </c>
    </row>
    <row r="46" spans="2:34">
      <c r="B46" s="651">
        <f ca="1"/>
        <v>351132</v>
      </c>
      <c r="C46" s="652">
        <f ca="1"/>
        <v>468468</v>
      </c>
      <c r="D46" s="653">
        <f ca="1"/>
        <v>486864</v>
      </c>
      <c r="E46" s="651">
        <v>351132</v>
      </c>
      <c r="F46" s="652">
        <v>468468</v>
      </c>
      <c r="G46" s="653">
        <v>486864</v>
      </c>
      <c r="H46" s="291" t="str" cm="1">
        <f t="array" aca="1" ref="H46" ca="1">_xll.d.TestUtils_Equal(B46,E46)</f>
        <v>Ok</v>
      </c>
      <c r="I46" s="291" t="str" cm="1">
        <f t="array" aca="1" ref="I46" ca="1">_xll.d.TestUtils_Equal(C46,F46)</f>
        <v>Ok</v>
      </c>
      <c r="J46" s="291" t="str" cm="1">
        <f t="array" aca="1" ref="J46" ca="1">_xll.d.TestUtils_Equal(D46,G46)</f>
        <v>Ok</v>
      </c>
      <c r="K46" s="672"/>
      <c r="L46" s="667"/>
      <c r="M46" s="667"/>
      <c r="N46" s="667"/>
      <c r="O46" s="667"/>
      <c r="P46" s="667"/>
      <c r="Q46" s="668"/>
      <c r="R46" s="667"/>
      <c r="S46" s="667"/>
      <c r="T46" s="667"/>
      <c r="U46" s="667"/>
      <c r="V46" s="667"/>
      <c r="W46" s="667"/>
      <c r="X46" s="668"/>
      <c r="Y46" s="289"/>
    </row>
    <row r="47" spans="2:34">
      <c r="B47" s="654">
        <f ca="1"/>
        <v>49848519</v>
      </c>
      <c r="C47" s="655">
        <f ca="1"/>
        <v>1974746</v>
      </c>
      <c r="D47" s="656">
        <f ca="1"/>
        <v>5445</v>
      </c>
      <c r="E47" s="654">
        <v>49848519</v>
      </c>
      <c r="F47" s="655">
        <v>1974746</v>
      </c>
      <c r="G47" s="656">
        <v>5445</v>
      </c>
      <c r="H47" s="291" t="str" cm="1">
        <f t="array" aca="1" ref="H47" ca="1">_xll.d.TestUtils_Equal(B47,E47)</f>
        <v>Ok</v>
      </c>
      <c r="I47" s="291" t="str" cm="1">
        <f t="array" aca="1" ref="I47" ca="1">_xll.d.TestUtils_Equal(C47,F47)</f>
        <v>Ok</v>
      </c>
      <c r="J47" s="291" t="str" cm="1">
        <f t="array" aca="1" ref="J47" ca="1">_xll.d.TestUtils_Equal(D47,G47)</f>
        <v>Ok</v>
      </c>
      <c r="K47" s="673"/>
      <c r="L47" s="669"/>
      <c r="M47" s="669"/>
      <c r="N47" s="669"/>
      <c r="O47" s="669"/>
      <c r="P47" s="669"/>
      <c r="Q47" s="670"/>
      <c r="R47" s="669"/>
      <c r="S47" s="669"/>
      <c r="T47" s="669"/>
      <c r="U47" s="669"/>
      <c r="V47" s="669"/>
      <c r="W47" s="669"/>
      <c r="X47" s="670"/>
      <c r="Y47" s="289"/>
    </row>
    <row r="48" spans="2:34">
      <c r="B48" s="643"/>
      <c r="C48" s="643"/>
      <c r="D48" s="643"/>
      <c r="E48" s="643"/>
      <c r="F48" s="643"/>
      <c r="G48" s="643"/>
      <c r="H48" s="289"/>
      <c r="I48" s="289"/>
      <c r="J48" s="289"/>
    </row>
    <row r="49" spans="2:25">
      <c r="B49" s="50" t="s">
        <v>542</v>
      </c>
      <c r="C49" s="50"/>
      <c r="D49" s="50"/>
      <c r="E49" s="50" t="s">
        <v>558</v>
      </c>
      <c r="F49" s="50"/>
      <c r="G49" s="50"/>
      <c r="H49" s="50" t="s">
        <v>557</v>
      </c>
      <c r="I49" s="50"/>
      <c r="J49" s="50"/>
      <c r="K49" s="50" t="s">
        <v>560</v>
      </c>
      <c r="L49" s="50"/>
      <c r="M49" s="50"/>
      <c r="N49" s="50"/>
      <c r="O49" s="50"/>
      <c r="P49" s="50"/>
      <c r="Q49" s="50"/>
      <c r="R49" s="50" t="s">
        <v>559</v>
      </c>
      <c r="S49" s="50"/>
      <c r="T49" s="50"/>
      <c r="U49" s="50"/>
      <c r="V49" s="50"/>
      <c r="W49" s="50"/>
      <c r="X49" s="50"/>
      <c r="Y49" s="50" t="s">
        <v>561</v>
      </c>
    </row>
    <row r="50" spans="2:25">
      <c r="B50" s="648">
        <f t="array" aca="1" ref="B50:D52" ca="1">[3]!Array</f>
        <v>56384</v>
      </c>
      <c r="C50" s="649">
        <f ca="1"/>
        <v>89436</v>
      </c>
      <c r="D50" s="650">
        <f ca="1"/>
        <v>4497</v>
      </c>
      <c r="E50" s="648">
        <v>56384</v>
      </c>
      <c r="F50" s="649">
        <v>89436</v>
      </c>
      <c r="G50" s="650">
        <v>4497</v>
      </c>
      <c r="H50" s="291" t="str" cm="1">
        <f t="array" aca="1" ref="H50" ca="1">_xll.d.TestUtils_Equal(B50,E50)</f>
        <v>Ok</v>
      </c>
      <c r="I50" s="291" t="str" cm="1">
        <f t="array" aca="1" ref="I50" ca="1">_xll.d.TestUtils_Equal(C50,F50)</f>
        <v>Ok</v>
      </c>
      <c r="J50" s="291" t="str" cm="1">
        <f t="array" aca="1" ref="J50" ca="1">_xll.d.TestUtils_Equal(D50,G50)</f>
        <v>Ok</v>
      </c>
      <c r="K50" s="671" t="s">
        <v>562</v>
      </c>
      <c r="L50" s="665"/>
      <c r="M50" s="665"/>
      <c r="N50" s="665"/>
      <c r="O50" s="665"/>
      <c r="P50" s="665"/>
      <c r="Q50" s="666"/>
      <c r="R50" s="665" t="s">
        <v>562</v>
      </c>
      <c r="S50" s="665"/>
      <c r="T50" s="665"/>
      <c r="U50" s="665"/>
      <c r="V50" s="665"/>
      <c r="W50" s="665"/>
      <c r="X50" s="666"/>
      <c r="Y50" s="291" t="str" cm="1">
        <f t="array" aca="1" ref="Y50" ca="1">_xll.d.TestUtils_Equal(K50,FixEMSLinks.File2.ArrayNamedRange.ActualPath)</f>
        <v>Ok</v>
      </c>
    </row>
    <row r="51" spans="2:25">
      <c r="B51" s="651">
        <f ca="1"/>
        <v>486465</v>
      </c>
      <c r="C51" s="652">
        <f ca="1"/>
        <v>4863</v>
      </c>
      <c r="D51" s="653">
        <f ca="1"/>
        <v>44978</v>
      </c>
      <c r="E51" s="651">
        <v>486465</v>
      </c>
      <c r="F51" s="652">
        <v>4863</v>
      </c>
      <c r="G51" s="653">
        <v>44978</v>
      </c>
      <c r="H51" s="291" t="str" cm="1">
        <f t="array" aca="1" ref="H51" ca="1">_xll.d.TestUtils_Equal(B51,E51)</f>
        <v>Ok</v>
      </c>
      <c r="I51" s="291" t="str" cm="1">
        <f t="array" aca="1" ref="I51" ca="1">_xll.d.TestUtils_Equal(C51,F51)</f>
        <v>Ok</v>
      </c>
      <c r="J51" s="291" t="str" cm="1">
        <f t="array" aca="1" ref="J51" ca="1">_xll.d.TestUtils_Equal(D51,G51)</f>
        <v>Ok</v>
      </c>
      <c r="K51" s="672"/>
      <c r="L51" s="667"/>
      <c r="M51" s="667"/>
      <c r="N51" s="667"/>
      <c r="O51" s="667"/>
      <c r="P51" s="667"/>
      <c r="Q51" s="668"/>
      <c r="R51" s="667"/>
      <c r="S51" s="667"/>
      <c r="T51" s="667"/>
      <c r="U51" s="667"/>
      <c r="V51" s="667"/>
      <c r="W51" s="667"/>
      <c r="X51" s="668"/>
      <c r="Y51" s="289"/>
    </row>
    <row r="52" spans="2:25">
      <c r="B52" s="654">
        <f ca="1"/>
        <v>687845</v>
      </c>
      <c r="C52" s="655">
        <f ca="1"/>
        <v>8977986</v>
      </c>
      <c r="D52" s="656">
        <f ca="1"/>
        <v>3687</v>
      </c>
      <c r="E52" s="654">
        <v>687845</v>
      </c>
      <c r="F52" s="655">
        <v>8977986</v>
      </c>
      <c r="G52" s="656">
        <v>3687</v>
      </c>
      <c r="H52" s="291" t="str" cm="1">
        <f t="array" aca="1" ref="H52" ca="1">_xll.d.TestUtils_Equal(B52,E52)</f>
        <v>Ok</v>
      </c>
      <c r="I52" s="291" t="str" cm="1">
        <f t="array" aca="1" ref="I52" ca="1">_xll.d.TestUtils_Equal(C52,F52)</f>
        <v>Ok</v>
      </c>
      <c r="J52" s="291" t="str" cm="1">
        <f t="array" aca="1" ref="J52" ca="1">_xll.d.TestUtils_Equal(D52,G52)</f>
        <v>Ok</v>
      </c>
      <c r="K52" s="673"/>
      <c r="L52" s="669"/>
      <c r="M52" s="669"/>
      <c r="N52" s="669"/>
      <c r="O52" s="669"/>
      <c r="P52" s="669"/>
      <c r="Q52" s="670"/>
      <c r="R52" s="669"/>
      <c r="S52" s="669"/>
      <c r="T52" s="669"/>
      <c r="U52" s="669"/>
      <c r="V52" s="669"/>
      <c r="W52" s="669"/>
      <c r="X52" s="670"/>
      <c r="Y52" s="289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D18" sqref="D18"/>
    </sheetView>
  </sheetViews>
  <sheetFormatPr defaultRowHeight="1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>
      <c r="B1" s="399" t="s">
        <v>372</v>
      </c>
    </row>
    <row r="2" spans="2:21" ht="26.25">
      <c r="B2" s="2" t="s">
        <v>518</v>
      </c>
      <c r="C2" s="2"/>
      <c r="D2" s="2"/>
      <c r="E2" s="2"/>
      <c r="F2" s="2"/>
      <c r="G2" s="2"/>
      <c r="H2" s="2"/>
      <c r="I2" s="2"/>
      <c r="J2" s="2"/>
      <c r="K2" s="2"/>
    </row>
    <row r="3" spans="2:21">
      <c r="B3" s="430"/>
      <c r="C3" s="430"/>
      <c r="D3" s="430"/>
      <c r="E3" s="430"/>
      <c r="F3" s="430"/>
      <c r="G3" s="430"/>
      <c r="H3" s="430"/>
      <c r="N3" s="486"/>
    </row>
    <row r="4" spans="2:21">
      <c r="B4" s="186" t="s">
        <v>141</v>
      </c>
      <c r="C4" s="187" t="str" cm="1">
        <f t="array" aca="1" ref="C4" ca="1">_xll.d.TestUtils_And(C7:C11)</f>
        <v>Ok</v>
      </c>
      <c r="D4" s="430"/>
      <c r="E4" s="133" t="s">
        <v>96</v>
      </c>
      <c r="F4" s="50"/>
      <c r="G4" s="430"/>
      <c r="H4" s="430"/>
    </row>
    <row r="5" spans="2:21">
      <c r="B5" s="430"/>
      <c r="C5" s="430"/>
      <c r="D5" s="430"/>
      <c r="E5" s="587" t="s">
        <v>435</v>
      </c>
      <c r="F5" s="588"/>
      <c r="G5" s="430"/>
      <c r="H5" s="430"/>
    </row>
    <row r="6" spans="2:21">
      <c r="B6" s="188" t="s">
        <v>9</v>
      </c>
      <c r="C6" s="189" t="s">
        <v>10</v>
      </c>
      <c r="D6" s="430"/>
      <c r="E6" s="589" t="s">
        <v>434</v>
      </c>
      <c r="F6" s="590"/>
      <c r="G6" s="430"/>
      <c r="H6" s="430"/>
    </row>
    <row r="7" spans="2:21">
      <c r="B7" s="585" t="s">
        <v>89</v>
      </c>
      <c r="C7" s="163" t="str">
        <f ca="1">C16</f>
        <v>Ok</v>
      </c>
      <c r="D7" s="430"/>
      <c r="E7" s="430"/>
      <c r="F7" s="430"/>
      <c r="G7" s="430"/>
      <c r="H7" s="430"/>
      <c r="K7" s="430"/>
      <c r="L7" s="430"/>
      <c r="M7" s="430"/>
      <c r="N7" s="430"/>
      <c r="T7" s="430"/>
      <c r="U7" s="430"/>
    </row>
    <row r="8" spans="2:21" s="430" customFormat="1">
      <c r="B8" s="585" t="s">
        <v>91</v>
      </c>
      <c r="C8" s="163" t="str">
        <f ca="1">HyperlinkUtils.Test3.TestResult</f>
        <v>Ok</v>
      </c>
    </row>
    <row r="9" spans="2:21" s="430" customFormat="1">
      <c r="B9" s="585" t="s">
        <v>92</v>
      </c>
      <c r="C9" s="163" t="str">
        <f ca="1">HyperlinkUtils.Test3.TestResult</f>
        <v>Ok</v>
      </c>
    </row>
    <row r="10" spans="2:21" s="430" customFormat="1">
      <c r="B10" s="585" t="s">
        <v>95</v>
      </c>
      <c r="C10" s="163" t="str">
        <f ca="1">HyperlinkUtils.Test4.TestResult</f>
        <v>Ok</v>
      </c>
    </row>
    <row r="11" spans="2:21">
      <c r="B11" s="585" t="s">
        <v>98</v>
      </c>
      <c r="C11" s="163" t="str">
        <f ca="1">HyperlinkUtils.Test5.TestResult</f>
        <v>Ok</v>
      </c>
      <c r="N11" s="486"/>
      <c r="T11" s="430"/>
      <c r="U11" s="430"/>
    </row>
    <row r="12" spans="2:21" s="430" customFormat="1"/>
    <row r="13" spans="2:21">
      <c r="T13" s="430"/>
      <c r="U13" s="430"/>
    </row>
    <row r="14" spans="2:21" ht="15.75">
      <c r="B14" s="4" t="s">
        <v>520</v>
      </c>
      <c r="C14" s="4"/>
      <c r="D14" s="4"/>
      <c r="E14" s="4"/>
      <c r="F14" s="4"/>
      <c r="G14" s="4"/>
      <c r="H14" s="4"/>
      <c r="I14" s="4"/>
      <c r="J14" s="4"/>
      <c r="K14" s="4"/>
      <c r="T14" s="430"/>
      <c r="U14" s="430"/>
    </row>
    <row r="15" spans="2:21">
      <c r="B15" s="430"/>
      <c r="C15" s="430"/>
      <c r="D15" s="430"/>
      <c r="E15" s="430"/>
      <c r="F15" s="430"/>
      <c r="G15" s="430"/>
      <c r="H15" s="430"/>
      <c r="I15" s="430"/>
      <c r="J15" s="430"/>
      <c r="K15" s="430"/>
      <c r="M15" s="486"/>
      <c r="T15" s="430"/>
      <c r="U15" s="430"/>
    </row>
    <row r="16" spans="2:21">
      <c r="B16" s="50" t="s">
        <v>106</v>
      </c>
      <c r="C16" s="163" t="str" cm="1">
        <f t="array" aca="1" ref="C16" ca="1">_xll.d.TestUtils_And(D23:E23)</f>
        <v>Error</v>
      </c>
      <c r="D16" s="430"/>
      <c r="E16" s="430"/>
      <c r="F16" s="430"/>
      <c r="G16" s="430"/>
      <c r="H16" s="430"/>
      <c r="I16" s="430"/>
      <c r="J16" s="430"/>
      <c r="K16" s="430"/>
    </row>
    <row r="17" spans="2:11">
      <c r="B17" s="430"/>
      <c r="C17" s="430"/>
      <c r="D17" s="430"/>
      <c r="E17" s="430"/>
      <c r="F17" s="430"/>
      <c r="G17" s="430"/>
      <c r="H17" s="430"/>
      <c r="I17" s="430"/>
      <c r="J17" s="430"/>
      <c r="K17" s="430"/>
    </row>
    <row r="18" spans="2:11" s="430" customFormat="1">
      <c r="B18" s="188" t="s">
        <v>515</v>
      </c>
      <c r="D18" s="584" t="s">
        <v>516</v>
      </c>
    </row>
    <row r="19" spans="2:11" s="430" customFormat="1" ht="15.75">
      <c r="B19" s="591" t="s">
        <v>514</v>
      </c>
      <c r="C19" s="583"/>
      <c r="D19" s="4" t="s">
        <v>522</v>
      </c>
    </row>
    <row r="20" spans="2:11" s="430" customFormat="1">
      <c r="B20" s="592" t="s">
        <v>93</v>
      </c>
      <c r="C20" s="583"/>
    </row>
    <row r="21" spans="2:11" s="430" customFormat="1">
      <c r="B21" s="54"/>
      <c r="C21" s="583"/>
    </row>
    <row r="22" spans="2:11">
      <c r="B22" s="50" t="s">
        <v>65</v>
      </c>
      <c r="C22" s="50" t="s">
        <v>66</v>
      </c>
      <c r="D22" s="50" t="s">
        <v>513</v>
      </c>
      <c r="E22" s="41" t="s">
        <v>519</v>
      </c>
    </row>
    <row r="23" spans="2:11">
      <c r="B23" s="471" t="s">
        <v>522</v>
      </c>
      <c r="C23" s="471" t="s">
        <v>522</v>
      </c>
      <c r="D23" s="163" t="str" cm="1">
        <f t="array" aca="1" ref="D23" ca="1">_xll.d.TestUtils_IsTrue(_xll.d.Formatting_Equal(B23,C23))</f>
        <v>Error</v>
      </c>
      <c r="E23" s="163" t="s">
        <v>108</v>
      </c>
    </row>
    <row r="26" spans="2:11" ht="15.75">
      <c r="B26" s="4" t="s">
        <v>521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>
      <c r="B28" s="50" t="s">
        <v>106</v>
      </c>
      <c r="C28" s="163" t="str" cm="1">
        <f t="array" aca="1" ref="C28" ca="1">_xll.d.TestUtils_And(D35:E35)</f>
        <v>Error</v>
      </c>
      <c r="D28" s="430"/>
      <c r="E28" s="430"/>
      <c r="F28" s="430"/>
      <c r="G28" s="430"/>
      <c r="H28" s="430"/>
      <c r="I28" s="430"/>
      <c r="J28" s="430"/>
      <c r="K28" s="430"/>
    </row>
    <row r="29" spans="2:11">
      <c r="B29" s="430"/>
      <c r="C29" s="430"/>
      <c r="D29" s="430"/>
      <c r="E29" s="430"/>
      <c r="F29" s="430"/>
      <c r="G29" s="430"/>
      <c r="H29" s="430"/>
      <c r="I29" s="430"/>
      <c r="J29" s="430"/>
      <c r="K29" s="430"/>
    </row>
    <row r="30" spans="2:11">
      <c r="B30" s="188" t="s">
        <v>515</v>
      </c>
      <c r="C30" s="430"/>
      <c r="D30" s="584" t="s">
        <v>516</v>
      </c>
      <c r="E30" s="430"/>
      <c r="F30" s="430"/>
      <c r="G30" s="430"/>
      <c r="H30" s="430"/>
      <c r="I30" s="430"/>
      <c r="J30" s="430"/>
      <c r="K30" s="430"/>
    </row>
    <row r="31" spans="2:11" ht="15.75">
      <c r="B31" s="591" t="s">
        <v>514</v>
      </c>
      <c r="C31" s="583"/>
      <c r="D31" s="4" t="s">
        <v>523</v>
      </c>
      <c r="E31" s="4"/>
      <c r="F31" s="430"/>
      <c r="G31" s="430"/>
      <c r="H31" s="430"/>
      <c r="I31" s="430"/>
      <c r="J31" s="430"/>
      <c r="K31" s="430"/>
    </row>
    <row r="32" spans="2:11">
      <c r="B32" s="592" t="s">
        <v>93</v>
      </c>
      <c r="C32" s="583"/>
      <c r="D32" s="430"/>
      <c r="E32" s="430"/>
      <c r="F32" s="430"/>
      <c r="G32" s="430"/>
      <c r="H32" s="430"/>
      <c r="I32" s="430"/>
      <c r="J32" s="430"/>
      <c r="K32" s="430"/>
    </row>
    <row r="33" spans="2:11">
      <c r="B33" s="54"/>
      <c r="C33" s="583"/>
      <c r="D33" s="430"/>
      <c r="E33" s="430"/>
      <c r="F33" s="430"/>
      <c r="G33" s="430"/>
      <c r="H33" s="430"/>
      <c r="I33" s="430"/>
      <c r="J33" s="430"/>
      <c r="K33" s="430"/>
    </row>
    <row r="34" spans="2:11">
      <c r="B34" s="50" t="s">
        <v>65</v>
      </c>
      <c r="C34" s="50" t="s">
        <v>66</v>
      </c>
      <c r="D34" s="50" t="s">
        <v>513</v>
      </c>
      <c r="E34" s="41" t="s">
        <v>519</v>
      </c>
      <c r="F34" s="430"/>
      <c r="G34" s="430"/>
      <c r="H34" s="430"/>
      <c r="I34" s="430"/>
      <c r="J34" s="430"/>
      <c r="K34" s="430"/>
    </row>
    <row r="35" spans="2:11">
      <c r="B35" s="471" t="s">
        <v>523</v>
      </c>
      <c r="C35" s="471" t="s">
        <v>523</v>
      </c>
      <c r="D35" s="163" t="str" cm="1">
        <f t="array" aca="1" ref="D35" ca="1">_xll.d.TestUtils_IsTrue(_xll.d.Formatting_Equal(B35,C35))</f>
        <v>Error</v>
      </c>
      <c r="E35" s="163" t="s">
        <v>108</v>
      </c>
      <c r="F35" s="430"/>
      <c r="G35" s="430"/>
      <c r="H35" s="430"/>
      <c r="I35" s="430"/>
      <c r="J35" s="430"/>
      <c r="K35" s="430"/>
    </row>
    <row r="37" spans="2:11" s="430" customFormat="1"/>
    <row r="38" spans="2:11" ht="15.75">
      <c r="B38" s="4" t="s">
        <v>524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>
      <c r="B39" s="430"/>
      <c r="C39" s="430"/>
      <c r="D39" s="430"/>
      <c r="E39" s="430"/>
      <c r="F39" s="430"/>
      <c r="G39" s="430"/>
      <c r="H39" s="430"/>
      <c r="I39" s="430"/>
      <c r="J39" s="430"/>
      <c r="K39" s="430"/>
    </row>
    <row r="40" spans="2:11">
      <c r="B40" s="50" t="s">
        <v>106</v>
      </c>
      <c r="C40" s="163" t="str" cm="1">
        <f t="array" aca="1" ref="C40" ca="1">_xll.d.TestUtils_And(D47:E47)</f>
        <v>Error</v>
      </c>
      <c r="D40" s="430"/>
      <c r="E40" s="430"/>
      <c r="F40" s="430"/>
      <c r="G40" s="430"/>
      <c r="H40" s="430"/>
      <c r="I40" s="430"/>
      <c r="J40" s="430"/>
      <c r="K40" s="430"/>
    </row>
    <row r="41" spans="2:11">
      <c r="B41" s="430"/>
      <c r="C41" s="430"/>
      <c r="D41" s="430"/>
      <c r="E41" s="430"/>
      <c r="F41" s="430"/>
      <c r="G41" s="430"/>
      <c r="H41" s="430"/>
      <c r="I41" s="430"/>
      <c r="J41" s="430"/>
      <c r="K41" s="430"/>
    </row>
    <row r="42" spans="2:11">
      <c r="B42" s="188" t="s">
        <v>515</v>
      </c>
      <c r="C42" s="430"/>
      <c r="D42" s="584" t="s">
        <v>516</v>
      </c>
      <c r="E42" s="430"/>
      <c r="F42" s="430"/>
      <c r="G42" s="430"/>
      <c r="H42" s="430"/>
      <c r="I42" s="430"/>
      <c r="J42" s="430"/>
      <c r="K42" s="430"/>
    </row>
    <row r="43" spans="2:11" ht="15.75">
      <c r="B43" s="591" t="s">
        <v>514</v>
      </c>
      <c r="C43" s="583"/>
      <c r="D43" s="4" t="s">
        <v>525</v>
      </c>
      <c r="E43" s="430"/>
      <c r="F43" s="430"/>
      <c r="G43" s="430"/>
      <c r="H43" s="430"/>
      <c r="I43" s="430"/>
      <c r="J43" s="430"/>
      <c r="K43" s="430"/>
    </row>
    <row r="44" spans="2:11">
      <c r="B44" s="592" t="s">
        <v>93</v>
      </c>
      <c r="C44" s="583"/>
      <c r="D44" s="430"/>
      <c r="E44" s="430"/>
      <c r="F44" s="430"/>
      <c r="G44" s="430"/>
      <c r="H44" s="430"/>
      <c r="I44" s="430"/>
      <c r="J44" s="430"/>
      <c r="K44" s="430"/>
    </row>
    <row r="45" spans="2:11">
      <c r="B45" s="54"/>
      <c r="C45" s="583"/>
      <c r="D45" s="430"/>
      <c r="E45" s="430"/>
      <c r="F45" s="430"/>
      <c r="G45" s="430"/>
      <c r="H45" s="430"/>
      <c r="I45" s="430"/>
      <c r="J45" s="430"/>
      <c r="K45" s="430"/>
    </row>
    <row r="46" spans="2:11">
      <c r="B46" s="50" t="s">
        <v>65</v>
      </c>
      <c r="C46" s="50" t="s">
        <v>66</v>
      </c>
      <c r="D46" s="50" t="s">
        <v>513</v>
      </c>
      <c r="E46" s="41" t="s">
        <v>519</v>
      </c>
      <c r="F46" s="430"/>
      <c r="G46" s="430"/>
      <c r="H46" s="430"/>
      <c r="I46" s="430"/>
      <c r="J46" s="430"/>
      <c r="K46" s="430"/>
    </row>
    <row r="47" spans="2:11">
      <c r="B47" s="471" t="s">
        <v>525</v>
      </c>
      <c r="C47" s="471" t="s">
        <v>525</v>
      </c>
      <c r="D47" s="163" t="str" cm="1">
        <f t="array" aca="1" ref="D47" ca="1">_xll.d.TestUtils_IsTrue(_xll.d.Formatting_Equal(B47,C47))</f>
        <v>Error</v>
      </c>
      <c r="E47" s="163" t="s">
        <v>108</v>
      </c>
      <c r="F47" s="430"/>
      <c r="G47" s="430"/>
      <c r="H47" s="430"/>
      <c r="I47" s="430"/>
      <c r="J47" s="430"/>
      <c r="K47" s="430"/>
    </row>
    <row r="50" spans="2:11" ht="15.75">
      <c r="B50" s="4" t="s">
        <v>526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>
      <c r="B51" s="430"/>
      <c r="C51" s="430"/>
      <c r="D51" s="430"/>
      <c r="E51" s="430"/>
      <c r="F51" s="430"/>
      <c r="G51" s="430"/>
      <c r="H51" s="430"/>
      <c r="I51" s="430"/>
      <c r="J51" s="430"/>
      <c r="K51" s="430"/>
    </row>
    <row r="52" spans="2:11">
      <c r="B52" s="50" t="s">
        <v>106</v>
      </c>
      <c r="C52" s="163" t="str" cm="1">
        <f t="array" aca="1" ref="C52" ca="1">_xll.d.TestUtils_And(D59:E59)</f>
        <v>Error</v>
      </c>
      <c r="D52" s="430"/>
      <c r="E52" s="430"/>
      <c r="F52" s="430"/>
      <c r="G52" s="430"/>
      <c r="H52" s="430"/>
      <c r="I52" s="430"/>
      <c r="J52" s="430"/>
      <c r="K52" s="430"/>
    </row>
    <row r="53" spans="2:11">
      <c r="B53" s="430"/>
      <c r="C53" s="430"/>
      <c r="D53" s="430"/>
      <c r="E53" s="430"/>
      <c r="F53" s="430"/>
      <c r="G53" s="430"/>
      <c r="H53" s="430"/>
      <c r="I53" s="430"/>
      <c r="J53" s="430"/>
      <c r="K53" s="430"/>
    </row>
    <row r="54" spans="2:11">
      <c r="B54" s="188" t="s">
        <v>515</v>
      </c>
      <c r="C54" s="430"/>
      <c r="D54" s="584" t="s">
        <v>516</v>
      </c>
      <c r="E54" s="430"/>
      <c r="F54" s="430"/>
      <c r="G54" s="430"/>
      <c r="H54" s="430"/>
      <c r="I54" s="430"/>
      <c r="J54" s="430"/>
      <c r="K54" s="430"/>
    </row>
    <row r="55" spans="2:11" ht="15.75">
      <c r="B55" s="591" t="s">
        <v>514</v>
      </c>
      <c r="C55" s="583"/>
      <c r="D55" s="4" t="s">
        <v>527</v>
      </c>
      <c r="E55" s="4"/>
      <c r="F55" s="430"/>
      <c r="G55" s="430"/>
      <c r="H55" s="430"/>
      <c r="I55" s="430"/>
      <c r="J55" s="430"/>
      <c r="K55" s="430"/>
    </row>
    <row r="56" spans="2:11">
      <c r="B56" s="592" t="s">
        <v>93</v>
      </c>
      <c r="C56" s="583"/>
      <c r="D56" s="430"/>
      <c r="E56" s="430"/>
      <c r="F56" s="430"/>
      <c r="G56" s="430"/>
      <c r="H56" s="430"/>
      <c r="I56" s="430"/>
      <c r="J56" s="430"/>
      <c r="K56" s="430"/>
    </row>
    <row r="57" spans="2:11">
      <c r="B57" s="54"/>
      <c r="C57" s="583"/>
      <c r="D57" s="430"/>
      <c r="E57" s="430"/>
      <c r="F57" s="430"/>
      <c r="G57" s="430"/>
      <c r="H57" s="430"/>
      <c r="I57" s="430"/>
      <c r="J57" s="430"/>
      <c r="K57" s="430"/>
    </row>
    <row r="58" spans="2:11">
      <c r="B58" s="50" t="s">
        <v>65</v>
      </c>
      <c r="C58" s="50" t="s">
        <v>66</v>
      </c>
      <c r="D58" s="50" t="s">
        <v>513</v>
      </c>
      <c r="E58" s="41" t="s">
        <v>519</v>
      </c>
      <c r="F58" s="430"/>
      <c r="G58" s="430"/>
      <c r="H58" s="430"/>
      <c r="I58" s="430"/>
      <c r="J58" s="430"/>
      <c r="K58" s="430"/>
    </row>
    <row r="59" spans="2:11">
      <c r="B59" s="471" t="s">
        <v>527</v>
      </c>
      <c r="C59" s="471" t="s">
        <v>527</v>
      </c>
      <c r="D59" s="163" t="str" cm="1">
        <f t="array" aca="1" ref="D59" ca="1">_xll.d.TestUtils_IsTrue(_xll.d.Formatting_Equal(B59,C59))</f>
        <v>Error</v>
      </c>
      <c r="E59" s="163" t="s">
        <v>108</v>
      </c>
      <c r="F59" s="430"/>
      <c r="G59" s="430"/>
      <c r="H59" s="430"/>
      <c r="I59" s="430"/>
      <c r="J59" s="430"/>
      <c r="K59" s="430"/>
    </row>
    <row r="62" spans="2:11" ht="15.75">
      <c r="B62" s="4" t="s">
        <v>530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>
      <c r="B63" s="430"/>
      <c r="C63" s="430"/>
      <c r="D63" s="430"/>
      <c r="E63" s="430"/>
      <c r="F63" s="430"/>
      <c r="G63" s="430"/>
      <c r="H63" s="430"/>
      <c r="I63" s="430"/>
      <c r="J63" s="430"/>
      <c r="K63" s="430"/>
    </row>
    <row r="64" spans="2:11">
      <c r="B64" s="50" t="s">
        <v>106</v>
      </c>
      <c r="C64" s="163" t="str" cm="1">
        <f t="array" aca="1" ref="C64" ca="1">_xll.d.TestUtils_And(D71:E71)</f>
        <v>Error</v>
      </c>
      <c r="D64" s="430"/>
      <c r="E64" s="430"/>
      <c r="F64" s="430"/>
      <c r="G64" s="430"/>
      <c r="H64" s="430"/>
      <c r="I64" s="430"/>
      <c r="J64" s="430"/>
      <c r="K64" s="430"/>
    </row>
    <row r="65" spans="2:11">
      <c r="B65" s="430"/>
      <c r="C65" s="430"/>
      <c r="D65" s="430"/>
      <c r="E65" s="430"/>
      <c r="F65" s="430"/>
      <c r="G65" s="430"/>
      <c r="H65" s="430"/>
      <c r="I65" s="430"/>
      <c r="J65" s="430"/>
      <c r="K65" s="430"/>
    </row>
    <row r="66" spans="2:11">
      <c r="B66" s="188" t="s">
        <v>515</v>
      </c>
      <c r="C66" s="430"/>
      <c r="D66" s="584" t="s">
        <v>516</v>
      </c>
      <c r="E66" s="430"/>
      <c r="F66" s="430"/>
      <c r="G66" s="430"/>
      <c r="H66" s="430"/>
      <c r="I66" s="430"/>
      <c r="J66" s="430"/>
      <c r="K66" s="430"/>
    </row>
    <row r="67" spans="2:11" ht="15.75">
      <c r="B67" s="591" t="s">
        <v>514</v>
      </c>
      <c r="C67" s="583"/>
      <c r="D67" s="4" t="s">
        <v>528</v>
      </c>
      <c r="E67" s="4"/>
      <c r="F67" s="430"/>
      <c r="G67" s="430"/>
      <c r="H67" s="430"/>
      <c r="I67" s="430"/>
      <c r="J67" s="430"/>
      <c r="K67" s="430"/>
    </row>
    <row r="68" spans="2:11" ht="15.75">
      <c r="B68" s="592" t="s">
        <v>93</v>
      </c>
      <c r="C68" s="583"/>
      <c r="D68" s="4" t="s">
        <v>529</v>
      </c>
      <c r="E68" s="4"/>
      <c r="F68" s="430"/>
      <c r="G68" s="430"/>
      <c r="H68" s="430"/>
      <c r="I68" s="430"/>
      <c r="J68" s="430"/>
      <c r="K68" s="430"/>
    </row>
    <row r="69" spans="2:11">
      <c r="B69" s="54"/>
      <c r="C69" s="583"/>
      <c r="D69" s="430"/>
      <c r="E69" s="430"/>
      <c r="F69" s="430"/>
      <c r="G69" s="430"/>
      <c r="H69" s="430"/>
      <c r="I69" s="430"/>
      <c r="J69" s="430"/>
      <c r="K69" s="430"/>
    </row>
    <row r="70" spans="2:11">
      <c r="B70" s="50" t="s">
        <v>65</v>
      </c>
      <c r="C70" s="50" t="s">
        <v>66</v>
      </c>
      <c r="D70" s="50" t="s">
        <v>513</v>
      </c>
      <c r="E70" s="41" t="s">
        <v>519</v>
      </c>
      <c r="F70" s="430"/>
      <c r="G70" s="430"/>
      <c r="H70" s="430"/>
      <c r="I70" s="430"/>
      <c r="J70" s="430"/>
      <c r="K70" s="430"/>
    </row>
    <row r="71" spans="2:11">
      <c r="B71" s="471" t="s">
        <v>528</v>
      </c>
      <c r="C71" s="471" t="s">
        <v>528</v>
      </c>
      <c r="D71" s="163" t="str" cm="1">
        <f t="array" aca="1" ref="D71" ca="1">_xll.d.TestUtils_IsTrue(_xll.d.Formatting_Equal(B71,C71))</f>
        <v>Error</v>
      </c>
      <c r="E71" s="163" t="s">
        <v>108</v>
      </c>
      <c r="F71" s="430"/>
      <c r="G71" s="430"/>
      <c r="H71" s="430"/>
      <c r="I71" s="430"/>
      <c r="J71" s="430"/>
      <c r="K71" s="430"/>
    </row>
    <row r="72" spans="2:11">
      <c r="B72" s="471" t="s">
        <v>529</v>
      </c>
      <c r="C72" s="471" t="s">
        <v>529</v>
      </c>
      <c r="D72" s="163" t="str" cm="1">
        <f t="array" aca="1" ref="D72" ca="1">_xll.d.TestUtils_IsTrue(_xll.d.Formatting_Equal(B72,C72))</f>
        <v>Error</v>
      </c>
      <c r="E72" s="163" t="s">
        <v>108</v>
      </c>
    </row>
    <row r="73" spans="2:11">
      <c r="F73" s="593"/>
      <c r="G73" s="593"/>
    </row>
    <row r="74" spans="2:11">
      <c r="G74" s="9"/>
    </row>
    <row r="75" spans="2:11">
      <c r="G75" s="593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>
      <c r="B1" s="399" t="s">
        <v>372</v>
      </c>
    </row>
    <row r="2" spans="2:23" ht="26.25">
      <c r="B2" s="64" t="s">
        <v>153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>
      <c r="B4" s="50" t="s">
        <v>139</v>
      </c>
      <c r="C4" s="163" t="str" cm="1">
        <f t="array" aca="1" ref="C4" ca="1">_xll.d.TestUtils_And(C7:C16)</f>
        <v>Ok</v>
      </c>
    </row>
    <row r="6" spans="2:23">
      <c r="B6" s="188" t="s">
        <v>9</v>
      </c>
      <c r="C6" s="189" t="s">
        <v>10</v>
      </c>
    </row>
    <row r="7" spans="2:23">
      <c r="B7" s="198" t="s">
        <v>89</v>
      </c>
      <c r="C7" s="163" t="str">
        <f ca="1">C21</f>
        <v>Ok</v>
      </c>
      <c r="F7" s="430"/>
      <c r="G7" s="430"/>
      <c r="H7" s="430"/>
      <c r="I7" s="430"/>
      <c r="J7" s="430"/>
    </row>
    <row r="8" spans="2:23">
      <c r="B8" s="198" t="s">
        <v>91</v>
      </c>
      <c r="C8" s="163" t="str">
        <f ca="1">C43</f>
        <v>Ok</v>
      </c>
      <c r="F8" s="430"/>
      <c r="G8" s="430"/>
      <c r="H8" s="430"/>
      <c r="I8" s="430"/>
      <c r="J8" s="430"/>
    </row>
    <row r="9" spans="2:23">
      <c r="B9" s="198" t="s">
        <v>92</v>
      </c>
      <c r="C9" s="163" t="str">
        <f ca="1">C65</f>
        <v>Ok</v>
      </c>
      <c r="F9" s="430"/>
      <c r="G9" s="430"/>
      <c r="H9" s="430"/>
      <c r="I9" s="430"/>
      <c r="J9" s="430"/>
    </row>
    <row r="10" spans="2:23">
      <c r="B10" s="198" t="s">
        <v>95</v>
      </c>
      <c r="C10" s="163" t="str">
        <f ca="1">C87</f>
        <v>Ok</v>
      </c>
      <c r="F10" s="430"/>
      <c r="G10" s="430"/>
      <c r="H10" s="430"/>
      <c r="I10" s="430"/>
      <c r="J10" s="430"/>
    </row>
    <row r="11" spans="2:23">
      <c r="B11" s="198" t="s">
        <v>98</v>
      </c>
      <c r="C11" s="163" t="str">
        <f ca="1">C109</f>
        <v>Ok</v>
      </c>
      <c r="F11" s="430"/>
      <c r="G11" s="430"/>
      <c r="H11" s="430"/>
      <c r="I11" s="430"/>
      <c r="J11" s="430"/>
    </row>
    <row r="12" spans="2:23">
      <c r="B12" s="198" t="s">
        <v>100</v>
      </c>
      <c r="C12" s="163" t="str">
        <f ca="1">C131</f>
        <v>Ok</v>
      </c>
      <c r="F12" s="430"/>
      <c r="G12" s="430"/>
      <c r="H12" s="430"/>
      <c r="I12" s="430"/>
      <c r="J12" s="430"/>
    </row>
    <row r="13" spans="2:23">
      <c r="B13" s="198" t="s">
        <v>142</v>
      </c>
      <c r="C13" s="163" t="str">
        <f ca="1">C153</f>
        <v>Ok</v>
      </c>
      <c r="F13" s="430"/>
      <c r="G13" s="430"/>
      <c r="H13" s="430"/>
      <c r="I13" s="430"/>
      <c r="J13" s="430"/>
    </row>
    <row r="14" spans="2:23">
      <c r="B14" s="198" t="s">
        <v>147</v>
      </c>
      <c r="C14" s="163" t="str">
        <f ca="1">C175</f>
        <v>Ok</v>
      </c>
      <c r="F14" s="430"/>
      <c r="G14" s="430"/>
      <c r="H14" s="430"/>
      <c r="I14" s="430"/>
      <c r="J14" s="430"/>
    </row>
    <row r="15" spans="2:23">
      <c r="B15" s="198" t="s">
        <v>152</v>
      </c>
      <c r="C15" s="163" t="str">
        <f ca="1">C197</f>
        <v>Ok</v>
      </c>
    </row>
    <row r="16" spans="2:23">
      <c r="B16" s="198" t="s">
        <v>169</v>
      </c>
      <c r="C16" s="163" t="str">
        <f ca="1">C219</f>
        <v>Ok</v>
      </c>
    </row>
    <row r="17" spans="2:23">
      <c r="B17" s="198"/>
    </row>
    <row r="19" spans="2:23" ht="18.75">
      <c r="B19" s="3" t="s">
        <v>89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>
      <c r="B21" s="50" t="s">
        <v>106</v>
      </c>
      <c r="C21" s="163" t="str" cm="1">
        <f t="array" aca="1" ref="C21" ca="1">_xll.d.TestUtils_And(C27,F27,K27,P27)</f>
        <v>Ok</v>
      </c>
    </row>
    <row r="23" spans="2:23">
      <c r="B23" t="s">
        <v>160</v>
      </c>
    </row>
    <row r="25" spans="2:23" ht="15.75">
      <c r="B25" s="4" t="s">
        <v>109</v>
      </c>
      <c r="C25" s="4"/>
      <c r="E25" s="4" t="s">
        <v>110</v>
      </c>
      <c r="F25" s="4"/>
      <c r="G25" s="4"/>
      <c r="H25" s="4"/>
      <c r="J25" s="4" t="s">
        <v>111</v>
      </c>
      <c r="K25" s="4"/>
      <c r="L25" s="4"/>
      <c r="M25" s="4"/>
      <c r="O25" s="4" t="s">
        <v>126</v>
      </c>
      <c r="P25" s="4"/>
      <c r="Q25" s="4"/>
      <c r="R25" s="4"/>
      <c r="S25" s="4"/>
      <c r="T25" s="4"/>
      <c r="U25" s="4"/>
      <c r="V25" s="4"/>
      <c r="W25" s="4"/>
    </row>
    <row r="27" spans="2:23">
      <c r="B27" s="50" t="s">
        <v>106</v>
      </c>
      <c r="C27" s="163" t="str" cm="1">
        <f t="array" aca="1" ref="C27" ca="1">_xll.d.TestUtils_IsTrue(C32="OK")</f>
        <v>Ok</v>
      </c>
      <c r="E27" s="50" t="s">
        <v>106</v>
      </c>
      <c r="F27" s="163" t="str" cm="1">
        <f t="array" aca="1" ref="F27" ca="1">_xll.d.TestUtils_IsTrue(E35="OK")</f>
        <v>Ok</v>
      </c>
      <c r="J27" s="50" t="s">
        <v>106</v>
      </c>
      <c r="K27" s="163" t="str" cm="1">
        <f t="array" aca="1" ref="K27" ca="1">_xll.d.TestUtils_IsTrue(J32="OK")</f>
        <v>Ok</v>
      </c>
      <c r="O27" s="50" t="s">
        <v>106</v>
      </c>
      <c r="P27" s="163" t="str" cm="1">
        <f t="array" aca="1" ref="P27" ca="1">_xll.d.TestUtils_IsTrue(O32="OK")</f>
        <v>Ok</v>
      </c>
    </row>
    <row r="29" spans="2:23">
      <c r="B29" s="180" t="s">
        <v>114</v>
      </c>
      <c r="C29" s="164" t="s">
        <v>154</v>
      </c>
      <c r="E29" s="180" t="s">
        <v>114</v>
      </c>
      <c r="F29" s="164" t="s">
        <v>154</v>
      </c>
      <c r="J29" s="180" t="s">
        <v>114</v>
      </c>
      <c r="K29" s="164" t="s">
        <v>154</v>
      </c>
      <c r="O29" s="180" t="s">
        <v>114</v>
      </c>
      <c r="P29" s="164" t="s">
        <v>154</v>
      </c>
    </row>
    <row r="30" spans="2:23">
      <c r="B30" s="164"/>
    </row>
    <row r="31" spans="2:23">
      <c r="B31" s="181" t="s">
        <v>112</v>
      </c>
      <c r="C31" s="181" t="s">
        <v>113</v>
      </c>
      <c r="E31" s="181" t="s">
        <v>112</v>
      </c>
      <c r="J31" s="181" t="s">
        <v>113</v>
      </c>
      <c r="O31" s="181" t="s">
        <v>113</v>
      </c>
    </row>
    <row r="32" spans="2:23">
      <c r="B32" s="164" t="s">
        <v>108</v>
      </c>
      <c r="C32" s="164" t="str" cm="1">
        <f t="array" aca="1" ref="C32" ca="1">_xll.d.TestUtils_And(B32:B35)</f>
        <v>Ok</v>
      </c>
      <c r="E32" s="164" t="s">
        <v>108</v>
      </c>
      <c r="F32" s="164" t="s">
        <v>108</v>
      </c>
      <c r="G32" s="164" t="s">
        <v>108</v>
      </c>
      <c r="H32" s="164" t="s">
        <v>108</v>
      </c>
      <c r="J32" s="164" t="str" cm="1">
        <f t="array" aca="1" ref="J32" ca="1">_xll.d.TestUtils_And(J35:M38)</f>
        <v>Ok</v>
      </c>
      <c r="O32" s="164" t="str" cm="1">
        <f t="array" aca="1" ref="O32" ca="1">_xll.d.TestUtils_And(O35,O37:Q37,S35:S38,U35:W38)</f>
        <v>Ok</v>
      </c>
    </row>
    <row r="33" spans="2:23">
      <c r="B33" s="164" t="s">
        <v>108</v>
      </c>
    </row>
    <row r="34" spans="2:23">
      <c r="B34" s="164" t="s">
        <v>108</v>
      </c>
      <c r="E34" s="181" t="s">
        <v>113</v>
      </c>
      <c r="J34" s="57" t="s">
        <v>112</v>
      </c>
      <c r="O34" s="57" t="s">
        <v>112</v>
      </c>
    </row>
    <row r="35" spans="2:23">
      <c r="B35" s="164" t="s">
        <v>108</v>
      </c>
      <c r="E35" s="164" t="str" cm="1">
        <f t="array" aca="1" ref="E35" ca="1">_xll.d.TestUtils_And(E32:H32)</f>
        <v>Ok</v>
      </c>
      <c r="J35" s="164" t="s">
        <v>108</v>
      </c>
      <c r="K35" s="164" t="s">
        <v>108</v>
      </c>
      <c r="L35" s="164" t="s">
        <v>108</v>
      </c>
      <c r="M35" s="164" t="s">
        <v>108</v>
      </c>
      <c r="O35" s="164" t="s">
        <v>108</v>
      </c>
      <c r="R35" s="164"/>
      <c r="S35" s="164" t="s">
        <v>108</v>
      </c>
      <c r="U35" s="164" t="s">
        <v>108</v>
      </c>
      <c r="V35" s="164" t="s">
        <v>108</v>
      </c>
      <c r="W35" s="164" t="s">
        <v>108</v>
      </c>
    </row>
    <row r="36" spans="2:23">
      <c r="J36" s="164" t="s">
        <v>108</v>
      </c>
      <c r="K36" s="164" t="s">
        <v>108</v>
      </c>
      <c r="L36" s="164" t="s">
        <v>108</v>
      </c>
      <c r="M36" s="164" t="s">
        <v>108</v>
      </c>
      <c r="S36" s="164" t="s">
        <v>108</v>
      </c>
      <c r="U36" s="164" t="s">
        <v>108</v>
      </c>
      <c r="V36" s="164" t="s">
        <v>108</v>
      </c>
      <c r="W36" s="164" t="s">
        <v>108</v>
      </c>
    </row>
    <row r="37" spans="2:23">
      <c r="J37" s="164" t="s">
        <v>108</v>
      </c>
      <c r="K37" s="164" t="s">
        <v>108</v>
      </c>
      <c r="L37" s="164" t="s">
        <v>108</v>
      </c>
      <c r="M37" s="164" t="s">
        <v>108</v>
      </c>
      <c r="O37" s="164" t="s">
        <v>108</v>
      </c>
      <c r="P37" s="164" t="s">
        <v>108</v>
      </c>
      <c r="Q37" s="164" t="s">
        <v>108</v>
      </c>
      <c r="S37" s="164" t="s">
        <v>108</v>
      </c>
      <c r="U37" s="164" t="s">
        <v>108</v>
      </c>
      <c r="V37" s="164" t="s">
        <v>108</v>
      </c>
      <c r="W37" s="164" t="s">
        <v>108</v>
      </c>
    </row>
    <row r="38" spans="2:23">
      <c r="C38" s="163"/>
      <c r="J38" s="164" t="s">
        <v>108</v>
      </c>
      <c r="K38" s="164" t="s">
        <v>108</v>
      </c>
      <c r="L38" s="164" t="s">
        <v>108</v>
      </c>
      <c r="M38" s="164" t="s">
        <v>108</v>
      </c>
      <c r="S38" s="164" t="s">
        <v>108</v>
      </c>
      <c r="U38" s="164" t="s">
        <v>108</v>
      </c>
      <c r="V38" s="164" t="s">
        <v>108</v>
      </c>
      <c r="W38" s="164" t="s">
        <v>108</v>
      </c>
    </row>
    <row r="39" spans="2:23">
      <c r="C39" s="163"/>
    </row>
    <row r="41" spans="2:23" ht="18.75">
      <c r="B41" s="3" t="s">
        <v>91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>
      <c r="B43" s="50" t="s">
        <v>106</v>
      </c>
      <c r="C43" s="163" t="str" cm="1">
        <f t="array" aca="1" ref="C43" ca="1">_xll.d.TestUtils_And(C49,F49,K49,P49)</f>
        <v>Ok</v>
      </c>
    </row>
    <row r="45" spans="2:23">
      <c r="B45" t="s">
        <v>161</v>
      </c>
    </row>
    <row r="47" spans="2:23" ht="15.75">
      <c r="B47" s="4" t="s">
        <v>115</v>
      </c>
      <c r="C47" s="4"/>
      <c r="E47" s="4" t="s">
        <v>116</v>
      </c>
      <c r="F47" s="4"/>
      <c r="G47" s="4"/>
      <c r="H47" s="4"/>
      <c r="J47" s="4" t="s">
        <v>117</v>
      </c>
      <c r="K47" s="4"/>
      <c r="L47" s="4"/>
      <c r="M47" s="4"/>
      <c r="O47" s="4" t="s">
        <v>127</v>
      </c>
      <c r="P47" s="4"/>
      <c r="Q47" s="4"/>
      <c r="R47" s="4"/>
      <c r="S47" s="4"/>
      <c r="T47" s="4"/>
      <c r="U47" s="4"/>
      <c r="V47" s="4"/>
      <c r="W47" s="4"/>
    </row>
    <row r="49" spans="2:23">
      <c r="B49" s="50" t="s">
        <v>106</v>
      </c>
      <c r="C49" s="163" t="str" cm="1">
        <f t="array" aca="1" ref="C49" ca="1">_xll.d.TestUtils_IsTrue(C54="ERROR")</f>
        <v>Ok</v>
      </c>
      <c r="E49" s="50" t="s">
        <v>106</v>
      </c>
      <c r="F49" s="163" t="str" cm="1">
        <f t="array" aca="1" ref="F49" ca="1">_xll.d.TestUtils_IsTrue(E54="ERROR")</f>
        <v>Ok</v>
      </c>
      <c r="J49" s="50" t="s">
        <v>106</v>
      </c>
      <c r="K49" s="163" t="str" cm="1">
        <f t="array" aca="1" ref="K49" ca="1">_xll.d.TestUtils_IsTrue(J54="ERROR")</f>
        <v>Ok</v>
      </c>
      <c r="O49" s="50" t="s">
        <v>106</v>
      </c>
      <c r="P49" s="163" t="str" cm="1">
        <f t="array" aca="1" ref="P49" ca="1">_xll.d.TestUtils_IsTrue(O54="ERROR")</f>
        <v>Ok</v>
      </c>
    </row>
    <row r="51" spans="2:23">
      <c r="B51" s="180" t="s">
        <v>114</v>
      </c>
      <c r="C51" s="164" t="s">
        <v>154</v>
      </c>
      <c r="E51" s="180" t="s">
        <v>114</v>
      </c>
      <c r="F51" s="164" t="s">
        <v>154</v>
      </c>
      <c r="J51" s="180" t="s">
        <v>114</v>
      </c>
      <c r="K51" s="164" t="s">
        <v>154</v>
      </c>
      <c r="O51" s="180" t="s">
        <v>114</v>
      </c>
      <c r="P51" s="164" t="s">
        <v>154</v>
      </c>
    </row>
    <row r="52" spans="2:23">
      <c r="B52" s="164"/>
    </row>
    <row r="53" spans="2:23">
      <c r="B53" s="181" t="s">
        <v>112</v>
      </c>
      <c r="C53" s="181" t="s">
        <v>113</v>
      </c>
      <c r="E53" s="181" t="s">
        <v>113</v>
      </c>
      <c r="J53" s="181" t="s">
        <v>113</v>
      </c>
      <c r="O53" s="181" t="s">
        <v>113</v>
      </c>
    </row>
    <row r="54" spans="2:23">
      <c r="B54" s="164" t="s">
        <v>108</v>
      </c>
      <c r="C54" s="164" t="str" cm="1">
        <f t="array" aca="1" ref="C54" ca="1">_xll.d.TestUtils_And(B54:B57)</f>
        <v>Error</v>
      </c>
      <c r="E54" s="164" t="str" cm="1">
        <f t="array" aca="1" ref="E54" ca="1">_xll.d.TestUtils_And(E57:H57)</f>
        <v>Error</v>
      </c>
      <c r="J54" s="164" t="str" cm="1">
        <f t="array" aca="1" ref="J54" ca="1">_xll.d.TestUtils_And(J57:M60)</f>
        <v>Error</v>
      </c>
      <c r="O54" s="164" t="str" cm="1">
        <f t="array" aca="1" ref="O54" ca="1">_xll.d.TestUtils_And(O57,O59:Q59,S57:S60,U57:W60)</f>
        <v>Error</v>
      </c>
    </row>
    <row r="55" spans="2:23">
      <c r="B55" s="164" t="s">
        <v>108</v>
      </c>
    </row>
    <row r="56" spans="2:23">
      <c r="B56" s="164" t="s">
        <v>118</v>
      </c>
      <c r="E56" s="181" t="s">
        <v>112</v>
      </c>
      <c r="J56" s="57" t="s">
        <v>112</v>
      </c>
      <c r="O56" s="57" t="s">
        <v>112</v>
      </c>
    </row>
    <row r="57" spans="2:23">
      <c r="B57" s="164" t="s">
        <v>108</v>
      </c>
      <c r="E57" s="164" t="s">
        <v>108</v>
      </c>
      <c r="F57" s="164" t="s">
        <v>118</v>
      </c>
      <c r="G57" s="164" t="s">
        <v>108</v>
      </c>
      <c r="H57" s="164" t="s">
        <v>108</v>
      </c>
      <c r="J57" s="164" t="s">
        <v>108</v>
      </c>
      <c r="K57" s="164" t="s">
        <v>108</v>
      </c>
      <c r="L57" s="164" t="s">
        <v>108</v>
      </c>
      <c r="M57" s="164" t="s">
        <v>108</v>
      </c>
      <c r="O57" s="164" t="s">
        <v>108</v>
      </c>
      <c r="R57" s="164"/>
      <c r="S57" s="164" t="s">
        <v>108</v>
      </c>
      <c r="U57" s="164" t="s">
        <v>108</v>
      </c>
      <c r="V57" s="164" t="s">
        <v>108</v>
      </c>
      <c r="W57" s="164" t="s">
        <v>108</v>
      </c>
    </row>
    <row r="58" spans="2:23">
      <c r="J58" s="164" t="s">
        <v>108</v>
      </c>
      <c r="K58" s="164" t="s">
        <v>108</v>
      </c>
      <c r="L58" s="164" t="s">
        <v>108</v>
      </c>
      <c r="M58" s="164" t="s">
        <v>108</v>
      </c>
      <c r="S58" s="164" t="s">
        <v>108</v>
      </c>
      <c r="U58" s="164" t="s">
        <v>108</v>
      </c>
      <c r="V58" s="164" t="s">
        <v>108</v>
      </c>
      <c r="W58" s="164" t="s">
        <v>108</v>
      </c>
    </row>
    <row r="59" spans="2:23">
      <c r="J59" s="164" t="s">
        <v>108</v>
      </c>
      <c r="K59" s="164" t="s">
        <v>108</v>
      </c>
      <c r="L59" s="164" t="s">
        <v>118</v>
      </c>
      <c r="M59" s="164" t="s">
        <v>108</v>
      </c>
      <c r="O59" s="164" t="s">
        <v>108</v>
      </c>
      <c r="P59" s="164" t="s">
        <v>118</v>
      </c>
      <c r="Q59" s="164" t="s">
        <v>108</v>
      </c>
      <c r="S59" s="164" t="s">
        <v>108</v>
      </c>
      <c r="U59" s="164" t="s">
        <v>108</v>
      </c>
      <c r="V59" s="164" t="s">
        <v>108</v>
      </c>
      <c r="W59" s="164" t="s">
        <v>108</v>
      </c>
    </row>
    <row r="60" spans="2:23">
      <c r="C60" s="163"/>
      <c r="J60" s="164" t="s">
        <v>108</v>
      </c>
      <c r="K60" s="164" t="s">
        <v>108</v>
      </c>
      <c r="L60" s="164" t="s">
        <v>108</v>
      </c>
      <c r="M60" s="164" t="s">
        <v>108</v>
      </c>
      <c r="S60" s="164" t="s">
        <v>108</v>
      </c>
      <c r="U60" s="164" t="s">
        <v>108</v>
      </c>
      <c r="V60" s="164" t="s">
        <v>108</v>
      </c>
      <c r="W60" s="164" t="s">
        <v>108</v>
      </c>
    </row>
    <row r="63" spans="2:23" ht="18.75">
      <c r="B63" s="3" t="s">
        <v>92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>
      <c r="B65" s="50" t="s">
        <v>106</v>
      </c>
      <c r="C65" s="163" t="str" cm="1">
        <f t="array" aca="1" ref="C65" ca="1">_xll.d.TestUtils_And(C71,F71,K71,P71)</f>
        <v>Ok</v>
      </c>
    </row>
    <row r="67" spans="2:23">
      <c r="B67" t="s">
        <v>162</v>
      </c>
    </row>
    <row r="69" spans="2:23" s="54" customFormat="1" ht="15.75">
      <c r="B69" s="4" t="s">
        <v>119</v>
      </c>
      <c r="C69" s="4"/>
      <c r="E69" s="4" t="s">
        <v>120</v>
      </c>
      <c r="F69" s="4"/>
      <c r="G69" s="4"/>
      <c r="H69" s="4"/>
      <c r="J69" s="4" t="s">
        <v>121</v>
      </c>
      <c r="K69" s="4"/>
      <c r="L69" s="4"/>
      <c r="M69" s="4"/>
      <c r="O69" s="4" t="s">
        <v>128</v>
      </c>
      <c r="P69" s="4"/>
      <c r="Q69" s="4"/>
      <c r="R69" s="4"/>
      <c r="S69" s="4"/>
      <c r="T69" s="4"/>
      <c r="U69" s="4"/>
      <c r="V69" s="4"/>
      <c r="W69" s="4"/>
    </row>
    <row r="71" spans="2:23">
      <c r="B71" s="50" t="s">
        <v>106</v>
      </c>
      <c r="C71" s="163" t="str" cm="1">
        <f t="array" aca="1" ref="C71" ca="1">_xll.d.TestUtils_IsTrue(C76="WARNING")</f>
        <v>Ok</v>
      </c>
      <c r="E71" s="50" t="s">
        <v>106</v>
      </c>
      <c r="F71" s="163" t="str" cm="1">
        <f t="array" aca="1" ref="F71" ca="1">_xll.d.TestUtils_IsTrue(E76="WARNING")</f>
        <v>Ok</v>
      </c>
      <c r="J71" s="50" t="s">
        <v>106</v>
      </c>
      <c r="K71" s="163" t="str" cm="1">
        <f t="array" aca="1" ref="K71" ca="1">_xll.d.TestUtils_IsTrue(J76="WARNING")</f>
        <v>Ok</v>
      </c>
      <c r="O71" s="50" t="s">
        <v>106</v>
      </c>
      <c r="P71" s="163" t="str" cm="1">
        <f t="array" aca="1" ref="P71" ca="1">_xll.d.TestUtils_IsTrue(O76="WARNING")</f>
        <v>Ok</v>
      </c>
    </row>
    <row r="73" spans="2:23">
      <c r="B73" s="180" t="s">
        <v>114</v>
      </c>
      <c r="C73" s="164" t="s">
        <v>154</v>
      </c>
      <c r="E73" s="180" t="s">
        <v>114</v>
      </c>
      <c r="F73" s="164" t="s">
        <v>154</v>
      </c>
      <c r="J73" s="180" t="s">
        <v>114</v>
      </c>
      <c r="K73" s="164" t="s">
        <v>154</v>
      </c>
      <c r="O73" s="180" t="s">
        <v>114</v>
      </c>
      <c r="P73" s="164" t="s">
        <v>154</v>
      </c>
    </row>
    <row r="74" spans="2:23">
      <c r="B74" s="164"/>
    </row>
    <row r="75" spans="2:23">
      <c r="B75" s="181" t="s">
        <v>112</v>
      </c>
      <c r="C75" s="181" t="s">
        <v>113</v>
      </c>
      <c r="E75" s="181" t="s">
        <v>113</v>
      </c>
      <c r="J75" s="181" t="s">
        <v>113</v>
      </c>
      <c r="O75" s="181" t="s">
        <v>113</v>
      </c>
    </row>
    <row r="76" spans="2:23">
      <c r="B76" s="164" t="s">
        <v>108</v>
      </c>
      <c r="C76" s="164" t="str" cm="1">
        <f t="array" aca="1" ref="C76" ca="1">_xll.d.TestUtils_And(B76:B79)</f>
        <v>Warning</v>
      </c>
      <c r="E76" s="164" t="str" cm="1">
        <f t="array" aca="1" ref="E76" ca="1">_xll.d.TestUtils_And(E79:H79)</f>
        <v>Warning</v>
      </c>
      <c r="J76" s="164" t="str" cm="1">
        <f t="array" aca="1" ref="J76" ca="1">_xll.d.TestUtils_And(J79:M82)</f>
        <v>Warning</v>
      </c>
      <c r="O76" s="164" t="str" cm="1">
        <f t="array" aca="1" ref="O76" ca="1">_xll.d.TestUtils_And(O79,O81:Q81,S79:S82,U79:W82)</f>
        <v>Warning</v>
      </c>
    </row>
    <row r="77" spans="2:23">
      <c r="B77" s="164" t="s">
        <v>108</v>
      </c>
    </row>
    <row r="78" spans="2:23">
      <c r="B78" s="164" t="s">
        <v>122</v>
      </c>
      <c r="E78" s="181" t="s">
        <v>112</v>
      </c>
      <c r="J78" s="57" t="s">
        <v>112</v>
      </c>
      <c r="O78" s="57" t="s">
        <v>112</v>
      </c>
    </row>
    <row r="79" spans="2:23">
      <c r="B79" s="164" t="s">
        <v>108</v>
      </c>
      <c r="E79" s="164" t="s">
        <v>108</v>
      </c>
      <c r="F79" s="164" t="s">
        <v>122</v>
      </c>
      <c r="G79" s="164" t="s">
        <v>108</v>
      </c>
      <c r="H79" s="164" t="s">
        <v>108</v>
      </c>
      <c r="J79" s="164" t="s">
        <v>108</v>
      </c>
      <c r="K79" s="164" t="s">
        <v>108</v>
      </c>
      <c r="L79" s="164" t="s">
        <v>108</v>
      </c>
      <c r="M79" s="164" t="s">
        <v>108</v>
      </c>
      <c r="O79" s="164" t="s">
        <v>108</v>
      </c>
      <c r="R79" s="164"/>
      <c r="S79" s="164" t="s">
        <v>108</v>
      </c>
      <c r="U79" s="164" t="s">
        <v>108</v>
      </c>
      <c r="V79" s="164" t="s">
        <v>108</v>
      </c>
      <c r="W79" s="164" t="s">
        <v>108</v>
      </c>
    </row>
    <row r="80" spans="2:23">
      <c r="J80" s="164" t="s">
        <v>108</v>
      </c>
      <c r="K80" s="164" t="s">
        <v>108</v>
      </c>
      <c r="L80" s="164" t="s">
        <v>108</v>
      </c>
      <c r="M80" s="164" t="s">
        <v>108</v>
      </c>
      <c r="S80" s="164" t="s">
        <v>108</v>
      </c>
      <c r="U80" s="164" t="s">
        <v>108</v>
      </c>
      <c r="V80" s="164" t="s">
        <v>108</v>
      </c>
      <c r="W80" s="164" t="s">
        <v>108</v>
      </c>
    </row>
    <row r="81" spans="2:23">
      <c r="J81" s="164" t="s">
        <v>108</v>
      </c>
      <c r="K81" s="164" t="s">
        <v>108</v>
      </c>
      <c r="L81" s="164" t="s">
        <v>122</v>
      </c>
      <c r="M81" s="164" t="s">
        <v>108</v>
      </c>
      <c r="O81" s="164" t="s">
        <v>108</v>
      </c>
      <c r="P81" s="164" t="s">
        <v>122</v>
      </c>
      <c r="Q81" s="164" t="s">
        <v>108</v>
      </c>
      <c r="S81" s="164" t="s">
        <v>108</v>
      </c>
      <c r="U81" s="164" t="s">
        <v>108</v>
      </c>
      <c r="V81" s="164" t="s">
        <v>108</v>
      </c>
      <c r="W81" s="164" t="s">
        <v>108</v>
      </c>
    </row>
    <row r="82" spans="2:23">
      <c r="C82" s="163"/>
      <c r="J82" s="164" t="s">
        <v>108</v>
      </c>
      <c r="K82" s="164" t="s">
        <v>108</v>
      </c>
      <c r="L82" s="164" t="s">
        <v>108</v>
      </c>
      <c r="M82" s="164" t="s">
        <v>108</v>
      </c>
      <c r="S82" s="164" t="s">
        <v>108</v>
      </c>
      <c r="U82" s="164" t="s">
        <v>108</v>
      </c>
      <c r="V82" s="164" t="s">
        <v>108</v>
      </c>
      <c r="W82" s="164" t="s">
        <v>108</v>
      </c>
    </row>
    <row r="85" spans="2:23" ht="18.75">
      <c r="B85" s="3" t="s">
        <v>95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>
      <c r="B87" s="50" t="s">
        <v>106</v>
      </c>
      <c r="C87" s="163" t="str" cm="1">
        <f t="array" aca="1" ref="C87" ca="1">_xll.d.TestUtils_And(C93,F93,K93,P93)</f>
        <v>Ok</v>
      </c>
    </row>
    <row r="89" spans="2:23">
      <c r="B89" t="s">
        <v>163</v>
      </c>
    </row>
    <row r="91" spans="2:23" ht="15.75">
      <c r="B91" s="4" t="s">
        <v>123</v>
      </c>
      <c r="C91" s="4"/>
      <c r="E91" s="4" t="s">
        <v>124</v>
      </c>
      <c r="F91" s="4"/>
      <c r="G91" s="4"/>
      <c r="H91" s="4"/>
      <c r="J91" s="4" t="s">
        <v>125</v>
      </c>
      <c r="K91" s="4"/>
      <c r="L91" s="4"/>
      <c r="M91" s="4"/>
      <c r="O91" s="4" t="s">
        <v>129</v>
      </c>
      <c r="P91" s="4"/>
      <c r="Q91" s="4"/>
      <c r="R91" s="4"/>
      <c r="S91" s="4"/>
      <c r="T91" s="4"/>
      <c r="U91" s="4"/>
      <c r="V91" s="4"/>
      <c r="W91" s="4"/>
    </row>
    <row r="93" spans="2:23">
      <c r="B93" s="50" t="s">
        <v>106</v>
      </c>
      <c r="C93" s="163" t="str" cm="1">
        <f t="array" aca="1" ref="C93" ca="1">_xll.d.TestUtils_IsTrue(C98="ERROR")</f>
        <v>Ok</v>
      </c>
      <c r="E93" s="50" t="s">
        <v>106</v>
      </c>
      <c r="F93" s="163" t="str" cm="1">
        <f t="array" aca="1" ref="F93" ca="1">_xll.d.TestUtils_IsTrue(E98="ERROR")</f>
        <v>Ok</v>
      </c>
      <c r="J93" s="50" t="s">
        <v>106</v>
      </c>
      <c r="K93" s="163" t="str" cm="1">
        <f t="array" aca="1" ref="K93" ca="1">_xll.d.TestUtils_IsTrue(J98="ERROR")</f>
        <v>Ok</v>
      </c>
      <c r="O93" s="50" t="s">
        <v>106</v>
      </c>
      <c r="P93" s="163" t="str" cm="1">
        <f t="array" aca="1" ref="P93" ca="1">_xll.d.TestUtils_IsTrue(O98="ERROR")</f>
        <v>Ok</v>
      </c>
    </row>
    <row r="95" spans="2:23">
      <c r="B95" s="180" t="s">
        <v>114</v>
      </c>
      <c r="C95" s="164" t="s">
        <v>154</v>
      </c>
      <c r="E95" s="180" t="s">
        <v>114</v>
      </c>
      <c r="F95" s="164" t="s">
        <v>154</v>
      </c>
      <c r="J95" s="180" t="s">
        <v>114</v>
      </c>
      <c r="K95" s="164" t="s">
        <v>154</v>
      </c>
      <c r="O95" s="180" t="s">
        <v>114</v>
      </c>
      <c r="P95" s="164" t="s">
        <v>154</v>
      </c>
    </row>
    <row r="96" spans="2:23">
      <c r="B96" s="164"/>
    </row>
    <row r="97" spans="2:23">
      <c r="B97" s="181" t="s">
        <v>112</v>
      </c>
      <c r="C97" s="181" t="s">
        <v>113</v>
      </c>
      <c r="E97" s="181" t="s">
        <v>113</v>
      </c>
      <c r="J97" s="181" t="s">
        <v>113</v>
      </c>
      <c r="O97" s="181" t="s">
        <v>113</v>
      </c>
    </row>
    <row r="98" spans="2:23">
      <c r="B98" s="164" t="s">
        <v>108</v>
      </c>
      <c r="C98" s="164" t="str" cm="1">
        <f t="array" aca="1" ref="C98" ca="1">_xll.d.TestUtils_And(B98:B101)</f>
        <v>Error</v>
      </c>
      <c r="E98" s="164" t="str" cm="1">
        <f t="array" aca="1" ref="E98" ca="1">_xll.d.TestUtils_And(E101:H101)</f>
        <v>Error</v>
      </c>
      <c r="J98" s="164" t="str" cm="1">
        <f t="array" aca="1" ref="J98" ca="1">_xll.d.TestUtils_And(J101:M104)</f>
        <v>Error</v>
      </c>
      <c r="O98" s="164" t="str" cm="1">
        <f t="array" aca="1" ref="O98" ca="1">_xll.d.TestUtils_And(O101,O103:Q103,S101:S104,U101:W104)</f>
        <v>Error</v>
      </c>
    </row>
    <row r="99" spans="2:23">
      <c r="B99" s="164" t="s">
        <v>118</v>
      </c>
    </row>
    <row r="100" spans="2:23">
      <c r="B100" s="164" t="s">
        <v>122</v>
      </c>
      <c r="E100" s="181" t="s">
        <v>112</v>
      </c>
      <c r="J100" s="57" t="s">
        <v>112</v>
      </c>
      <c r="O100" s="57" t="s">
        <v>112</v>
      </c>
    </row>
    <row r="101" spans="2:23">
      <c r="B101" s="164" t="s">
        <v>108</v>
      </c>
      <c r="E101" s="164" t="s">
        <v>108</v>
      </c>
      <c r="F101" s="164" t="s">
        <v>122</v>
      </c>
      <c r="G101" s="164" t="s">
        <v>108</v>
      </c>
      <c r="H101" s="164" t="s">
        <v>118</v>
      </c>
      <c r="J101" s="164" t="s">
        <v>108</v>
      </c>
      <c r="K101" s="164" t="s">
        <v>108</v>
      </c>
      <c r="L101" s="164" t="s">
        <v>108</v>
      </c>
      <c r="M101" s="164" t="s">
        <v>108</v>
      </c>
      <c r="O101" s="164" t="s">
        <v>108</v>
      </c>
      <c r="R101" s="164"/>
      <c r="S101" s="164" t="s">
        <v>108</v>
      </c>
      <c r="U101" s="164" t="s">
        <v>108</v>
      </c>
      <c r="V101" s="164" t="s">
        <v>108</v>
      </c>
      <c r="W101" s="164" t="s">
        <v>108</v>
      </c>
    </row>
    <row r="102" spans="2:23">
      <c r="J102" s="164" t="s">
        <v>108</v>
      </c>
      <c r="K102" s="164" t="s">
        <v>108</v>
      </c>
      <c r="L102" s="164" t="s">
        <v>108</v>
      </c>
      <c r="M102" s="164" t="s">
        <v>108</v>
      </c>
      <c r="S102" s="164" t="s">
        <v>108</v>
      </c>
      <c r="U102" s="164" t="s">
        <v>108</v>
      </c>
      <c r="V102" s="164" t="s">
        <v>108</v>
      </c>
      <c r="W102" s="164" t="s">
        <v>108</v>
      </c>
    </row>
    <row r="103" spans="2:23">
      <c r="J103" s="164" t="s">
        <v>108</v>
      </c>
      <c r="K103" s="164" t="s">
        <v>108</v>
      </c>
      <c r="L103" s="164" t="s">
        <v>122</v>
      </c>
      <c r="M103" s="164" t="s">
        <v>108</v>
      </c>
      <c r="O103" s="164" t="s">
        <v>108</v>
      </c>
      <c r="P103" s="164" t="s">
        <v>122</v>
      </c>
      <c r="Q103" s="164" t="s">
        <v>108</v>
      </c>
      <c r="S103" s="164" t="s">
        <v>108</v>
      </c>
      <c r="U103" s="164" t="s">
        <v>118</v>
      </c>
      <c r="V103" s="164" t="s">
        <v>108</v>
      </c>
      <c r="W103" s="164" t="s">
        <v>108</v>
      </c>
    </row>
    <row r="104" spans="2:23">
      <c r="C104" s="163"/>
      <c r="J104" s="164" t="s">
        <v>108</v>
      </c>
      <c r="K104" s="164" t="s">
        <v>108</v>
      </c>
      <c r="L104" s="164" t="s">
        <v>108</v>
      </c>
      <c r="M104" s="164" t="s">
        <v>118</v>
      </c>
      <c r="S104" s="164" t="s">
        <v>108</v>
      </c>
      <c r="U104" s="164" t="s">
        <v>108</v>
      </c>
      <c r="V104" s="164" t="s">
        <v>108</v>
      </c>
      <c r="W104" s="164" t="s">
        <v>108</v>
      </c>
    </row>
    <row r="107" spans="2:23" ht="18.75">
      <c r="B107" s="3" t="s">
        <v>98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>
      <c r="B109" s="50" t="s">
        <v>106</v>
      </c>
      <c r="C109" s="163" t="str" cm="1">
        <f t="array" aca="1" ref="C109" ca="1">_xll.d.TestUtils_And(C115,F115,K115,P115)</f>
        <v>Ok</v>
      </c>
    </row>
    <row r="111" spans="2:23">
      <c r="B111" t="s">
        <v>164</v>
      </c>
    </row>
    <row r="113" spans="2:23" ht="15.75">
      <c r="B113" s="4" t="s">
        <v>130</v>
      </c>
      <c r="C113" s="4"/>
      <c r="E113" s="4" t="s">
        <v>131</v>
      </c>
      <c r="F113" s="4"/>
      <c r="G113" s="4"/>
      <c r="H113" s="4"/>
      <c r="J113" s="4" t="s">
        <v>132</v>
      </c>
      <c r="K113" s="4"/>
      <c r="L113" s="4"/>
      <c r="M113" s="4"/>
      <c r="O113" s="4" t="s">
        <v>133</v>
      </c>
      <c r="P113" s="4"/>
      <c r="Q113" s="4"/>
      <c r="R113" s="4"/>
      <c r="S113" s="4"/>
      <c r="T113" s="4"/>
      <c r="U113" s="4"/>
      <c r="V113" s="4"/>
      <c r="W113" s="4"/>
    </row>
    <row r="115" spans="2:23">
      <c r="B115" s="50" t="s">
        <v>106</v>
      </c>
      <c r="C115" s="163" t="str" cm="1">
        <f t="array" aca="1" ref="C115" ca="1">_xll.d.TestUtils_IsTrue(C120="ERROR")</f>
        <v>Ok</v>
      </c>
      <c r="E115" s="50" t="s">
        <v>106</v>
      </c>
      <c r="F115" s="163" t="str" cm="1">
        <f t="array" aca="1" ref="F115" ca="1">_xll.d.TestUtils_IsTrue(E120="ERROR")</f>
        <v>Ok</v>
      </c>
      <c r="J115" s="50" t="s">
        <v>106</v>
      </c>
      <c r="K115" s="163" t="str" cm="1">
        <f t="array" aca="1" ref="K115" ca="1">_xll.d.TestUtils_IsTrue(J120="ERROR")</f>
        <v>Ok</v>
      </c>
      <c r="O115" s="50" t="s">
        <v>106</v>
      </c>
      <c r="P115" s="163" t="str" cm="1">
        <f t="array" aca="1" ref="P115" ca="1">_xll.d.TestUtils_IsTrue(O120="ERROR")</f>
        <v>Ok</v>
      </c>
    </row>
    <row r="117" spans="2:23">
      <c r="B117" s="180" t="s">
        <v>114</v>
      </c>
      <c r="C117" s="164" t="s">
        <v>155</v>
      </c>
      <c r="E117" s="180" t="s">
        <v>114</v>
      </c>
      <c r="F117" s="164" t="s">
        <v>155</v>
      </c>
      <c r="J117" s="180" t="s">
        <v>114</v>
      </c>
      <c r="K117" s="164" t="s">
        <v>155</v>
      </c>
      <c r="O117" s="180" t="s">
        <v>114</v>
      </c>
      <c r="P117" s="164" t="s">
        <v>155</v>
      </c>
    </row>
    <row r="118" spans="2:23">
      <c r="B118" s="164"/>
    </row>
    <row r="119" spans="2:23">
      <c r="B119" s="181" t="s">
        <v>112</v>
      </c>
      <c r="C119" s="181" t="s">
        <v>113</v>
      </c>
      <c r="E119" s="181" t="s">
        <v>113</v>
      </c>
      <c r="J119" s="181" t="s">
        <v>113</v>
      </c>
      <c r="O119" s="181" t="s">
        <v>113</v>
      </c>
    </row>
    <row r="120" spans="2:23">
      <c r="B120" s="164" t="s">
        <v>118</v>
      </c>
      <c r="C120" s="164" t="str" cm="1">
        <f t="array" aca="1" ref="C120" ca="1">_xll.d.TestUtils_Or(B120:B123)</f>
        <v>Error</v>
      </c>
      <c r="E120" s="164" t="str" cm="1">
        <f t="array" aca="1" ref="E120" ca="1">_xll.d.TestUtils_Or(E123:H123)</f>
        <v>Error</v>
      </c>
      <c r="J120" s="164" t="str" cm="1">
        <f t="array" aca="1" ref="J120" ca="1">_xll.d.TestUtils_Or(J123:M126)</f>
        <v>Error</v>
      </c>
      <c r="O120" s="164" t="str" cm="1">
        <f t="array" aca="1" ref="O120" ca="1">_xll.d.TestUtils_Or(O123,O125:Q125,S123:S126,U123:W126)</f>
        <v>Error</v>
      </c>
    </row>
    <row r="121" spans="2:23">
      <c r="B121" s="164" t="s">
        <v>118</v>
      </c>
    </row>
    <row r="122" spans="2:23">
      <c r="B122" s="164" t="s">
        <v>118</v>
      </c>
      <c r="E122" s="181" t="s">
        <v>112</v>
      </c>
      <c r="J122" s="57" t="s">
        <v>112</v>
      </c>
      <c r="O122" s="57" t="s">
        <v>112</v>
      </c>
    </row>
    <row r="123" spans="2:23">
      <c r="B123" s="164" t="s">
        <v>118</v>
      </c>
      <c r="E123" s="164" t="s">
        <v>118</v>
      </c>
      <c r="F123" s="164" t="s">
        <v>118</v>
      </c>
      <c r="G123" s="164" t="s">
        <v>118</v>
      </c>
      <c r="H123" s="164" t="s">
        <v>118</v>
      </c>
      <c r="J123" s="164" t="s">
        <v>118</v>
      </c>
      <c r="K123" s="164" t="s">
        <v>118</v>
      </c>
      <c r="L123" s="164" t="s">
        <v>118</v>
      </c>
      <c r="M123" s="164" t="s">
        <v>118</v>
      </c>
      <c r="O123" s="164" t="s">
        <v>118</v>
      </c>
      <c r="R123" s="164"/>
      <c r="S123" s="164" t="s">
        <v>118</v>
      </c>
      <c r="U123" s="164" t="s">
        <v>118</v>
      </c>
      <c r="V123" s="164" t="s">
        <v>118</v>
      </c>
      <c r="W123" s="164" t="s">
        <v>118</v>
      </c>
    </row>
    <row r="124" spans="2:23">
      <c r="J124" s="164" t="s">
        <v>118</v>
      </c>
      <c r="K124" s="164" t="s">
        <v>118</v>
      </c>
      <c r="L124" s="164" t="s">
        <v>118</v>
      </c>
      <c r="M124" s="164" t="s">
        <v>118</v>
      </c>
      <c r="S124" s="164" t="s">
        <v>118</v>
      </c>
      <c r="U124" s="164" t="s">
        <v>118</v>
      </c>
      <c r="V124" s="164" t="s">
        <v>118</v>
      </c>
      <c r="W124" s="164" t="s">
        <v>118</v>
      </c>
    </row>
    <row r="125" spans="2:23">
      <c r="J125" s="164" t="s">
        <v>118</v>
      </c>
      <c r="K125" s="164" t="s">
        <v>118</v>
      </c>
      <c r="L125" s="164" t="s">
        <v>118</v>
      </c>
      <c r="M125" s="164" t="s">
        <v>118</v>
      </c>
      <c r="O125" s="164" t="s">
        <v>118</v>
      </c>
      <c r="P125" s="164" t="s">
        <v>118</v>
      </c>
      <c r="Q125" s="164" t="s">
        <v>118</v>
      </c>
      <c r="S125" s="164" t="s">
        <v>118</v>
      </c>
      <c r="U125" s="164" t="s">
        <v>118</v>
      </c>
      <c r="V125" s="164" t="s">
        <v>118</v>
      </c>
      <c r="W125" s="164" t="s">
        <v>118</v>
      </c>
    </row>
    <row r="126" spans="2:23">
      <c r="C126" s="163"/>
      <c r="J126" s="164" t="s">
        <v>118</v>
      </c>
      <c r="K126" s="164" t="s">
        <v>118</v>
      </c>
      <c r="L126" s="164" t="s">
        <v>118</v>
      </c>
      <c r="M126" s="164" t="s">
        <v>118</v>
      </c>
      <c r="S126" s="164" t="s">
        <v>118</v>
      </c>
      <c r="U126" s="164" t="s">
        <v>118</v>
      </c>
      <c r="V126" s="164" t="s">
        <v>118</v>
      </c>
      <c r="W126" s="164" t="s">
        <v>118</v>
      </c>
    </row>
    <row r="129" spans="2:23" ht="18.75">
      <c r="B129" s="3" t="s">
        <v>100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>
      <c r="B131" s="50" t="s">
        <v>106</v>
      </c>
      <c r="C131" s="163" t="str" cm="1">
        <f t="array" aca="1" ref="C131" ca="1">_xll.d.TestUtils_And(C137,F137,K137,P137)</f>
        <v>Ok</v>
      </c>
    </row>
    <row r="133" spans="2:23">
      <c r="B133" t="s">
        <v>165</v>
      </c>
    </row>
    <row r="135" spans="2:23" ht="15.75">
      <c r="B135" s="4" t="s">
        <v>137</v>
      </c>
      <c r="C135" s="4"/>
      <c r="E135" s="4" t="s">
        <v>134</v>
      </c>
      <c r="F135" s="4"/>
      <c r="G135" s="4"/>
      <c r="H135" s="4"/>
      <c r="J135" s="4" t="s">
        <v>135</v>
      </c>
      <c r="K135" s="4"/>
      <c r="L135" s="4"/>
      <c r="M135" s="4"/>
      <c r="O135" s="4" t="s">
        <v>136</v>
      </c>
      <c r="P135" s="4"/>
      <c r="Q135" s="4"/>
      <c r="R135" s="4"/>
      <c r="S135" s="4"/>
      <c r="T135" s="4"/>
      <c r="U135" s="4"/>
      <c r="V135" s="4"/>
      <c r="W135" s="4"/>
    </row>
    <row r="137" spans="2:23">
      <c r="B137" s="50" t="s">
        <v>106</v>
      </c>
      <c r="C137" s="163" t="str" cm="1">
        <f t="array" aca="1" ref="C137" ca="1">_xll.d.TestUtils_IsTrue(C142="OK")</f>
        <v>Ok</v>
      </c>
      <c r="E137" s="50" t="s">
        <v>106</v>
      </c>
      <c r="F137" s="163" t="str" cm="1">
        <f t="array" aca="1" ref="F137" ca="1">_xll.d.TestUtils_IsTrue(E142="OK")</f>
        <v>Ok</v>
      </c>
      <c r="J137" s="50" t="s">
        <v>106</v>
      </c>
      <c r="K137" s="163" t="str" cm="1">
        <f t="array" aca="1" ref="K137" ca="1">_xll.d.TestUtils_IsTrue(J142="OK")</f>
        <v>Ok</v>
      </c>
      <c r="O137" s="50" t="s">
        <v>106</v>
      </c>
      <c r="P137" s="163" t="str" cm="1">
        <f t="array" aca="1" ref="P137" ca="1">_xll.d.TestUtils_IsTrue(O142="OK")</f>
        <v>Ok</v>
      </c>
    </row>
    <row r="139" spans="2:23">
      <c r="B139" s="180" t="s">
        <v>114</v>
      </c>
      <c r="C139" s="164" t="s">
        <v>155</v>
      </c>
      <c r="E139" s="180" t="s">
        <v>114</v>
      </c>
      <c r="F139" s="164" t="s">
        <v>155</v>
      </c>
      <c r="J139" s="180" t="s">
        <v>114</v>
      </c>
      <c r="K139" s="164" t="s">
        <v>155</v>
      </c>
      <c r="O139" s="180" t="s">
        <v>114</v>
      </c>
      <c r="P139" s="164" t="s">
        <v>155</v>
      </c>
    </row>
    <row r="140" spans="2:23">
      <c r="B140" s="164"/>
    </row>
    <row r="141" spans="2:23">
      <c r="B141" s="181" t="s">
        <v>112</v>
      </c>
      <c r="C141" s="181" t="s">
        <v>113</v>
      </c>
      <c r="E141" s="181" t="s">
        <v>113</v>
      </c>
      <c r="J141" s="181" t="s">
        <v>113</v>
      </c>
      <c r="O141" s="181" t="s">
        <v>113</v>
      </c>
    </row>
    <row r="142" spans="2:23">
      <c r="B142" s="164" t="s">
        <v>118</v>
      </c>
      <c r="C142" s="164" t="str" cm="1">
        <f t="array" aca="1" ref="C142" ca="1">_xll.d.TestUtils_Or(B142:B145)</f>
        <v>Ok</v>
      </c>
      <c r="E142" s="164" t="str" cm="1">
        <f t="array" aca="1" ref="E142" ca="1">_xll.d.TestUtils_Or(E145:H145)</f>
        <v>Ok</v>
      </c>
      <c r="J142" s="164" t="str" cm="1">
        <f t="array" aca="1" ref="J142" ca="1">_xll.d.TestUtils_Or(J145:M148)</f>
        <v>Ok</v>
      </c>
      <c r="O142" s="164" t="str" cm="1">
        <f t="array" aca="1" ref="O142" ca="1">_xll.d.TestUtils_Or(O145,O147:Q147,S145:S148,U145:W148)</f>
        <v>Ok</v>
      </c>
    </row>
    <row r="143" spans="2:23">
      <c r="B143" s="164" t="s">
        <v>118</v>
      </c>
    </row>
    <row r="144" spans="2:23">
      <c r="B144" s="164" t="s">
        <v>108</v>
      </c>
      <c r="E144" s="181" t="s">
        <v>112</v>
      </c>
      <c r="J144" s="57" t="s">
        <v>112</v>
      </c>
      <c r="O144" s="57" t="s">
        <v>112</v>
      </c>
    </row>
    <row r="145" spans="2:23">
      <c r="B145" s="164" t="s">
        <v>118</v>
      </c>
      <c r="E145" s="164" t="s">
        <v>118</v>
      </c>
      <c r="F145" s="164" t="s">
        <v>108</v>
      </c>
      <c r="G145" t="s">
        <v>118</v>
      </c>
      <c r="H145" s="164" t="s">
        <v>118</v>
      </c>
      <c r="J145" s="164" t="s">
        <v>118</v>
      </c>
      <c r="K145" s="164" t="s">
        <v>118</v>
      </c>
      <c r="L145" s="164" t="s">
        <v>118</v>
      </c>
      <c r="M145" s="164" t="s">
        <v>108</v>
      </c>
      <c r="O145" s="164" t="s">
        <v>118</v>
      </c>
      <c r="R145" s="164"/>
      <c r="S145" s="164" t="s">
        <v>118</v>
      </c>
      <c r="U145" s="164" t="s">
        <v>118</v>
      </c>
      <c r="V145" s="164" t="s">
        <v>118</v>
      </c>
      <c r="W145" s="164" t="s">
        <v>118</v>
      </c>
    </row>
    <row r="146" spans="2:23">
      <c r="J146" s="164" t="s">
        <v>118</v>
      </c>
      <c r="K146" s="164" t="s">
        <v>118</v>
      </c>
      <c r="L146" s="164" t="s">
        <v>118</v>
      </c>
      <c r="M146" s="164" t="s">
        <v>118</v>
      </c>
      <c r="S146" s="164" t="s">
        <v>118</v>
      </c>
      <c r="U146" s="164" t="s">
        <v>118</v>
      </c>
      <c r="V146" s="164" t="s">
        <v>118</v>
      </c>
      <c r="W146" s="164" t="s">
        <v>118</v>
      </c>
    </row>
    <row r="147" spans="2:23">
      <c r="J147" s="164" t="s">
        <v>118</v>
      </c>
      <c r="K147" s="164" t="s">
        <v>118</v>
      </c>
      <c r="L147" s="164" t="s">
        <v>118</v>
      </c>
      <c r="M147" s="164" t="s">
        <v>118</v>
      </c>
      <c r="O147" s="164" t="s">
        <v>118</v>
      </c>
      <c r="P147" s="164" t="s">
        <v>118</v>
      </c>
      <c r="Q147" s="164" t="s">
        <v>108</v>
      </c>
      <c r="S147" s="164" t="s">
        <v>118</v>
      </c>
      <c r="U147" s="164" t="s">
        <v>118</v>
      </c>
      <c r="V147" s="164" t="s">
        <v>118</v>
      </c>
      <c r="W147" s="164" t="s">
        <v>118</v>
      </c>
    </row>
    <row r="148" spans="2:23">
      <c r="J148" s="164" t="s">
        <v>118</v>
      </c>
      <c r="K148" s="164" t="s">
        <v>118</v>
      </c>
      <c r="L148" s="164" t="s">
        <v>118</v>
      </c>
      <c r="M148" s="164" t="s">
        <v>118</v>
      </c>
      <c r="S148" s="164" t="s">
        <v>108</v>
      </c>
      <c r="U148" s="164" t="s">
        <v>118</v>
      </c>
      <c r="V148" s="164" t="s">
        <v>118</v>
      </c>
      <c r="W148" s="164" t="s">
        <v>118</v>
      </c>
    </row>
    <row r="151" spans="2:23" ht="18.75">
      <c r="B151" s="3" t="s">
        <v>142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>
      <c r="B153" s="50" t="s">
        <v>106</v>
      </c>
      <c r="C153" s="163" t="str" cm="1">
        <f t="array" aca="1" ref="C153" ca="1">_xll.d.TestUtils_And(C159,F159,K159,P159)</f>
        <v>Ok</v>
      </c>
    </row>
    <row r="155" spans="2:23">
      <c r="B155" t="s">
        <v>166</v>
      </c>
    </row>
    <row r="157" spans="2:23" ht="15.75">
      <c r="B157" s="4" t="s">
        <v>143</v>
      </c>
      <c r="C157" s="4"/>
      <c r="E157" s="4" t="s">
        <v>144</v>
      </c>
      <c r="F157" s="4"/>
      <c r="G157" s="4"/>
      <c r="H157" s="4"/>
      <c r="J157" s="4" t="s">
        <v>145</v>
      </c>
      <c r="K157" s="4"/>
      <c r="L157" s="4"/>
      <c r="M157" s="4"/>
      <c r="O157" s="4" t="s">
        <v>146</v>
      </c>
      <c r="P157" s="4"/>
      <c r="Q157" s="4"/>
      <c r="R157" s="4"/>
      <c r="S157" s="4"/>
      <c r="T157" s="4"/>
      <c r="U157" s="4"/>
      <c r="V157" s="4"/>
      <c r="W157" s="4"/>
    </row>
    <row r="159" spans="2:23">
      <c r="B159" s="50" t="s">
        <v>106</v>
      </c>
      <c r="C159" s="163" t="str" cm="1">
        <f t="array" aca="1" ref="C159" ca="1">_xll.d.TestUtils_IsTrue(C164="WARNING")</f>
        <v>Ok</v>
      </c>
      <c r="E159" s="50" t="s">
        <v>106</v>
      </c>
      <c r="F159" s="163" t="str" cm="1">
        <f t="array" aca="1" ref="F159" ca="1">_xll.d.TestUtils_IsTrue(E164="WARNING")</f>
        <v>Ok</v>
      </c>
      <c r="J159" s="50" t="s">
        <v>106</v>
      </c>
      <c r="K159" s="163" t="str" cm="1">
        <f t="array" aca="1" ref="K159" ca="1">_xll.d.TestUtils_IsTrue(J164="WARNING")</f>
        <v>Ok</v>
      </c>
      <c r="O159" s="50" t="s">
        <v>106</v>
      </c>
      <c r="P159" s="163" t="str" cm="1">
        <f t="array" aca="1" ref="P159" ca="1">_xll.d.TestUtils_IsTrue(O164="WARNING")</f>
        <v>Ok</v>
      </c>
    </row>
    <row r="161" spans="2:23">
      <c r="B161" s="180" t="s">
        <v>114</v>
      </c>
      <c r="C161" s="164" t="s">
        <v>155</v>
      </c>
      <c r="E161" s="180" t="s">
        <v>114</v>
      </c>
      <c r="F161" s="164" t="s">
        <v>155</v>
      </c>
      <c r="J161" s="180" t="s">
        <v>114</v>
      </c>
      <c r="K161" s="164" t="s">
        <v>155</v>
      </c>
      <c r="O161" s="180" t="s">
        <v>114</v>
      </c>
      <c r="P161" s="164" t="s">
        <v>155</v>
      </c>
    </row>
    <row r="162" spans="2:23">
      <c r="B162" s="164"/>
    </row>
    <row r="163" spans="2:23">
      <c r="B163" s="181" t="s">
        <v>112</v>
      </c>
      <c r="C163" s="181" t="s">
        <v>113</v>
      </c>
      <c r="E163" s="181" t="s">
        <v>113</v>
      </c>
      <c r="J163" s="181" t="s">
        <v>113</v>
      </c>
      <c r="O163" s="181" t="s">
        <v>113</v>
      </c>
    </row>
    <row r="164" spans="2:23">
      <c r="B164" s="164" t="s">
        <v>118</v>
      </c>
      <c r="C164" s="164" t="str" cm="1">
        <f t="array" aca="1" ref="C164" ca="1">_xll.d.TestUtils_Or(B164:B167)</f>
        <v>Warning</v>
      </c>
      <c r="E164" s="164" t="str" cm="1">
        <f t="array" aca="1" ref="E164" ca="1">_xll.d.TestUtils_Or(E167:H167)</f>
        <v>Warning</v>
      </c>
      <c r="J164" s="164" t="str" cm="1">
        <f t="array" aca="1" ref="J164" ca="1">_xll.d.TestUtils_Or(J167:M170)</f>
        <v>Warning</v>
      </c>
      <c r="O164" s="164" t="str" cm="1">
        <f t="array" aca="1" ref="O164" ca="1">_xll.d.TestUtils_Or(O167,O169:Q169,S167:S170,U167:W170)</f>
        <v>Warning</v>
      </c>
    </row>
    <row r="165" spans="2:23">
      <c r="B165" s="164" t="s">
        <v>122</v>
      </c>
    </row>
    <row r="166" spans="2:23">
      <c r="B166" s="164" t="s">
        <v>118</v>
      </c>
      <c r="E166" s="181" t="s">
        <v>112</v>
      </c>
      <c r="J166" s="57" t="s">
        <v>112</v>
      </c>
      <c r="O166" s="57" t="s">
        <v>112</v>
      </c>
    </row>
    <row r="167" spans="2:23">
      <c r="B167" s="164" t="s">
        <v>118</v>
      </c>
      <c r="E167" s="164" t="s">
        <v>118</v>
      </c>
      <c r="F167" s="164" t="s">
        <v>118</v>
      </c>
      <c r="G167" s="164" t="s">
        <v>118</v>
      </c>
      <c r="H167" s="164" t="s">
        <v>122</v>
      </c>
      <c r="J167" s="164" t="s">
        <v>118</v>
      </c>
      <c r="K167" s="164" t="s">
        <v>118</v>
      </c>
      <c r="L167" s="164" t="s">
        <v>118</v>
      </c>
      <c r="M167" s="164" t="s">
        <v>118</v>
      </c>
      <c r="O167" s="164" t="s">
        <v>118</v>
      </c>
      <c r="R167" s="164"/>
      <c r="S167" s="164" t="s">
        <v>118</v>
      </c>
      <c r="U167" s="164" t="s">
        <v>118</v>
      </c>
      <c r="V167" s="164" t="s">
        <v>118</v>
      </c>
      <c r="W167" s="164" t="s">
        <v>118</v>
      </c>
    </row>
    <row r="168" spans="2:23">
      <c r="J168" s="164" t="s">
        <v>118</v>
      </c>
      <c r="K168" s="164" t="s">
        <v>118</v>
      </c>
      <c r="L168" s="164" t="s">
        <v>118</v>
      </c>
      <c r="M168" s="164" t="s">
        <v>118</v>
      </c>
      <c r="S168" s="164" t="s">
        <v>118</v>
      </c>
      <c r="U168" s="164" t="s">
        <v>118</v>
      </c>
      <c r="V168" s="164" t="s">
        <v>118</v>
      </c>
      <c r="W168" s="164" t="s">
        <v>118</v>
      </c>
    </row>
    <row r="169" spans="2:23">
      <c r="J169" s="164" t="s">
        <v>118</v>
      </c>
      <c r="K169" s="164" t="s">
        <v>122</v>
      </c>
      <c r="L169" s="164" t="s">
        <v>118</v>
      </c>
      <c r="M169" s="164" t="s">
        <v>118</v>
      </c>
      <c r="O169" s="164" t="s">
        <v>118</v>
      </c>
      <c r="P169" s="164" t="s">
        <v>118</v>
      </c>
      <c r="Q169" s="164" t="s">
        <v>122</v>
      </c>
      <c r="S169" s="164" t="s">
        <v>118</v>
      </c>
      <c r="U169" s="164" t="s">
        <v>118</v>
      </c>
      <c r="V169" s="164" t="s">
        <v>118</v>
      </c>
      <c r="W169" s="164" t="s">
        <v>118</v>
      </c>
    </row>
    <row r="170" spans="2:23">
      <c r="J170" s="164" t="s">
        <v>118</v>
      </c>
      <c r="K170" s="164" t="s">
        <v>118</v>
      </c>
      <c r="L170" s="164" t="s">
        <v>118</v>
      </c>
      <c r="M170" s="164" t="s">
        <v>118</v>
      </c>
      <c r="S170" s="164" t="s">
        <v>118</v>
      </c>
      <c r="U170" s="164" t="s">
        <v>118</v>
      </c>
      <c r="V170" s="164" t="s">
        <v>118</v>
      </c>
      <c r="W170" s="164" t="s">
        <v>118</v>
      </c>
    </row>
    <row r="173" spans="2:23" ht="18.75">
      <c r="B173" s="3" t="s">
        <v>147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>
      <c r="B175" s="50" t="s">
        <v>106</v>
      </c>
      <c r="C175" s="163" t="str" cm="1">
        <f t="array" aca="1" ref="C175" ca="1">_xll.d.TestUtils_And(C181,F181,K181,P181)</f>
        <v>Ok</v>
      </c>
    </row>
    <row r="177" spans="2:23">
      <c r="B177" t="s">
        <v>167</v>
      </c>
    </row>
    <row r="179" spans="2:23" ht="15.75">
      <c r="B179" s="4" t="s">
        <v>151</v>
      </c>
      <c r="C179" s="4"/>
      <c r="E179" s="4" t="s">
        <v>148</v>
      </c>
      <c r="F179" s="4"/>
      <c r="G179" s="4"/>
      <c r="H179" s="4"/>
      <c r="J179" s="4" t="s">
        <v>149</v>
      </c>
      <c r="K179" s="4"/>
      <c r="L179" s="4"/>
      <c r="M179" s="4"/>
      <c r="O179" s="4" t="s">
        <v>150</v>
      </c>
      <c r="P179" s="4"/>
      <c r="Q179" s="4"/>
      <c r="R179" s="4"/>
      <c r="S179" s="4"/>
      <c r="T179" s="4"/>
      <c r="U179" s="4"/>
      <c r="V179" s="4"/>
      <c r="W179" s="4"/>
    </row>
    <row r="181" spans="2:23">
      <c r="B181" s="50" t="s">
        <v>106</v>
      </c>
      <c r="C181" s="163" t="str" cm="1">
        <f t="array" aca="1" ref="C181" ca="1">_xll.d.TestUtils_IsTrue(C186="OK")</f>
        <v>Ok</v>
      </c>
      <c r="E181" s="50" t="s">
        <v>106</v>
      </c>
      <c r="F181" s="163" t="str" cm="1">
        <f t="array" aca="1" ref="F181" ca="1">_xll.d.TestUtils_IsTrue(E186="OK")</f>
        <v>Ok</v>
      </c>
      <c r="J181" s="50" t="s">
        <v>106</v>
      </c>
      <c r="K181" s="163" t="str" cm="1">
        <f t="array" aca="1" ref="K181" ca="1">_xll.d.TestUtils_IsTrue(J186="OK")</f>
        <v>Ok</v>
      </c>
      <c r="O181" s="50" t="s">
        <v>106</v>
      </c>
      <c r="P181" s="163" t="str" cm="1">
        <f t="array" aca="1" ref="P181" ca="1">_xll.d.TestUtils_IsTrue(O186="OK")</f>
        <v>Ok</v>
      </c>
    </row>
    <row r="183" spans="2:23">
      <c r="B183" s="180" t="s">
        <v>114</v>
      </c>
      <c r="C183" s="164" t="s">
        <v>155</v>
      </c>
      <c r="E183" s="180" t="s">
        <v>114</v>
      </c>
      <c r="F183" s="164" t="s">
        <v>155</v>
      </c>
      <c r="J183" s="180" t="s">
        <v>114</v>
      </c>
      <c r="K183" s="164" t="s">
        <v>155</v>
      </c>
      <c r="O183" s="180" t="s">
        <v>114</v>
      </c>
      <c r="P183" s="164" t="s">
        <v>155</v>
      </c>
    </row>
    <row r="184" spans="2:23">
      <c r="B184" s="164"/>
    </row>
    <row r="185" spans="2:23">
      <c r="B185" s="181" t="s">
        <v>112</v>
      </c>
      <c r="C185" s="181" t="s">
        <v>113</v>
      </c>
      <c r="E185" s="181" t="s">
        <v>113</v>
      </c>
      <c r="J185" s="181" t="s">
        <v>113</v>
      </c>
      <c r="O185" s="181" t="s">
        <v>113</v>
      </c>
    </row>
    <row r="186" spans="2:23">
      <c r="B186" s="164" t="s">
        <v>118</v>
      </c>
      <c r="C186" s="164" t="str" cm="1">
        <f t="array" aca="1" ref="C186" ca="1">_xll.d.TestUtils_Or(B186:B189)</f>
        <v>Ok</v>
      </c>
      <c r="E186" s="164" t="str" cm="1">
        <f t="array" aca="1" ref="E186" ca="1">_xll.d.TestUtils_Or(E189:H189)</f>
        <v>Ok</v>
      </c>
      <c r="J186" s="164" t="str" cm="1">
        <f t="array" aca="1" ref="J186" ca="1">_xll.d.TestUtils_Or(J189:M192)</f>
        <v>Ok</v>
      </c>
      <c r="O186" s="164" t="str" cm="1">
        <f t="array" aca="1" ref="O186" ca="1">_xll.d.TestUtils_Or(O189,O191:Q191,S189:S192,U189:W192)</f>
        <v>Ok</v>
      </c>
    </row>
    <row r="187" spans="2:23">
      <c r="B187" s="164" t="s">
        <v>122</v>
      </c>
    </row>
    <row r="188" spans="2:23">
      <c r="B188" s="164" t="s">
        <v>118</v>
      </c>
      <c r="E188" s="181" t="s">
        <v>112</v>
      </c>
      <c r="J188" s="57" t="s">
        <v>112</v>
      </c>
      <c r="O188" s="57" t="s">
        <v>112</v>
      </c>
    </row>
    <row r="189" spans="2:23">
      <c r="B189" s="164" t="s">
        <v>108</v>
      </c>
      <c r="E189" s="164" t="s">
        <v>118</v>
      </c>
      <c r="F189" s="164" t="s">
        <v>108</v>
      </c>
      <c r="G189" s="164" t="s">
        <v>118</v>
      </c>
      <c r="H189" s="164" t="s">
        <v>122</v>
      </c>
      <c r="J189" s="164" t="s">
        <v>118</v>
      </c>
      <c r="K189" s="164" t="s">
        <v>118</v>
      </c>
      <c r="L189" s="164" t="s">
        <v>118</v>
      </c>
      <c r="M189" s="164" t="s">
        <v>118</v>
      </c>
      <c r="O189" s="164" t="s">
        <v>118</v>
      </c>
      <c r="R189" s="164"/>
      <c r="S189" s="164" t="s">
        <v>118</v>
      </c>
      <c r="U189" s="164" t="s">
        <v>118</v>
      </c>
      <c r="V189" s="164" t="s">
        <v>118</v>
      </c>
      <c r="W189" s="164" t="s">
        <v>118</v>
      </c>
    </row>
    <row r="190" spans="2:23">
      <c r="J190" s="164" t="s">
        <v>118</v>
      </c>
      <c r="K190" s="164" t="s">
        <v>118</v>
      </c>
      <c r="L190" s="164" t="s">
        <v>108</v>
      </c>
      <c r="M190" s="164" t="s">
        <v>118</v>
      </c>
      <c r="S190" s="164" t="s">
        <v>118</v>
      </c>
      <c r="U190" s="164" t="s">
        <v>118</v>
      </c>
      <c r="V190" s="164" t="s">
        <v>108</v>
      </c>
      <c r="W190" s="164" t="s">
        <v>118</v>
      </c>
    </row>
    <row r="191" spans="2:23">
      <c r="J191" s="164" t="s">
        <v>118</v>
      </c>
      <c r="K191" s="164" t="s">
        <v>122</v>
      </c>
      <c r="L191" s="164" t="s">
        <v>118</v>
      </c>
      <c r="M191" s="164" t="s">
        <v>118</v>
      </c>
      <c r="O191" s="164" t="s">
        <v>118</v>
      </c>
      <c r="P191" s="164" t="s">
        <v>118</v>
      </c>
      <c r="Q191" s="164" t="s">
        <v>122</v>
      </c>
      <c r="S191" s="164" t="s">
        <v>118</v>
      </c>
      <c r="U191" s="164" t="s">
        <v>118</v>
      </c>
      <c r="V191" s="164" t="s">
        <v>118</v>
      </c>
      <c r="W191" s="164" t="s">
        <v>118</v>
      </c>
    </row>
    <row r="192" spans="2:23">
      <c r="J192" s="164" t="s">
        <v>118</v>
      </c>
      <c r="K192" s="164" t="s">
        <v>118</v>
      </c>
      <c r="L192" s="164" t="s">
        <v>118</v>
      </c>
      <c r="M192" s="164" t="s">
        <v>118</v>
      </c>
      <c r="S192" s="164" t="s">
        <v>118</v>
      </c>
      <c r="U192" s="164" t="s">
        <v>118</v>
      </c>
      <c r="V192" s="164" t="s">
        <v>118</v>
      </c>
      <c r="W192" s="164" t="s">
        <v>118</v>
      </c>
    </row>
    <row r="195" spans="2:23" ht="18.75">
      <c r="B195" s="3" t="s">
        <v>152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>
      <c r="B197" s="50" t="s">
        <v>106</v>
      </c>
      <c r="C197" s="163" t="str" cm="1">
        <f t="array" aca="1" ref="C197" ca="1">_xll.d.TestUtils_And(C203,F203,K203,P203)</f>
        <v>Ok</v>
      </c>
    </row>
    <row r="199" spans="2:23">
      <c r="B199" t="s">
        <v>168</v>
      </c>
    </row>
    <row r="201" spans="2:23" ht="15.75">
      <c r="B201" s="4" t="s">
        <v>156</v>
      </c>
      <c r="C201" s="4"/>
      <c r="E201" s="4" t="s">
        <v>157</v>
      </c>
      <c r="F201" s="4"/>
      <c r="G201" s="4"/>
      <c r="H201" s="4"/>
      <c r="J201" s="4" t="s">
        <v>158</v>
      </c>
      <c r="K201" s="4"/>
      <c r="L201" s="4"/>
      <c r="M201" s="4"/>
      <c r="O201" s="4" t="s">
        <v>159</v>
      </c>
      <c r="P201" s="4"/>
      <c r="Q201" s="4"/>
      <c r="R201" s="4"/>
      <c r="S201" s="4"/>
      <c r="T201" s="4"/>
      <c r="U201" s="4"/>
      <c r="V201" s="4"/>
      <c r="W201" s="4"/>
    </row>
    <row r="203" spans="2:23">
      <c r="B203" s="50" t="s">
        <v>106</v>
      </c>
      <c r="C203" s="163" t="str" cm="1">
        <f t="array" aca="1" ref="C203" ca="1">_xll.d.TestUtils_IsTrue(C208="OK")</f>
        <v>Ok</v>
      </c>
      <c r="E203" s="50" t="s">
        <v>106</v>
      </c>
      <c r="F203" s="163" t="str" cm="1">
        <f t="array" aca="1" ref="F203" ca="1">_xll.d.TestUtils_IsTrue(E208="OK")</f>
        <v>Ok</v>
      </c>
      <c r="J203" s="50" t="s">
        <v>106</v>
      </c>
      <c r="K203" s="163" t="str" cm="1">
        <f t="array" aca="1" ref="K203" ca="1">_xll.d.TestUtils_IsTrue(J208="OK")</f>
        <v>Ok</v>
      </c>
      <c r="O203" s="50" t="s">
        <v>106</v>
      </c>
      <c r="P203" s="163" t="str" cm="1">
        <f t="array" aca="1" ref="P203" ca="1">_xll.d.TestUtils_IsTrue(O208="OK")</f>
        <v>Ok</v>
      </c>
    </row>
    <row r="205" spans="2:23">
      <c r="B205" s="180" t="s">
        <v>114</v>
      </c>
      <c r="C205" s="164" t="s">
        <v>155</v>
      </c>
      <c r="E205" s="180" t="s">
        <v>114</v>
      </c>
      <c r="F205" s="164" t="s">
        <v>155</v>
      </c>
      <c r="J205" s="180" t="s">
        <v>114</v>
      </c>
      <c r="K205" s="164" t="s">
        <v>155</v>
      </c>
      <c r="O205" s="180" t="s">
        <v>114</v>
      </c>
      <c r="P205" s="164" t="s">
        <v>155</v>
      </c>
    </row>
    <row r="206" spans="2:23">
      <c r="B206" s="164"/>
    </row>
    <row r="207" spans="2:23">
      <c r="B207" s="181" t="s">
        <v>112</v>
      </c>
      <c r="C207" s="181" t="s">
        <v>113</v>
      </c>
      <c r="E207" s="181" t="s">
        <v>113</v>
      </c>
      <c r="J207" s="181" t="s">
        <v>113</v>
      </c>
      <c r="O207" s="181" t="s">
        <v>113</v>
      </c>
    </row>
    <row r="208" spans="2:23">
      <c r="B208" s="164" t="s">
        <v>118</v>
      </c>
      <c r="C208" s="164" t="str">
        <f t="array" aca="1" ref="C208:C211" ca="1">_xll.d.TestUtils_Not(B208:B211)</f>
        <v>Ok</v>
      </c>
      <c r="E208" s="164" t="str" cm="1">
        <f t="array" aca="1" ref="E208" ca="1">_xll.d.TestUtils_Or(E211:H211)</f>
        <v>Ok</v>
      </c>
      <c r="J208" s="164" t="str" cm="1">
        <f t="array" aca="1" ref="J208" ca="1">_xll.d.TestUtils_Or(J211:M214)</f>
        <v>Ok</v>
      </c>
      <c r="O208" s="164" t="str" cm="1">
        <f t="array" aca="1" ref="O208" ca="1">_xll.d.TestUtils_Or(O211,O213:Q213,S211:S214,U211:W214)</f>
        <v>Ok</v>
      </c>
    </row>
    <row r="209" spans="2:23">
      <c r="B209" s="164" t="s">
        <v>122</v>
      </c>
      <c r="C209" t="str">
        <f ca="1"/>
        <v>Warning</v>
      </c>
    </row>
    <row r="210" spans="2:23">
      <c r="B210" s="164" t="s">
        <v>118</v>
      </c>
      <c r="C210" t="str">
        <f ca="1"/>
        <v>Ok</v>
      </c>
      <c r="E210" s="181" t="s">
        <v>112</v>
      </c>
      <c r="J210" s="57" t="s">
        <v>112</v>
      </c>
      <c r="O210" s="57" t="s">
        <v>112</v>
      </c>
    </row>
    <row r="211" spans="2:23">
      <c r="B211" s="164" t="s">
        <v>108</v>
      </c>
      <c r="C211" t="str">
        <f ca="1"/>
        <v>Error</v>
      </c>
      <c r="E211" s="164" t="s">
        <v>118</v>
      </c>
      <c r="F211" s="164" t="s">
        <v>108</v>
      </c>
      <c r="G211" s="164" t="s">
        <v>118</v>
      </c>
      <c r="H211" s="164" t="s">
        <v>122</v>
      </c>
      <c r="J211" s="164" t="s">
        <v>118</v>
      </c>
      <c r="K211" s="164" t="s">
        <v>118</v>
      </c>
      <c r="L211" s="164" t="s">
        <v>118</v>
      </c>
      <c r="M211" s="164" t="s">
        <v>118</v>
      </c>
      <c r="O211" s="164" t="s">
        <v>118</v>
      </c>
      <c r="R211" s="164"/>
      <c r="S211" s="164" t="s">
        <v>118</v>
      </c>
      <c r="U211" s="164" t="s">
        <v>118</v>
      </c>
      <c r="V211" s="164" t="s">
        <v>118</v>
      </c>
      <c r="W211" s="164" t="s">
        <v>118</v>
      </c>
    </row>
    <row r="212" spans="2:23">
      <c r="J212" s="164" t="s">
        <v>118</v>
      </c>
      <c r="K212" s="164" t="s">
        <v>118</v>
      </c>
      <c r="L212" s="164" t="s">
        <v>108</v>
      </c>
      <c r="M212" s="164" t="s">
        <v>118</v>
      </c>
      <c r="S212" s="164" t="s">
        <v>118</v>
      </c>
      <c r="U212" s="164" t="s">
        <v>118</v>
      </c>
      <c r="V212" s="164" t="s">
        <v>108</v>
      </c>
      <c r="W212" s="164" t="s">
        <v>118</v>
      </c>
    </row>
    <row r="213" spans="2:23">
      <c r="J213" s="164" t="s">
        <v>118</v>
      </c>
      <c r="K213" s="164" t="s">
        <v>122</v>
      </c>
      <c r="L213" s="164" t="s">
        <v>118</v>
      </c>
      <c r="M213" s="164" t="s">
        <v>118</v>
      </c>
      <c r="O213" s="164" t="s">
        <v>118</v>
      </c>
      <c r="P213" s="164" t="s">
        <v>118</v>
      </c>
      <c r="Q213" s="164" t="s">
        <v>122</v>
      </c>
      <c r="S213" s="164" t="s">
        <v>118</v>
      </c>
      <c r="U213" s="164" t="s">
        <v>118</v>
      </c>
      <c r="V213" s="164" t="s">
        <v>118</v>
      </c>
      <c r="W213" s="164" t="s">
        <v>118</v>
      </c>
    </row>
    <row r="214" spans="2:23">
      <c r="J214" s="164" t="s">
        <v>118</v>
      </c>
      <c r="K214" s="164" t="s">
        <v>118</v>
      </c>
      <c r="L214" s="164" t="s">
        <v>118</v>
      </c>
      <c r="M214" s="164" t="s">
        <v>118</v>
      </c>
      <c r="S214" s="164" t="s">
        <v>118</v>
      </c>
      <c r="U214" s="164" t="s">
        <v>118</v>
      </c>
      <c r="V214" s="164" t="s">
        <v>118</v>
      </c>
      <c r="W214" s="164" t="s">
        <v>118</v>
      </c>
    </row>
    <row r="217" spans="2:23" ht="18.75">
      <c r="B217" s="3" t="s">
        <v>169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>
      <c r="B219" s="50" t="s">
        <v>106</v>
      </c>
      <c r="C219" s="163" t="str" cm="1">
        <f t="array" aca="1" ref="C219" ca="1">_xll.d.TestUtils_And(C225,F225,I225,L225)</f>
        <v>Ok</v>
      </c>
    </row>
    <row r="221" spans="2:23">
      <c r="B221" t="s">
        <v>174</v>
      </c>
    </row>
    <row r="223" spans="2:23" ht="15.75">
      <c r="B223" s="4" t="s">
        <v>170</v>
      </c>
      <c r="C223" s="4"/>
      <c r="E223" s="4" t="s">
        <v>171</v>
      </c>
      <c r="F223" s="4"/>
      <c r="H223" s="4" t="s">
        <v>172</v>
      </c>
      <c r="I223" s="4"/>
      <c r="K223" s="4" t="s">
        <v>173</v>
      </c>
      <c r="L223" s="4"/>
      <c r="N223" s="4" t="s">
        <v>177</v>
      </c>
      <c r="O223" s="4"/>
      <c r="Q223" s="4" t="s">
        <v>179</v>
      </c>
      <c r="R223" s="4"/>
      <c r="T223" s="4" t="s">
        <v>179</v>
      </c>
      <c r="U223" s="4"/>
    </row>
    <row r="225" spans="2:21">
      <c r="B225" s="50" t="s">
        <v>106</v>
      </c>
      <c r="C225" s="163" t="str" cm="1">
        <f t="array" aca="1" ref="C225" ca="1">_xll.d.TestUtils_IsTrue(C230="ERROR")</f>
        <v>Ok</v>
      </c>
      <c r="E225" s="50" t="s">
        <v>106</v>
      </c>
      <c r="F225" s="163" t="str" cm="1">
        <f t="array" aca="1" ref="F225" ca="1">_xll.d.TestUtils_IsTrue(F230="ERROR")</f>
        <v>Ok</v>
      </c>
      <c r="H225" s="50" t="s">
        <v>106</v>
      </c>
      <c r="I225" s="163" t="str" cm="1">
        <f t="array" aca="1" ref="I225" ca="1">_xll.d.TestUtils_IsTrue(_xll.d.TestUtils_Or(I230:I233)="ERROR")</f>
        <v>Ok</v>
      </c>
      <c r="K225" s="50" t="s">
        <v>106</v>
      </c>
      <c r="L225" s="163" t="str" cm="1">
        <f t="array" aca="1" ref="L225" ca="1">_xll.d.TestUtils_IsTrue(L230="ERROR")</f>
        <v>Ok</v>
      </c>
      <c r="N225" s="50" t="s">
        <v>106</v>
      </c>
      <c r="O225" s="163" t="str" cm="1">
        <f t="array" aca="1" ref="O225" ca="1">_xll.d.TestUtils_IsTrue(O230="ERROR")</f>
        <v>Ok</v>
      </c>
      <c r="Q225" s="50" t="s">
        <v>106</v>
      </c>
      <c r="R225" s="163" t="str" cm="1">
        <f t="array" aca="1" ref="R225" ca="1">_xll.d.TestUtils_IsTrue(R230="ERROR")</f>
        <v>Ok</v>
      </c>
      <c r="T225" s="50" t="s">
        <v>106</v>
      </c>
      <c r="U225" s="163" t="str" cm="1">
        <f t="array" aca="1" ref="U225" ca="1">_xll.d.TestUtils_IsTrue(U230="ERROR")</f>
        <v>Ok</v>
      </c>
    </row>
    <row r="227" spans="2:21">
      <c r="B227" s="180" t="s">
        <v>114</v>
      </c>
      <c r="C227" s="164" t="s">
        <v>154</v>
      </c>
      <c r="E227" s="180" t="s">
        <v>114</v>
      </c>
      <c r="F227" s="164" t="s">
        <v>155</v>
      </c>
      <c r="H227" s="180" t="s">
        <v>114</v>
      </c>
      <c r="I227" s="164" t="s">
        <v>175</v>
      </c>
      <c r="K227" s="180" t="s">
        <v>114</v>
      </c>
      <c r="L227" s="164" t="s">
        <v>176</v>
      </c>
      <c r="N227" s="180" t="s">
        <v>114</v>
      </c>
      <c r="O227" s="164" t="s">
        <v>178</v>
      </c>
      <c r="Q227" s="180" t="s">
        <v>114</v>
      </c>
      <c r="R227" s="164" t="s">
        <v>180</v>
      </c>
      <c r="T227" s="180" t="s">
        <v>114</v>
      </c>
      <c r="U227" s="164" t="s">
        <v>181</v>
      </c>
    </row>
    <row r="228" spans="2:21">
      <c r="B228" s="164"/>
    </row>
    <row r="229" spans="2:21">
      <c r="B229" s="181" t="s">
        <v>112</v>
      </c>
      <c r="C229" s="181" t="s">
        <v>113</v>
      </c>
      <c r="E229" s="181" t="s">
        <v>112</v>
      </c>
      <c r="F229" s="181" t="s">
        <v>113</v>
      </c>
      <c r="H229" s="181" t="s">
        <v>112</v>
      </c>
      <c r="I229" s="181" t="s">
        <v>113</v>
      </c>
      <c r="K229" s="181" t="s">
        <v>112</v>
      </c>
      <c r="L229" s="181" t="s">
        <v>113</v>
      </c>
      <c r="N229" s="181" t="s">
        <v>112</v>
      </c>
      <c r="O229" s="181" t="s">
        <v>113</v>
      </c>
      <c r="Q229" s="181" t="s">
        <v>112</v>
      </c>
      <c r="R229" s="181" t="s">
        <v>113</v>
      </c>
      <c r="T229" s="181" t="s">
        <v>112</v>
      </c>
      <c r="U229" s="181" t="s">
        <v>113</v>
      </c>
    </row>
    <row r="230" spans="2:21">
      <c r="B230" s="164" t="s">
        <v>108</v>
      </c>
      <c r="C230" s="164" t="str" cm="1">
        <f t="array" aca="1" ref="C230" ca="1">_xll.d.TestUtils_And(B230:B233)</f>
        <v>Error</v>
      </c>
      <c r="E230" s="164" t="s">
        <v>108</v>
      </c>
      <c r="F230" s="164" t="str" cm="1">
        <f t="array" aca="1" ref="F230" ca="1">_xll.d.TestUtils_Or(E230:E233)</f>
        <v>Error</v>
      </c>
      <c r="H230" s="164" t="s">
        <v>108</v>
      </c>
      <c r="I230" s="163" t="str">
        <f t="array" aca="1" ref="I230:I233" ca="1">_xll.d.TestUtils_Not(H230:H233)</f>
        <v>Error</v>
      </c>
      <c r="K230" s="164" t="e">
        <f ca="1">NA()</f>
        <v>#N/A</v>
      </c>
      <c r="L230" s="163" t="str" cm="1">
        <f t="array" aca="1" ref="L230" ca="1">_xll.d.TestUtils_IsTrue(K230)</f>
        <v>Error</v>
      </c>
      <c r="N230" s="164" t="e">
        <f ca="1">NA()</f>
        <v>#N/A</v>
      </c>
      <c r="O230" s="163" t="str" cm="1">
        <f t="array" aca="1" ref="O230" ca="1">_xll.d.TestUtils_IsFalse(N230)</f>
        <v>Error</v>
      </c>
      <c r="Q230" s="164">
        <v>10</v>
      </c>
      <c r="R230" s="163" t="str" cm="1">
        <f t="array" aca="1" ref="R230" ca="1">_xll.d.TestUtils_GreaterThan(Q230,Q231)</f>
        <v>Error</v>
      </c>
      <c r="T230" s="164">
        <v>10</v>
      </c>
      <c r="U230" s="163" t="str" cm="1">
        <f t="array" aca="1" ref="U230" ca="1">_xll.d.TestUtils_LessThan(T230,T231)</f>
        <v>Error</v>
      </c>
    </row>
    <row r="231" spans="2:21">
      <c r="B231" s="164" t="s">
        <v>122</v>
      </c>
      <c r="E231" s="164" t="s">
        <v>122</v>
      </c>
      <c r="H231" s="164" t="s">
        <v>122</v>
      </c>
      <c r="I231" s="163" t="str">
        <f ca="1"/>
        <v>Error</v>
      </c>
      <c r="K231" s="163"/>
      <c r="N231" s="163"/>
      <c r="Q231" t="e">
        <f ca="1">NA()</f>
        <v>#N/A</v>
      </c>
      <c r="T231" t="e">
        <f ca="1">NA()</f>
        <v>#N/A</v>
      </c>
    </row>
    <row r="232" spans="2:21">
      <c r="B232" s="164" t="e">
        <f ca="1">NA()</f>
        <v>#N/A</v>
      </c>
      <c r="E232" s="164" t="e">
        <f ca="1">NA()</f>
        <v>#N/A</v>
      </c>
      <c r="H232" s="164" t="e">
        <f ca="1">NA()</f>
        <v>#N/A</v>
      </c>
      <c r="I232" s="163" t="str">
        <f ca="1"/>
        <v>Error</v>
      </c>
      <c r="L232" s="163"/>
    </row>
    <row r="233" spans="2:21">
      <c r="B233" s="164" t="s">
        <v>108</v>
      </c>
      <c r="E233" s="164" t="s">
        <v>108</v>
      </c>
      <c r="F233" s="164"/>
      <c r="H233" s="164" t="s">
        <v>108</v>
      </c>
      <c r="I233" s="163" t="str">
        <f ca="1"/>
        <v>Error</v>
      </c>
      <c r="K233" s="164"/>
      <c r="L233" s="163"/>
    </row>
    <row r="234" spans="2:21">
      <c r="H234" s="164"/>
      <c r="I234" s="164"/>
    </row>
    <row r="235" spans="2:21">
      <c r="H235" s="164"/>
      <c r="I235" s="164"/>
      <c r="L235" s="164"/>
    </row>
    <row r="236" spans="2:21">
      <c r="H236" s="164"/>
      <c r="I236" s="164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>
      <c r="B1" s="399" t="s">
        <v>372</v>
      </c>
    </row>
    <row r="2" spans="2:56" ht="26.25">
      <c r="B2" s="2" t="s">
        <v>68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>
      <c r="B4" s="186" t="s">
        <v>141</v>
      </c>
      <c r="C4" s="187" t="str" cm="1">
        <f t="array" aca="1" ref="C4" ca="1">_xll.d.TestUtils_And(C7:C14)</f>
        <v>Ok</v>
      </c>
      <c r="E4" s="133" t="s">
        <v>96</v>
      </c>
      <c r="F4" s="50"/>
    </row>
    <row r="5" spans="2:56">
      <c r="E5" s="400" t="s">
        <v>435</v>
      </c>
      <c r="F5" s="401"/>
    </row>
    <row r="6" spans="2:56">
      <c r="B6" s="188" t="s">
        <v>9</v>
      </c>
      <c r="C6" s="189" t="s">
        <v>10</v>
      </c>
      <c r="E6" s="402" t="s">
        <v>434</v>
      </c>
      <c r="F6" s="130"/>
    </row>
    <row r="7" spans="2:56">
      <c r="B7" s="185" t="s">
        <v>89</v>
      </c>
      <c r="C7" s="163" t="str">
        <f ca="1">C24</f>
        <v>Ok</v>
      </c>
    </row>
    <row r="8" spans="2:56">
      <c r="B8" s="185" t="s">
        <v>91</v>
      </c>
      <c r="C8" s="163" t="str">
        <f ca="1">C48</f>
        <v>Ok</v>
      </c>
    </row>
    <row r="9" spans="2:56">
      <c r="B9" s="185" t="s">
        <v>92</v>
      </c>
      <c r="C9" s="163" t="str">
        <f ca="1">C72</f>
        <v>Ok</v>
      </c>
    </row>
    <row r="10" spans="2:56">
      <c r="B10" s="185" t="s">
        <v>95</v>
      </c>
      <c r="C10" s="163" t="str">
        <f ca="1">C108</f>
        <v>Ok</v>
      </c>
    </row>
    <row r="11" spans="2:56">
      <c r="B11" s="185" t="s">
        <v>98</v>
      </c>
      <c r="C11" s="163" t="str">
        <f ca="1">C144</f>
        <v>Ok</v>
      </c>
    </row>
    <row r="12" spans="2:56">
      <c r="B12" s="185" t="s">
        <v>100</v>
      </c>
      <c r="C12" s="163" t="str">
        <f ca="1">C166</f>
        <v>Ok</v>
      </c>
    </row>
    <row r="13" spans="2:56">
      <c r="B13" s="185" t="s">
        <v>142</v>
      </c>
      <c r="C13" s="163" t="str">
        <f ca="1">C186</f>
        <v>Ok</v>
      </c>
    </row>
    <row r="14" spans="2:56">
      <c r="B14" s="185" t="s">
        <v>147</v>
      </c>
      <c r="C14" s="163" t="str">
        <f ca="1">C203</f>
        <v>Ok</v>
      </c>
    </row>
    <row r="17" spans="2:72" s="54" customFormat="1">
      <c r="B17" s="581" t="s">
        <v>511</v>
      </c>
    </row>
    <row r="18" spans="2:72">
      <c r="B18" s="582" t="s">
        <v>517</v>
      </c>
    </row>
    <row r="19" spans="2:72">
      <c r="B19" s="582"/>
    </row>
    <row r="20" spans="2:72">
      <c r="B20" s="582" t="s">
        <v>512</v>
      </c>
    </row>
    <row r="22" spans="2:72" ht="18.75">
      <c r="B22" s="3" t="s">
        <v>89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>
      <c r="B24" s="50" t="s">
        <v>106</v>
      </c>
      <c r="C24" s="163" t="str" cm="1">
        <f t="array" aca="1" ref="C24" ca="1">_xll.d.TestUtils_And(BD39:BT43)</f>
        <v>Ok</v>
      </c>
    </row>
    <row r="26" spans="2:72">
      <c r="B26" s="50" t="s">
        <v>90</v>
      </c>
      <c r="C26" s="50" t="s">
        <v>30</v>
      </c>
    </row>
    <row r="27" spans="2:72">
      <c r="B27" s="80" t="s">
        <v>85</v>
      </c>
      <c r="C27" s="145" t="s">
        <v>102</v>
      </c>
    </row>
    <row r="28" spans="2:72">
      <c r="B28" s="74" t="s">
        <v>86</v>
      </c>
      <c r="C28" s="146" t="s">
        <v>0</v>
      </c>
    </row>
    <row r="29" spans="2:72">
      <c r="B29" s="76"/>
      <c r="C29" s="147" t="s">
        <v>87</v>
      </c>
    </row>
    <row r="30" spans="2:72">
      <c r="B30" s="78"/>
      <c r="C30" s="148" t="s">
        <v>88</v>
      </c>
    </row>
    <row r="31" spans="2:72">
      <c r="B31" s="144" t="s">
        <v>101</v>
      </c>
      <c r="C31" s="150">
        <v>2</v>
      </c>
    </row>
    <row r="32" spans="2:72">
      <c r="B32" s="144" t="s">
        <v>102</v>
      </c>
      <c r="C32" s="150">
        <v>0</v>
      </c>
    </row>
    <row r="33" spans="2:72">
      <c r="B33" s="128" t="s">
        <v>93</v>
      </c>
      <c r="C33" s="129"/>
    </row>
    <row r="35" spans="2:72">
      <c r="B35" t="s">
        <v>71</v>
      </c>
    </row>
    <row r="37" spans="2:72">
      <c r="B37" s="57" t="s">
        <v>70</v>
      </c>
      <c r="T37" s="57" t="s">
        <v>83</v>
      </c>
      <c r="AL37" s="57" t="s">
        <v>84</v>
      </c>
      <c r="BD37" s="57" t="s">
        <v>107</v>
      </c>
    </row>
    <row r="39" spans="2:72">
      <c r="B39" s="12" t="s">
        <v>73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5" t="s">
        <v>73</v>
      </c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L39" s="285" t="s">
        <v>73</v>
      </c>
      <c r="AM39" s="286"/>
      <c r="AN39" s="286"/>
      <c r="AO39" s="286"/>
      <c r="AP39" s="286"/>
      <c r="AQ39" s="286"/>
      <c r="AR39" s="286"/>
      <c r="AS39" s="286"/>
      <c r="AT39" s="286"/>
      <c r="AU39" s="286"/>
      <c r="AV39" s="286"/>
      <c r="AW39" s="286"/>
      <c r="AX39" s="286"/>
      <c r="AY39" s="286"/>
      <c r="AZ39" s="286"/>
      <c r="BA39" s="286"/>
      <c r="BB39" s="287"/>
      <c r="BD39" s="163" t="str" cm="1">
        <f t="array" aca="1" ref="BD39" ca="1">_xll.d.TestUtils_IsTrue(_xll.d.Formatting_Equal(B39,AL39))</f>
        <v>Ok</v>
      </c>
      <c r="BE39" s="163" t="str" cm="1">
        <f t="array" aca="1" ref="BE39" ca="1">_xll.d.TestUtils_IsTrue(_xll.d.Formatting_Equal(C39,AM39))</f>
        <v>Ok</v>
      </c>
      <c r="BF39" s="163" t="str" cm="1">
        <f t="array" aca="1" ref="BF39" ca="1">_xll.d.TestUtils_IsTrue(_xll.d.Formatting_Equal(D39,AN39))</f>
        <v>Ok</v>
      </c>
      <c r="BG39" s="163" t="str" cm="1">
        <f t="array" aca="1" ref="BG39" ca="1">_xll.d.TestUtils_IsTrue(_xll.d.Formatting_Equal(E39,AO39))</f>
        <v>Ok</v>
      </c>
      <c r="BH39" s="163" t="str" cm="1">
        <f t="array" aca="1" ref="BH39" ca="1">_xll.d.TestUtils_IsTrue(_xll.d.Formatting_Equal(F39,AP39))</f>
        <v>Ok</v>
      </c>
      <c r="BI39" s="163" t="str" cm="1">
        <f t="array" aca="1" ref="BI39" ca="1">_xll.d.TestUtils_IsTrue(_xll.d.Formatting_Equal(G39,AQ39))</f>
        <v>Ok</v>
      </c>
      <c r="BJ39" s="163" t="str" cm="1">
        <f t="array" aca="1" ref="BJ39" ca="1">_xll.d.TestUtils_IsTrue(_xll.d.Formatting_Equal(H39,AR39))</f>
        <v>Ok</v>
      </c>
      <c r="BK39" s="163" t="str" cm="1">
        <f t="array" aca="1" ref="BK39" ca="1">_xll.d.TestUtils_IsTrue(_xll.d.Formatting_Equal(I39,AS39))</f>
        <v>Ok</v>
      </c>
      <c r="BL39" s="163" t="str" cm="1">
        <f t="array" aca="1" ref="BL39" ca="1">_xll.d.TestUtils_IsTrue(_xll.d.Formatting_Equal(J39,AT39))</f>
        <v>Ok</v>
      </c>
      <c r="BM39" s="163" t="str" cm="1">
        <f t="array" aca="1" ref="BM39" ca="1">_xll.d.TestUtils_IsTrue(_xll.d.Formatting_Equal(K39,AU39))</f>
        <v>Ok</v>
      </c>
      <c r="BN39" s="163" t="str" cm="1">
        <f t="array" aca="1" ref="BN39" ca="1">_xll.d.TestUtils_IsTrue(_xll.d.Formatting_Equal(L39,AV39))</f>
        <v>Ok</v>
      </c>
      <c r="BO39" s="163" t="str" cm="1">
        <f t="array" aca="1" ref="BO39" ca="1">_xll.d.TestUtils_IsTrue(_xll.d.Formatting_Equal(M39,AW39))</f>
        <v>Ok</v>
      </c>
      <c r="BP39" s="163" t="str" cm="1">
        <f t="array" aca="1" ref="BP39" ca="1">_xll.d.TestUtils_IsTrue(_xll.d.Formatting_Equal(N39,AX39))</f>
        <v>Ok</v>
      </c>
      <c r="BQ39" s="163" t="str" cm="1">
        <f t="array" aca="1" ref="BQ39" ca="1">_xll.d.TestUtils_IsTrue(_xll.d.Formatting_Equal(O39,AY39))</f>
        <v>Ok</v>
      </c>
      <c r="BR39" s="163" t="str" cm="1">
        <f t="array" aca="1" ref="BR39" ca="1">_xll.d.TestUtils_IsTrue(_xll.d.Formatting_Equal(P39,AZ39))</f>
        <v>Ok</v>
      </c>
      <c r="BS39" s="163" t="str" cm="1">
        <f t="array" aca="1" ref="BS39" ca="1">_xll.d.TestUtils_IsTrue(_xll.d.Formatting_Equal(Q39,BA39))</f>
        <v>Ok</v>
      </c>
      <c r="BT39" s="163" t="str" cm="1">
        <f t="array" aca="1" ref="BT39" ca="1">_xll.d.TestUtils_IsTrue(_xll.d.Formatting_Equal(R39,BB39))</f>
        <v>Ok</v>
      </c>
    </row>
    <row r="40" spans="2:72">
      <c r="B40" s="61" t="s">
        <v>31</v>
      </c>
      <c r="C40" s="62" t="s">
        <v>0</v>
      </c>
      <c r="D40" s="62" t="s">
        <v>74</v>
      </c>
      <c r="E40" s="62" t="s">
        <v>75</v>
      </c>
      <c r="F40" s="62" t="s">
        <v>76</v>
      </c>
      <c r="G40" s="62" t="s">
        <v>77</v>
      </c>
      <c r="H40" s="62" t="s">
        <v>78</v>
      </c>
      <c r="I40" s="62" t="s">
        <v>62</v>
      </c>
      <c r="J40" s="62" t="s">
        <v>63</v>
      </c>
      <c r="K40" s="62" t="s">
        <v>64</v>
      </c>
      <c r="L40" s="62" t="s">
        <v>79</v>
      </c>
      <c r="M40" s="62" t="s">
        <v>23</v>
      </c>
      <c r="N40" s="62" t="s">
        <v>36</v>
      </c>
      <c r="O40" s="62" t="s">
        <v>80</v>
      </c>
      <c r="P40" s="62" t="s">
        <v>72</v>
      </c>
      <c r="Q40" s="62" t="s">
        <v>82</v>
      </c>
      <c r="R40" s="63" t="s">
        <v>81</v>
      </c>
      <c r="T40" s="135" t="s">
        <v>31</v>
      </c>
      <c r="U40" s="135" t="s">
        <v>0</v>
      </c>
      <c r="V40" s="135" t="s">
        <v>74</v>
      </c>
      <c r="W40" s="135" t="s">
        <v>75</v>
      </c>
      <c r="X40" s="135" t="s">
        <v>76</v>
      </c>
      <c r="Y40" s="135" t="s">
        <v>77</v>
      </c>
      <c r="Z40" s="135" t="s">
        <v>78</v>
      </c>
      <c r="AA40" s="135" t="s">
        <v>62</v>
      </c>
      <c r="AB40" s="135" t="s">
        <v>63</v>
      </c>
      <c r="AC40" s="135" t="s">
        <v>64</v>
      </c>
      <c r="AD40" s="135" t="s">
        <v>79</v>
      </c>
      <c r="AE40" s="135" t="s">
        <v>23</v>
      </c>
      <c r="AF40" s="135" t="s">
        <v>36</v>
      </c>
      <c r="AG40" s="135" t="s">
        <v>80</v>
      </c>
      <c r="AH40" s="135" t="s">
        <v>72</v>
      </c>
      <c r="AI40" s="135" t="s">
        <v>82</v>
      </c>
      <c r="AJ40" s="135" t="s">
        <v>81</v>
      </c>
      <c r="AL40" s="313" t="s">
        <v>31</v>
      </c>
      <c r="AM40" s="615" t="s">
        <v>0</v>
      </c>
      <c r="AN40" s="615" t="s">
        <v>74</v>
      </c>
      <c r="AO40" s="615" t="s">
        <v>75</v>
      </c>
      <c r="AP40" s="615" t="s">
        <v>76</v>
      </c>
      <c r="AQ40" s="615" t="s">
        <v>77</v>
      </c>
      <c r="AR40" s="615" t="s">
        <v>78</v>
      </c>
      <c r="AS40" s="615" t="s">
        <v>62</v>
      </c>
      <c r="AT40" s="615" t="s">
        <v>63</v>
      </c>
      <c r="AU40" s="615" t="s">
        <v>64</v>
      </c>
      <c r="AV40" s="615" t="s">
        <v>79</v>
      </c>
      <c r="AW40" s="615" t="s">
        <v>23</v>
      </c>
      <c r="AX40" s="615" t="s">
        <v>36</v>
      </c>
      <c r="AY40" s="615" t="s">
        <v>80</v>
      </c>
      <c r="AZ40" s="615" t="s">
        <v>72</v>
      </c>
      <c r="BA40" s="615" t="s">
        <v>82</v>
      </c>
      <c r="BB40" s="616" t="s">
        <v>81</v>
      </c>
      <c r="BD40" s="163" t="str" cm="1">
        <f t="array" aca="1" ref="BD40" ca="1">_xll.d.TestUtils_IsTrue(_xll.d.Formatting_Equal(B40,AL40))</f>
        <v>Ok</v>
      </c>
      <c r="BE40" s="163" t="str" cm="1">
        <f t="array" aca="1" ref="BE40" ca="1">_xll.d.TestUtils_IsTrue(_xll.d.Formatting_Equal(C40,AM40))</f>
        <v>Ok</v>
      </c>
      <c r="BF40" s="163" t="str" cm="1">
        <f t="array" aca="1" ref="BF40" ca="1">_xll.d.TestUtils_IsTrue(_xll.d.Formatting_Equal(D40,AN40))</f>
        <v>Ok</v>
      </c>
      <c r="BG40" s="163" t="str" cm="1">
        <f t="array" aca="1" ref="BG40" ca="1">_xll.d.TestUtils_IsTrue(_xll.d.Formatting_Equal(E40,AO40))</f>
        <v>Ok</v>
      </c>
      <c r="BH40" s="163" t="str" cm="1">
        <f t="array" aca="1" ref="BH40" ca="1">_xll.d.TestUtils_IsTrue(_xll.d.Formatting_Equal(F40,AP40))</f>
        <v>Ok</v>
      </c>
      <c r="BI40" s="163" t="str" cm="1">
        <f t="array" aca="1" ref="BI40" ca="1">_xll.d.TestUtils_IsTrue(_xll.d.Formatting_Equal(G40,AQ40))</f>
        <v>Ok</v>
      </c>
      <c r="BJ40" s="163" t="str" cm="1">
        <f t="array" aca="1" ref="BJ40" ca="1">_xll.d.TestUtils_IsTrue(_xll.d.Formatting_Equal(H40,AR40))</f>
        <v>Ok</v>
      </c>
      <c r="BK40" s="163" t="str" cm="1">
        <f t="array" aca="1" ref="BK40" ca="1">_xll.d.TestUtils_IsTrue(_xll.d.Formatting_Equal(I40,AS40))</f>
        <v>Ok</v>
      </c>
      <c r="BL40" s="163" t="str" cm="1">
        <f t="array" aca="1" ref="BL40" ca="1">_xll.d.TestUtils_IsTrue(_xll.d.Formatting_Equal(J40,AT40))</f>
        <v>Ok</v>
      </c>
      <c r="BM40" s="163" t="str" cm="1">
        <f t="array" aca="1" ref="BM40" ca="1">_xll.d.TestUtils_IsTrue(_xll.d.Formatting_Equal(K40,AU40))</f>
        <v>Ok</v>
      </c>
      <c r="BN40" s="163" t="str" cm="1">
        <f t="array" aca="1" ref="BN40" ca="1">_xll.d.TestUtils_IsTrue(_xll.d.Formatting_Equal(L40,AV40))</f>
        <v>Ok</v>
      </c>
      <c r="BO40" s="163" t="str" cm="1">
        <f t="array" aca="1" ref="BO40" ca="1">_xll.d.TestUtils_IsTrue(_xll.d.Formatting_Equal(M40,AW40))</f>
        <v>Ok</v>
      </c>
      <c r="BP40" s="163" t="str" cm="1">
        <f t="array" aca="1" ref="BP40" ca="1">_xll.d.TestUtils_IsTrue(_xll.d.Formatting_Equal(N40,AX40))</f>
        <v>Ok</v>
      </c>
      <c r="BQ40" s="163" t="str" cm="1">
        <f t="array" aca="1" ref="BQ40" ca="1">_xll.d.TestUtils_IsTrue(_xll.d.Formatting_Equal(O40,AY40))</f>
        <v>Ok</v>
      </c>
      <c r="BR40" s="163" t="str" cm="1">
        <f t="array" aca="1" ref="BR40" ca="1">_xll.d.TestUtils_IsTrue(_xll.d.Formatting_Equal(P40,AZ40))</f>
        <v>Ok</v>
      </c>
      <c r="BS40" s="163" t="str" cm="1">
        <f t="array" aca="1" ref="BS40" ca="1">_xll.d.TestUtils_IsTrue(_xll.d.Formatting_Equal(Q40,BA40))</f>
        <v>Ok</v>
      </c>
      <c r="BT40" s="163" t="str" cm="1">
        <f t="array" aca="1" ref="BT40" ca="1">_xll.d.TestUtils_IsTrue(_xll.d.Formatting_Equal(R40,BB40))</f>
        <v>Ok</v>
      </c>
    </row>
    <row r="41" spans="2:72">
      <c r="B41" s="110">
        <v>44562</v>
      </c>
      <c r="C41" s="113">
        <v>44562</v>
      </c>
      <c r="D41" s="92">
        <v>1000</v>
      </c>
      <c r="E41" s="95">
        <v>1000</v>
      </c>
      <c r="F41" s="98">
        <v>1000</v>
      </c>
      <c r="G41" s="101">
        <v>1000</v>
      </c>
      <c r="H41" s="104">
        <v>0.3</v>
      </c>
      <c r="I41" s="104">
        <v>0.3</v>
      </c>
      <c r="J41" s="104">
        <v>0.3</v>
      </c>
      <c r="K41" s="104">
        <v>0.3</v>
      </c>
      <c r="L41" s="104">
        <v>0.3</v>
      </c>
      <c r="M41" s="104">
        <v>0.3</v>
      </c>
      <c r="N41" s="104">
        <v>0.3</v>
      </c>
      <c r="O41" s="104">
        <v>0.3</v>
      </c>
      <c r="P41" s="104">
        <v>0.3</v>
      </c>
      <c r="Q41" s="104">
        <v>0.3</v>
      </c>
      <c r="R41" s="107">
        <v>0.3</v>
      </c>
      <c r="T41" s="135">
        <v>44562</v>
      </c>
      <c r="U41" s="135">
        <v>44562</v>
      </c>
      <c r="V41" s="135">
        <v>1000</v>
      </c>
      <c r="W41" s="135">
        <v>1000</v>
      </c>
      <c r="X41" s="135">
        <v>1000</v>
      </c>
      <c r="Y41" s="135">
        <v>1000</v>
      </c>
      <c r="Z41" s="135">
        <v>0.3</v>
      </c>
      <c r="AA41" s="135">
        <v>0.3</v>
      </c>
      <c r="AB41" s="135">
        <v>0.3</v>
      </c>
      <c r="AC41" s="135">
        <v>0.3</v>
      </c>
      <c r="AD41" s="135">
        <v>0.3</v>
      </c>
      <c r="AE41" s="135">
        <v>0.3</v>
      </c>
      <c r="AF41" s="135">
        <v>0.3</v>
      </c>
      <c r="AG41" s="135">
        <v>0.3</v>
      </c>
      <c r="AH41" s="135">
        <v>0.3</v>
      </c>
      <c r="AI41" s="135">
        <v>0.3</v>
      </c>
      <c r="AJ41" s="135">
        <v>0.3</v>
      </c>
      <c r="AL41" s="159">
        <v>44562</v>
      </c>
      <c r="AM41" s="161">
        <v>44562</v>
      </c>
      <c r="AN41" s="678">
        <v>1000</v>
      </c>
      <c r="AO41" s="680">
        <v>1000</v>
      </c>
      <c r="AP41" s="682">
        <v>1000</v>
      </c>
      <c r="AQ41" s="684">
        <v>1000</v>
      </c>
      <c r="AR41" s="686">
        <v>0.3</v>
      </c>
      <c r="AS41" s="686">
        <v>0.3</v>
      </c>
      <c r="AT41" s="686">
        <v>0.3</v>
      </c>
      <c r="AU41" s="686">
        <v>0.3</v>
      </c>
      <c r="AV41" s="686">
        <v>0.3</v>
      </c>
      <c r="AW41" s="686">
        <v>0.3</v>
      </c>
      <c r="AX41" s="686">
        <v>0.3</v>
      </c>
      <c r="AY41" s="686">
        <v>0.3</v>
      </c>
      <c r="AZ41" s="686">
        <v>0.3</v>
      </c>
      <c r="BA41" s="686">
        <v>0.3</v>
      </c>
      <c r="BB41" s="687">
        <v>0.3</v>
      </c>
      <c r="BD41" s="163" t="str" cm="1">
        <f t="array" aca="1" ref="BD41" ca="1">_xll.d.TestUtils_IsTrue(_xll.d.Formatting_Equal(B41,AL41))</f>
        <v>Ok</v>
      </c>
      <c r="BE41" s="163" t="str" cm="1">
        <f t="array" aca="1" ref="BE41" ca="1">_xll.d.TestUtils_IsTrue(_xll.d.Formatting_Equal(C41,AM41))</f>
        <v>Ok</v>
      </c>
      <c r="BF41" s="163" t="str" cm="1">
        <f t="array" aca="1" ref="BF41" ca="1">_xll.d.TestUtils_IsTrue(_xll.d.Formatting_Equal(D41,AN41))</f>
        <v>Ok</v>
      </c>
      <c r="BG41" s="163" t="str" cm="1">
        <f t="array" aca="1" ref="BG41" ca="1">_xll.d.TestUtils_IsTrue(_xll.d.Formatting_Equal(E41,AO41))</f>
        <v>Ok</v>
      </c>
      <c r="BH41" s="163" t="str" cm="1">
        <f t="array" aca="1" ref="BH41" ca="1">_xll.d.TestUtils_IsTrue(_xll.d.Formatting_Equal(F41,AP41))</f>
        <v>Ok</v>
      </c>
      <c r="BI41" s="163" t="str" cm="1">
        <f t="array" aca="1" ref="BI41" ca="1">_xll.d.TestUtils_IsTrue(_xll.d.Formatting_Equal(G41,AQ41))</f>
        <v>Ok</v>
      </c>
      <c r="BJ41" s="163" t="str" cm="1">
        <f t="array" aca="1" ref="BJ41" ca="1">_xll.d.TestUtils_IsTrue(_xll.d.Formatting_Equal(H41,AR41))</f>
        <v>Ok</v>
      </c>
      <c r="BK41" s="163" t="str" cm="1">
        <f t="array" aca="1" ref="BK41" ca="1">_xll.d.TestUtils_IsTrue(_xll.d.Formatting_Equal(I41,AS41))</f>
        <v>Ok</v>
      </c>
      <c r="BL41" s="163" t="str" cm="1">
        <f t="array" aca="1" ref="BL41" ca="1">_xll.d.TestUtils_IsTrue(_xll.d.Formatting_Equal(J41,AT41))</f>
        <v>Ok</v>
      </c>
      <c r="BM41" s="163" t="str" cm="1">
        <f t="array" aca="1" ref="BM41" ca="1">_xll.d.TestUtils_IsTrue(_xll.d.Formatting_Equal(K41,AU41))</f>
        <v>Ok</v>
      </c>
      <c r="BN41" s="163" t="str" cm="1">
        <f t="array" aca="1" ref="BN41" ca="1">_xll.d.TestUtils_IsTrue(_xll.d.Formatting_Equal(L41,AV41))</f>
        <v>Ok</v>
      </c>
      <c r="BO41" s="163" t="str" cm="1">
        <f t="array" aca="1" ref="BO41" ca="1">_xll.d.TestUtils_IsTrue(_xll.d.Formatting_Equal(M41,AW41))</f>
        <v>Ok</v>
      </c>
      <c r="BP41" s="163" t="str" cm="1">
        <f t="array" aca="1" ref="BP41" ca="1">_xll.d.TestUtils_IsTrue(_xll.d.Formatting_Equal(N41,AX41))</f>
        <v>Ok</v>
      </c>
      <c r="BQ41" s="163" t="str" cm="1">
        <f t="array" aca="1" ref="BQ41" ca="1">_xll.d.TestUtils_IsTrue(_xll.d.Formatting_Equal(O41,AY41))</f>
        <v>Ok</v>
      </c>
      <c r="BR41" s="163" t="str" cm="1">
        <f t="array" aca="1" ref="BR41" ca="1">_xll.d.TestUtils_IsTrue(_xll.d.Formatting_Equal(P41,AZ41))</f>
        <v>Ok</v>
      </c>
      <c r="BS41" s="163" t="str" cm="1">
        <f t="array" aca="1" ref="BS41" ca="1">_xll.d.TestUtils_IsTrue(_xll.d.Formatting_Equal(Q41,BA41))</f>
        <v>Ok</v>
      </c>
      <c r="BT41" s="163" t="str" cm="1">
        <f t="array" aca="1" ref="BT41" ca="1">_xll.d.TestUtils_IsTrue(_xll.d.Formatting_Equal(R41,BB41))</f>
        <v>Ok</v>
      </c>
    </row>
    <row r="42" spans="2:72">
      <c r="B42" s="111">
        <v>44593</v>
      </c>
      <c r="C42" s="114">
        <v>44593</v>
      </c>
      <c r="D42" s="93">
        <v>2000</v>
      </c>
      <c r="E42" s="96">
        <v>2000</v>
      </c>
      <c r="F42" s="99">
        <v>2000</v>
      </c>
      <c r="G42" s="102">
        <v>2000</v>
      </c>
      <c r="H42" s="105">
        <v>0.4</v>
      </c>
      <c r="I42" s="105">
        <v>0.4</v>
      </c>
      <c r="J42" s="105">
        <v>0.4</v>
      </c>
      <c r="K42" s="105">
        <v>0.4</v>
      </c>
      <c r="L42" s="105">
        <v>0.4</v>
      </c>
      <c r="M42" s="105">
        <v>0.4</v>
      </c>
      <c r="N42" s="105">
        <v>0.4</v>
      </c>
      <c r="O42" s="105">
        <v>0.4</v>
      </c>
      <c r="P42" s="105">
        <v>0.4</v>
      </c>
      <c r="Q42" s="105">
        <v>0.4</v>
      </c>
      <c r="R42" s="108">
        <v>0.4</v>
      </c>
      <c r="T42" s="135">
        <v>44593</v>
      </c>
      <c r="U42" s="135">
        <v>44593</v>
      </c>
      <c r="V42" s="135">
        <v>2000</v>
      </c>
      <c r="W42" s="135">
        <v>2000</v>
      </c>
      <c r="X42" s="135">
        <v>2000</v>
      </c>
      <c r="Y42" s="135">
        <v>2000</v>
      </c>
      <c r="Z42" s="135">
        <v>0.4</v>
      </c>
      <c r="AA42" s="135">
        <v>0.4</v>
      </c>
      <c r="AB42" s="135">
        <v>0.4</v>
      </c>
      <c r="AC42" s="135">
        <v>0.4</v>
      </c>
      <c r="AD42" s="135">
        <v>0.4</v>
      </c>
      <c r="AE42" s="135">
        <v>0.4</v>
      </c>
      <c r="AF42" s="135">
        <v>0.4</v>
      </c>
      <c r="AG42" s="135">
        <v>0.4</v>
      </c>
      <c r="AH42" s="135">
        <v>0.4</v>
      </c>
      <c r="AI42" s="135">
        <v>0.4</v>
      </c>
      <c r="AJ42" s="135">
        <v>0.4</v>
      </c>
      <c r="AL42" s="160">
        <v>44593</v>
      </c>
      <c r="AM42" s="162">
        <v>44593</v>
      </c>
      <c r="AN42" s="151">
        <v>2000</v>
      </c>
      <c r="AO42" s="152">
        <v>2000</v>
      </c>
      <c r="AP42" s="153">
        <v>2000</v>
      </c>
      <c r="AQ42" s="154">
        <v>2000</v>
      </c>
      <c r="AR42" s="155">
        <v>0.4</v>
      </c>
      <c r="AS42" s="155">
        <v>0.4</v>
      </c>
      <c r="AT42" s="155">
        <v>0.4</v>
      </c>
      <c r="AU42" s="155">
        <v>0.4</v>
      </c>
      <c r="AV42" s="155">
        <v>0.4</v>
      </c>
      <c r="AW42" s="155">
        <v>0.4</v>
      </c>
      <c r="AX42" s="155">
        <v>0.4</v>
      </c>
      <c r="AY42" s="155">
        <v>0.4</v>
      </c>
      <c r="AZ42" s="155">
        <v>0.4</v>
      </c>
      <c r="BA42" s="155">
        <v>0.4</v>
      </c>
      <c r="BB42" s="157">
        <v>0.4</v>
      </c>
      <c r="BD42" s="163" t="str" cm="1">
        <f t="array" aca="1" ref="BD42" ca="1">_xll.d.TestUtils_IsTrue(_xll.d.Formatting_Equal(B42,AL42))</f>
        <v>Ok</v>
      </c>
      <c r="BE42" s="163" t="str" cm="1">
        <f t="array" aca="1" ref="BE42" ca="1">_xll.d.TestUtils_IsTrue(_xll.d.Formatting_Equal(C42,AM42))</f>
        <v>Ok</v>
      </c>
      <c r="BF42" s="163" t="str" cm="1">
        <f t="array" aca="1" ref="BF42" ca="1">_xll.d.TestUtils_IsTrue(_xll.d.Formatting_Equal(D42,AN42))</f>
        <v>Ok</v>
      </c>
      <c r="BG42" s="163" t="str" cm="1">
        <f t="array" aca="1" ref="BG42" ca="1">_xll.d.TestUtils_IsTrue(_xll.d.Formatting_Equal(E42,AO42))</f>
        <v>Ok</v>
      </c>
      <c r="BH42" s="163" t="str" cm="1">
        <f t="array" aca="1" ref="BH42" ca="1">_xll.d.TestUtils_IsTrue(_xll.d.Formatting_Equal(F42,AP42))</f>
        <v>Ok</v>
      </c>
      <c r="BI42" s="163" t="str" cm="1">
        <f t="array" aca="1" ref="BI42" ca="1">_xll.d.TestUtils_IsTrue(_xll.d.Formatting_Equal(G42,AQ42))</f>
        <v>Ok</v>
      </c>
      <c r="BJ42" s="163" t="str" cm="1">
        <f t="array" aca="1" ref="BJ42" ca="1">_xll.d.TestUtils_IsTrue(_xll.d.Formatting_Equal(H42,AR42))</f>
        <v>Ok</v>
      </c>
      <c r="BK42" s="163" t="str" cm="1">
        <f t="array" aca="1" ref="BK42" ca="1">_xll.d.TestUtils_IsTrue(_xll.d.Formatting_Equal(I42,AS42))</f>
        <v>Ok</v>
      </c>
      <c r="BL42" s="163" t="str" cm="1">
        <f t="array" aca="1" ref="BL42" ca="1">_xll.d.TestUtils_IsTrue(_xll.d.Formatting_Equal(J42,AT42))</f>
        <v>Ok</v>
      </c>
      <c r="BM42" s="163" t="str" cm="1">
        <f t="array" aca="1" ref="BM42" ca="1">_xll.d.TestUtils_IsTrue(_xll.d.Formatting_Equal(K42,AU42))</f>
        <v>Ok</v>
      </c>
      <c r="BN42" s="163" t="str" cm="1">
        <f t="array" aca="1" ref="BN42" ca="1">_xll.d.TestUtils_IsTrue(_xll.d.Formatting_Equal(L42,AV42))</f>
        <v>Ok</v>
      </c>
      <c r="BO42" s="163" t="str" cm="1">
        <f t="array" aca="1" ref="BO42" ca="1">_xll.d.TestUtils_IsTrue(_xll.d.Formatting_Equal(M42,AW42))</f>
        <v>Ok</v>
      </c>
      <c r="BP42" s="163" t="str" cm="1">
        <f t="array" aca="1" ref="BP42" ca="1">_xll.d.TestUtils_IsTrue(_xll.d.Formatting_Equal(N42,AX42))</f>
        <v>Ok</v>
      </c>
      <c r="BQ42" s="163" t="str" cm="1">
        <f t="array" aca="1" ref="BQ42" ca="1">_xll.d.TestUtils_IsTrue(_xll.d.Formatting_Equal(O42,AY42))</f>
        <v>Ok</v>
      </c>
      <c r="BR42" s="163" t="str" cm="1">
        <f t="array" aca="1" ref="BR42" ca="1">_xll.d.TestUtils_IsTrue(_xll.d.Formatting_Equal(P42,AZ42))</f>
        <v>Ok</v>
      </c>
      <c r="BS42" s="163" t="str" cm="1">
        <f t="array" aca="1" ref="BS42" ca="1">_xll.d.TestUtils_IsTrue(_xll.d.Formatting_Equal(Q42,BA42))</f>
        <v>Ok</v>
      </c>
      <c r="BT42" s="163" t="str" cm="1">
        <f t="array" aca="1" ref="BT42" ca="1">_xll.d.TestUtils_IsTrue(_xll.d.Formatting_Equal(R42,BB42))</f>
        <v>Ok</v>
      </c>
    </row>
    <row r="43" spans="2:72">
      <c r="B43" s="112">
        <v>44621</v>
      </c>
      <c r="C43" s="115">
        <v>44621</v>
      </c>
      <c r="D43" s="94">
        <v>3000</v>
      </c>
      <c r="E43" s="97">
        <v>3000</v>
      </c>
      <c r="F43" s="100">
        <v>3000</v>
      </c>
      <c r="G43" s="103">
        <v>3000</v>
      </c>
      <c r="H43" s="106">
        <v>0.5</v>
      </c>
      <c r="I43" s="106">
        <v>0.5</v>
      </c>
      <c r="J43" s="106">
        <v>0.5</v>
      </c>
      <c r="K43" s="106">
        <v>0.5</v>
      </c>
      <c r="L43" s="106">
        <v>0.5</v>
      </c>
      <c r="M43" s="106">
        <v>0.5</v>
      </c>
      <c r="N43" s="106">
        <v>0.5</v>
      </c>
      <c r="O43" s="106">
        <v>0.5</v>
      </c>
      <c r="P43" s="106">
        <v>0.5</v>
      </c>
      <c r="Q43" s="106">
        <v>0.5</v>
      </c>
      <c r="R43" s="109">
        <v>0.5</v>
      </c>
      <c r="T43" s="135">
        <v>44621</v>
      </c>
      <c r="U43" s="135">
        <v>44621</v>
      </c>
      <c r="V43" s="135">
        <v>3000</v>
      </c>
      <c r="W43" s="135">
        <v>3000</v>
      </c>
      <c r="X43" s="135">
        <v>3000</v>
      </c>
      <c r="Y43" s="135">
        <v>3000</v>
      </c>
      <c r="Z43" s="135">
        <v>0.5</v>
      </c>
      <c r="AA43" s="135">
        <v>0.5</v>
      </c>
      <c r="AB43" s="135">
        <v>0.5</v>
      </c>
      <c r="AC43" s="135">
        <v>0.5</v>
      </c>
      <c r="AD43" s="135">
        <v>0.5</v>
      </c>
      <c r="AE43" s="135">
        <v>0.5</v>
      </c>
      <c r="AF43" s="135">
        <v>0.5</v>
      </c>
      <c r="AG43" s="135">
        <v>0.5</v>
      </c>
      <c r="AH43" s="135">
        <v>0.5</v>
      </c>
      <c r="AI43" s="135">
        <v>0.5</v>
      </c>
      <c r="AJ43" s="135">
        <v>0.5</v>
      </c>
      <c r="AL43" s="688">
        <v>44621</v>
      </c>
      <c r="AM43" s="689">
        <v>44621</v>
      </c>
      <c r="AN43" s="679">
        <v>3000</v>
      </c>
      <c r="AO43" s="681">
        <v>3000</v>
      </c>
      <c r="AP43" s="683">
        <v>3000</v>
      </c>
      <c r="AQ43" s="685">
        <v>3000</v>
      </c>
      <c r="AR43" s="156">
        <v>0.5</v>
      </c>
      <c r="AS43" s="156">
        <v>0.5</v>
      </c>
      <c r="AT43" s="156">
        <v>0.5</v>
      </c>
      <c r="AU43" s="156">
        <v>0.5</v>
      </c>
      <c r="AV43" s="156">
        <v>0.5</v>
      </c>
      <c r="AW43" s="156">
        <v>0.5</v>
      </c>
      <c r="AX43" s="156">
        <v>0.5</v>
      </c>
      <c r="AY43" s="156">
        <v>0.5</v>
      </c>
      <c r="AZ43" s="156">
        <v>0.5</v>
      </c>
      <c r="BA43" s="156">
        <v>0.5</v>
      </c>
      <c r="BB43" s="158">
        <v>0.5</v>
      </c>
      <c r="BD43" s="163" t="str" cm="1">
        <f t="array" aca="1" ref="BD43" ca="1">_xll.d.TestUtils_IsTrue(_xll.d.Formatting_Equal(B43,AL43))</f>
        <v>Ok</v>
      </c>
      <c r="BE43" s="163" t="str" cm="1">
        <f t="array" aca="1" ref="BE43" ca="1">_xll.d.TestUtils_IsTrue(_xll.d.Formatting_Equal(C43,AM43))</f>
        <v>Ok</v>
      </c>
      <c r="BF43" s="163" t="str" cm="1">
        <f t="array" aca="1" ref="BF43" ca="1">_xll.d.TestUtils_IsTrue(_xll.d.Formatting_Equal(D43,AN43))</f>
        <v>Ok</v>
      </c>
      <c r="BG43" s="163" t="str" cm="1">
        <f t="array" aca="1" ref="BG43" ca="1">_xll.d.TestUtils_IsTrue(_xll.d.Formatting_Equal(E43,AO43))</f>
        <v>Ok</v>
      </c>
      <c r="BH43" s="163" t="str" cm="1">
        <f t="array" aca="1" ref="BH43" ca="1">_xll.d.TestUtils_IsTrue(_xll.d.Formatting_Equal(F43,AP43))</f>
        <v>Ok</v>
      </c>
      <c r="BI43" s="163" t="str" cm="1">
        <f t="array" aca="1" ref="BI43" ca="1">_xll.d.TestUtils_IsTrue(_xll.d.Formatting_Equal(G43,AQ43))</f>
        <v>Ok</v>
      </c>
      <c r="BJ43" s="163" t="str" cm="1">
        <f t="array" aca="1" ref="BJ43" ca="1">_xll.d.TestUtils_IsTrue(_xll.d.Formatting_Equal(H43,AR43))</f>
        <v>Ok</v>
      </c>
      <c r="BK43" s="163" t="str" cm="1">
        <f t="array" aca="1" ref="BK43" ca="1">_xll.d.TestUtils_IsTrue(_xll.d.Formatting_Equal(I43,AS43))</f>
        <v>Ok</v>
      </c>
      <c r="BL43" s="163" t="str" cm="1">
        <f t="array" aca="1" ref="BL43" ca="1">_xll.d.TestUtils_IsTrue(_xll.d.Formatting_Equal(J43,AT43))</f>
        <v>Ok</v>
      </c>
      <c r="BM43" s="163" t="str" cm="1">
        <f t="array" aca="1" ref="BM43" ca="1">_xll.d.TestUtils_IsTrue(_xll.d.Formatting_Equal(K43,AU43))</f>
        <v>Ok</v>
      </c>
      <c r="BN43" s="163" t="str" cm="1">
        <f t="array" aca="1" ref="BN43" ca="1">_xll.d.TestUtils_IsTrue(_xll.d.Formatting_Equal(L43,AV43))</f>
        <v>Ok</v>
      </c>
      <c r="BO43" s="163" t="str" cm="1">
        <f t="array" aca="1" ref="BO43" ca="1">_xll.d.TestUtils_IsTrue(_xll.d.Formatting_Equal(M43,AW43))</f>
        <v>Ok</v>
      </c>
      <c r="BP43" s="163" t="str" cm="1">
        <f t="array" aca="1" ref="BP43" ca="1">_xll.d.TestUtils_IsTrue(_xll.d.Formatting_Equal(N43,AX43))</f>
        <v>Ok</v>
      </c>
      <c r="BQ43" s="163" t="str" cm="1">
        <f t="array" aca="1" ref="BQ43" ca="1">_xll.d.TestUtils_IsTrue(_xll.d.Formatting_Equal(O43,AY43))</f>
        <v>Ok</v>
      </c>
      <c r="BR43" s="163" t="str" cm="1">
        <f t="array" aca="1" ref="BR43" ca="1">_xll.d.TestUtils_IsTrue(_xll.d.Formatting_Equal(P43,AZ43))</f>
        <v>Ok</v>
      </c>
      <c r="BS43" s="163" t="str" cm="1">
        <f t="array" aca="1" ref="BS43" ca="1">_xll.d.TestUtils_IsTrue(_xll.d.Formatting_Equal(Q43,BA43))</f>
        <v>Ok</v>
      </c>
      <c r="BT43" s="163" t="str" cm="1">
        <f t="array" aca="1" ref="BT43" ca="1">_xll.d.TestUtils_IsTrue(_xll.d.Formatting_Equal(R43,BB43))</f>
        <v>Ok</v>
      </c>
    </row>
    <row r="44" spans="2:72">
      <c r="AL44" s="135"/>
      <c r="AM44" s="135"/>
      <c r="AN44" s="135"/>
      <c r="AO44" s="135"/>
      <c r="AP44" s="135"/>
      <c r="AQ44" s="135"/>
      <c r="AR44" s="135"/>
      <c r="AS44" s="135"/>
      <c r="AT44" s="135"/>
      <c r="AU44" s="135"/>
      <c r="AV44" s="135"/>
      <c r="AW44" s="135"/>
      <c r="AX44" s="135"/>
      <c r="AY44" s="135"/>
      <c r="AZ44" s="135"/>
      <c r="BA44" s="135"/>
      <c r="BB44" s="135"/>
    </row>
    <row r="46" spans="2:72" ht="18.75">
      <c r="B46" s="3" t="s">
        <v>91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>
      <c r="B48" s="50" t="s">
        <v>106</v>
      </c>
      <c r="C48" s="163" t="str" cm="1">
        <f t="array" aca="1" ref="C48" ca="1">_xll.d.TestUtils_And(BD63:BT67)</f>
        <v>Ok</v>
      </c>
    </row>
    <row r="50" spans="2:72">
      <c r="B50" s="50" t="s">
        <v>90</v>
      </c>
      <c r="C50" s="50" t="s">
        <v>30</v>
      </c>
    </row>
    <row r="51" spans="2:72">
      <c r="B51" s="80" t="s">
        <v>85</v>
      </c>
      <c r="C51" s="81" t="s">
        <v>101</v>
      </c>
    </row>
    <row r="52" spans="2:72">
      <c r="B52" s="74" t="s">
        <v>86</v>
      </c>
      <c r="C52" s="75" t="s">
        <v>0</v>
      </c>
    </row>
    <row r="53" spans="2:72">
      <c r="B53" s="76"/>
      <c r="C53" s="77" t="s">
        <v>87</v>
      </c>
    </row>
    <row r="54" spans="2:72">
      <c r="B54" s="78"/>
      <c r="C54" s="79" t="s">
        <v>88</v>
      </c>
    </row>
    <row r="55" spans="2:72">
      <c r="B55" s="144" t="s">
        <v>101</v>
      </c>
      <c r="C55" s="150">
        <v>2</v>
      </c>
    </row>
    <row r="56" spans="2:72">
      <c r="B56" s="144" t="s">
        <v>102</v>
      </c>
      <c r="C56" s="150">
        <v>0</v>
      </c>
    </row>
    <row r="57" spans="2:72">
      <c r="B57" s="128" t="s">
        <v>93</v>
      </c>
      <c r="C57" s="129"/>
    </row>
    <row r="58" spans="2:72">
      <c r="B58" s="54"/>
      <c r="C58" s="54"/>
    </row>
    <row r="59" spans="2:72">
      <c r="B59" t="s">
        <v>94</v>
      </c>
      <c r="C59" s="54"/>
    </row>
    <row r="60" spans="2:72">
      <c r="B60" s="54"/>
      <c r="C60" s="54"/>
    </row>
    <row r="61" spans="2:72">
      <c r="B61" s="57" t="s">
        <v>70</v>
      </c>
      <c r="E61" s="143"/>
      <c r="T61" s="57" t="s">
        <v>83</v>
      </c>
      <c r="AL61" s="57" t="s">
        <v>84</v>
      </c>
      <c r="BD61" s="57" t="s">
        <v>107</v>
      </c>
    </row>
    <row r="63" spans="2:72">
      <c r="B63" s="134" t="s">
        <v>73</v>
      </c>
      <c r="C63" s="134"/>
      <c r="D63" s="134"/>
      <c r="E63" s="134"/>
      <c r="F63" s="134"/>
      <c r="G63" s="13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T63" s="12" t="s">
        <v>73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4" t="s">
        <v>73</v>
      </c>
      <c r="AM63" s="134"/>
      <c r="AN63" s="134"/>
      <c r="AO63" s="134"/>
      <c r="AP63" s="134"/>
      <c r="AQ63" s="134"/>
      <c r="AR63" s="134"/>
      <c r="AS63" s="134"/>
      <c r="AT63" s="134"/>
      <c r="AU63" s="134"/>
      <c r="AV63" s="134"/>
      <c r="AW63" s="134"/>
      <c r="AX63" s="134"/>
      <c r="AY63" s="134"/>
      <c r="AZ63" s="134"/>
      <c r="BA63" s="134"/>
      <c r="BB63" s="134"/>
      <c r="BD63" s="163" t="str" cm="1">
        <f t="array" aca="1" ref="BD63" ca="1">_xll.d.TestUtils_IsTrue(_xll.d.Formatting_Equal(B63,AL63))</f>
        <v>Ok</v>
      </c>
      <c r="BE63" s="163" t="str" cm="1">
        <f t="array" aca="1" ref="BE63" ca="1">_xll.d.TestUtils_IsTrue(_xll.d.Formatting_Equal(C63,AM63))</f>
        <v>Ok</v>
      </c>
      <c r="BF63" s="163" t="str" cm="1">
        <f t="array" aca="1" ref="BF63" ca="1">_xll.d.TestUtils_IsTrue(_xll.d.Formatting_Equal(D63,AN63))</f>
        <v>Ok</v>
      </c>
      <c r="BG63" s="163" t="str" cm="1">
        <f t="array" aca="1" ref="BG63" ca="1">_xll.d.TestUtils_IsTrue(_xll.d.Formatting_Equal(E63,AO63))</f>
        <v>Ok</v>
      </c>
      <c r="BH63" s="163" t="str" cm="1">
        <f t="array" aca="1" ref="BH63" ca="1">_xll.d.TestUtils_IsTrue(_xll.d.Formatting_Equal(F63,AP63))</f>
        <v>Ok</v>
      </c>
      <c r="BI63" s="163" t="str" cm="1">
        <f t="array" aca="1" ref="BI63" ca="1">_xll.d.TestUtils_IsTrue(_xll.d.Formatting_Equal(G63,AQ63))</f>
        <v>Ok</v>
      </c>
      <c r="BJ63" s="163" t="str" cm="1">
        <f t="array" aca="1" ref="BJ63" ca="1">_xll.d.TestUtils_IsTrue(_xll.d.Formatting_Equal(H63,AR63))</f>
        <v>Ok</v>
      </c>
      <c r="BK63" s="163" t="str" cm="1">
        <f t="array" aca="1" ref="BK63" ca="1">_xll.d.TestUtils_IsTrue(_xll.d.Formatting_Equal(I63,AS63))</f>
        <v>Ok</v>
      </c>
      <c r="BL63" s="163" t="str" cm="1">
        <f t="array" aca="1" ref="BL63" ca="1">_xll.d.TestUtils_IsTrue(_xll.d.Formatting_Equal(J63,AT63))</f>
        <v>Ok</v>
      </c>
      <c r="BM63" s="163" t="str" cm="1">
        <f t="array" aca="1" ref="BM63" ca="1">_xll.d.TestUtils_IsTrue(_xll.d.Formatting_Equal(K63,AU63))</f>
        <v>Ok</v>
      </c>
      <c r="BN63" s="163" t="str" cm="1">
        <f t="array" aca="1" ref="BN63" ca="1">_xll.d.TestUtils_IsTrue(_xll.d.Formatting_Equal(L63,AV63))</f>
        <v>Ok</v>
      </c>
      <c r="BO63" s="163" t="str" cm="1">
        <f t="array" aca="1" ref="BO63" ca="1">_xll.d.TestUtils_IsTrue(_xll.d.Formatting_Equal(M63,AW63))</f>
        <v>Ok</v>
      </c>
      <c r="BP63" s="163" t="str" cm="1">
        <f t="array" aca="1" ref="BP63" ca="1">_xll.d.TestUtils_IsTrue(_xll.d.Formatting_Equal(N63,AX63))</f>
        <v>Ok</v>
      </c>
      <c r="BQ63" s="163" t="str" cm="1">
        <f t="array" aca="1" ref="BQ63" ca="1">_xll.d.TestUtils_IsTrue(_xll.d.Formatting_Equal(O63,AY63))</f>
        <v>Ok</v>
      </c>
      <c r="BR63" s="163" t="str" cm="1">
        <f t="array" aca="1" ref="BR63" ca="1">_xll.d.TestUtils_IsTrue(_xll.d.Formatting_Equal(P63,AZ63))</f>
        <v>Ok</v>
      </c>
      <c r="BS63" s="163" t="str" cm="1">
        <f t="array" aca="1" ref="BS63" ca="1">_xll.d.TestUtils_IsTrue(_xll.d.Formatting_Equal(Q63,BA63))</f>
        <v>Ok</v>
      </c>
      <c r="BT63" s="163" t="str" cm="1">
        <f t="array" aca="1" ref="BT63" ca="1">_xll.d.TestUtils_IsTrue(_xll.d.Formatting_Equal(R63,BB63))</f>
        <v>Ok</v>
      </c>
    </row>
    <row r="64" spans="2:72">
      <c r="B64" s="134" t="s">
        <v>31</v>
      </c>
      <c r="C64" s="134" t="s">
        <v>0</v>
      </c>
      <c r="D64" s="134" t="s">
        <v>74</v>
      </c>
      <c r="E64" s="134" t="s">
        <v>75</v>
      </c>
      <c r="F64" s="134" t="s">
        <v>76</v>
      </c>
      <c r="G64" s="134" t="s">
        <v>77</v>
      </c>
      <c r="H64" s="134" t="s">
        <v>78</v>
      </c>
      <c r="I64" s="134" t="s">
        <v>62</v>
      </c>
      <c r="J64" s="134" t="s">
        <v>63</v>
      </c>
      <c r="K64" s="134" t="s">
        <v>64</v>
      </c>
      <c r="L64" s="134" t="s">
        <v>79</v>
      </c>
      <c r="M64" s="134" t="s">
        <v>23</v>
      </c>
      <c r="N64" s="134" t="s">
        <v>36</v>
      </c>
      <c r="O64" s="134" t="s">
        <v>80</v>
      </c>
      <c r="P64" s="134" t="s">
        <v>72</v>
      </c>
      <c r="Q64" s="134" t="s">
        <v>82</v>
      </c>
      <c r="R64" s="134" t="s">
        <v>81</v>
      </c>
      <c r="T64" s="61" t="s">
        <v>31</v>
      </c>
      <c r="U64" s="62" t="s">
        <v>0</v>
      </c>
      <c r="V64" s="62" t="s">
        <v>74</v>
      </c>
      <c r="W64" s="62" t="s">
        <v>75</v>
      </c>
      <c r="X64" s="62" t="s">
        <v>76</v>
      </c>
      <c r="Y64" s="62" t="s">
        <v>77</v>
      </c>
      <c r="Z64" s="62" t="s">
        <v>78</v>
      </c>
      <c r="AA64" s="62" t="s">
        <v>62</v>
      </c>
      <c r="AB64" s="62" t="s">
        <v>63</v>
      </c>
      <c r="AC64" s="62" t="s">
        <v>64</v>
      </c>
      <c r="AD64" s="62" t="s">
        <v>79</v>
      </c>
      <c r="AE64" s="62" t="s">
        <v>23</v>
      </c>
      <c r="AF64" s="62" t="s">
        <v>36</v>
      </c>
      <c r="AG64" s="62" t="s">
        <v>80</v>
      </c>
      <c r="AH64" s="62" t="s">
        <v>72</v>
      </c>
      <c r="AI64" s="62" t="s">
        <v>82</v>
      </c>
      <c r="AJ64" s="63" t="s">
        <v>81</v>
      </c>
      <c r="AL64" s="134" t="s">
        <v>31</v>
      </c>
      <c r="AM64" s="134" t="s">
        <v>0</v>
      </c>
      <c r="AN64" s="134" t="s">
        <v>74</v>
      </c>
      <c r="AO64" s="134" t="s">
        <v>75</v>
      </c>
      <c r="AP64" s="134" t="s">
        <v>76</v>
      </c>
      <c r="AQ64" s="134" t="s">
        <v>77</v>
      </c>
      <c r="AR64" s="134" t="s">
        <v>78</v>
      </c>
      <c r="AS64" s="134" t="s">
        <v>62</v>
      </c>
      <c r="AT64" s="134" t="s">
        <v>63</v>
      </c>
      <c r="AU64" s="134" t="s">
        <v>64</v>
      </c>
      <c r="AV64" s="134" t="s">
        <v>79</v>
      </c>
      <c r="AW64" s="134" t="s">
        <v>23</v>
      </c>
      <c r="AX64" s="134" t="s">
        <v>36</v>
      </c>
      <c r="AY64" s="134" t="s">
        <v>80</v>
      </c>
      <c r="AZ64" s="134" t="s">
        <v>72</v>
      </c>
      <c r="BA64" s="134" t="s">
        <v>82</v>
      </c>
      <c r="BB64" s="134" t="s">
        <v>81</v>
      </c>
      <c r="BD64" s="163" t="str" cm="1">
        <f t="array" aca="1" ref="BD64" ca="1">_xll.d.TestUtils_IsTrue(_xll.d.Formatting_Equal(B64,AL64))</f>
        <v>Ok</v>
      </c>
      <c r="BE64" s="163" t="str" cm="1">
        <f t="array" aca="1" ref="BE64" ca="1">_xll.d.TestUtils_IsTrue(_xll.d.Formatting_Equal(C64,AM64))</f>
        <v>Ok</v>
      </c>
      <c r="BF64" s="163" t="str" cm="1">
        <f t="array" aca="1" ref="BF64" ca="1">_xll.d.TestUtils_IsTrue(_xll.d.Formatting_Equal(D64,AN64))</f>
        <v>Ok</v>
      </c>
      <c r="BG64" s="163" t="str" cm="1">
        <f t="array" aca="1" ref="BG64" ca="1">_xll.d.TestUtils_IsTrue(_xll.d.Formatting_Equal(E64,AO64))</f>
        <v>Ok</v>
      </c>
      <c r="BH64" s="163" t="str" cm="1">
        <f t="array" aca="1" ref="BH64" ca="1">_xll.d.TestUtils_IsTrue(_xll.d.Formatting_Equal(F64,AP64))</f>
        <v>Ok</v>
      </c>
      <c r="BI64" s="163" t="str" cm="1">
        <f t="array" aca="1" ref="BI64" ca="1">_xll.d.TestUtils_IsTrue(_xll.d.Formatting_Equal(G64,AQ64))</f>
        <v>Ok</v>
      </c>
      <c r="BJ64" s="163" t="str" cm="1">
        <f t="array" aca="1" ref="BJ64" ca="1">_xll.d.TestUtils_IsTrue(_xll.d.Formatting_Equal(H64,AR64))</f>
        <v>Ok</v>
      </c>
      <c r="BK64" s="163" t="str" cm="1">
        <f t="array" aca="1" ref="BK64" ca="1">_xll.d.TestUtils_IsTrue(_xll.d.Formatting_Equal(I64,AS64))</f>
        <v>Ok</v>
      </c>
      <c r="BL64" s="163" t="str" cm="1">
        <f t="array" aca="1" ref="BL64" ca="1">_xll.d.TestUtils_IsTrue(_xll.d.Formatting_Equal(J64,AT64))</f>
        <v>Ok</v>
      </c>
      <c r="BM64" s="163" t="str" cm="1">
        <f t="array" aca="1" ref="BM64" ca="1">_xll.d.TestUtils_IsTrue(_xll.d.Formatting_Equal(K64,AU64))</f>
        <v>Ok</v>
      </c>
      <c r="BN64" s="163" t="str" cm="1">
        <f t="array" aca="1" ref="BN64" ca="1">_xll.d.TestUtils_IsTrue(_xll.d.Formatting_Equal(L64,AV64))</f>
        <v>Ok</v>
      </c>
      <c r="BO64" s="163" t="str" cm="1">
        <f t="array" aca="1" ref="BO64" ca="1">_xll.d.TestUtils_IsTrue(_xll.d.Formatting_Equal(M64,AW64))</f>
        <v>Ok</v>
      </c>
      <c r="BP64" s="163" t="str" cm="1">
        <f t="array" aca="1" ref="BP64" ca="1">_xll.d.TestUtils_IsTrue(_xll.d.Formatting_Equal(N64,AX64))</f>
        <v>Ok</v>
      </c>
      <c r="BQ64" s="163" t="str" cm="1">
        <f t="array" aca="1" ref="BQ64" ca="1">_xll.d.TestUtils_IsTrue(_xll.d.Formatting_Equal(O64,AY64))</f>
        <v>Ok</v>
      </c>
      <c r="BR64" s="163" t="str" cm="1">
        <f t="array" aca="1" ref="BR64" ca="1">_xll.d.TestUtils_IsTrue(_xll.d.Formatting_Equal(P64,AZ64))</f>
        <v>Ok</v>
      </c>
      <c r="BS64" s="163" t="str" cm="1">
        <f t="array" aca="1" ref="BS64" ca="1">_xll.d.TestUtils_IsTrue(_xll.d.Formatting_Equal(Q64,BA64))</f>
        <v>Ok</v>
      </c>
      <c r="BT64" s="163" t="str" cm="1">
        <f t="array" aca="1" ref="BT64" ca="1">_xll.d.TestUtils_IsTrue(_xll.d.Formatting_Equal(R64,BB64))</f>
        <v>Ok</v>
      </c>
    </row>
    <row r="65" spans="2:72">
      <c r="B65" s="134">
        <v>44562</v>
      </c>
      <c r="C65" s="134">
        <v>44562</v>
      </c>
      <c r="D65" s="135">
        <v>1000</v>
      </c>
      <c r="E65" s="135">
        <v>1000</v>
      </c>
      <c r="F65" s="135">
        <v>1000</v>
      </c>
      <c r="G65" s="135">
        <v>1000</v>
      </c>
      <c r="H65" s="134">
        <v>0.3</v>
      </c>
      <c r="I65" s="134">
        <v>0.3</v>
      </c>
      <c r="J65" s="134">
        <v>0.3</v>
      </c>
      <c r="K65" s="134">
        <v>0.3</v>
      </c>
      <c r="L65" s="134">
        <v>0.3</v>
      </c>
      <c r="M65" s="134">
        <v>0.3</v>
      </c>
      <c r="N65" s="134">
        <v>0.3</v>
      </c>
      <c r="O65" s="134">
        <v>0.3</v>
      </c>
      <c r="P65" s="134">
        <v>0.3</v>
      </c>
      <c r="Q65" s="134">
        <v>0.3</v>
      </c>
      <c r="R65" s="134">
        <v>0.3</v>
      </c>
      <c r="T65" s="110">
        <v>44562</v>
      </c>
      <c r="U65" s="113">
        <v>44562</v>
      </c>
      <c r="V65" s="92">
        <v>1000</v>
      </c>
      <c r="W65" s="95">
        <v>1000</v>
      </c>
      <c r="X65" s="98">
        <v>1000</v>
      </c>
      <c r="Y65" s="101">
        <v>1000</v>
      </c>
      <c r="Z65" s="104">
        <v>0.3</v>
      </c>
      <c r="AA65" s="104">
        <v>0.3</v>
      </c>
      <c r="AB65" s="104">
        <v>0.3</v>
      </c>
      <c r="AC65" s="104">
        <v>0.3</v>
      </c>
      <c r="AD65" s="104">
        <v>0.3</v>
      </c>
      <c r="AE65" s="104">
        <v>0.3</v>
      </c>
      <c r="AF65" s="104">
        <v>0.3</v>
      </c>
      <c r="AG65" s="104">
        <v>0.3</v>
      </c>
      <c r="AH65" s="104">
        <v>0.3</v>
      </c>
      <c r="AI65" s="104">
        <v>0.3</v>
      </c>
      <c r="AJ65" s="107">
        <v>0.3</v>
      </c>
      <c r="AL65" s="134">
        <v>44562</v>
      </c>
      <c r="AM65" s="134">
        <v>44562</v>
      </c>
      <c r="AN65" s="135">
        <v>1000</v>
      </c>
      <c r="AO65" s="135">
        <v>1000</v>
      </c>
      <c r="AP65" s="135">
        <v>1000</v>
      </c>
      <c r="AQ65" s="135">
        <v>1000</v>
      </c>
      <c r="AR65" s="134">
        <v>0.3</v>
      </c>
      <c r="AS65" s="134">
        <v>0.3</v>
      </c>
      <c r="AT65" s="134">
        <v>0.3</v>
      </c>
      <c r="AU65" s="134">
        <v>0.3</v>
      </c>
      <c r="AV65" s="134">
        <v>0.3</v>
      </c>
      <c r="AW65" s="134">
        <v>0.3</v>
      </c>
      <c r="AX65" s="134">
        <v>0.3</v>
      </c>
      <c r="AY65" s="134">
        <v>0.3</v>
      </c>
      <c r="AZ65" s="134">
        <v>0.3</v>
      </c>
      <c r="BA65" s="134">
        <v>0.3</v>
      </c>
      <c r="BB65" s="134">
        <v>0.3</v>
      </c>
      <c r="BD65" s="163" t="str" cm="1">
        <f t="array" aca="1" ref="BD65" ca="1">_xll.d.TestUtils_IsTrue(_xll.d.Formatting_Equal(B65,AL65))</f>
        <v>Ok</v>
      </c>
      <c r="BE65" s="163" t="str" cm="1">
        <f t="array" aca="1" ref="BE65" ca="1">_xll.d.TestUtils_IsTrue(_xll.d.Formatting_Equal(C65,AM65))</f>
        <v>Ok</v>
      </c>
      <c r="BF65" s="163" t="str" cm="1">
        <f t="array" aca="1" ref="BF65" ca="1">_xll.d.TestUtils_IsTrue(_xll.d.Formatting_Equal(D65,AN65))</f>
        <v>Ok</v>
      </c>
      <c r="BG65" s="163" t="str" cm="1">
        <f t="array" aca="1" ref="BG65" ca="1">_xll.d.TestUtils_IsTrue(_xll.d.Formatting_Equal(E65,AO65))</f>
        <v>Ok</v>
      </c>
      <c r="BH65" s="163" t="str" cm="1">
        <f t="array" aca="1" ref="BH65" ca="1">_xll.d.TestUtils_IsTrue(_xll.d.Formatting_Equal(F65,AP65))</f>
        <v>Ok</v>
      </c>
      <c r="BI65" s="163" t="str" cm="1">
        <f t="array" aca="1" ref="BI65" ca="1">_xll.d.TestUtils_IsTrue(_xll.d.Formatting_Equal(G65,AQ65))</f>
        <v>Ok</v>
      </c>
      <c r="BJ65" s="163" t="str" cm="1">
        <f t="array" aca="1" ref="BJ65" ca="1">_xll.d.TestUtils_IsTrue(_xll.d.Formatting_Equal(H65,AR65))</f>
        <v>Ok</v>
      </c>
      <c r="BK65" s="163" t="str" cm="1">
        <f t="array" aca="1" ref="BK65" ca="1">_xll.d.TestUtils_IsTrue(_xll.d.Formatting_Equal(I65,AS65))</f>
        <v>Ok</v>
      </c>
      <c r="BL65" s="163" t="str" cm="1">
        <f t="array" aca="1" ref="BL65" ca="1">_xll.d.TestUtils_IsTrue(_xll.d.Formatting_Equal(J65,AT65))</f>
        <v>Ok</v>
      </c>
      <c r="BM65" s="163" t="str" cm="1">
        <f t="array" aca="1" ref="BM65" ca="1">_xll.d.TestUtils_IsTrue(_xll.d.Formatting_Equal(K65,AU65))</f>
        <v>Ok</v>
      </c>
      <c r="BN65" s="163" t="str" cm="1">
        <f t="array" aca="1" ref="BN65" ca="1">_xll.d.TestUtils_IsTrue(_xll.d.Formatting_Equal(L65,AV65))</f>
        <v>Ok</v>
      </c>
      <c r="BO65" s="163" t="str" cm="1">
        <f t="array" aca="1" ref="BO65" ca="1">_xll.d.TestUtils_IsTrue(_xll.d.Formatting_Equal(M65,AW65))</f>
        <v>Ok</v>
      </c>
      <c r="BP65" s="163" t="str" cm="1">
        <f t="array" aca="1" ref="BP65" ca="1">_xll.d.TestUtils_IsTrue(_xll.d.Formatting_Equal(N65,AX65))</f>
        <v>Ok</v>
      </c>
      <c r="BQ65" s="163" t="str" cm="1">
        <f t="array" aca="1" ref="BQ65" ca="1">_xll.d.TestUtils_IsTrue(_xll.d.Formatting_Equal(O65,AY65))</f>
        <v>Ok</v>
      </c>
      <c r="BR65" s="163" t="str" cm="1">
        <f t="array" aca="1" ref="BR65" ca="1">_xll.d.TestUtils_IsTrue(_xll.d.Formatting_Equal(P65,AZ65))</f>
        <v>Ok</v>
      </c>
      <c r="BS65" s="163" t="str" cm="1">
        <f t="array" aca="1" ref="BS65" ca="1">_xll.d.TestUtils_IsTrue(_xll.d.Formatting_Equal(Q65,BA65))</f>
        <v>Ok</v>
      </c>
      <c r="BT65" s="163" t="str" cm="1">
        <f t="array" aca="1" ref="BT65" ca="1">_xll.d.TestUtils_IsTrue(_xll.d.Formatting_Equal(R65,BB65))</f>
        <v>Ok</v>
      </c>
    </row>
    <row r="66" spans="2:72">
      <c r="B66" s="134">
        <v>44593</v>
      </c>
      <c r="C66" s="134">
        <v>44593</v>
      </c>
      <c r="D66" s="135">
        <v>2000</v>
      </c>
      <c r="E66" s="135">
        <v>2000</v>
      </c>
      <c r="F66" s="135">
        <v>2000</v>
      </c>
      <c r="G66" s="135">
        <v>2000</v>
      </c>
      <c r="H66" s="134">
        <v>0.4</v>
      </c>
      <c r="I66" s="134">
        <v>0.4</v>
      </c>
      <c r="J66" s="134">
        <v>0.4</v>
      </c>
      <c r="K66" s="134">
        <v>0.4</v>
      </c>
      <c r="L66" s="134">
        <v>0.4</v>
      </c>
      <c r="M66" s="134">
        <v>0.4</v>
      </c>
      <c r="N66" s="134">
        <v>0.4</v>
      </c>
      <c r="O66" s="134">
        <v>0.4</v>
      </c>
      <c r="P66" s="134">
        <v>0.4</v>
      </c>
      <c r="Q66" s="134">
        <v>0.4</v>
      </c>
      <c r="R66" s="134">
        <v>0.4</v>
      </c>
      <c r="T66" s="111">
        <v>44593</v>
      </c>
      <c r="U66" s="114">
        <v>44593</v>
      </c>
      <c r="V66" s="93">
        <v>2000</v>
      </c>
      <c r="W66" s="96">
        <v>2000</v>
      </c>
      <c r="X66" s="99">
        <v>2000</v>
      </c>
      <c r="Y66" s="102">
        <v>2000</v>
      </c>
      <c r="Z66" s="105">
        <v>0.4</v>
      </c>
      <c r="AA66" s="105">
        <v>0.4</v>
      </c>
      <c r="AB66" s="105">
        <v>0.4</v>
      </c>
      <c r="AC66" s="105">
        <v>0.4</v>
      </c>
      <c r="AD66" s="105">
        <v>0.4</v>
      </c>
      <c r="AE66" s="105">
        <v>0.4</v>
      </c>
      <c r="AF66" s="105">
        <v>0.4</v>
      </c>
      <c r="AG66" s="105">
        <v>0.4</v>
      </c>
      <c r="AH66" s="105">
        <v>0.4</v>
      </c>
      <c r="AI66" s="105">
        <v>0.4</v>
      </c>
      <c r="AJ66" s="108">
        <v>0.4</v>
      </c>
      <c r="AL66" s="134">
        <v>44593</v>
      </c>
      <c r="AM66" s="134">
        <v>44593</v>
      </c>
      <c r="AN66" s="135">
        <v>2000</v>
      </c>
      <c r="AO66" s="135">
        <v>2000</v>
      </c>
      <c r="AP66" s="135">
        <v>2000</v>
      </c>
      <c r="AQ66" s="135">
        <v>2000</v>
      </c>
      <c r="AR66" s="134">
        <v>0.4</v>
      </c>
      <c r="AS66" s="134">
        <v>0.4</v>
      </c>
      <c r="AT66" s="134">
        <v>0.4</v>
      </c>
      <c r="AU66" s="134">
        <v>0.4</v>
      </c>
      <c r="AV66" s="134">
        <v>0.4</v>
      </c>
      <c r="AW66" s="134">
        <v>0.4</v>
      </c>
      <c r="AX66" s="134">
        <v>0.4</v>
      </c>
      <c r="AY66" s="134">
        <v>0.4</v>
      </c>
      <c r="AZ66" s="134">
        <v>0.4</v>
      </c>
      <c r="BA66" s="134">
        <v>0.4</v>
      </c>
      <c r="BB66" s="134">
        <v>0.4</v>
      </c>
      <c r="BD66" s="163" t="str" cm="1">
        <f t="array" aca="1" ref="BD66" ca="1">_xll.d.TestUtils_IsTrue(_xll.d.Formatting_Equal(B66,AL66))</f>
        <v>Ok</v>
      </c>
      <c r="BE66" s="163" t="str" cm="1">
        <f t="array" aca="1" ref="BE66" ca="1">_xll.d.TestUtils_IsTrue(_xll.d.Formatting_Equal(C66,AM66))</f>
        <v>Ok</v>
      </c>
      <c r="BF66" s="163" t="str" cm="1">
        <f t="array" aca="1" ref="BF66" ca="1">_xll.d.TestUtils_IsTrue(_xll.d.Formatting_Equal(D66,AN66))</f>
        <v>Ok</v>
      </c>
      <c r="BG66" s="163" t="str" cm="1">
        <f t="array" aca="1" ref="BG66" ca="1">_xll.d.TestUtils_IsTrue(_xll.d.Formatting_Equal(E66,AO66))</f>
        <v>Ok</v>
      </c>
      <c r="BH66" s="163" t="str" cm="1">
        <f t="array" aca="1" ref="BH66" ca="1">_xll.d.TestUtils_IsTrue(_xll.d.Formatting_Equal(F66,AP66))</f>
        <v>Ok</v>
      </c>
      <c r="BI66" s="163" t="str" cm="1">
        <f t="array" aca="1" ref="BI66" ca="1">_xll.d.TestUtils_IsTrue(_xll.d.Formatting_Equal(G66,AQ66))</f>
        <v>Ok</v>
      </c>
      <c r="BJ66" s="163" t="str" cm="1">
        <f t="array" aca="1" ref="BJ66" ca="1">_xll.d.TestUtils_IsTrue(_xll.d.Formatting_Equal(H66,AR66))</f>
        <v>Ok</v>
      </c>
      <c r="BK66" s="163" t="str" cm="1">
        <f t="array" aca="1" ref="BK66" ca="1">_xll.d.TestUtils_IsTrue(_xll.d.Formatting_Equal(I66,AS66))</f>
        <v>Ok</v>
      </c>
      <c r="BL66" s="163" t="str" cm="1">
        <f t="array" aca="1" ref="BL66" ca="1">_xll.d.TestUtils_IsTrue(_xll.d.Formatting_Equal(J66,AT66))</f>
        <v>Ok</v>
      </c>
      <c r="BM66" s="163" t="str" cm="1">
        <f t="array" aca="1" ref="BM66" ca="1">_xll.d.TestUtils_IsTrue(_xll.d.Formatting_Equal(K66,AU66))</f>
        <v>Ok</v>
      </c>
      <c r="BN66" s="163" t="str" cm="1">
        <f t="array" aca="1" ref="BN66" ca="1">_xll.d.TestUtils_IsTrue(_xll.d.Formatting_Equal(L66,AV66))</f>
        <v>Ok</v>
      </c>
      <c r="BO66" s="163" t="str" cm="1">
        <f t="array" aca="1" ref="BO66" ca="1">_xll.d.TestUtils_IsTrue(_xll.d.Formatting_Equal(M66,AW66))</f>
        <v>Ok</v>
      </c>
      <c r="BP66" s="163" t="str" cm="1">
        <f t="array" aca="1" ref="BP66" ca="1">_xll.d.TestUtils_IsTrue(_xll.d.Formatting_Equal(N66,AX66))</f>
        <v>Ok</v>
      </c>
      <c r="BQ66" s="163" t="str" cm="1">
        <f t="array" aca="1" ref="BQ66" ca="1">_xll.d.TestUtils_IsTrue(_xll.d.Formatting_Equal(O66,AY66))</f>
        <v>Ok</v>
      </c>
      <c r="BR66" s="163" t="str" cm="1">
        <f t="array" aca="1" ref="BR66" ca="1">_xll.d.TestUtils_IsTrue(_xll.d.Formatting_Equal(P66,AZ66))</f>
        <v>Ok</v>
      </c>
      <c r="BS66" s="163" t="str" cm="1">
        <f t="array" aca="1" ref="BS66" ca="1">_xll.d.TestUtils_IsTrue(_xll.d.Formatting_Equal(Q66,BA66))</f>
        <v>Ok</v>
      </c>
      <c r="BT66" s="163" t="str" cm="1">
        <f t="array" aca="1" ref="BT66" ca="1">_xll.d.TestUtils_IsTrue(_xll.d.Formatting_Equal(R66,BB66))</f>
        <v>Ok</v>
      </c>
    </row>
    <row r="67" spans="2:72">
      <c r="B67" s="134">
        <v>44621</v>
      </c>
      <c r="C67" s="134">
        <v>44621</v>
      </c>
      <c r="D67" s="135">
        <v>3000</v>
      </c>
      <c r="E67" s="135">
        <v>3000</v>
      </c>
      <c r="F67" s="135">
        <v>3000</v>
      </c>
      <c r="G67" s="135">
        <v>3000</v>
      </c>
      <c r="H67" s="134">
        <v>0.5</v>
      </c>
      <c r="I67" s="134">
        <v>0.5</v>
      </c>
      <c r="J67" s="134">
        <v>0.5</v>
      </c>
      <c r="K67" s="134">
        <v>0.5</v>
      </c>
      <c r="L67" s="134">
        <v>0.5</v>
      </c>
      <c r="M67" s="134">
        <v>0.5</v>
      </c>
      <c r="N67" s="134">
        <v>0.5</v>
      </c>
      <c r="O67" s="134">
        <v>0.5</v>
      </c>
      <c r="P67" s="134">
        <v>0.5</v>
      </c>
      <c r="Q67" s="134">
        <v>0.5</v>
      </c>
      <c r="R67" s="134">
        <v>0.5</v>
      </c>
      <c r="T67" s="112">
        <v>44621</v>
      </c>
      <c r="U67" s="115">
        <v>44621</v>
      </c>
      <c r="V67" s="94">
        <v>3000</v>
      </c>
      <c r="W67" s="97">
        <v>3000</v>
      </c>
      <c r="X67" s="100">
        <v>3000</v>
      </c>
      <c r="Y67" s="103">
        <v>3000</v>
      </c>
      <c r="Z67" s="106">
        <v>0.5</v>
      </c>
      <c r="AA67" s="106">
        <v>0.5</v>
      </c>
      <c r="AB67" s="106">
        <v>0.5</v>
      </c>
      <c r="AC67" s="106">
        <v>0.5</v>
      </c>
      <c r="AD67" s="106">
        <v>0.5</v>
      </c>
      <c r="AE67" s="106">
        <v>0.5</v>
      </c>
      <c r="AF67" s="106">
        <v>0.5</v>
      </c>
      <c r="AG67" s="106">
        <v>0.5</v>
      </c>
      <c r="AH67" s="106">
        <v>0.5</v>
      </c>
      <c r="AI67" s="106">
        <v>0.5</v>
      </c>
      <c r="AJ67" s="109">
        <v>0.5</v>
      </c>
      <c r="AL67" s="134">
        <v>44621</v>
      </c>
      <c r="AM67" s="134">
        <v>44621</v>
      </c>
      <c r="AN67" s="135">
        <v>3000</v>
      </c>
      <c r="AO67" s="135">
        <v>3000</v>
      </c>
      <c r="AP67" s="135">
        <v>3000</v>
      </c>
      <c r="AQ67" s="135">
        <v>3000</v>
      </c>
      <c r="AR67" s="134">
        <v>0.5</v>
      </c>
      <c r="AS67" s="134">
        <v>0.5</v>
      </c>
      <c r="AT67" s="134">
        <v>0.5</v>
      </c>
      <c r="AU67" s="134">
        <v>0.5</v>
      </c>
      <c r="AV67" s="134">
        <v>0.5</v>
      </c>
      <c r="AW67" s="134">
        <v>0.5</v>
      </c>
      <c r="AX67" s="134">
        <v>0.5</v>
      </c>
      <c r="AY67" s="134">
        <v>0.5</v>
      </c>
      <c r="AZ67" s="134">
        <v>0.5</v>
      </c>
      <c r="BA67" s="134">
        <v>0.5</v>
      </c>
      <c r="BB67" s="134">
        <v>0.5</v>
      </c>
      <c r="BD67" s="163" t="str" cm="1">
        <f t="array" aca="1" ref="BD67" ca="1">_xll.d.TestUtils_IsTrue(_xll.d.Formatting_Equal(B67,AL67))</f>
        <v>Ok</v>
      </c>
      <c r="BE67" s="163" t="str" cm="1">
        <f t="array" aca="1" ref="BE67" ca="1">_xll.d.TestUtils_IsTrue(_xll.d.Formatting_Equal(C67,AM67))</f>
        <v>Ok</v>
      </c>
      <c r="BF67" s="163" t="str" cm="1">
        <f t="array" aca="1" ref="BF67" ca="1">_xll.d.TestUtils_IsTrue(_xll.d.Formatting_Equal(D67,AN67))</f>
        <v>Ok</v>
      </c>
      <c r="BG67" s="163" t="str" cm="1">
        <f t="array" aca="1" ref="BG67" ca="1">_xll.d.TestUtils_IsTrue(_xll.d.Formatting_Equal(E67,AO67))</f>
        <v>Ok</v>
      </c>
      <c r="BH67" s="163" t="str" cm="1">
        <f t="array" aca="1" ref="BH67" ca="1">_xll.d.TestUtils_IsTrue(_xll.d.Formatting_Equal(F67,AP67))</f>
        <v>Ok</v>
      </c>
      <c r="BI67" s="163" t="str" cm="1">
        <f t="array" aca="1" ref="BI67" ca="1">_xll.d.TestUtils_IsTrue(_xll.d.Formatting_Equal(G67,AQ67))</f>
        <v>Ok</v>
      </c>
      <c r="BJ67" s="163" t="str" cm="1">
        <f t="array" aca="1" ref="BJ67" ca="1">_xll.d.TestUtils_IsTrue(_xll.d.Formatting_Equal(H67,AR67))</f>
        <v>Ok</v>
      </c>
      <c r="BK67" s="163" t="str" cm="1">
        <f t="array" aca="1" ref="BK67" ca="1">_xll.d.TestUtils_IsTrue(_xll.d.Formatting_Equal(I67,AS67))</f>
        <v>Ok</v>
      </c>
      <c r="BL67" s="163" t="str" cm="1">
        <f t="array" aca="1" ref="BL67" ca="1">_xll.d.TestUtils_IsTrue(_xll.d.Formatting_Equal(J67,AT67))</f>
        <v>Ok</v>
      </c>
      <c r="BM67" s="163" t="str" cm="1">
        <f t="array" aca="1" ref="BM67" ca="1">_xll.d.TestUtils_IsTrue(_xll.d.Formatting_Equal(K67,AU67))</f>
        <v>Ok</v>
      </c>
      <c r="BN67" s="163" t="str" cm="1">
        <f t="array" aca="1" ref="BN67" ca="1">_xll.d.TestUtils_IsTrue(_xll.d.Formatting_Equal(L67,AV67))</f>
        <v>Ok</v>
      </c>
      <c r="BO67" s="163" t="str" cm="1">
        <f t="array" aca="1" ref="BO67" ca="1">_xll.d.TestUtils_IsTrue(_xll.d.Formatting_Equal(M67,AW67))</f>
        <v>Ok</v>
      </c>
      <c r="BP67" s="163" t="str" cm="1">
        <f t="array" aca="1" ref="BP67" ca="1">_xll.d.TestUtils_IsTrue(_xll.d.Formatting_Equal(N67,AX67))</f>
        <v>Ok</v>
      </c>
      <c r="BQ67" s="163" t="str" cm="1">
        <f t="array" aca="1" ref="BQ67" ca="1">_xll.d.TestUtils_IsTrue(_xll.d.Formatting_Equal(O67,AY67))</f>
        <v>Ok</v>
      </c>
      <c r="BR67" s="163" t="str" cm="1">
        <f t="array" aca="1" ref="BR67" ca="1">_xll.d.TestUtils_IsTrue(_xll.d.Formatting_Equal(P67,AZ67))</f>
        <v>Ok</v>
      </c>
      <c r="BS67" s="163" t="str" cm="1">
        <f t="array" aca="1" ref="BS67" ca="1">_xll.d.TestUtils_IsTrue(_xll.d.Formatting_Equal(Q67,BA67))</f>
        <v>Ok</v>
      </c>
      <c r="BT67" s="163" t="str" cm="1">
        <f t="array" aca="1" ref="BT67" ca="1">_xll.d.TestUtils_IsTrue(_xll.d.Formatting_Equal(R67,BB67))</f>
        <v>Ok</v>
      </c>
    </row>
    <row r="68" spans="2:72">
      <c r="B68" s="54"/>
      <c r="C68" s="54"/>
    </row>
    <row r="69" spans="2:72">
      <c r="B69" s="54"/>
      <c r="C69" s="54"/>
    </row>
    <row r="70" spans="2:72" ht="18.75">
      <c r="B70" s="3" t="s">
        <v>92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>
      <c r="B72" s="50" t="s">
        <v>106</v>
      </c>
      <c r="C72" s="163" t="str" cm="1">
        <f t="array" aca="1" ref="C72" ca="1">_xll.d.TestUtils_And(T87:X103)</f>
        <v>Ok</v>
      </c>
    </row>
    <row r="74" spans="2:72">
      <c r="B74" s="50" t="s">
        <v>90</v>
      </c>
      <c r="C74" s="50" t="s">
        <v>30</v>
      </c>
    </row>
    <row r="75" spans="2:72">
      <c r="B75" s="80" t="s">
        <v>85</v>
      </c>
      <c r="C75" s="81" t="s">
        <v>102</v>
      </c>
    </row>
    <row r="76" spans="2:72">
      <c r="B76" s="74" t="s">
        <v>86</v>
      </c>
      <c r="C76" s="75" t="s">
        <v>0</v>
      </c>
    </row>
    <row r="77" spans="2:72">
      <c r="B77" s="76"/>
      <c r="C77" s="77" t="s">
        <v>87</v>
      </c>
    </row>
    <row r="78" spans="2:72">
      <c r="B78" s="78"/>
      <c r="C78" s="79" t="s">
        <v>88</v>
      </c>
    </row>
    <row r="79" spans="2:72">
      <c r="B79" s="144" t="s">
        <v>101</v>
      </c>
      <c r="C79" s="150">
        <v>0</v>
      </c>
    </row>
    <row r="80" spans="2:72">
      <c r="B80" s="144" t="s">
        <v>102</v>
      </c>
      <c r="C80" s="150">
        <v>2</v>
      </c>
    </row>
    <row r="81" spans="2:24">
      <c r="B81" s="131" t="s">
        <v>93</v>
      </c>
      <c r="C81" s="130"/>
    </row>
    <row r="83" spans="2:24">
      <c r="B83" t="s">
        <v>71</v>
      </c>
    </row>
    <row r="85" spans="2:24">
      <c r="B85" s="57" t="s">
        <v>70</v>
      </c>
      <c r="H85" s="57" t="s">
        <v>83</v>
      </c>
      <c r="N85" s="57" t="s">
        <v>84</v>
      </c>
      <c r="T85" s="57" t="s">
        <v>107</v>
      </c>
    </row>
    <row r="87" spans="2:24" ht="15" customHeight="1">
      <c r="B87" s="1122" t="s">
        <v>73</v>
      </c>
      <c r="C87" s="165" t="s">
        <v>31</v>
      </c>
      <c r="D87" s="159">
        <v>44562</v>
      </c>
      <c r="E87" s="161">
        <v>44593</v>
      </c>
      <c r="F87" s="178">
        <v>44621</v>
      </c>
      <c r="H87" s="82" t="s">
        <v>73</v>
      </c>
      <c r="I87" s="82" t="s">
        <v>31</v>
      </c>
      <c r="J87" s="117">
        <v>44562</v>
      </c>
      <c r="K87" s="117">
        <v>44593</v>
      </c>
      <c r="L87" s="117">
        <v>44621</v>
      </c>
      <c r="N87" s="1122" t="s">
        <v>73</v>
      </c>
      <c r="O87" s="165" t="s">
        <v>31</v>
      </c>
      <c r="P87" s="159">
        <v>44562</v>
      </c>
      <c r="Q87" s="161">
        <v>44593</v>
      </c>
      <c r="R87" s="178">
        <v>44621</v>
      </c>
      <c r="T87" s="163" t="str" cm="1">
        <f t="array" aca="1" ref="T87" ca="1">_xll.d.TestUtils_IsTrue(_xll.d.Formatting_Equal(B87,N87))</f>
        <v>Ok</v>
      </c>
      <c r="U87" s="163" t="str" cm="1">
        <f t="array" aca="1" ref="U87" ca="1">_xll.d.TestUtils_IsTrue(_xll.d.Formatting_Equal(C87,O87))</f>
        <v>Ok</v>
      </c>
      <c r="V87" s="163" t="str" cm="1">
        <f t="array" aca="1" ref="V87" ca="1">_xll.d.TestUtils_IsTrue(_xll.d.Formatting_Equal(D87,P87))</f>
        <v>Ok</v>
      </c>
      <c r="W87" s="163" t="str" cm="1">
        <f t="array" aca="1" ref="W87" ca="1">_xll.d.TestUtils_IsTrue(_xll.d.Formatting_Equal(E87,Q87))</f>
        <v>Ok</v>
      </c>
      <c r="X87" s="163" t="str" cm="1">
        <f t="array" aca="1" ref="X87" ca="1">_xll.d.TestUtils_IsTrue(_xll.d.Formatting_Equal(F87,R87))</f>
        <v>Ok</v>
      </c>
    </row>
    <row r="88" spans="2:24">
      <c r="B88" s="1123"/>
      <c r="C88" s="166" t="s">
        <v>0</v>
      </c>
      <c r="D88" s="160">
        <v>44562</v>
      </c>
      <c r="E88" s="162">
        <v>44593</v>
      </c>
      <c r="F88" s="179">
        <v>44621</v>
      </c>
      <c r="H88" s="82"/>
      <c r="I88" s="82" t="s">
        <v>0</v>
      </c>
      <c r="J88" s="117">
        <v>44562</v>
      </c>
      <c r="K88" s="117">
        <v>44593</v>
      </c>
      <c r="L88" s="117">
        <v>44621</v>
      </c>
      <c r="N88" s="1123"/>
      <c r="O88" s="166" t="s">
        <v>0</v>
      </c>
      <c r="P88" s="160">
        <v>44562</v>
      </c>
      <c r="Q88" s="162">
        <v>44593</v>
      </c>
      <c r="R88" s="179">
        <v>44621</v>
      </c>
      <c r="T88" s="163" t="str" cm="1">
        <f t="array" aca="1" ref="T88" ca="1">_xll.d.TestUtils_IsTrue(_xll.d.Formatting_Equal(B88,N88))</f>
        <v>Ok</v>
      </c>
      <c r="U88" s="163" t="str" cm="1">
        <f t="array" aca="1" ref="U88" ca="1">_xll.d.TestUtils_IsTrue(_xll.d.Formatting_Equal(C88,O88))</f>
        <v>Ok</v>
      </c>
      <c r="V88" s="163" t="str" cm="1">
        <f t="array" aca="1" ref="V88" ca="1">_xll.d.TestUtils_IsTrue(_xll.d.Formatting_Equal(D88,P88))</f>
        <v>Ok</v>
      </c>
      <c r="W88" s="163" t="str" cm="1">
        <f t="array" aca="1" ref="W88" ca="1">_xll.d.TestUtils_IsTrue(_xll.d.Formatting_Equal(E88,Q88))</f>
        <v>Ok</v>
      </c>
      <c r="X88" s="163" t="str" cm="1">
        <f t="array" aca="1" ref="X88" ca="1">_xll.d.TestUtils_IsTrue(_xll.d.Formatting_Equal(F88,R88))</f>
        <v>Ok</v>
      </c>
    </row>
    <row r="89" spans="2:24">
      <c r="B89" s="1123"/>
      <c r="C89" s="166" t="s">
        <v>74</v>
      </c>
      <c r="D89" s="168">
        <v>1000</v>
      </c>
      <c r="E89" s="151">
        <v>2000</v>
      </c>
      <c r="F89" s="169">
        <v>3000</v>
      </c>
      <c r="H89" s="82"/>
      <c r="I89" s="82" t="s">
        <v>74</v>
      </c>
      <c r="J89" s="117">
        <v>1000</v>
      </c>
      <c r="K89" s="117">
        <v>2000</v>
      </c>
      <c r="L89" s="117">
        <v>3000</v>
      </c>
      <c r="N89" s="1123"/>
      <c r="O89" s="166" t="s">
        <v>74</v>
      </c>
      <c r="P89" s="168">
        <v>1000</v>
      </c>
      <c r="Q89" s="151">
        <v>2000</v>
      </c>
      <c r="R89" s="169">
        <v>3000</v>
      </c>
      <c r="T89" s="163" t="str" cm="1">
        <f t="array" aca="1" ref="T89" ca="1">_xll.d.TestUtils_IsTrue(_xll.d.Formatting_Equal(B89,N89))</f>
        <v>Ok</v>
      </c>
      <c r="U89" s="163" t="str" cm="1">
        <f t="array" aca="1" ref="U89" ca="1">_xll.d.TestUtils_IsTrue(_xll.d.Formatting_Equal(C89,O89))</f>
        <v>Ok</v>
      </c>
      <c r="V89" s="163" t="str" cm="1">
        <f t="array" aca="1" ref="V89" ca="1">_xll.d.TestUtils_IsTrue(_xll.d.Formatting_Equal(D89,P89))</f>
        <v>Ok</v>
      </c>
      <c r="W89" s="163" t="str" cm="1">
        <f t="array" aca="1" ref="W89" ca="1">_xll.d.TestUtils_IsTrue(_xll.d.Formatting_Equal(E89,Q89))</f>
        <v>Ok</v>
      </c>
      <c r="X89" s="163" t="str" cm="1">
        <f t="array" aca="1" ref="X89" ca="1">_xll.d.TestUtils_IsTrue(_xll.d.Formatting_Equal(F89,R89))</f>
        <v>Ok</v>
      </c>
    </row>
    <row r="90" spans="2:24">
      <c r="B90" s="1123"/>
      <c r="C90" s="166" t="s">
        <v>75</v>
      </c>
      <c r="D90" s="170">
        <v>1000</v>
      </c>
      <c r="E90" s="152">
        <v>2000</v>
      </c>
      <c r="F90" s="171">
        <v>3000</v>
      </c>
      <c r="H90" s="82"/>
      <c r="I90" s="82" t="s">
        <v>75</v>
      </c>
      <c r="J90" s="117">
        <v>1000</v>
      </c>
      <c r="K90" s="117">
        <v>2000</v>
      </c>
      <c r="L90" s="117">
        <v>3000</v>
      </c>
      <c r="N90" s="1123"/>
      <c r="O90" s="166" t="s">
        <v>75</v>
      </c>
      <c r="P90" s="170">
        <v>1000</v>
      </c>
      <c r="Q90" s="152">
        <v>2000</v>
      </c>
      <c r="R90" s="171">
        <v>3000</v>
      </c>
      <c r="T90" s="163" t="str" cm="1">
        <f t="array" aca="1" ref="T90" ca="1">_xll.d.TestUtils_IsTrue(_xll.d.Formatting_Equal(B90,N90))</f>
        <v>Ok</v>
      </c>
      <c r="U90" s="163" t="str" cm="1">
        <f t="array" aca="1" ref="U90" ca="1">_xll.d.TestUtils_IsTrue(_xll.d.Formatting_Equal(C90,O90))</f>
        <v>Ok</v>
      </c>
      <c r="V90" s="163" t="str" cm="1">
        <f t="array" aca="1" ref="V90" ca="1">_xll.d.TestUtils_IsTrue(_xll.d.Formatting_Equal(D90,P90))</f>
        <v>Ok</v>
      </c>
      <c r="W90" s="163" t="str" cm="1">
        <f t="array" aca="1" ref="W90" ca="1">_xll.d.TestUtils_IsTrue(_xll.d.Formatting_Equal(E90,Q90))</f>
        <v>Ok</v>
      </c>
      <c r="X90" s="163" t="str" cm="1">
        <f t="array" aca="1" ref="X90" ca="1">_xll.d.TestUtils_IsTrue(_xll.d.Formatting_Equal(F90,R90))</f>
        <v>Ok</v>
      </c>
    </row>
    <row r="91" spans="2:24">
      <c r="B91" s="1123"/>
      <c r="C91" s="166" t="s">
        <v>76</v>
      </c>
      <c r="D91" s="172">
        <v>1000</v>
      </c>
      <c r="E91" s="153">
        <v>2000</v>
      </c>
      <c r="F91" s="173">
        <v>3000</v>
      </c>
      <c r="H91" s="82"/>
      <c r="I91" s="82" t="s">
        <v>76</v>
      </c>
      <c r="J91" s="117">
        <v>1000</v>
      </c>
      <c r="K91" s="117">
        <v>2000</v>
      </c>
      <c r="L91" s="117">
        <v>3000</v>
      </c>
      <c r="N91" s="1123"/>
      <c r="O91" s="166" t="s">
        <v>76</v>
      </c>
      <c r="P91" s="172">
        <v>1000</v>
      </c>
      <c r="Q91" s="153">
        <v>2000</v>
      </c>
      <c r="R91" s="173">
        <v>3000</v>
      </c>
      <c r="T91" s="163" t="str" cm="1">
        <f t="array" aca="1" ref="T91" ca="1">_xll.d.TestUtils_IsTrue(_xll.d.Formatting_Equal(B91,N91))</f>
        <v>Ok</v>
      </c>
      <c r="U91" s="163" t="str" cm="1">
        <f t="array" aca="1" ref="U91" ca="1">_xll.d.TestUtils_IsTrue(_xll.d.Formatting_Equal(C91,O91))</f>
        <v>Ok</v>
      </c>
      <c r="V91" s="163" t="str" cm="1">
        <f t="array" aca="1" ref="V91" ca="1">_xll.d.TestUtils_IsTrue(_xll.d.Formatting_Equal(D91,P91))</f>
        <v>Ok</v>
      </c>
      <c r="W91" s="163" t="str" cm="1">
        <f t="array" aca="1" ref="W91" ca="1">_xll.d.TestUtils_IsTrue(_xll.d.Formatting_Equal(E91,Q91))</f>
        <v>Ok</v>
      </c>
      <c r="X91" s="163" t="str" cm="1">
        <f t="array" aca="1" ref="X91" ca="1">_xll.d.TestUtils_IsTrue(_xll.d.Formatting_Equal(F91,R91))</f>
        <v>Ok</v>
      </c>
    </row>
    <row r="92" spans="2:24">
      <c r="B92" s="1123"/>
      <c r="C92" s="166" t="s">
        <v>77</v>
      </c>
      <c r="D92" s="174">
        <v>1000</v>
      </c>
      <c r="E92" s="154">
        <v>2000</v>
      </c>
      <c r="F92" s="175">
        <v>3000</v>
      </c>
      <c r="H92" s="82"/>
      <c r="I92" s="82" t="s">
        <v>77</v>
      </c>
      <c r="J92" s="117">
        <v>1000</v>
      </c>
      <c r="K92" s="117">
        <v>2000</v>
      </c>
      <c r="L92" s="117">
        <v>3000</v>
      </c>
      <c r="N92" s="1123"/>
      <c r="O92" s="166" t="s">
        <v>77</v>
      </c>
      <c r="P92" s="174">
        <v>1000</v>
      </c>
      <c r="Q92" s="154">
        <v>2000</v>
      </c>
      <c r="R92" s="175">
        <v>3000</v>
      </c>
      <c r="T92" s="163" t="str" cm="1">
        <f t="array" aca="1" ref="T92" ca="1">_xll.d.TestUtils_IsTrue(_xll.d.Formatting_Equal(B92,N92))</f>
        <v>Ok</v>
      </c>
      <c r="U92" s="163" t="str" cm="1">
        <f t="array" aca="1" ref="U92" ca="1">_xll.d.TestUtils_IsTrue(_xll.d.Formatting_Equal(C92,O92))</f>
        <v>Ok</v>
      </c>
      <c r="V92" s="163" t="str" cm="1">
        <f t="array" aca="1" ref="V92" ca="1">_xll.d.TestUtils_IsTrue(_xll.d.Formatting_Equal(D92,P92))</f>
        <v>Ok</v>
      </c>
      <c r="W92" s="163" t="str" cm="1">
        <f t="array" aca="1" ref="W92" ca="1">_xll.d.TestUtils_IsTrue(_xll.d.Formatting_Equal(E92,Q92))</f>
        <v>Ok</v>
      </c>
      <c r="X92" s="163" t="str" cm="1">
        <f t="array" aca="1" ref="X92" ca="1">_xll.d.TestUtils_IsTrue(_xll.d.Formatting_Equal(F92,R92))</f>
        <v>Ok</v>
      </c>
    </row>
    <row r="93" spans="2:24">
      <c r="B93" s="1123"/>
      <c r="C93" s="166" t="s">
        <v>78</v>
      </c>
      <c r="D93" s="176">
        <v>0.3</v>
      </c>
      <c r="E93" s="155">
        <v>0.4</v>
      </c>
      <c r="F93" s="157">
        <v>0.5</v>
      </c>
      <c r="H93" s="82"/>
      <c r="I93" s="82" t="s">
        <v>78</v>
      </c>
      <c r="J93" s="116">
        <v>0.3</v>
      </c>
      <c r="K93" s="116">
        <v>0.4</v>
      </c>
      <c r="L93" s="116">
        <v>0.5</v>
      </c>
      <c r="N93" s="1123"/>
      <c r="O93" s="166" t="s">
        <v>78</v>
      </c>
      <c r="P93" s="176">
        <v>0.3</v>
      </c>
      <c r="Q93" s="155">
        <v>0.4</v>
      </c>
      <c r="R93" s="157">
        <v>0.5</v>
      </c>
      <c r="T93" s="163" t="str" cm="1">
        <f t="array" aca="1" ref="T93" ca="1">_xll.d.TestUtils_IsTrue(_xll.d.Formatting_Equal(B93,N93))</f>
        <v>Ok</v>
      </c>
      <c r="U93" s="163" t="str" cm="1">
        <f t="array" aca="1" ref="U93" ca="1">_xll.d.TestUtils_IsTrue(_xll.d.Formatting_Equal(C93,O93))</f>
        <v>Ok</v>
      </c>
      <c r="V93" s="163" t="str" cm="1">
        <f t="array" aca="1" ref="V93" ca="1">_xll.d.TestUtils_IsTrue(_xll.d.Formatting_Equal(D93,P93))</f>
        <v>Ok</v>
      </c>
      <c r="W93" s="163" t="str" cm="1">
        <f t="array" aca="1" ref="W93" ca="1">_xll.d.TestUtils_IsTrue(_xll.d.Formatting_Equal(E93,Q93))</f>
        <v>Ok</v>
      </c>
      <c r="X93" s="163" t="str" cm="1">
        <f t="array" aca="1" ref="X93" ca="1">_xll.d.TestUtils_IsTrue(_xll.d.Formatting_Equal(F93,R93))</f>
        <v>Ok</v>
      </c>
    </row>
    <row r="94" spans="2:24">
      <c r="B94" s="1123"/>
      <c r="C94" s="166" t="s">
        <v>62</v>
      </c>
      <c r="D94" s="176">
        <v>0.3</v>
      </c>
      <c r="E94" s="155">
        <v>0.4</v>
      </c>
      <c r="F94" s="157">
        <v>0.5</v>
      </c>
      <c r="H94" s="82"/>
      <c r="I94" s="82" t="s">
        <v>62</v>
      </c>
      <c r="J94" s="116">
        <v>0.3</v>
      </c>
      <c r="K94" s="116">
        <v>0.4</v>
      </c>
      <c r="L94" s="116">
        <v>0.5</v>
      </c>
      <c r="N94" s="1123"/>
      <c r="O94" s="166" t="s">
        <v>62</v>
      </c>
      <c r="P94" s="176">
        <v>0.3</v>
      </c>
      <c r="Q94" s="155">
        <v>0.4</v>
      </c>
      <c r="R94" s="157">
        <v>0.5</v>
      </c>
      <c r="T94" s="163" t="str" cm="1">
        <f t="array" aca="1" ref="T94" ca="1">_xll.d.TestUtils_IsTrue(_xll.d.Formatting_Equal(B94,N94))</f>
        <v>Ok</v>
      </c>
      <c r="U94" s="163" t="str" cm="1">
        <f t="array" aca="1" ref="U94" ca="1">_xll.d.TestUtils_IsTrue(_xll.d.Formatting_Equal(C94,O94))</f>
        <v>Ok</v>
      </c>
      <c r="V94" s="163" t="str" cm="1">
        <f t="array" aca="1" ref="V94" ca="1">_xll.d.TestUtils_IsTrue(_xll.d.Formatting_Equal(D94,P94))</f>
        <v>Ok</v>
      </c>
      <c r="W94" s="163" t="str" cm="1">
        <f t="array" aca="1" ref="W94" ca="1">_xll.d.TestUtils_IsTrue(_xll.d.Formatting_Equal(E94,Q94))</f>
        <v>Ok</v>
      </c>
      <c r="X94" s="163" t="str" cm="1">
        <f t="array" aca="1" ref="X94" ca="1">_xll.d.TestUtils_IsTrue(_xll.d.Formatting_Equal(F94,R94))</f>
        <v>Ok</v>
      </c>
    </row>
    <row r="95" spans="2:24">
      <c r="B95" s="1123"/>
      <c r="C95" s="166" t="s">
        <v>63</v>
      </c>
      <c r="D95" s="176">
        <v>0.3</v>
      </c>
      <c r="E95" s="155">
        <v>0.4</v>
      </c>
      <c r="F95" s="157">
        <v>0.5</v>
      </c>
      <c r="H95" s="82"/>
      <c r="I95" s="82" t="s">
        <v>63</v>
      </c>
      <c r="J95" s="116">
        <v>0.3</v>
      </c>
      <c r="K95" s="116">
        <v>0.4</v>
      </c>
      <c r="L95" s="116">
        <v>0.5</v>
      </c>
      <c r="N95" s="1123"/>
      <c r="O95" s="166" t="s">
        <v>63</v>
      </c>
      <c r="P95" s="176">
        <v>0.3</v>
      </c>
      <c r="Q95" s="155">
        <v>0.4</v>
      </c>
      <c r="R95" s="157">
        <v>0.5</v>
      </c>
      <c r="T95" s="163" t="str" cm="1">
        <f t="array" aca="1" ref="T95" ca="1">_xll.d.TestUtils_IsTrue(_xll.d.Formatting_Equal(B95,N95))</f>
        <v>Ok</v>
      </c>
      <c r="U95" s="163" t="str" cm="1">
        <f t="array" aca="1" ref="U95" ca="1">_xll.d.TestUtils_IsTrue(_xll.d.Formatting_Equal(C95,O95))</f>
        <v>Ok</v>
      </c>
      <c r="V95" s="163" t="str" cm="1">
        <f t="array" aca="1" ref="V95" ca="1">_xll.d.TestUtils_IsTrue(_xll.d.Formatting_Equal(D95,P95))</f>
        <v>Ok</v>
      </c>
      <c r="W95" s="163" t="str" cm="1">
        <f t="array" aca="1" ref="W95" ca="1">_xll.d.TestUtils_IsTrue(_xll.d.Formatting_Equal(E95,Q95))</f>
        <v>Ok</v>
      </c>
      <c r="X95" s="163" t="str" cm="1">
        <f t="array" aca="1" ref="X95" ca="1">_xll.d.TestUtils_IsTrue(_xll.d.Formatting_Equal(F95,R95))</f>
        <v>Ok</v>
      </c>
    </row>
    <row r="96" spans="2:24">
      <c r="B96" s="1123"/>
      <c r="C96" s="166" t="s">
        <v>64</v>
      </c>
      <c r="D96" s="176">
        <v>0.3</v>
      </c>
      <c r="E96" s="155">
        <v>0.4</v>
      </c>
      <c r="F96" s="157">
        <v>0.5</v>
      </c>
      <c r="H96" s="82"/>
      <c r="I96" s="82" t="s">
        <v>64</v>
      </c>
      <c r="J96" s="116">
        <v>0.3</v>
      </c>
      <c r="K96" s="116">
        <v>0.4</v>
      </c>
      <c r="L96" s="116">
        <v>0.5</v>
      </c>
      <c r="N96" s="1123"/>
      <c r="O96" s="166" t="s">
        <v>64</v>
      </c>
      <c r="P96" s="176">
        <v>0.3</v>
      </c>
      <c r="Q96" s="155">
        <v>0.4</v>
      </c>
      <c r="R96" s="157">
        <v>0.5</v>
      </c>
      <c r="T96" s="163" t="str" cm="1">
        <f t="array" aca="1" ref="T96" ca="1">_xll.d.TestUtils_IsTrue(_xll.d.Formatting_Equal(B96,N96))</f>
        <v>Ok</v>
      </c>
      <c r="U96" s="163" t="str" cm="1">
        <f t="array" aca="1" ref="U96" ca="1">_xll.d.TestUtils_IsTrue(_xll.d.Formatting_Equal(C96,O96))</f>
        <v>Ok</v>
      </c>
      <c r="V96" s="163" t="str" cm="1">
        <f t="array" aca="1" ref="V96" ca="1">_xll.d.TestUtils_IsTrue(_xll.d.Formatting_Equal(D96,P96))</f>
        <v>Ok</v>
      </c>
      <c r="W96" s="163" t="str" cm="1">
        <f t="array" aca="1" ref="W96" ca="1">_xll.d.TestUtils_IsTrue(_xll.d.Formatting_Equal(E96,Q96))</f>
        <v>Ok</v>
      </c>
      <c r="X96" s="163" t="str" cm="1">
        <f t="array" aca="1" ref="X96" ca="1">_xll.d.TestUtils_IsTrue(_xll.d.Formatting_Equal(F96,R96))</f>
        <v>Ok</v>
      </c>
    </row>
    <row r="97" spans="2:55">
      <c r="B97" s="1123"/>
      <c r="C97" s="166" t="s">
        <v>79</v>
      </c>
      <c r="D97" s="176">
        <v>0.3</v>
      </c>
      <c r="E97" s="155">
        <v>0.4</v>
      </c>
      <c r="F97" s="157">
        <v>0.5</v>
      </c>
      <c r="H97" s="82"/>
      <c r="I97" s="82" t="s">
        <v>79</v>
      </c>
      <c r="J97" s="116">
        <v>0.3</v>
      </c>
      <c r="K97" s="116">
        <v>0.4</v>
      </c>
      <c r="L97" s="116">
        <v>0.5</v>
      </c>
      <c r="N97" s="1123"/>
      <c r="O97" s="166" t="s">
        <v>79</v>
      </c>
      <c r="P97" s="176">
        <v>0.3</v>
      </c>
      <c r="Q97" s="155">
        <v>0.4</v>
      </c>
      <c r="R97" s="157">
        <v>0.5</v>
      </c>
      <c r="T97" s="163" t="str" cm="1">
        <f t="array" aca="1" ref="T97" ca="1">_xll.d.TestUtils_IsTrue(_xll.d.Formatting_Equal(B97,N97))</f>
        <v>Ok</v>
      </c>
      <c r="U97" s="163" t="str" cm="1">
        <f t="array" aca="1" ref="U97" ca="1">_xll.d.TestUtils_IsTrue(_xll.d.Formatting_Equal(C97,O97))</f>
        <v>Ok</v>
      </c>
      <c r="V97" s="163" t="str" cm="1">
        <f t="array" aca="1" ref="V97" ca="1">_xll.d.TestUtils_IsTrue(_xll.d.Formatting_Equal(D97,P97))</f>
        <v>Ok</v>
      </c>
      <c r="W97" s="163" t="str" cm="1">
        <f t="array" aca="1" ref="W97" ca="1">_xll.d.TestUtils_IsTrue(_xll.d.Formatting_Equal(E97,Q97))</f>
        <v>Ok</v>
      </c>
      <c r="X97" s="163" t="str" cm="1">
        <f t="array" aca="1" ref="X97" ca="1">_xll.d.TestUtils_IsTrue(_xll.d.Formatting_Equal(F97,R97))</f>
        <v>Ok</v>
      </c>
    </row>
    <row r="98" spans="2:55">
      <c r="B98" s="1123"/>
      <c r="C98" s="166" t="s">
        <v>23</v>
      </c>
      <c r="D98" s="176">
        <v>0.3</v>
      </c>
      <c r="E98" s="155">
        <v>0.4</v>
      </c>
      <c r="F98" s="157">
        <v>0.5</v>
      </c>
      <c r="H98" s="82"/>
      <c r="I98" s="82" t="s">
        <v>23</v>
      </c>
      <c r="J98" s="116">
        <v>0.3</v>
      </c>
      <c r="K98" s="116">
        <v>0.4</v>
      </c>
      <c r="L98" s="116">
        <v>0.5</v>
      </c>
      <c r="N98" s="1123"/>
      <c r="O98" s="166" t="s">
        <v>23</v>
      </c>
      <c r="P98" s="176">
        <v>0.3</v>
      </c>
      <c r="Q98" s="155">
        <v>0.4</v>
      </c>
      <c r="R98" s="157">
        <v>0.5</v>
      </c>
      <c r="T98" s="163" t="str" cm="1">
        <f t="array" aca="1" ref="T98" ca="1">_xll.d.TestUtils_IsTrue(_xll.d.Formatting_Equal(B98,N98))</f>
        <v>Ok</v>
      </c>
      <c r="U98" s="163" t="str" cm="1">
        <f t="array" aca="1" ref="U98" ca="1">_xll.d.TestUtils_IsTrue(_xll.d.Formatting_Equal(C98,O98))</f>
        <v>Ok</v>
      </c>
      <c r="V98" s="163" t="str" cm="1">
        <f t="array" aca="1" ref="V98" ca="1">_xll.d.TestUtils_IsTrue(_xll.d.Formatting_Equal(D98,P98))</f>
        <v>Ok</v>
      </c>
      <c r="W98" s="163" t="str" cm="1">
        <f t="array" aca="1" ref="W98" ca="1">_xll.d.TestUtils_IsTrue(_xll.d.Formatting_Equal(E98,Q98))</f>
        <v>Ok</v>
      </c>
      <c r="X98" s="163" t="str" cm="1">
        <f t="array" aca="1" ref="X98" ca="1">_xll.d.TestUtils_IsTrue(_xll.d.Formatting_Equal(F98,R98))</f>
        <v>Ok</v>
      </c>
    </row>
    <row r="99" spans="2:55">
      <c r="B99" s="1123"/>
      <c r="C99" s="166" t="s">
        <v>36</v>
      </c>
      <c r="D99" s="176">
        <v>0.3</v>
      </c>
      <c r="E99" s="155">
        <v>0.4</v>
      </c>
      <c r="F99" s="157">
        <v>0.5</v>
      </c>
      <c r="H99" s="82"/>
      <c r="I99" s="82" t="s">
        <v>36</v>
      </c>
      <c r="J99" s="116">
        <v>0.3</v>
      </c>
      <c r="K99" s="116">
        <v>0.4</v>
      </c>
      <c r="L99" s="116">
        <v>0.5</v>
      </c>
      <c r="N99" s="1123"/>
      <c r="O99" s="166" t="s">
        <v>36</v>
      </c>
      <c r="P99" s="176">
        <v>0.3</v>
      </c>
      <c r="Q99" s="155">
        <v>0.4</v>
      </c>
      <c r="R99" s="157">
        <v>0.5</v>
      </c>
      <c r="T99" s="163" t="str" cm="1">
        <f t="array" aca="1" ref="T99" ca="1">_xll.d.TestUtils_IsTrue(_xll.d.Formatting_Equal(B99,N99))</f>
        <v>Ok</v>
      </c>
      <c r="U99" s="163" t="str" cm="1">
        <f t="array" aca="1" ref="U99" ca="1">_xll.d.TestUtils_IsTrue(_xll.d.Formatting_Equal(C99,O99))</f>
        <v>Ok</v>
      </c>
      <c r="V99" s="163" t="str" cm="1">
        <f t="array" aca="1" ref="V99" ca="1">_xll.d.TestUtils_IsTrue(_xll.d.Formatting_Equal(D99,P99))</f>
        <v>Ok</v>
      </c>
      <c r="W99" s="163" t="str" cm="1">
        <f t="array" aca="1" ref="W99" ca="1">_xll.d.TestUtils_IsTrue(_xll.d.Formatting_Equal(E99,Q99))</f>
        <v>Ok</v>
      </c>
      <c r="X99" s="163" t="str" cm="1">
        <f t="array" aca="1" ref="X99" ca="1">_xll.d.TestUtils_IsTrue(_xll.d.Formatting_Equal(F99,R99))</f>
        <v>Ok</v>
      </c>
    </row>
    <row r="100" spans="2:55">
      <c r="B100" s="1123"/>
      <c r="C100" s="166" t="s">
        <v>80</v>
      </c>
      <c r="D100" s="176">
        <v>0.3</v>
      </c>
      <c r="E100" s="155">
        <v>0.4</v>
      </c>
      <c r="F100" s="157">
        <v>0.5</v>
      </c>
      <c r="H100" s="82"/>
      <c r="I100" s="82" t="s">
        <v>80</v>
      </c>
      <c r="J100" s="116">
        <v>0.3</v>
      </c>
      <c r="K100" s="116">
        <v>0.4</v>
      </c>
      <c r="L100" s="116">
        <v>0.5</v>
      </c>
      <c r="N100" s="1123"/>
      <c r="O100" s="166" t="s">
        <v>80</v>
      </c>
      <c r="P100" s="176">
        <v>0.3</v>
      </c>
      <c r="Q100" s="155">
        <v>0.4</v>
      </c>
      <c r="R100" s="157">
        <v>0.5</v>
      </c>
      <c r="T100" s="163" t="str" cm="1">
        <f t="array" aca="1" ref="T100" ca="1">_xll.d.TestUtils_IsTrue(_xll.d.Formatting_Equal(B100,N100))</f>
        <v>Ok</v>
      </c>
      <c r="U100" s="163" t="str" cm="1">
        <f t="array" aca="1" ref="U100" ca="1">_xll.d.TestUtils_IsTrue(_xll.d.Formatting_Equal(C100,O100))</f>
        <v>Ok</v>
      </c>
      <c r="V100" s="163" t="str" cm="1">
        <f t="array" aca="1" ref="V100" ca="1">_xll.d.TestUtils_IsTrue(_xll.d.Formatting_Equal(D100,P100))</f>
        <v>Ok</v>
      </c>
      <c r="W100" s="163" t="str" cm="1">
        <f t="array" aca="1" ref="W100" ca="1">_xll.d.TestUtils_IsTrue(_xll.d.Formatting_Equal(E100,Q100))</f>
        <v>Ok</v>
      </c>
      <c r="X100" s="163" t="str" cm="1">
        <f t="array" aca="1" ref="X100" ca="1">_xll.d.TestUtils_IsTrue(_xll.d.Formatting_Equal(F100,R100))</f>
        <v>Ok</v>
      </c>
    </row>
    <row r="101" spans="2:55">
      <c r="B101" s="1123"/>
      <c r="C101" s="166" t="s">
        <v>72</v>
      </c>
      <c r="D101" s="176">
        <v>0.3</v>
      </c>
      <c r="E101" s="155">
        <v>0.4</v>
      </c>
      <c r="F101" s="157">
        <v>0.5</v>
      </c>
      <c r="H101" s="82"/>
      <c r="I101" s="82" t="s">
        <v>72</v>
      </c>
      <c r="J101" s="116">
        <v>0.3</v>
      </c>
      <c r="K101" s="116">
        <v>0.4</v>
      </c>
      <c r="L101" s="116">
        <v>0.5</v>
      </c>
      <c r="N101" s="1123"/>
      <c r="O101" s="166" t="s">
        <v>72</v>
      </c>
      <c r="P101" s="176">
        <v>0.3</v>
      </c>
      <c r="Q101" s="155">
        <v>0.4</v>
      </c>
      <c r="R101" s="157">
        <v>0.5</v>
      </c>
      <c r="T101" s="163" t="str" cm="1">
        <f t="array" aca="1" ref="T101" ca="1">_xll.d.TestUtils_IsTrue(_xll.d.Formatting_Equal(B101,N101))</f>
        <v>Ok</v>
      </c>
      <c r="U101" s="163" t="str" cm="1">
        <f t="array" aca="1" ref="U101" ca="1">_xll.d.TestUtils_IsTrue(_xll.d.Formatting_Equal(C101,O101))</f>
        <v>Ok</v>
      </c>
      <c r="V101" s="163" t="str" cm="1">
        <f t="array" aca="1" ref="V101" ca="1">_xll.d.TestUtils_IsTrue(_xll.d.Formatting_Equal(D101,P101))</f>
        <v>Ok</v>
      </c>
      <c r="W101" s="163" t="str" cm="1">
        <f t="array" aca="1" ref="W101" ca="1">_xll.d.TestUtils_IsTrue(_xll.d.Formatting_Equal(E101,Q101))</f>
        <v>Ok</v>
      </c>
      <c r="X101" s="163" t="str" cm="1">
        <f t="array" aca="1" ref="X101" ca="1">_xll.d.TestUtils_IsTrue(_xll.d.Formatting_Equal(F101,R101))</f>
        <v>Ok</v>
      </c>
    </row>
    <row r="102" spans="2:55">
      <c r="B102" s="1123"/>
      <c r="C102" s="166" t="s">
        <v>82</v>
      </c>
      <c r="D102" s="176">
        <v>0.3</v>
      </c>
      <c r="E102" s="155">
        <v>0.4</v>
      </c>
      <c r="F102" s="157">
        <v>0.5</v>
      </c>
      <c r="H102" s="82"/>
      <c r="I102" s="82" t="s">
        <v>82</v>
      </c>
      <c r="J102" s="116">
        <v>0.3</v>
      </c>
      <c r="K102" s="116">
        <v>0.4</v>
      </c>
      <c r="L102" s="116">
        <v>0.5</v>
      </c>
      <c r="N102" s="1123"/>
      <c r="O102" s="166" t="s">
        <v>82</v>
      </c>
      <c r="P102" s="176">
        <v>0.3</v>
      </c>
      <c r="Q102" s="155">
        <v>0.4</v>
      </c>
      <c r="R102" s="157">
        <v>0.5</v>
      </c>
      <c r="T102" s="163" t="str" cm="1">
        <f t="array" aca="1" ref="T102" ca="1">_xll.d.TestUtils_IsTrue(_xll.d.Formatting_Equal(B102,N102))</f>
        <v>Ok</v>
      </c>
      <c r="U102" s="163" t="str" cm="1">
        <f t="array" aca="1" ref="U102" ca="1">_xll.d.TestUtils_IsTrue(_xll.d.Formatting_Equal(C102,O102))</f>
        <v>Ok</v>
      </c>
      <c r="V102" s="163" t="str" cm="1">
        <f t="array" aca="1" ref="V102" ca="1">_xll.d.TestUtils_IsTrue(_xll.d.Formatting_Equal(D102,P102))</f>
        <v>Ok</v>
      </c>
      <c r="W102" s="163" t="str" cm="1">
        <f t="array" aca="1" ref="W102" ca="1">_xll.d.TestUtils_IsTrue(_xll.d.Formatting_Equal(E102,Q102))</f>
        <v>Ok</v>
      </c>
      <c r="X102" s="163" t="str" cm="1">
        <f t="array" aca="1" ref="X102" ca="1">_xll.d.TestUtils_IsTrue(_xll.d.Formatting_Equal(F102,R102))</f>
        <v>Ok</v>
      </c>
    </row>
    <row r="103" spans="2:55">
      <c r="B103" s="1124"/>
      <c r="C103" s="167" t="s">
        <v>81</v>
      </c>
      <c r="D103" s="177">
        <v>0.3</v>
      </c>
      <c r="E103" s="156">
        <v>0.4</v>
      </c>
      <c r="F103" s="158">
        <v>0.5</v>
      </c>
      <c r="H103" s="82"/>
      <c r="I103" s="82" t="s">
        <v>81</v>
      </c>
      <c r="J103" s="116">
        <v>0.3</v>
      </c>
      <c r="K103" s="116">
        <v>0.4</v>
      </c>
      <c r="L103" s="116">
        <v>0.5</v>
      </c>
      <c r="N103" s="1124"/>
      <c r="O103" s="167" t="s">
        <v>81</v>
      </c>
      <c r="P103" s="177">
        <v>0.3</v>
      </c>
      <c r="Q103" s="156">
        <v>0.4</v>
      </c>
      <c r="R103" s="158">
        <v>0.5</v>
      </c>
      <c r="T103" s="163" t="str" cm="1">
        <f t="array" aca="1" ref="T103" ca="1">_xll.d.TestUtils_IsTrue(_xll.d.Formatting_Equal(B103,N103))</f>
        <v>Ok</v>
      </c>
      <c r="U103" s="163" t="str" cm="1">
        <f t="array" aca="1" ref="U103" ca="1">_xll.d.TestUtils_IsTrue(_xll.d.Formatting_Equal(C103,O103))</f>
        <v>Ok</v>
      </c>
      <c r="V103" s="163" t="str" cm="1">
        <f t="array" aca="1" ref="V103" ca="1">_xll.d.TestUtils_IsTrue(_xll.d.Formatting_Equal(D103,P103))</f>
        <v>Ok</v>
      </c>
      <c r="W103" s="163" t="str" cm="1">
        <f t="array" aca="1" ref="W103" ca="1">_xll.d.TestUtils_IsTrue(_xll.d.Formatting_Equal(E103,Q103))</f>
        <v>Ok</v>
      </c>
      <c r="X103" s="163" t="str" cm="1">
        <f t="array" aca="1" ref="X103" ca="1">_xll.d.TestUtils_IsTrue(_xll.d.Formatting_Equal(F103,R103))</f>
        <v>Ok</v>
      </c>
    </row>
    <row r="106" spans="2:55" ht="18.75">
      <c r="B106" s="3" t="s">
        <v>95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>
      <c r="B108" s="50" t="s">
        <v>106</v>
      </c>
      <c r="C108" s="163" t="str" cm="1">
        <f t="array" aca="1" ref="C108" ca="1">_xll.d.TestUtils_And(T123:X139)</f>
        <v>Ok</v>
      </c>
    </row>
    <row r="110" spans="2:55">
      <c r="B110" s="50" t="s">
        <v>90</v>
      </c>
      <c r="C110" s="50" t="s">
        <v>30</v>
      </c>
    </row>
    <row r="111" spans="2:55">
      <c r="B111" s="80" t="s">
        <v>85</v>
      </c>
      <c r="C111" s="81" t="s">
        <v>101</v>
      </c>
    </row>
    <row r="112" spans="2:55">
      <c r="B112" s="74" t="s">
        <v>86</v>
      </c>
      <c r="C112" s="75" t="s">
        <v>0</v>
      </c>
    </row>
    <row r="113" spans="2:24">
      <c r="B113" s="76"/>
      <c r="C113" s="77" t="s">
        <v>87</v>
      </c>
    </row>
    <row r="114" spans="2:24">
      <c r="B114" s="78"/>
      <c r="C114" s="79" t="s">
        <v>88</v>
      </c>
    </row>
    <row r="115" spans="2:24">
      <c r="B115" s="144" t="s">
        <v>101</v>
      </c>
      <c r="C115" s="150">
        <v>0</v>
      </c>
    </row>
    <row r="116" spans="2:24">
      <c r="B116" s="144" t="s">
        <v>102</v>
      </c>
      <c r="C116" s="150">
        <v>2</v>
      </c>
    </row>
    <row r="117" spans="2:24">
      <c r="B117" s="131" t="s">
        <v>93</v>
      </c>
      <c r="C117" s="132"/>
    </row>
    <row r="119" spans="2:24">
      <c r="B119" t="s">
        <v>94</v>
      </c>
    </row>
    <row r="121" spans="2:24">
      <c r="B121" s="57" t="s">
        <v>70</v>
      </c>
      <c r="H121" s="57" t="s">
        <v>83</v>
      </c>
      <c r="N121" s="57" t="s">
        <v>84</v>
      </c>
      <c r="T121" s="57" t="s">
        <v>107</v>
      </c>
    </row>
    <row r="123" spans="2:24" ht="15" customHeight="1">
      <c r="B123" s="134" t="s">
        <v>73</v>
      </c>
      <c r="C123" s="134" t="s">
        <v>31</v>
      </c>
      <c r="D123" s="134">
        <v>44562</v>
      </c>
      <c r="E123" s="134">
        <v>44593</v>
      </c>
      <c r="F123" s="134">
        <v>44621</v>
      </c>
      <c r="H123" s="1125" t="s">
        <v>73</v>
      </c>
      <c r="I123" s="83" t="s">
        <v>31</v>
      </c>
      <c r="J123" s="67">
        <v>44562</v>
      </c>
      <c r="K123" s="69">
        <v>44593</v>
      </c>
      <c r="L123" s="86">
        <v>44621</v>
      </c>
      <c r="N123" s="134" t="s">
        <v>73</v>
      </c>
      <c r="O123" s="134" t="s">
        <v>31</v>
      </c>
      <c r="P123" s="134">
        <v>44562</v>
      </c>
      <c r="Q123" s="134">
        <v>44593</v>
      </c>
      <c r="R123" s="134">
        <v>44621</v>
      </c>
      <c r="T123" s="163" t="str" cm="1">
        <f t="array" aca="1" ref="T123" ca="1">_xll.d.TestUtils_IsTrue(_xll.d.Formatting_Equal(B123,N123))</f>
        <v>Ok</v>
      </c>
      <c r="U123" s="163" t="str" cm="1">
        <f t="array" aca="1" ref="U123" ca="1">_xll.d.TestUtils_IsTrue(_xll.d.Formatting_Equal(C123,O123))</f>
        <v>Ok</v>
      </c>
      <c r="V123" s="163" t="str" cm="1">
        <f t="array" aca="1" ref="V123" ca="1">_xll.d.TestUtils_IsTrue(_xll.d.Formatting_Equal(D123,P123))</f>
        <v>Ok</v>
      </c>
      <c r="W123" s="163" t="str" cm="1">
        <f t="array" aca="1" ref="W123" ca="1">_xll.d.TestUtils_IsTrue(_xll.d.Formatting_Equal(E123,Q123))</f>
        <v>Ok</v>
      </c>
      <c r="X123" s="163" t="str" cm="1">
        <f t="array" aca="1" ref="X123" ca="1">_xll.d.TestUtils_IsTrue(_xll.d.Formatting_Equal(F123,R123))</f>
        <v>Ok</v>
      </c>
    </row>
    <row r="124" spans="2:24">
      <c r="B124" s="135"/>
      <c r="C124" s="134" t="s">
        <v>0</v>
      </c>
      <c r="D124" s="134">
        <v>44562</v>
      </c>
      <c r="E124" s="134">
        <v>44593</v>
      </c>
      <c r="F124" s="134">
        <v>44621</v>
      </c>
      <c r="H124" s="1126"/>
      <c r="I124" s="84" t="s">
        <v>0</v>
      </c>
      <c r="J124" s="68">
        <v>44562</v>
      </c>
      <c r="K124" s="70">
        <v>44593</v>
      </c>
      <c r="L124" s="87">
        <v>44621</v>
      </c>
      <c r="N124" s="135"/>
      <c r="O124" s="134" t="s">
        <v>0</v>
      </c>
      <c r="P124" s="134">
        <v>44562</v>
      </c>
      <c r="Q124" s="134">
        <v>44593</v>
      </c>
      <c r="R124" s="134">
        <v>44621</v>
      </c>
      <c r="T124" s="163" t="str" cm="1">
        <f t="array" aca="1" ref="T124" ca="1">_xll.d.TestUtils_IsTrue(_xll.d.Formatting_Equal(B124,N124))</f>
        <v>Ok</v>
      </c>
      <c r="U124" s="163" t="str" cm="1">
        <f t="array" aca="1" ref="U124" ca="1">_xll.d.TestUtils_IsTrue(_xll.d.Formatting_Equal(C124,O124))</f>
        <v>Ok</v>
      </c>
      <c r="V124" s="163" t="str" cm="1">
        <f t="array" aca="1" ref="V124" ca="1">_xll.d.TestUtils_IsTrue(_xll.d.Formatting_Equal(D124,P124))</f>
        <v>Ok</v>
      </c>
      <c r="W124" s="163" t="str" cm="1">
        <f t="array" aca="1" ref="W124" ca="1">_xll.d.TestUtils_IsTrue(_xll.d.Formatting_Equal(E124,Q124))</f>
        <v>Ok</v>
      </c>
      <c r="X124" s="163" t="str" cm="1">
        <f t="array" aca="1" ref="X124" ca="1">_xll.d.TestUtils_IsTrue(_xll.d.Formatting_Equal(F124,R124))</f>
        <v>Ok</v>
      </c>
    </row>
    <row r="125" spans="2:24">
      <c r="B125" s="135"/>
      <c r="C125" s="134" t="s">
        <v>74</v>
      </c>
      <c r="D125" s="135">
        <v>1000</v>
      </c>
      <c r="E125" s="135">
        <v>2000</v>
      </c>
      <c r="F125" s="135">
        <v>3000</v>
      </c>
      <c r="H125" s="1126"/>
      <c r="I125" s="84" t="s">
        <v>74</v>
      </c>
      <c r="J125" s="88">
        <v>1000</v>
      </c>
      <c r="K125" s="71">
        <v>2000</v>
      </c>
      <c r="L125" s="89">
        <v>3000</v>
      </c>
      <c r="N125" s="135"/>
      <c r="O125" s="134" t="s">
        <v>74</v>
      </c>
      <c r="P125" s="135">
        <v>1000</v>
      </c>
      <c r="Q125" s="135">
        <v>2000</v>
      </c>
      <c r="R125" s="135">
        <v>3000</v>
      </c>
      <c r="T125" s="163" t="str" cm="1">
        <f t="array" aca="1" ref="T125" ca="1">_xll.d.TestUtils_IsTrue(_xll.d.Formatting_Equal(B125,N125))</f>
        <v>Ok</v>
      </c>
      <c r="U125" s="163" t="str" cm="1">
        <f t="array" aca="1" ref="U125" ca="1">_xll.d.TestUtils_IsTrue(_xll.d.Formatting_Equal(C125,O125))</f>
        <v>Ok</v>
      </c>
      <c r="V125" s="163" t="str" cm="1">
        <f t="array" aca="1" ref="V125" ca="1">_xll.d.TestUtils_IsTrue(_xll.d.Formatting_Equal(D125,P125))</f>
        <v>Ok</v>
      </c>
      <c r="W125" s="163" t="str" cm="1">
        <f t="array" aca="1" ref="W125" ca="1">_xll.d.TestUtils_IsTrue(_xll.d.Formatting_Equal(E125,Q125))</f>
        <v>Ok</v>
      </c>
      <c r="X125" s="163" t="str" cm="1">
        <f t="array" aca="1" ref="X125" ca="1">_xll.d.TestUtils_IsTrue(_xll.d.Formatting_Equal(F125,R125))</f>
        <v>Ok</v>
      </c>
    </row>
    <row r="126" spans="2:24">
      <c r="B126" s="135"/>
      <c r="C126" s="134" t="s">
        <v>75</v>
      </c>
      <c r="D126" s="135">
        <v>1000</v>
      </c>
      <c r="E126" s="135">
        <v>2000</v>
      </c>
      <c r="F126" s="135">
        <v>3000</v>
      </c>
      <c r="H126" s="1126"/>
      <c r="I126" s="84" t="s">
        <v>75</v>
      </c>
      <c r="J126" s="88">
        <v>1000</v>
      </c>
      <c r="K126" s="71">
        <v>2000</v>
      </c>
      <c r="L126" s="89">
        <v>3000</v>
      </c>
      <c r="N126" s="135"/>
      <c r="O126" s="134" t="s">
        <v>75</v>
      </c>
      <c r="P126" s="135">
        <v>1000</v>
      </c>
      <c r="Q126" s="135">
        <v>2000</v>
      </c>
      <c r="R126" s="135">
        <v>3000</v>
      </c>
      <c r="T126" s="163" t="str" cm="1">
        <f t="array" aca="1" ref="T126" ca="1">_xll.d.TestUtils_IsTrue(_xll.d.Formatting_Equal(B126,N126))</f>
        <v>Ok</v>
      </c>
      <c r="U126" s="163" t="str" cm="1">
        <f t="array" aca="1" ref="U126" ca="1">_xll.d.TestUtils_IsTrue(_xll.d.Formatting_Equal(C126,O126))</f>
        <v>Ok</v>
      </c>
      <c r="V126" s="163" t="str" cm="1">
        <f t="array" aca="1" ref="V126" ca="1">_xll.d.TestUtils_IsTrue(_xll.d.Formatting_Equal(D126,P126))</f>
        <v>Ok</v>
      </c>
      <c r="W126" s="163" t="str" cm="1">
        <f t="array" aca="1" ref="W126" ca="1">_xll.d.TestUtils_IsTrue(_xll.d.Formatting_Equal(E126,Q126))</f>
        <v>Ok</v>
      </c>
      <c r="X126" s="163" t="str" cm="1">
        <f t="array" aca="1" ref="X126" ca="1">_xll.d.TestUtils_IsTrue(_xll.d.Formatting_Equal(F126,R126))</f>
        <v>Ok</v>
      </c>
    </row>
    <row r="127" spans="2:24">
      <c r="B127" s="135"/>
      <c r="C127" s="134" t="s">
        <v>76</v>
      </c>
      <c r="D127" s="135">
        <v>1000</v>
      </c>
      <c r="E127" s="135">
        <v>2000</v>
      </c>
      <c r="F127" s="135">
        <v>3000</v>
      </c>
      <c r="H127" s="1126"/>
      <c r="I127" s="84" t="s">
        <v>76</v>
      </c>
      <c r="J127" s="88">
        <v>1000</v>
      </c>
      <c r="K127" s="71">
        <v>2000</v>
      </c>
      <c r="L127" s="89">
        <v>3000</v>
      </c>
      <c r="N127" s="135"/>
      <c r="O127" s="134" t="s">
        <v>76</v>
      </c>
      <c r="P127" s="135">
        <v>1000</v>
      </c>
      <c r="Q127" s="135">
        <v>2000</v>
      </c>
      <c r="R127" s="135">
        <v>3000</v>
      </c>
      <c r="T127" s="163" t="str" cm="1">
        <f t="array" aca="1" ref="T127" ca="1">_xll.d.TestUtils_IsTrue(_xll.d.Formatting_Equal(B127,N127))</f>
        <v>Ok</v>
      </c>
      <c r="U127" s="163" t="str" cm="1">
        <f t="array" aca="1" ref="U127" ca="1">_xll.d.TestUtils_IsTrue(_xll.d.Formatting_Equal(C127,O127))</f>
        <v>Ok</v>
      </c>
      <c r="V127" s="163" t="str" cm="1">
        <f t="array" aca="1" ref="V127" ca="1">_xll.d.TestUtils_IsTrue(_xll.d.Formatting_Equal(D127,P127))</f>
        <v>Ok</v>
      </c>
      <c r="W127" s="163" t="str" cm="1">
        <f t="array" aca="1" ref="W127" ca="1">_xll.d.TestUtils_IsTrue(_xll.d.Formatting_Equal(E127,Q127))</f>
        <v>Ok</v>
      </c>
      <c r="X127" s="163" t="str" cm="1">
        <f t="array" aca="1" ref="X127" ca="1">_xll.d.TestUtils_IsTrue(_xll.d.Formatting_Equal(F127,R127))</f>
        <v>Ok</v>
      </c>
    </row>
    <row r="128" spans="2:24">
      <c r="B128" s="135"/>
      <c r="C128" s="134" t="s">
        <v>77</v>
      </c>
      <c r="D128" s="135">
        <v>1000</v>
      </c>
      <c r="E128" s="135">
        <v>2000</v>
      </c>
      <c r="F128" s="135">
        <v>3000</v>
      </c>
      <c r="H128" s="1126"/>
      <c r="I128" s="84" t="s">
        <v>77</v>
      </c>
      <c r="J128" s="88">
        <v>1000</v>
      </c>
      <c r="K128" s="71">
        <v>2000</v>
      </c>
      <c r="L128" s="89">
        <v>3000</v>
      </c>
      <c r="N128" s="135"/>
      <c r="O128" s="134" t="s">
        <v>77</v>
      </c>
      <c r="P128" s="135">
        <v>1000</v>
      </c>
      <c r="Q128" s="135">
        <v>2000</v>
      </c>
      <c r="R128" s="135">
        <v>3000</v>
      </c>
      <c r="T128" s="163" t="str" cm="1">
        <f t="array" aca="1" ref="T128" ca="1">_xll.d.TestUtils_IsTrue(_xll.d.Formatting_Equal(B128,N128))</f>
        <v>Ok</v>
      </c>
      <c r="U128" s="163" t="str" cm="1">
        <f t="array" aca="1" ref="U128" ca="1">_xll.d.TestUtils_IsTrue(_xll.d.Formatting_Equal(C128,O128))</f>
        <v>Ok</v>
      </c>
      <c r="V128" s="163" t="str" cm="1">
        <f t="array" aca="1" ref="V128" ca="1">_xll.d.TestUtils_IsTrue(_xll.d.Formatting_Equal(D128,P128))</f>
        <v>Ok</v>
      </c>
      <c r="W128" s="163" t="str" cm="1">
        <f t="array" aca="1" ref="W128" ca="1">_xll.d.TestUtils_IsTrue(_xll.d.Formatting_Equal(E128,Q128))</f>
        <v>Ok</v>
      </c>
      <c r="X128" s="163" t="str" cm="1">
        <f t="array" aca="1" ref="X128" ca="1">_xll.d.TestUtils_IsTrue(_xll.d.Formatting_Equal(F128,R128))</f>
        <v>Ok</v>
      </c>
    </row>
    <row r="129" spans="2:55">
      <c r="B129" s="135"/>
      <c r="C129" s="134" t="s">
        <v>78</v>
      </c>
      <c r="D129" s="134">
        <v>0.3</v>
      </c>
      <c r="E129" s="134">
        <v>0.4</v>
      </c>
      <c r="F129" s="134">
        <v>0.5</v>
      </c>
      <c r="H129" s="1126"/>
      <c r="I129" s="84" t="s">
        <v>78</v>
      </c>
      <c r="J129" s="90">
        <v>0.3</v>
      </c>
      <c r="K129" s="72">
        <v>0.4</v>
      </c>
      <c r="L129" s="65">
        <v>0.5</v>
      </c>
      <c r="N129" s="135"/>
      <c r="O129" s="134" t="s">
        <v>78</v>
      </c>
      <c r="P129" s="134">
        <v>0.3</v>
      </c>
      <c r="Q129" s="134">
        <v>0.4</v>
      </c>
      <c r="R129" s="134">
        <v>0.5</v>
      </c>
      <c r="T129" s="163" t="str" cm="1">
        <f t="array" aca="1" ref="T129" ca="1">_xll.d.TestUtils_IsTrue(_xll.d.Formatting_Equal(B129,N129))</f>
        <v>Ok</v>
      </c>
      <c r="U129" s="163" t="str" cm="1">
        <f t="array" aca="1" ref="U129" ca="1">_xll.d.TestUtils_IsTrue(_xll.d.Formatting_Equal(C129,O129))</f>
        <v>Ok</v>
      </c>
      <c r="V129" s="163" t="str" cm="1">
        <f t="array" aca="1" ref="V129" ca="1">_xll.d.TestUtils_IsTrue(_xll.d.Formatting_Equal(D129,P129))</f>
        <v>Ok</v>
      </c>
      <c r="W129" s="163" t="str" cm="1">
        <f t="array" aca="1" ref="W129" ca="1">_xll.d.TestUtils_IsTrue(_xll.d.Formatting_Equal(E129,Q129))</f>
        <v>Ok</v>
      </c>
      <c r="X129" s="163" t="str" cm="1">
        <f t="array" aca="1" ref="X129" ca="1">_xll.d.TestUtils_IsTrue(_xll.d.Formatting_Equal(F129,R129))</f>
        <v>Ok</v>
      </c>
    </row>
    <row r="130" spans="2:55">
      <c r="B130" s="135"/>
      <c r="C130" s="134" t="s">
        <v>62</v>
      </c>
      <c r="D130" s="134">
        <v>0.3</v>
      </c>
      <c r="E130" s="134">
        <v>0.4</v>
      </c>
      <c r="F130" s="134">
        <v>0.5</v>
      </c>
      <c r="H130" s="1126"/>
      <c r="I130" s="84" t="s">
        <v>62</v>
      </c>
      <c r="J130" s="90">
        <v>0.3</v>
      </c>
      <c r="K130" s="72">
        <v>0.4</v>
      </c>
      <c r="L130" s="65">
        <v>0.5</v>
      </c>
      <c r="N130" s="135"/>
      <c r="O130" s="134" t="s">
        <v>62</v>
      </c>
      <c r="P130" s="134">
        <v>0.3</v>
      </c>
      <c r="Q130" s="134">
        <v>0.4</v>
      </c>
      <c r="R130" s="134">
        <v>0.5</v>
      </c>
      <c r="T130" s="163" t="str" cm="1">
        <f t="array" aca="1" ref="T130" ca="1">_xll.d.TestUtils_IsTrue(_xll.d.Formatting_Equal(B130,N130))</f>
        <v>Ok</v>
      </c>
      <c r="U130" s="163" t="str" cm="1">
        <f t="array" aca="1" ref="U130" ca="1">_xll.d.TestUtils_IsTrue(_xll.d.Formatting_Equal(C130,O130))</f>
        <v>Ok</v>
      </c>
      <c r="V130" s="163" t="str" cm="1">
        <f t="array" aca="1" ref="V130" ca="1">_xll.d.TestUtils_IsTrue(_xll.d.Formatting_Equal(D130,P130))</f>
        <v>Ok</v>
      </c>
      <c r="W130" s="163" t="str" cm="1">
        <f t="array" aca="1" ref="W130" ca="1">_xll.d.TestUtils_IsTrue(_xll.d.Formatting_Equal(E130,Q130))</f>
        <v>Ok</v>
      </c>
      <c r="X130" s="163" t="str" cm="1">
        <f t="array" aca="1" ref="X130" ca="1">_xll.d.TestUtils_IsTrue(_xll.d.Formatting_Equal(F130,R130))</f>
        <v>Ok</v>
      </c>
    </row>
    <row r="131" spans="2:55">
      <c r="B131" s="135"/>
      <c r="C131" s="134" t="s">
        <v>63</v>
      </c>
      <c r="D131" s="134">
        <v>0.3</v>
      </c>
      <c r="E131" s="134">
        <v>0.4</v>
      </c>
      <c r="F131" s="134">
        <v>0.5</v>
      </c>
      <c r="H131" s="1126"/>
      <c r="I131" s="84" t="s">
        <v>63</v>
      </c>
      <c r="J131" s="90">
        <v>0.3</v>
      </c>
      <c r="K131" s="72">
        <v>0.4</v>
      </c>
      <c r="L131" s="65">
        <v>0.5</v>
      </c>
      <c r="N131" s="135"/>
      <c r="O131" s="134" t="s">
        <v>63</v>
      </c>
      <c r="P131" s="134">
        <v>0.3</v>
      </c>
      <c r="Q131" s="134">
        <v>0.4</v>
      </c>
      <c r="R131" s="134">
        <v>0.5</v>
      </c>
      <c r="T131" s="163" t="str" cm="1">
        <f t="array" aca="1" ref="T131" ca="1">_xll.d.TestUtils_IsTrue(_xll.d.Formatting_Equal(B131,N131))</f>
        <v>Ok</v>
      </c>
      <c r="U131" s="163" t="str" cm="1">
        <f t="array" aca="1" ref="U131" ca="1">_xll.d.TestUtils_IsTrue(_xll.d.Formatting_Equal(C131,O131))</f>
        <v>Ok</v>
      </c>
      <c r="V131" s="163" t="str" cm="1">
        <f t="array" aca="1" ref="V131" ca="1">_xll.d.TestUtils_IsTrue(_xll.d.Formatting_Equal(D131,P131))</f>
        <v>Ok</v>
      </c>
      <c r="W131" s="163" t="str" cm="1">
        <f t="array" aca="1" ref="W131" ca="1">_xll.d.TestUtils_IsTrue(_xll.d.Formatting_Equal(E131,Q131))</f>
        <v>Ok</v>
      </c>
      <c r="X131" s="163" t="str" cm="1">
        <f t="array" aca="1" ref="X131" ca="1">_xll.d.TestUtils_IsTrue(_xll.d.Formatting_Equal(F131,R131))</f>
        <v>Ok</v>
      </c>
    </row>
    <row r="132" spans="2:55">
      <c r="B132" s="135"/>
      <c r="C132" s="134" t="s">
        <v>64</v>
      </c>
      <c r="D132" s="134">
        <v>0.3</v>
      </c>
      <c r="E132" s="134">
        <v>0.4</v>
      </c>
      <c r="F132" s="134">
        <v>0.5</v>
      </c>
      <c r="H132" s="1126"/>
      <c r="I132" s="84" t="s">
        <v>64</v>
      </c>
      <c r="J132" s="90">
        <v>0.3</v>
      </c>
      <c r="K132" s="72">
        <v>0.4</v>
      </c>
      <c r="L132" s="65">
        <v>0.5</v>
      </c>
      <c r="N132" s="135"/>
      <c r="O132" s="134" t="s">
        <v>64</v>
      </c>
      <c r="P132" s="134">
        <v>0.3</v>
      </c>
      <c r="Q132" s="134">
        <v>0.4</v>
      </c>
      <c r="R132" s="134">
        <v>0.5</v>
      </c>
      <c r="T132" s="163" t="str" cm="1">
        <f t="array" aca="1" ref="T132" ca="1">_xll.d.TestUtils_IsTrue(_xll.d.Formatting_Equal(B132,N132))</f>
        <v>Ok</v>
      </c>
      <c r="U132" s="163" t="str" cm="1">
        <f t="array" aca="1" ref="U132" ca="1">_xll.d.TestUtils_IsTrue(_xll.d.Formatting_Equal(C132,O132))</f>
        <v>Ok</v>
      </c>
      <c r="V132" s="163" t="str" cm="1">
        <f t="array" aca="1" ref="V132" ca="1">_xll.d.TestUtils_IsTrue(_xll.d.Formatting_Equal(D132,P132))</f>
        <v>Ok</v>
      </c>
      <c r="W132" s="163" t="str" cm="1">
        <f t="array" aca="1" ref="W132" ca="1">_xll.d.TestUtils_IsTrue(_xll.d.Formatting_Equal(E132,Q132))</f>
        <v>Ok</v>
      </c>
      <c r="X132" s="163" t="str" cm="1">
        <f t="array" aca="1" ref="X132" ca="1">_xll.d.TestUtils_IsTrue(_xll.d.Formatting_Equal(F132,R132))</f>
        <v>Ok</v>
      </c>
    </row>
    <row r="133" spans="2:55">
      <c r="B133" s="135"/>
      <c r="C133" s="134" t="s">
        <v>79</v>
      </c>
      <c r="D133" s="134">
        <v>0.3</v>
      </c>
      <c r="E133" s="134">
        <v>0.4</v>
      </c>
      <c r="F133" s="134">
        <v>0.5</v>
      </c>
      <c r="H133" s="1126"/>
      <c r="I133" s="84" t="s">
        <v>79</v>
      </c>
      <c r="J133" s="90">
        <v>0.3</v>
      </c>
      <c r="K133" s="72">
        <v>0.4</v>
      </c>
      <c r="L133" s="65">
        <v>0.5</v>
      </c>
      <c r="N133" s="135"/>
      <c r="O133" s="134" t="s">
        <v>79</v>
      </c>
      <c r="P133" s="134">
        <v>0.3</v>
      </c>
      <c r="Q133" s="134">
        <v>0.4</v>
      </c>
      <c r="R133" s="134">
        <v>0.5</v>
      </c>
      <c r="T133" s="163" t="str" cm="1">
        <f t="array" aca="1" ref="T133" ca="1">_xll.d.TestUtils_IsTrue(_xll.d.Formatting_Equal(B133,N133))</f>
        <v>Ok</v>
      </c>
      <c r="U133" s="163" t="str" cm="1">
        <f t="array" aca="1" ref="U133" ca="1">_xll.d.TestUtils_IsTrue(_xll.d.Formatting_Equal(C133,O133))</f>
        <v>Ok</v>
      </c>
      <c r="V133" s="163" t="str" cm="1">
        <f t="array" aca="1" ref="V133" ca="1">_xll.d.TestUtils_IsTrue(_xll.d.Formatting_Equal(D133,P133))</f>
        <v>Ok</v>
      </c>
      <c r="W133" s="163" t="str" cm="1">
        <f t="array" aca="1" ref="W133" ca="1">_xll.d.TestUtils_IsTrue(_xll.d.Formatting_Equal(E133,Q133))</f>
        <v>Ok</v>
      </c>
      <c r="X133" s="163" t="str" cm="1">
        <f t="array" aca="1" ref="X133" ca="1">_xll.d.TestUtils_IsTrue(_xll.d.Formatting_Equal(F133,R133))</f>
        <v>Ok</v>
      </c>
    </row>
    <row r="134" spans="2:55">
      <c r="B134" s="135"/>
      <c r="C134" s="134" t="s">
        <v>23</v>
      </c>
      <c r="D134" s="134">
        <v>0.3</v>
      </c>
      <c r="E134" s="134">
        <v>0.4</v>
      </c>
      <c r="F134" s="134">
        <v>0.5</v>
      </c>
      <c r="H134" s="1126"/>
      <c r="I134" s="84" t="s">
        <v>23</v>
      </c>
      <c r="J134" s="90">
        <v>0.3</v>
      </c>
      <c r="K134" s="72">
        <v>0.4</v>
      </c>
      <c r="L134" s="65">
        <v>0.5</v>
      </c>
      <c r="N134" s="135"/>
      <c r="O134" s="134" t="s">
        <v>23</v>
      </c>
      <c r="P134" s="134">
        <v>0.3</v>
      </c>
      <c r="Q134" s="134">
        <v>0.4</v>
      </c>
      <c r="R134" s="134">
        <v>0.5</v>
      </c>
      <c r="T134" s="163" t="str" cm="1">
        <f t="array" aca="1" ref="T134" ca="1">_xll.d.TestUtils_IsTrue(_xll.d.Formatting_Equal(B134,N134))</f>
        <v>Ok</v>
      </c>
      <c r="U134" s="163" t="str" cm="1">
        <f t="array" aca="1" ref="U134" ca="1">_xll.d.TestUtils_IsTrue(_xll.d.Formatting_Equal(C134,O134))</f>
        <v>Ok</v>
      </c>
      <c r="V134" s="163" t="str" cm="1">
        <f t="array" aca="1" ref="V134" ca="1">_xll.d.TestUtils_IsTrue(_xll.d.Formatting_Equal(D134,P134))</f>
        <v>Ok</v>
      </c>
      <c r="W134" s="163" t="str" cm="1">
        <f t="array" aca="1" ref="W134" ca="1">_xll.d.TestUtils_IsTrue(_xll.d.Formatting_Equal(E134,Q134))</f>
        <v>Ok</v>
      </c>
      <c r="X134" s="163" t="str" cm="1">
        <f t="array" aca="1" ref="X134" ca="1">_xll.d.TestUtils_IsTrue(_xll.d.Formatting_Equal(F134,R134))</f>
        <v>Ok</v>
      </c>
    </row>
    <row r="135" spans="2:55">
      <c r="B135" s="135"/>
      <c r="C135" s="134" t="s">
        <v>36</v>
      </c>
      <c r="D135" s="134">
        <v>0.3</v>
      </c>
      <c r="E135" s="134">
        <v>0.4</v>
      </c>
      <c r="F135" s="134">
        <v>0.5</v>
      </c>
      <c r="H135" s="1126"/>
      <c r="I135" s="84" t="s">
        <v>36</v>
      </c>
      <c r="J135" s="90">
        <v>0.3</v>
      </c>
      <c r="K135" s="72">
        <v>0.4</v>
      </c>
      <c r="L135" s="65">
        <v>0.5</v>
      </c>
      <c r="N135" s="135"/>
      <c r="O135" s="134" t="s">
        <v>36</v>
      </c>
      <c r="P135" s="134">
        <v>0.3</v>
      </c>
      <c r="Q135" s="134">
        <v>0.4</v>
      </c>
      <c r="R135" s="134">
        <v>0.5</v>
      </c>
      <c r="T135" s="163" t="str" cm="1">
        <f t="array" aca="1" ref="T135" ca="1">_xll.d.TestUtils_IsTrue(_xll.d.Formatting_Equal(B135,N135))</f>
        <v>Ok</v>
      </c>
      <c r="U135" s="163" t="str" cm="1">
        <f t="array" aca="1" ref="U135" ca="1">_xll.d.TestUtils_IsTrue(_xll.d.Formatting_Equal(C135,O135))</f>
        <v>Ok</v>
      </c>
      <c r="V135" s="163" t="str" cm="1">
        <f t="array" aca="1" ref="V135" ca="1">_xll.d.TestUtils_IsTrue(_xll.d.Formatting_Equal(D135,P135))</f>
        <v>Ok</v>
      </c>
      <c r="W135" s="163" t="str" cm="1">
        <f t="array" aca="1" ref="W135" ca="1">_xll.d.TestUtils_IsTrue(_xll.d.Formatting_Equal(E135,Q135))</f>
        <v>Ok</v>
      </c>
      <c r="X135" s="163" t="str" cm="1">
        <f t="array" aca="1" ref="X135" ca="1">_xll.d.TestUtils_IsTrue(_xll.d.Formatting_Equal(F135,R135))</f>
        <v>Ok</v>
      </c>
    </row>
    <row r="136" spans="2:55">
      <c r="B136" s="135"/>
      <c r="C136" s="134" t="s">
        <v>80</v>
      </c>
      <c r="D136" s="134">
        <v>0.3</v>
      </c>
      <c r="E136" s="134">
        <v>0.4</v>
      </c>
      <c r="F136" s="134">
        <v>0.5</v>
      </c>
      <c r="H136" s="1126"/>
      <c r="I136" s="84" t="s">
        <v>80</v>
      </c>
      <c r="J136" s="90">
        <v>0.3</v>
      </c>
      <c r="K136" s="72">
        <v>0.4</v>
      </c>
      <c r="L136" s="65">
        <v>0.5</v>
      </c>
      <c r="N136" s="135"/>
      <c r="O136" s="134" t="s">
        <v>80</v>
      </c>
      <c r="P136" s="134">
        <v>0.3</v>
      </c>
      <c r="Q136" s="134">
        <v>0.4</v>
      </c>
      <c r="R136" s="134">
        <v>0.5</v>
      </c>
      <c r="T136" s="163" t="str" cm="1">
        <f t="array" aca="1" ref="T136" ca="1">_xll.d.TestUtils_IsTrue(_xll.d.Formatting_Equal(B136,N136))</f>
        <v>Ok</v>
      </c>
      <c r="U136" s="163" t="str" cm="1">
        <f t="array" aca="1" ref="U136" ca="1">_xll.d.TestUtils_IsTrue(_xll.d.Formatting_Equal(C136,O136))</f>
        <v>Ok</v>
      </c>
      <c r="V136" s="163" t="str" cm="1">
        <f t="array" aca="1" ref="V136" ca="1">_xll.d.TestUtils_IsTrue(_xll.d.Formatting_Equal(D136,P136))</f>
        <v>Ok</v>
      </c>
      <c r="W136" s="163" t="str" cm="1">
        <f t="array" aca="1" ref="W136" ca="1">_xll.d.TestUtils_IsTrue(_xll.d.Formatting_Equal(E136,Q136))</f>
        <v>Ok</v>
      </c>
      <c r="X136" s="163" t="str" cm="1">
        <f t="array" aca="1" ref="X136" ca="1">_xll.d.TestUtils_IsTrue(_xll.d.Formatting_Equal(F136,R136))</f>
        <v>Ok</v>
      </c>
    </row>
    <row r="137" spans="2:55">
      <c r="B137" s="135"/>
      <c r="C137" s="134" t="s">
        <v>72</v>
      </c>
      <c r="D137" s="134">
        <v>0.3</v>
      </c>
      <c r="E137" s="134">
        <v>0.4</v>
      </c>
      <c r="F137" s="134">
        <v>0.5</v>
      </c>
      <c r="H137" s="1126"/>
      <c r="I137" s="84" t="s">
        <v>72</v>
      </c>
      <c r="J137" s="90">
        <v>0.3</v>
      </c>
      <c r="K137" s="72">
        <v>0.4</v>
      </c>
      <c r="L137" s="65">
        <v>0.5</v>
      </c>
      <c r="N137" s="135"/>
      <c r="O137" s="134" t="s">
        <v>72</v>
      </c>
      <c r="P137" s="134">
        <v>0.3</v>
      </c>
      <c r="Q137" s="134">
        <v>0.4</v>
      </c>
      <c r="R137" s="134">
        <v>0.5</v>
      </c>
      <c r="T137" s="163" t="str" cm="1">
        <f t="array" aca="1" ref="T137" ca="1">_xll.d.TestUtils_IsTrue(_xll.d.Formatting_Equal(B137,N137))</f>
        <v>Ok</v>
      </c>
      <c r="U137" s="163" t="str" cm="1">
        <f t="array" aca="1" ref="U137" ca="1">_xll.d.TestUtils_IsTrue(_xll.d.Formatting_Equal(C137,O137))</f>
        <v>Ok</v>
      </c>
      <c r="V137" s="163" t="str" cm="1">
        <f t="array" aca="1" ref="V137" ca="1">_xll.d.TestUtils_IsTrue(_xll.d.Formatting_Equal(D137,P137))</f>
        <v>Ok</v>
      </c>
      <c r="W137" s="163" t="str" cm="1">
        <f t="array" aca="1" ref="W137" ca="1">_xll.d.TestUtils_IsTrue(_xll.d.Formatting_Equal(E137,Q137))</f>
        <v>Ok</v>
      </c>
      <c r="X137" s="163" t="str" cm="1">
        <f t="array" aca="1" ref="X137" ca="1">_xll.d.TestUtils_IsTrue(_xll.d.Formatting_Equal(F137,R137))</f>
        <v>Ok</v>
      </c>
    </row>
    <row r="138" spans="2:55">
      <c r="B138" s="135"/>
      <c r="C138" s="134" t="s">
        <v>82</v>
      </c>
      <c r="D138" s="134">
        <v>0.3</v>
      </c>
      <c r="E138" s="134">
        <v>0.4</v>
      </c>
      <c r="F138" s="134">
        <v>0.5</v>
      </c>
      <c r="H138" s="1126"/>
      <c r="I138" s="84" t="s">
        <v>82</v>
      </c>
      <c r="J138" s="90">
        <v>0.3</v>
      </c>
      <c r="K138" s="72">
        <v>0.4</v>
      </c>
      <c r="L138" s="65">
        <v>0.5</v>
      </c>
      <c r="N138" s="135"/>
      <c r="O138" s="134" t="s">
        <v>82</v>
      </c>
      <c r="P138" s="134">
        <v>0.3</v>
      </c>
      <c r="Q138" s="134">
        <v>0.4</v>
      </c>
      <c r="R138" s="134">
        <v>0.5</v>
      </c>
      <c r="T138" s="163" t="str" cm="1">
        <f t="array" aca="1" ref="T138" ca="1">_xll.d.TestUtils_IsTrue(_xll.d.Formatting_Equal(B138,N138))</f>
        <v>Ok</v>
      </c>
      <c r="U138" s="163" t="str" cm="1">
        <f t="array" aca="1" ref="U138" ca="1">_xll.d.TestUtils_IsTrue(_xll.d.Formatting_Equal(C138,O138))</f>
        <v>Ok</v>
      </c>
      <c r="V138" s="163" t="str" cm="1">
        <f t="array" aca="1" ref="V138" ca="1">_xll.d.TestUtils_IsTrue(_xll.d.Formatting_Equal(D138,P138))</f>
        <v>Ok</v>
      </c>
      <c r="W138" s="163" t="str" cm="1">
        <f t="array" aca="1" ref="W138" ca="1">_xll.d.TestUtils_IsTrue(_xll.d.Formatting_Equal(E138,Q138))</f>
        <v>Ok</v>
      </c>
      <c r="X138" s="163" t="str" cm="1">
        <f t="array" aca="1" ref="X138" ca="1">_xll.d.TestUtils_IsTrue(_xll.d.Formatting_Equal(F138,R138))</f>
        <v>Ok</v>
      </c>
    </row>
    <row r="139" spans="2:55">
      <c r="B139" s="135"/>
      <c r="C139" s="134" t="s">
        <v>81</v>
      </c>
      <c r="D139" s="134">
        <v>0.3</v>
      </c>
      <c r="E139" s="134">
        <v>0.4</v>
      </c>
      <c r="F139" s="134">
        <v>0.5</v>
      </c>
      <c r="H139" s="1126"/>
      <c r="I139" s="85" t="s">
        <v>81</v>
      </c>
      <c r="J139" s="91">
        <v>0.3</v>
      </c>
      <c r="K139" s="73">
        <v>0.4</v>
      </c>
      <c r="L139" s="66">
        <v>0.5</v>
      </c>
      <c r="N139" s="135"/>
      <c r="O139" s="134" t="s">
        <v>81</v>
      </c>
      <c r="P139" s="134">
        <v>0.3</v>
      </c>
      <c r="Q139" s="134">
        <v>0.4</v>
      </c>
      <c r="R139" s="134">
        <v>0.5</v>
      </c>
      <c r="T139" s="163" t="str" cm="1">
        <f t="array" aca="1" ref="T139" ca="1">_xll.d.TestUtils_IsTrue(_xll.d.Formatting_Equal(B139,N139))</f>
        <v>Ok</v>
      </c>
      <c r="U139" s="163" t="str" cm="1">
        <f t="array" aca="1" ref="U139" ca="1">_xll.d.TestUtils_IsTrue(_xll.d.Formatting_Equal(C139,O139))</f>
        <v>Ok</v>
      </c>
      <c r="V139" s="163" t="str" cm="1">
        <f t="array" aca="1" ref="V139" ca="1">_xll.d.TestUtils_IsTrue(_xll.d.Formatting_Equal(D139,P139))</f>
        <v>Ok</v>
      </c>
      <c r="W139" s="163" t="str" cm="1">
        <f t="array" aca="1" ref="W139" ca="1">_xll.d.TestUtils_IsTrue(_xll.d.Formatting_Equal(E139,Q139))</f>
        <v>Ok</v>
      </c>
      <c r="X139" s="163" t="str" cm="1">
        <f t="array" aca="1" ref="X139" ca="1">_xll.d.TestUtils_IsTrue(_xll.d.Formatting_Equal(F139,R139))</f>
        <v>Ok</v>
      </c>
    </row>
    <row r="142" spans="2:55" ht="18.75">
      <c r="B142" s="3" t="s">
        <v>98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>
      <c r="B144" s="50" t="s">
        <v>106</v>
      </c>
      <c r="C144" s="163" t="str" cm="1">
        <f t="array" aca="1" ref="C144" ca="1">_xll.d.TestUtils_And(K157:L160)</f>
        <v>Ok</v>
      </c>
    </row>
    <row r="146" spans="2:12">
      <c r="B146" s="50" t="s">
        <v>90</v>
      </c>
      <c r="C146" s="50" t="s">
        <v>30</v>
      </c>
    </row>
    <row r="147" spans="2:12">
      <c r="B147" s="80" t="s">
        <v>85</v>
      </c>
      <c r="C147" s="81" t="s">
        <v>102</v>
      </c>
    </row>
    <row r="148" spans="2:12">
      <c r="B148" s="74" t="s">
        <v>86</v>
      </c>
      <c r="C148" s="75" t="s">
        <v>99</v>
      </c>
    </row>
    <row r="149" spans="2:12">
      <c r="B149" s="80" t="s">
        <v>101</v>
      </c>
      <c r="C149" s="149">
        <v>2</v>
      </c>
    </row>
    <row r="150" spans="2:12">
      <c r="B150" s="144" t="s">
        <v>102</v>
      </c>
      <c r="C150" s="150">
        <v>0</v>
      </c>
    </row>
    <row r="151" spans="2:12">
      <c r="B151" s="131" t="s">
        <v>93</v>
      </c>
      <c r="C151" s="132"/>
    </row>
    <row r="153" spans="2:12">
      <c r="B153" t="s">
        <v>140</v>
      </c>
    </row>
    <row r="155" spans="2:12">
      <c r="B155" s="57" t="s">
        <v>70</v>
      </c>
      <c r="E155" s="57" t="s">
        <v>83</v>
      </c>
      <c r="H155" s="57" t="s">
        <v>84</v>
      </c>
      <c r="K155" s="57" t="s">
        <v>107</v>
      </c>
    </row>
    <row r="157" spans="2:12">
      <c r="B157" s="120" t="s">
        <v>46</v>
      </c>
      <c r="C157" s="121"/>
      <c r="E157" t="s">
        <v>46</v>
      </c>
      <c r="H157" s="120" t="s">
        <v>46</v>
      </c>
      <c r="I157" s="121"/>
      <c r="K157" s="163" t="str" cm="1">
        <f t="array" aca="1" ref="K157" ca="1">_xll.d.TestUtils_IsTrue(_xll.d.Formatting_Equal(B157,H157))</f>
        <v>Ok</v>
      </c>
      <c r="L157" s="163" t="str" cm="1">
        <f t="array" aca="1" ref="L157" ca="1">_xll.d.TestUtils_IsTrue(_xll.d.Formatting_Equal(C157,I157))</f>
        <v>Ok</v>
      </c>
    </row>
    <row r="158" spans="2:12">
      <c r="B158" s="118" t="s">
        <v>29</v>
      </c>
      <c r="C158" s="119" t="s">
        <v>30</v>
      </c>
      <c r="E158" t="s">
        <v>29</v>
      </c>
      <c r="F158" t="s">
        <v>30</v>
      </c>
      <c r="H158" s="118" t="s">
        <v>29</v>
      </c>
      <c r="I158" s="119" t="s">
        <v>30</v>
      </c>
      <c r="K158" s="163" t="str" cm="1">
        <f t="array" aca="1" ref="K158" ca="1">_xll.d.TestUtils_IsTrue(_xll.d.Formatting_Equal(B158,H158))</f>
        <v>Ok</v>
      </c>
      <c r="L158" s="163" t="str" cm="1">
        <f t="array" aca="1" ref="L158" ca="1">_xll.d.TestUtils_IsTrue(_xll.d.Formatting_Equal(C158,I158))</f>
        <v>Ok</v>
      </c>
    </row>
    <row r="159" spans="2:12">
      <c r="B159" s="122" t="s">
        <v>12</v>
      </c>
      <c r="C159" s="123" t="s">
        <v>41</v>
      </c>
      <c r="E159" t="s">
        <v>12</v>
      </c>
      <c r="F159" t="s">
        <v>41</v>
      </c>
      <c r="H159" s="122" t="s">
        <v>12</v>
      </c>
      <c r="I159" s="123" t="s">
        <v>41</v>
      </c>
      <c r="K159" s="163" t="str" cm="1">
        <f t="array" aca="1" ref="K159" ca="1">_xll.d.TestUtils_IsTrue(_xll.d.Formatting_Equal(B159,H159))</f>
        <v>Ok</v>
      </c>
      <c r="L159" s="163" t="str" cm="1">
        <f t="array" aca="1" ref="L159" ca="1">_xll.d.TestUtils_IsTrue(_xll.d.Formatting_Equal(C159,I159))</f>
        <v>Ok</v>
      </c>
    </row>
    <row r="160" spans="2:12">
      <c r="B160" s="124" t="s">
        <v>32</v>
      </c>
      <c r="C160" s="125" t="s">
        <v>33</v>
      </c>
      <c r="E160" t="s">
        <v>32</v>
      </c>
      <c r="F160" t="s">
        <v>33</v>
      </c>
      <c r="H160" s="124" t="s">
        <v>32</v>
      </c>
      <c r="I160" s="125" t="s">
        <v>33</v>
      </c>
      <c r="K160" s="163" t="str" cm="1">
        <f t="array" aca="1" ref="K160" ca="1">_xll.d.TestUtils_IsTrue(_xll.d.Formatting_Equal(B160,H160))</f>
        <v>Ok</v>
      </c>
      <c r="L160" s="163" t="str" cm="1">
        <f t="array" aca="1" ref="L160" ca="1">_xll.d.TestUtils_IsTrue(_xll.d.Formatting_Equal(C160,I160))</f>
        <v>Ok</v>
      </c>
    </row>
    <row r="161" spans="2:55">
      <c r="B161" s="126" t="s">
        <v>45</v>
      </c>
      <c r="C161" s="127" t="s">
        <v>24</v>
      </c>
      <c r="E161" t="s">
        <v>45</v>
      </c>
      <c r="F161" t="s">
        <v>24</v>
      </c>
      <c r="H161" s="126" t="s">
        <v>45</v>
      </c>
      <c r="I161" s="127" t="s">
        <v>24</v>
      </c>
      <c r="K161" s="163" t="str" cm="1">
        <f t="array" aca="1" ref="K161" ca="1">_xll.d.TestUtils_IsTrue(_xll.d.Formatting_Equal(B161,H161))</f>
        <v>Ok</v>
      </c>
      <c r="L161" s="163" t="str" cm="1">
        <f t="array" aca="1" ref="L161" ca="1">_xll.d.TestUtils_IsTrue(_xll.d.Formatting_Equal(C161,I161))</f>
        <v>Ok</v>
      </c>
    </row>
    <row r="164" spans="2:55" ht="18.75">
      <c r="B164" s="3" t="s">
        <v>100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>
      <c r="B166" s="50" t="s">
        <v>106</v>
      </c>
      <c r="C166" s="163" t="str" cm="1">
        <f t="array" aca="1" ref="C166" ca="1">_xll.d.TestUtils_And(K177:L181)</f>
        <v>Ok</v>
      </c>
    </row>
    <row r="168" spans="2:55">
      <c r="B168" s="50" t="s">
        <v>90</v>
      </c>
      <c r="C168" s="50" t="s">
        <v>30</v>
      </c>
    </row>
    <row r="169" spans="2:55">
      <c r="B169" s="80" t="s">
        <v>85</v>
      </c>
      <c r="C169" s="81" t="s">
        <v>102</v>
      </c>
    </row>
    <row r="170" spans="2:55">
      <c r="B170" s="74" t="s">
        <v>86</v>
      </c>
      <c r="C170" s="75" t="s">
        <v>99</v>
      </c>
    </row>
    <row r="171" spans="2:55">
      <c r="B171" s="131" t="s">
        <v>93</v>
      </c>
      <c r="C171" s="132"/>
    </row>
    <row r="173" spans="2:55">
      <c r="B173" t="s">
        <v>103</v>
      </c>
    </row>
    <row r="175" spans="2:55">
      <c r="B175" s="57" t="s">
        <v>70</v>
      </c>
      <c r="E175" s="57" t="s">
        <v>83</v>
      </c>
      <c r="H175" s="57" t="s">
        <v>84</v>
      </c>
      <c r="K175" s="57" t="s">
        <v>107</v>
      </c>
    </row>
    <row r="177" spans="2:55">
      <c r="B177" s="134" t="s">
        <v>46</v>
      </c>
      <c r="C177" s="134"/>
      <c r="E177" s="120" t="s">
        <v>46</v>
      </c>
      <c r="F177" s="121"/>
      <c r="H177" s="135" t="s">
        <v>46</v>
      </c>
      <c r="I177" s="135"/>
      <c r="K177" s="163" t="str" cm="1">
        <f t="array" aca="1" ref="K177" ca="1">_xll.d.TestUtils_IsTrue(_xll.d.Formatting_Equal(B177,H177))</f>
        <v>Ok</v>
      </c>
      <c r="L177" s="163" t="str" cm="1">
        <f t="array" aca="1" ref="L177" ca="1">_xll.d.TestUtils_IsTrue(_xll.d.Formatting_Equal(C177,I177))</f>
        <v>Ok</v>
      </c>
    </row>
    <row r="178" spans="2:55">
      <c r="B178" s="134" t="s">
        <v>29</v>
      </c>
      <c r="C178" s="134" t="s">
        <v>30</v>
      </c>
      <c r="E178" s="118" t="s">
        <v>29</v>
      </c>
      <c r="F178" s="119" t="s">
        <v>30</v>
      </c>
      <c r="H178" s="135" t="s">
        <v>29</v>
      </c>
      <c r="I178" s="135" t="s">
        <v>30</v>
      </c>
      <c r="K178" s="163" t="str" cm="1">
        <f t="array" aca="1" ref="K178" ca="1">_xll.d.TestUtils_IsTrue(_xll.d.Formatting_Equal(B178,H178))</f>
        <v>Ok</v>
      </c>
      <c r="L178" s="163" t="str" cm="1">
        <f t="array" aca="1" ref="L178" ca="1">_xll.d.TestUtils_IsTrue(_xll.d.Formatting_Equal(C178,I178))</f>
        <v>Ok</v>
      </c>
    </row>
    <row r="179" spans="2:55">
      <c r="B179" s="134" t="s">
        <v>12</v>
      </c>
      <c r="C179" s="134" t="s">
        <v>41</v>
      </c>
      <c r="E179" s="122" t="s">
        <v>12</v>
      </c>
      <c r="F179" s="123" t="s">
        <v>41</v>
      </c>
      <c r="H179" s="135" t="s">
        <v>12</v>
      </c>
      <c r="I179" s="135" t="s">
        <v>41</v>
      </c>
      <c r="K179" s="163" t="str" cm="1">
        <f t="array" aca="1" ref="K179" ca="1">_xll.d.TestUtils_IsTrue(_xll.d.Formatting_Equal(B179,H179))</f>
        <v>Ok</v>
      </c>
      <c r="L179" s="163" t="str" cm="1">
        <f t="array" aca="1" ref="L179" ca="1">_xll.d.TestUtils_IsTrue(_xll.d.Formatting_Equal(C179,I179))</f>
        <v>Ok</v>
      </c>
    </row>
    <row r="180" spans="2:55">
      <c r="B180" s="134" t="s">
        <v>32</v>
      </c>
      <c r="C180" s="134" t="s">
        <v>33</v>
      </c>
      <c r="E180" s="124" t="s">
        <v>32</v>
      </c>
      <c r="F180" s="125" t="s">
        <v>33</v>
      </c>
      <c r="H180" s="135" t="s">
        <v>32</v>
      </c>
      <c r="I180" s="135" t="s">
        <v>33</v>
      </c>
      <c r="K180" s="163" t="str" cm="1">
        <f t="array" aca="1" ref="K180" ca="1">_xll.d.TestUtils_IsTrue(_xll.d.Formatting_Equal(B180,H180))</f>
        <v>Ok</v>
      </c>
      <c r="L180" s="163" t="str" cm="1">
        <f t="array" aca="1" ref="L180" ca="1">_xll.d.TestUtils_IsTrue(_xll.d.Formatting_Equal(C180,I180))</f>
        <v>Ok</v>
      </c>
    </row>
    <row r="181" spans="2:55">
      <c r="B181" s="134" t="s">
        <v>45</v>
      </c>
      <c r="C181" s="134" t="s">
        <v>24</v>
      </c>
      <c r="E181" s="126" t="s">
        <v>45</v>
      </c>
      <c r="F181" s="127" t="s">
        <v>24</v>
      </c>
      <c r="H181" s="135" t="s">
        <v>45</v>
      </c>
      <c r="I181" s="135" t="s">
        <v>24</v>
      </c>
      <c r="K181" s="163" t="str" cm="1">
        <f t="array" aca="1" ref="K181" ca="1">_xll.d.TestUtils_IsTrue(_xll.d.Formatting_Equal(B181,H181))</f>
        <v>Ok</v>
      </c>
      <c r="L181" s="163" t="str" cm="1">
        <f t="array" aca="1" ref="L181" ca="1">_xll.d.TestUtils_IsTrue(_xll.d.Formatting_Equal(C181,I181))</f>
        <v>Ok</v>
      </c>
    </row>
    <row r="184" spans="2:55" ht="18.75">
      <c r="B184" s="3" t="s">
        <v>142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>
      <c r="B186" s="50" t="s">
        <v>106</v>
      </c>
      <c r="C186" s="163" t="str" cm="1">
        <f t="array" aca="1" ref="C186" ca="1">_xll.d.TestUtils_And(T197:X198)</f>
        <v>Ok</v>
      </c>
    </row>
    <row r="188" spans="2:55">
      <c r="B188" s="50" t="s">
        <v>90</v>
      </c>
      <c r="C188" s="50" t="s">
        <v>30</v>
      </c>
    </row>
    <row r="189" spans="2:55">
      <c r="B189" s="80" t="s">
        <v>85</v>
      </c>
      <c r="C189" s="81" t="s">
        <v>101</v>
      </c>
    </row>
    <row r="190" spans="2:55">
      <c r="B190" s="74" t="s">
        <v>86</v>
      </c>
      <c r="C190" s="75" t="s">
        <v>99</v>
      </c>
    </row>
    <row r="191" spans="2:55">
      <c r="B191" s="131" t="s">
        <v>93</v>
      </c>
      <c r="C191" s="132"/>
    </row>
    <row r="193" spans="2:55">
      <c r="B193" t="s">
        <v>103</v>
      </c>
    </row>
    <row r="195" spans="2:55">
      <c r="B195" s="57" t="s">
        <v>70</v>
      </c>
      <c r="H195" s="57" t="s">
        <v>83</v>
      </c>
      <c r="N195" s="57" t="s">
        <v>84</v>
      </c>
      <c r="T195" s="57" t="s">
        <v>107</v>
      </c>
    </row>
    <row r="196" spans="2:55">
      <c r="B196" s="134"/>
      <c r="C196" s="134"/>
      <c r="L196" s="135"/>
      <c r="M196" s="135"/>
    </row>
    <row r="197" spans="2:55" ht="15" customHeight="1">
      <c r="B197" s="1122" t="s">
        <v>46</v>
      </c>
      <c r="C197" s="165" t="s">
        <v>29</v>
      </c>
      <c r="D197" s="192" t="s">
        <v>12</v>
      </c>
      <c r="E197" s="193" t="s">
        <v>32</v>
      </c>
      <c r="F197" s="194" t="s">
        <v>45</v>
      </c>
      <c r="H197" s="135" t="s">
        <v>46</v>
      </c>
      <c r="I197" s="135" t="s">
        <v>29</v>
      </c>
      <c r="J197" s="135" t="s">
        <v>12</v>
      </c>
      <c r="K197" s="135" t="s">
        <v>32</v>
      </c>
      <c r="L197" s="135" t="s">
        <v>45</v>
      </c>
      <c r="N197" s="1122" t="s">
        <v>46</v>
      </c>
      <c r="O197" s="165" t="s">
        <v>29</v>
      </c>
      <c r="P197" s="192" t="s">
        <v>12</v>
      </c>
      <c r="Q197" s="193" t="s">
        <v>32</v>
      </c>
      <c r="R197" s="194" t="s">
        <v>45</v>
      </c>
      <c r="T197" s="163" t="str" cm="1">
        <f t="array" aca="1" ref="T197" ca="1">_xll.d.TestUtils_IsTrue(_xll.d.Formatting_Equal(B197,N197))</f>
        <v>Ok</v>
      </c>
      <c r="U197" s="163" t="str" cm="1">
        <f t="array" aca="1" ref="U197" ca="1">_xll.d.TestUtils_IsTrue(_xll.d.Formatting_Equal(C197,O197))</f>
        <v>Ok</v>
      </c>
      <c r="V197" s="163" t="str" cm="1">
        <f t="array" aca="1" ref="V197" ca="1">_xll.d.TestUtils_IsTrue(_xll.d.Formatting_Equal(D197,P197))</f>
        <v>Ok</v>
      </c>
      <c r="W197" s="163" t="str" cm="1">
        <f t="array" aca="1" ref="W197" ca="1">_xll.d.TestUtils_IsTrue(_xll.d.Formatting_Equal(E197,Q197))</f>
        <v>Ok</v>
      </c>
      <c r="X197" s="163" t="str" cm="1">
        <f t="array" aca="1" ref="X197" ca="1">_xll.d.TestUtils_IsTrue(_xll.d.Formatting_Equal(F197,R197))</f>
        <v>Ok</v>
      </c>
    </row>
    <row r="198" spans="2:55">
      <c r="B198" s="1124"/>
      <c r="C198" s="167" t="s">
        <v>30</v>
      </c>
      <c r="D198" s="195" t="s">
        <v>41</v>
      </c>
      <c r="E198" s="196" t="s">
        <v>33</v>
      </c>
      <c r="F198" s="197" t="s">
        <v>24</v>
      </c>
      <c r="H198" s="135"/>
      <c r="I198" s="135" t="s">
        <v>30</v>
      </c>
      <c r="J198" s="135" t="s">
        <v>41</v>
      </c>
      <c r="K198" s="135" t="s">
        <v>33</v>
      </c>
      <c r="L198" s="135" t="s">
        <v>24</v>
      </c>
      <c r="N198" s="1124"/>
      <c r="O198" s="167" t="s">
        <v>30</v>
      </c>
      <c r="P198" s="195" t="s">
        <v>41</v>
      </c>
      <c r="Q198" s="196" t="s">
        <v>33</v>
      </c>
      <c r="R198" s="197" t="s">
        <v>24</v>
      </c>
      <c r="T198" s="163" t="str" cm="1">
        <f t="array" aca="1" ref="T198" ca="1">_xll.d.TestUtils_IsTrue(_xll.d.Formatting_Equal(B198,N198))</f>
        <v>Ok</v>
      </c>
      <c r="U198" s="163" t="str" cm="1">
        <f t="array" aca="1" ref="U198" ca="1">_xll.d.TestUtils_IsTrue(_xll.d.Formatting_Equal(C198,O198))</f>
        <v>Ok</v>
      </c>
      <c r="V198" s="163" t="str" cm="1">
        <f t="array" aca="1" ref="V198" ca="1">_xll.d.TestUtils_IsTrue(_xll.d.Formatting_Equal(D198,P198))</f>
        <v>Ok</v>
      </c>
      <c r="W198" s="163" t="str" cm="1">
        <f t="array" aca="1" ref="W198" ca="1">_xll.d.TestUtils_IsTrue(_xll.d.Formatting_Equal(E198,Q198))</f>
        <v>Ok</v>
      </c>
      <c r="X198" s="163" t="str" cm="1">
        <f t="array" aca="1" ref="X198" ca="1">_xll.d.TestUtils_IsTrue(_xll.d.Formatting_Equal(F198,R198))</f>
        <v>Ok</v>
      </c>
    </row>
    <row r="201" spans="2:55" ht="18.75">
      <c r="B201" s="3" t="s">
        <v>147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>
      <c r="B203" s="50" t="s">
        <v>106</v>
      </c>
      <c r="C203" s="163" t="str" cm="1">
        <f t="array" aca="1" ref="C203" ca="1">_xll.d.TestUtils_And(T217:X223)</f>
        <v>Ok</v>
      </c>
    </row>
    <row r="205" spans="2:55">
      <c r="B205" s="50" t="s">
        <v>90</v>
      </c>
      <c r="C205" s="50" t="s">
        <v>30</v>
      </c>
    </row>
    <row r="206" spans="2:55">
      <c r="B206" s="74" t="s">
        <v>85</v>
      </c>
      <c r="C206" s="75" t="s">
        <v>208</v>
      </c>
    </row>
    <row r="207" spans="2:55">
      <c r="B207" s="76"/>
      <c r="C207" s="77" t="s">
        <v>101</v>
      </c>
    </row>
    <row r="208" spans="2:55">
      <c r="B208" s="80" t="s">
        <v>86</v>
      </c>
      <c r="C208" s="81" t="s">
        <v>87</v>
      </c>
    </row>
    <row r="209" spans="2:24">
      <c r="B209" s="144" t="s">
        <v>101</v>
      </c>
      <c r="C209" s="150">
        <v>2</v>
      </c>
    </row>
    <row r="210" spans="2:24">
      <c r="B210" s="144" t="s">
        <v>102</v>
      </c>
      <c r="C210" s="150">
        <v>2</v>
      </c>
    </row>
    <row r="211" spans="2:24">
      <c r="B211" s="131" t="s">
        <v>93</v>
      </c>
      <c r="C211" s="132"/>
    </row>
    <row r="213" spans="2:24">
      <c r="B213" t="s">
        <v>209</v>
      </c>
    </row>
    <row r="215" spans="2:24">
      <c r="B215" s="57" t="s">
        <v>70</v>
      </c>
      <c r="H215" s="57" t="s">
        <v>83</v>
      </c>
      <c r="N215" s="57" t="s">
        <v>84</v>
      </c>
      <c r="T215" s="57" t="s">
        <v>107</v>
      </c>
    </row>
    <row r="216" spans="2:24">
      <c r="B216" s="134"/>
      <c r="C216" s="134"/>
      <c r="L216" s="135"/>
      <c r="M216" s="135"/>
    </row>
    <row r="217" spans="2:24">
      <c r="B217" s="135" t="s">
        <v>206</v>
      </c>
      <c r="C217" s="135"/>
      <c r="D217" s="120" t="s">
        <v>207</v>
      </c>
      <c r="E217" s="191"/>
      <c r="F217" s="121"/>
      <c r="H217" s="135" t="s">
        <v>206</v>
      </c>
      <c r="I217" s="284" t="s">
        <v>210</v>
      </c>
      <c r="J217" s="135" t="s">
        <v>207</v>
      </c>
      <c r="K217" s="135"/>
      <c r="L217" s="135"/>
      <c r="M217" s="135"/>
      <c r="N217" s="135" t="s">
        <v>206</v>
      </c>
      <c r="O217" s="284" t="s">
        <v>210</v>
      </c>
      <c r="P217" s="285" t="s">
        <v>207</v>
      </c>
      <c r="Q217" s="286"/>
      <c r="R217" s="287"/>
      <c r="T217" s="163" t="str" cm="1">
        <f t="array" aca="1" ref="T217" ca="1">_xll.d.TestUtils_IsTrue(_xll.d.Formatting_Equal(B217,N217))</f>
        <v>Ok</v>
      </c>
      <c r="U217" s="163" t="str" cm="1">
        <f t="array" aca="1" ref="U217" ca="1">_xll.d.TestUtils_IsTrue(_xll.d.Formatting_Equal(C217,O217))</f>
        <v>Ok</v>
      </c>
      <c r="V217" s="163" t="str" cm="1">
        <f t="array" aca="1" ref="V217" ca="1">_xll.d.TestUtils_IsTrue(_xll.d.Formatting_Equal(D217,P217))</f>
        <v>Ok</v>
      </c>
      <c r="W217" s="163" t="str" cm="1">
        <f t="array" aca="1" ref="W217" ca="1">_xll.d.TestUtils_IsTrue(_xll.d.Formatting_Equal(E217,Q217))</f>
        <v>Ok</v>
      </c>
      <c r="X217" s="163" t="str" cm="1">
        <f t="array" aca="1" ref="X217" ca="1">_xll.d.TestUtils_IsTrue(_xll.d.Formatting_Equal(F217,R217))</f>
        <v>Ok</v>
      </c>
    </row>
    <row r="218" spans="2:24">
      <c r="B218" s="135"/>
      <c r="C218" s="135"/>
      <c r="D218" s="273">
        <v>0.75</v>
      </c>
      <c r="E218" s="274">
        <v>1</v>
      </c>
      <c r="F218" s="275">
        <v>1.25</v>
      </c>
      <c r="H218" s="284" t="s">
        <v>210</v>
      </c>
      <c r="I218" s="284" t="s">
        <v>210</v>
      </c>
      <c r="J218" s="135">
        <v>0.75</v>
      </c>
      <c r="K218" s="135">
        <v>1</v>
      </c>
      <c r="L218" s="135">
        <v>1.25</v>
      </c>
      <c r="M218" s="135"/>
      <c r="N218" s="284" t="s">
        <v>210</v>
      </c>
      <c r="O218" s="284" t="s">
        <v>210</v>
      </c>
      <c r="P218" s="674">
        <v>0.75</v>
      </c>
      <c r="Q218" s="675">
        <v>1</v>
      </c>
      <c r="R218" s="288">
        <v>1.25</v>
      </c>
      <c r="T218" s="163" t="str" cm="1">
        <f t="array" aca="1" ref="T218" ca="1">_xll.d.TestUtils_IsTrue(_xll.d.Formatting_Equal(B218,N218))</f>
        <v>Ok</v>
      </c>
      <c r="U218" s="163" t="str" cm="1">
        <f t="array" aca="1" ref="U218" ca="1">_xll.d.TestUtils_IsTrue(_xll.d.Formatting_Equal(C218,O218))</f>
        <v>Ok</v>
      </c>
      <c r="V218" s="163" t="str" cm="1">
        <f t="array" aca="1" ref="V218" ca="1">_xll.d.TestUtils_IsTrue(_xll.d.Formatting_Equal(D218,P218))</f>
        <v>Ok</v>
      </c>
      <c r="W218" s="163" t="str" cm="1">
        <f t="array" aca="1" ref="W218" ca="1">_xll.d.TestUtils_IsTrue(_xll.d.Formatting_Equal(E218,Q218))</f>
        <v>Ok</v>
      </c>
      <c r="X218" s="163" t="str" cm="1">
        <f t="array" aca="1" ref="X218" ca="1">_xll.d.TestUtils_IsTrue(_xll.d.Formatting_Equal(F218,R218))</f>
        <v>Ok</v>
      </c>
    </row>
    <row r="219" spans="2:24" ht="15" customHeight="1">
      <c r="B219" s="1122" t="s">
        <v>35</v>
      </c>
      <c r="C219" s="279" t="s">
        <v>25</v>
      </c>
      <c r="D219" s="276">
        <v>0.25</v>
      </c>
      <c r="E219" s="271">
        <v>0.27</v>
      </c>
      <c r="F219" s="272">
        <v>0.28999999999999998</v>
      </c>
      <c r="H219" s="135" t="s">
        <v>35</v>
      </c>
      <c r="I219" s="135" t="s">
        <v>25</v>
      </c>
      <c r="J219" s="135">
        <v>0.25</v>
      </c>
      <c r="K219" s="135">
        <v>0.27</v>
      </c>
      <c r="L219" s="135">
        <v>0.28999999999999998</v>
      </c>
      <c r="M219" s="135"/>
      <c r="N219" s="1122" t="s">
        <v>35</v>
      </c>
      <c r="O219" s="690" t="s">
        <v>25</v>
      </c>
      <c r="P219" s="694">
        <v>0.25</v>
      </c>
      <c r="Q219" s="692">
        <v>0.27</v>
      </c>
      <c r="R219" s="693">
        <v>0.28999999999999998</v>
      </c>
      <c r="T219" s="163" t="str" cm="1">
        <f t="array" aca="1" ref="T219" ca="1">_xll.d.TestUtils_IsTrue(_xll.d.Formatting_Equal(B219,N219))</f>
        <v>Ok</v>
      </c>
      <c r="U219" s="163" t="str" cm="1">
        <f t="array" aca="1" ref="U219" ca="1">_xll.d.TestUtils_IsTrue(_xll.d.Formatting_Equal(C219,O219))</f>
        <v>Ok</v>
      </c>
      <c r="V219" s="163" t="str" cm="1">
        <f t="array" aca="1" ref="V219" ca="1">_xll.d.TestUtils_IsTrue(_xll.d.Formatting_Equal(D219,P219))</f>
        <v>Ok</v>
      </c>
      <c r="W219" s="163" t="str" cm="1">
        <f t="array" aca="1" ref="W219" ca="1">_xll.d.TestUtils_IsTrue(_xll.d.Formatting_Equal(E219,Q219))</f>
        <v>Ok</v>
      </c>
      <c r="X219" s="163" t="str" cm="1">
        <f t="array" aca="1" ref="X219" ca="1">_xll.d.TestUtils_IsTrue(_xll.d.Formatting_Equal(F219,R219))</f>
        <v>Ok</v>
      </c>
    </row>
    <row r="220" spans="2:24">
      <c r="B220" s="1123"/>
      <c r="C220" s="280" t="s">
        <v>26</v>
      </c>
      <c r="D220" s="277">
        <v>0.27</v>
      </c>
      <c r="E220" s="270">
        <v>0.28999999999999998</v>
      </c>
      <c r="F220" s="125">
        <v>0.31</v>
      </c>
      <c r="H220" s="135"/>
      <c r="I220" s="135" t="s">
        <v>26</v>
      </c>
      <c r="J220" s="135">
        <v>0.27</v>
      </c>
      <c r="K220" s="135">
        <v>0.28999999999999998</v>
      </c>
      <c r="L220" s="135">
        <v>0.31</v>
      </c>
      <c r="M220" s="135"/>
      <c r="N220" s="1123"/>
      <c r="O220" s="691" t="s">
        <v>26</v>
      </c>
      <c r="P220" s="695">
        <v>0.27</v>
      </c>
      <c r="Q220" s="676">
        <v>0.28999999999999998</v>
      </c>
      <c r="R220" s="677">
        <v>0.31</v>
      </c>
      <c r="T220" s="163" t="str" cm="1">
        <f t="array" aca="1" ref="T220" ca="1">_xll.d.TestUtils_IsTrue(_xll.d.Formatting_Equal(B220,N220))</f>
        <v>Ok</v>
      </c>
      <c r="U220" s="163" t="str" cm="1">
        <f t="array" aca="1" ref="U220" ca="1">_xll.d.TestUtils_IsTrue(_xll.d.Formatting_Equal(C220,O220))</f>
        <v>Ok</v>
      </c>
      <c r="V220" s="163" t="str" cm="1">
        <f t="array" aca="1" ref="V220" ca="1">_xll.d.TestUtils_IsTrue(_xll.d.Formatting_Equal(D220,P220))</f>
        <v>Ok</v>
      </c>
      <c r="W220" s="163" t="str" cm="1">
        <f t="array" aca="1" ref="W220" ca="1">_xll.d.TestUtils_IsTrue(_xll.d.Formatting_Equal(E220,Q220))</f>
        <v>Ok</v>
      </c>
      <c r="X220" s="163" t="str" cm="1">
        <f t="array" aca="1" ref="X220" ca="1">_xll.d.TestUtils_IsTrue(_xll.d.Formatting_Equal(F220,R220))</f>
        <v>Ok</v>
      </c>
    </row>
    <row r="221" spans="2:24">
      <c r="B221" s="1123"/>
      <c r="C221" s="280" t="s">
        <v>24</v>
      </c>
      <c r="D221" s="277">
        <v>0.28999999999999998</v>
      </c>
      <c r="E221" s="270">
        <v>0.31</v>
      </c>
      <c r="F221" s="125">
        <v>0.33</v>
      </c>
      <c r="H221" s="135"/>
      <c r="I221" s="135" t="s">
        <v>24</v>
      </c>
      <c r="J221" s="135">
        <v>0.28999999999999998</v>
      </c>
      <c r="K221" s="135">
        <v>0.31</v>
      </c>
      <c r="L221" s="135">
        <v>0.33</v>
      </c>
      <c r="M221" s="135"/>
      <c r="N221" s="1123"/>
      <c r="O221" s="691" t="s">
        <v>24</v>
      </c>
      <c r="P221" s="695">
        <v>0.28999999999999998</v>
      </c>
      <c r="Q221" s="676">
        <v>0.31</v>
      </c>
      <c r="R221" s="677">
        <v>0.33</v>
      </c>
      <c r="T221" s="163" t="str" cm="1">
        <f t="array" aca="1" ref="T221" ca="1">_xll.d.TestUtils_IsTrue(_xll.d.Formatting_Equal(B221,N221))</f>
        <v>Ok</v>
      </c>
      <c r="U221" s="163" t="str" cm="1">
        <f t="array" aca="1" ref="U221" ca="1">_xll.d.TestUtils_IsTrue(_xll.d.Formatting_Equal(C221,O221))</f>
        <v>Ok</v>
      </c>
      <c r="V221" s="163" t="str" cm="1">
        <f t="array" aca="1" ref="V221" ca="1">_xll.d.TestUtils_IsTrue(_xll.d.Formatting_Equal(D221,P221))</f>
        <v>Ok</v>
      </c>
      <c r="W221" s="163" t="str" cm="1">
        <f t="array" aca="1" ref="W221" ca="1">_xll.d.TestUtils_IsTrue(_xll.d.Formatting_Equal(E221,Q221))</f>
        <v>Ok</v>
      </c>
      <c r="X221" s="163" t="str" cm="1">
        <f t="array" aca="1" ref="X221" ca="1">_xll.d.TestUtils_IsTrue(_xll.d.Formatting_Equal(F221,R221))</f>
        <v>Ok</v>
      </c>
    </row>
    <row r="222" spans="2:24">
      <c r="B222" s="1123"/>
      <c r="C222" s="280" t="s">
        <v>27</v>
      </c>
      <c r="D222" s="277">
        <v>0.31</v>
      </c>
      <c r="E222" s="270">
        <v>0.33</v>
      </c>
      <c r="F222" s="125">
        <v>0.35</v>
      </c>
      <c r="H222" s="135"/>
      <c r="I222" s="135" t="s">
        <v>27</v>
      </c>
      <c r="J222" s="135">
        <v>0.31</v>
      </c>
      <c r="K222" s="135">
        <v>0.33</v>
      </c>
      <c r="L222" s="135">
        <v>0.35</v>
      </c>
      <c r="M222" s="135"/>
      <c r="N222" s="1123"/>
      <c r="O222" s="691" t="s">
        <v>27</v>
      </c>
      <c r="P222" s="695">
        <v>0.31</v>
      </c>
      <c r="Q222" s="676">
        <v>0.33</v>
      </c>
      <c r="R222" s="677">
        <v>0.35</v>
      </c>
      <c r="T222" s="163" t="str" cm="1">
        <f t="array" aca="1" ref="T222" ca="1">_xll.d.TestUtils_IsTrue(_xll.d.Formatting_Equal(B222,N222))</f>
        <v>Ok</v>
      </c>
      <c r="U222" s="163" t="str" cm="1">
        <f t="array" aca="1" ref="U222" ca="1">_xll.d.TestUtils_IsTrue(_xll.d.Formatting_Equal(C222,O222))</f>
        <v>Ok</v>
      </c>
      <c r="V222" s="163" t="str" cm="1">
        <f t="array" aca="1" ref="V222" ca="1">_xll.d.TestUtils_IsTrue(_xll.d.Formatting_Equal(D222,P222))</f>
        <v>Ok</v>
      </c>
      <c r="W222" s="163" t="str" cm="1">
        <f t="array" aca="1" ref="W222" ca="1">_xll.d.TestUtils_IsTrue(_xll.d.Formatting_Equal(E222,Q222))</f>
        <v>Ok</v>
      </c>
      <c r="X222" s="163" t="str" cm="1">
        <f t="array" aca="1" ref="X222" ca="1">_xll.d.TestUtils_IsTrue(_xll.d.Formatting_Equal(F222,R222))</f>
        <v>Ok</v>
      </c>
    </row>
    <row r="223" spans="2:24">
      <c r="B223" s="1124"/>
      <c r="C223" s="281" t="s">
        <v>48</v>
      </c>
      <c r="D223" s="278">
        <v>0.33</v>
      </c>
      <c r="E223" s="190">
        <v>0.35</v>
      </c>
      <c r="F223" s="127">
        <v>0.37</v>
      </c>
      <c r="H223" s="135"/>
      <c r="I223" s="135" t="s">
        <v>48</v>
      </c>
      <c r="J223" s="135">
        <v>0.33</v>
      </c>
      <c r="K223" s="135">
        <v>0.35</v>
      </c>
      <c r="L223" s="135">
        <v>0.37</v>
      </c>
      <c r="M223" s="135"/>
      <c r="N223" s="1124"/>
      <c r="O223" s="283" t="s">
        <v>48</v>
      </c>
      <c r="P223" s="696">
        <v>0.33</v>
      </c>
      <c r="Q223" s="196">
        <v>0.35</v>
      </c>
      <c r="R223" s="197">
        <v>0.37</v>
      </c>
      <c r="T223" s="163" t="str" cm="1">
        <f t="array" aca="1" ref="T223" ca="1">_xll.d.TestUtils_IsTrue(_xll.d.Formatting_Equal(B223,N223))</f>
        <v>Ok</v>
      </c>
      <c r="U223" s="163" t="str" cm="1">
        <f t="array" aca="1" ref="U223" ca="1">_xll.d.TestUtils_IsTrue(_xll.d.Formatting_Equal(C223,O223))</f>
        <v>Ok</v>
      </c>
      <c r="V223" s="163" t="str" cm="1">
        <f t="array" aca="1" ref="V223" ca="1">_xll.d.TestUtils_IsTrue(_xll.d.Formatting_Equal(D223,P223))</f>
        <v>Ok</v>
      </c>
      <c r="W223" s="163" t="str" cm="1">
        <f t="array" aca="1" ref="W223" ca="1">_xll.d.TestUtils_IsTrue(_xll.d.Formatting_Equal(E223,Q223))</f>
        <v>Ok</v>
      </c>
      <c r="X223" s="163" t="str" cm="1">
        <f t="array" aca="1" ref="X223" ca="1">_xll.d.TestUtils_IsTrue(_xll.d.Formatting_Equal(F223,R223))</f>
        <v>Ok</v>
      </c>
    </row>
    <row r="224" spans="2:24">
      <c r="H224" s="135"/>
      <c r="I224" s="135"/>
      <c r="J224" s="135"/>
      <c r="K224" s="135"/>
      <c r="L224" s="135"/>
      <c r="M224" s="135"/>
      <c r="N224" s="135"/>
      <c r="O224" s="135"/>
      <c r="P224" s="135"/>
      <c r="Q224" s="135"/>
      <c r="R224" s="135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95E303-F2BB-4BCB-B672-3ECE909462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261</vt:i4>
      </vt:variant>
    </vt:vector>
  </HeadingPairs>
  <TitlesOfParts>
    <vt:vector size="288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 Bootstrapping</vt:lpstr>
      <vt:lpstr>Interest Rate Curves</vt:lpstr>
      <vt:lpstr>Curves</vt:lpstr>
      <vt:lpstr>SOFR Bootstrapping</vt:lpstr>
      <vt:lpstr>Single Curve Bootstrapping</vt:lpstr>
      <vt:lpstr>Dual Curve Bootstrapping</vt:lpstr>
      <vt:lpstr>Interest Rate Pricers</vt:lpstr>
      <vt:lpstr>Rate Utils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'Dual Curve Bootstrapping'!CurveBootstrapping.Title.CurveBootstrapping</vt:lpstr>
      <vt:lpstr>CurveBootstrapping.Title.CurveBootstrapping</vt:lpstr>
      <vt:lpstr>CurveBootstrapping.Title.CurveBootstrappingMethodologyTests</vt:lpstr>
      <vt:lpstr>CurveBootstrapping.Title.CurveBootstrappingTests</vt:lpstr>
      <vt:lpstr>CurveBootstrapping.Title.d.Curve_Get</vt:lpstr>
      <vt:lpstr>CurveBootstrapping.Title.d.Curve_GetInstruments</vt:lpstr>
      <vt:lpstr>'Dual Curve Bootstrapping'!CurveBootstrapping.Title.DualBoostrappedRealCurveFEDFUND</vt:lpstr>
      <vt:lpstr>CurveBootstrapping.Title.ExceptionTesting</vt:lpstr>
      <vt:lpstr>CurveBootstrapping.Title.FlatCurve3mJIBAR</vt:lpstr>
      <vt:lpstr>CurveBootstrapping.Title.FunctionTests</vt:lpstr>
      <vt:lpstr>CurveBootstrapping.Title.GeneralFunctionTests</vt:lpstr>
      <vt:lpstr>'Dual Curve Bootstrapping'!CurveBootstrapping.Title.ManualCalculations</vt:lpstr>
      <vt:lpstr>'Dual Curve Bootstrapping'!CurveBootstrapping.Title.OldBootstrapperCalculations</vt:lpstr>
      <vt:lpstr>CurveBootstrapping.Title.RealCurve3mJIBAR</vt:lpstr>
      <vt:lpstr>CurveBootstrapping.Title.RealCurveFEDFUND</vt:lpstr>
      <vt:lpstr>'Dual Curve Bootstrapping'!CurveBootstrapping.Title.TestResults</vt:lpstr>
      <vt:lpstr>CurveBootstrapping.Title.TestResults</vt:lpstr>
      <vt:lpstr>CurveBootstrapping.Title.Tests</vt:lpstr>
      <vt:lpstr>CurveBootstrapping.Title.USDOISCurveTesting</vt:lpstr>
      <vt:lpstr>'Dual Curve Bootstrapping'!CurveBootstrapping.Title.USDSwapCurveDualBootstrappedTesting</vt:lpstr>
      <vt:lpstr>'Dual Curve Bootstrapping'!CurveBootstrapping.Title.USDSwapCurveTesting</vt:lpstr>
      <vt:lpstr>CurveBootstrapping.Title.ZARSwapCurveTesting</vt:lpstr>
      <vt:lpstr>'SOFR Bootstrapping'!Curves.Title</vt:lpstr>
      <vt:lpstr>Curves.Title</vt:lpstr>
      <vt:lpstr>'SOFR Bootstrapping'!Curves.Title.Curves</vt:lpstr>
      <vt:lpstr>Curves.Title.Curves</vt:lpstr>
      <vt:lpstr>Curves.Title.d.Curve_Create</vt:lpstr>
      <vt:lpstr>Curves.Title.d.Curve_CreateFromDiscountFactors</vt:lpstr>
      <vt:lpstr>'SOFR Bootstrapping'!Curves.Title.d.Curve_CreateFromZeroRates</vt:lpstr>
      <vt:lpstr>Curves.Title.d.Curve_CreateFromZeroRates</vt:lpstr>
      <vt:lpstr>Curves.Title.d.Curve_GetDiscountFactors</vt:lpstr>
      <vt:lpstr>Curves.Title.d.Curve_GetForwardRates</vt:lpstr>
      <vt:lpstr>Curves.Title.d.Curve_GetInstruments</vt:lpstr>
      <vt:lpstr>Curves.Title.d.Curve_GetInterpolationMethodsForBootstrapping</vt:lpstr>
      <vt:lpstr>Curves.Title.d.Curve_GetInterpolationMethodsForDiscountFactors</vt:lpstr>
      <vt:lpstr>Curves.Title.d.Curve_GetInterpolationMethodsForZeroRates</vt:lpstr>
      <vt:lpstr>Curves.Title.d.Curve_GetRateIndices</vt:lpstr>
      <vt:lpstr>Curves.Title.d.Curve_GetZeroRates</vt:lpstr>
      <vt:lpstr>Curves.Title.Setup</vt:lpstr>
      <vt:lpstr>Curves.Title.Test1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Dates.Title.d.Dates_IsBusinessDay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FXCurveBootstrapping.Title.d.Curve_BootstrapFxBasisAdjustedCurve</vt:lpstr>
      <vt:lpstr>FXCurveBootstrapping.Title.ExceptionHandling</vt:lpstr>
      <vt:lpstr>FXCurveBootstrapping.Title.FXCurveBootstrapping</vt:lpstr>
      <vt:lpstr>FXCurveBootstrapping.Title.MissingBaseDateParameter</vt:lpstr>
      <vt:lpstr>FXCurveBootstrapping.Title.MissingSpotFxParameter</vt:lpstr>
      <vt:lpstr>FXCurveBootstrapping.Title.OldBootstrapperCalculations</vt:lpstr>
      <vt:lpstr>FXCurveBootstrapping.Title.UnsupportedInstrument</vt:lpstr>
      <vt:lpstr>FXCurveBootstrapping.Title.USDZARFXBasisAdjustedCurveBootstrapping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InterestRateSwaps.Title.d.IR_CreateConstantNotionalCrossCurrencySwap</vt:lpstr>
      <vt:lpstr>InterestRateSwaps.Title.d.IR_CreateConstantNotionalFloatingLeg</vt:lpstr>
      <vt:lpstr>InterestRateSwaps.Title.d.IR_CreateFloatForFloatInterestRateSwap</vt:lpstr>
      <vt:lpstr>InterestRateSwaps.Title.d.IR_CreateNonStandardInterestRateSwap</vt:lpstr>
      <vt:lpstr>InterestRateSwaps.Title.d.IR_CreateReferenceRateIndex</vt:lpstr>
      <vt:lpstr>InterestRateSwaps.Title.d.IR_CreateVanillaInterestRateSwap</vt:lpstr>
      <vt:lpstr>InterestRateSwaps.Title.InterestRateSwaps</vt:lpstr>
      <vt:lpstr>InterestRateSwaps.Title.SimplifiedTestInputs</vt:lpstr>
      <vt:lpstr>InterestRateSwaps.Title.TestResults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'Dual Curve Bootstrapping'!SinlgeCurveBootstrapping.Title.RealCurveFEDFUND</vt:lpstr>
      <vt:lpstr>'Dual Curve Bootstrapping'!SinlgeCurveBootstrapping.Title.SingleCurveBootstrapping</vt:lpstr>
      <vt:lpstr>SinlgeCurveBootstrapping.Title.SingleCurveBootstrapping</vt:lpstr>
      <vt:lpstr>'Dual Curve Bootstrapping'!SinlgeCurveBootstrapping.Title.TestResults</vt:lpstr>
      <vt:lpstr>SinlgeCurveBootstrapping.Title.TestResults</vt:lpstr>
      <vt:lpstr>SinlgeCurveBootstrapping.Title.Tests</vt:lpstr>
      <vt:lpstr>SinlgeCurveBootstrapping.Title.USDOISCurveTesting</vt:lpstr>
      <vt:lpstr>'Dual Curve Bootstrapping'!SinlgeCurveBootstrapping.Title.USDSwapCurveTesting</vt:lpstr>
      <vt:lpstr>SinlgeCurveBootstrapping.Title.ZARSwapCurveTesting</vt:lpstr>
      <vt:lpstr>SOFRBootstrapping.Title.d.Curve_Bootstrap</vt:lpstr>
      <vt:lpstr>SOFRBootstrapping.Title.d.Curve_Get</vt:lpstr>
      <vt:lpstr>SOFRBootstrapping.Title.OldBootstrapperCalculations</vt:lpstr>
      <vt:lpstr>SOFRBootstrapping.Title.SOFRBootstrapping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  <vt:lpstr>'Interest Rate Swaps'!ValuationDate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2023-06-30T10:51:27Z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