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F764FE3-AE5F-4631-A036-3909B309A1B9}" xr6:coauthVersionLast="47" xr6:coauthVersionMax="47" xr10:uidLastSave="{00000000-0000-0000-0000-000000000000}"/>
  <bookViews>
    <workbookView xWindow="-120" yWindow="-120" windowWidth="20730" windowHeight="1116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'Sinlge Curve Bootstrapping'!$B$8</definedName>
    <definedName name="SinlgeCurveBootstrapping.Title.d.Curve_GetInstruments">'Sinlge Curve Bootstrapping'!$B$59</definedName>
    <definedName name="SinlgeCurveBootstrapping.Title.ExceptionTesting">'Sinlge Curve Bootstrapping'!$CS$20</definedName>
    <definedName name="SinlgeCurveBootstrapping.Title.FlatCurve3mJIBAR">'Sinlge Curve Bootstrapping'!$B$22</definedName>
    <definedName name="SinlgeCurveBootstrapping.Title.FunctionTests">'Sinlge Curve Bootstrapping'!$F$8</definedName>
    <definedName name="SinlgeCurveBootstrapping.Title.NonFlatCurveFEDFUND">'Sinlge Curve Bootstrapping'!$AC$22</definedName>
    <definedName name="SinlgeCurveBootstrapping.Title.RealCurve3mJIBAR">'Sinlge Curve Bootstrapping'!$M$22</definedName>
    <definedName name="SinlgeCurveBootstrapping.Title.RealCurveFEDFUND">'Sinlge Curve Bootstrapping'!$AS$22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Bootstrapping'!$R$26</definedName>
    <definedName name="SinlgeCurveBootstrapping.Title.USDOISCurveTesting">'Sinlge Curve Bootstrapping'!$AC$20</definedName>
    <definedName name="SinlgeCurveBootstrapping.Title.USDSwapCurveTesting">'Sinlge Curve Bootstrapping'!$AS$20</definedName>
    <definedName name="SinlgeCurveBootstrapping.Title.ZARSwapCurveTesting">'Sinlge Curve Bootstrapping'!$M$20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24" l="1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C50" i="25" s="1"/>
  <c r="B50" i="25"/>
  <c r="B45" i="25" a="1"/>
  <c r="B46" i="25" s="1"/>
  <c r="D42" i="25" a="1"/>
  <c r="D42" i="25" s="1"/>
  <c r="D39" i="25" a="1"/>
  <c r="D39" i="25" s="1"/>
  <c r="AF31" i="25" a="1"/>
  <c r="AG31" i="25" s="1"/>
  <c r="AF31" i="25"/>
  <c r="AF26" i="25" a="1"/>
  <c r="AF27" i="25" s="1"/>
  <c r="AG26" i="25"/>
  <c r="AH26" i="25"/>
  <c r="AH23" i="25" a="1"/>
  <c r="AH23" i="25" s="1"/>
  <c r="AH20" i="25" a="1"/>
  <c r="AH20" i="25" s="1"/>
  <c r="B31" i="25" a="1"/>
  <c r="C31" i="25" s="1"/>
  <c r="B26" i="25" a="1"/>
  <c r="B27" i="25" s="1"/>
  <c r="D26" i="25"/>
  <c r="D23" i="25" a="1"/>
  <c r="D23" i="25" s="1"/>
  <c r="D20" i="25" a="1"/>
  <c r="D20" i="25" s="1"/>
  <c r="H65" i="3" a="1"/>
  <c r="H65" i="3"/>
  <c r="I65" i="3" a="1"/>
  <c r="I65" i="3"/>
  <c r="J65" i="3" a="1"/>
  <c r="J65" i="3"/>
  <c r="H66" i="3" a="1"/>
  <c r="H66" i="3"/>
  <c r="I66" i="3" a="1"/>
  <c r="I66" i="3"/>
  <c r="J66" i="3" a="1"/>
  <c r="J66" i="3"/>
  <c r="H67" i="3" a="1"/>
  <c r="H67" i="3"/>
  <c r="I67" i="3" a="1"/>
  <c r="I67" i="3"/>
  <c r="J67" i="3" a="1"/>
  <c r="J67" i="3"/>
  <c r="H68" i="3" a="1"/>
  <c r="H68" i="3"/>
  <c r="I68" i="3" a="1"/>
  <c r="I68" i="3"/>
  <c r="J68" i="3" a="1"/>
  <c r="J68" i="3"/>
  <c r="H69" i="3" a="1"/>
  <c r="H69" i="3"/>
  <c r="I69" i="3" a="1"/>
  <c r="I69" i="3"/>
  <c r="J69" i="3" a="1"/>
  <c r="J69" i="3"/>
  <c r="H70" i="3" a="1"/>
  <c r="H70" i="3"/>
  <c r="I70" i="3" a="1"/>
  <c r="I70" i="3"/>
  <c r="J70" i="3" a="1"/>
  <c r="J70" i="3"/>
  <c r="H71" i="3" a="1"/>
  <c r="H71" i="3"/>
  <c r="I71" i="3" a="1"/>
  <c r="I71" i="3"/>
  <c r="J71" i="3" a="1"/>
  <c r="J71" i="3"/>
  <c r="H72" i="3" a="1"/>
  <c r="H72" i="3"/>
  <c r="I72" i="3" a="1"/>
  <c r="I72" i="3"/>
  <c r="J72" i="3" a="1"/>
  <c r="J72" i="3"/>
  <c r="H73" i="3" a="1"/>
  <c r="H73" i="3"/>
  <c r="I73" i="3" a="1"/>
  <c r="I73" i="3"/>
  <c r="J73" i="3" a="1"/>
  <c r="J73" i="3"/>
  <c r="H74" i="3" a="1"/>
  <c r="H74" i="3"/>
  <c r="I74" i="3" a="1"/>
  <c r="I74" i="3"/>
  <c r="J74" i="3" a="1"/>
  <c r="J74" i="3"/>
  <c r="H75" i="3" a="1"/>
  <c r="H75" i="3"/>
  <c r="I75" i="3" a="1"/>
  <c r="I75" i="3"/>
  <c r="J75" i="3" a="1"/>
  <c r="J75" i="3"/>
  <c r="H76" i="3" a="1"/>
  <c r="H76" i="3"/>
  <c r="I76" i="3" a="1"/>
  <c r="I76" i="3"/>
  <c r="J76" i="3" a="1"/>
  <c r="J76" i="3"/>
  <c r="H77" i="3" a="1"/>
  <c r="H77" i="3"/>
  <c r="I77" i="3" a="1"/>
  <c r="I77" i="3"/>
  <c r="J77" i="3" a="1"/>
  <c r="J77" i="3"/>
  <c r="H78" i="3" a="1"/>
  <c r="H78" i="3"/>
  <c r="I78" i="3" a="1"/>
  <c r="I78" i="3"/>
  <c r="J78" i="3" a="1"/>
  <c r="J78" i="3"/>
  <c r="H79" i="3" a="1"/>
  <c r="H79" i="3"/>
  <c r="I79" i="3" a="1"/>
  <c r="I79" i="3"/>
  <c r="J79" i="3" a="1"/>
  <c r="J79" i="3"/>
  <c r="I64" i="3" a="1"/>
  <c r="I64" i="3"/>
  <c r="J64" i="3" a="1"/>
  <c r="J64" i="3"/>
  <c r="E68" i="3"/>
  <c r="F68" i="3"/>
  <c r="G68" i="3"/>
  <c r="E69" i="3"/>
  <c r="F69" i="3"/>
  <c r="G69" i="3"/>
  <c r="E70" i="3"/>
  <c r="F70" i="3"/>
  <c r="G70" i="3"/>
  <c r="E71" i="3"/>
  <c r="F71" i="3"/>
  <c r="G71" i="3"/>
  <c r="E72" i="3"/>
  <c r="F72" i="3"/>
  <c r="G72" i="3"/>
  <c r="E73" i="3"/>
  <c r="F73" i="3"/>
  <c r="G73" i="3"/>
  <c r="E74" i="3"/>
  <c r="F74" i="3"/>
  <c r="G74" i="3"/>
  <c r="E75" i="3"/>
  <c r="F75" i="3"/>
  <c r="G75" i="3"/>
  <c r="E76" i="3"/>
  <c r="F76" i="3"/>
  <c r="G76" i="3"/>
  <c r="E77" i="3"/>
  <c r="F77" i="3"/>
  <c r="G77" i="3"/>
  <c r="E78" i="3"/>
  <c r="F78" i="3"/>
  <c r="G78" i="3"/>
  <c r="E79" i="3"/>
  <c r="F79" i="3"/>
  <c r="G79" i="3"/>
  <c r="F64" i="3"/>
  <c r="G64" i="3"/>
  <c r="F65" i="3"/>
  <c r="G65" i="3"/>
  <c r="F66" i="3"/>
  <c r="G66" i="3"/>
  <c r="F67" i="3"/>
  <c r="G67" i="3"/>
  <c r="E65" i="3"/>
  <c r="E66" i="3"/>
  <c r="E67" i="3"/>
  <c r="E64" i="3"/>
  <c r="BZ82" i="3"/>
  <c r="BZ81" i="3"/>
  <c r="BZ80" i="3"/>
  <c r="BZ79" i="3"/>
  <c r="BZ78" i="3"/>
  <c r="BZ77" i="3"/>
  <c r="BS32" i="3"/>
  <c r="BX26" i="3" s="1"/>
  <c r="CC36" i="3" s="1"/>
  <c r="C16" i="24" a="1"/>
  <c r="BX33" i="3" a="1"/>
  <c r="BX35" i="3" a="1"/>
  <c r="D27" i="3" a="1"/>
  <c r="BX27" i="3" a="1"/>
  <c r="BX29" i="3" a="1"/>
  <c r="BX30" i="3" a="1"/>
  <c r="AU27" i="3" a="1"/>
  <c r="BX40" i="3" a="1"/>
  <c r="BX32" i="3" a="1"/>
  <c r="C19" i="1" a="1"/>
  <c r="BX36" i="3" a="1"/>
  <c r="BX34" i="3" a="1"/>
  <c r="BX31" i="3" a="1"/>
  <c r="BX28" i="3" a="1"/>
  <c r="C16" i="24" l="1"/>
  <c r="C45" i="25"/>
  <c r="B26" i="25"/>
  <c r="AF26" i="25"/>
  <c r="B45" i="25"/>
  <c r="B31" i="25"/>
  <c r="C26" i="25"/>
  <c r="C52" i="25"/>
  <c r="AF33" i="25"/>
  <c r="D45" i="25"/>
  <c r="AG33" i="25"/>
  <c r="D28" i="25"/>
  <c r="AH28" i="25"/>
  <c r="B52" i="25"/>
  <c r="C28" i="25"/>
  <c r="D32" i="25"/>
  <c r="AG28" i="25"/>
  <c r="AH32" i="25"/>
  <c r="C47" i="25"/>
  <c r="D51" i="25"/>
  <c r="B28" i="25"/>
  <c r="C32" i="25"/>
  <c r="AF28" i="25"/>
  <c r="AG32" i="25"/>
  <c r="B47" i="25"/>
  <c r="C51" i="25"/>
  <c r="B33" i="25"/>
  <c r="D47" i="25"/>
  <c r="B32" i="25"/>
  <c r="AF32" i="25"/>
  <c r="D46" i="25"/>
  <c r="C27" i="25"/>
  <c r="D31" i="25"/>
  <c r="AG27" i="25"/>
  <c r="AH31" i="25"/>
  <c r="C46" i="25"/>
  <c r="D50" i="25"/>
  <c r="D33" i="25"/>
  <c r="AH33" i="25"/>
  <c r="D52" i="25"/>
  <c r="C33" i="25"/>
  <c r="D27" i="25"/>
  <c r="AH27" i="25"/>
  <c r="B51" i="25"/>
  <c r="D27" i="3"/>
  <c r="C19" i="1"/>
  <c r="AU27" i="3"/>
  <c r="BS36" i="3" s="1"/>
  <c r="BX40" i="3"/>
  <c r="BX52" i="3"/>
  <c r="BX64" i="3"/>
  <c r="BX41" i="3"/>
  <c r="BX53" i="3"/>
  <c r="BX65" i="3"/>
  <c r="BX67" i="3"/>
  <c r="BX45" i="3"/>
  <c r="BX69" i="3"/>
  <c r="BX46" i="3"/>
  <c r="BX70" i="3"/>
  <c r="BX42" i="3"/>
  <c r="BX54" i="3"/>
  <c r="BX66" i="3"/>
  <c r="BX48" i="3"/>
  <c r="BX62" i="3"/>
  <c r="BX43" i="3"/>
  <c r="BX55" i="3"/>
  <c r="BX59" i="3"/>
  <c r="BX50" i="3"/>
  <c r="BX44" i="3"/>
  <c r="BX56" i="3"/>
  <c r="BX68" i="3"/>
  <c r="BX71" i="3"/>
  <c r="BX49" i="3"/>
  <c r="BX61" i="3"/>
  <c r="BX57" i="3"/>
  <c r="BX58" i="3"/>
  <c r="BX72" i="3"/>
  <c r="BX47" i="3"/>
  <c r="BX60" i="3"/>
  <c r="BX51" i="3"/>
  <c r="BX63" i="3"/>
  <c r="BX29" i="3"/>
  <c r="BX27" i="3"/>
  <c r="BX35" i="3"/>
  <c r="BX33" i="3"/>
  <c r="BX32" i="3"/>
  <c r="BX30" i="3"/>
  <c r="BX28" i="3"/>
  <c r="BX31" i="3"/>
  <c r="BX34" i="3"/>
  <c r="BX36" i="3"/>
  <c r="BY43" i="3" a="1"/>
  <c r="BY62" i="3" a="1"/>
  <c r="BY71" i="3" a="1"/>
  <c r="BY56" i="3" a="1"/>
  <c r="BY65" i="3" a="1"/>
  <c r="BY54" i="3" a="1"/>
  <c r="BY29" i="3" a="1"/>
  <c r="BY46" i="3" a="1"/>
  <c r="BY64" i="3" a="1"/>
  <c r="BY41" i="3" a="1"/>
  <c r="BY58" i="3" a="1"/>
  <c r="BY69" i="3" a="1"/>
  <c r="BY48" i="3" a="1"/>
  <c r="BY42" i="3" a="1"/>
  <c r="BY60" i="3" a="1"/>
  <c r="BY72" i="3" a="1"/>
  <c r="BY51" i="3" a="1"/>
  <c r="BY50" i="3" a="1"/>
  <c r="B94" i="1" a="1"/>
  <c r="BY49" i="3" a="1"/>
  <c r="BY53" i="3" a="1"/>
  <c r="BY45" i="3" a="1"/>
  <c r="BY67" i="3" a="1"/>
  <c r="BY28" i="3" a="1"/>
  <c r="BT27" i="3" a="1"/>
  <c r="BY68" i="3" a="1"/>
  <c r="BY63" i="3" a="1"/>
  <c r="B64" i="3" a="1"/>
  <c r="BY47" i="3" a="1"/>
  <c r="BY52" i="3" a="1"/>
  <c r="BY27" i="3" a="1"/>
  <c r="BH27" i="3" a="1"/>
  <c r="BY66" i="3" a="1"/>
  <c r="BY57" i="3" a="1"/>
  <c r="BY44" i="3" a="1"/>
  <c r="BY55" i="3" a="1"/>
  <c r="BY70" i="3" a="1"/>
  <c r="BY59" i="3" a="1"/>
  <c r="BY61" i="3" a="1"/>
  <c r="BH27" i="3" l="1"/>
  <c r="B94" i="1"/>
  <c r="B64" i="3"/>
  <c r="BT27" i="3"/>
  <c r="BY49" i="3"/>
  <c r="BY67" i="3"/>
  <c r="BY41" i="3"/>
  <c r="BY43" i="3"/>
  <c r="BY27" i="3"/>
  <c r="BY69" i="3"/>
  <c r="BY71" i="3"/>
  <c r="BY70" i="3"/>
  <c r="BY28" i="3"/>
  <c r="BY58" i="3"/>
  <c r="BY62" i="3"/>
  <c r="BY50" i="3"/>
  <c r="BY55" i="3"/>
  <c r="BY72" i="3"/>
  <c r="BY29" i="3"/>
  <c r="BY57" i="3"/>
  <c r="BY47" i="3"/>
  <c r="BY64" i="3"/>
  <c r="BY45" i="3"/>
  <c r="BY52" i="3"/>
  <c r="BY51" i="3"/>
  <c r="BY46" i="3"/>
  <c r="BY61" i="3"/>
  <c r="BY60" i="3"/>
  <c r="BY68" i="3"/>
  <c r="BY48" i="3"/>
  <c r="BY56" i="3"/>
  <c r="BY66" i="3"/>
  <c r="BY44" i="3"/>
  <c r="BY54" i="3"/>
  <c r="BY59" i="3"/>
  <c r="BY63" i="3"/>
  <c r="BY42" i="3"/>
  <c r="BY65" i="3"/>
  <c r="BY53" i="3"/>
  <c r="AX26" i="3"/>
  <c r="BZ28" i="3" a="1"/>
  <c r="BZ36" i="3" a="1"/>
  <c r="K94" i="1" a="1"/>
  <c r="CD36" i="3" a="1"/>
  <c r="H64" i="3" a="1"/>
  <c r="BZ29" i="3" a="1"/>
  <c r="BZ30" i="3" a="1"/>
  <c r="AV31" i="3" a="1"/>
  <c r="BZ27" i="3" a="1"/>
  <c r="BZ35" i="3" a="1"/>
  <c r="BZ31" i="3" a="1"/>
  <c r="BY30" i="3" a="1"/>
  <c r="BZ26" i="3" a="1"/>
  <c r="BZ32" i="3" a="1"/>
  <c r="BZ34" i="3" a="1"/>
  <c r="BZ33" i="3" a="1"/>
  <c r="H64" i="3" l="1"/>
  <c r="K94" i="1"/>
  <c r="C90" i="1" s="1"/>
  <c r="C10" i="1" s="1"/>
  <c r="BZ33" i="3"/>
  <c r="BZ27" i="3"/>
  <c r="BZ32" i="3"/>
  <c r="CD36" i="3"/>
  <c r="BZ31" i="3"/>
  <c r="BZ26" i="3"/>
  <c r="BZ36" i="3"/>
  <c r="BZ30" i="3"/>
  <c r="BZ35" i="3"/>
  <c r="BZ29" i="3"/>
  <c r="BZ34" i="3"/>
  <c r="BZ28" i="3"/>
  <c r="BY30" i="3"/>
  <c r="AV31" i="3"/>
  <c r="AX27" i="3" s="1"/>
  <c r="C61" i="3" a="1"/>
  <c r="CA27" i="3" a="1"/>
  <c r="CA29" i="3" a="1"/>
  <c r="CA28" i="3" a="1"/>
  <c r="CA26" i="3" a="1"/>
  <c r="AY27" i="3" a="1"/>
  <c r="BY31" i="3" a="1"/>
  <c r="CA30" i="3" a="1"/>
  <c r="BE26" i="3" a="1"/>
  <c r="BF28" i="3" a="1"/>
  <c r="BF27" i="3" a="1"/>
  <c r="BF33" i="3" a="1"/>
  <c r="BF43" i="3" a="1"/>
  <c r="BF32" i="3" a="1"/>
  <c r="BF38" i="3" a="1"/>
  <c r="BF40" i="3" a="1"/>
  <c r="BF35" i="3" a="1"/>
  <c r="BF47" i="3" a="1"/>
  <c r="BF31" i="3" a="1"/>
  <c r="BF42" i="3" a="1"/>
  <c r="BF39" i="3" a="1"/>
  <c r="BF44" i="3" a="1"/>
  <c r="BF37" i="3" a="1"/>
  <c r="BF41" i="3" a="1"/>
  <c r="BF30" i="3" a="1"/>
  <c r="BF36" i="3" a="1"/>
  <c r="BF46" i="3" a="1"/>
  <c r="BF45" i="3" a="1"/>
  <c r="BF29" i="3" a="1"/>
  <c r="BF34" i="3" a="1"/>
  <c r="C61" i="3" l="1"/>
  <c r="I11" i="3" s="1"/>
  <c r="CA30" i="3"/>
  <c r="BY31" i="3"/>
  <c r="CA28" i="3"/>
  <c r="CA26" i="3"/>
  <c r="CA27" i="3"/>
  <c r="CA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Y32" i="3" a="1"/>
  <c r="AY28" i="3" a="1"/>
  <c r="BF26" i="3" a="1"/>
  <c r="CA31" i="3" a="1"/>
  <c r="CA31" i="3" l="1"/>
  <c r="BY32" i="3"/>
  <c r="BF26" i="3"/>
  <c r="AY28" i="3"/>
  <c r="AX29" i="3"/>
  <c r="AY29" i="3" a="1"/>
  <c r="BY33" i="3" a="1"/>
  <c r="CA32" i="3" a="1"/>
  <c r="CA32" i="3" l="1"/>
  <c r="BY33" i="3"/>
  <c r="AY29" i="3"/>
  <c r="AX30" i="3"/>
  <c r="CA33" i="3" a="1"/>
  <c r="AY30" i="3" a="1"/>
  <c r="BY34" i="3" a="1"/>
  <c r="CA33" i="3" l="1"/>
  <c r="BY34" i="3"/>
  <c r="AY30" i="3"/>
  <c r="AX31" i="3"/>
  <c r="AY31" i="3" a="1"/>
  <c r="BY35" i="3" a="1"/>
  <c r="CA34" i="3" a="1"/>
  <c r="CA34" i="3" l="1"/>
  <c r="BY35" i="3"/>
  <c r="AY31" i="3"/>
  <c r="AX32" i="3"/>
  <c r="AY32" i="3" a="1"/>
  <c r="AZ26" i="3" a="1"/>
  <c r="BA31" i="3" s="1" a="1"/>
  <c r="BA29" i="3" a="1"/>
  <c r="BY36" i="3" a="1"/>
  <c r="BA28" i="3" a="1"/>
  <c r="BA27" i="3" a="1"/>
  <c r="CA35" i="3" a="1"/>
  <c r="BA30" i="3" a="1"/>
  <c r="CA35" i="3" l="1"/>
  <c r="BY36" i="3"/>
  <c r="BA27" i="3"/>
  <c r="BA28" i="3"/>
  <c r="BA29" i="3"/>
  <c r="BA30" i="3"/>
  <c r="BA31" i="3"/>
  <c r="AY32" i="3"/>
  <c r="AZ26" i="3"/>
  <c r="BA26" i="3" a="1"/>
  <c r="CA36" i="3" a="1"/>
  <c r="BA32" i="3" a="1"/>
  <c r="CA36" i="3" l="1"/>
  <c r="BA26" i="3"/>
  <c r="BA32" i="3"/>
  <c r="AZ56" i="3" l="1"/>
  <c r="AZ55" i="3"/>
  <c r="AZ54" i="3"/>
  <c r="AZ53" i="3"/>
  <c r="AZ52" i="3"/>
  <c r="AZ51" i="3"/>
  <c r="E67" i="23" l="1" a="1"/>
  <c r="AX36" i="3" a="1"/>
  <c r="AE27" i="3" a="1"/>
  <c r="AX42" i="3" l="1"/>
  <c r="AX39" i="3"/>
  <c r="AX41" i="3"/>
  <c r="AX38" i="3"/>
  <c r="AX44" i="3"/>
  <c r="AX37" i="3"/>
  <c r="AX40" i="3"/>
  <c r="AX36" i="3"/>
  <c r="AX43" i="3"/>
  <c r="AE27" i="3"/>
  <c r="E67" i="23"/>
  <c r="AY44" i="3" a="1"/>
  <c r="AY43" i="3" a="1"/>
  <c r="AY40" i="3" a="1"/>
  <c r="AY42" i="3" a="1"/>
  <c r="AY39" i="3" a="1"/>
  <c r="AY38" i="3" a="1"/>
  <c r="AY41" i="3" a="1"/>
  <c r="AY37" i="3" a="1"/>
  <c r="AY42" i="3" l="1"/>
  <c r="AY39" i="3"/>
  <c r="AY40" i="3"/>
  <c r="AY43" i="3"/>
  <c r="AY44" i="3"/>
  <c r="AY37" i="3"/>
  <c r="AY41" i="3"/>
  <c r="AY38" i="3"/>
  <c r="O27" i="3" a="1"/>
  <c r="O27" i="3" l="1"/>
  <c r="AO47" i="3" a="1"/>
  <c r="AO43" i="3" a="1"/>
  <c r="AO45" i="3" a="1"/>
  <c r="AO46" i="3" a="1"/>
  <c r="AO44" i="3" a="1"/>
  <c r="AO43" i="3" l="1"/>
  <c r="AO45" i="3"/>
  <c r="AO47" i="3"/>
  <c r="AO44" i="3"/>
  <c r="AO46" i="3"/>
  <c r="AP47" i="3" a="1"/>
  <c r="AP43" i="3" a="1"/>
  <c r="AP45" i="3" a="1"/>
  <c r="AP46" i="3" a="1"/>
  <c r="AP44" i="3" a="1"/>
  <c r="BS24" i="3" a="1"/>
  <c r="BS24" i="3" l="1"/>
  <c r="AP45" i="3"/>
  <c r="AP43" i="3"/>
  <c r="AP46" i="3"/>
  <c r="AP44" i="3"/>
  <c r="AP47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R38" i="3" a="1"/>
  <c r="R42" i="3" a="1"/>
  <c r="AF31" i="3" a="1"/>
  <c r="R36" i="3" a="1"/>
  <c r="R34" i="3" a="1"/>
  <c r="R35" i="3" a="1"/>
  <c r="R37" i="3" a="1"/>
  <c r="AF31" i="3" l="1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65" i="3" a="1"/>
  <c r="S63" i="3" a="1"/>
  <c r="AO39" i="3" a="1"/>
  <c r="AO28" i="3" a="1"/>
  <c r="S59" i="3" a="1"/>
  <c r="S61" i="3" a="1"/>
  <c r="AO30" i="3" a="1"/>
  <c r="AO32" i="3" a="1"/>
  <c r="AJ27" i="3" a="1"/>
  <c r="S66" i="3" a="1"/>
  <c r="AO31" i="3" a="1"/>
  <c r="AO36" i="3" a="1"/>
  <c r="AH36" i="3" a="1"/>
  <c r="AO29" i="3" a="1"/>
  <c r="S74" i="3" a="1"/>
  <c r="AO38" i="3" a="1"/>
  <c r="S58" i="3" a="1"/>
  <c r="AO33" i="3" a="1"/>
  <c r="AO37" i="3" a="1"/>
  <c r="U43" i="3" a="1"/>
  <c r="S68" i="3" a="1"/>
  <c r="S55" i="3" a="1"/>
  <c r="T43" i="3" a="1"/>
  <c r="AO41" i="3" a="1"/>
  <c r="S73" i="3" a="1"/>
  <c r="S69" i="3" a="1"/>
  <c r="AO42" i="3" a="1"/>
  <c r="S57" i="3" a="1"/>
  <c r="AO40" i="3" a="1"/>
  <c r="S67" i="3" a="1"/>
  <c r="S60" i="3" a="1"/>
  <c r="AO27" i="3" a="1"/>
  <c r="D48" i="1" a="1"/>
  <c r="S52" i="3" a="1"/>
  <c r="S71" i="3" a="1"/>
  <c r="AO34" i="3" a="1"/>
  <c r="S62" i="3" a="1"/>
  <c r="S64" i="3" a="1"/>
  <c r="AO35" i="3" a="1"/>
  <c r="S72" i="3" a="1"/>
  <c r="S70" i="3" a="1"/>
  <c r="S56" i="3" a="1"/>
  <c r="Y36" i="3" a="1"/>
  <c r="AJ27" i="3" l="1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37" i="3" a="1"/>
  <c r="Z36" i="3" a="1"/>
  <c r="AP36" i="3" a="1"/>
  <c r="AP40" i="3" a="1"/>
  <c r="AP33" i="3" a="1"/>
  <c r="AP42" i="3" a="1"/>
  <c r="AP38" i="3" a="1"/>
  <c r="AP35" i="3" a="1"/>
  <c r="AP32" i="3" a="1"/>
  <c r="AP30" i="3" a="1"/>
  <c r="AP34" i="3" a="1"/>
  <c r="AP27" i="3" a="1"/>
  <c r="AP39" i="3" a="1"/>
  <c r="AP29" i="3" a="1"/>
  <c r="AP31" i="3" a="1"/>
  <c r="AP41" i="3" a="1"/>
  <c r="AP28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R30" i="3" a="1"/>
  <c r="R31" i="3" a="1"/>
  <c r="S29" i="3" a="1"/>
  <c r="R33" i="3" a="1"/>
  <c r="R32" i="3" a="1"/>
  <c r="S29" i="3" l="1"/>
  <c r="R31" i="3"/>
  <c r="R32" i="3"/>
  <c r="R30" i="3"/>
  <c r="R33" i="3"/>
  <c r="S51" i="3" a="1"/>
  <c r="T28" i="3" a="1"/>
  <c r="T35" i="3" a="1"/>
  <c r="Y38" i="3" a="1"/>
  <c r="S47" i="3" a="1"/>
  <c r="Y32" i="3" a="1"/>
  <c r="T38" i="3" a="1"/>
  <c r="Y29" i="3" a="1"/>
  <c r="S53" i="3" a="1"/>
  <c r="T32" i="3" a="1"/>
  <c r="S30" i="3" a="1"/>
  <c r="Y44" i="3" a="1"/>
  <c r="Y34" i="3" a="1"/>
  <c r="Y40" i="3" a="1"/>
  <c r="S46" i="3" a="1"/>
  <c r="Y31" i="3" a="1"/>
  <c r="T34" i="3" a="1"/>
  <c r="T37" i="3" a="1"/>
  <c r="S44" i="3" a="1"/>
  <c r="T30" i="3" a="1"/>
  <c r="T29" i="3" a="1"/>
  <c r="Y30" i="3" a="1"/>
  <c r="Y42" i="3" a="1"/>
  <c r="T31" i="3" a="1"/>
  <c r="Y33" i="3" a="1"/>
  <c r="S45" i="3" a="1"/>
  <c r="AO26" i="3" a="1"/>
  <c r="Y35" i="3" a="1"/>
  <c r="S48" i="3" a="1"/>
  <c r="Y28" i="3" a="1"/>
  <c r="Y37" i="3" a="1"/>
  <c r="T33" i="3" a="1"/>
  <c r="Y41" i="3" a="1"/>
  <c r="Y43" i="3" a="1"/>
  <c r="Y39" i="3" a="1"/>
  <c r="S43" i="3" a="1"/>
  <c r="S31" i="3" a="1"/>
  <c r="S50" i="3" a="1"/>
  <c r="S49" i="3" a="1"/>
  <c r="S54" i="3" a="1"/>
  <c r="T36" i="3" a="1"/>
  <c r="AO26" i="3" l="1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0" i="3"/>
  <c r="T37" i="3"/>
  <c r="T38" i="3"/>
  <c r="T36" i="3"/>
  <c r="T34" i="3"/>
  <c r="T35" i="3"/>
  <c r="T31" i="3"/>
  <c r="T33" i="3"/>
  <c r="T32" i="3"/>
  <c r="S30" i="3"/>
  <c r="S31" i="3"/>
  <c r="T29" i="3"/>
  <c r="T28" i="3"/>
  <c r="S47" i="3"/>
  <c r="S48" i="3"/>
  <c r="S50" i="3"/>
  <c r="S51" i="3"/>
  <c r="S49" i="3"/>
  <c r="S53" i="3"/>
  <c r="S54" i="3"/>
  <c r="S43" i="3"/>
  <c r="S45" i="3"/>
  <c r="S44" i="3"/>
  <c r="S46" i="3"/>
  <c r="Z29" i="3" a="1"/>
  <c r="Z42" i="3" a="1"/>
  <c r="U30" i="3" a="1"/>
  <c r="Z37" i="3" a="1"/>
  <c r="Z35" i="3" a="1"/>
  <c r="Z33" i="3" a="1"/>
  <c r="Z39" i="3" a="1"/>
  <c r="U31" i="3" a="1"/>
  <c r="Z43" i="3" a="1"/>
  <c r="Z28" i="3" a="1"/>
  <c r="S32" i="3" a="1"/>
  <c r="AP26" i="3" a="1"/>
  <c r="Z32" i="3" a="1"/>
  <c r="Z41" i="3" a="1"/>
  <c r="Z40" i="3" a="1"/>
  <c r="Z38" i="3" a="1"/>
  <c r="U28" i="3" a="1"/>
  <c r="Z44" i="3" a="1"/>
  <c r="Z34" i="3" a="1"/>
  <c r="Z31" i="3" a="1"/>
  <c r="Z30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U32" i="3" a="1"/>
  <c r="U79" i="3" a="1"/>
  <c r="U83" i="3" a="1"/>
  <c r="U82" i="3" a="1"/>
  <c r="U84" i="3" a="1"/>
  <c r="U80" i="3" a="1"/>
  <c r="S33" i="3" a="1"/>
  <c r="U81" i="3" a="1"/>
  <c r="U84" i="3" l="1"/>
  <c r="U83" i="3"/>
  <c r="U81" i="3"/>
  <c r="U82" i="3"/>
  <c r="U79" i="3"/>
  <c r="U80" i="3"/>
  <c r="S33" i="3"/>
  <c r="U32" i="3"/>
  <c r="S34" i="3" a="1"/>
  <c r="U33" i="3" a="1"/>
  <c r="S34" i="3" l="1"/>
  <c r="U33" i="3"/>
  <c r="AH26" i="3"/>
  <c r="DE33" i="3"/>
  <c r="AJ32" i="3" a="1"/>
  <c r="U34" i="3" a="1"/>
  <c r="AI29" i="3" a="1"/>
  <c r="AJ26" i="3" a="1"/>
  <c r="AI31" i="3" a="1"/>
  <c r="AJ31" i="3" a="1"/>
  <c r="AI32" i="3" a="1"/>
  <c r="S35" i="3" a="1"/>
  <c r="AI30" i="3" a="1"/>
  <c r="AI27" i="3" a="1"/>
  <c r="AJ30" i="3" a="1"/>
  <c r="AJ29" i="3" a="1"/>
  <c r="AJ28" i="3" a="1"/>
  <c r="DG33" i="3" a="1"/>
  <c r="AI28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DF33" i="3"/>
  <c r="DG33" i="3"/>
  <c r="S36" i="3" a="1"/>
  <c r="AK28" i="3" a="1"/>
  <c r="U35" i="3" a="1"/>
  <c r="AK32" i="3" a="1"/>
  <c r="AK29" i="3" a="1"/>
  <c r="AK26" i="3" a="1"/>
  <c r="AK30" i="3" a="1"/>
  <c r="AK27" i="3" a="1"/>
  <c r="AK31" i="3" a="1"/>
  <c r="DH33" i="3" a="1"/>
  <c r="AK27" i="3" l="1"/>
  <c r="AK30" i="3"/>
  <c r="AK28" i="3"/>
  <c r="AK29" i="3"/>
  <c r="S36" i="3"/>
  <c r="U35" i="3"/>
  <c r="AK26" i="3"/>
  <c r="DH33" i="3"/>
  <c r="AK31" i="3"/>
  <c r="AK32" i="3"/>
  <c r="AF31" i="14" a="1"/>
  <c r="R31" i="14" a="1"/>
  <c r="S37" i="3" a="1"/>
  <c r="U36" i="3" a="1"/>
  <c r="S37" i="3" l="1"/>
  <c r="U36" i="3"/>
  <c r="R31" i="14"/>
  <c r="AF31" i="14"/>
  <c r="AL31" i="14" a="1"/>
  <c r="X31" i="14" a="1"/>
  <c r="S38" i="3" a="1"/>
  <c r="U37" i="3" a="1"/>
  <c r="S38" i="3" l="1"/>
  <c r="U37" i="3"/>
  <c r="AL31" i="14"/>
  <c r="X31" i="14"/>
  <c r="Y20" i="25" a="1"/>
  <c r="Y39" i="25" a="1"/>
  <c r="Y31" i="25" a="1"/>
  <c r="Y45" i="25" a="1"/>
  <c r="Y50" i="25" a="1"/>
  <c r="Y23" i="25" a="1"/>
  <c r="Y26" i="25" a="1"/>
  <c r="Y42" i="25" a="1"/>
  <c r="J23" i="25" a="1"/>
  <c r="J39" i="25" a="1"/>
  <c r="J20" i="25" a="1"/>
  <c r="U38" i="3" a="1"/>
  <c r="J42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I33" i="25" a="1"/>
  <c r="H45" i="25" a="1"/>
  <c r="H51" i="25" a="1"/>
  <c r="H47" i="25" a="1"/>
  <c r="I31" i="25" a="1"/>
  <c r="I28" i="25" a="1"/>
  <c r="J31" i="25" a="1"/>
  <c r="I50" i="25" a="1"/>
  <c r="J51" i="25" a="1"/>
  <c r="J52" i="25" a="1"/>
  <c r="J28" i="25" a="1"/>
  <c r="J50" i="25" a="1"/>
  <c r="I51" i="25" a="1"/>
  <c r="J45" i="25" a="1"/>
  <c r="H31" i="25" a="1"/>
  <c r="J32" i="25" a="1"/>
  <c r="I46" i="25" a="1"/>
  <c r="J33" i="25" a="1"/>
  <c r="H27" i="25" a="1"/>
  <c r="J46" i="25" a="1"/>
  <c r="H28" i="25" a="1"/>
  <c r="J47" i="25" a="1"/>
  <c r="H50" i="25" a="1"/>
  <c r="I45" i="25" a="1"/>
  <c r="H26" i="25" a="1"/>
  <c r="H32" i="25" a="1"/>
  <c r="I32" i="25" a="1"/>
  <c r="I47" i="25" a="1"/>
  <c r="I27" i="25" a="1"/>
  <c r="H46" i="25" a="1"/>
  <c r="I26" i="25" a="1"/>
  <c r="I52" i="25" a="1"/>
  <c r="H52" i="25" a="1"/>
  <c r="H33" i="25" a="1"/>
  <c r="J27" i="25" a="1"/>
  <c r="J26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3" i="3" l="1"/>
  <c r="I52" i="3"/>
  <c r="E124" i="13" a="1"/>
  <c r="G36" i="3" a="1"/>
  <c r="CU24" i="3" a="1"/>
  <c r="D50" i="15" a="1"/>
  <c r="DE24" i="3" a="1"/>
  <c r="H125" i="15" a="1"/>
  <c r="H116" i="15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U24" i="3"/>
  <c r="DE24" i="3"/>
  <c r="H40" i="3" a="1"/>
  <c r="H38" i="3" a="1"/>
  <c r="H41" i="3" a="1"/>
  <c r="H37" i="3" a="1"/>
  <c r="H47" i="3" a="1"/>
  <c r="H48" i="3" a="1"/>
  <c r="H43" i="3" a="1"/>
  <c r="H46" i="3" a="1"/>
  <c r="H44" i="3" a="1"/>
  <c r="J37" i="3" a="1"/>
  <c r="H39" i="3" a="1"/>
  <c r="H42" i="3" a="1"/>
  <c r="H45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E210" i="13" a="1"/>
  <c r="S22" i="17" a="1"/>
  <c r="BO19" i="14" a="1"/>
  <c r="U24" i="17" a="1"/>
  <c r="F40" i="17" a="1"/>
  <c r="U21" i="17" a="1"/>
  <c r="AI79" i="13" a="1"/>
  <c r="C258" i="13" a="1"/>
  <c r="R26" i="17" a="1"/>
  <c r="U22" i="17" a="1"/>
  <c r="Q24" i="17" a="1"/>
  <c r="Q23" i="17" a="1"/>
  <c r="T24" i="17" a="1"/>
  <c r="R24" i="17" a="1"/>
  <c r="C261" i="13" a="1"/>
  <c r="X17" i="23" a="1"/>
  <c r="D255" i="13" a="1"/>
  <c r="S24" i="17" a="1"/>
  <c r="F39" i="17" a="1"/>
  <c r="P25" i="17" a="1"/>
  <c r="D261" i="13" a="1"/>
  <c r="E79" i="13" a="1"/>
  <c r="R21" i="17" a="1"/>
  <c r="Q21" i="17" a="1"/>
  <c r="D260" i="13" a="1"/>
  <c r="E183" i="13" a="1"/>
  <c r="P21" i="17" a="1"/>
  <c r="Z79" i="13" a="1"/>
  <c r="C255" i="13" a="1"/>
  <c r="E55" i="13" a="1"/>
  <c r="BA19" i="14" a="1"/>
  <c r="AV20" i="17" a="1"/>
  <c r="T23" i="17" a="1"/>
  <c r="N17" i="23" a="1"/>
  <c r="F38" i="17" a="1"/>
  <c r="P23" i="17" a="1"/>
  <c r="AG17" i="23" a="1"/>
  <c r="Q25" i="17" a="1"/>
  <c r="U23" i="17" a="1"/>
  <c r="U26" i="17" a="1"/>
  <c r="AE100" i="15" a="1"/>
  <c r="P26" i="17" a="1"/>
  <c r="T26" i="17" a="1"/>
  <c r="P22" i="17" a="1"/>
  <c r="O17" i="20" a="1"/>
  <c r="D256" i="13" a="1"/>
  <c r="C260" i="13" a="1"/>
  <c r="E43" i="13" a="1"/>
  <c r="C259" i="13" a="1"/>
  <c r="E17" i="21" a="1"/>
  <c r="R22" i="17" a="1"/>
  <c r="F43" i="17" a="1"/>
  <c r="C257" i="13" a="1"/>
  <c r="X17" i="21" a="1"/>
  <c r="AJ20" i="17" a="1"/>
  <c r="R23" i="17" a="1"/>
  <c r="D258" i="13" a="1"/>
  <c r="R100" i="15" a="1"/>
  <c r="E31" i="13" a="1"/>
  <c r="U25" i="17" a="1"/>
  <c r="C50" i="13" a="1"/>
  <c r="R21" i="23" a="1"/>
  <c r="T22" i="17" a="1"/>
  <c r="F42" i="17" a="1"/>
  <c r="D259" i="13" a="1"/>
  <c r="C38" i="13" a="1"/>
  <c r="C256" i="13" a="1"/>
  <c r="N17" i="21" a="1"/>
  <c r="S23" i="17" a="1"/>
  <c r="E17" i="20" a="1"/>
  <c r="E17" i="23" a="1"/>
  <c r="S17" i="23" a="1"/>
  <c r="Q22" i="17" a="1"/>
  <c r="F41" i="17" a="1"/>
  <c r="P24" i="17" a="1"/>
  <c r="S21" i="17" a="1"/>
  <c r="T21" i="17" a="1"/>
  <c r="R25" i="17" a="1"/>
  <c r="M38" i="17" a="1"/>
  <c r="V17" i="20" a="1"/>
  <c r="E100" i="15" a="1"/>
  <c r="Q26" i="17" a="1"/>
  <c r="L79" i="13" a="1"/>
  <c r="S26" i="17" a="1"/>
  <c r="R18" i="23" a="1"/>
  <c r="AG17" i="21" a="1"/>
  <c r="D257" i="13" a="1"/>
  <c r="AG17" i="20" a="1"/>
  <c r="S79" i="13" a="1"/>
  <c r="S25" i="17" a="1"/>
  <c r="T25" i="17" a="1"/>
  <c r="S21" i="23" a="1"/>
  <c r="E67" i="13" a="1"/>
  <c r="S20" i="23" a="1"/>
  <c r="R20" i="23" a="1"/>
  <c r="R19" i="23" a="1"/>
  <c r="S19" i="23" a="1"/>
  <c r="R19" i="21" a="1"/>
  <c r="R18" i="21" a="1"/>
  <c r="S17" i="21" a="1"/>
  <c r="S20" i="21" a="1"/>
  <c r="S19" i="21" a="1"/>
  <c r="X50" i="15" a="1"/>
  <c r="BD63" i="5" a="1"/>
  <c r="BG40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Z23" i="17" a="1"/>
  <c r="I19" i="20" a="1"/>
  <c r="I17" i="21" a="1"/>
  <c r="AA24" i="17" a="1"/>
  <c r="H43" i="17" a="1"/>
  <c r="AD26" i="17" a="1"/>
  <c r="Z26" i="17" a="1"/>
  <c r="AA26" i="17" a="1"/>
  <c r="I17" i="23" a="1"/>
  <c r="AB23" i="17" a="1"/>
  <c r="AC23" i="17" a="1"/>
  <c r="G55" i="13" a="1"/>
  <c r="AB26" i="17" a="1"/>
  <c r="AB22" i="17" a="1"/>
  <c r="AA25" i="17" a="1"/>
  <c r="AB25" i="17" a="1"/>
  <c r="Y25" i="17" a="1"/>
  <c r="R20" i="21" a="1"/>
  <c r="Y21" i="17" a="1"/>
  <c r="G67" i="13" a="1"/>
  <c r="Y23" i="17" a="1"/>
  <c r="BB20" i="17" a="1"/>
  <c r="AA22" i="17" a="1"/>
  <c r="H40" i="17" a="1"/>
  <c r="Z24" i="17" a="1"/>
  <c r="R17" i="23" a="1"/>
  <c r="Z25" i="17" a="1"/>
  <c r="AJ100" i="15" a="1"/>
  <c r="Y22" i="17" a="1"/>
  <c r="I17" i="20" a="1"/>
  <c r="AB21" i="17" a="1"/>
  <c r="AB17" i="20" a="1"/>
  <c r="J18" i="20" a="1"/>
  <c r="AK17" i="23" a="1"/>
  <c r="AC26" i="17" a="1"/>
  <c r="AC24" i="17" a="1"/>
  <c r="S18" i="21" a="1"/>
  <c r="J19" i="20" a="1"/>
  <c r="H39" i="17" a="1"/>
  <c r="I20" i="20" a="1"/>
  <c r="AD21" i="17" a="1"/>
  <c r="AD25" i="17" a="1"/>
  <c r="H41" i="17" a="1"/>
  <c r="AD24" i="17" a="1"/>
  <c r="AP20" i="17" a="1"/>
  <c r="G43" i="13" a="1"/>
  <c r="AA21" i="17" a="1"/>
  <c r="AA23" i="17" a="1"/>
  <c r="AC25" i="17" a="1"/>
  <c r="AB17" i="21" a="1"/>
  <c r="Z22" i="17" a="1"/>
  <c r="U100" i="15" a="1"/>
  <c r="J20" i="20" a="1"/>
  <c r="Y24" i="17" a="1"/>
  <c r="AK17" i="21" a="1"/>
  <c r="H38" i="17" a="1"/>
  <c r="S38" i="17" a="1"/>
  <c r="H42" i="17" a="1"/>
  <c r="AM17" i="20" a="1"/>
  <c r="AD23" i="17" a="1"/>
  <c r="J100" i="15" a="1"/>
  <c r="R17" i="21" a="1"/>
  <c r="BI19" i="14" a="1"/>
  <c r="I18" i="20" a="1"/>
  <c r="S18" i="23" a="1"/>
  <c r="AD22" i="17" a="1"/>
  <c r="Z21" i="17" a="1"/>
  <c r="AC22" i="17" a="1"/>
  <c r="AB17" i="23" a="1"/>
  <c r="BW19" i="14" a="1"/>
  <c r="Y26" i="17" a="1"/>
  <c r="N79" i="13" a="1"/>
  <c r="AB24" i="17" a="1"/>
  <c r="AC21" i="17" a="1"/>
  <c r="AQ79" i="13" a="1"/>
  <c r="G31" i="13" a="1"/>
  <c r="E85" i="1" a="1"/>
  <c r="D50" i="1" a="1"/>
  <c r="D85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26" i="13" a="1"/>
  <c r="E260" i="13" a="1"/>
  <c r="C95" i="15" a="1"/>
  <c r="E256" i="13" a="1"/>
  <c r="C35" i="17" a="1"/>
  <c r="E258" i="13" a="1"/>
  <c r="J17" i="20" a="1"/>
  <c r="E257" i="13" a="1"/>
  <c r="C62" i="13" a="1"/>
  <c r="E261" i="13" a="1"/>
  <c r="C12" i="23" a="1"/>
  <c r="E259" i="13" a="1"/>
  <c r="C12" i="21" a="1"/>
  <c r="E255" i="13" a="1"/>
  <c r="F85" i="1" a="1"/>
  <c r="T85" i="1" a="1"/>
  <c r="W85" i="1" a="1"/>
  <c r="N85" i="1" a="1"/>
  <c r="J85" i="1" a="1"/>
  <c r="Q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4" i="23" a="1"/>
  <c r="C250" i="13" a="1"/>
  <c r="C4" i="21" a="1"/>
  <c r="Q17" i="20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34" i="15" a="1"/>
  <c r="AA210" i="13" a="1"/>
  <c r="G184" i="13" a="1"/>
  <c r="E17" i="19" a="1"/>
  <c r="F19" i="14" a="1"/>
  <c r="N19" i="14" a="1"/>
  <c r="AF20" i="15" a="1"/>
  <c r="BM43" i="14" a="1"/>
  <c r="AR20" i="15" a="1"/>
  <c r="G191" i="13" a="1"/>
  <c r="G185" i="13" a="1"/>
  <c r="E109" i="13" a="1"/>
  <c r="L94" i="13" a="1"/>
  <c r="W43" i="14" a="1"/>
  <c r="F20" i="15" a="1"/>
  <c r="AU43" i="14" a="1"/>
  <c r="AI43" i="14" a="1"/>
  <c r="C4" i="20" a="1"/>
  <c r="B138" i="13" a="1"/>
  <c r="CC19" i="14" a="1"/>
  <c r="L146" i="13" a="1"/>
  <c r="M156" i="13" a="1"/>
  <c r="U124" i="13" a="1"/>
  <c r="O167" i="13" a="1"/>
  <c r="M151" i="13" a="1"/>
  <c r="L169" i="13" a="1"/>
  <c r="T34" i="15" a="1"/>
  <c r="S183" i="13" a="1"/>
  <c r="L143" i="13" a="1"/>
  <c r="L156" i="13" a="1"/>
  <c r="L147" i="13" a="1"/>
  <c r="N147" i="13" a="1"/>
  <c r="N162" i="13" a="1"/>
  <c r="N161" i="13" a="1"/>
  <c r="M157" i="13" a="1"/>
  <c r="N165" i="13" a="1"/>
  <c r="L210" i="13" a="1"/>
  <c r="L141" i="13" a="1"/>
  <c r="L159" i="13" a="1"/>
  <c r="AD36" i="15" a="1"/>
  <c r="N145" i="13" a="1"/>
  <c r="E94" i="13" a="1"/>
  <c r="L142" i="13" a="1"/>
  <c r="N171" i="13" a="1"/>
  <c r="O165" i="13" a="1"/>
  <c r="L172" i="13" a="1"/>
  <c r="AM19" i="14" a="1"/>
  <c r="N138" i="13" a="1"/>
  <c r="O161" i="13" a="1"/>
  <c r="N168" i="13" a="1"/>
  <c r="AI124" i="13" a="1"/>
  <c r="O164" i="13" a="1"/>
  <c r="J43" i="14" a="1"/>
  <c r="O140" i="13" a="1"/>
  <c r="AB94" i="13" a="1"/>
  <c r="G188" i="13" a="1"/>
  <c r="L152" i="13" a="1"/>
  <c r="M168" i="13" a="1"/>
  <c r="M141" i="13" a="1"/>
  <c r="L170" i="13" a="1"/>
  <c r="O169" i="13" a="1"/>
  <c r="N142" i="13" a="1"/>
  <c r="AC35" i="15" a="1"/>
  <c r="O138" i="13" a="1"/>
  <c r="N158" i="13" a="1"/>
  <c r="L167" i="13" a="1"/>
  <c r="L155" i="13" a="1"/>
  <c r="W19" i="14" a="1"/>
  <c r="N157" i="13" a="1"/>
  <c r="B226" i="13" a="1"/>
  <c r="AB109" i="13" a="1"/>
  <c r="M124" i="13" a="1"/>
  <c r="O155" i="13" a="1"/>
  <c r="L145" i="13" a="1"/>
  <c r="L157" i="13" a="1"/>
  <c r="M149" i="13" a="1"/>
  <c r="L153" i="13" a="1"/>
  <c r="AE19" i="14" a="1"/>
  <c r="N163" i="13" a="1"/>
  <c r="G187" i="13" a="1"/>
  <c r="O144" i="13" a="1"/>
  <c r="T20" i="15" a="1"/>
  <c r="S210" i="13" a="1"/>
  <c r="N159" i="13" a="1"/>
  <c r="N149" i="13" a="1"/>
  <c r="L154" i="13" a="1"/>
  <c r="G190" i="13" a="1"/>
  <c r="L183" i="13" a="1"/>
  <c r="L150" i="13" a="1"/>
  <c r="L109" i="13" a="1"/>
  <c r="M140" i="13" a="1"/>
  <c r="O162" i="13" a="1"/>
  <c r="O166" i="13" a="1"/>
  <c r="O152" i="13" a="1"/>
  <c r="O156" i="13" a="1"/>
  <c r="G189" i="13" a="1"/>
  <c r="N150" i="13" a="1"/>
  <c r="L164" i="13" a="1"/>
  <c r="M146" i="13" a="1"/>
  <c r="M139" i="13" a="1"/>
  <c r="M144" i="13" a="1"/>
  <c r="B241" i="13" a="1"/>
  <c r="M167" i="13" a="1"/>
  <c r="O143" i="13" a="1"/>
  <c r="S109" i="13" a="1"/>
  <c r="O151" i="13" a="1"/>
  <c r="O244" i="13" a="1"/>
  <c r="N152" i="13" a="1"/>
  <c r="M138" i="13" a="1"/>
  <c r="S94" i="13" a="1"/>
  <c r="E35" i="9" a="1"/>
  <c r="L161" i="13" a="1"/>
  <c r="O146" i="13" a="1"/>
  <c r="M171" i="13" a="1"/>
  <c r="O147" i="13" a="1"/>
  <c r="M243" i="13" a="1"/>
  <c r="N160" i="13" a="1"/>
  <c r="O172" i="13" a="1"/>
  <c r="L140" i="13" a="1"/>
  <c r="N139" i="13" a="1"/>
  <c r="M147" i="13" a="1"/>
  <c r="O154" i="13" a="1"/>
  <c r="L160" i="13" a="1"/>
  <c r="L144" i="13" a="1"/>
  <c r="M161" i="13" a="1"/>
  <c r="O153" i="13" a="1"/>
  <c r="M143" i="13" a="1"/>
  <c r="N172" i="13" a="1"/>
  <c r="L151" i="13" a="1"/>
  <c r="L166" i="13" a="1"/>
  <c r="L168" i="13" a="1"/>
  <c r="N167" i="13" a="1"/>
  <c r="O150" i="13" a="1"/>
  <c r="M172" i="13" a="1"/>
  <c r="O141" i="13" a="1"/>
  <c r="M152" i="13" a="1"/>
  <c r="N155" i="13" a="1"/>
  <c r="O145" i="13" a="1"/>
  <c r="N141" i="13" a="1"/>
  <c r="M154" i="13" a="1"/>
  <c r="O158" i="13" a="1"/>
  <c r="M164" i="13" a="1"/>
  <c r="O159" i="13" a="1"/>
  <c r="L148" i="13" a="1"/>
  <c r="O168" i="13" a="1"/>
  <c r="M163" i="13" a="1"/>
  <c r="L163" i="13" a="1"/>
  <c r="L149" i="13" a="1"/>
  <c r="N148" i="13" a="1"/>
  <c r="N146" i="13" a="1"/>
  <c r="N156" i="13" a="1"/>
  <c r="L158" i="13" a="1"/>
  <c r="M158" i="13" a="1"/>
  <c r="M153" i="13" a="1"/>
  <c r="M169" i="13" a="1"/>
  <c r="M165" i="13" a="1"/>
  <c r="M145" i="13" a="1"/>
  <c r="N166" i="13" a="1"/>
  <c r="L171" i="13" a="1"/>
  <c r="M162" i="13" a="1"/>
  <c r="O142" i="13" a="1"/>
  <c r="O157" i="13" a="1"/>
  <c r="L162" i="13" a="1"/>
  <c r="O163" i="13" a="1"/>
  <c r="M155" i="13" a="1"/>
  <c r="N169" i="13" a="1"/>
  <c r="N170" i="13" a="1"/>
  <c r="O171" i="13" a="1"/>
  <c r="N154" i="13" a="1"/>
  <c r="M166" i="13" a="1"/>
  <c r="N151" i="13" a="1"/>
  <c r="O139" i="13" a="1"/>
  <c r="N140" i="13" a="1"/>
  <c r="N153" i="13" a="1"/>
  <c r="O148" i="13" a="1"/>
  <c r="O170" i="13" a="1"/>
  <c r="L165" i="13" a="1"/>
  <c r="N164" i="13" a="1"/>
  <c r="M142" i="13" a="1"/>
  <c r="M159" i="13" a="1"/>
  <c r="N144" i="13" a="1"/>
  <c r="M150" i="13" a="1"/>
  <c r="M148" i="13" a="1"/>
  <c r="L139" i="13" a="1"/>
  <c r="M160" i="13" a="1"/>
  <c r="O149" i="13" a="1"/>
  <c r="O160" i="13" a="1"/>
  <c r="M170" i="13" a="1"/>
  <c r="N245" i="13" a="1"/>
  <c r="O241" i="13" a="1"/>
  <c r="L244" i="13" a="1"/>
  <c r="M245" i="13" a="1"/>
  <c r="N242" i="13" a="1"/>
  <c r="N244" i="13" a="1"/>
  <c r="L243" i="13" a="1"/>
  <c r="L245" i="13" a="1"/>
  <c r="O242" i="13" a="1"/>
  <c r="L242" i="13" a="1"/>
  <c r="N243" i="13" a="1"/>
  <c r="M241" i="13" a="1"/>
  <c r="M242" i="13" a="1"/>
  <c r="O243" i="13" a="1"/>
  <c r="M244" i="13" a="1"/>
  <c r="O245" i="13" a="1"/>
  <c r="T95" i="5" a="1"/>
  <c r="T99" i="5" a="1"/>
  <c r="W217" i="5" a="1"/>
  <c r="M50" i="15" a="1"/>
  <c r="T94" i="5" a="1"/>
  <c r="U223" i="5" a="1"/>
  <c r="V221" i="5" a="1"/>
  <c r="U218" i="5" a="1"/>
  <c r="U217" i="5" a="1"/>
  <c r="U219" i="5" a="1"/>
  <c r="V220" i="5" a="1"/>
  <c r="X221" i="5" a="1"/>
  <c r="V223" i="5" a="1"/>
  <c r="U222" i="5" a="1"/>
  <c r="T100" i="5" a="1"/>
  <c r="V218" i="5" a="1"/>
  <c r="T92" i="5" a="1"/>
  <c r="W222" i="5" a="1"/>
  <c r="T217" i="5" a="1"/>
  <c r="W223" i="5" a="1"/>
  <c r="T93" i="5" a="1"/>
  <c r="W220" i="5" a="1"/>
  <c r="U221" i="5" a="1"/>
  <c r="T222" i="5" a="1"/>
  <c r="T102" i="5" a="1"/>
  <c r="V217" i="5" a="1"/>
  <c r="T88" i="5" a="1"/>
  <c r="T91" i="5" a="1"/>
  <c r="T97" i="5" a="1"/>
  <c r="T219" i="5" a="1"/>
  <c r="T103" i="5" a="1"/>
  <c r="X223" i="5" a="1"/>
  <c r="X219" i="5" a="1"/>
  <c r="T90" i="5" a="1"/>
  <c r="W218" i="5" a="1"/>
  <c r="X222" i="5" a="1"/>
  <c r="T223" i="5" a="1"/>
  <c r="T220" i="5" a="1"/>
  <c r="T221" i="5" a="1"/>
  <c r="T218" i="5" a="1"/>
  <c r="T98" i="5" a="1"/>
  <c r="T96" i="5" a="1"/>
  <c r="V219" i="5" a="1"/>
  <c r="X220" i="5" a="1"/>
  <c r="T89" i="5" a="1"/>
  <c r="W221" i="5" a="1"/>
  <c r="T87" i="5" a="1"/>
  <c r="X217" i="5" a="1"/>
  <c r="W219" i="5" a="1"/>
  <c r="U220" i="5" a="1"/>
  <c r="X218" i="5" a="1"/>
  <c r="T101" i="5" a="1"/>
  <c r="V222" i="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11" i="13" a="1"/>
  <c r="N143" i="13" a="1"/>
  <c r="AS124" i="13" a="1"/>
  <c r="AZ20" i="15" a="1"/>
  <c r="N188" i="13" a="1"/>
  <c r="Q17" i="19" a="1"/>
  <c r="N22" i="15" a="1"/>
  <c r="L35" i="15" a="1"/>
  <c r="I230" i="13" a="1"/>
  <c r="AA183" i="13" a="1"/>
  <c r="AD34" i="15" a="1"/>
  <c r="I227" i="13" a="1"/>
  <c r="AU19" i="14" a="1"/>
  <c r="N185" i="13" a="1"/>
  <c r="Y19" i="14" a="1"/>
  <c r="AB36" i="15" a="1"/>
  <c r="M35" i="15" a="1"/>
  <c r="M20" i="15" a="1"/>
  <c r="BC43" i="14" a="1"/>
  <c r="G212" i="13" a="1"/>
  <c r="N213" i="13" a="1"/>
  <c r="AC124" i="13" a="1"/>
  <c r="N210" i="13" a="1"/>
  <c r="L20" i="15" a="1"/>
  <c r="Z20" i="15" a="1"/>
  <c r="N199" i="13" a="1"/>
  <c r="U79" i="13" a="1"/>
  <c r="AK43" i="14" a="1"/>
  <c r="AC36" i="15" a="1"/>
  <c r="N195" i="13" a="1"/>
  <c r="L21" i="15" a="1"/>
  <c r="AL20" i="15" a="1"/>
  <c r="U213" i="13" a="1"/>
  <c r="N186" i="13" a="1"/>
  <c r="G210" i="13" a="1"/>
  <c r="AG19" i="14" a="1"/>
  <c r="H228" i="13" a="1"/>
  <c r="L43" i="14" a="1"/>
  <c r="M34" i="15" a="1"/>
  <c r="H226" i="13" a="1"/>
  <c r="G79" i="13" a="1"/>
  <c r="AD35" i="15" a="1"/>
  <c r="AB34" i="15" a="1"/>
  <c r="U211" i="13" a="1"/>
  <c r="Y43" i="14" a="1"/>
  <c r="N241" i="13" a="1"/>
  <c r="L138" i="13" a="1"/>
  <c r="W109" i="13" a="1"/>
  <c r="N183" i="13" a="1"/>
  <c r="BU43" i="14" a="1"/>
  <c r="AD79" i="13" a="1"/>
  <c r="G183" i="13" a="1"/>
  <c r="N20" i="15" a="1"/>
  <c r="P19" i="14" a="1"/>
  <c r="AC34" i="15" a="1"/>
  <c r="G186" i="13" a="1"/>
  <c r="N21" i="15" a="1"/>
  <c r="N197" i="13" a="1"/>
  <c r="N184" i="13" a="1"/>
  <c r="G214" i="13" a="1"/>
  <c r="U212" i="13" a="1"/>
  <c r="I229" i="13" a="1"/>
  <c r="M22" i="15" a="1"/>
  <c r="CI19" i="14" a="1"/>
  <c r="N194" i="13" a="1"/>
  <c r="G211" i="13" a="1"/>
  <c r="N190" i="13" a="1"/>
  <c r="L34" i="15" a="1"/>
  <c r="N193" i="13" a="1"/>
  <c r="X17" i="19" a="1"/>
  <c r="G213" i="13" a="1"/>
  <c r="N212" i="13" a="1"/>
  <c r="N191" i="13" a="1"/>
  <c r="L22" i="15" a="1"/>
  <c r="U214" i="13" a="1"/>
  <c r="AI210" i="13" a="1"/>
  <c r="H229" i="13" a="1"/>
  <c r="I226" i="13" a="1"/>
  <c r="H17" i="19" a="1"/>
  <c r="H19" i="14" a="1"/>
  <c r="N189" i="13" a="1"/>
  <c r="O124" i="13" a="1"/>
  <c r="AJ109" i="13" a="1"/>
  <c r="M21" i="15" a="1"/>
  <c r="L241" i="13" a="1"/>
  <c r="AJ94" i="13" a="1"/>
  <c r="H230" i="13" a="1"/>
  <c r="N198" i="13" a="1"/>
  <c r="N214" i="13" a="1"/>
  <c r="N196" i="13" a="1"/>
  <c r="G124" i="13" a="1"/>
  <c r="G109" i="13" a="1"/>
  <c r="N94" i="13" a="1"/>
  <c r="N200" i="13" a="1"/>
  <c r="H227" i="13" a="1"/>
  <c r="AB35" i="15" a="1"/>
  <c r="N109" i="13" a="1"/>
  <c r="G94" i="13" a="1"/>
  <c r="W94" i="13" a="1"/>
  <c r="N192" i="13" a="1"/>
  <c r="U210" i="13" a="1"/>
  <c r="N187" i="13" a="1"/>
  <c r="I228" i="13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38" i="14" a="1"/>
  <c r="Z17" i="19" a="1"/>
  <c r="C89" i="13" a="1"/>
  <c r="C74" i="13" a="1"/>
  <c r="C104" i="13" a="1"/>
  <c r="C28" i="15" a="1"/>
  <c r="C178" i="13" a="1"/>
  <c r="S17" i="19" a="1"/>
  <c r="C133" i="13" a="1"/>
  <c r="C221" i="13" a="1"/>
  <c r="C236" i="13" a="1"/>
  <c r="C17" i="17" a="1"/>
  <c r="C14" i="14" a="1"/>
  <c r="C205" i="13" a="1"/>
  <c r="C15" i="15" a="1"/>
  <c r="C119" i="13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3" a="1"/>
  <c r="C4" i="14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3" i="8" s="1"/>
  <c r="C4" i="19"/>
  <c r="C25" i="8" s="1"/>
  <c r="B16" i="3"/>
  <c r="B11" i="3"/>
  <c r="C29" i="11"/>
  <c r="G22" i="11"/>
  <c r="G27" i="11" s="1"/>
  <c r="D13" i="11"/>
  <c r="B13" i="11"/>
  <c r="B10" i="11"/>
  <c r="B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6" i="3"/>
  <c r="C62" i="2"/>
  <c r="E64" i="2"/>
  <c r="J54" i="9" a="1"/>
  <c r="O230" i="9" a="1"/>
  <c r="J32" i="9" a="1"/>
  <c r="C208" i="9" a="1"/>
  <c r="C164" i="9" a="1"/>
  <c r="J164" i="9" a="1"/>
  <c r="C54" i="9" a="1"/>
  <c r="O54" i="9" a="1"/>
  <c r="C32" i="9" a="1"/>
  <c r="O120" i="9" a="1"/>
  <c r="O98" i="9" a="1"/>
  <c r="F230" i="9" a="1"/>
  <c r="C186" i="9" a="1"/>
  <c r="L230" i="9" a="1"/>
  <c r="O32" i="9" a="1"/>
  <c r="E208" i="9" a="1"/>
  <c r="D5" i="4" a="1"/>
  <c r="C98" i="9" a="1"/>
  <c r="E54" i="9" a="1"/>
  <c r="E186" i="9" a="1"/>
  <c r="J208" i="9" a="1"/>
  <c r="U230" i="9" a="1"/>
  <c r="O142" i="9" a="1"/>
  <c r="O76" i="9" a="1"/>
  <c r="J186" i="9" a="1"/>
  <c r="D4" i="4" a="1"/>
  <c r="C120" i="9" a="1"/>
  <c r="C230" i="9" a="1"/>
  <c r="O186" i="9" a="1"/>
  <c r="O208" i="9" a="1"/>
  <c r="E76" i="9" a="1"/>
  <c r="R230" i="9" a="1"/>
  <c r="C76" i="9" a="1"/>
  <c r="J76" i="9" a="1"/>
  <c r="C6" i="2" a="1"/>
  <c r="J98" i="9" a="1"/>
  <c r="C142" i="9" a="1"/>
  <c r="E164" i="9" a="1"/>
  <c r="E142" i="9" a="1"/>
  <c r="I230" i="9" a="1"/>
  <c r="J120" i="9" a="1"/>
  <c r="J142" i="9" a="1"/>
  <c r="E98" i="9" a="1"/>
  <c r="E120" i="9" a="1"/>
  <c r="O164" i="9" a="1"/>
  <c r="K158" i="5" a="1"/>
  <c r="G47" i="1" a="1"/>
  <c r="V135" i="5" a="1"/>
  <c r="BO43" i="5" a="1"/>
  <c r="BP64" i="5" a="1"/>
  <c r="W131" i="5" a="1"/>
  <c r="BG65" i="5" a="1"/>
  <c r="BM42" i="5" a="1"/>
  <c r="V128" i="5" a="1"/>
  <c r="U98" i="5" a="1"/>
  <c r="BJ43" i="5" a="1"/>
  <c r="BT64" i="5" a="1"/>
  <c r="BD66" i="5" a="1"/>
  <c r="X102" i="5" a="1"/>
  <c r="U89" i="5" a="1"/>
  <c r="V92" i="5" a="1"/>
  <c r="T139" i="5" a="1"/>
  <c r="W95" i="5" a="1"/>
  <c r="BN64" i="5" a="1"/>
  <c r="BL40" i="5" a="1"/>
  <c r="I27" i="11" a="1"/>
  <c r="X123" i="5" a="1"/>
  <c r="X126" i="5" a="1"/>
  <c r="W102" i="5" a="1"/>
  <c r="BG64" i="5" a="1"/>
  <c r="T134" i="5" a="1"/>
  <c r="I26" i="3" a="1"/>
  <c r="BF42" i="5" a="1"/>
  <c r="X135" i="5" a="1"/>
  <c r="X136" i="5" a="1"/>
  <c r="U134" i="5" a="1"/>
  <c r="BK64" i="5" a="1"/>
  <c r="BE66" i="5" a="1"/>
  <c r="BK63" i="5" a="1"/>
  <c r="X127" i="5" a="1"/>
  <c r="BP40" i="5" a="1"/>
  <c r="K70" i="1" a="1"/>
  <c r="I22" i="11" a="1"/>
  <c r="X138" i="5" a="1"/>
  <c r="BS64" i="5" a="1"/>
  <c r="X96" i="5" a="1"/>
  <c r="BN65" i="5" a="1"/>
  <c r="U123" i="5" a="1"/>
  <c r="BH41" i="5" a="1"/>
  <c r="BI65" i="5" a="1"/>
  <c r="BL66" i="5" a="1"/>
  <c r="BM39" i="5" a="1"/>
  <c r="BR43" i="5" a="1"/>
  <c r="W93" i="5" a="1"/>
  <c r="U136" i="5" a="1"/>
  <c r="L158" i="5" a="1"/>
  <c r="T123" i="5" a="1"/>
  <c r="BF41" i="5" a="1"/>
  <c r="BR40" i="5" a="1"/>
  <c r="BR41" i="5" a="1"/>
  <c r="BD64" i="5" a="1"/>
  <c r="X198" i="5" a="1"/>
  <c r="BR66" i="5" a="1"/>
  <c r="BK40" i="5" a="1"/>
  <c r="U139" i="5" a="1"/>
  <c r="W128" i="5" a="1"/>
  <c r="K181" i="5" a="1"/>
  <c r="BN63" i="5" a="1"/>
  <c r="BJ42" i="5" a="1"/>
  <c r="W127" i="5" a="1"/>
  <c r="T138" i="5" a="1"/>
  <c r="W137" i="5" a="1"/>
  <c r="U97" i="5" a="1"/>
  <c r="BO40" i="5" a="1"/>
  <c r="BM40" i="5" a="1"/>
  <c r="BO64" i="5" a="1"/>
  <c r="K179" i="5" a="1"/>
  <c r="L159" i="5" a="1"/>
  <c r="W130" i="5" a="1"/>
  <c r="T132" i="5" a="1"/>
  <c r="V124" i="5" a="1"/>
  <c r="BK67" i="5" a="1"/>
  <c r="BK66" i="5" a="1"/>
  <c r="U93" i="5" a="1"/>
  <c r="K67" i="1" a="1"/>
  <c r="BD41" i="5" a="1"/>
  <c r="K71" i="1" a="1"/>
  <c r="V133" i="5" a="1"/>
  <c r="U129" i="5" a="1"/>
  <c r="W90" i="5" a="1"/>
  <c r="BE42" i="5" a="1"/>
  <c r="V197" i="5" a="1"/>
  <c r="BR67" i="5" a="1"/>
  <c r="BF65" i="5" a="1"/>
  <c r="T126" i="5" a="1"/>
  <c r="BH64" i="5" a="1"/>
  <c r="T125" i="5" a="1"/>
  <c r="BM63" i="5" a="1"/>
  <c r="BI67" i="5" a="1"/>
  <c r="D49" i="1" a="1"/>
  <c r="BT42" i="5" a="1"/>
  <c r="BQ42" i="5" a="1"/>
  <c r="K161" i="5" a="1"/>
  <c r="BJ66" i="5" a="1"/>
  <c r="L178" i="5" a="1"/>
  <c r="BN43" i="5" a="1"/>
  <c r="BH40" i="5" a="1"/>
  <c r="BR64" i="5" a="1"/>
  <c r="BO65" i="5" a="1"/>
  <c r="W133" i="5" a="1"/>
  <c r="BF39" i="5" a="1"/>
  <c r="K180" i="5" a="1"/>
  <c r="BT41" i="5" a="1"/>
  <c r="U101" i="5" a="1"/>
  <c r="G69" i="1" a="1"/>
  <c r="BT65" i="5" a="1"/>
  <c r="T135" i="5" a="1"/>
  <c r="BM64" i="5" a="1"/>
  <c r="W139" i="5" a="1"/>
  <c r="BP67" i="5" a="1"/>
  <c r="U69" i="1" a="1"/>
  <c r="BP43" i="5" a="1"/>
  <c r="U68" i="1" a="1"/>
  <c r="W129" i="5" a="1"/>
  <c r="U90" i="5" a="1"/>
  <c r="W100" i="5" a="1"/>
  <c r="W91" i="5" a="1"/>
  <c r="BE65" i="5" a="1"/>
  <c r="G68" i="1" a="1"/>
  <c r="V87" i="5" a="1"/>
  <c r="BM65" i="5" a="1"/>
  <c r="W92" i="5" a="1"/>
  <c r="V90" i="5" a="1"/>
  <c r="T197" i="5" a="1"/>
  <c r="T133" i="5" a="1"/>
  <c r="BQ63" i="5" a="1"/>
  <c r="BN67" i="5" a="1"/>
  <c r="U128" i="5" a="1"/>
  <c r="BG39" i="5" a="1"/>
  <c r="V98" i="5" a="1"/>
  <c r="BP42" i="5" a="1"/>
  <c r="BJ39" i="5" a="1"/>
  <c r="BJ65" i="5" a="1"/>
  <c r="BH67" i="5" a="1"/>
  <c r="V89" i="5" a="1"/>
  <c r="V101" i="5" a="1"/>
  <c r="BT43" i="5" a="1"/>
  <c r="BQ39" i="5" a="1"/>
  <c r="U133" i="5" a="1"/>
  <c r="U102" i="5" a="1"/>
  <c r="V95" i="5" a="1"/>
  <c r="BE40" i="5" a="1"/>
  <c r="V134" i="5" a="1"/>
  <c r="X88" i="5" a="1"/>
  <c r="V125" i="5" a="1"/>
  <c r="BQ67" i="5" a="1"/>
  <c r="BI40" i="5" a="1"/>
  <c r="BN41" i="5" a="1"/>
  <c r="BG42" i="5" a="1"/>
  <c r="X128" i="5" a="1"/>
  <c r="T130" i="5" a="1"/>
  <c r="BO67" i="5" a="1"/>
  <c r="BS42" i="5" a="1"/>
  <c r="W89" i="5" a="1"/>
  <c r="T137" i="5" a="1"/>
  <c r="BL43" i="5" a="1"/>
  <c r="BQ41" i="5" a="1"/>
  <c r="BE39" i="5" a="1"/>
  <c r="BS63" i="5" a="1"/>
  <c r="BJ64" i="5" a="1"/>
  <c r="BI66" i="5" a="1"/>
  <c r="BJ41" i="5" a="1"/>
  <c r="BL65" i="5" a="1"/>
  <c r="T127" i="5" a="1"/>
  <c r="X124" i="5" a="1"/>
  <c r="U103" i="5" a="1"/>
  <c r="BF40" i="5" a="1"/>
  <c r="BG41" i="5" a="1"/>
  <c r="BS65" i="5" a="1"/>
  <c r="U135" i="5" a="1"/>
  <c r="BQ40" i="5" a="1"/>
  <c r="BK65" i="5" a="1"/>
  <c r="V123" i="5" a="1"/>
  <c r="X98" i="5" a="1"/>
  <c r="BN40" i="5" a="1"/>
  <c r="T136" i="5" a="1"/>
  <c r="BJ63" i="5" a="1"/>
  <c r="BF64" i="5" a="1"/>
  <c r="U96" i="5" a="1"/>
  <c r="X91" i="5" a="1"/>
  <c r="D51" i="1" a="1"/>
  <c r="BO42" i="5" a="1"/>
  <c r="L161" i="5" a="1"/>
  <c r="BT39" i="5" a="1"/>
  <c r="BD65" i="5" a="1"/>
  <c r="V139" i="5" a="1"/>
  <c r="BE41" i="5" a="1"/>
  <c r="BP66" i="5" a="1"/>
  <c r="BT40" i="5" a="1"/>
  <c r="U124" i="5" a="1"/>
  <c r="V127" i="5" a="1"/>
  <c r="W125" i="5" a="1"/>
  <c r="V129" i="5" a="1"/>
  <c r="U131" i="5" a="1"/>
  <c r="V138" i="5" a="1"/>
  <c r="BL39" i="5" a="1"/>
  <c r="V103" i="5" a="1"/>
  <c r="BI39" i="5" a="1"/>
  <c r="X89" i="5" a="1"/>
  <c r="BN39" i="5" a="1"/>
  <c r="BI43" i="5" a="1"/>
  <c r="W103" i="5" a="1"/>
  <c r="BF43" i="5" a="1"/>
  <c r="U100" i="5" a="1"/>
  <c r="V136" i="5" a="1"/>
  <c r="BG66" i="5" a="1"/>
  <c r="U197" i="5" a="1"/>
  <c r="X131" i="5" a="1"/>
  <c r="W94" i="5" a="1"/>
  <c r="BP41" i="5" a="1"/>
  <c r="BP39" i="5" a="1"/>
  <c r="BL41" i="5" a="1"/>
  <c r="U198" i="5" a="1"/>
  <c r="V130" i="5" a="1"/>
  <c r="V198" i="5" a="1"/>
  <c r="BS66" i="5" a="1"/>
  <c r="V126" i="5" a="1"/>
  <c r="BE67" i="5" a="1"/>
  <c r="BL42" i="5" a="1"/>
  <c r="K159" i="5" a="1"/>
  <c r="BD40" i="5" a="1"/>
  <c r="L177" i="5" a="1"/>
  <c r="X139" i="5" a="1"/>
  <c r="L181" i="5" a="1"/>
  <c r="BO39" i="5" a="1"/>
  <c r="BN42" i="5" a="1"/>
  <c r="U138" i="5" a="1"/>
  <c r="X103" i="5" a="1"/>
  <c r="BM43" i="5" a="1"/>
  <c r="K68" i="1" a="1"/>
  <c r="K160" i="5" a="1"/>
  <c r="U70" i="1" a="1"/>
  <c r="BE43" i="5" a="1"/>
  <c r="BG67" i="5" a="1"/>
  <c r="BG43" i="5" a="1"/>
  <c r="W136" i="5" a="1"/>
  <c r="W132" i="5" a="1"/>
  <c r="X94" i="5" a="1"/>
  <c r="W96" i="5" a="1"/>
  <c r="V131" i="5" a="1"/>
  <c r="V94" i="5" a="1"/>
  <c r="V102" i="5" a="1"/>
  <c r="X92" i="5" a="1"/>
  <c r="U126" i="5" a="1"/>
  <c r="BS43" i="5" a="1"/>
  <c r="X133" i="5" a="1"/>
  <c r="V93" i="5" a="1"/>
  <c r="V99" i="5" a="1"/>
  <c r="L180" i="5" a="1"/>
  <c r="BT67" i="5" a="1"/>
  <c r="BE64" i="5" a="1"/>
  <c r="U132" i="5" a="1"/>
  <c r="V137" i="5" a="1"/>
  <c r="BS39" i="5" a="1"/>
  <c r="BL63" i="5" a="1"/>
  <c r="W99" i="5" a="1"/>
  <c r="BM66" i="5" a="1"/>
  <c r="BR63" i="5" a="1"/>
  <c r="D47" i="1" a="1"/>
  <c r="BF66" i="5" a="1"/>
  <c r="U95" i="5" a="1"/>
  <c r="T129" i="5" a="1"/>
  <c r="W98" i="5" a="1"/>
  <c r="BH63" i="5" a="1"/>
  <c r="BQ64" i="5" a="1"/>
  <c r="U127" i="5" a="1"/>
  <c r="W134" i="5" a="1"/>
  <c r="U137" i="5" a="1"/>
  <c r="W123" i="5" a="1"/>
  <c r="BO63" i="5" a="1"/>
  <c r="X90" i="5" a="1"/>
  <c r="BL67" i="5" a="1"/>
  <c r="V88" i="5" a="1"/>
  <c r="X87" i="5" a="1"/>
  <c r="G67" i="1" a="1"/>
  <c r="BK41" i="5" a="1"/>
  <c r="BH43" i="5" a="1"/>
  <c r="BH39" i="5" a="1"/>
  <c r="X134" i="5" a="1"/>
  <c r="BI41" i="5" a="1"/>
  <c r="W88" i="5" a="1"/>
  <c r="BQ66" i="5" a="1"/>
  <c r="W138" i="5" a="1"/>
  <c r="U71" i="1" a="1"/>
  <c r="BS40" i="5" a="1"/>
  <c r="W198" i="5" a="1"/>
  <c r="W101" i="5" a="1"/>
  <c r="W126" i="5" a="1"/>
  <c r="BS67" i="5" a="1"/>
  <c r="BD43" i="5" a="1"/>
  <c r="X130" i="5" a="1"/>
  <c r="T131" i="5" a="1"/>
  <c r="L160" i="5" a="1"/>
  <c r="U125" i="5" a="1"/>
  <c r="BM67" i="5" a="1"/>
  <c r="BK43" i="5" a="1"/>
  <c r="U88" i="5" a="1"/>
  <c r="L179" i="5" a="1"/>
  <c r="BE63" i="5" a="1"/>
  <c r="BT63" i="5" a="1"/>
  <c r="W135" i="5" a="1"/>
  <c r="W124" i="5" a="1"/>
  <c r="BF63" i="5" a="1"/>
  <c r="BR39" i="5" a="1"/>
  <c r="BQ43" i="5" a="1"/>
  <c r="BQ65" i="5" a="1"/>
  <c r="BS41" i="5" a="1"/>
  <c r="BD39" i="5" a="1"/>
  <c r="G71" i="1" a="1"/>
  <c r="W97" i="5" a="1"/>
  <c r="K178" i="5" a="1"/>
  <c r="W87" i="5" a="1"/>
  <c r="T124" i="5" a="1"/>
  <c r="X132" i="5" a="1"/>
  <c r="BI63" i="5" a="1"/>
  <c r="U91" i="5" a="1"/>
  <c r="BH66" i="5" a="1"/>
  <c r="V132" i="5" a="1"/>
  <c r="X93" i="5" a="1"/>
  <c r="BP63" i="5" a="1"/>
  <c r="BJ67" i="5" a="1"/>
  <c r="U94" i="5" a="1"/>
  <c r="BD67" i="5" a="1"/>
  <c r="BO41" i="5" a="1"/>
  <c r="BT66" i="5" a="1"/>
  <c r="X129" i="5" a="1"/>
  <c r="U87" i="5" a="1"/>
  <c r="BK39" i="5" a="1"/>
  <c r="K69" i="1" a="1"/>
  <c r="BF67" i="5" a="1"/>
  <c r="T128" i="5" a="1"/>
  <c r="BR65" i="5" a="1"/>
  <c r="BO66" i="5" a="1"/>
  <c r="L157" i="5" a="1"/>
  <c r="BL64" i="5" a="1"/>
  <c r="U130" i="5" a="1"/>
  <c r="U67" i="1" a="1"/>
  <c r="X99" i="5" a="1"/>
  <c r="K157" i="5" a="1"/>
  <c r="V91" i="5" a="1"/>
  <c r="V97" i="5" a="1"/>
  <c r="BR42" i="5" a="1"/>
  <c r="BP65" i="5" a="1"/>
  <c r="X100" i="5" a="1"/>
  <c r="X101" i="5" a="1"/>
  <c r="U92" i="5" a="1"/>
  <c r="BN66" i="5" a="1"/>
  <c r="W197" i="5" a="1"/>
  <c r="BD42" i="5" a="1"/>
  <c r="BH42" i="5" a="1"/>
  <c r="T198" i="5" a="1"/>
  <c r="X95" i="5" a="1"/>
  <c r="X97" i="5" a="1"/>
  <c r="BM41" i="5" a="1"/>
  <c r="V96" i="5" a="1"/>
  <c r="BI64" i="5" a="1"/>
  <c r="BI42" i="5" a="1"/>
  <c r="X197" i="5" a="1"/>
  <c r="BG63" i="5" a="1"/>
  <c r="V100" i="5" a="1"/>
  <c r="BK42" i="5" a="1"/>
  <c r="U99" i="5" a="1"/>
  <c r="BJ40" i="5" a="1"/>
  <c r="G70" i="1" a="1"/>
  <c r="BH65" i="5" a="1"/>
  <c r="X125" i="5" a="1"/>
  <c r="X137" i="5" a="1"/>
  <c r="K177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9" i="3"/>
  <c r="G30" i="3"/>
  <c r="G31" i="3"/>
  <c r="E62" i="2"/>
  <c r="K12" i="4" a="1"/>
  <c r="D64" i="2" a="1"/>
  <c r="K11" i="4" a="1"/>
  <c r="K13" i="4" a="1"/>
  <c r="D62" i="2" a="1"/>
  <c r="K14" i="4" a="1"/>
  <c r="K10" i="4" a="1"/>
  <c r="K15" i="4" a="1"/>
  <c r="K49" i="9" a="1"/>
  <c r="K203" i="9" a="1"/>
  <c r="K181" i="9" a="1"/>
  <c r="P115" i="9" a="1"/>
  <c r="F27" i="9" a="1"/>
  <c r="C71" i="9" a="1"/>
  <c r="P71" i="9" a="1"/>
  <c r="F71" i="9" a="1"/>
  <c r="F203" i="9" a="1"/>
  <c r="P93" i="9" a="1"/>
  <c r="P159" i="9" a="1"/>
  <c r="K71" i="9" a="1"/>
  <c r="H17" i="2" a="1"/>
  <c r="K115" i="9" a="1"/>
  <c r="F225" i="9" a="1"/>
  <c r="F137" i="9" a="1"/>
  <c r="C203" i="9" a="1"/>
  <c r="O225" i="9" a="1"/>
  <c r="F159" i="9" a="1"/>
  <c r="F115" i="9" a="1"/>
  <c r="C159" i="9" a="1"/>
  <c r="P181" i="9" a="1"/>
  <c r="U225" i="9" a="1"/>
  <c r="P49" i="9" a="1"/>
  <c r="I225" i="9" a="1"/>
  <c r="C27" i="9" a="1"/>
  <c r="K137" i="9" a="1"/>
  <c r="F181" i="9" a="1"/>
  <c r="K93" i="9" a="1"/>
  <c r="C137" i="9" a="1"/>
  <c r="K159" i="9" a="1"/>
  <c r="F49" i="9" a="1"/>
  <c r="R225" i="9" a="1"/>
  <c r="F93" i="9" a="1"/>
  <c r="C225" i="9" a="1"/>
  <c r="P27" i="9" a="1"/>
  <c r="C49" i="9" a="1"/>
  <c r="L225" i="9" a="1"/>
  <c r="C115" i="9" a="1"/>
  <c r="P203" i="9" a="1"/>
  <c r="C181" i="9" a="1"/>
  <c r="P137" i="9" a="1"/>
  <c r="K27" i="9" a="1"/>
  <c r="C93" i="9" a="1"/>
  <c r="R67" i="1" a="1"/>
  <c r="O67" i="1" a="1"/>
  <c r="I28" i="3" a="1"/>
  <c r="D82" i="1" a="1"/>
  <c r="J22" i="11" a="1"/>
  <c r="I25" i="11" a="1"/>
  <c r="I31" i="3" a="1"/>
  <c r="D53" i="1" a="1"/>
  <c r="V71" i="1" a="1"/>
  <c r="M71" i="1" a="1"/>
  <c r="D81" i="1" a="1"/>
  <c r="O71" i="1" a="1"/>
  <c r="I23" i="11" a="1"/>
  <c r="C166" i="5" a="1"/>
  <c r="O68" i="1" a="1"/>
  <c r="M67" i="1" a="1"/>
  <c r="M68" i="1" a="1"/>
  <c r="M69" i="1" a="1"/>
  <c r="V69" i="1" a="1"/>
  <c r="I24" i="11" a="1"/>
  <c r="I26" i="11" a="1"/>
  <c r="D55" i="1" a="1"/>
  <c r="I67" i="1" a="1"/>
  <c r="C144" i="5" a="1"/>
  <c r="M47" i="1" a="1"/>
  <c r="V68" i="1" a="1"/>
  <c r="V67" i="1" a="1"/>
  <c r="D56" i="1" a="1"/>
  <c r="D83" i="1" a="1"/>
  <c r="D54" i="1" a="1"/>
  <c r="U29" i="3" a="1"/>
  <c r="C186" i="5" a="1"/>
  <c r="I70" i="1" a="1"/>
  <c r="I27" i="3" a="1"/>
  <c r="R69" i="1" a="1"/>
  <c r="C108" i="5" a="1"/>
  <c r="R70" i="1" a="1"/>
  <c r="V70" i="1" a="1"/>
  <c r="I69" i="1" a="1"/>
  <c r="O70" i="1" a="1"/>
  <c r="R68" i="1" a="1"/>
  <c r="R71" i="1" a="1"/>
  <c r="C72" i="5" a="1"/>
  <c r="I30" i="3" a="1"/>
  <c r="C24" i="5" a="1"/>
  <c r="I29" i="3" a="1"/>
  <c r="I68" i="1" a="1"/>
  <c r="M70" i="1" a="1"/>
  <c r="C48" i="5" a="1"/>
  <c r="O69" i="1" a="1"/>
  <c r="J26" i="3" a="1"/>
  <c r="I71" i="1" a="1"/>
  <c r="D57" i="1" a="1"/>
  <c r="D84" i="1" a="1"/>
  <c r="D52" i="1" a="1"/>
  <c r="I27" i="3" l="1"/>
  <c r="I28" i="3"/>
  <c r="I30" i="3"/>
  <c r="I29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109" i="9" a="1"/>
  <c r="C153" i="9" a="1"/>
  <c r="G21" i="2" a="1"/>
  <c r="C87" i="9" a="1"/>
  <c r="C175" i="9" a="1"/>
  <c r="C65" i="9" a="1"/>
  <c r="C21" i="9" a="1"/>
  <c r="C219" i="9" a="1"/>
  <c r="C131" i="9" a="1"/>
  <c r="C43" i="9" a="1"/>
  <c r="C197" i="9" a="1"/>
  <c r="E53" i="1" a="1"/>
  <c r="P70" i="1" a="1"/>
  <c r="E51" i="1" a="1"/>
  <c r="O81" i="1" a="1"/>
  <c r="S71" i="1" a="1"/>
  <c r="P71" i="1" a="1"/>
  <c r="E50" i="1" a="1"/>
  <c r="E54" i="1" a="1"/>
  <c r="N24" i="3" a="1"/>
  <c r="S69" i="1" a="1"/>
  <c r="E82" i="1" a="1"/>
  <c r="J27" i="3" a="1"/>
  <c r="X81" i="1" a="1"/>
  <c r="J24" i="11" a="1"/>
  <c r="E83" i="1" a="1"/>
  <c r="G81" i="1" a="1"/>
  <c r="J29" i="3" a="1"/>
  <c r="J26" i="11" a="1"/>
  <c r="E57" i="1" a="1"/>
  <c r="E48" i="1" a="1"/>
  <c r="P68" i="1" a="1"/>
  <c r="K81" i="1" a="1"/>
  <c r="C4" i="5" a="1"/>
  <c r="E81" i="1" a="1"/>
  <c r="U81" i="1" a="1"/>
  <c r="R81" i="1" a="1"/>
  <c r="J25" i="11" a="1"/>
  <c r="E49" i="1" a="1"/>
  <c r="S67" i="1" a="1"/>
  <c r="P69" i="1" a="1"/>
  <c r="E52" i="1" a="1"/>
  <c r="E84" i="1" a="1"/>
  <c r="S70" i="1" a="1"/>
  <c r="P67" i="1" a="1"/>
  <c r="J23" i="11" a="1"/>
  <c r="S68" i="1" a="1"/>
  <c r="E56" i="1" a="1"/>
  <c r="E47" i="1" a="1"/>
  <c r="E55" i="1" a="1"/>
  <c r="J28" i="3" a="1"/>
  <c r="N24" i="3" l="1"/>
  <c r="D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W81" i="1" a="1"/>
  <c r="W83" i="1" a="1"/>
  <c r="T83" i="1" a="1"/>
  <c r="S85" i="1" a="1"/>
  <c r="Q82" i="1" a="1"/>
  <c r="J30" i="3" a="1"/>
  <c r="N82" i="1" a="1"/>
  <c r="J27" i="11" a="1"/>
  <c r="N84" i="1" a="1"/>
  <c r="N83" i="1" a="1"/>
  <c r="V85" i="1" a="1"/>
  <c r="F82" i="1" a="1"/>
  <c r="W82" i="1" a="1"/>
  <c r="J84" i="1" a="1"/>
  <c r="F81" i="1" a="1"/>
  <c r="J81" i="1" a="1"/>
  <c r="P85" i="1" a="1"/>
  <c r="F84" i="1" a="1"/>
  <c r="Q83" i="1" a="1"/>
  <c r="Q84" i="1" a="1"/>
  <c r="N81" i="1" a="1"/>
  <c r="Y85" i="1" a="1"/>
  <c r="T81" i="1" a="1"/>
  <c r="W84" i="1" a="1"/>
  <c r="Q81" i="1" a="1"/>
  <c r="J83" i="1" a="1"/>
  <c r="F83" i="1" a="1"/>
  <c r="C43" i="1" a="1"/>
  <c r="J82" i="1" a="1"/>
  <c r="T84" i="1" a="1"/>
  <c r="T82" i="1" a="1"/>
  <c r="M85" i="1" a="1"/>
  <c r="I85" i="1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2" i="8" s="1"/>
  <c r="C58" i="2"/>
  <c r="J31" i="3" a="1"/>
  <c r="M83" i="1" a="1"/>
  <c r="M81" i="1" a="1"/>
  <c r="Y82" i="1" a="1"/>
  <c r="P84" i="1" a="1"/>
  <c r="S84" i="1" a="1"/>
  <c r="S81" i="1" a="1"/>
  <c r="M82" i="1" a="1"/>
  <c r="V82" i="1" a="1"/>
  <c r="V81" i="1" a="1"/>
  <c r="Y83" i="1" a="1"/>
  <c r="I81" i="1" a="1"/>
  <c r="C39" i="1" a="1"/>
  <c r="Y81" i="1" a="1"/>
  <c r="M84" i="1" a="1"/>
  <c r="S82" i="1" a="1"/>
  <c r="I82" i="1" a="1"/>
  <c r="V84" i="1" a="1"/>
  <c r="S83" i="1" a="1"/>
  <c r="I84" i="1" a="1"/>
  <c r="P82" i="1" a="1"/>
  <c r="C15" i="1" a="1"/>
  <c r="P81" i="1" a="1"/>
  <c r="C20" i="11" a="1"/>
  <c r="I83" i="1" a="1"/>
  <c r="P83" i="1" a="1"/>
  <c r="V83" i="1" a="1"/>
  <c r="Y84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69" i="1" a="1"/>
  <c r="E68" i="1" a="1"/>
  <c r="E70" i="1" a="1"/>
  <c r="E67" i="1" a="1"/>
  <c r="E71" i="1" a="1"/>
  <c r="E68" i="1" l="1"/>
  <c r="E67" i="1"/>
  <c r="E69" i="1"/>
  <c r="E71" i="1"/>
  <c r="E70" i="1"/>
  <c r="C62" i="1" a="1"/>
  <c r="C62" i="1" l="1"/>
  <c r="C8" i="1" s="1"/>
  <c r="C4" i="1" a="1"/>
  <c r="C4" i="1" l="1"/>
  <c r="C31" i="8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D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1" i="3" a="1"/>
  <c r="AK53" i="3" a="1"/>
  <c r="AK52" i="3" a="1"/>
  <c r="AK56" i="3" a="1"/>
  <c r="AK55" i="3" a="1"/>
  <c r="AK54" i="3" a="1"/>
  <c r="AK51" i="3" l="1"/>
  <c r="AK56" i="3"/>
  <c r="AK55" i="3"/>
  <c r="AK53" i="3"/>
  <c r="AK52" i="3"/>
  <c r="AK54" i="3"/>
  <c r="AD24" i="3" a="1"/>
  <c r="AD24" i="3" l="1"/>
  <c r="D16" i="3" s="1"/>
  <c r="C6" i="3" a="1"/>
  <c r="C6" i="3" l="1"/>
  <c r="C34" i="8"/>
  <c r="B10" i="8" a="1"/>
  <c r="B10" i="8" l="1"/>
  <c r="BA37" i="3" a="1"/>
  <c r="AZ37" i="3" a="1"/>
  <c r="BA42" i="3" l="1"/>
  <c r="BA44" i="3"/>
  <c r="BA43" i="3"/>
  <c r="BA41" i="3"/>
  <c r="BA37" i="3"/>
  <c r="BA39" i="3"/>
  <c r="BA40" i="3"/>
  <c r="BA38" i="3"/>
  <c r="AZ37" i="3"/>
  <c r="AZ38" i="3"/>
  <c r="AZ40" i="3"/>
  <c r="AZ42" i="3"/>
  <c r="AZ39" i="3"/>
  <c r="AZ43" i="3"/>
  <c r="AZ44" i="3"/>
  <c r="AZ41" i="3"/>
  <c r="AY55" i="3" l="1"/>
  <c r="AY53" i="3"/>
  <c r="AY56" i="3"/>
  <c r="AY51" i="3"/>
  <c r="AY52" i="3" a="1"/>
  <c r="AY52" i="3" s="1"/>
  <c r="AY54" i="3"/>
  <c r="BA55" i="3" a="1"/>
  <c r="BA52" i="3" a="1"/>
  <c r="BA51" i="3" a="1"/>
  <c r="BA53" i="3" a="1"/>
  <c r="BA56" i="3" a="1"/>
  <c r="BA54" i="3" a="1"/>
  <c r="BA55" i="3" l="1"/>
  <c r="BA54" i="3"/>
  <c r="BA56" i="3"/>
  <c r="BA53" i="3"/>
  <c r="BA51" i="3"/>
  <c r="BA52" i="3"/>
  <c r="AT24" i="3" a="1"/>
  <c r="AT24" i="3" l="1"/>
  <c r="CA41" i="3" a="1"/>
  <c r="BZ41" i="3" a="1"/>
  <c r="BZ54" i="3" l="1"/>
  <c r="BZ56" i="3"/>
  <c r="BZ64" i="3"/>
  <c r="BZ66" i="3"/>
  <c r="BZ68" i="3"/>
  <c r="BZ51" i="3"/>
  <c r="BZ55" i="3"/>
  <c r="BZ53" i="3"/>
  <c r="BZ43" i="3"/>
  <c r="BZ47" i="3"/>
  <c r="BZ63" i="3"/>
  <c r="BZ59" i="3"/>
  <c r="BZ67" i="3"/>
  <c r="BZ71" i="3"/>
  <c r="BZ52" i="3"/>
  <c r="BZ44" i="3"/>
  <c r="BZ60" i="3"/>
  <c r="BZ70" i="3"/>
  <c r="BZ62" i="3"/>
  <c r="BZ45" i="3"/>
  <c r="BZ49" i="3"/>
  <c r="BZ41" i="3"/>
  <c r="BZ57" i="3"/>
  <c r="BZ61" i="3"/>
  <c r="BZ65" i="3"/>
  <c r="BZ69" i="3"/>
  <c r="BZ48" i="3"/>
  <c r="BZ42" i="3"/>
  <c r="BZ46" i="3"/>
  <c r="BZ72" i="3"/>
  <c r="BZ58" i="3"/>
  <c r="BZ50" i="3"/>
  <c r="CA47" i="3"/>
  <c r="CA41" i="3"/>
  <c r="CA49" i="3"/>
  <c r="CA53" i="3"/>
  <c r="CA65" i="3"/>
  <c r="CA45" i="3"/>
  <c r="CA61" i="3"/>
  <c r="CA57" i="3"/>
  <c r="CA59" i="3"/>
  <c r="CA42" i="3"/>
  <c r="CA69" i="3"/>
  <c r="CA71" i="3"/>
  <c r="CA54" i="3"/>
  <c r="CA48" i="3"/>
  <c r="CA64" i="3"/>
  <c r="CA55" i="3"/>
  <c r="CA63" i="3"/>
  <c r="CA46" i="3"/>
  <c r="CA50" i="3"/>
  <c r="CA66" i="3"/>
  <c r="CA58" i="3"/>
  <c r="CA62" i="3"/>
  <c r="CA43" i="3"/>
  <c r="CA70" i="3"/>
  <c r="CA52" i="3"/>
  <c r="CA56" i="3"/>
  <c r="CA44" i="3"/>
  <c r="CA60" i="3"/>
  <c r="CA67" i="3"/>
  <c r="CA68" i="3"/>
  <c r="CA72" i="3"/>
  <c r="CA51" i="3"/>
  <c r="BY82" i="3" l="1"/>
  <c r="BY78" i="3"/>
  <c r="BY77" i="3"/>
  <c r="BY79" i="3"/>
  <c r="BY81" i="3"/>
  <c r="BY80" i="3"/>
  <c r="CA82" i="3" a="1"/>
  <c r="CA79" i="3" a="1"/>
  <c r="CA81" i="3" a="1"/>
  <c r="CA80" i="3" a="1"/>
  <c r="CA78" i="3" a="1"/>
  <c r="CA77" i="3" a="1"/>
  <c r="CA77" i="3" l="1"/>
  <c r="CA78" i="3"/>
  <c r="CA80" i="3"/>
  <c r="CA81" i="3"/>
  <c r="CA79" i="3"/>
  <c r="CA8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<sst xmlns="http://schemas.openxmlformats.org/spreadsheetml/2006/main" count="4598" uniqueCount="667">
  <si>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</si>
  <si>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</si>
  <si>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</si>
  <si>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</si>
  <si>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</si>
  <si>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</si>
  <si>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</si>
  <si>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</si>
  <si>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</si>
  <si>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</si>
  <si>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</si>
  <si>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</si>
  <si>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</si>
  <si>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</si>
  <si>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</si>
  <si>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</si>
  <si>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</si>
  <si>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</si>
  <si>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</si>
  <si>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</si>
  <si>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</si>
  <si>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</si>
  <si>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</si>
  <si>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</si>
  <si>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</si>
  <si>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</si>
  <si>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</si>
  <si>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</si>
  <si>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</si>
  <si>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</si>
  <si>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</si>
  <si>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</si>
  <si>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</si>
  <si>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</si>
  <si>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</si>
  <si>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</si>
  <si>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</si>
  <si>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</si>
  <si>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</si>
  <si>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</si>
  <si>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</si>
  <si>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</si>
  <si>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</si>
  <si>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</si>
  <si>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</si>
  <si>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</si>
  <si>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</si>
  <si>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</si>
  <si>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</si>
  <si>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</si>
  <si>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</si>
  <si>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</si>
  <si>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</si>
  <si>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</si>
  <si>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</si>
  <si>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</si>
  <si>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</si>
  <si>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</si>
  <si>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</si>
  <si>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</si>
  <si>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</si>
  <si>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</si>
  <si>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</si>
  <si>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</si>
  <si>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</si>
  <si>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</si>
  <si>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</si>
  <si>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</si>
  <si>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</si>
  <si>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</si>
  <si>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</si>
  <si>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</si>
  <si>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</si>
  <si>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</si>
  <si>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</si>
  <si>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</si>
  <si>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</si>
  <si>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</si>
  <si>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</si>
  <si>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</si>
  <si>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</si>
  <si>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</si>
  <si>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</si>
  <si>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</si>
  <si>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</si>
  <si>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</si>
  <si>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</si>
  <si>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</si>
  <si>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</si>
  <si>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</si>
  <si>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</si>
  <si>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</si>
  <si>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</si>
  <si>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</si>
  <si>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</si>
  <si>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</si>
  <si>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</si>
  <si>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</si>
  <si>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</si>
  <si>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</si>
  <si>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</si>
  <si>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</si>
  <si>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</si>
  <si>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</si>
  <si>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</si>
  <si>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</si>
  <si>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</si>
  <si>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</si>
  <si>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</si>
  <si>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</si>
  <si>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</si>
  <si>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</si>
  <si>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</si>
  <si>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</si>
  <si>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</si>
  <si>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</si>
  <si>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</si>
  <si>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</si>
  <si>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</si>
  <si>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</si>
  <si>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</si>
  <si>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</si>
  <si>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</si>
  <si>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</si>
  <si>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</si>
  <si>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</si>
  <si>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</si>
  <si>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</si>
  <si>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</si>
  <si>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</si>
  <si>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</si>
  <si>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</si>
  <si>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</si>
  <si>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</si>
  <si>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</si>
  <si>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</si>
  <si>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</si>
  <si>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</si>
  <si>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</si>
  <si>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</si>
  <si>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</si>
  <si>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</si>
  <si>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</si>
  <si>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</si>
  <si>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</si>
  <si>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</si>
  <si>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</si>
  <si>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</si>
  <si>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</si>
  <si>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</si>
  <si>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</si>
  <si>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</si>
  <si>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</si>
  <si>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</si>
  <si>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</si>
  <si>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</si>
  <si>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</si>
  <si>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</si>
  <si>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</si>
  <si>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</si>
  <si>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</si>
  <si>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</si>
  <si>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</si>
  <si>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</si>
  <si>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</si>
  <si>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</si>
  <si>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</si>
  <si>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</si>
  <si>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</si>
  <si>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</si>
  <si>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</si>
  <si>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</si>
  <si>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</si>
  <si>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</si>
  <si>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</si>
  <si>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</si>
  <si>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</si>
  <si>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</si>
  <si>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</si>
  <si>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</si>
  <si>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</si>
  <si>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</si>
  <si>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</si>
  <si>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</si>
  <si>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</si>
  <si>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</si>
  <si>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</si>
  <si>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</si>
  <si>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</si>
  <si>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</si>
  <si>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</si>
  <si>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</si>
  <si>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</si>
  <si>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</si>
  <si>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</si>
  <si>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</si>
  <si>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</si>
  <si>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</si>
  <si>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</si>
  <si>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</si>
  <si>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</si>
  <si>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</si>
  <si>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</si>
  <si>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</si>
  <si>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</si>
  <si>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</si>
  <si>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</si>
  <si>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</si>
  <si>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</si>
  <si>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</si>
  <si>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</si>
  <si>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</si>
  <si>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</si>
  <si>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</si>
  <si>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</si>
  <si>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</si>
  <si>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</si>
  <si>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</si>
  <si>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</si>
  <si>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</si>
  <si>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</si>
  <si>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</si>
  <si>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</si>
  <si>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</si>
  <si>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</si>
  <si>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</si>
  <si>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</si>
  <si>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</si>
  <si>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</si>
  <si>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</si>
  <si>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</si>
  <si>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</si>
  <si>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</si>
  <si>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</si>
  <si>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</si>
  <si>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</si>
  <si>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</si>
  <si>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</si>
  <si>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</si>
  <si>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</si>
  <si>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</si>
  <si>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</si>
  <si>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</si>
  <si>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</si>
  <si>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</si>
  <si>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</si>
  <si>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</si>
  <si>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</si>
  <si>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</si>
  <si>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</si>
  <si>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</si>
  <si>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</si>
  <si>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</si>
  <si>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</si>
  <si>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</si>
  <si>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</si>
  <si>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</si>
  <si>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</si>
  <si>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</si>
  <si>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</si>
  <si>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</si>
  <si>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</si>
  <si>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</si>
  <si>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</si>
  <si>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</si>
  <si>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</si>
  <si>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</si>
  <si>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</si>
  <si>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</si>
  <si>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</si>
  <si>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</si>
  <si>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</si>
  <si>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</si>
  <si>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</si>
  <si>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</si>
  <si>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</si>
  <si>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</si>
  <si>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</si>
  <si>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</si>
  <si>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</si>
  <si>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</si>
  <si>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</si>
  <si>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</si>
  <si>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</si>
  <si>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</si>
  <si>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</si>
  <si>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</si>
  <si>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</si>
  <si>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</si>
  <si>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</si>
  <si>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</si>
  <si>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</si>
  <si>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</si>
  <si>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</si>
  <si>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</si>
  <si>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</si>
  <si>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</si>
  <si>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</si>
  <si>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</si>
  <si>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</si>
  <si>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</si>
  <si>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</si>
  <si>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</si>
  <si>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</si>
  <si>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</si>
  <si>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</si>
  <si>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</si>
  <si>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</si>
  <si>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</si>
  <si>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</si>
  <si>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</si>
  <si>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</si>
  <si>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</si>
  <si>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</si>
  <si>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</si>
  <si>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</si>
  <si>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</si>
  <si>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</si>
  <si>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</si>
  <si>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</si>
  <si>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</si>
  <si>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</si>
  <si>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</si>
  <si>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</si>
  <si>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</si>
  <si>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</si>
  <si>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</si>
  <si>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</si>
  <si>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</si>
  <si>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</si>
  <si>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</si>
  <si>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</si>
  <si>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</si>
  <si>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</si>
  <si>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</si>
  <si>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</si>
  <si>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</si>
  <si>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</si>
  <si>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</si>
  <si>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</si>
  <si>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</si>
  <si>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</si>
  <si>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</si>
  <si>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</si>
  <si>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</si>
  <si>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</si>
  <si>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</si>
  <si>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</si>
  <si>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</si>
  <si>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</si>
  <si>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</si>
  <si>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</si>
  <si>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</si>
  <si>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</si>
  <si>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</si>
  <si>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</si>
  <si>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</si>
  <si>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</si>
  <si>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</si>
  <si>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</si>
  <si>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</si>
  <si>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</si>
  <si>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</si>
  <si>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</si>
  <si>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</si>
  <si>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</si>
  <si>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</si>
  <si>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</si>
  <si>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</si>
  <si>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</si>
  <si>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</si>
  <si>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</si>
  <si>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</si>
  <si>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</si>
  <si>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</si>
  <si>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</si>
  <si>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</si>
  <si>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</si>
  <si>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</si>
  <si>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</si>
  <si>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</si>
  <si>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</si>
  <si>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</si>
  <si>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</si>
  <si>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</si>
  <si>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</si>
  <si>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</si>
  <si>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</si>
  <si>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</si>
  <si>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</si>
  <si>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</si>
  <si>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</si>
  <si>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</si>
  <si>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</si>
  <si>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</si>
  <si>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</si>
  <si>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</si>
  <si>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</si>
  <si>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</si>
  <si>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</si>
  <si>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</si>
  <si>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</si>
  <si>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</si>
  <si>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</si>
  <si>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</si>
  <si>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</si>
  <si>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</si>
  <si>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</si>
  <si>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</si>
  <si>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</si>
  <si>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</si>
  <si>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</si>
  <si>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</si>
  <si>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</si>
  <si>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</si>
  <si>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</si>
  <si>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</si>
  <si>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</si>
  <si>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</si>
  <si>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</si>
  <si>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</si>
  <si>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</si>
  <si>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</si>
  <si>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</si>
  <si>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</si>
  <si>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</si>
  <si>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</si>
  <si>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</si>
  <si>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</si>
  <si>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</si>
  <si>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</si>
  <si>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</si>
  <si>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</si>
  <si>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</si>
  <si>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</si>
  <si>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</si>
  <si>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</si>
  <si>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</si>
  <si>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</si>
  <si>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</si>
  <si>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</si>
  <si>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</si>
  <si>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</si>
  <si>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</si>
  <si>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</si>
  <si>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</si>
  <si>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</si>
  <si>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</si>
  <si>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</si>
  <si>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</si>
  <si>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</si>
  <si>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</si>
  <si>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</si>
  <si>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</si>
  <si>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</si>
  <si>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</si>
  <si>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</si>
  <si>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</si>
  <si>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</si>
  <si>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</si>
  <si>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</si>
  <si>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</si>
  <si>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</si>
  <si>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</si>
  <si>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</si>
  <si>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</si>
  <si>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</si>
  <si>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</si>
  <si>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</si>
  <si>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</si>
  <si>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</si>
  <si>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</si>
  <si>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</si>
  <si>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</si>
  <si>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</si>
  <si>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</si>
  <si>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</si>
  <si>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</si>
  <si>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</si>
  <si>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</si>
  <si>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</si>
  <si>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</si>
  <si>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</si>
  <si>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</si>
  <si>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</si>
  <si>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</si>
  <si>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</si>
  <si>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</si>
  <si>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</si>
  <si>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</si>
  <si>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</si>
  <si>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</si>
  <si>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</si>
  <si>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</si>
  <si>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</si>
  <si>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</si>
  <si>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</si>
  <si>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</si>
  <si>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</si>
  <si>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</si>
  <si>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</si>
  <si>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</si>
  <si>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</si>
  <si>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</si>
  <si>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</si>
  <si>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</si>
  <si>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</si>
  <si>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</si>
  <si>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</si>
  <si>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</si>
  <si>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</si>
  <si>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</si>
  <si>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</si>
  <si>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</si>
  <si>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</si>
  <si>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</si>
  <si>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</si>
  <si>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</si>
  <si>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</si>
  <si>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</si>
  <si>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</si>
  <si>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</si>
  <si>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</si>
  <si>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</si>
  <si>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</si>
  <si>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</si>
  <si>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</si>
  <si>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</si>
  <si>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</si>
  <si>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</si>
  <si>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</si>
  <si>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</si>
  <si>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</si>
  <si>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</si>
  <si>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</si>
  <si>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</si>
  <si>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</si>
  <si>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</si>
  <si>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</si>
  <si>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</si>
  <si>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</si>
  <si>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</si>
  <si>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</si>
  <si>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</si>
  <si>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</si>
  <si>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</si>
  <si>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</si>
  <si>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</si>
  <si>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</si>
  <si>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</si>
  <si>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</si>
  <si>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</si>
  <si>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</si>
  <si>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</si>
  <si>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</si>
  <si>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</si>
  <si>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</si>
  <si>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</si>
  <si>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</si>
  <si>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</si>
  <si>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</si>
  <si>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</si>
  <si>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</si>
  <si>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</si>
  <si>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</si>
  <si>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</si>
  <si>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</si>
  <si>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</si>
  <si>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</si>
  <si>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</si>
  <si>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</si>
  <si>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</si>
  <si>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</si>
  <si>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</si>
  <si>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</si>
  <si>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</si>
  <si>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</si>
  <si>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</si>
  <si>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</si>
  <si>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</si>
  <si>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</si>
  <si>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</si>
  <si>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</si>
  <si>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</si>
  <si>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</si>
  <si>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</si>
  <si>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</si>
  <si>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</si>
  <si>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</si>
  <si>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</si>
  <si>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</si>
  <si>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</si>
  <si>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</si>
  <si>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</si>
  <si>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</si>
  <si>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</si>
  <si>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</si>
  <si>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</si>
  <si>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</si>
  <si>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</si>
  <si>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</si>
  <si>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</si>
  <si>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</si>
  <si>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</si>
  <si>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</si>
  <si>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</si>
  <si>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</si>
  <si>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</si>
  <si>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</si>
  <si>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</si>
  <si>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</si>
  <si>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</si>
  <si>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</si>
  <si>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</si>
  <si>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</si>
  <si>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</si>
  <si>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</si>
  <si>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</si>
  <si>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</si>
  <si>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</si>
  <si>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</si>
  <si>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</si>
  <si>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</si>
  <si>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</si>
  <si>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</si>
  <si>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</si>
  <si>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</si>
  <si>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</si>
  <si>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</si>
  <si>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</si>
  <si>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</si>
  <si>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</si>
  <si>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</si>
  <si>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</si>
  <si>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</si>
  <si>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</si>
  <si>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</si>
  <si>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</si>
  <si>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</si>
  <si>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</si>
  <si>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</si>
  <si>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</si>
  <si>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</si>
  <si>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</si>
  <si>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</si>
  <si>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</si>
  <si>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</si>
  <si>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</si>
  <si>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</si>
  <si>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</si>
  <si>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</si>
  <si>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</si>
  <si>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</si>
  <si>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</si>
  <si>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</si>
  <si>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</si>
  <si>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</si>
  <si>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</si>
  <si>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</si>
  <si>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</si>
  <si>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</si>
  <si>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</si>
  <si>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</si>
  <si>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</si>
  <si>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0.1.5</t>
  </si>
  <si>
    <t>Curve Bootstrapping Tests</t>
  </si>
  <si>
    <t>Function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</si>
</sst>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#,##0.000000000"/>
    <numFmt numFmtId="171" formatCode="0.0000%"/>
    <numFmt numFmtId="172" formatCode="[$€-2]#,##0.00"/>
    <numFmt numFmtId="173" formatCode="[$£-809]#,##0.00"/>
    <numFmt numFmtId="174" formatCode="[$₽-419]#,##0.00"/>
    <numFmt numFmtId="175" formatCode="[$R-1C09]#,##0.00"/>
    <numFmt numFmtId="176" formatCode="#,##0.0000000"/>
    <numFmt numFmtId="177" formatCode="#,##0.00000000"/>
    <numFmt numFmtId="178" formatCode="0.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  <numFmt numFmtId="185" formatCode="0.00000%"/>
  </numFmts>
  <fonts count="9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8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</borders>
  <cellStyleXfs count="64">
    <xf numFmtId="0" fontId="0" fillId="0" borderId="0"/>
    <xf numFmtId="0" fontId="23" fillId="0" borderId="1" applyNumberFormat="0" applyFill="0" applyAlignment="0" applyProtection="0"/>
    <xf numFmtId="0" fontId="37" fillId="0" borderId="87" applyNumberFormat="0" applyFill="0" applyAlignment="0" applyProtection="0"/>
    <xf numFmtId="0" fontId="38" fillId="0" borderId="8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4" applyNumberFormat="0" applyAlignment="0" applyProtection="0"/>
    <xf numFmtId="0" fontId="73" fillId="15" borderId="177" applyNumberFormat="0" applyAlignment="0" applyProtection="0"/>
    <xf numFmtId="43" fontId="45" fillId="0" borderId="0" applyFont="0" applyFill="0" applyBorder="0" applyAlignment="0" applyProtection="0"/>
    <xf numFmtId="165" fontId="72" fillId="0" borderId="0" applyFont="0" applyFill="0" applyBorder="0" applyAlignment="0" applyProtection="0"/>
    <xf numFmtId="164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4" applyNumberFormat="0" applyAlignment="0" applyProtection="0"/>
    <xf numFmtId="0" fontId="87" fillId="0" borderId="176" applyNumberFormat="0" applyFill="0" applyAlignment="0" applyProtection="0"/>
    <xf numFmtId="0" fontId="88" fillId="12" borderId="0" applyNumberFormat="0" applyBorder="0" applyAlignment="0" applyProtection="0"/>
    <xf numFmtId="0" fontId="89" fillId="14" borderId="175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8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</cellStyleXfs>
  <cellXfs count="874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7" xfId="2"/>
    <xf numFmtId="0" fontId="38" fillId="0" borderId="88" xfId="3"/>
    <xf numFmtId="166" fontId="0" fillId="0" borderId="0" xfId="0" applyNumberFormat="1"/>
    <xf numFmtId="167" fontId="0" fillId="0" borderId="0" xfId="0" applyNumberFormat="1"/>
    <xf numFmtId="0" fontId="2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9" fontId="25" fillId="0" borderId="10" xfId="0" applyNumberFormat="1" applyFont="1" applyBorder="1" applyAlignment="1">
      <alignment horizontal="right" vertical="center"/>
    </xf>
    <xf numFmtId="169" fontId="25" fillId="0" borderId="12" xfId="0" applyNumberFormat="1" applyFont="1" applyBorder="1" applyAlignment="1">
      <alignment horizontal="right" vertical="center"/>
    </xf>
    <xf numFmtId="169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8" fontId="25" fillId="0" borderId="0" xfId="0" applyNumberFormat="1" applyFont="1"/>
    <xf numFmtId="0" fontId="27" fillId="2" borderId="0" xfId="0" applyFont="1" applyFill="1" applyAlignment="1">
      <alignment horizontal="centerContinuous"/>
    </xf>
    <xf numFmtId="170" fontId="0" fillId="0" borderId="0" xfId="0" applyNumberFormat="1"/>
    <xf numFmtId="171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8" fontId="25" fillId="0" borderId="0" xfId="0" applyNumberFormat="1" applyFont="1" applyAlignment="1">
      <alignment horizontal="right"/>
    </xf>
    <xf numFmtId="0" fontId="25" fillId="0" borderId="0" xfId="0" applyFont="1" applyFill="1" applyBorder="1"/>
    <xf numFmtId="169" fontId="25" fillId="0" borderId="15" xfId="0" applyNumberFormat="1" applyFont="1" applyBorder="1" applyAlignment="1">
      <alignment horizontal="right" vertical="center"/>
    </xf>
    <xf numFmtId="169" fontId="25" fillId="0" borderId="16" xfId="0" applyNumberFormat="1" applyFont="1" applyBorder="1" applyAlignment="1">
      <alignment horizontal="right" vertical="center"/>
    </xf>
    <xf numFmtId="0" fontId="26" fillId="3" borderId="27" xfId="0" applyFont="1" applyFill="1" applyBorder="1" applyAlignment="1">
      <alignment horizontal="centerContinuous" vertical="center"/>
    </xf>
    <xf numFmtId="0" fontId="26" fillId="3" borderId="28" xfId="0" applyFont="1" applyFill="1" applyBorder="1" applyAlignment="1">
      <alignment horizontal="centerContinuous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4" fontId="25" fillId="0" borderId="0" xfId="0" applyNumberFormat="1" applyFont="1"/>
    <xf numFmtId="0" fontId="26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32" xfId="0" applyFont="1" applyFill="1" applyBorder="1" applyAlignment="1">
      <alignment horizontal="center" vertical="center"/>
    </xf>
    <xf numFmtId="0" fontId="26" fillId="4" borderId="33" xfId="0" applyFont="1" applyFill="1" applyBorder="1" applyAlignment="1">
      <alignment horizontal="center" vertical="center"/>
    </xf>
    <xf numFmtId="0" fontId="26" fillId="4" borderId="34" xfId="0" applyFont="1" applyFill="1" applyBorder="1" applyAlignment="1">
      <alignment horizontal="center" vertical="center"/>
    </xf>
    <xf numFmtId="0" fontId="23" fillId="0" borderId="1" xfId="1" applyFont="1"/>
    <xf numFmtId="9" fontId="25" fillId="0" borderId="38" xfId="0" applyNumberFormat="1" applyFont="1" applyBorder="1" applyAlignment="1">
      <alignment horizontal="right"/>
    </xf>
    <xf numFmtId="9" fontId="25" fillId="0" borderId="40" xfId="0" applyNumberFormat="1" applyFont="1" applyBorder="1" applyAlignment="1">
      <alignment horizontal="right"/>
    </xf>
    <xf numFmtId="168" fontId="25" fillId="0" borderId="35" xfId="0" applyNumberFormat="1" applyFont="1" applyBorder="1"/>
    <xf numFmtId="168" fontId="25" fillId="0" borderId="37" xfId="0" applyNumberFormat="1" applyFont="1" applyBorder="1"/>
    <xf numFmtId="168" fontId="25" fillId="0" borderId="41" xfId="0" applyNumberFormat="1" applyFont="1" applyBorder="1"/>
    <xf numFmtId="168" fontId="25" fillId="0" borderId="42" xfId="0" applyNumberFormat="1" applyFont="1" applyBorder="1"/>
    <xf numFmtId="0" fontId="0" fillId="0" borderId="42" xfId="0" applyBorder="1"/>
    <xf numFmtId="9" fontId="25" fillId="0" borderId="42" xfId="0" applyNumberFormat="1" applyFont="1" applyBorder="1" applyAlignment="1">
      <alignment horizontal="right"/>
    </xf>
    <xf numFmtId="9" fontId="25" fillId="0" borderId="43" xfId="0" applyNumberFormat="1" applyFont="1" applyBorder="1" applyAlignment="1">
      <alignment horizontal="right"/>
    </xf>
    <xf numFmtId="0" fontId="31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1" fillId="0" borderId="48" xfId="0" applyFont="1" applyBorder="1"/>
    <xf numFmtId="0" fontId="0" fillId="0" borderId="49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50" xfId="0" applyFont="1" applyFill="1" applyBorder="1" applyAlignment="1">
      <alignment horizontal="center" vertical="center"/>
    </xf>
    <xf numFmtId="0" fontId="26" fillId="4" borderId="51" xfId="0" applyFont="1" applyFill="1" applyBorder="1" applyAlignment="1">
      <alignment horizontal="center" vertical="center"/>
    </xf>
    <xf numFmtId="0" fontId="26" fillId="4" borderId="52" xfId="0" applyFont="1" applyFill="1" applyBorder="1" applyAlignment="1">
      <alignment horizontal="center" vertical="center"/>
    </xf>
    <xf numFmtId="168" fontId="25" fillId="0" borderId="36" xfId="0" applyNumberFormat="1" applyFont="1" applyBorder="1"/>
    <xf numFmtId="168" fontId="25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5" fillId="0" borderId="37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74" fontId="34" fillId="0" borderId="15" xfId="0" applyNumberFormat="1" applyFont="1" applyBorder="1" applyAlignment="1">
      <alignment horizontal="right" vertical="center"/>
    </xf>
    <xf numFmtId="174" fontId="34" fillId="0" borderId="16" xfId="0" applyNumberFormat="1" applyFont="1" applyBorder="1" applyAlignment="1">
      <alignment horizontal="right" vertical="center"/>
    </xf>
    <xf numFmtId="174" fontId="34" fillId="0" borderId="17" xfId="0" applyNumberFormat="1" applyFont="1" applyBorder="1" applyAlignment="1">
      <alignment horizontal="right" vertical="center"/>
    </xf>
    <xf numFmtId="175" fontId="34" fillId="0" borderId="15" xfId="0" applyNumberFormat="1" applyFont="1" applyBorder="1" applyAlignment="1">
      <alignment horizontal="right" vertical="center"/>
    </xf>
    <xf numFmtId="175" fontId="34" fillId="0" borderId="16" xfId="0" applyNumberFormat="1" applyFont="1" applyBorder="1" applyAlignment="1">
      <alignment horizontal="right" vertical="center"/>
    </xf>
    <xf numFmtId="175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8" fontId="22" fillId="0" borderId="9" xfId="0" applyNumberFormat="1" applyFont="1" applyBorder="1" applyAlignment="1">
      <alignment horizontal="right" vertical="center"/>
    </xf>
    <xf numFmtId="168" fontId="22" fillId="0" borderId="11" xfId="0" applyNumberFormat="1" applyFont="1" applyBorder="1" applyAlignment="1">
      <alignment horizontal="right" vertical="center"/>
    </xf>
    <xf numFmtId="168" fontId="22" fillId="0" borderId="13" xfId="0" applyNumberFormat="1" applyFont="1" applyBorder="1" applyAlignment="1">
      <alignment horizontal="right" vertical="center"/>
    </xf>
    <xf numFmtId="168" fontId="22" fillId="0" borderId="15" xfId="0" applyNumberFormat="1" applyFont="1" applyBorder="1" applyAlignment="1">
      <alignment horizontal="right" vertical="center"/>
    </xf>
    <xf numFmtId="168" fontId="22" fillId="0" borderId="16" xfId="0" applyNumberFormat="1" applyFont="1" applyBorder="1" applyAlignment="1">
      <alignment horizontal="right" vertical="center"/>
    </xf>
    <xf numFmtId="168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6" xfId="4" applyBorder="1" applyAlignment="1">
      <alignment horizontal="centerContinuous" vertical="center"/>
    </xf>
    <xf numFmtId="0" fontId="42" fillId="0" borderId="47" xfId="4" applyBorder="1" applyAlignment="1">
      <alignment horizontal="centerContinuous" vertical="center"/>
    </xf>
    <xf numFmtId="0" fontId="42" fillId="0" borderId="49" xfId="4" applyBorder="1" applyAlignment="1">
      <alignment horizontal="centerContinuous" vertical="center"/>
    </xf>
    <xf numFmtId="0" fontId="42" fillId="0" borderId="48" xfId="4" applyFill="1" applyBorder="1" applyAlignment="1">
      <alignment horizontal="centerContinuous"/>
    </xf>
    <xf numFmtId="0" fontId="42" fillId="0" borderId="49" xfId="4" applyFill="1" applyBorder="1" applyAlignment="1">
      <alignment horizontal="centerContinuous"/>
    </xf>
    <xf numFmtId="0" fontId="26" fillId="3" borderId="53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4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74" fontId="33" fillId="5" borderId="16" xfId="0" applyNumberFormat="1" applyFont="1" applyFill="1" applyBorder="1" applyAlignment="1">
      <alignment horizontal="right" vertical="center"/>
    </xf>
    <xf numFmtId="175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8" fontId="33" fillId="5" borderId="9" xfId="0" applyNumberFormat="1" applyFont="1" applyFill="1" applyBorder="1" applyAlignment="1">
      <alignment horizontal="right" vertical="center"/>
    </xf>
    <xf numFmtId="168" fontId="33" fillId="5" borderId="11" xfId="0" applyNumberFormat="1" applyFont="1" applyFill="1" applyBorder="1" applyAlignment="1">
      <alignment horizontal="right" vertical="center"/>
    </xf>
    <xf numFmtId="168" fontId="33" fillId="5" borderId="15" xfId="0" applyNumberFormat="1" applyFont="1" applyFill="1" applyBorder="1" applyAlignment="1">
      <alignment horizontal="right" vertical="center"/>
    </xf>
    <xf numFmtId="168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6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5" fillId="4" borderId="58" xfId="0" applyNumberFormat="1" applyFont="1" applyFill="1" applyBorder="1" applyAlignment="1">
      <alignment horizontal="center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74" fontId="33" fillId="5" borderId="11" xfId="0" applyNumberFormat="1" applyFont="1" applyFill="1" applyBorder="1" applyAlignment="1">
      <alignment horizontal="right" vertical="center"/>
    </xf>
    <xf numFmtId="174" fontId="33" fillId="5" borderId="12" xfId="0" applyNumberFormat="1" applyFont="1" applyFill="1" applyBorder="1" applyAlignment="1">
      <alignment horizontal="right" vertical="center"/>
    </xf>
    <xf numFmtId="175" fontId="33" fillId="5" borderId="11" xfId="0" applyNumberFormat="1" applyFont="1" applyFill="1" applyBorder="1" applyAlignment="1">
      <alignment horizontal="right" vertical="center"/>
    </xf>
    <xf numFmtId="175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8" fontId="33" fillId="5" borderId="10" xfId="0" applyNumberFormat="1" applyFont="1" applyFill="1" applyBorder="1" applyAlignment="1">
      <alignment horizontal="right" vertical="center"/>
    </xf>
    <xf numFmtId="168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9" fontId="25" fillId="6" borderId="16" xfId="0" applyNumberFormat="1" applyFont="1" applyFill="1" applyBorder="1" applyAlignment="1">
      <alignment horizontal="right" vertical="center"/>
    </xf>
    <xf numFmtId="169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60" xfId="0" applyFont="1" applyFill="1" applyBorder="1" applyAlignment="1">
      <alignment horizontal="centerContinuous" vertical="center"/>
    </xf>
    <xf numFmtId="0" fontId="36" fillId="3" borderId="61" xfId="0" applyFont="1" applyFill="1" applyBorder="1" applyAlignment="1">
      <alignment horizontal="center" vertical="center"/>
    </xf>
    <xf numFmtId="0" fontId="26" fillId="3" borderId="62" xfId="0" applyFont="1" applyFill="1" applyBorder="1" applyAlignment="1">
      <alignment horizontal="centerContinuous" vertical="center"/>
    </xf>
    <xf numFmtId="0" fontId="26" fillId="3" borderId="49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8" fontId="18" fillId="0" borderId="0" xfId="0" applyNumberFormat="1" applyFont="1" applyAlignment="1">
      <alignment horizontal="right"/>
    </xf>
    <xf numFmtId="168" fontId="17" fillId="0" borderId="0" xfId="0" applyNumberFormat="1" applyFont="1" applyAlignment="1">
      <alignment horizontal="right"/>
    </xf>
    <xf numFmtId="0" fontId="16" fillId="0" borderId="0" xfId="0" applyFont="1"/>
    <xf numFmtId="168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8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8" fontId="15" fillId="0" borderId="9" xfId="0" applyNumberFormat="1" applyFont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5" xfId="0" applyFont="1" applyFill="1" applyBorder="1" applyAlignment="1">
      <alignment horizontal="centerContinuous" vertical="center"/>
    </xf>
    <xf numFmtId="0" fontId="26" fillId="4" borderId="66" xfId="0" applyFont="1" applyFill="1" applyBorder="1" applyAlignment="1">
      <alignment horizontal="centerContinuous" vertical="center"/>
    </xf>
    <xf numFmtId="0" fontId="26" fillId="4" borderId="67" xfId="0" applyFont="1" applyFill="1" applyBorder="1" applyAlignment="1">
      <alignment horizontal="centerContinuous" vertical="center"/>
    </xf>
    <xf numFmtId="169" fontId="15" fillId="0" borderId="15" xfId="0" applyNumberFormat="1" applyFont="1" applyBorder="1" applyAlignment="1">
      <alignment horizontal="center" vertical="center"/>
    </xf>
    <xf numFmtId="169" fontId="15" fillId="0" borderId="16" xfId="0" applyNumberFormat="1" applyFont="1" applyBorder="1" applyAlignment="1">
      <alignment horizontal="center" vertical="center"/>
    </xf>
    <xf numFmtId="169" fontId="15" fillId="0" borderId="17" xfId="0" applyNumberFormat="1" applyFont="1" applyBorder="1" applyAlignment="1">
      <alignment horizontal="center" vertical="center"/>
    </xf>
    <xf numFmtId="168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8" xfId="0" applyNumberFormat="1" applyFont="1" applyBorder="1" applyAlignment="1">
      <alignment horizontal="center" vertical="center"/>
    </xf>
    <xf numFmtId="10" fontId="15" fillId="0" borderId="69" xfId="0" applyNumberFormat="1" applyFont="1" applyBorder="1" applyAlignment="1">
      <alignment horizontal="right" vertical="center"/>
    </xf>
    <xf numFmtId="4" fontId="15" fillId="0" borderId="70" xfId="0" applyNumberFormat="1" applyFont="1" applyBorder="1" applyAlignment="1">
      <alignment horizontal="center" vertical="center"/>
    </xf>
    <xf numFmtId="4" fontId="15" fillId="0" borderId="71" xfId="0" applyNumberFormat="1" applyFont="1" applyBorder="1" applyAlignment="1">
      <alignment horizontal="center" vertical="center"/>
    </xf>
    <xf numFmtId="4" fontId="15" fillId="0" borderId="72" xfId="0" applyNumberFormat="1" applyFont="1" applyBorder="1" applyAlignment="1">
      <alignment horizontal="center" vertical="center"/>
    </xf>
    <xf numFmtId="4" fontId="15" fillId="0" borderId="73" xfId="0" applyNumberFormat="1" applyFont="1" applyBorder="1" applyAlignment="1">
      <alignment horizontal="center" vertical="center"/>
    </xf>
    <xf numFmtId="10" fontId="15" fillId="0" borderId="74" xfId="0" applyNumberFormat="1" applyFont="1" applyBorder="1" applyAlignment="1">
      <alignment horizontal="right" vertical="center"/>
    </xf>
    <xf numFmtId="4" fontId="15" fillId="0" borderId="75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6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171" fontId="20" fillId="0" borderId="15" xfId="0" applyNumberFormat="1" applyFont="1" applyBorder="1" applyAlignment="1">
      <alignment horizontal="right" vertical="center"/>
    </xf>
    <xf numFmtId="171" fontId="20" fillId="0" borderId="16" xfId="0" applyNumberFormat="1" applyFont="1" applyBorder="1" applyAlignment="1">
      <alignment horizontal="right" vertical="center"/>
    </xf>
    <xf numFmtId="171" fontId="20" fillId="0" borderId="17" xfId="0" applyNumberFormat="1" applyFont="1" applyBorder="1" applyAlignment="1">
      <alignment horizontal="right" vertical="center"/>
    </xf>
    <xf numFmtId="179" fontId="11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9" xfId="0" applyNumberFormat="1" applyFont="1" applyBorder="1" applyAlignment="1">
      <alignment horizontal="center" vertical="center"/>
    </xf>
    <xf numFmtId="4" fontId="34" fillId="0" borderId="79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80" xfId="0" applyNumberFormat="1" applyFont="1" applyBorder="1" applyAlignment="1">
      <alignment horizontal="center" vertical="center"/>
    </xf>
    <xf numFmtId="4" fontId="34" fillId="0" borderId="81" xfId="0" applyNumberFormat="1" applyFont="1" applyBorder="1" applyAlignment="1">
      <alignment horizontal="center" vertical="center"/>
    </xf>
    <xf numFmtId="4" fontId="34" fillId="0" borderId="82" xfId="0" applyNumberFormat="1" applyFont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77" xfId="0" applyFont="1" applyFill="1" applyBorder="1" applyAlignment="1">
      <alignment horizontal="center" vertical="center"/>
    </xf>
    <xf numFmtId="0" fontId="35" fillId="4" borderId="78" xfId="0" applyFont="1" applyFill="1" applyBorder="1" applyAlignment="1">
      <alignment horizontal="center" vertical="center"/>
    </xf>
    <xf numFmtId="0" fontId="35" fillId="4" borderId="33" xfId="0" applyFont="1" applyFill="1" applyBorder="1" applyAlignment="1">
      <alignment horizontal="center" vertical="center"/>
    </xf>
    <xf numFmtId="4" fontId="35" fillId="4" borderId="78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8" fontId="34" fillId="0" borderId="10" xfId="0" applyNumberFormat="1" applyFont="1" applyBorder="1" applyAlignment="1">
      <alignment horizontal="center" vertical="center"/>
    </xf>
    <xf numFmtId="0" fontId="26" fillId="4" borderId="83" xfId="0" applyFont="1" applyFill="1" applyBorder="1" applyAlignment="1">
      <alignment horizontal="center" vertical="center"/>
    </xf>
    <xf numFmtId="4" fontId="34" fillId="0" borderId="65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7" xfId="2" applyFont="1"/>
    <xf numFmtId="0" fontId="41" fillId="0" borderId="88" xfId="3" applyFont="1"/>
    <xf numFmtId="168" fontId="34" fillId="0" borderId="48" xfId="0" applyNumberFormat="1" applyFont="1" applyBorder="1" applyAlignment="1">
      <alignment horizontal="center"/>
    </xf>
    <xf numFmtId="168" fontId="34" fillId="0" borderId="86" xfId="0" applyNumberFormat="1" applyFont="1" applyBorder="1" applyAlignment="1">
      <alignment horizontal="center"/>
    </xf>
    <xf numFmtId="0" fontId="34" fillId="0" borderId="49" xfId="0" applyFont="1" applyBorder="1" applyAlignment="1">
      <alignment horizontal="center" vertical="center"/>
    </xf>
    <xf numFmtId="168" fontId="9" fillId="0" borderId="84" xfId="0" applyNumberFormat="1" applyFont="1" applyBorder="1" applyAlignment="1">
      <alignment horizontal="center" vertical="center"/>
    </xf>
    <xf numFmtId="168" fontId="9" fillId="0" borderId="85" xfId="0" applyNumberFormat="1" applyFont="1" applyBorder="1" applyAlignment="1">
      <alignment horizontal="center" vertical="center"/>
    </xf>
    <xf numFmtId="168" fontId="34" fillId="0" borderId="12" xfId="0" applyNumberFormat="1" applyFont="1" applyBorder="1" applyAlignment="1">
      <alignment horizontal="center" vertical="center"/>
    </xf>
    <xf numFmtId="168" fontId="34" fillId="0" borderId="9" xfId="0" applyNumberFormat="1" applyFont="1" applyBorder="1" applyAlignment="1">
      <alignment horizontal="center" vertical="center"/>
    </xf>
    <xf numFmtId="168" fontId="34" fillId="0" borderId="15" xfId="0" applyNumberFormat="1" applyFont="1" applyBorder="1" applyAlignment="1">
      <alignment horizontal="center" vertical="center"/>
    </xf>
    <xf numFmtId="168" fontId="34" fillId="0" borderId="11" xfId="0" applyNumberFormat="1" applyFont="1" applyBorder="1" applyAlignment="1">
      <alignment horizontal="center" vertical="center"/>
    </xf>
    <xf numFmtId="168" fontId="34" fillId="0" borderId="16" xfId="0" applyNumberFormat="1" applyFont="1" applyBorder="1" applyAlignment="1">
      <alignment horizontal="center" vertical="center"/>
    </xf>
    <xf numFmtId="168" fontId="34" fillId="0" borderId="13" xfId="0" applyNumberFormat="1" applyFont="1" applyBorder="1" applyAlignment="1">
      <alignment horizontal="center" vertical="center"/>
    </xf>
    <xf numFmtId="168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8" fontId="34" fillId="0" borderId="14" xfId="0" applyNumberFormat="1" applyFont="1" applyBorder="1" applyAlignment="1">
      <alignment horizontal="center" vertical="center"/>
    </xf>
    <xf numFmtId="4" fontId="35" fillId="4" borderId="32" xfId="0" applyNumberFormat="1" applyFont="1" applyFill="1" applyBorder="1" applyAlignment="1">
      <alignment horizontal="center" vertical="center"/>
    </xf>
    <xf numFmtId="168" fontId="35" fillId="4" borderId="33" xfId="0" applyNumberFormat="1" applyFont="1" applyFill="1" applyBorder="1" applyAlignment="1">
      <alignment horizontal="center" vertical="center"/>
    </xf>
    <xf numFmtId="4" fontId="34" fillId="0" borderId="8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"/>
    </xf>
    <xf numFmtId="2" fontId="34" fillId="0" borderId="86" xfId="0" applyNumberFormat="1" applyFont="1" applyBorder="1" applyAlignment="1">
      <alignment horizontal="center"/>
    </xf>
    <xf numFmtId="4" fontId="34" fillId="0" borderId="90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4" fontId="34" fillId="0" borderId="92" xfId="0" applyNumberFormat="1" applyFont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56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93" xfId="0" applyFont="1" applyFill="1" applyBorder="1" applyAlignment="1">
      <alignment horizontal="centerContinuous" vertical="center"/>
    </xf>
    <xf numFmtId="0" fontId="36" fillId="3" borderId="55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4" xfId="0" applyFont="1" applyFill="1" applyBorder="1" applyAlignment="1">
      <alignment horizontal="center" vertical="center"/>
    </xf>
    <xf numFmtId="4" fontId="34" fillId="0" borderId="95" xfId="0" applyNumberFormat="1" applyFont="1" applyBorder="1" applyAlignment="1">
      <alignment horizontal="center" vertical="center"/>
    </xf>
    <xf numFmtId="2" fontId="36" fillId="4" borderId="32" xfId="0" applyNumberFormat="1" applyFont="1" applyFill="1" applyBorder="1" applyAlignment="1">
      <alignment horizontal="center" vertical="center"/>
    </xf>
    <xf numFmtId="2" fontId="36" fillId="4" borderId="33" xfId="0" applyNumberFormat="1" applyFont="1" applyFill="1" applyBorder="1" applyAlignment="1">
      <alignment horizontal="center" vertical="center"/>
    </xf>
    <xf numFmtId="2" fontId="36" fillId="4" borderId="34" xfId="0" applyNumberFormat="1" applyFont="1" applyFill="1" applyBorder="1" applyAlignment="1">
      <alignment horizontal="center" vertical="center"/>
    </xf>
    <xf numFmtId="2" fontId="34" fillId="0" borderId="35" xfId="0" applyNumberFormat="1" applyFont="1" applyBorder="1" applyAlignment="1">
      <alignment horizontal="center"/>
    </xf>
    <xf numFmtId="2" fontId="34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6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6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6" fillId="4" borderId="100" xfId="0" applyNumberFormat="1" applyFont="1" applyFill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4" fontId="34" fillId="0" borderId="104" xfId="0" applyNumberFormat="1" applyFont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4" fillId="0" borderId="10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0" fontId="36" fillId="4" borderId="32" xfId="0" applyFont="1" applyFill="1" applyBorder="1" applyAlignment="1">
      <alignment horizontal="center" vertical="center"/>
    </xf>
    <xf numFmtId="0" fontId="36" fillId="4" borderId="34" xfId="0" applyFont="1" applyFill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4" fontId="34" fillId="0" borderId="7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4" fillId="0" borderId="114" xfId="0" applyNumberFormat="1" applyFont="1" applyBorder="1" applyAlignment="1">
      <alignment horizontal="center" vertical="center"/>
    </xf>
    <xf numFmtId="4" fontId="34" fillId="0" borderId="115" xfId="0" applyNumberFormat="1" applyFont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5" fillId="4" borderId="118" xfId="0" applyNumberFormat="1" applyFont="1" applyFill="1" applyBorder="1" applyAlignment="1">
      <alignment horizontal="center" vertical="center"/>
    </xf>
    <xf numFmtId="4" fontId="35" fillId="4" borderId="110" xfId="0" applyNumberFormat="1" applyFont="1" applyFill="1" applyBorder="1" applyAlignment="1">
      <alignment horizontal="center" vertical="center"/>
    </xf>
    <xf numFmtId="4" fontId="35" fillId="4" borderId="95" xfId="0" applyNumberFormat="1" applyFont="1" applyFill="1" applyBorder="1" applyAlignment="1">
      <alignment horizontal="center" vertical="center"/>
    </xf>
    <xf numFmtId="4" fontId="35" fillId="4" borderId="119" xfId="0" applyNumberFormat="1" applyFont="1" applyFill="1" applyBorder="1" applyAlignment="1">
      <alignment horizontal="center" vertical="center"/>
    </xf>
    <xf numFmtId="4" fontId="35" fillId="4" borderId="61" xfId="0" applyNumberFormat="1" applyFont="1" applyFill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4" fontId="34" fillId="0" borderId="121" xfId="0" applyNumberFormat="1" applyFont="1" applyBorder="1" applyAlignment="1">
      <alignment horizontal="center" vertical="center"/>
    </xf>
    <xf numFmtId="4" fontId="34" fillId="0" borderId="47" xfId="0" applyNumberFormat="1" applyFont="1" applyBorder="1" applyAlignment="1">
      <alignment horizontal="center" vertical="center"/>
    </xf>
    <xf numFmtId="4" fontId="34" fillId="0" borderId="122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5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5" fillId="4" borderId="126" xfId="0" applyNumberFormat="1" applyFont="1" applyFill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9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4" fontId="34" fillId="0" borderId="130" xfId="0" applyNumberFormat="1" applyFont="1" applyBorder="1" applyAlignment="1">
      <alignment horizontal="center" vertical="center"/>
    </xf>
    <xf numFmtId="4" fontId="34" fillId="0" borderId="132" xfId="0" applyNumberFormat="1" applyFont="1" applyBorder="1" applyAlignment="1">
      <alignment horizontal="center" vertical="center"/>
    </xf>
    <xf numFmtId="0" fontId="35" fillId="3" borderId="53" xfId="0" applyFont="1" applyFill="1" applyBorder="1" applyAlignment="1">
      <alignment horizontal="centerContinuous" vertical="center"/>
    </xf>
    <xf numFmtId="0" fontId="35" fillId="4" borderId="53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61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8" xfId="4" applyFill="1" applyBorder="1" applyAlignment="1">
      <alignment horizontal="centerContinuous" vertical="center"/>
    </xf>
    <xf numFmtId="0" fontId="42" fillId="0" borderId="49" xfId="4" applyFill="1" applyBorder="1" applyAlignment="1">
      <alignment horizontal="centerContinuous" vertical="center"/>
    </xf>
    <xf numFmtId="4" fontId="42" fillId="0" borderId="54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8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8" fontId="46" fillId="0" borderId="16" xfId="6" applyNumberFormat="1" applyFont="1" applyBorder="1" applyAlignment="1">
      <alignment horizontal="right" vertical="center"/>
    </xf>
    <xf numFmtId="168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4" xfId="0" applyFont="1" applyFill="1" applyBorder="1" applyAlignment="1">
      <alignment horizontal="centerContinuous" vertical="center"/>
    </xf>
    <xf numFmtId="0" fontId="36" fillId="3" borderId="49" xfId="0" applyFont="1" applyFill="1" applyBorder="1" applyAlignment="1">
      <alignment horizontal="centerContinuous" vertical="center"/>
    </xf>
    <xf numFmtId="181" fontId="34" fillId="0" borderId="48" xfId="0" applyNumberFormat="1" applyFont="1" applyBorder="1" applyAlignment="1">
      <alignment horizontal="center"/>
    </xf>
    <xf numFmtId="181" fontId="34" fillId="0" borderId="86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80" fontId="34" fillId="0" borderId="12" xfId="0" applyNumberFormat="1" applyFont="1" applyBorder="1" applyAlignment="1">
      <alignment horizontal="center" vertical="center"/>
    </xf>
    <xf numFmtId="180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4" fillId="7" borderId="27" xfId="0" applyFont="1" applyFill="1" applyBorder="1" applyAlignment="1">
      <alignment horizontal="centerContinuous"/>
    </xf>
    <xf numFmtId="0" fontId="24" fillId="7" borderId="60" xfId="0" applyFont="1" applyFill="1" applyBorder="1" applyAlignment="1">
      <alignment horizontal="centerContinuous"/>
    </xf>
    <xf numFmtId="0" fontId="24" fillId="7" borderId="46" xfId="0" applyFont="1" applyFill="1" applyBorder="1" applyAlignment="1">
      <alignment horizontal="centerContinuous"/>
    </xf>
    <xf numFmtId="0" fontId="24" fillId="7" borderId="133" xfId="0" applyFont="1" applyFill="1" applyBorder="1" applyAlignment="1">
      <alignment horizontal="centerContinuous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8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71" fontId="34" fillId="0" borderId="80" xfId="0" applyNumberFormat="1" applyFont="1" applyBorder="1" applyAlignment="1">
      <alignment horizontal="center" vertical="center"/>
    </xf>
    <xf numFmtId="171" fontId="34" fillId="0" borderId="81" xfId="0" applyNumberFormat="1" applyFont="1" applyBorder="1" applyAlignment="1">
      <alignment horizontal="center" vertical="center"/>
    </xf>
    <xf numFmtId="171" fontId="34" fillId="0" borderId="82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5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31" xfId="0" applyNumberFormat="1" applyFont="1" applyBorder="1" applyAlignment="1">
      <alignment horizontal="centerContinuous" vertical="center"/>
    </xf>
    <xf numFmtId="181" fontId="34" fillId="0" borderId="10" xfId="0" applyNumberFormat="1" applyFont="1" applyBorder="1" applyAlignment="1">
      <alignment horizontal="center" vertical="center"/>
    </xf>
    <xf numFmtId="169" fontId="34" fillId="0" borderId="10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5" fillId="3" borderId="93" xfId="0" applyFont="1" applyFill="1" applyBorder="1" applyAlignment="1">
      <alignment horizontal="centerContinuous" vertical="center"/>
    </xf>
    <xf numFmtId="0" fontId="35" fillId="3" borderId="134" xfId="0" applyFont="1" applyFill="1" applyBorder="1" applyAlignment="1">
      <alignment horizontal="centerContinuous" vertical="center"/>
    </xf>
    <xf numFmtId="0" fontId="35" fillId="3" borderId="110" xfId="0" applyFont="1" applyFill="1" applyBorder="1" applyAlignment="1">
      <alignment horizontal="centerContinuous" vertical="center"/>
    </xf>
    <xf numFmtId="171" fontId="46" fillId="0" borderId="9" xfId="0" applyNumberFormat="1" applyFont="1" applyFill="1" applyBorder="1" applyAlignment="1">
      <alignment horizontal="center" vertical="center"/>
    </xf>
    <xf numFmtId="171" fontId="46" fillId="0" borderId="15" xfId="0" applyNumberFormat="1" applyFont="1" applyFill="1" applyBorder="1" applyAlignment="1">
      <alignment horizontal="center" vertical="center"/>
    </xf>
    <xf numFmtId="171" fontId="46" fillId="0" borderId="10" xfId="0" applyNumberFormat="1" applyFont="1" applyFill="1" applyBorder="1" applyAlignment="1">
      <alignment horizontal="center" vertical="center"/>
    </xf>
    <xf numFmtId="171" fontId="46" fillId="0" borderId="11" xfId="0" applyNumberFormat="1" applyFont="1" applyFill="1" applyBorder="1" applyAlignment="1">
      <alignment horizontal="center" vertical="center"/>
    </xf>
    <xf numFmtId="171" fontId="46" fillId="0" borderId="16" xfId="0" applyNumberFormat="1" applyFont="1" applyFill="1" applyBorder="1" applyAlignment="1">
      <alignment horizontal="center" vertical="center"/>
    </xf>
    <xf numFmtId="171" fontId="46" fillId="0" borderId="12" xfId="0" applyNumberFormat="1" applyFont="1" applyFill="1" applyBorder="1" applyAlignment="1">
      <alignment horizontal="center" vertical="center"/>
    </xf>
    <xf numFmtId="171" fontId="46" fillId="0" borderId="13" xfId="0" applyNumberFormat="1" applyFont="1" applyFill="1" applyBorder="1" applyAlignment="1">
      <alignment horizontal="center" vertical="center"/>
    </xf>
    <xf numFmtId="171" fontId="46" fillId="0" borderId="17" xfId="0" applyNumberFormat="1" applyFont="1" applyFill="1" applyBorder="1" applyAlignment="1">
      <alignment horizontal="center" vertical="center"/>
    </xf>
    <xf numFmtId="171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4" fillId="0" borderId="32" xfId="0" applyNumberFormat="1" applyFont="1" applyBorder="1" applyAlignment="1">
      <alignment horizontal="center" vertical="center"/>
    </xf>
    <xf numFmtId="4" fontId="34" fillId="0" borderId="135" xfId="0" applyNumberFormat="1" applyFont="1" applyBorder="1" applyAlignment="1">
      <alignment horizontal="center" vertical="center"/>
    </xf>
    <xf numFmtId="171" fontId="34" fillId="0" borderId="34" xfId="0" applyNumberFormat="1" applyFont="1" applyBorder="1" applyAlignment="1">
      <alignment horizontal="center" vertical="center"/>
    </xf>
    <xf numFmtId="2" fontId="34" fillId="0" borderId="136" xfId="0" applyNumberFormat="1" applyFont="1" applyBorder="1" applyAlignment="1">
      <alignment horizontal="center" vertical="center"/>
    </xf>
    <xf numFmtId="171" fontId="34" fillId="0" borderId="59" xfId="0" applyNumberFormat="1" applyFont="1" applyBorder="1" applyAlignment="1">
      <alignment horizontal="center" vertical="center"/>
    </xf>
    <xf numFmtId="171" fontId="34" fillId="0" borderId="79" xfId="0" applyNumberFormat="1" applyFont="1" applyBorder="1" applyAlignment="1">
      <alignment horizontal="center" vertical="center"/>
    </xf>
    <xf numFmtId="171" fontId="34" fillId="0" borderId="16" xfId="0" applyNumberFormat="1" applyFont="1" applyBorder="1" applyAlignment="1">
      <alignment horizontal="center" vertical="center"/>
    </xf>
    <xf numFmtId="171" fontId="34" fillId="0" borderId="12" xfId="0" applyNumberFormat="1" applyFont="1" applyBorder="1" applyAlignment="1">
      <alignment horizontal="center" vertical="center"/>
    </xf>
    <xf numFmtId="171" fontId="34" fillId="0" borderId="17" xfId="0" applyNumberFormat="1" applyFont="1" applyBorder="1" applyAlignment="1">
      <alignment horizontal="center" vertical="center"/>
    </xf>
    <xf numFmtId="171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3" fontId="7" fillId="0" borderId="0" xfId="0" applyNumberFormat="1" applyFont="1" applyFill="1" applyBorder="1" applyAlignment="1">
      <alignment horizontal="right" vertical="center"/>
    </xf>
    <xf numFmtId="168" fontId="7" fillId="0" borderId="11" xfId="0" applyNumberFormat="1" applyFont="1" applyBorder="1" applyAlignment="1">
      <alignment horizontal="right" vertical="center"/>
    </xf>
    <xf numFmtId="168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32" xfId="0" applyNumberFormat="1" applyFont="1" applyFill="1" applyBorder="1" applyAlignment="1">
      <alignment horizontal="center" vertical="center"/>
    </xf>
    <xf numFmtId="4" fontId="26" fillId="4" borderId="33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8" fontId="7" fillId="0" borderId="9" xfId="0" applyNumberFormat="1" applyFont="1" applyBorder="1" applyAlignment="1">
      <alignment horizontal="right" vertical="center"/>
    </xf>
    <xf numFmtId="168" fontId="7" fillId="0" borderId="15" xfId="0" applyNumberFormat="1" applyFont="1" applyBorder="1" applyAlignment="1">
      <alignment horizontal="right" vertical="center"/>
    </xf>
    <xf numFmtId="168" fontId="7" fillId="0" borderId="16" xfId="0" applyNumberFormat="1" applyFont="1" applyBorder="1" applyAlignment="1">
      <alignment horizontal="right" vertical="center"/>
    </xf>
    <xf numFmtId="168" fontId="7" fillId="0" borderId="17" xfId="0" applyNumberFormat="1" applyFont="1" applyBorder="1" applyAlignment="1">
      <alignment horizontal="right" vertical="center"/>
    </xf>
    <xf numFmtId="169" fontId="7" fillId="0" borderId="15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169" fontId="7" fillId="0" borderId="17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8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9" fontId="34" fillId="0" borderId="48" xfId="0" applyNumberFormat="1" applyFont="1" applyBorder="1" applyAlignment="1">
      <alignment horizontal="center"/>
    </xf>
    <xf numFmtId="169" fontId="34" fillId="0" borderId="86" xfId="0" applyNumberFormat="1" applyFont="1" applyBorder="1" applyAlignment="1">
      <alignment horizontal="center"/>
    </xf>
    <xf numFmtId="168" fontId="34" fillId="0" borderId="48" xfId="0" applyNumberFormat="1" applyFont="1" applyBorder="1" applyAlignment="1">
      <alignment horizontal="centerContinuous"/>
    </xf>
    <xf numFmtId="168" fontId="34" fillId="0" borderId="86" xfId="0" applyNumberFormat="1" applyFont="1" applyBorder="1" applyAlignment="1">
      <alignment horizontal="centerContinuous"/>
    </xf>
    <xf numFmtId="4" fontId="34" fillId="0" borderId="137" xfId="0" applyNumberFormat="1" applyFont="1" applyBorder="1" applyAlignment="1">
      <alignment horizontal="centerContinuous" vertical="center"/>
    </xf>
    <xf numFmtId="4" fontId="34" fillId="0" borderId="138" xfId="0" applyNumberFormat="1" applyFont="1" applyBorder="1" applyAlignment="1">
      <alignment horizontal="centerContinuous" vertical="center"/>
    </xf>
    <xf numFmtId="4" fontId="34" fillId="0" borderId="139" xfId="0" applyNumberFormat="1" applyFont="1" applyBorder="1" applyAlignment="1">
      <alignment horizontal="centerContinuous" vertical="center"/>
    </xf>
    <xf numFmtId="168" fontId="34" fillId="0" borderId="65" xfId="0" applyNumberFormat="1" applyFont="1" applyBorder="1" applyAlignment="1">
      <alignment horizontal="centerContinuous" vertical="center"/>
    </xf>
    <xf numFmtId="168" fontId="34" fillId="0" borderId="86" xfId="0" applyNumberFormat="1" applyFont="1" applyBorder="1" applyAlignment="1">
      <alignment horizontal="centerContinuous" vertical="center"/>
    </xf>
    <xf numFmtId="168" fontId="34" fillId="0" borderId="67" xfId="0" applyNumberFormat="1" applyFont="1" applyBorder="1" applyAlignment="1">
      <alignment horizontal="centerContinuous" vertical="center"/>
    </xf>
    <xf numFmtId="168" fontId="34" fillId="0" borderId="49" xfId="0" applyNumberFormat="1" applyFont="1" applyBorder="1" applyAlignment="1">
      <alignment horizontal="centerContinuous" vertical="center"/>
    </xf>
    <xf numFmtId="4" fontId="34" fillId="0" borderId="108" xfId="0" applyNumberFormat="1" applyFont="1" applyBorder="1" applyAlignment="1">
      <alignment horizontal="centerContinuous" vertical="center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40" xfId="0" applyNumberFormat="1" applyFont="1" applyBorder="1" applyAlignment="1">
      <alignment horizontal="centerContinuous" vertical="center"/>
    </xf>
    <xf numFmtId="4" fontId="34" fillId="0" borderId="65" xfId="0" applyNumberFormat="1" applyFont="1" applyBorder="1" applyAlignment="1">
      <alignment horizontal="centerContinuous" vertical="center"/>
    </xf>
    <xf numFmtId="4" fontId="34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4" fillId="0" borderId="142" xfId="0" applyNumberFormat="1" applyFont="1" applyBorder="1" applyAlignment="1">
      <alignment horizontal="centerContinuous" vertical="center"/>
    </xf>
    <xf numFmtId="168" fontId="34" fillId="0" borderId="0" xfId="0" applyNumberFormat="1" applyFont="1"/>
    <xf numFmtId="168" fontId="9" fillId="0" borderId="143" xfId="0" applyNumberFormat="1" applyFont="1" applyBorder="1" applyAlignment="1">
      <alignment horizontal="center" vertical="center"/>
    </xf>
    <xf numFmtId="168" fontId="9" fillId="0" borderId="144" xfId="0" applyNumberFormat="1" applyFont="1" applyBorder="1" applyAlignment="1">
      <alignment horizontal="center" vertical="center"/>
    </xf>
    <xf numFmtId="168" fontId="9" fillId="0" borderId="145" xfId="0" applyNumberFormat="1" applyFont="1" applyBorder="1" applyAlignment="1">
      <alignment horizontal="center" vertical="center"/>
    </xf>
    <xf numFmtId="168" fontId="9" fillId="0" borderId="146" xfId="0" applyNumberFormat="1" applyFont="1" applyBorder="1" applyAlignment="1">
      <alignment horizontal="center" vertical="center"/>
    </xf>
    <xf numFmtId="0" fontId="26" fillId="4" borderId="147" xfId="0" applyFont="1" applyFill="1" applyBorder="1" applyAlignment="1">
      <alignment horizontal="center" vertical="center"/>
    </xf>
    <xf numFmtId="0" fontId="26" fillId="4" borderId="148" xfId="0" applyFont="1" applyFill="1" applyBorder="1" applyAlignment="1">
      <alignment horizontal="center" vertical="center"/>
    </xf>
    <xf numFmtId="4" fontId="34" fillId="0" borderId="14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Continuous"/>
    </xf>
    <xf numFmtId="2" fontId="34" fillId="0" borderId="86" xfId="0" applyNumberFormat="1" applyFont="1" applyBorder="1" applyAlignment="1">
      <alignment horizontal="centerContinuous"/>
    </xf>
    <xf numFmtId="0" fontId="35" fillId="4" borderId="54" xfId="0" applyFont="1" applyFill="1" applyBorder="1" applyAlignment="1">
      <alignment horizontal="centerContinuous" vertical="center"/>
    </xf>
    <xf numFmtId="0" fontId="35" fillId="4" borderId="150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4" fillId="0" borderId="151" xfId="0" applyNumberFormat="1" applyFont="1" applyBorder="1" applyAlignment="1">
      <alignment horizontal="centerContinuous" vertical="center"/>
    </xf>
    <xf numFmtId="4" fontId="34" fillId="0" borderId="66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101" xfId="4" applyNumberFormat="1" applyBorder="1" applyAlignment="1">
      <alignment horizontal="center" vertical="center"/>
    </xf>
    <xf numFmtId="176" fontId="34" fillId="0" borderId="14" xfId="0" applyNumberFormat="1" applyFont="1" applyBorder="1" applyAlignment="1">
      <alignment horizontal="center" vertical="center"/>
    </xf>
    <xf numFmtId="177" fontId="34" fillId="0" borderId="10" xfId="0" applyNumberFormat="1" applyFont="1" applyBorder="1" applyAlignment="1">
      <alignment horizontal="center" vertical="center"/>
    </xf>
    <xf numFmtId="177" fontId="34" fillId="0" borderId="12" xfId="0" applyNumberFormat="1" applyFont="1" applyBorder="1" applyAlignment="1">
      <alignment horizontal="center" vertical="center"/>
    </xf>
    <xf numFmtId="177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6" fontId="34" fillId="0" borderId="13" xfId="0" applyNumberFormat="1" applyFont="1" applyBorder="1" applyAlignment="1">
      <alignment horizontal="center" vertical="center"/>
    </xf>
    <xf numFmtId="0" fontId="35" fillId="3" borderId="48" xfId="0" applyFont="1" applyFill="1" applyBorder="1" applyAlignment="1">
      <alignment horizontal="centerContinuous" vertical="center"/>
    </xf>
    <xf numFmtId="0" fontId="35" fillId="3" borderId="152" xfId="0" applyFont="1" applyFill="1" applyBorder="1" applyAlignment="1">
      <alignment horizontal="centerContinuous" vertical="center"/>
    </xf>
    <xf numFmtId="0" fontId="35" fillId="3" borderId="150" xfId="0" applyFont="1" applyFill="1" applyBorder="1" applyAlignment="1">
      <alignment horizontal="centerContinuous" vertical="center"/>
    </xf>
    <xf numFmtId="0" fontId="35" fillId="3" borderId="86" xfId="0" applyFont="1" applyFill="1" applyBorder="1" applyAlignment="1">
      <alignment horizontal="centerContinuous" vertical="center"/>
    </xf>
    <xf numFmtId="176" fontId="34" fillId="0" borderId="13" xfId="0" applyNumberFormat="1" applyFont="1" applyBorder="1" applyAlignment="1">
      <alignment horizontal="centerContinuous" vertical="center"/>
    </xf>
    <xf numFmtId="176" fontId="34" fillId="0" borderId="139" xfId="0" applyNumberFormat="1" applyFont="1" applyBorder="1" applyAlignment="1">
      <alignment horizontal="centerContinuous" vertical="center"/>
    </xf>
    <xf numFmtId="176" fontId="34" fillId="0" borderId="153" xfId="0" applyNumberFormat="1" applyFont="1" applyBorder="1" applyAlignment="1">
      <alignment horizontal="centerContinuous" vertical="center"/>
    </xf>
    <xf numFmtId="176" fontId="34" fillId="0" borderId="154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5" xfId="4" applyNumberFormat="1" applyBorder="1" applyAlignment="1">
      <alignment horizontal="center" vertical="center"/>
    </xf>
    <xf numFmtId="0" fontId="42" fillId="0" borderId="156" xfId="4" applyFill="1" applyBorder="1" applyAlignment="1">
      <alignment horizontal="centerContinuous" vertical="center"/>
    </xf>
    <xf numFmtId="0" fontId="42" fillId="0" borderId="157" xfId="4" applyFill="1" applyBorder="1" applyAlignment="1">
      <alignment horizontal="centerContinuous" vertical="center"/>
    </xf>
    <xf numFmtId="4" fontId="42" fillId="0" borderId="158" xfId="4" applyNumberFormat="1" applyBorder="1" applyAlignment="1">
      <alignment horizontal="centerContinuous" vertical="center"/>
    </xf>
    <xf numFmtId="0" fontId="42" fillId="0" borderId="159" xfId="4" applyBorder="1" applyAlignment="1">
      <alignment horizontal="centerContinuous" vertical="center"/>
    </xf>
    <xf numFmtId="0" fontId="42" fillId="0" borderId="50" xfId="4" applyFill="1" applyBorder="1" applyAlignment="1">
      <alignment horizontal="center"/>
    </xf>
    <xf numFmtId="0" fontId="42" fillId="0" borderId="52" xfId="4" applyFill="1" applyBorder="1" applyAlignment="1">
      <alignment horizontal="center"/>
    </xf>
    <xf numFmtId="3" fontId="0" fillId="0" borderId="0" xfId="0" applyNumberFormat="1"/>
    <xf numFmtId="0" fontId="42" fillId="0" borderId="160" xfId="4" applyBorder="1" applyAlignment="1">
      <alignment horizontal="centerContinuous"/>
    </xf>
    <xf numFmtId="0" fontId="42" fillId="0" borderId="161" xfId="4" applyBorder="1" applyAlignment="1">
      <alignment horizontal="centerContinuous"/>
    </xf>
    <xf numFmtId="0" fontId="42" fillId="0" borderId="162" xfId="4" applyBorder="1" applyAlignment="1">
      <alignment horizontal="centerContinuous"/>
    </xf>
    <xf numFmtId="0" fontId="42" fillId="0" borderId="159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8" fontId="25" fillId="0" borderId="163" xfId="0" applyNumberFormat="1" applyFont="1" applyBorder="1" applyAlignment="1">
      <alignment horizontal="right" vertical="center"/>
    </xf>
    <xf numFmtId="169" fontId="25" fillId="0" borderId="164" xfId="0" applyNumberFormat="1" applyFont="1" applyBorder="1" applyAlignment="1">
      <alignment horizontal="center" vertical="center"/>
    </xf>
    <xf numFmtId="168" fontId="25" fillId="6" borderId="71" xfId="0" applyNumberFormat="1" applyFont="1" applyFill="1" applyBorder="1" applyAlignment="1">
      <alignment horizontal="right" vertical="center"/>
    </xf>
    <xf numFmtId="168" fontId="25" fillId="0" borderId="71" xfId="0" applyNumberFormat="1" applyFont="1" applyBorder="1" applyAlignment="1">
      <alignment horizontal="right" vertical="center"/>
    </xf>
    <xf numFmtId="168" fontId="25" fillId="0" borderId="73" xfId="0" applyNumberFormat="1" applyFont="1" applyBorder="1" applyAlignment="1">
      <alignment horizontal="right" vertical="center"/>
    </xf>
    <xf numFmtId="169" fontId="25" fillId="0" borderId="74" xfId="0" applyNumberFormat="1" applyFont="1" applyBorder="1" applyAlignment="1">
      <alignment horizontal="right" vertical="center"/>
    </xf>
    <xf numFmtId="169" fontId="25" fillId="0" borderId="30" xfId="0" applyNumberFormat="1" applyFont="1" applyBorder="1" applyAlignment="1">
      <alignment horizontal="center" vertical="center"/>
    </xf>
    <xf numFmtId="4" fontId="35" fillId="4" borderId="33" xfId="0" applyNumberFormat="1" applyFont="1" applyFill="1" applyBorder="1" applyAlignment="1">
      <alignment horizontal="center" vertical="center"/>
    </xf>
    <xf numFmtId="4" fontId="35" fillId="4" borderId="34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6" fillId="4" borderId="93" xfId="0" applyNumberFormat="1" applyFont="1" applyFill="1" applyBorder="1" applyAlignment="1">
      <alignment horizontal="centerContinuous" vertical="center"/>
    </xf>
    <xf numFmtId="0" fontId="34" fillId="0" borderId="138" xfId="0" applyFont="1" applyBorder="1" applyAlignment="1">
      <alignment horizontal="center" vertical="center"/>
    </xf>
    <xf numFmtId="0" fontId="34" fillId="0" borderId="165" xfId="0" applyFont="1" applyBorder="1" applyAlignment="1">
      <alignment horizontal="center" vertical="center"/>
    </xf>
    <xf numFmtId="0" fontId="26" fillId="4" borderId="62" xfId="0" applyFont="1" applyFill="1" applyBorder="1" applyAlignment="1">
      <alignment horizontal="centerContinuous" vertical="center"/>
    </xf>
    <xf numFmtId="0" fontId="34" fillId="0" borderId="166" xfId="0" applyFont="1" applyBorder="1" applyAlignment="1">
      <alignment horizontal="centerContinuous"/>
    </xf>
    <xf numFmtId="0" fontId="34" fillId="0" borderId="157" xfId="0" applyFont="1" applyBorder="1" applyAlignment="1">
      <alignment horizontal="centerContinuous"/>
    </xf>
    <xf numFmtId="0" fontId="34" fillId="0" borderId="167" xfId="0" applyFont="1" applyBorder="1" applyAlignment="1">
      <alignment horizontal="centerContinuous"/>
    </xf>
    <xf numFmtId="0" fontId="34" fillId="0" borderId="159" xfId="0" applyFont="1" applyBorder="1" applyAlignment="1">
      <alignment horizontal="centerContinuous"/>
    </xf>
    <xf numFmtId="168" fontId="35" fillId="4" borderId="33" xfId="0" applyNumberFormat="1" applyFont="1" applyFill="1" applyBorder="1" applyAlignment="1">
      <alignment horizontal="centerContinuous" vertical="center"/>
    </xf>
    <xf numFmtId="168" fontId="35" fillId="4" borderId="168" xfId="0" applyNumberFormat="1" applyFont="1" applyFill="1" applyBorder="1" applyAlignment="1">
      <alignment horizontal="centerContinuous" vertical="center"/>
    </xf>
    <xf numFmtId="4" fontId="34" fillId="0" borderId="74" xfId="0" applyNumberFormat="1" applyFont="1" applyBorder="1" applyAlignment="1">
      <alignment horizontal="center" vertical="center"/>
    </xf>
    <xf numFmtId="171" fontId="34" fillId="0" borderId="9" xfId="0" applyNumberFormat="1" applyFont="1" applyBorder="1" applyAlignment="1">
      <alignment horizontal="center" vertical="center"/>
    </xf>
    <xf numFmtId="171" fontId="34" fillId="0" borderId="15" xfId="0" applyNumberFormat="1" applyFont="1" applyBorder="1" applyAlignment="1">
      <alignment horizontal="center" vertical="center"/>
    </xf>
    <xf numFmtId="171" fontId="34" fillId="0" borderId="11" xfId="0" applyNumberFormat="1" applyFont="1" applyBorder="1" applyAlignment="1">
      <alignment horizontal="center" vertical="center"/>
    </xf>
    <xf numFmtId="185" fontId="8" fillId="0" borderId="0" xfId="0" applyNumberFormat="1" applyFont="1"/>
    <xf numFmtId="171" fontId="34" fillId="0" borderId="164" xfId="0" applyNumberFormat="1" applyFont="1" applyBorder="1" applyAlignment="1">
      <alignment horizontal="center" vertical="center"/>
    </xf>
    <xf numFmtId="171" fontId="34" fillId="0" borderId="72" xfId="0" applyNumberFormat="1" applyFont="1" applyBorder="1" applyAlignment="1">
      <alignment horizontal="center" vertical="center"/>
    </xf>
    <xf numFmtId="171" fontId="34" fillId="0" borderId="90" xfId="0" applyNumberFormat="1" applyFont="1" applyBorder="1" applyAlignment="1">
      <alignment horizontal="center" vertical="center"/>
    </xf>
    <xf numFmtId="171" fontId="34" fillId="0" borderId="74" xfId="0" applyNumberFormat="1" applyFont="1" applyBorder="1" applyAlignment="1">
      <alignment horizontal="center" vertical="center"/>
    </xf>
    <xf numFmtId="171" fontId="34" fillId="0" borderId="75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5" xfId="0" applyFont="1" applyBorder="1" applyAlignment="1">
      <alignment horizontal="centerContinuous"/>
    </xf>
    <xf numFmtId="0" fontId="34" fillId="0" borderId="169" xfId="0" applyFont="1" applyBorder="1" applyAlignment="1">
      <alignment horizontal="centerContinuous"/>
    </xf>
    <xf numFmtId="0" fontId="34" fillId="0" borderId="39" xfId="0" applyFont="1" applyBorder="1" applyAlignment="1">
      <alignment horizontal="centerContinuous"/>
    </xf>
    <xf numFmtId="0" fontId="34" fillId="0" borderId="170" xfId="0" applyFont="1" applyBorder="1" applyAlignment="1">
      <alignment horizontal="centerContinuous"/>
    </xf>
    <xf numFmtId="3" fontId="34" fillId="0" borderId="27" xfId="0" applyNumberFormat="1" applyFont="1" applyBorder="1"/>
    <xf numFmtId="3" fontId="34" fillId="0" borderId="60" xfId="0" applyNumberFormat="1" applyFont="1" applyBorder="1"/>
    <xf numFmtId="3" fontId="34" fillId="0" borderId="28" xfId="0" applyNumberFormat="1" applyFont="1" applyBorder="1"/>
    <xf numFmtId="3" fontId="34" fillId="0" borderId="44" xfId="0" applyNumberFormat="1" applyFont="1" applyBorder="1"/>
    <xf numFmtId="3" fontId="34" fillId="0" borderId="0" xfId="0" applyNumberFormat="1" applyFont="1" applyBorder="1"/>
    <xf numFmtId="3" fontId="34" fillId="0" borderId="45" xfId="0" applyNumberFormat="1" applyFont="1" applyBorder="1"/>
    <xf numFmtId="3" fontId="34" fillId="0" borderId="46" xfId="0" applyNumberFormat="1" applyFont="1" applyBorder="1"/>
    <xf numFmtId="3" fontId="34" fillId="0" borderId="133" xfId="0" applyNumberFormat="1" applyFont="1" applyBorder="1"/>
    <xf numFmtId="3" fontId="34" fillId="0" borderId="47" xfId="0" applyNumberFormat="1" applyFont="1" applyBorder="1"/>
    <xf numFmtId="3" fontId="34" fillId="0" borderId="48" xfId="0" applyNumberFormat="1" applyFont="1" applyBorder="1"/>
    <xf numFmtId="3" fontId="34" fillId="0" borderId="86" xfId="0" applyNumberFormat="1" applyFont="1" applyBorder="1"/>
    <xf numFmtId="3" fontId="34" fillId="0" borderId="49" xfId="0" applyNumberFormat="1" applyFont="1" applyBorder="1"/>
    <xf numFmtId="4" fontId="34" fillId="9" borderId="48" xfId="0" applyNumberFormat="1" applyFont="1" applyFill="1" applyBorder="1" applyAlignment="1">
      <alignment horizontal="center" vertical="center"/>
    </xf>
    <xf numFmtId="4" fontId="34" fillId="9" borderId="49" xfId="0" applyNumberFormat="1" applyFont="1" applyFill="1" applyBorder="1" applyAlignment="1">
      <alignment horizontal="center" vertical="center"/>
    </xf>
    <xf numFmtId="0" fontId="34" fillId="0" borderId="48" xfId="0" applyFont="1" applyBorder="1"/>
    <xf numFmtId="0" fontId="34" fillId="0" borderId="86" xfId="0" applyFont="1" applyBorder="1"/>
    <xf numFmtId="0" fontId="34" fillId="0" borderId="49" xfId="0" applyFont="1" applyBorder="1"/>
    <xf numFmtId="0" fontId="34" fillId="0" borderId="60" xfId="0" applyFont="1" applyBorder="1"/>
    <xf numFmtId="0" fontId="34" fillId="0" borderId="28" xfId="0" applyFont="1" applyBorder="1"/>
    <xf numFmtId="0" fontId="34" fillId="0" borderId="0" xfId="0" applyFont="1" applyBorder="1"/>
    <xf numFmtId="0" fontId="34" fillId="0" borderId="45" xfId="0" applyFont="1" applyBorder="1"/>
    <xf numFmtId="0" fontId="34" fillId="0" borderId="133" xfId="0" applyFont="1" applyBorder="1"/>
    <xf numFmtId="0" fontId="34" fillId="0" borderId="47" xfId="0" applyFont="1" applyBorder="1"/>
    <xf numFmtId="0" fontId="34" fillId="0" borderId="27" xfId="0" applyFont="1" applyBorder="1"/>
    <xf numFmtId="0" fontId="34" fillId="0" borderId="44" xfId="0" applyFont="1" applyBorder="1"/>
    <xf numFmtId="0" fontId="34" fillId="0" borderId="46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74" fontId="33" fillId="5" borderId="15" xfId="0" applyNumberFormat="1" applyFont="1" applyFill="1" applyBorder="1" applyAlignment="1">
      <alignment horizontal="right" vertical="center"/>
    </xf>
    <xf numFmtId="174" fontId="33" fillId="5" borderId="17" xfId="0" applyNumberFormat="1" applyFont="1" applyFill="1" applyBorder="1" applyAlignment="1">
      <alignment horizontal="right" vertical="center"/>
    </xf>
    <xf numFmtId="175" fontId="33" fillId="5" borderId="15" xfId="0" applyNumberFormat="1" applyFont="1" applyFill="1" applyBorder="1" applyAlignment="1">
      <alignment horizontal="right" vertical="center"/>
    </xf>
    <xf numFmtId="175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8" fontId="33" fillId="5" borderId="13" xfId="0" applyNumberFormat="1" applyFont="1" applyFill="1" applyBorder="1" applyAlignment="1">
      <alignment horizontal="right" vertical="center"/>
    </xf>
    <xf numFmtId="168" fontId="33" fillId="5" borderId="17" xfId="0" applyNumberFormat="1" applyFont="1" applyFill="1" applyBorder="1" applyAlignment="1">
      <alignment horizontal="right" vertical="center"/>
    </xf>
    <xf numFmtId="4" fontId="35" fillId="4" borderId="76" xfId="0" applyNumberFormat="1" applyFont="1" applyFill="1" applyBorder="1" applyAlignment="1">
      <alignment horizontal="center" vertical="center"/>
    </xf>
    <xf numFmtId="4" fontId="35" fillId="4" borderId="77" xfId="0" applyNumberFormat="1" applyFont="1" applyFill="1" applyBorder="1" applyAlignment="1">
      <alignment horizontal="center" vertical="center"/>
    </xf>
    <xf numFmtId="4" fontId="33" fillId="5" borderId="59" xfId="0" applyNumberFormat="1" applyFont="1" applyFill="1" applyBorder="1" applyAlignment="1">
      <alignment horizontal="center" vertical="center"/>
    </xf>
    <xf numFmtId="4" fontId="33" fillId="5" borderId="79" xfId="0" applyNumberFormat="1" applyFont="1" applyFill="1" applyBorder="1" applyAlignment="1">
      <alignment horizontal="center" vertical="center"/>
    </xf>
    <xf numFmtId="4" fontId="33" fillId="5" borderId="80" xfId="0" applyNumberFormat="1" applyFont="1" applyFill="1" applyBorder="1" applyAlignment="1">
      <alignment horizontal="center" vertical="center"/>
    </xf>
    <xf numFmtId="4" fontId="33" fillId="5" borderId="81" xfId="0" applyNumberFormat="1" applyFont="1" applyFill="1" applyBorder="1" applyAlignment="1">
      <alignment horizontal="center" vertical="center"/>
    </xf>
    <xf numFmtId="4" fontId="33" fillId="5" borderId="82" xfId="0" applyNumberFormat="1" applyFont="1" applyFill="1" applyBorder="1" applyAlignment="1">
      <alignment horizontal="center" vertical="center"/>
    </xf>
    <xf numFmtId="4" fontId="5" fillId="0" borderId="68" xfId="0" applyNumberFormat="1" applyFont="1" applyBorder="1" applyAlignment="1">
      <alignment horizontal="center" vertical="center"/>
    </xf>
    <xf numFmtId="181" fontId="15" fillId="0" borderId="69" xfId="0" applyNumberFormat="1" applyFont="1" applyBorder="1" applyAlignment="1">
      <alignment horizontal="right" vertical="center"/>
    </xf>
    <xf numFmtId="181" fontId="15" fillId="0" borderId="16" xfId="0" applyNumberFormat="1" applyFont="1" applyBorder="1" applyAlignment="1">
      <alignment horizontal="right" vertical="center"/>
    </xf>
    <xf numFmtId="181" fontId="15" fillId="0" borderId="74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81" fontId="14" fillId="0" borderId="15" xfId="0" applyNumberFormat="1" applyFont="1" applyBorder="1" applyAlignment="1">
      <alignment horizontal="right" vertical="center"/>
    </xf>
    <xf numFmtId="181" fontId="14" fillId="0" borderId="16" xfId="0" applyNumberFormat="1" applyFont="1" applyBorder="1" applyAlignment="1">
      <alignment horizontal="right" vertical="center"/>
    </xf>
    <xf numFmtId="181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81" fontId="15" fillId="0" borderId="15" xfId="0" applyNumberFormat="1" applyFont="1" applyBorder="1" applyAlignment="1">
      <alignment horizontal="right" vertical="center"/>
    </xf>
    <xf numFmtId="181" fontId="15" fillId="0" borderId="17" xfId="0" applyNumberFormat="1" applyFont="1" applyBorder="1" applyAlignment="1">
      <alignment horizontal="right" vertical="center"/>
    </xf>
    <xf numFmtId="10" fontId="34" fillId="0" borderId="59" xfId="0" applyNumberFormat="1" applyFont="1" applyBorder="1" applyAlignment="1">
      <alignment horizontal="right" vertical="center"/>
    </xf>
    <xf numFmtId="4" fontId="34" fillId="9" borderId="171" xfId="0" applyNumberFormat="1" applyFont="1" applyFill="1" applyBorder="1" applyAlignment="1">
      <alignment horizontal="center" vertical="center"/>
    </xf>
    <xf numFmtId="168" fontId="34" fillId="0" borderId="68" xfId="0" applyNumberFormat="1" applyFont="1" applyBorder="1" applyAlignment="1">
      <alignment horizontal="right" vertical="center"/>
    </xf>
    <xf numFmtId="4" fontId="34" fillId="9" borderId="172" xfId="0" applyNumberFormat="1" applyFont="1" applyFill="1" applyBorder="1" applyAlignment="1">
      <alignment horizontal="center" vertical="center"/>
    </xf>
    <xf numFmtId="168" fontId="34" fillId="0" borderId="71" xfId="0" applyNumberFormat="1" applyFont="1" applyBorder="1" applyAlignment="1">
      <alignment horizontal="right" vertical="center"/>
    </xf>
    <xf numFmtId="4" fontId="34" fillId="0" borderId="173" xfId="0" applyNumberFormat="1" applyFont="1" applyBorder="1" applyAlignment="1">
      <alignment horizontal="center" vertical="center"/>
    </xf>
    <xf numFmtId="4" fontId="34" fillId="0" borderId="72" xfId="0" applyNumberFormat="1" applyFont="1" applyBorder="1" applyAlignment="1">
      <alignment horizontal="center" vertical="center"/>
    </xf>
    <xf numFmtId="168" fontId="34" fillId="0" borderId="73" xfId="0" applyNumberFormat="1" applyFont="1" applyBorder="1" applyAlignment="1">
      <alignment horizontal="right" vertical="center"/>
    </xf>
    <xf numFmtId="10" fontId="34" fillId="0" borderId="74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6" fontId="15" fillId="0" borderId="16" xfId="0" applyNumberFormat="1" applyFont="1" applyBorder="1" applyAlignment="1">
      <alignment horizontal="center" vertical="center"/>
    </xf>
    <xf numFmtId="176" fontId="15" fillId="0" borderId="17" xfId="0" applyNumberFormat="1" applyFont="1" applyBorder="1" applyAlignment="1">
      <alignment horizontal="center" vertical="center"/>
    </xf>
    <xf numFmtId="176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71" fontId="33" fillId="5" borderId="15" xfId="0" applyNumberFormat="1" applyFont="1" applyFill="1" applyBorder="1" applyAlignment="1">
      <alignment horizontal="center" vertical="center"/>
    </xf>
    <xf numFmtId="171" fontId="33" fillId="5" borderId="17" xfId="0" applyNumberFormat="1" applyFont="1" applyFill="1" applyBorder="1" applyAlignment="1">
      <alignment horizontal="centerContinuous" vertical="center"/>
    </xf>
    <xf numFmtId="176" fontId="11" fillId="0" borderId="15" xfId="0" applyNumberFormat="1" applyFont="1" applyBorder="1" applyAlignment="1">
      <alignment horizontal="center" vertical="center"/>
    </xf>
    <xf numFmtId="176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71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71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4" fillId="0" borderId="9" xfId="9" applyNumberFormat="1" applyFont="1" applyBorder="1" applyAlignment="1" applyProtection="1">
      <alignment horizontal="right" vertical="center"/>
      <protection hidden="1"/>
    </xf>
    <xf numFmtId="168" fontId="4" fillId="0" borderId="11" xfId="9" applyNumberFormat="1" applyFont="1" applyBorder="1" applyAlignment="1" applyProtection="1">
      <alignment horizontal="right" vertical="center"/>
      <protection hidden="1"/>
    </xf>
    <xf numFmtId="168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8" xfId="0" applyFont="1" applyFill="1" applyBorder="1" applyAlignment="1">
      <alignment horizontal="centerContinuous" vertical="center"/>
    </xf>
    <xf numFmtId="0" fontId="35" fillId="3" borderId="94" xfId="0" applyFont="1" applyFill="1" applyBorder="1" applyAlignment="1">
      <alignment horizontal="centerContinuous" vertical="center"/>
    </xf>
    <xf numFmtId="169" fontId="4" fillId="0" borderId="15" xfId="37" applyNumberFormat="1" applyFont="1" applyBorder="1" applyAlignment="1" applyProtection="1">
      <alignment horizontal="center" vertical="center"/>
      <protection hidden="1"/>
    </xf>
    <xf numFmtId="169" fontId="4" fillId="0" borderId="15" xfId="0" applyNumberFormat="1" applyFont="1" applyBorder="1" applyAlignment="1">
      <alignment horizontal="center" vertical="center"/>
    </xf>
    <xf numFmtId="169" fontId="4" fillId="0" borderId="16" xfId="37" applyNumberFormat="1" applyFont="1" applyBorder="1" applyAlignment="1" applyProtection="1">
      <alignment horizontal="center" vertical="center"/>
      <protection hidden="1"/>
    </xf>
    <xf numFmtId="169" fontId="4" fillId="0" borderId="16" xfId="0" applyNumberFormat="1" applyFont="1" applyBorder="1" applyAlignment="1">
      <alignment horizontal="center" vertical="center"/>
    </xf>
    <xf numFmtId="169" fontId="4" fillId="0" borderId="17" xfId="37" applyNumberFormat="1" applyFont="1" applyBorder="1" applyAlignment="1" applyProtection="1">
      <alignment horizontal="center" vertical="center"/>
      <protection hidden="1"/>
    </xf>
    <xf numFmtId="169" fontId="4" fillId="0" borderId="17" xfId="0" applyNumberFormat="1" applyFont="1" applyBorder="1" applyAlignment="1">
      <alignment horizontal="center" vertical="center"/>
    </xf>
    <xf numFmtId="168" fontId="10" fillId="0" borderId="10" xfId="0" applyNumberFormat="1" applyFont="1" applyBorder="1" applyAlignment="1">
      <alignment horizontal="center" vertical="center"/>
    </xf>
    <xf numFmtId="0" fontId="26" fillId="4" borderId="179" xfId="0" applyFont="1" applyFill="1" applyBorder="1" applyAlignment="1">
      <alignment horizontal="center" vertical="center"/>
    </xf>
    <xf numFmtId="0" fontId="26" fillId="4" borderId="180" xfId="0" applyFont="1" applyFill="1" applyBorder="1" applyAlignment="1">
      <alignment horizontal="center" vertical="center"/>
    </xf>
    <xf numFmtId="0" fontId="26" fillId="4" borderId="181" xfId="0" applyFont="1" applyFill="1" applyBorder="1" applyAlignment="1">
      <alignment horizontal="center" vertical="center"/>
    </xf>
    <xf numFmtId="168" fontId="11" fillId="0" borderId="163" xfId="0" applyNumberFormat="1" applyFont="1" applyBorder="1" applyAlignment="1">
      <alignment horizontal="right" vertical="center"/>
    </xf>
    <xf numFmtId="4" fontId="11" fillId="0" borderId="164" xfId="0" applyNumberFormat="1" applyFont="1" applyBorder="1" applyAlignment="1">
      <alignment horizontal="center" vertical="center"/>
    </xf>
    <xf numFmtId="168" fontId="11" fillId="0" borderId="71" xfId="0" applyNumberFormat="1" applyFont="1" applyBorder="1" applyAlignment="1">
      <alignment horizontal="right" vertical="center"/>
    </xf>
    <xf numFmtId="4" fontId="11" fillId="0" borderId="72" xfId="0" applyNumberFormat="1" applyFont="1" applyBorder="1" applyAlignment="1">
      <alignment horizontal="center" vertical="center"/>
    </xf>
    <xf numFmtId="168" fontId="11" fillId="0" borderId="73" xfId="0" applyNumberFormat="1" applyFont="1" applyBorder="1" applyAlignment="1">
      <alignment horizontal="right" vertical="center"/>
    </xf>
    <xf numFmtId="176" fontId="11" fillId="0" borderId="74" xfId="0" applyNumberFormat="1" applyFont="1" applyBorder="1" applyAlignment="1">
      <alignment horizontal="center" vertical="center"/>
    </xf>
    <xf numFmtId="4" fontId="11" fillId="0" borderId="75" xfId="0" applyNumberFormat="1" applyFont="1" applyBorder="1" applyAlignment="1">
      <alignment horizontal="center" vertical="center"/>
    </xf>
    <xf numFmtId="171" fontId="0" fillId="0" borderId="0" xfId="61" applyNumberFormat="1" applyFont="1"/>
    <xf numFmtId="168" fontId="3" fillId="0" borderId="9" xfId="0" applyNumberFormat="1" applyFont="1" applyBorder="1" applyAlignment="1">
      <alignment horizontal="right" vertical="center"/>
    </xf>
    <xf numFmtId="168" fontId="3" fillId="0" borderId="11" xfId="0" applyNumberFormat="1" applyFont="1" applyBorder="1" applyAlignment="1">
      <alignment horizontal="right" vertical="center"/>
    </xf>
    <xf numFmtId="168" fontId="3" fillId="0" borderId="13" xfId="0" applyNumberFormat="1" applyFont="1" applyBorder="1" applyAlignment="1">
      <alignment horizontal="right" vertical="center"/>
    </xf>
    <xf numFmtId="168" fontId="34" fillId="0" borderId="62" xfId="0" applyNumberFormat="1" applyFont="1" applyBorder="1" applyAlignment="1">
      <alignment horizontal="right" vertical="center"/>
    </xf>
    <xf numFmtId="168" fontId="4" fillId="0" borderId="68" xfId="9" applyNumberFormat="1" applyFont="1" applyBorder="1" applyAlignment="1" applyProtection="1">
      <alignment horizontal="right" vertical="center"/>
      <protection hidden="1"/>
    </xf>
    <xf numFmtId="169" fontId="4" fillId="0" borderId="69" xfId="0" applyNumberFormat="1" applyFont="1" applyBorder="1" applyAlignment="1">
      <alignment horizontal="center" vertical="center"/>
    </xf>
    <xf numFmtId="169" fontId="4" fillId="0" borderId="70" xfId="0" applyNumberFormat="1" applyFont="1" applyBorder="1" applyAlignment="1">
      <alignment horizontal="center" vertical="center"/>
    </xf>
    <xf numFmtId="168" fontId="4" fillId="0" borderId="71" xfId="9" applyNumberFormat="1" applyFont="1" applyBorder="1" applyAlignment="1" applyProtection="1">
      <alignment horizontal="right" vertical="center"/>
      <protection hidden="1"/>
    </xf>
    <xf numFmtId="169" fontId="4" fillId="0" borderId="72" xfId="0" applyNumberFormat="1" applyFont="1" applyBorder="1" applyAlignment="1">
      <alignment horizontal="center" vertical="center"/>
    </xf>
    <xf numFmtId="168" fontId="4" fillId="0" borderId="73" xfId="9" applyNumberFormat="1" applyFont="1" applyBorder="1" applyAlignment="1" applyProtection="1">
      <alignment horizontal="right" vertical="center"/>
      <protection hidden="1"/>
    </xf>
    <xf numFmtId="169" fontId="4" fillId="0" borderId="74" xfId="0" applyNumberFormat="1" applyFont="1" applyBorder="1" applyAlignment="1">
      <alignment horizontal="center" vertical="center"/>
    </xf>
    <xf numFmtId="169" fontId="4" fillId="0" borderId="75" xfId="0" applyNumberFormat="1" applyFont="1" applyBorder="1" applyAlignment="1">
      <alignment horizontal="center" vertical="center"/>
    </xf>
    <xf numFmtId="181" fontId="0" fillId="0" borderId="0" xfId="0" applyNumberFormat="1" applyBorder="1"/>
    <xf numFmtId="11" fontId="15" fillId="0" borderId="2" xfId="0" applyNumberFormat="1" applyFont="1" applyBorder="1" applyAlignment="1">
      <alignment horizontal="center" vertical="center"/>
    </xf>
    <xf numFmtId="0" fontId="94" fillId="0" borderId="27" xfId="6" applyFont="1" applyBorder="1" applyAlignment="1">
      <alignment horizontal="centerContinuous" vertical="center"/>
    </xf>
    <xf numFmtId="0" fontId="94" fillId="0" borderId="28" xfId="6" applyFont="1" applyBorder="1" applyAlignment="1">
      <alignment horizontal="centerContinuous" vertical="center"/>
    </xf>
    <xf numFmtId="0" fontId="94" fillId="0" borderId="46" xfId="6" applyFont="1" applyBorder="1" applyAlignment="1">
      <alignment horizontal="centerContinuous" vertical="center"/>
    </xf>
    <xf numFmtId="0" fontId="96" fillId="0" borderId="0" xfId="6" applyFont="1" applyAlignment="1">
      <alignment horizontal="center" wrapText="1"/>
    </xf>
    <xf numFmtId="43" fontId="95" fillId="40" borderId="62" xfId="7" applyFont="1" applyFill="1" applyBorder="1" applyProtection="1">
      <protection hidden="1"/>
    </xf>
    <xf numFmtId="43" fontId="95" fillId="40" borderId="50" xfId="7" applyFont="1" applyFill="1" applyBorder="1" applyProtection="1">
      <protection hidden="1"/>
    </xf>
    <xf numFmtId="0" fontId="97" fillId="0" borderId="44" xfId="6" applyFont="1" applyBorder="1" applyAlignment="1">
      <alignment wrapText="1"/>
    </xf>
    <xf numFmtId="0" fontId="97" fillId="0" borderId="0" xfId="6" applyFont="1" applyAlignment="1">
      <alignment wrapText="1"/>
    </xf>
    <xf numFmtId="15" fontId="98" fillId="0" borderId="0" xfId="6" applyNumberFormat="1" applyFont="1" applyProtection="1">
      <protection hidden="1"/>
    </xf>
    <xf numFmtId="43" fontId="98" fillId="0" borderId="0" xfId="62" applyFont="1" applyBorder="1" applyProtection="1">
      <protection hidden="1"/>
    </xf>
    <xf numFmtId="0" fontId="97" fillId="41" borderId="0" xfId="6" applyFont="1" applyFill="1" applyAlignment="1">
      <alignment wrapText="1"/>
    </xf>
    <xf numFmtId="0" fontId="97" fillId="41" borderId="45" xfId="6" applyFont="1" applyFill="1" applyBorder="1" applyAlignment="1">
      <alignment wrapText="1"/>
    </xf>
    <xf numFmtId="43" fontId="95" fillId="40" borderId="51" xfId="7" applyFont="1" applyFill="1" applyBorder="1" applyProtection="1">
      <protection hidden="1"/>
    </xf>
    <xf numFmtId="0" fontId="97" fillId="0" borderId="45" xfId="6" applyFont="1" applyBorder="1" applyAlignment="1">
      <alignment wrapText="1"/>
    </xf>
    <xf numFmtId="0" fontId="97" fillId="0" borderId="44" xfId="6" applyFont="1" applyBorder="1"/>
    <xf numFmtId="0" fontId="97" fillId="0" borderId="0" xfId="6" applyFont="1"/>
    <xf numFmtId="0" fontId="97" fillId="0" borderId="45" xfId="6" applyFont="1" applyBorder="1"/>
    <xf numFmtId="43" fontId="95" fillId="40" borderId="52" xfId="7" applyFont="1" applyFill="1" applyBorder="1" applyProtection="1">
      <protection hidden="1"/>
    </xf>
    <xf numFmtId="0" fontId="97" fillId="0" borderId="46" xfId="6" applyFont="1" applyBorder="1"/>
    <xf numFmtId="0" fontId="97" fillId="0" borderId="133" xfId="6" applyFont="1" applyBorder="1"/>
    <xf numFmtId="15" fontId="98" fillId="0" borderId="133" xfId="6" applyNumberFormat="1" applyFont="1" applyBorder="1" applyProtection="1">
      <protection hidden="1"/>
    </xf>
    <xf numFmtId="43" fontId="98" fillId="0" borderId="133" xfId="62" applyFont="1" applyBorder="1" applyProtection="1">
      <protection hidden="1"/>
    </xf>
    <xf numFmtId="0" fontId="97" fillId="0" borderId="47" xfId="6" applyFont="1" applyBorder="1"/>
    <xf numFmtId="180" fontId="0" fillId="0" borderId="0" xfId="0" applyNumberFormat="1"/>
    <xf numFmtId="169" fontId="0" fillId="0" borderId="0" xfId="0" applyNumberFormat="1"/>
    <xf numFmtId="181" fontId="0" fillId="0" borderId="0" xfId="61" applyNumberFormat="1" applyFont="1"/>
    <xf numFmtId="168" fontId="11" fillId="0" borderId="68" xfId="0" applyNumberFormat="1" applyFont="1" applyBorder="1" applyAlignment="1">
      <alignment horizontal="right" vertical="center"/>
    </xf>
    <xf numFmtId="176" fontId="11" fillId="0" borderId="69" xfId="0" applyNumberFormat="1" applyFont="1" applyBorder="1" applyAlignment="1">
      <alignment horizontal="center" vertical="center"/>
    </xf>
    <xf numFmtId="4" fontId="11" fillId="0" borderId="70" xfId="0" applyNumberFormat="1" applyFont="1" applyBorder="1" applyAlignment="1">
      <alignment horizontal="center" vertical="center"/>
    </xf>
    <xf numFmtId="168" fontId="2" fillId="0" borderId="12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168" fontId="15" fillId="0" borderId="163" xfId="0" applyNumberFormat="1" applyFont="1" applyBorder="1" applyAlignment="1">
      <alignment horizontal="right" vertical="center"/>
    </xf>
    <xf numFmtId="4" fontId="15" fillId="0" borderId="164" xfId="0" applyNumberFormat="1" applyFont="1" applyBorder="1" applyAlignment="1">
      <alignment horizontal="center" vertical="center"/>
    </xf>
    <xf numFmtId="168" fontId="15" fillId="0" borderId="71" xfId="0" applyNumberFormat="1" applyFont="1" applyBorder="1" applyAlignment="1">
      <alignment horizontal="right" vertical="center"/>
    </xf>
    <xf numFmtId="168" fontId="15" fillId="0" borderId="73" xfId="0" applyNumberFormat="1" applyFont="1" applyBorder="1" applyAlignment="1">
      <alignment horizontal="right" vertical="center"/>
    </xf>
    <xf numFmtId="176" fontId="15" fillId="0" borderId="74" xfId="0" applyNumberFormat="1" applyFont="1" applyBorder="1" applyAlignment="1">
      <alignment horizontal="center" vertical="center"/>
    </xf>
    <xf numFmtId="0" fontId="35" fillId="3" borderId="27" xfId="2" applyFont="1" applyFill="1" applyBorder="1" applyAlignment="1">
      <alignment horizontal="centerContinuous" vertical="center"/>
    </xf>
    <xf numFmtId="0" fontId="35" fillId="3" borderId="60" xfId="2" applyFont="1" applyFill="1" applyBorder="1" applyAlignment="1">
      <alignment horizontal="centerContinuous" vertical="center"/>
    </xf>
    <xf numFmtId="0" fontId="35" fillId="3" borderId="28" xfId="2" applyFont="1" applyFill="1" applyBorder="1" applyAlignment="1">
      <alignment horizontal="centerContinuous" vertical="center"/>
    </xf>
    <xf numFmtId="4" fontId="15" fillId="0" borderId="30" xfId="0" applyNumberFormat="1" applyFont="1" applyBorder="1" applyAlignment="1">
      <alignment horizontal="center" vertical="center"/>
    </xf>
    <xf numFmtId="0" fontId="27" fillId="2" borderId="27" xfId="0" applyFont="1" applyFill="1" applyBorder="1" applyAlignment="1">
      <alignment horizontal="centerContinuous" vertical="center"/>
    </xf>
    <xf numFmtId="0" fontId="27" fillId="2" borderId="60" xfId="0" applyFont="1" applyFill="1" applyBorder="1" applyAlignment="1">
      <alignment horizontal="centerContinuous" vertical="center"/>
    </xf>
    <xf numFmtId="0" fontId="27" fillId="2" borderId="28" xfId="0" applyFont="1" applyFill="1" applyBorder="1" applyAlignment="1">
      <alignment horizontal="centerContinuous" vertical="center"/>
    </xf>
    <xf numFmtId="0" fontId="0" fillId="0" borderId="46" xfId="0" applyBorder="1" applyAlignment="1">
      <alignment horizontal="centerContinuous"/>
    </xf>
    <xf numFmtId="0" fontId="0" fillId="0" borderId="133" xfId="0" applyBorder="1" applyAlignment="1">
      <alignment horizontal="centerContinuous"/>
    </xf>
    <xf numFmtId="4" fontId="7" fillId="0" borderId="75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82" xfId="0" applyBorder="1" applyAlignment="1">
      <alignment horizontal="centerContinuous"/>
    </xf>
    <xf numFmtId="0" fontId="0" fillId="0" borderId="183" xfId="0" applyBorder="1" applyAlignment="1">
      <alignment horizontal="centerContinuous"/>
    </xf>
    <xf numFmtId="168" fontId="34" fillId="0" borderId="62" xfId="0" applyNumberFormat="1" applyFont="1" applyBorder="1" applyAlignment="1">
      <alignment horizontal="center" vertical="center"/>
    </xf>
    <xf numFmtId="9" fontId="0" fillId="0" borderId="0" xfId="61" applyFont="1"/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95" fillId="2" borderId="48" xfId="6" applyFont="1" applyFill="1" applyBorder="1" applyAlignment="1">
      <alignment horizontal="center"/>
    </xf>
    <xf numFmtId="0" fontId="95" fillId="2" borderId="86" xfId="6" applyFont="1" applyFill="1" applyBorder="1" applyAlignment="1">
      <alignment horizontal="center"/>
    </xf>
    <xf numFmtId="0" fontId="95" fillId="2" borderId="49" xfId="6" applyFont="1" applyFill="1" applyBorder="1" applyAlignment="1">
      <alignment horizontal="center"/>
    </xf>
    <xf numFmtId="0" fontId="95" fillId="2" borderId="28" xfId="6" applyFont="1" applyFill="1" applyBorder="1" applyAlignment="1" applyProtection="1">
      <alignment horizontal="center" vertical="center" textRotation="90" wrapText="1"/>
      <protection hidden="1"/>
    </xf>
    <xf numFmtId="0" fontId="95" fillId="2" borderId="45" xfId="6" applyFont="1" applyFill="1" applyBorder="1" applyAlignment="1" applyProtection="1">
      <alignment horizontal="center" vertical="center" textRotation="90" wrapText="1"/>
      <protection hidden="1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5" xfId="0" applyFont="1" applyFill="1" applyBorder="1" applyAlignment="1">
      <alignment horizontal="center" vertical="center" textRotation="90"/>
    </xf>
    <xf numFmtId="0" fontId="26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865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abSelected="1" zoomScaleNormal="100" workbookViewId="0">
      <selection activeCell="G3" sqref="G3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664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Warning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59" t="str" cm="1">
        <f t="array" aca="1" ref="B10" ca="1">_xll.d.TestUtils_And(C19:C21,C24:C25,C28,C31:C34,C39:C42)</f>
        <v>Ok</v>
      </c>
      <c r="C10" s="859"/>
    </row>
    <row r="11" spans="2:9" s="455" customFormat="1" ht="15" customHeight="1" x14ac:dyDescent="0.25">
      <c r="B11" s="860"/>
      <c r="C11" s="860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Ok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Ok</v>
      </c>
      <c r="D34" s="455"/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 ca="1"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Ok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Ok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864" priority="41" stopIfTrue="1" operator="equal">
      <formula>"ERROR"</formula>
    </cfRule>
    <cfRule type="cellIs" dxfId="863" priority="42" stopIfTrue="1" operator="equal">
      <formula>"OK"</formula>
    </cfRule>
    <cfRule type="cellIs" dxfId="862" priority="43" stopIfTrue="1" operator="equal">
      <formula>"WARNING"</formula>
    </cfRule>
  </conditionalFormatting>
  <conditionalFormatting sqref="C20">
    <cfRule type="cellIs" dxfId="861" priority="34" stopIfTrue="1" operator="equal">
      <formula>"ERROR"</formula>
    </cfRule>
    <cfRule type="cellIs" dxfId="860" priority="35" stopIfTrue="1" operator="equal">
      <formula>"OK"</formula>
    </cfRule>
    <cfRule type="cellIs" dxfId="859" priority="36" stopIfTrue="1" operator="equal">
      <formula>"WARNING"</formula>
    </cfRule>
  </conditionalFormatting>
  <conditionalFormatting sqref="C21">
    <cfRule type="cellIs" dxfId="858" priority="31" stopIfTrue="1" operator="equal">
      <formula>"ERROR"</formula>
    </cfRule>
    <cfRule type="cellIs" dxfId="857" priority="32" stopIfTrue="1" operator="equal">
      <formula>"OK"</formula>
    </cfRule>
    <cfRule type="cellIs" dxfId="856" priority="33" stopIfTrue="1" operator="equal">
      <formula>"WARNING"</formula>
    </cfRule>
  </conditionalFormatting>
  <conditionalFormatting sqref="D6">
    <cfRule type="cellIs" dxfId="855" priority="47" stopIfTrue="1" operator="equal">
      <formula>"ERROR"</formula>
    </cfRule>
    <cfRule type="cellIs" dxfId="854" priority="48" stopIfTrue="1" operator="equal">
      <formula>"OK"</formula>
    </cfRule>
    <cfRule type="cellIs" dxfId="853" priority="49" stopIfTrue="1" operator="equal">
      <formula>"WARNING"</formula>
    </cfRule>
  </conditionalFormatting>
  <conditionalFormatting sqref="C33">
    <cfRule type="cellIs" dxfId="852" priority="28" stopIfTrue="1" operator="equal">
      <formula>"ERROR"</formula>
    </cfRule>
    <cfRule type="cellIs" dxfId="851" priority="29" stopIfTrue="1" operator="equal">
      <formula>"OK"</formula>
    </cfRule>
    <cfRule type="cellIs" dxfId="850" priority="30" stopIfTrue="1" operator="equal">
      <formula>"WARNING"</formula>
    </cfRule>
  </conditionalFormatting>
  <conditionalFormatting sqref="B10:C11">
    <cfRule type="cellIs" dxfId="849" priority="25" stopIfTrue="1" operator="equal">
      <formula>"ERROR"</formula>
    </cfRule>
    <cfRule type="cellIs" dxfId="848" priority="26" stopIfTrue="1" operator="equal">
      <formula>"OK"</formula>
    </cfRule>
    <cfRule type="cellIs" dxfId="847" priority="27" stopIfTrue="1" operator="equal">
      <formula>"WARNING"</formula>
    </cfRule>
  </conditionalFormatting>
  <conditionalFormatting sqref="C31:C32">
    <cfRule type="cellIs" dxfId="846" priority="50" stopIfTrue="1" operator="equal">
      <formula>"ERROR"</formula>
    </cfRule>
    <cfRule type="cellIs" dxfId="845" priority="51" stopIfTrue="1" operator="equal">
      <formula>"OK"</formula>
    </cfRule>
    <cfRule type="cellIs" dxfId="844" priority="52" stopIfTrue="1" operator="equal">
      <formula>"WARNING"</formula>
    </cfRule>
  </conditionalFormatting>
  <conditionalFormatting sqref="C34">
    <cfRule type="cellIs" dxfId="843" priority="53" stopIfTrue="1" operator="equal">
      <formula>"ERROR"</formula>
    </cfRule>
    <cfRule type="cellIs" dxfId="842" priority="54" stopIfTrue="1" operator="equal">
      <formula>"OK"</formula>
    </cfRule>
    <cfRule type="cellIs" dxfId="841" priority="55" stopIfTrue="1" operator="equal">
      <formula>"WARNING"</formula>
    </cfRule>
  </conditionalFormatting>
  <conditionalFormatting sqref="C35">
    <cfRule type="cellIs" dxfId="840" priority="16" stopIfTrue="1" operator="equal">
      <formula>"ERROR"</formula>
    </cfRule>
    <cfRule type="cellIs" dxfId="839" priority="17" stopIfTrue="1" operator="equal">
      <formula>"OK"</formula>
    </cfRule>
    <cfRule type="cellIs" dxfId="838" priority="18" stopIfTrue="1" operator="equal">
      <formula>"WARNING"</formula>
    </cfRule>
  </conditionalFormatting>
  <conditionalFormatting sqref="C24">
    <cfRule type="cellIs" dxfId="837" priority="13" stopIfTrue="1" operator="equal">
      <formula>"ERROR"</formula>
    </cfRule>
    <cfRule type="cellIs" dxfId="836" priority="14" stopIfTrue="1" operator="equal">
      <formula>"OK"</formula>
    </cfRule>
    <cfRule type="cellIs" dxfId="835" priority="15" stopIfTrue="1" operator="equal">
      <formula>"WARNING"</formula>
    </cfRule>
  </conditionalFormatting>
  <conditionalFormatting sqref="C28">
    <cfRule type="cellIs" dxfId="834" priority="10" stopIfTrue="1" operator="equal">
      <formula>"ERROR"</formula>
    </cfRule>
    <cfRule type="cellIs" dxfId="833" priority="11" stopIfTrue="1" operator="equal">
      <formula>"OK"</formula>
    </cfRule>
    <cfRule type="cellIs" dxfId="832" priority="12" stopIfTrue="1" operator="equal">
      <formula>"WARNING"</formula>
    </cfRule>
  </conditionalFormatting>
  <conditionalFormatting sqref="C39:C40">
    <cfRule type="cellIs" dxfId="831" priority="7" stopIfTrue="1" operator="equal">
      <formula>"ERROR"</formula>
    </cfRule>
    <cfRule type="cellIs" dxfId="830" priority="8" stopIfTrue="1" operator="equal">
      <formula>"OK"</formula>
    </cfRule>
    <cfRule type="cellIs" dxfId="829" priority="9" stopIfTrue="1" operator="equal">
      <formula>"WARNING"</formula>
    </cfRule>
  </conditionalFormatting>
  <conditionalFormatting sqref="C42">
    <cfRule type="cellIs" dxfId="828" priority="4" stopIfTrue="1" operator="equal">
      <formula>"ERROR"</formula>
    </cfRule>
    <cfRule type="cellIs" dxfId="827" priority="5" stopIfTrue="1" operator="equal">
      <formula>"OK"</formula>
    </cfRule>
    <cfRule type="cellIs" dxfId="826" priority="6" stopIfTrue="1" operator="equal">
      <formula>"WARNING"</formula>
    </cfRule>
  </conditionalFormatting>
  <conditionalFormatting sqref="C41">
    <cfRule type="cellIs" dxfId="825" priority="1" stopIfTrue="1" operator="equal">
      <formula>"ERROR"</formula>
    </cfRule>
    <cfRule type="cellIs" dxfId="824" priority="2" stopIfTrue="1" operator="equal">
      <formula>"OK"</formula>
    </cfRule>
    <cfRule type="cellIs" dxfId="823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822" priority="165" stopIfTrue="1" operator="equal">
      <formula>"ERROR"</formula>
    </cfRule>
    <cfRule type="cellIs" dxfId="821" priority="166" stopIfTrue="1" operator="equal">
      <formula>"OK"</formula>
    </cfRule>
    <cfRule type="cellIs" dxfId="820" priority="167" stopIfTrue="1" operator="equal">
      <formula>"WARNING"</formula>
    </cfRule>
  </conditionalFormatting>
  <conditionalFormatting sqref="C4">
    <cfRule type="cellIs" dxfId="819" priority="139" stopIfTrue="1" operator="equal">
      <formula>"ERROR"</formula>
    </cfRule>
    <cfRule type="cellIs" dxfId="818" priority="140" stopIfTrue="1" operator="equal">
      <formula>"OK"</formula>
    </cfRule>
    <cfRule type="cellIs" dxfId="817" priority="141" stopIfTrue="1" operator="equal">
      <formula>"WARNING"</formula>
    </cfRule>
  </conditionalFormatting>
  <conditionalFormatting sqref="C74">
    <cfRule type="cellIs" dxfId="816" priority="133" stopIfTrue="1" operator="equal">
      <formula>"ERROR"</formula>
    </cfRule>
  </conditionalFormatting>
  <conditionalFormatting sqref="C74">
    <cfRule type="cellIs" dxfId="815" priority="134" stopIfTrue="1" operator="equal">
      <formula>"OK"</formula>
    </cfRule>
  </conditionalFormatting>
  <conditionalFormatting sqref="C74">
    <cfRule type="cellIs" dxfId="814" priority="135" stopIfTrue="1" operator="equal">
      <formula>"WARNING"</formula>
    </cfRule>
  </conditionalFormatting>
  <conditionalFormatting sqref="G79">
    <cfRule type="cellIs" dxfId="813" priority="168" stopIfTrue="1" operator="equal">
      <formula>"ERROR"</formula>
    </cfRule>
    <cfRule type="cellIs" dxfId="812" priority="169" stopIfTrue="1" operator="equal">
      <formula>"OK"</formula>
    </cfRule>
    <cfRule type="cellIs" dxfId="811" priority="170" stopIfTrue="1" operator="equal">
      <formula>"WARNING"</formula>
    </cfRule>
  </conditionalFormatting>
  <conditionalFormatting sqref="U79">
    <cfRule type="cellIs" dxfId="810" priority="130" stopIfTrue="1" operator="equal">
      <formula>"ERROR"</formula>
    </cfRule>
    <cfRule type="cellIs" dxfId="809" priority="131" stopIfTrue="1" operator="equal">
      <formula>"OK"</formula>
    </cfRule>
    <cfRule type="cellIs" dxfId="808" priority="132" stopIfTrue="1" operator="equal">
      <formula>"WARNING"</formula>
    </cfRule>
  </conditionalFormatting>
  <conditionalFormatting sqref="AD79">
    <cfRule type="cellIs" dxfId="807" priority="127" stopIfTrue="1" operator="equal">
      <formula>"ERROR"</formula>
    </cfRule>
    <cfRule type="cellIs" dxfId="806" priority="128" stopIfTrue="1" operator="equal">
      <formula>"OK"</formula>
    </cfRule>
    <cfRule type="cellIs" dxfId="805" priority="129" stopIfTrue="1" operator="equal">
      <formula>"WARNING"</formula>
    </cfRule>
  </conditionalFormatting>
  <conditionalFormatting sqref="G183:G191">
    <cfRule type="cellIs" dxfId="804" priority="171" stopIfTrue="1" operator="equal">
      <formula>"ERROR"</formula>
    </cfRule>
    <cfRule type="cellIs" dxfId="803" priority="172" stopIfTrue="1" operator="equal">
      <formula>"OK"</formula>
    </cfRule>
    <cfRule type="cellIs" dxfId="802" priority="173" stopIfTrue="1" operator="equal">
      <formula>"WARNING"</formula>
    </cfRule>
  </conditionalFormatting>
  <conditionalFormatting sqref="C178">
    <cfRule type="cellIs" dxfId="801" priority="124" stopIfTrue="1" operator="equal">
      <formula>"ERROR"</formula>
    </cfRule>
  </conditionalFormatting>
  <conditionalFormatting sqref="C178">
    <cfRule type="cellIs" dxfId="800" priority="125" stopIfTrue="1" operator="equal">
      <formula>"OK"</formula>
    </cfRule>
  </conditionalFormatting>
  <conditionalFormatting sqref="C178">
    <cfRule type="cellIs" dxfId="799" priority="126" stopIfTrue="1" operator="equal">
      <formula>"WARNING"</formula>
    </cfRule>
  </conditionalFormatting>
  <conditionalFormatting sqref="N183:N200">
    <cfRule type="cellIs" dxfId="798" priority="121" stopIfTrue="1" operator="equal">
      <formula>"ERROR"</formula>
    </cfRule>
    <cfRule type="cellIs" dxfId="797" priority="122" stopIfTrue="1" operator="equal">
      <formula>"OK"</formula>
    </cfRule>
    <cfRule type="cellIs" dxfId="796" priority="123" stopIfTrue="1" operator="equal">
      <formula>"WARNING"</formula>
    </cfRule>
  </conditionalFormatting>
  <conditionalFormatting sqref="AQ79">
    <cfRule type="cellIs" dxfId="795" priority="118" stopIfTrue="1" operator="equal">
      <formula>"ERROR"</formula>
    </cfRule>
    <cfRule type="cellIs" dxfId="794" priority="119" stopIfTrue="1" operator="equal">
      <formula>"OK"</formula>
    </cfRule>
    <cfRule type="cellIs" dxfId="793" priority="120" stopIfTrue="1" operator="equal">
      <formula>"WARNING"</formula>
    </cfRule>
  </conditionalFormatting>
  <conditionalFormatting sqref="C89">
    <cfRule type="cellIs" dxfId="792" priority="112" stopIfTrue="1" operator="equal">
      <formula>"ERROR"</formula>
    </cfRule>
  </conditionalFormatting>
  <conditionalFormatting sqref="C89">
    <cfRule type="cellIs" dxfId="791" priority="113" stopIfTrue="1" operator="equal">
      <formula>"OK"</formula>
    </cfRule>
  </conditionalFormatting>
  <conditionalFormatting sqref="C89">
    <cfRule type="cellIs" dxfId="790" priority="114" stopIfTrue="1" operator="equal">
      <formula>"WARNING"</formula>
    </cfRule>
  </conditionalFormatting>
  <conditionalFormatting sqref="G94">
    <cfRule type="cellIs" dxfId="789" priority="115" stopIfTrue="1" operator="equal">
      <formula>"ERROR"</formula>
    </cfRule>
    <cfRule type="cellIs" dxfId="788" priority="116" stopIfTrue="1" operator="equal">
      <formula>"OK"</formula>
    </cfRule>
    <cfRule type="cellIs" dxfId="787" priority="117" stopIfTrue="1" operator="equal">
      <formula>"WARNING"</formula>
    </cfRule>
  </conditionalFormatting>
  <conditionalFormatting sqref="N94">
    <cfRule type="cellIs" dxfId="786" priority="109" stopIfTrue="1" operator="equal">
      <formula>"ERROR"</formula>
    </cfRule>
    <cfRule type="cellIs" dxfId="785" priority="110" stopIfTrue="1" operator="equal">
      <formula>"OK"</formula>
    </cfRule>
    <cfRule type="cellIs" dxfId="784" priority="111" stopIfTrue="1" operator="equal">
      <formula>"WARNING"</formula>
    </cfRule>
  </conditionalFormatting>
  <conditionalFormatting sqref="W94">
    <cfRule type="cellIs" dxfId="783" priority="106" stopIfTrue="1" operator="equal">
      <formula>"ERROR"</formula>
    </cfRule>
    <cfRule type="cellIs" dxfId="782" priority="107" stopIfTrue="1" operator="equal">
      <formula>"OK"</formula>
    </cfRule>
    <cfRule type="cellIs" dxfId="781" priority="108" stopIfTrue="1" operator="equal">
      <formula>"WARNING"</formula>
    </cfRule>
  </conditionalFormatting>
  <conditionalFormatting sqref="AJ94">
    <cfRule type="cellIs" dxfId="780" priority="103" stopIfTrue="1" operator="equal">
      <formula>"ERROR"</formula>
    </cfRule>
    <cfRule type="cellIs" dxfId="779" priority="104" stopIfTrue="1" operator="equal">
      <formula>"OK"</formula>
    </cfRule>
    <cfRule type="cellIs" dxfId="778" priority="105" stopIfTrue="1" operator="equal">
      <formula>"WARNING"</formula>
    </cfRule>
  </conditionalFormatting>
  <conditionalFormatting sqref="C104">
    <cfRule type="cellIs" dxfId="777" priority="97" stopIfTrue="1" operator="equal">
      <formula>"ERROR"</formula>
    </cfRule>
  </conditionalFormatting>
  <conditionalFormatting sqref="C104">
    <cfRule type="cellIs" dxfId="776" priority="98" stopIfTrue="1" operator="equal">
      <formula>"OK"</formula>
    </cfRule>
  </conditionalFormatting>
  <conditionalFormatting sqref="C104">
    <cfRule type="cellIs" dxfId="775" priority="99" stopIfTrue="1" operator="equal">
      <formula>"WARNING"</formula>
    </cfRule>
  </conditionalFormatting>
  <conditionalFormatting sqref="G109">
    <cfRule type="cellIs" dxfId="774" priority="100" stopIfTrue="1" operator="equal">
      <formula>"ERROR"</formula>
    </cfRule>
    <cfRule type="cellIs" dxfId="773" priority="101" stopIfTrue="1" operator="equal">
      <formula>"OK"</formula>
    </cfRule>
    <cfRule type="cellIs" dxfId="772" priority="102" stopIfTrue="1" operator="equal">
      <formula>"WARNING"</formula>
    </cfRule>
  </conditionalFormatting>
  <conditionalFormatting sqref="N109">
    <cfRule type="cellIs" dxfId="771" priority="94" stopIfTrue="1" operator="equal">
      <formula>"ERROR"</formula>
    </cfRule>
    <cfRule type="cellIs" dxfId="770" priority="95" stopIfTrue="1" operator="equal">
      <formula>"OK"</formula>
    </cfRule>
    <cfRule type="cellIs" dxfId="769" priority="96" stopIfTrue="1" operator="equal">
      <formula>"WARNING"</formula>
    </cfRule>
  </conditionalFormatting>
  <conditionalFormatting sqref="W109">
    <cfRule type="cellIs" dxfId="768" priority="91" stopIfTrue="1" operator="equal">
      <formula>"ERROR"</formula>
    </cfRule>
    <cfRule type="cellIs" dxfId="767" priority="92" stopIfTrue="1" operator="equal">
      <formula>"OK"</formula>
    </cfRule>
    <cfRule type="cellIs" dxfId="766" priority="93" stopIfTrue="1" operator="equal">
      <formula>"WARNING"</formula>
    </cfRule>
  </conditionalFormatting>
  <conditionalFormatting sqref="AJ109">
    <cfRule type="cellIs" dxfId="765" priority="88" stopIfTrue="1" operator="equal">
      <formula>"ERROR"</formula>
    </cfRule>
    <cfRule type="cellIs" dxfId="764" priority="89" stopIfTrue="1" operator="equal">
      <formula>"OK"</formula>
    </cfRule>
    <cfRule type="cellIs" dxfId="763" priority="90" stopIfTrue="1" operator="equal">
      <formula>"WARNING"</formula>
    </cfRule>
  </conditionalFormatting>
  <conditionalFormatting sqref="G124">
    <cfRule type="cellIs" dxfId="762" priority="82" stopIfTrue="1" operator="equal">
      <formula>"ERROR"</formula>
    </cfRule>
    <cfRule type="cellIs" dxfId="761" priority="83" stopIfTrue="1" operator="equal">
      <formula>"OK"</formula>
    </cfRule>
    <cfRule type="cellIs" dxfId="760" priority="84" stopIfTrue="1" operator="equal">
      <formula>"WARNING"</formula>
    </cfRule>
  </conditionalFormatting>
  <conditionalFormatting sqref="C119">
    <cfRule type="cellIs" dxfId="759" priority="79" stopIfTrue="1" operator="equal">
      <formula>"ERROR"</formula>
    </cfRule>
  </conditionalFormatting>
  <conditionalFormatting sqref="C119">
    <cfRule type="cellIs" dxfId="758" priority="80" stopIfTrue="1" operator="equal">
      <formula>"OK"</formula>
    </cfRule>
  </conditionalFormatting>
  <conditionalFormatting sqref="C119">
    <cfRule type="cellIs" dxfId="757" priority="81" stopIfTrue="1" operator="equal">
      <formula>"WARNING"</formula>
    </cfRule>
  </conditionalFormatting>
  <conditionalFormatting sqref="O124">
    <cfRule type="cellIs" dxfId="756" priority="76" stopIfTrue="1" operator="equal">
      <formula>"ERROR"</formula>
    </cfRule>
    <cfRule type="cellIs" dxfId="755" priority="77" stopIfTrue="1" operator="equal">
      <formula>"OK"</formula>
    </cfRule>
    <cfRule type="cellIs" dxfId="754" priority="78" stopIfTrue="1" operator="equal">
      <formula>"WARNING"</formula>
    </cfRule>
  </conditionalFormatting>
  <conditionalFormatting sqref="AC124">
    <cfRule type="cellIs" dxfId="753" priority="73" stopIfTrue="1" operator="equal">
      <formula>"ERROR"</formula>
    </cfRule>
    <cfRule type="cellIs" dxfId="752" priority="74" stopIfTrue="1" operator="equal">
      <formula>"OK"</formula>
    </cfRule>
    <cfRule type="cellIs" dxfId="751" priority="75" stopIfTrue="1" operator="equal">
      <formula>"WARNING"</formula>
    </cfRule>
  </conditionalFormatting>
  <conditionalFormatting sqref="AS124">
    <cfRule type="cellIs" dxfId="750" priority="70" stopIfTrue="1" operator="equal">
      <formula>"ERROR"</formula>
    </cfRule>
    <cfRule type="cellIs" dxfId="749" priority="71" stopIfTrue="1" operator="equal">
      <formula>"OK"</formula>
    </cfRule>
    <cfRule type="cellIs" dxfId="748" priority="72" stopIfTrue="1" operator="equal">
      <formula>"WARNING"</formula>
    </cfRule>
  </conditionalFormatting>
  <conditionalFormatting sqref="AA183">
    <cfRule type="cellIs" dxfId="747" priority="67" stopIfTrue="1" operator="equal">
      <formula>"ERROR"</formula>
    </cfRule>
    <cfRule type="cellIs" dxfId="746" priority="68" stopIfTrue="1" operator="equal">
      <formula>"OK"</formula>
    </cfRule>
    <cfRule type="cellIs" dxfId="745" priority="69" stopIfTrue="1" operator="equal">
      <formula>"WARNING"</formula>
    </cfRule>
  </conditionalFormatting>
  <conditionalFormatting sqref="C221">
    <cfRule type="cellIs" dxfId="744" priority="64" stopIfTrue="1" operator="equal">
      <formula>"ERROR"</formula>
    </cfRule>
  </conditionalFormatting>
  <conditionalFormatting sqref="C221">
    <cfRule type="cellIs" dxfId="743" priority="65" stopIfTrue="1" operator="equal">
      <formula>"OK"</formula>
    </cfRule>
  </conditionalFormatting>
  <conditionalFormatting sqref="C221">
    <cfRule type="cellIs" dxfId="742" priority="66" stopIfTrue="1" operator="equal">
      <formula>"WARNING"</formula>
    </cfRule>
  </conditionalFormatting>
  <conditionalFormatting sqref="H226:I230">
    <cfRule type="cellIs" dxfId="741" priority="174" stopIfTrue="1" operator="equal">
      <formula>"ERROR"</formula>
    </cfRule>
  </conditionalFormatting>
  <conditionalFormatting sqref="H226:I230">
    <cfRule type="cellIs" dxfId="740" priority="175" stopIfTrue="1" operator="equal">
      <formula>"OK"</formula>
    </cfRule>
  </conditionalFormatting>
  <conditionalFormatting sqref="H226:I230">
    <cfRule type="cellIs" dxfId="739" priority="176" stopIfTrue="1" operator="equal">
      <formula>"WARNING"</formula>
    </cfRule>
  </conditionalFormatting>
  <conditionalFormatting sqref="D16:D17">
    <cfRule type="cellIs" dxfId="738" priority="177" stopIfTrue="1" operator="equal">
      <formula>"ERROR"</formula>
    </cfRule>
    <cfRule type="cellIs" dxfId="737" priority="178" stopIfTrue="1" operator="equal">
      <formula>"OK"</formula>
    </cfRule>
    <cfRule type="cellIs" dxfId="736" priority="179" stopIfTrue="1" operator="equal">
      <formula>"WARNING"</formula>
    </cfRule>
  </conditionalFormatting>
  <conditionalFormatting sqref="D18:D19">
    <cfRule type="cellIs" dxfId="735" priority="180" stopIfTrue="1" operator="equal">
      <formula>"ERROR"</formula>
    </cfRule>
    <cfRule type="cellIs" dxfId="734" priority="181" stopIfTrue="1" operator="equal">
      <formula>"OK"</formula>
    </cfRule>
    <cfRule type="cellIs" dxfId="733" priority="182" stopIfTrue="1" operator="equal">
      <formula>"WARNING"</formula>
    </cfRule>
  </conditionalFormatting>
  <conditionalFormatting sqref="C236">
    <cfRule type="cellIs" dxfId="732" priority="58" stopIfTrue="1" operator="equal">
      <formula>"ERROR"</formula>
    </cfRule>
  </conditionalFormatting>
  <conditionalFormatting sqref="C236">
    <cfRule type="cellIs" dxfId="731" priority="59" stopIfTrue="1" operator="equal">
      <formula>"OK"</formula>
    </cfRule>
  </conditionalFormatting>
  <conditionalFormatting sqref="C236">
    <cfRule type="cellIs" dxfId="730" priority="60" stopIfTrue="1" operator="equal">
      <formula>"WARNING"</formula>
    </cfRule>
  </conditionalFormatting>
  <conditionalFormatting sqref="L241:O245">
    <cfRule type="cellIs" dxfId="729" priority="61" stopIfTrue="1" operator="equal">
      <formula>"ERROR"</formula>
    </cfRule>
  </conditionalFormatting>
  <conditionalFormatting sqref="L241:O245">
    <cfRule type="cellIs" dxfId="728" priority="62" stopIfTrue="1" operator="equal">
      <formula>"OK"</formula>
    </cfRule>
  </conditionalFormatting>
  <conditionalFormatting sqref="L241:O245">
    <cfRule type="cellIs" dxfId="727" priority="63" stopIfTrue="1" operator="equal">
      <formula>"WARNING"</formula>
    </cfRule>
  </conditionalFormatting>
  <conditionalFormatting sqref="C133">
    <cfRule type="cellIs" dxfId="726" priority="55" stopIfTrue="1" operator="equal">
      <formula>"ERROR"</formula>
    </cfRule>
  </conditionalFormatting>
  <conditionalFormatting sqref="C133">
    <cfRule type="cellIs" dxfId="725" priority="56" stopIfTrue="1" operator="equal">
      <formula>"OK"</formula>
    </cfRule>
  </conditionalFormatting>
  <conditionalFormatting sqref="C133">
    <cfRule type="cellIs" dxfId="724" priority="57" stopIfTrue="1" operator="equal">
      <formula>"WARNING"</formula>
    </cfRule>
  </conditionalFormatting>
  <conditionalFormatting sqref="L138:O172">
    <cfRule type="cellIs" dxfId="723" priority="183" stopIfTrue="1" operator="equal">
      <formula>"ERROR"</formula>
    </cfRule>
  </conditionalFormatting>
  <conditionalFormatting sqref="L138:O172">
    <cfRule type="cellIs" dxfId="722" priority="184" stopIfTrue="1" operator="equal">
      <formula>"OK"</formula>
    </cfRule>
  </conditionalFormatting>
  <conditionalFormatting sqref="L138:O172">
    <cfRule type="cellIs" dxfId="721" priority="185" stopIfTrue="1" operator="equal">
      <formula>"WARNING"</formula>
    </cfRule>
  </conditionalFormatting>
  <conditionalFormatting sqref="C205">
    <cfRule type="cellIs" dxfId="720" priority="52" stopIfTrue="1" operator="equal">
      <formula>"ERROR"</formula>
    </cfRule>
  </conditionalFormatting>
  <conditionalFormatting sqref="C205">
    <cfRule type="cellIs" dxfId="719" priority="53" stopIfTrue="1" operator="equal">
      <formula>"OK"</formula>
    </cfRule>
  </conditionalFormatting>
  <conditionalFormatting sqref="C205">
    <cfRule type="cellIs" dxfId="718" priority="54" stopIfTrue="1" operator="equal">
      <formula>"WARNING"</formula>
    </cfRule>
  </conditionalFormatting>
  <conditionalFormatting sqref="G210:G214">
    <cfRule type="cellIs" dxfId="717" priority="186" stopIfTrue="1" operator="equal">
      <formula>"ERROR"</formula>
    </cfRule>
  </conditionalFormatting>
  <conditionalFormatting sqref="G210:G214">
    <cfRule type="cellIs" dxfId="716" priority="187" stopIfTrue="1" operator="equal">
      <formula>"OK"</formula>
    </cfRule>
  </conditionalFormatting>
  <conditionalFormatting sqref="G210:G214">
    <cfRule type="cellIs" dxfId="715" priority="188" stopIfTrue="1" operator="equal">
      <formula>"WARNING"</formula>
    </cfRule>
  </conditionalFormatting>
  <conditionalFormatting sqref="N210:N214">
    <cfRule type="cellIs" dxfId="714" priority="49" stopIfTrue="1" operator="equal">
      <formula>"ERROR"</formula>
    </cfRule>
  </conditionalFormatting>
  <conditionalFormatting sqref="N210:N214">
    <cfRule type="cellIs" dxfId="713" priority="50" stopIfTrue="1" operator="equal">
      <formula>"OK"</formula>
    </cfRule>
  </conditionalFormatting>
  <conditionalFormatting sqref="N210:N214">
    <cfRule type="cellIs" dxfId="712" priority="51" stopIfTrue="1" operator="equal">
      <formula>"WARNING"</formula>
    </cfRule>
  </conditionalFormatting>
  <conditionalFormatting sqref="U210:U214">
    <cfRule type="cellIs" dxfId="711" priority="46" stopIfTrue="1" operator="equal">
      <formula>"ERROR"</formula>
    </cfRule>
  </conditionalFormatting>
  <conditionalFormatting sqref="U210:U214">
    <cfRule type="cellIs" dxfId="710" priority="47" stopIfTrue="1" operator="equal">
      <formula>"OK"</formula>
    </cfRule>
  </conditionalFormatting>
  <conditionalFormatting sqref="U210:U214">
    <cfRule type="cellIs" dxfId="709" priority="48" stopIfTrue="1" operator="equal">
      <formula>"WARNING"</formula>
    </cfRule>
  </conditionalFormatting>
  <conditionalFormatting sqref="AI210">
    <cfRule type="cellIs" dxfId="708" priority="43" stopIfTrue="1" operator="equal">
      <formula>"ERROR"</formula>
    </cfRule>
  </conditionalFormatting>
  <conditionalFormatting sqref="AI210">
    <cfRule type="cellIs" dxfId="707" priority="44" stopIfTrue="1" operator="equal">
      <formula>"OK"</formula>
    </cfRule>
  </conditionalFormatting>
  <conditionalFormatting sqref="AI210">
    <cfRule type="cellIs" dxfId="706" priority="45" stopIfTrue="1" operator="equal">
      <formula>"WARNING"</formula>
    </cfRule>
  </conditionalFormatting>
  <conditionalFormatting sqref="C250">
    <cfRule type="cellIs" dxfId="705" priority="40" stopIfTrue="1" operator="equal">
      <formula>"ERROR"</formula>
    </cfRule>
  </conditionalFormatting>
  <conditionalFormatting sqref="C250">
    <cfRule type="cellIs" dxfId="704" priority="41" stopIfTrue="1" operator="equal">
      <formula>"OK"</formula>
    </cfRule>
  </conditionalFormatting>
  <conditionalFormatting sqref="C250">
    <cfRule type="cellIs" dxfId="703" priority="42" stopIfTrue="1" operator="equal">
      <formula>"WARNING"</formula>
    </cfRule>
  </conditionalFormatting>
  <conditionalFormatting sqref="E255:E261">
    <cfRule type="cellIs" dxfId="702" priority="189" stopIfTrue="1" operator="equal">
      <formula>"ERROR"</formula>
    </cfRule>
  </conditionalFormatting>
  <conditionalFormatting sqref="E255:E261">
    <cfRule type="cellIs" dxfId="701" priority="190" stopIfTrue="1" operator="equal">
      <formula>"OK"</formula>
    </cfRule>
  </conditionalFormatting>
  <conditionalFormatting sqref="E255:E261">
    <cfRule type="cellIs" dxfId="700" priority="191" stopIfTrue="1" operator="equal">
      <formula>"WARNING"</formula>
    </cfRule>
  </conditionalFormatting>
  <conditionalFormatting sqref="D20">
    <cfRule type="cellIs" dxfId="699" priority="37" stopIfTrue="1" operator="equal">
      <formula>"ERROR"</formula>
    </cfRule>
    <cfRule type="cellIs" dxfId="698" priority="38" stopIfTrue="1" operator="equal">
      <formula>"OK"</formula>
    </cfRule>
    <cfRule type="cellIs" dxfId="697" priority="39" stopIfTrue="1" operator="equal">
      <formula>"WARNING"</formula>
    </cfRule>
  </conditionalFormatting>
  <conditionalFormatting sqref="C62">
    <cfRule type="cellIs" dxfId="696" priority="34" stopIfTrue="1" operator="equal">
      <formula>"ERROR"</formula>
    </cfRule>
  </conditionalFormatting>
  <conditionalFormatting sqref="C62">
    <cfRule type="cellIs" dxfId="695" priority="35" stopIfTrue="1" operator="equal">
      <formula>"OK"</formula>
    </cfRule>
  </conditionalFormatting>
  <conditionalFormatting sqref="C62">
    <cfRule type="cellIs" dxfId="694" priority="36" stopIfTrue="1" operator="equal">
      <formula>"WARNING"</formula>
    </cfRule>
  </conditionalFormatting>
  <conditionalFormatting sqref="G67">
    <cfRule type="cellIs" dxfId="693" priority="31" stopIfTrue="1" operator="equal">
      <formula>"ERROR"</formula>
    </cfRule>
    <cfRule type="cellIs" dxfId="692" priority="32" stopIfTrue="1" operator="equal">
      <formula>"OK"</formula>
    </cfRule>
    <cfRule type="cellIs" dxfId="691" priority="33" stopIfTrue="1" operator="equal">
      <formula>"WARNING"</formula>
    </cfRule>
  </conditionalFormatting>
  <conditionalFormatting sqref="C38">
    <cfRule type="cellIs" dxfId="690" priority="28" stopIfTrue="1" operator="equal">
      <formula>"ERROR"</formula>
    </cfRule>
  </conditionalFormatting>
  <conditionalFormatting sqref="C38">
    <cfRule type="cellIs" dxfId="689" priority="29" stopIfTrue="1" operator="equal">
      <formula>"OK"</formula>
    </cfRule>
  </conditionalFormatting>
  <conditionalFormatting sqref="C38">
    <cfRule type="cellIs" dxfId="688" priority="30" stopIfTrue="1" operator="equal">
      <formula>"WARNING"</formula>
    </cfRule>
  </conditionalFormatting>
  <conditionalFormatting sqref="G43">
    <cfRule type="cellIs" dxfId="687" priority="25" stopIfTrue="1" operator="equal">
      <formula>"ERROR"</formula>
    </cfRule>
    <cfRule type="cellIs" dxfId="686" priority="26" stopIfTrue="1" operator="equal">
      <formula>"OK"</formula>
    </cfRule>
    <cfRule type="cellIs" dxfId="685" priority="27" stopIfTrue="1" operator="equal">
      <formula>"WARNING"</formula>
    </cfRule>
  </conditionalFormatting>
  <conditionalFormatting sqref="D8:D10">
    <cfRule type="cellIs" dxfId="684" priority="22" stopIfTrue="1" operator="equal">
      <formula>"ERROR"</formula>
    </cfRule>
    <cfRule type="cellIs" dxfId="683" priority="23" stopIfTrue="1" operator="equal">
      <formula>"OK"</formula>
    </cfRule>
    <cfRule type="cellIs" dxfId="682" priority="24" stopIfTrue="1" operator="equal">
      <formula>"WARNING"</formula>
    </cfRule>
  </conditionalFormatting>
  <conditionalFormatting sqref="C50">
    <cfRule type="cellIs" dxfId="681" priority="19" stopIfTrue="1" operator="equal">
      <formula>"ERROR"</formula>
    </cfRule>
  </conditionalFormatting>
  <conditionalFormatting sqref="C50">
    <cfRule type="cellIs" dxfId="680" priority="20" stopIfTrue="1" operator="equal">
      <formula>"OK"</formula>
    </cfRule>
  </conditionalFormatting>
  <conditionalFormatting sqref="C50">
    <cfRule type="cellIs" dxfId="679" priority="21" stopIfTrue="1" operator="equal">
      <formula>"WARNING"</formula>
    </cfRule>
  </conditionalFormatting>
  <conditionalFormatting sqref="G55">
    <cfRule type="cellIs" dxfId="678" priority="16" stopIfTrue="1" operator="equal">
      <formula>"ERROR"</formula>
    </cfRule>
    <cfRule type="cellIs" dxfId="677" priority="17" stopIfTrue="1" operator="equal">
      <formula>"OK"</formula>
    </cfRule>
    <cfRule type="cellIs" dxfId="676" priority="18" stopIfTrue="1" operator="equal">
      <formula>"WARNING"</formula>
    </cfRule>
  </conditionalFormatting>
  <conditionalFormatting sqref="N79">
    <cfRule type="cellIs" dxfId="675" priority="13" stopIfTrue="1" operator="equal">
      <formula>"ERROR"</formula>
    </cfRule>
    <cfRule type="cellIs" dxfId="674" priority="14" stopIfTrue="1" operator="equal">
      <formula>"OK"</formula>
    </cfRule>
    <cfRule type="cellIs" dxfId="673" priority="15" stopIfTrue="1" operator="equal">
      <formula>"WARNING"</formula>
    </cfRule>
  </conditionalFormatting>
  <conditionalFormatting sqref="C26">
    <cfRule type="cellIs" dxfId="672" priority="10" stopIfTrue="1" operator="equal">
      <formula>"ERROR"</formula>
    </cfRule>
  </conditionalFormatting>
  <conditionalFormatting sqref="C26">
    <cfRule type="cellIs" dxfId="671" priority="11" stopIfTrue="1" operator="equal">
      <formula>"OK"</formula>
    </cfRule>
  </conditionalFormatting>
  <conditionalFormatting sqref="C26">
    <cfRule type="cellIs" dxfId="670" priority="12" stopIfTrue="1" operator="equal">
      <formula>"WARNING"</formula>
    </cfRule>
  </conditionalFormatting>
  <conditionalFormatting sqref="G31">
    <cfRule type="cellIs" dxfId="669" priority="7" stopIfTrue="1" operator="equal">
      <formula>"ERROR"</formula>
    </cfRule>
    <cfRule type="cellIs" dxfId="668" priority="8" stopIfTrue="1" operator="equal">
      <formula>"OK"</formula>
    </cfRule>
    <cfRule type="cellIs" dxfId="667" priority="9" stopIfTrue="1" operator="equal">
      <formula>"WARNING"</formula>
    </cfRule>
  </conditionalFormatting>
  <conditionalFormatting sqref="D7">
    <cfRule type="cellIs" dxfId="666" priority="1" stopIfTrue="1" operator="equal">
      <formula>"ERROR"</formula>
    </cfRule>
    <cfRule type="cellIs" dxfId="665" priority="2" stopIfTrue="1" operator="equal">
      <formula>"OK"</formula>
    </cfRule>
    <cfRule type="cellIs" dxfId="66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601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603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602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604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663" priority="145" stopIfTrue="1" operator="equal">
      <formula>"ERROR"</formula>
    </cfRule>
    <cfRule type="cellIs" dxfId="662" priority="146" stopIfTrue="1" operator="equal">
      <formula>"OK"</formula>
    </cfRule>
    <cfRule type="cellIs" dxfId="661" priority="147" stopIfTrue="1" operator="equal">
      <formula>"WARNING"</formula>
    </cfRule>
  </conditionalFormatting>
  <conditionalFormatting sqref="C4">
    <cfRule type="cellIs" dxfId="660" priority="142" stopIfTrue="1" operator="equal">
      <formula>"ERROR"</formula>
    </cfRule>
    <cfRule type="cellIs" dxfId="659" priority="143" stopIfTrue="1" operator="equal">
      <formula>"OK"</formula>
    </cfRule>
    <cfRule type="cellIs" dxfId="658" priority="144" stopIfTrue="1" operator="equal">
      <formula>"WARNING"</formula>
    </cfRule>
  </conditionalFormatting>
  <conditionalFormatting sqref="C14">
    <cfRule type="cellIs" dxfId="657" priority="139" stopIfTrue="1" operator="equal">
      <formula>"ERROR"</formula>
    </cfRule>
  </conditionalFormatting>
  <conditionalFormatting sqref="C14">
    <cfRule type="cellIs" dxfId="656" priority="140" stopIfTrue="1" operator="equal">
      <formula>"OK"</formula>
    </cfRule>
  </conditionalFormatting>
  <conditionalFormatting sqref="C14">
    <cfRule type="cellIs" dxfId="655" priority="141" stopIfTrue="1" operator="equal">
      <formula>"WARNING"</formula>
    </cfRule>
  </conditionalFormatting>
  <conditionalFormatting sqref="H19">
    <cfRule type="cellIs" dxfId="654" priority="148" stopIfTrue="1" operator="equal">
      <formula>"ERROR"</formula>
    </cfRule>
    <cfRule type="cellIs" dxfId="653" priority="149" stopIfTrue="1" operator="equal">
      <formula>"OK"</formula>
    </cfRule>
    <cfRule type="cellIs" dxfId="652" priority="150" stopIfTrue="1" operator="equal">
      <formula>"WARNING"</formula>
    </cfRule>
  </conditionalFormatting>
  <conditionalFormatting sqref="C38">
    <cfRule type="cellIs" dxfId="651" priority="118" stopIfTrue="1" operator="equal">
      <formula>"ERROR"</formula>
    </cfRule>
  </conditionalFormatting>
  <conditionalFormatting sqref="C38">
    <cfRule type="cellIs" dxfId="650" priority="119" stopIfTrue="1" operator="equal">
      <formula>"OK"</formula>
    </cfRule>
  </conditionalFormatting>
  <conditionalFormatting sqref="C38">
    <cfRule type="cellIs" dxfId="649" priority="120" stopIfTrue="1" operator="equal">
      <formula>"WARNING"</formula>
    </cfRule>
  </conditionalFormatting>
  <conditionalFormatting sqref="P19">
    <cfRule type="cellIs" dxfId="648" priority="49" stopIfTrue="1" operator="equal">
      <formula>"ERROR"</formula>
    </cfRule>
    <cfRule type="cellIs" dxfId="647" priority="50" stopIfTrue="1" operator="equal">
      <formula>"OK"</formula>
    </cfRule>
    <cfRule type="cellIs" dxfId="646" priority="51" stopIfTrue="1" operator="equal">
      <formula>"WARNING"</formula>
    </cfRule>
  </conditionalFormatting>
  <conditionalFormatting sqref="Y19">
    <cfRule type="cellIs" dxfId="645" priority="46" stopIfTrue="1" operator="equal">
      <formula>"ERROR"</formula>
    </cfRule>
    <cfRule type="cellIs" dxfId="644" priority="47" stopIfTrue="1" operator="equal">
      <formula>"OK"</formula>
    </cfRule>
    <cfRule type="cellIs" dxfId="643" priority="48" stopIfTrue="1" operator="equal">
      <formula>"WARNING"</formula>
    </cfRule>
  </conditionalFormatting>
  <conditionalFormatting sqref="AG19">
    <cfRule type="cellIs" dxfId="642" priority="43" stopIfTrue="1" operator="equal">
      <formula>"ERROR"</formula>
    </cfRule>
    <cfRule type="cellIs" dxfId="641" priority="44" stopIfTrue="1" operator="equal">
      <formula>"OK"</formula>
    </cfRule>
    <cfRule type="cellIs" dxfId="640" priority="45" stopIfTrue="1" operator="equal">
      <formula>"WARNING"</formula>
    </cfRule>
  </conditionalFormatting>
  <conditionalFormatting sqref="AU19">
    <cfRule type="cellIs" dxfId="639" priority="40" stopIfTrue="1" operator="equal">
      <formula>"ERROR"</formula>
    </cfRule>
    <cfRule type="cellIs" dxfId="638" priority="41" stopIfTrue="1" operator="equal">
      <formula>"OK"</formula>
    </cfRule>
    <cfRule type="cellIs" dxfId="637" priority="42" stopIfTrue="1" operator="equal">
      <formula>"WARNING"</formula>
    </cfRule>
  </conditionalFormatting>
  <conditionalFormatting sqref="BI19">
    <cfRule type="cellIs" dxfId="636" priority="37" stopIfTrue="1" operator="equal">
      <formula>"ERROR"</formula>
    </cfRule>
    <cfRule type="cellIs" dxfId="635" priority="38" stopIfTrue="1" operator="equal">
      <formula>"OK"</formula>
    </cfRule>
    <cfRule type="cellIs" dxfId="634" priority="39" stopIfTrue="1" operator="equal">
      <formula>"WARNING"</formula>
    </cfRule>
  </conditionalFormatting>
  <conditionalFormatting sqref="CI19">
    <cfRule type="cellIs" dxfId="633" priority="34" stopIfTrue="1" operator="equal">
      <formula>"ERROR"</formula>
    </cfRule>
    <cfRule type="cellIs" dxfId="632" priority="35" stopIfTrue="1" operator="equal">
      <formula>"OK"</formula>
    </cfRule>
    <cfRule type="cellIs" dxfId="631" priority="36" stopIfTrue="1" operator="equal">
      <formula>"WARNING"</formula>
    </cfRule>
  </conditionalFormatting>
  <conditionalFormatting sqref="L43">
    <cfRule type="cellIs" dxfId="630" priority="28" stopIfTrue="1" operator="equal">
      <formula>"ERROR"</formula>
    </cfRule>
    <cfRule type="cellIs" dxfId="629" priority="29" stopIfTrue="1" operator="equal">
      <formula>"OK"</formula>
    </cfRule>
    <cfRule type="cellIs" dxfId="628" priority="30" stopIfTrue="1" operator="equal">
      <formula>"WARNING"</formula>
    </cfRule>
  </conditionalFormatting>
  <conditionalFormatting sqref="Y43">
    <cfRule type="cellIs" dxfId="627" priority="25" stopIfTrue="1" operator="equal">
      <formula>"ERROR"</formula>
    </cfRule>
    <cfRule type="cellIs" dxfId="626" priority="26" stopIfTrue="1" operator="equal">
      <formula>"OK"</formula>
    </cfRule>
    <cfRule type="cellIs" dxfId="625" priority="27" stopIfTrue="1" operator="equal">
      <formula>"WARNING"</formula>
    </cfRule>
  </conditionalFormatting>
  <conditionalFormatting sqref="AK43">
    <cfRule type="cellIs" dxfId="624" priority="22" stopIfTrue="1" operator="equal">
      <formula>"ERROR"</formula>
    </cfRule>
    <cfRule type="cellIs" dxfId="623" priority="23" stopIfTrue="1" operator="equal">
      <formula>"OK"</formula>
    </cfRule>
    <cfRule type="cellIs" dxfId="622" priority="24" stopIfTrue="1" operator="equal">
      <formula>"WARNING"</formula>
    </cfRule>
  </conditionalFormatting>
  <conditionalFormatting sqref="BC43">
    <cfRule type="cellIs" dxfId="621" priority="19" stopIfTrue="1" operator="equal">
      <formula>"ERROR"</formula>
    </cfRule>
    <cfRule type="cellIs" dxfId="620" priority="20" stopIfTrue="1" operator="equal">
      <formula>"OK"</formula>
    </cfRule>
    <cfRule type="cellIs" dxfId="619" priority="21" stopIfTrue="1" operator="equal">
      <formula>"WARNING"</formula>
    </cfRule>
  </conditionalFormatting>
  <conditionalFormatting sqref="BU43">
    <cfRule type="cellIs" dxfId="618" priority="16" stopIfTrue="1" operator="equal">
      <formula>"ERROR"</formula>
    </cfRule>
    <cfRule type="cellIs" dxfId="617" priority="17" stopIfTrue="1" operator="equal">
      <formula>"OK"</formula>
    </cfRule>
    <cfRule type="cellIs" dxfId="616" priority="18" stopIfTrue="1" operator="equal">
      <formula>"WARNING"</formula>
    </cfRule>
  </conditionalFormatting>
  <conditionalFormatting sqref="BW19">
    <cfRule type="cellIs" dxfId="615" priority="13" stopIfTrue="1" operator="equal">
      <formula>"ERROR"</formula>
    </cfRule>
    <cfRule type="cellIs" dxfId="614" priority="14" stopIfTrue="1" operator="equal">
      <formula>"OK"</formula>
    </cfRule>
    <cfRule type="cellIs" dxfId="613" priority="15" stopIfTrue="1" operator="equal">
      <formula>"WARNING"</formula>
    </cfRule>
  </conditionalFormatting>
  <conditionalFormatting sqref="C26">
    <cfRule type="cellIs" dxfId="612" priority="7" stopIfTrue="1" operator="equal">
      <formula>"ERROR"</formula>
    </cfRule>
  </conditionalFormatting>
  <conditionalFormatting sqref="C26">
    <cfRule type="cellIs" dxfId="611" priority="8" stopIfTrue="1" operator="equal">
      <formula>"OK"</formula>
    </cfRule>
  </conditionalFormatting>
  <conditionalFormatting sqref="C26">
    <cfRule type="cellIs" dxfId="610" priority="9" stopIfTrue="1" operator="equal">
      <formula>"WARNING"</formula>
    </cfRule>
  </conditionalFormatting>
  <conditionalFormatting sqref="J31">
    <cfRule type="cellIs" dxfId="609" priority="10" stopIfTrue="1" operator="equal">
      <formula>"ERROR"</formula>
    </cfRule>
    <cfRule type="cellIs" dxfId="608" priority="11" stopIfTrue="1" operator="equal">
      <formula>"OK"</formula>
    </cfRule>
    <cfRule type="cellIs" dxfId="607" priority="12" stopIfTrue="1" operator="equal">
      <formula>"WARNING"</formula>
    </cfRule>
  </conditionalFormatting>
  <conditionalFormatting sqref="X31">
    <cfRule type="cellIs" dxfId="606" priority="4" stopIfTrue="1" operator="equal">
      <formula>"ERROR"</formula>
    </cfRule>
    <cfRule type="cellIs" dxfId="605" priority="5" stopIfTrue="1" operator="equal">
      <formula>"OK"</formula>
    </cfRule>
    <cfRule type="cellIs" dxfId="604" priority="6" stopIfTrue="1" operator="equal">
      <formula>"WARNING"</formula>
    </cfRule>
  </conditionalFormatting>
  <conditionalFormatting sqref="AL31">
    <cfRule type="cellIs" dxfId="603" priority="1" stopIfTrue="1" operator="equal">
      <formula>"ERROR"</formula>
    </cfRule>
    <cfRule type="cellIs" dxfId="602" priority="2" stopIfTrue="1" operator="equal">
      <formula>"OK"</formula>
    </cfRule>
    <cfRule type="cellIs" dxfId="60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600" priority="106" stopIfTrue="1" operator="equal">
      <formula>"ERROR"</formula>
    </cfRule>
    <cfRule type="cellIs" dxfId="599" priority="107" stopIfTrue="1" operator="equal">
      <formula>"OK"</formula>
    </cfRule>
    <cfRule type="cellIs" dxfId="598" priority="108" stopIfTrue="1" operator="equal">
      <formula>"WARNING"</formula>
    </cfRule>
  </conditionalFormatting>
  <conditionalFormatting sqref="C4">
    <cfRule type="cellIs" dxfId="597" priority="103" stopIfTrue="1" operator="equal">
      <formula>"ERROR"</formula>
    </cfRule>
    <cfRule type="cellIs" dxfId="596" priority="104" stopIfTrue="1" operator="equal">
      <formula>"OK"</formula>
    </cfRule>
    <cfRule type="cellIs" dxfId="595" priority="105" stopIfTrue="1" operator="equal">
      <formula>"WARNING"</formula>
    </cfRule>
  </conditionalFormatting>
  <conditionalFormatting sqref="C15">
    <cfRule type="cellIs" dxfId="594" priority="100" stopIfTrue="1" operator="equal">
      <formula>"ERROR"</formula>
    </cfRule>
  </conditionalFormatting>
  <conditionalFormatting sqref="C15">
    <cfRule type="cellIs" dxfId="593" priority="101" stopIfTrue="1" operator="equal">
      <formula>"OK"</formula>
    </cfRule>
  </conditionalFormatting>
  <conditionalFormatting sqref="C15">
    <cfRule type="cellIs" dxfId="592" priority="102" stopIfTrue="1" operator="equal">
      <formula>"WARNING"</formula>
    </cfRule>
  </conditionalFormatting>
  <conditionalFormatting sqref="L20:N22">
    <cfRule type="cellIs" dxfId="591" priority="109" stopIfTrue="1" operator="equal">
      <formula>"ERROR"</formula>
    </cfRule>
    <cfRule type="cellIs" dxfId="590" priority="110" stopIfTrue="1" operator="equal">
      <formula>"OK"</formula>
    </cfRule>
    <cfRule type="cellIs" dxfId="589" priority="111" stopIfTrue="1" operator="equal">
      <formula>"WARNING"</formula>
    </cfRule>
  </conditionalFormatting>
  <conditionalFormatting sqref="E9">
    <cfRule type="cellIs" dxfId="588" priority="61" stopIfTrue="1" operator="equal">
      <formula>"ERROR"</formula>
    </cfRule>
    <cfRule type="cellIs" dxfId="587" priority="62" stopIfTrue="1" operator="equal">
      <formula>"OK"</formula>
    </cfRule>
    <cfRule type="cellIs" dxfId="586" priority="63" stopIfTrue="1" operator="equal">
      <formula>"WARNING"</formula>
    </cfRule>
  </conditionalFormatting>
  <conditionalFormatting sqref="Z20">
    <cfRule type="cellIs" dxfId="585" priority="58" stopIfTrue="1" operator="equal">
      <formula>"ERROR"</formula>
    </cfRule>
    <cfRule type="cellIs" dxfId="584" priority="59" stopIfTrue="1" operator="equal">
      <formula>"OK"</formula>
    </cfRule>
    <cfRule type="cellIs" dxfId="583" priority="60" stopIfTrue="1" operator="equal">
      <formula>"WARNING"</formula>
    </cfRule>
  </conditionalFormatting>
  <conditionalFormatting sqref="AL20">
    <cfRule type="cellIs" dxfId="582" priority="55" stopIfTrue="1" operator="equal">
      <formula>"ERROR"</formula>
    </cfRule>
    <cfRule type="cellIs" dxfId="581" priority="56" stopIfTrue="1" operator="equal">
      <formula>"OK"</formula>
    </cfRule>
    <cfRule type="cellIs" dxfId="580" priority="57" stopIfTrue="1" operator="equal">
      <formula>"WARNING"</formula>
    </cfRule>
  </conditionalFormatting>
  <conditionalFormatting sqref="AZ20">
    <cfRule type="cellIs" dxfId="579" priority="52" stopIfTrue="1" operator="equal">
      <formula>"ERROR"</formula>
    </cfRule>
    <cfRule type="cellIs" dxfId="578" priority="53" stopIfTrue="1" operator="equal">
      <formula>"OK"</formula>
    </cfRule>
    <cfRule type="cellIs" dxfId="577" priority="54" stopIfTrue="1" operator="equal">
      <formula>"WARNING"</formula>
    </cfRule>
  </conditionalFormatting>
  <conditionalFormatting sqref="C28">
    <cfRule type="cellIs" dxfId="576" priority="46" stopIfTrue="1" operator="equal">
      <formula>"ERROR"</formula>
    </cfRule>
  </conditionalFormatting>
  <conditionalFormatting sqref="C28">
    <cfRule type="cellIs" dxfId="575" priority="47" stopIfTrue="1" operator="equal">
      <formula>"OK"</formula>
    </cfRule>
  </conditionalFormatting>
  <conditionalFormatting sqref="C28">
    <cfRule type="cellIs" dxfId="574" priority="48" stopIfTrue="1" operator="equal">
      <formula>"WARNING"</formula>
    </cfRule>
  </conditionalFormatting>
  <conditionalFormatting sqref="L34:M35">
    <cfRule type="cellIs" dxfId="573" priority="49" stopIfTrue="1" operator="equal">
      <formula>"ERROR"</formula>
    </cfRule>
    <cfRule type="cellIs" dxfId="572" priority="50" stopIfTrue="1" operator="equal">
      <formula>"OK"</formula>
    </cfRule>
    <cfRule type="cellIs" dxfId="571" priority="51" stopIfTrue="1" operator="equal">
      <formula>"WARNING"</formula>
    </cfRule>
  </conditionalFormatting>
  <conditionalFormatting sqref="AB34:AD36">
    <cfRule type="cellIs" dxfId="570" priority="34" stopIfTrue="1" operator="equal">
      <formula>"ERROR"</formula>
    </cfRule>
    <cfRule type="cellIs" dxfId="569" priority="35" stopIfTrue="1" operator="equal">
      <formula>"OK"</formula>
    </cfRule>
    <cfRule type="cellIs" dxfId="568" priority="36" stopIfTrue="1" operator="equal">
      <formula>"WARNING"</formula>
    </cfRule>
  </conditionalFormatting>
  <conditionalFormatting sqref="C44">
    <cfRule type="cellIs" dxfId="567" priority="31" stopIfTrue="1" operator="equal">
      <formula>"ERROR"</formula>
    </cfRule>
  </conditionalFormatting>
  <conditionalFormatting sqref="C44">
    <cfRule type="cellIs" dxfId="566" priority="32" stopIfTrue="1" operator="equal">
      <formula>"OK"</formula>
    </cfRule>
  </conditionalFormatting>
  <conditionalFormatting sqref="C44">
    <cfRule type="cellIs" dxfId="565" priority="33" stopIfTrue="1" operator="equal">
      <formula>"WARNING"</formula>
    </cfRule>
  </conditionalFormatting>
  <conditionalFormatting sqref="J53:K53">
    <cfRule type="cellIs" dxfId="564" priority="28" stopIfTrue="1" operator="equal">
      <formula>"ERROR"</formula>
    </cfRule>
    <cfRule type="cellIs" dxfId="563" priority="29" stopIfTrue="1" operator="equal">
      <formula>"OK"</formula>
    </cfRule>
    <cfRule type="cellIs" dxfId="562" priority="30" stopIfTrue="1" operator="equal">
      <formula>"WARNING"</formula>
    </cfRule>
  </conditionalFormatting>
  <conditionalFormatting sqref="S53:T53">
    <cfRule type="cellIs" dxfId="561" priority="25" stopIfTrue="1" operator="equal">
      <formula>"ERROR"</formula>
    </cfRule>
    <cfRule type="cellIs" dxfId="560" priority="26" stopIfTrue="1" operator="equal">
      <formula>"OK"</formula>
    </cfRule>
    <cfRule type="cellIs" dxfId="559" priority="27" stopIfTrue="1" operator="equal">
      <formula>"WARNING"</formula>
    </cfRule>
  </conditionalFormatting>
  <conditionalFormatting sqref="AD53:AE53">
    <cfRule type="cellIs" dxfId="558" priority="16" stopIfTrue="1" operator="equal">
      <formula>"ERROR"</formula>
    </cfRule>
    <cfRule type="cellIs" dxfId="557" priority="17" stopIfTrue="1" operator="equal">
      <formula>"OK"</formula>
    </cfRule>
    <cfRule type="cellIs" dxfId="556" priority="18" stopIfTrue="1" operator="equal">
      <formula>"WARNING"</formula>
    </cfRule>
  </conditionalFormatting>
  <conditionalFormatting sqref="C95">
    <cfRule type="cellIs" dxfId="555" priority="13" stopIfTrue="1" operator="equal">
      <formula>"ERROR"</formula>
    </cfRule>
  </conditionalFormatting>
  <conditionalFormatting sqref="C95">
    <cfRule type="cellIs" dxfId="554" priority="14" stopIfTrue="1" operator="equal">
      <formula>"OK"</formula>
    </cfRule>
  </conditionalFormatting>
  <conditionalFormatting sqref="C95">
    <cfRule type="cellIs" dxfId="553" priority="15" stopIfTrue="1" operator="equal">
      <formula>"WARNING"</formula>
    </cfRule>
  </conditionalFormatting>
  <conditionalFormatting sqref="S103 U100">
    <cfRule type="cellIs" dxfId="552" priority="7" stopIfTrue="1" operator="equal">
      <formula>"ERROR"</formula>
    </cfRule>
    <cfRule type="cellIs" dxfId="551" priority="8" stopIfTrue="1" operator="equal">
      <formula>"OK"</formula>
    </cfRule>
    <cfRule type="cellIs" dxfId="550" priority="9" stopIfTrue="1" operator="equal">
      <formula>"WARNING"</formula>
    </cfRule>
  </conditionalFormatting>
  <conditionalFormatting sqref="E10">
    <cfRule type="cellIs" dxfId="549" priority="4" stopIfTrue="1" operator="equal">
      <formula>"ERROR"</formula>
    </cfRule>
    <cfRule type="cellIs" dxfId="548" priority="5" stopIfTrue="1" operator="equal">
      <formula>"OK"</formula>
    </cfRule>
    <cfRule type="cellIs" dxfId="547" priority="6" stopIfTrue="1" operator="equal">
      <formula>"WARNING"</formula>
    </cfRule>
  </conditionalFormatting>
  <conditionalFormatting sqref="AD103 AJ100">
    <cfRule type="cellIs" dxfId="546" priority="1" stopIfTrue="1" operator="equal">
      <formula>"ERROR"</formula>
    </cfRule>
    <cfRule type="cellIs" dxfId="545" priority="2" stopIfTrue="1" operator="equal">
      <formula>"OK"</formula>
    </cfRule>
    <cfRule type="cellIs" dxfId="54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543" priority="52" stopIfTrue="1" operator="equal">
      <formula>"ERROR"</formula>
    </cfRule>
    <cfRule type="cellIs" dxfId="542" priority="53" stopIfTrue="1" operator="equal">
      <formula>"OK"</formula>
    </cfRule>
    <cfRule type="cellIs" dxfId="541" priority="54" stopIfTrue="1" operator="equal">
      <formula>"WARNING"</formula>
    </cfRule>
  </conditionalFormatting>
  <conditionalFormatting sqref="C4">
    <cfRule type="cellIs" dxfId="540" priority="49" stopIfTrue="1" operator="equal">
      <formula>"ERROR"</formula>
    </cfRule>
    <cfRule type="cellIs" dxfId="539" priority="50" stopIfTrue="1" operator="equal">
      <formula>"OK"</formula>
    </cfRule>
    <cfRule type="cellIs" dxfId="538" priority="51" stopIfTrue="1" operator="equal">
      <formula>"WARNING"</formula>
    </cfRule>
  </conditionalFormatting>
  <conditionalFormatting sqref="C12">
    <cfRule type="cellIs" dxfId="537" priority="46" stopIfTrue="1" operator="equal">
      <formula>"ERROR"</formula>
    </cfRule>
  </conditionalFormatting>
  <conditionalFormatting sqref="C12">
    <cfRule type="cellIs" dxfId="536" priority="47" stopIfTrue="1" operator="equal">
      <formula>"OK"</formula>
    </cfRule>
  </conditionalFormatting>
  <conditionalFormatting sqref="C12">
    <cfRule type="cellIs" dxfId="535" priority="48" stopIfTrue="1" operator="equal">
      <formula>"WARNING"</formula>
    </cfRule>
  </conditionalFormatting>
  <conditionalFormatting sqref="I17:J17 T17">
    <cfRule type="cellIs" dxfId="534" priority="58" stopIfTrue="1" operator="equal">
      <formula>"ERROR"</formula>
    </cfRule>
    <cfRule type="cellIs" dxfId="533" priority="59" stopIfTrue="1" operator="equal">
      <formula>"OK"</formula>
    </cfRule>
    <cfRule type="cellIs" dxfId="532" priority="60" stopIfTrue="1" operator="equal">
      <formula>"WARNING"</formula>
    </cfRule>
  </conditionalFormatting>
  <conditionalFormatting sqref="AB17">
    <cfRule type="cellIs" dxfId="531" priority="34" stopIfTrue="1" operator="equal">
      <formula>"ERROR"</formula>
    </cfRule>
    <cfRule type="cellIs" dxfId="530" priority="35" stopIfTrue="1" operator="equal">
      <formula>"OK"</formula>
    </cfRule>
    <cfRule type="cellIs" dxfId="529" priority="36" stopIfTrue="1" operator="equal">
      <formula>"WARNING"</formula>
    </cfRule>
  </conditionalFormatting>
  <conditionalFormatting sqref="AK17">
    <cfRule type="cellIs" dxfId="528" priority="28" stopIfTrue="1" operator="equal">
      <formula>"ERROR"</formula>
    </cfRule>
    <cfRule type="cellIs" dxfId="527" priority="29" stopIfTrue="1" operator="equal">
      <formula>"OK"</formula>
    </cfRule>
    <cfRule type="cellIs" dxfId="526" priority="30" stopIfTrue="1" operator="equal">
      <formula>"WARNING"</formula>
    </cfRule>
  </conditionalFormatting>
  <conditionalFormatting sqref="R17:S20">
    <cfRule type="cellIs" dxfId="525" priority="22" stopIfTrue="1" operator="equal">
      <formula>"ERROR"</formula>
    </cfRule>
    <cfRule type="cellIs" dxfId="524" priority="23" stopIfTrue="1" operator="equal">
      <formula>"OK"</formula>
    </cfRule>
    <cfRule type="cellIs" dxfId="523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592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593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522" priority="55" stopIfTrue="1" operator="equal">
      <formula>"ERROR"</formula>
    </cfRule>
    <cfRule type="cellIs" dxfId="521" priority="56" stopIfTrue="1" operator="equal">
      <formula>"OK"</formula>
    </cfRule>
    <cfRule type="cellIs" dxfId="520" priority="57" stopIfTrue="1" operator="equal">
      <formula>"WARNING"</formula>
    </cfRule>
  </conditionalFormatting>
  <conditionalFormatting sqref="C4">
    <cfRule type="cellIs" dxfId="519" priority="52" stopIfTrue="1" operator="equal">
      <formula>"ERROR"</formula>
    </cfRule>
    <cfRule type="cellIs" dxfId="518" priority="53" stopIfTrue="1" operator="equal">
      <formula>"OK"</formula>
    </cfRule>
    <cfRule type="cellIs" dxfId="517" priority="54" stopIfTrue="1" operator="equal">
      <formula>"WARNING"</formula>
    </cfRule>
  </conditionalFormatting>
  <conditionalFormatting sqref="H17">
    <cfRule type="cellIs" dxfId="516" priority="58" stopIfTrue="1" operator="equal">
      <formula>"ERROR"</formula>
    </cfRule>
    <cfRule type="cellIs" dxfId="515" priority="59" stopIfTrue="1" operator="equal">
      <formula>"OK"</formula>
    </cfRule>
    <cfRule type="cellIs" dxfId="514" priority="60" stopIfTrue="1" operator="equal">
      <formula>"WARNING"</formula>
    </cfRule>
  </conditionalFormatting>
  <conditionalFormatting sqref="C12">
    <cfRule type="cellIs" dxfId="513" priority="46" stopIfTrue="1" operator="equal">
      <formula>"ERROR"</formula>
    </cfRule>
  </conditionalFormatting>
  <conditionalFormatting sqref="C12">
    <cfRule type="cellIs" dxfId="512" priority="47" stopIfTrue="1" operator="equal">
      <formula>"OK"</formula>
    </cfRule>
  </conditionalFormatting>
  <conditionalFormatting sqref="C12">
    <cfRule type="cellIs" dxfId="511" priority="48" stopIfTrue="1" operator="equal">
      <formula>"WARNING"</formula>
    </cfRule>
  </conditionalFormatting>
  <conditionalFormatting sqref="S17">
    <cfRule type="cellIs" dxfId="510" priority="10" stopIfTrue="1" operator="equal">
      <formula>"ERROR"</formula>
    </cfRule>
    <cfRule type="cellIs" dxfId="509" priority="11" stopIfTrue="1" operator="equal">
      <formula>"OK"</formula>
    </cfRule>
    <cfRule type="cellIs" dxfId="508" priority="12" stopIfTrue="1" operator="equal">
      <formula>"WARNING"</formula>
    </cfRule>
  </conditionalFormatting>
  <conditionalFormatting sqref="Z17">
    <cfRule type="cellIs" dxfId="507" priority="7" stopIfTrue="1" operator="equal">
      <formula>"ERROR"</formula>
    </cfRule>
    <cfRule type="cellIs" dxfId="506" priority="8" stopIfTrue="1" operator="equal">
      <formula>"OK"</formula>
    </cfRule>
    <cfRule type="cellIs" dxfId="505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zoomScale="85" zoomScaleNormal="85" workbookViewId="0">
      <selection activeCell="B6" sqref="B6:E7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  <row r="44" spans="9:9" x14ac:dyDescent="0.25">
      <c r="I44" s="455">
        <v>100</v>
      </c>
    </row>
    <row r="49" spans="2:17" x14ac:dyDescent="0.25">
      <c r="B49" s="806" t="s">
        <v>633</v>
      </c>
      <c r="C49" s="807"/>
      <c r="D49" s="861" t="s">
        <v>634</v>
      </c>
      <c r="E49" s="862"/>
      <c r="F49" s="862"/>
      <c r="G49" s="862"/>
      <c r="H49" s="862"/>
      <c r="I49" s="862"/>
      <c r="J49" s="862"/>
      <c r="K49" s="862"/>
      <c r="L49" s="862"/>
      <c r="M49" s="862"/>
      <c r="N49" s="862"/>
      <c r="O49" s="862"/>
      <c r="P49" s="862"/>
      <c r="Q49" s="863"/>
    </row>
    <row r="50" spans="2:17" x14ac:dyDescent="0.25">
      <c r="B50" s="808"/>
      <c r="C50" s="809"/>
      <c r="D50" s="810" t="s">
        <v>635</v>
      </c>
      <c r="E50" s="810" t="s">
        <v>23</v>
      </c>
      <c r="F50" s="810" t="s">
        <v>636</v>
      </c>
      <c r="G50" s="810" t="s">
        <v>0</v>
      </c>
      <c r="H50" s="810" t="s">
        <v>637</v>
      </c>
      <c r="I50" s="810">
        <v>0.1</v>
      </c>
      <c r="J50" s="810">
        <v>0.15</v>
      </c>
      <c r="K50" s="810">
        <v>0.25</v>
      </c>
      <c r="L50" s="810">
        <v>0.35</v>
      </c>
      <c r="M50" s="810">
        <v>0.5</v>
      </c>
      <c r="N50" s="810">
        <v>0.65</v>
      </c>
      <c r="O50" s="810">
        <v>0.75</v>
      </c>
      <c r="P50" s="810">
        <v>0.85</v>
      </c>
      <c r="Q50" s="810">
        <v>0.9</v>
      </c>
    </row>
    <row r="51" spans="2:17" x14ac:dyDescent="0.25">
      <c r="B51" s="864" t="s">
        <v>23</v>
      </c>
      <c r="C51" s="811" t="s">
        <v>638</v>
      </c>
      <c r="D51" s="812" t="s">
        <v>639</v>
      </c>
      <c r="E51" s="813" t="s">
        <v>640</v>
      </c>
      <c r="F51" s="813">
        <v>0</v>
      </c>
      <c r="G51" s="814">
        <v>44271</v>
      </c>
      <c r="H51" s="815">
        <v>0</v>
      </c>
      <c r="I51" s="816">
        <v>0.23735000000000001</v>
      </c>
      <c r="J51" s="816">
        <v>0.23036999999999999</v>
      </c>
      <c r="K51" s="816">
        <v>0.21776000000000001</v>
      </c>
      <c r="L51" s="816">
        <v>0.2089</v>
      </c>
      <c r="M51" s="816">
        <v>0.20050000000000001</v>
      </c>
      <c r="N51" s="816">
        <v>0.19572000000000001</v>
      </c>
      <c r="O51" s="816">
        <v>0.19381000000000001</v>
      </c>
      <c r="P51" s="816">
        <v>0.19347</v>
      </c>
      <c r="Q51" s="817">
        <v>0.19361999999999999</v>
      </c>
    </row>
    <row r="52" spans="2:17" x14ac:dyDescent="0.25">
      <c r="B52" s="865"/>
      <c r="C52" s="818" t="s">
        <v>641</v>
      </c>
      <c r="D52" s="812" t="s">
        <v>642</v>
      </c>
      <c r="E52" s="813" t="s">
        <v>643</v>
      </c>
      <c r="F52" s="813">
        <v>1</v>
      </c>
      <c r="G52" s="814">
        <v>44278</v>
      </c>
      <c r="H52" s="815">
        <v>1.9178082191780823E-2</v>
      </c>
      <c r="I52" s="813">
        <v>0.23735000000000001</v>
      </c>
      <c r="J52" s="813">
        <v>0.23036999999999999</v>
      </c>
      <c r="K52" s="813">
        <v>0.21776000000000001</v>
      </c>
      <c r="L52" s="813">
        <v>0.2089</v>
      </c>
      <c r="M52" s="813">
        <v>0.20050000000000001</v>
      </c>
      <c r="N52" s="813">
        <v>0.19572000000000001</v>
      </c>
      <c r="O52" s="813">
        <v>0.19381000000000001</v>
      </c>
      <c r="P52" s="813">
        <v>0.19347</v>
      </c>
      <c r="Q52" s="819">
        <v>0.19361999999999999</v>
      </c>
    </row>
    <row r="53" spans="2:17" x14ac:dyDescent="0.25">
      <c r="B53" s="865"/>
      <c r="C53" s="818" t="s">
        <v>644</v>
      </c>
      <c r="D53" s="812" t="s">
        <v>642</v>
      </c>
      <c r="E53" s="813" t="s">
        <v>643</v>
      </c>
      <c r="F53" s="813">
        <v>2</v>
      </c>
      <c r="G53" s="814">
        <v>44285</v>
      </c>
      <c r="H53" s="815">
        <v>3.8356164383561646E-2</v>
      </c>
      <c r="I53" s="813">
        <v>0.22594999999999998</v>
      </c>
      <c r="J53" s="813">
        <v>0.21847999999999998</v>
      </c>
      <c r="K53" s="813">
        <v>0.20504</v>
      </c>
      <c r="L53" s="813">
        <v>0.19561000000000001</v>
      </c>
      <c r="M53" s="813">
        <v>0.18652999999999997</v>
      </c>
      <c r="N53" s="813">
        <v>0.18160000000000001</v>
      </c>
      <c r="O53" s="813">
        <v>0.1794</v>
      </c>
      <c r="P53" s="813">
        <v>0.17873999999999998</v>
      </c>
      <c r="Q53" s="819">
        <v>0.17879999999999999</v>
      </c>
    </row>
    <row r="54" spans="2:17" x14ac:dyDescent="0.25">
      <c r="B54" s="865"/>
      <c r="C54" s="818" t="s">
        <v>645</v>
      </c>
      <c r="D54" s="812" t="s">
        <v>642</v>
      </c>
      <c r="E54" s="813" t="s">
        <v>643</v>
      </c>
      <c r="F54" s="813">
        <v>3</v>
      </c>
      <c r="G54" s="814">
        <v>44292</v>
      </c>
      <c r="H54" s="815">
        <v>5.7534246575342465E-2</v>
      </c>
      <c r="I54" s="813">
        <v>0.22193000000000002</v>
      </c>
      <c r="J54" s="813">
        <v>0.21437999999999999</v>
      </c>
      <c r="K54" s="813">
        <v>0.20069999999999999</v>
      </c>
      <c r="L54" s="813">
        <v>0.19102</v>
      </c>
      <c r="M54" s="813">
        <v>0.18158000000000002</v>
      </c>
      <c r="N54" s="813">
        <v>0.17664000000000002</v>
      </c>
      <c r="O54" s="813">
        <v>0.17432999999999998</v>
      </c>
      <c r="P54" s="813">
        <v>0.17348</v>
      </c>
      <c r="Q54" s="819">
        <v>0.17341000000000001</v>
      </c>
    </row>
    <row r="55" spans="2:17" x14ac:dyDescent="0.25">
      <c r="B55" s="865"/>
      <c r="C55" s="818" t="s">
        <v>646</v>
      </c>
      <c r="D55" s="812" t="s">
        <v>647</v>
      </c>
      <c r="E55" s="813" t="s">
        <v>648</v>
      </c>
      <c r="F55" s="813">
        <v>1</v>
      </c>
      <c r="G55" s="814">
        <v>44302</v>
      </c>
      <c r="H55" s="815">
        <v>8.4931506849315067E-2</v>
      </c>
      <c r="I55" s="813">
        <v>0.21949000000000002</v>
      </c>
      <c r="J55" s="813">
        <v>0.21193999999999999</v>
      </c>
      <c r="K55" s="813">
        <v>0.19812000000000002</v>
      </c>
      <c r="L55" s="813">
        <v>0.18825</v>
      </c>
      <c r="M55" s="813">
        <v>0.17850000000000002</v>
      </c>
      <c r="N55" s="813">
        <v>0.17361000000000001</v>
      </c>
      <c r="O55" s="813">
        <v>0.17122000000000001</v>
      </c>
      <c r="P55" s="813">
        <v>0.17024</v>
      </c>
      <c r="Q55" s="819">
        <v>0.17004999999999998</v>
      </c>
    </row>
    <row r="56" spans="2:17" x14ac:dyDescent="0.25">
      <c r="B56" s="865"/>
      <c r="C56" s="818" t="s">
        <v>649</v>
      </c>
      <c r="D56" s="812" t="s">
        <v>647</v>
      </c>
      <c r="E56" s="813" t="s">
        <v>648</v>
      </c>
      <c r="F56" s="813">
        <v>2</v>
      </c>
      <c r="G56" s="814">
        <v>44333</v>
      </c>
      <c r="H56" s="815">
        <v>0.16986301369863013</v>
      </c>
      <c r="I56" s="813">
        <v>0.21809999999999999</v>
      </c>
      <c r="J56" s="813">
        <v>0.21034</v>
      </c>
      <c r="K56" s="813">
        <v>0.19597999999999999</v>
      </c>
      <c r="L56" s="813">
        <v>0.18550999999999998</v>
      </c>
      <c r="M56" s="813">
        <v>0.17475000000000002</v>
      </c>
      <c r="N56" s="813">
        <v>0.16995000000000002</v>
      </c>
      <c r="O56" s="813">
        <v>0.16721</v>
      </c>
      <c r="P56" s="813">
        <v>0.16556999999999999</v>
      </c>
      <c r="Q56" s="819">
        <v>0.16499</v>
      </c>
    </row>
    <row r="57" spans="2:17" x14ac:dyDescent="0.25">
      <c r="B57" s="865"/>
      <c r="C57" s="818" t="s">
        <v>650</v>
      </c>
      <c r="D57" s="812" t="s">
        <v>647</v>
      </c>
      <c r="E57" s="813" t="s">
        <v>648</v>
      </c>
      <c r="F57" s="813">
        <v>3</v>
      </c>
      <c r="G57" s="814">
        <v>44364</v>
      </c>
      <c r="H57" s="815">
        <v>0.25479452054794521</v>
      </c>
      <c r="I57" s="813">
        <v>0.21678999999999998</v>
      </c>
      <c r="J57" s="813">
        <v>0.20879999999999999</v>
      </c>
      <c r="K57" s="813">
        <v>0.19389000000000001</v>
      </c>
      <c r="L57" s="813">
        <v>0.18296999999999999</v>
      </c>
      <c r="M57" s="813">
        <v>0.17149999999999999</v>
      </c>
      <c r="N57" s="813">
        <v>0.16674</v>
      </c>
      <c r="O57" s="813">
        <v>0.16377</v>
      </c>
      <c r="P57" s="813">
        <v>0.16194</v>
      </c>
      <c r="Q57" s="819">
        <v>0.16126000000000001</v>
      </c>
    </row>
    <row r="58" spans="2:17" x14ac:dyDescent="0.25">
      <c r="B58" s="865"/>
      <c r="C58" s="818" t="s">
        <v>651</v>
      </c>
      <c r="D58" s="812" t="s">
        <v>647</v>
      </c>
      <c r="E58" s="813" t="s">
        <v>648</v>
      </c>
      <c r="F58" s="813">
        <v>6</v>
      </c>
      <c r="G58" s="814">
        <v>44455</v>
      </c>
      <c r="H58" s="815">
        <v>0.50410958904109593</v>
      </c>
      <c r="I58" s="813">
        <v>0.21841000000000002</v>
      </c>
      <c r="J58" s="813">
        <v>0.21010999999999999</v>
      </c>
      <c r="K58" s="813">
        <v>0.19431999999999999</v>
      </c>
      <c r="L58" s="813">
        <v>0.18254999999999999</v>
      </c>
      <c r="M58" s="813">
        <v>0.16975000000000001</v>
      </c>
      <c r="N58" s="813">
        <v>0.16550000000000001</v>
      </c>
      <c r="O58" s="813">
        <v>0.16238</v>
      </c>
      <c r="P58" s="813">
        <v>0.16031999999999999</v>
      </c>
      <c r="Q58" s="819">
        <v>0.15953000000000001</v>
      </c>
    </row>
    <row r="59" spans="2:17" x14ac:dyDescent="0.25">
      <c r="B59" s="865"/>
      <c r="C59" s="818" t="s">
        <v>652</v>
      </c>
      <c r="D59" s="812" t="s">
        <v>366</v>
      </c>
      <c r="E59" s="813" t="s">
        <v>653</v>
      </c>
      <c r="F59" s="813">
        <v>1</v>
      </c>
      <c r="G59" s="814">
        <v>44636</v>
      </c>
      <c r="H59" s="815">
        <v>1</v>
      </c>
      <c r="I59" s="813">
        <v>0.21946000000000002</v>
      </c>
      <c r="J59" s="813">
        <v>0.21112999999999998</v>
      </c>
      <c r="K59" s="813">
        <v>0.19488</v>
      </c>
      <c r="L59" s="813">
        <v>0.18240999999999999</v>
      </c>
      <c r="M59" s="813">
        <v>0.16800000000000001</v>
      </c>
      <c r="N59" s="813">
        <v>0.16440000000000002</v>
      </c>
      <c r="O59" s="813">
        <v>0.16089999999999999</v>
      </c>
      <c r="P59" s="813">
        <v>0.15842000000000001</v>
      </c>
      <c r="Q59" s="819">
        <v>0.15742</v>
      </c>
    </row>
    <row r="60" spans="2:17" x14ac:dyDescent="0.25">
      <c r="B60" s="865"/>
      <c r="C60" s="818" t="s">
        <v>654</v>
      </c>
      <c r="D60" s="820" t="s">
        <v>647</v>
      </c>
      <c r="E60" s="821" t="s">
        <v>648</v>
      </c>
      <c r="F60" s="821">
        <v>18</v>
      </c>
      <c r="G60" s="814">
        <v>44820</v>
      </c>
      <c r="H60" s="815">
        <v>1.5041095890410958</v>
      </c>
      <c r="I60" s="821">
        <v>0.22447</v>
      </c>
      <c r="J60" s="821">
        <v>0.21585000000000001</v>
      </c>
      <c r="K60" s="821">
        <v>0.19878000000000001</v>
      </c>
      <c r="L60" s="821">
        <v>0.18539999999999998</v>
      </c>
      <c r="M60" s="821">
        <v>0.16927</v>
      </c>
      <c r="N60" s="821">
        <v>0.1661</v>
      </c>
      <c r="O60" s="821">
        <v>0.16197</v>
      </c>
      <c r="P60" s="821">
        <v>0.15887000000000001</v>
      </c>
      <c r="Q60" s="822">
        <v>0.15762999999999999</v>
      </c>
    </row>
    <row r="61" spans="2:17" x14ac:dyDescent="0.25">
      <c r="B61" s="865"/>
      <c r="C61" s="823" t="s">
        <v>655</v>
      </c>
      <c r="D61" s="824" t="s">
        <v>366</v>
      </c>
      <c r="E61" s="825" t="s">
        <v>653</v>
      </c>
      <c r="F61" s="825">
        <v>2</v>
      </c>
      <c r="G61" s="826">
        <v>45001</v>
      </c>
      <c r="H61" s="827">
        <v>2</v>
      </c>
      <c r="I61" s="825">
        <v>0.22708999999999999</v>
      </c>
      <c r="J61" s="825">
        <v>0.21848999999999999</v>
      </c>
      <c r="K61" s="825">
        <v>0.2011</v>
      </c>
      <c r="L61" s="825">
        <v>0.18716000000000002</v>
      </c>
      <c r="M61" s="825">
        <v>0.16975000000000001</v>
      </c>
      <c r="N61" s="825">
        <v>0.16710999999999998</v>
      </c>
      <c r="O61" s="825">
        <v>0.16262000000000001</v>
      </c>
      <c r="P61" s="825">
        <v>0.15914</v>
      </c>
      <c r="Q61" s="828">
        <v>0.15765999999999999</v>
      </c>
    </row>
    <row r="67" spans="5:5" x14ac:dyDescent="0.25">
      <c r="E67" s="455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04" priority="16" stopIfTrue="1" operator="equal">
      <formula>"ERROR"</formula>
    </cfRule>
    <cfRule type="cellIs" dxfId="503" priority="17" stopIfTrue="1" operator="equal">
      <formula>"OK"</formula>
    </cfRule>
    <cfRule type="cellIs" dxfId="502" priority="18" stopIfTrue="1" operator="equal">
      <formula>"WARNING"</formula>
    </cfRule>
  </conditionalFormatting>
  <conditionalFormatting sqref="C4">
    <cfRule type="cellIs" dxfId="501" priority="13" stopIfTrue="1" operator="equal">
      <formula>"ERROR"</formula>
    </cfRule>
    <cfRule type="cellIs" dxfId="500" priority="14" stopIfTrue="1" operator="equal">
      <formula>"OK"</formula>
    </cfRule>
    <cfRule type="cellIs" dxfId="499" priority="15" stopIfTrue="1" operator="equal">
      <formula>"WARNING"</formula>
    </cfRule>
  </conditionalFormatting>
  <conditionalFormatting sqref="C12">
    <cfRule type="cellIs" dxfId="498" priority="10" stopIfTrue="1" operator="equal">
      <formula>"ERROR"</formula>
    </cfRule>
  </conditionalFormatting>
  <conditionalFormatting sqref="C12">
    <cfRule type="cellIs" dxfId="497" priority="11" stopIfTrue="1" operator="equal">
      <formula>"OK"</formula>
    </cfRule>
  </conditionalFormatting>
  <conditionalFormatting sqref="C12">
    <cfRule type="cellIs" dxfId="496" priority="12" stopIfTrue="1" operator="equal">
      <formula>"WARNING"</formula>
    </cfRule>
  </conditionalFormatting>
  <conditionalFormatting sqref="I17:J17 T17">
    <cfRule type="cellIs" dxfId="495" priority="19" stopIfTrue="1" operator="equal">
      <formula>"ERROR"</formula>
    </cfRule>
    <cfRule type="cellIs" dxfId="494" priority="20" stopIfTrue="1" operator="equal">
      <formula>"OK"</formula>
    </cfRule>
    <cfRule type="cellIs" dxfId="493" priority="21" stopIfTrue="1" operator="equal">
      <formula>"WARNING"</formula>
    </cfRule>
  </conditionalFormatting>
  <conditionalFormatting sqref="AB17">
    <cfRule type="cellIs" dxfId="492" priority="7" stopIfTrue="1" operator="equal">
      <formula>"ERROR"</formula>
    </cfRule>
    <cfRule type="cellIs" dxfId="491" priority="8" stopIfTrue="1" operator="equal">
      <formula>"OK"</formula>
    </cfRule>
    <cfRule type="cellIs" dxfId="490" priority="9" stopIfTrue="1" operator="equal">
      <formula>"WARNING"</formula>
    </cfRule>
  </conditionalFormatting>
  <conditionalFormatting sqref="AK17">
    <cfRule type="cellIs" dxfId="489" priority="4" stopIfTrue="1" operator="equal">
      <formula>"ERROR"</formula>
    </cfRule>
    <cfRule type="cellIs" dxfId="488" priority="5" stopIfTrue="1" operator="equal">
      <formula>"OK"</formula>
    </cfRule>
    <cfRule type="cellIs" dxfId="487" priority="6" stopIfTrue="1" operator="equal">
      <formula>"WARNING"</formula>
    </cfRule>
  </conditionalFormatting>
  <conditionalFormatting sqref="R17:S21">
    <cfRule type="cellIs" dxfId="486" priority="1" stopIfTrue="1" operator="equal">
      <formula>"ERROR"</formula>
    </cfRule>
    <cfRule type="cellIs" dxfId="485" priority="2" stopIfTrue="1" operator="equal">
      <formula>"OK"</formula>
    </cfRule>
    <cfRule type="cellIs" dxfId="484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483" priority="19" stopIfTrue="1" operator="equal">
      <formula>"ERROR"</formula>
    </cfRule>
    <cfRule type="cellIs" dxfId="482" priority="20" stopIfTrue="1" operator="equal">
      <formula>"OK"</formula>
    </cfRule>
    <cfRule type="cellIs" dxfId="481" priority="21" stopIfTrue="1" operator="equal">
      <formula>"WARNING"</formula>
    </cfRule>
  </conditionalFormatting>
  <conditionalFormatting sqref="C4">
    <cfRule type="cellIs" dxfId="480" priority="16" stopIfTrue="1" operator="equal">
      <formula>"ERROR"</formula>
    </cfRule>
    <cfRule type="cellIs" dxfId="479" priority="17" stopIfTrue="1" operator="equal">
      <formula>"OK"</formula>
    </cfRule>
    <cfRule type="cellIs" dxfId="478" priority="18" stopIfTrue="1" operator="equal">
      <formula>"WARNING"</formula>
    </cfRule>
  </conditionalFormatting>
  <conditionalFormatting sqref="C12">
    <cfRule type="cellIs" dxfId="477" priority="13" stopIfTrue="1" operator="equal">
      <formula>"ERROR"</formula>
    </cfRule>
  </conditionalFormatting>
  <conditionalFormatting sqref="C12">
    <cfRule type="cellIs" dxfId="476" priority="14" stopIfTrue="1" operator="equal">
      <formula>"OK"</formula>
    </cfRule>
  </conditionalFormatting>
  <conditionalFormatting sqref="C12">
    <cfRule type="cellIs" dxfId="475" priority="15" stopIfTrue="1" operator="equal">
      <formula>"WARNING"</formula>
    </cfRule>
  </conditionalFormatting>
  <conditionalFormatting sqref="I17:J20">
    <cfRule type="cellIs" dxfId="474" priority="22" stopIfTrue="1" operator="equal">
      <formula>"ERROR"</formula>
    </cfRule>
    <cfRule type="cellIs" dxfId="473" priority="23" stopIfTrue="1" operator="equal">
      <formula>"OK"</formula>
    </cfRule>
    <cfRule type="cellIs" dxfId="472" priority="24" stopIfTrue="1" operator="equal">
      <formula>"WARNING"</formula>
    </cfRule>
  </conditionalFormatting>
  <conditionalFormatting sqref="AB17">
    <cfRule type="cellIs" dxfId="471" priority="4" stopIfTrue="1" operator="equal">
      <formula>"ERROR"</formula>
    </cfRule>
    <cfRule type="cellIs" dxfId="470" priority="5" stopIfTrue="1" operator="equal">
      <formula>"OK"</formula>
    </cfRule>
    <cfRule type="cellIs" dxfId="469" priority="6" stopIfTrue="1" operator="equal">
      <formula>"WARNING"</formula>
    </cfRule>
  </conditionalFormatting>
  <conditionalFormatting sqref="AM17">
    <cfRule type="cellIs" dxfId="468" priority="1" stopIfTrue="1" operator="equal">
      <formula>"ERROR"</formula>
    </cfRule>
    <cfRule type="cellIs" dxfId="467" priority="2" stopIfTrue="1" operator="equal">
      <formula>"OK"</formula>
    </cfRule>
    <cfRule type="cellIs" dxfId="466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66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66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66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67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67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67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67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67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67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67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67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67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67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67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67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68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68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68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465" priority="61" stopIfTrue="1" operator="equal">
      <formula>"ERROR"</formula>
    </cfRule>
    <cfRule type="cellIs" dxfId="464" priority="62" stopIfTrue="1" operator="equal">
      <formula>"OK"</formula>
    </cfRule>
    <cfRule type="cellIs" dxfId="463" priority="63" stopIfTrue="1" operator="equal">
      <formula>"WARNING"</formula>
    </cfRule>
  </conditionalFormatting>
  <conditionalFormatting sqref="C4">
    <cfRule type="cellIs" dxfId="462" priority="58" stopIfTrue="1" operator="equal">
      <formula>"ERROR"</formula>
    </cfRule>
    <cfRule type="cellIs" dxfId="461" priority="59" stopIfTrue="1" operator="equal">
      <formula>"OK"</formula>
    </cfRule>
    <cfRule type="cellIs" dxfId="460" priority="60" stopIfTrue="1" operator="equal">
      <formula>"WARNING"</formula>
    </cfRule>
  </conditionalFormatting>
  <conditionalFormatting sqref="C13">
    <cfRule type="cellIs" dxfId="459" priority="55" stopIfTrue="1" operator="equal">
      <formula>"ERROR"</formula>
    </cfRule>
  </conditionalFormatting>
  <conditionalFormatting sqref="C13">
    <cfRule type="cellIs" dxfId="458" priority="56" stopIfTrue="1" operator="equal">
      <formula>"OK"</formula>
    </cfRule>
  </conditionalFormatting>
  <conditionalFormatting sqref="C13">
    <cfRule type="cellIs" dxfId="457" priority="57" stopIfTrue="1" operator="equal">
      <formula>"WARNING"</formula>
    </cfRule>
  </conditionalFormatting>
  <conditionalFormatting sqref="C31">
    <cfRule type="cellIs" dxfId="456" priority="52" stopIfTrue="1" operator="equal">
      <formula>"ERROR"</formula>
    </cfRule>
  </conditionalFormatting>
  <conditionalFormatting sqref="C31">
    <cfRule type="cellIs" dxfId="455" priority="53" stopIfTrue="1" operator="equal">
      <formula>"OK"</formula>
    </cfRule>
  </conditionalFormatting>
  <conditionalFormatting sqref="C31">
    <cfRule type="cellIs" dxfId="454" priority="54" stopIfTrue="1" operator="equal">
      <formula>"WARNING"</formula>
    </cfRule>
  </conditionalFormatting>
  <conditionalFormatting sqref="Y21:AD26">
    <cfRule type="cellIs" dxfId="453" priority="64" stopIfTrue="1" operator="equal">
      <formula>"ERROR"</formula>
    </cfRule>
    <cfRule type="cellIs" dxfId="452" priority="65" stopIfTrue="1" operator="equal">
      <formula>"OK"</formula>
    </cfRule>
    <cfRule type="cellIs" dxfId="451" priority="66" stopIfTrue="1" operator="equal">
      <formula>"WARNING"</formula>
    </cfRule>
  </conditionalFormatting>
  <conditionalFormatting sqref="C17">
    <cfRule type="cellIs" dxfId="450" priority="16" stopIfTrue="1" operator="equal">
      <formula>"ERROR"</formula>
    </cfRule>
  </conditionalFormatting>
  <conditionalFormatting sqref="C17">
    <cfRule type="cellIs" dxfId="449" priority="17" stopIfTrue="1" operator="equal">
      <formula>"OK"</formula>
    </cfRule>
  </conditionalFormatting>
  <conditionalFormatting sqref="C17">
    <cfRule type="cellIs" dxfId="448" priority="18" stopIfTrue="1" operator="equal">
      <formula>"WARNING"</formula>
    </cfRule>
  </conditionalFormatting>
  <conditionalFormatting sqref="AP20">
    <cfRule type="cellIs" dxfId="447" priority="67" stopIfTrue="1" operator="equal">
      <formula>"ERROR"</formula>
    </cfRule>
    <cfRule type="cellIs" dxfId="446" priority="68" stopIfTrue="1" operator="equal">
      <formula>"OK"</formula>
    </cfRule>
    <cfRule type="cellIs" dxfId="445" priority="69" stopIfTrue="1" operator="equal">
      <formula>"WARNING"</formula>
    </cfRule>
  </conditionalFormatting>
  <conditionalFormatting sqref="AG17">
    <cfRule type="cellIs" dxfId="444" priority="13" stopIfTrue="1" operator="equal">
      <formula>"ERROR"</formula>
    </cfRule>
  </conditionalFormatting>
  <conditionalFormatting sqref="AG17">
    <cfRule type="cellIs" dxfId="443" priority="14" stopIfTrue="1" operator="equal">
      <formula>"OK"</formula>
    </cfRule>
  </conditionalFormatting>
  <conditionalFormatting sqref="AG17">
    <cfRule type="cellIs" dxfId="442" priority="15" stopIfTrue="1" operator="equal">
      <formula>"WARNING"</formula>
    </cfRule>
  </conditionalFormatting>
  <conditionalFormatting sqref="BB20">
    <cfRule type="cellIs" dxfId="441" priority="10" stopIfTrue="1" operator="equal">
      <formula>"ERROR"</formula>
    </cfRule>
    <cfRule type="cellIs" dxfId="440" priority="11" stopIfTrue="1" operator="equal">
      <formula>"OK"</formula>
    </cfRule>
    <cfRule type="cellIs" dxfId="439" priority="12" stopIfTrue="1" operator="equal">
      <formula>"WARNING"</formula>
    </cfRule>
  </conditionalFormatting>
  <conditionalFormatting sqref="AS17">
    <cfRule type="cellIs" dxfId="438" priority="7" stopIfTrue="1" operator="equal">
      <formula>"ERROR"</formula>
    </cfRule>
  </conditionalFormatting>
  <conditionalFormatting sqref="AS17">
    <cfRule type="cellIs" dxfId="437" priority="8" stopIfTrue="1" operator="equal">
      <formula>"OK"</formula>
    </cfRule>
  </conditionalFormatting>
  <conditionalFormatting sqref="AS17">
    <cfRule type="cellIs" dxfId="436" priority="9" stopIfTrue="1" operator="equal">
      <formula>"WARNING"</formula>
    </cfRule>
  </conditionalFormatting>
  <conditionalFormatting sqref="H38:H43">
    <cfRule type="cellIs" dxfId="435" priority="70" stopIfTrue="1" operator="equal">
      <formula>"ERROR"</formula>
    </cfRule>
  </conditionalFormatting>
  <conditionalFormatting sqref="H38:H43">
    <cfRule type="cellIs" dxfId="434" priority="71" stopIfTrue="1" operator="equal">
      <formula>"OK"</formula>
    </cfRule>
  </conditionalFormatting>
  <conditionalFormatting sqref="H38:H43">
    <cfRule type="cellIs" dxfId="433" priority="72" stopIfTrue="1" operator="equal">
      <formula>"WARNING"</formula>
    </cfRule>
  </conditionalFormatting>
  <conditionalFormatting sqref="C35">
    <cfRule type="cellIs" dxfId="432" priority="4" stopIfTrue="1" operator="equal">
      <formula>"ERROR"</formula>
    </cfRule>
  </conditionalFormatting>
  <conditionalFormatting sqref="C35">
    <cfRule type="cellIs" dxfId="431" priority="5" stopIfTrue="1" operator="equal">
      <formula>"OK"</formula>
    </cfRule>
  </conditionalFormatting>
  <conditionalFormatting sqref="C35">
    <cfRule type="cellIs" dxfId="430" priority="6" stopIfTrue="1" operator="equal">
      <formula>"WARNING"</formula>
    </cfRule>
  </conditionalFormatting>
  <conditionalFormatting sqref="K35">
    <cfRule type="cellIs" dxfId="429" priority="1" stopIfTrue="1" operator="equal">
      <formula>"ERROR"</formula>
    </cfRule>
  </conditionalFormatting>
  <conditionalFormatting sqref="K35">
    <cfRule type="cellIs" dxfId="428" priority="2" stopIfTrue="1" operator="equal">
      <formula>"OK"</formula>
    </cfRule>
  </conditionalFormatting>
  <conditionalFormatting sqref="K35">
    <cfRule type="cellIs" dxfId="427" priority="3" stopIfTrue="1" operator="equal">
      <formula>"WARNING"</formula>
    </cfRule>
  </conditionalFormatting>
  <conditionalFormatting sqref="S38">
    <cfRule type="cellIs" dxfId="426" priority="73" stopIfTrue="1" operator="equal">
      <formula>"ERROR"</formula>
    </cfRule>
  </conditionalFormatting>
  <conditionalFormatting sqref="S38">
    <cfRule type="cellIs" dxfId="425" priority="74" stopIfTrue="1" operator="equal">
      <formula>"OK"</formula>
    </cfRule>
  </conditionalFormatting>
  <conditionalFormatting sqref="S38">
    <cfRule type="cellIs" dxfId="424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10" zoomScaleNormal="100" workbookViewId="0">
      <selection activeCell="F17" sqref="F1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_xll.d.TestUtils_And(C7:C10)</f>
        <v>Ok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C15</f>
        <v>Ok</v>
      </c>
    </row>
    <row r="8" spans="2:22" x14ac:dyDescent="0.25">
      <c r="B8" s="496" t="s">
        <v>466</v>
      </c>
      <c r="C8" s="174" t="str">
        <f ca="1">C62</f>
        <v>Ok</v>
      </c>
      <c r="E8" s="511"/>
    </row>
    <row r="9" spans="2:22" x14ac:dyDescent="0.25">
      <c r="B9" s="496" t="s">
        <v>472</v>
      </c>
      <c r="C9" s="174" t="str">
        <f ca="1">C76</f>
        <v>Ok</v>
      </c>
    </row>
    <row r="10" spans="2:22" s="455" customFormat="1" x14ac:dyDescent="0.25">
      <c r="B10" s="496" t="s">
        <v>660</v>
      </c>
      <c r="C10" s="854" t="str">
        <f ca="1">C90</f>
        <v>Ok</v>
      </c>
    </row>
    <row r="13" spans="2:22" ht="18.75" x14ac:dyDescent="0.3">
      <c r="B13" s="3" t="s">
        <v>465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 x14ac:dyDescent="0.25">
      <c r="B15" s="66" t="s">
        <v>155</v>
      </c>
      <c r="C15" s="174" t="str" cm="1">
        <f t="array" aca="1" ref="C15" ca="1">_xll.d.TestUtils_And(C43,M47)</f>
        <v>Ok</v>
      </c>
    </row>
    <row r="16" spans="2:22" x14ac:dyDescent="0.25">
      <c r="M16" s="455"/>
      <c r="N16" s="455"/>
      <c r="O16" s="455"/>
      <c r="P16" s="455"/>
      <c r="Q16" s="455"/>
    </row>
    <row r="17" spans="2:17" ht="15.75" x14ac:dyDescent="0.25">
      <c r="B17" s="4" t="s">
        <v>73</v>
      </c>
      <c r="C17" s="4"/>
      <c r="D17" s="4"/>
      <c r="M17" s="455"/>
      <c r="N17" s="455"/>
      <c r="O17" s="455"/>
      <c r="P17" s="455"/>
      <c r="Q17" s="455"/>
    </row>
    <row r="18" spans="2:17" x14ac:dyDescent="0.25">
      <c r="M18" s="455"/>
      <c r="N18" s="455"/>
      <c r="O18" s="455"/>
      <c r="P18" s="455"/>
      <c r="Q18" s="455"/>
    </row>
    <row r="19" spans="2:17" x14ac:dyDescent="0.25">
      <c r="B19" s="66" t="s">
        <v>3</v>
      </c>
      <c r="C19" s="65" t="str" cm="1">
        <f t="array" aca="1" ref="C19" ca="1">_xll.d.Curve_Create("ExampleCurve",B22:C25,B29:B34,C29:C34)</f>
        <v>@@ExampleCurve::10:01:09</v>
      </c>
      <c r="D19" s="26"/>
      <c r="M19" s="455"/>
      <c r="N19" s="455"/>
      <c r="O19" s="455"/>
      <c r="P19" s="455"/>
      <c r="Q19" s="455"/>
    </row>
    <row r="20" spans="2:17" x14ac:dyDescent="0.25">
      <c r="M20" s="455"/>
      <c r="N20" s="455"/>
      <c r="O20" s="455"/>
      <c r="P20" s="455"/>
      <c r="Q20" s="455"/>
    </row>
    <row r="21" spans="2:17" x14ac:dyDescent="0.25">
      <c r="B21" s="12" t="s">
        <v>60</v>
      </c>
      <c r="C21" s="147"/>
      <c r="M21" s="455"/>
      <c r="N21" s="455"/>
      <c r="O21" s="455"/>
      <c r="P21" s="455"/>
      <c r="Q21" s="455"/>
    </row>
    <row r="22" spans="2:17" x14ac:dyDescent="0.25">
      <c r="B22" s="72" t="s">
        <v>31</v>
      </c>
      <c r="C22" s="148" t="s">
        <v>32</v>
      </c>
    </row>
    <row r="23" spans="2:17" x14ac:dyDescent="0.25">
      <c r="B23" s="149" t="s">
        <v>72</v>
      </c>
      <c r="C23" s="150" t="s">
        <v>69</v>
      </c>
    </row>
    <row r="24" spans="2:17" x14ac:dyDescent="0.25">
      <c r="B24" s="151" t="s">
        <v>70</v>
      </c>
      <c r="C24" s="152" t="s">
        <v>71</v>
      </c>
      <c r="E24" s="154"/>
    </row>
    <row r="25" spans="2:17" x14ac:dyDescent="0.25">
      <c r="B25" s="153" t="s">
        <v>53</v>
      </c>
      <c r="C25" s="512" t="s">
        <v>471</v>
      </c>
      <c r="D25" s="1"/>
    </row>
    <row r="27" spans="2:17" x14ac:dyDescent="0.25">
      <c r="E27" s="10"/>
    </row>
    <row r="28" spans="2:17" x14ac:dyDescent="0.25">
      <c r="B28" s="12" t="s">
        <v>0</v>
      </c>
      <c r="C28" s="13" t="s">
        <v>2</v>
      </c>
      <c r="E28" s="11"/>
    </row>
    <row r="29" spans="2:17" x14ac:dyDescent="0.25">
      <c r="B29" s="17">
        <v>44562</v>
      </c>
      <c r="C29" s="69">
        <v>1</v>
      </c>
      <c r="E29" s="8"/>
    </row>
    <row r="30" spans="2:17" x14ac:dyDescent="0.25">
      <c r="B30" s="18">
        <v>44593</v>
      </c>
      <c r="C30" s="70">
        <v>0.99</v>
      </c>
      <c r="E30" s="8"/>
    </row>
    <row r="31" spans="2:17" x14ac:dyDescent="0.25">
      <c r="B31" s="18">
        <v>44621</v>
      </c>
      <c r="C31" s="70">
        <v>0.98</v>
      </c>
    </row>
    <row r="32" spans="2:17" x14ac:dyDescent="0.25">
      <c r="B32" s="18">
        <v>44652</v>
      </c>
      <c r="C32" s="70">
        <v>0.97</v>
      </c>
      <c r="D32" s="1"/>
    </row>
    <row r="33" spans="2:20" x14ac:dyDescent="0.25">
      <c r="B33" s="18">
        <v>44682</v>
      </c>
      <c r="C33" s="70">
        <v>0.96</v>
      </c>
    </row>
    <row r="34" spans="2:20" x14ac:dyDescent="0.25">
      <c r="B34" s="19">
        <v>46022</v>
      </c>
      <c r="C34" s="71">
        <v>0.62</v>
      </c>
    </row>
    <row r="35" spans="2:20" x14ac:dyDescent="0.25">
      <c r="D35" s="5"/>
      <c r="E35" s="5"/>
    </row>
    <row r="36" spans="2:20" s="455" customFormat="1" x14ac:dyDescent="0.25">
      <c r="D36" s="5"/>
      <c r="E36" s="5"/>
    </row>
    <row r="37" spans="2:20" ht="18.75" x14ac:dyDescent="0.3">
      <c r="B37" s="3" t="s">
        <v>478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55" customFormat="1" x14ac:dyDescent="0.25">
      <c r="B38"/>
      <c r="C38"/>
      <c r="D38"/>
      <c r="E38"/>
      <c r="F38"/>
    </row>
    <row r="39" spans="2:20" s="455" customFormat="1" x14ac:dyDescent="0.25">
      <c r="B39" s="59" t="s">
        <v>122</v>
      </c>
      <c r="C39" s="174" t="str" cm="1">
        <f t="array" aca="1" ref="C39" ca="1">_xll.d.TestUtils_And(C43,H43)</f>
        <v>Ok</v>
      </c>
    </row>
    <row r="40" spans="2:20" s="455" customFormat="1" x14ac:dyDescent="0.25"/>
    <row r="41" spans="2:20" s="455" customFormat="1" ht="15.75" x14ac:dyDescent="0.25">
      <c r="B41" s="4" t="s">
        <v>105</v>
      </c>
      <c r="C41" s="4"/>
      <c r="D41" s="4"/>
      <c r="E41" s="4"/>
      <c r="G41" s="4" t="s">
        <v>107</v>
      </c>
      <c r="H41" s="4"/>
      <c r="I41" s="4"/>
      <c r="J41" s="4"/>
      <c r="K41" s="4"/>
      <c r="L41" s="4"/>
      <c r="M41" s="4"/>
    </row>
    <row r="42" spans="2:20" s="455" customFormat="1" x14ac:dyDescent="0.25">
      <c r="G42"/>
    </row>
    <row r="43" spans="2:20" s="455" customFormat="1" x14ac:dyDescent="0.25">
      <c r="B43" s="59" t="s">
        <v>122</v>
      </c>
      <c r="C43" s="174" t="str" cm="1">
        <f t="array" aca="1" ref="C43" ca="1">_xll.d.TestUtils_And(E47:E57)</f>
        <v>Ok</v>
      </c>
      <c r="D43"/>
      <c r="E43"/>
      <c r="G43" s="59" t="s">
        <v>122</v>
      </c>
      <c r="H43" s="500" t="str">
        <f ca="1">M47</f>
        <v>Ok</v>
      </c>
      <c r="K43"/>
    </row>
    <row r="44" spans="2:20" s="455" customFormat="1" x14ac:dyDescent="0.25">
      <c r="B44"/>
      <c r="C44"/>
      <c r="D44"/>
      <c r="E44"/>
      <c r="F44"/>
      <c r="G44"/>
      <c r="J44"/>
      <c r="K44"/>
    </row>
    <row r="45" spans="2:20" s="455" customFormat="1" x14ac:dyDescent="0.25">
      <c r="B45" s="68" t="s">
        <v>2</v>
      </c>
      <c r="C45"/>
      <c r="D45" s="495" t="s">
        <v>464</v>
      </c>
      <c r="E45"/>
      <c r="F45"/>
      <c r="G45" s="27" t="s">
        <v>154</v>
      </c>
      <c r="H45" s="27"/>
      <c r="I45" s="27"/>
      <c r="J45" s="27"/>
      <c r="K45" s="27"/>
      <c r="L45" s="27"/>
      <c r="M45" s="27"/>
    </row>
    <row r="46" spans="2:20" s="455" customFormat="1" x14ac:dyDescent="0.25">
      <c r="B46" s="58" t="s">
        <v>34</v>
      </c>
      <c r="C46" s="197" t="s">
        <v>76</v>
      </c>
      <c r="D46" s="197" t="s">
        <v>77</v>
      </c>
      <c r="E46" s="59" t="s">
        <v>83</v>
      </c>
      <c r="F46"/>
      <c r="G46" s="545" t="s">
        <v>81</v>
      </c>
      <c r="H46" s="545"/>
      <c r="I46" s="545"/>
      <c r="J46" s="545" t="s">
        <v>82</v>
      </c>
      <c r="K46" s="545"/>
      <c r="L46" s="646"/>
      <c r="M46" s="195" t="s">
        <v>83</v>
      </c>
    </row>
    <row r="47" spans="2:20" s="455" customFormat="1" x14ac:dyDescent="0.25">
      <c r="B47" s="633">
        <f>B29</f>
        <v>44562</v>
      </c>
      <c r="C47" s="56">
        <v>1</v>
      </c>
      <c r="D47" s="56" cm="1">
        <f t="array" aca="1" ref="D47" ca="1">_xll.d.Curve_GetDiscountFactors($C$19,B47)</f>
        <v>1</v>
      </c>
      <c r="E47" s="634" t="str" cm="1">
        <f t="array" aca="1" ref="E47" ca="1">_xll.d.TestUtils_Equal(C47,D47)</f>
        <v>Ok</v>
      </c>
      <c r="F47"/>
      <c r="G47" s="546" t="str" cm="1">
        <f t="array" aca="1" ref="G47" ca="1">_xll.d.Curve_GetZeroRates($C$19,$B67,"NACP")</f>
        <v>#∂Excel Error: Invalid compounding convention: 'NACP'</v>
      </c>
      <c r="H47" s="645"/>
      <c r="I47" s="547"/>
      <c r="J47" s="548" t="s">
        <v>576</v>
      </c>
      <c r="K47" s="549"/>
      <c r="L47" s="549"/>
      <c r="M47" s="194" t="str" cm="1">
        <f t="array" aca="1" ref="M47" ca="1">_xll.d.TestUtils_Equal(G47,J47)</f>
        <v>Ok</v>
      </c>
    </row>
    <row r="48" spans="2:20" s="455" customFormat="1" x14ac:dyDescent="0.25">
      <c r="B48" s="635">
        <v>44576</v>
      </c>
      <c r="C48" s="193">
        <f>EXP((LN(C30)-LN(C29))/((B30-B29)/365)*((B48-B29)/365)+LN(C29))</f>
        <v>0.99547142371128639</v>
      </c>
      <c r="D48" s="193" cm="1">
        <f t="array" aca="1" ref="D48" ca="1">_xll.d.Curve_GetDiscountFactors($C$19,B48)</f>
        <v>0.99547142371128639</v>
      </c>
      <c r="E48" s="634" t="str" cm="1">
        <f t="array" aca="1" ref="E48" ca="1">_xll.d.TestUtils_Equal(C48,D48)</f>
        <v>Ok</v>
      </c>
      <c r="F48"/>
    </row>
    <row r="49" spans="2:22" s="455" customFormat="1" x14ac:dyDescent="0.25">
      <c r="B49" s="636">
        <f>B30</f>
        <v>44593</v>
      </c>
      <c r="C49" s="57">
        <f>EXP((LN(C30)-LN(C29))/((B30-B29)/365)*((B49-B29)/365)+LN(C29))</f>
        <v>0.99</v>
      </c>
      <c r="D49" s="57" cm="1">
        <f t="array" aca="1" ref="D49" ca="1">_xll.d.Curve_GetDiscountFactors($C$19,B49)</f>
        <v>0.99</v>
      </c>
      <c r="E49" s="634" t="str" cm="1">
        <f t="array" aca="1" ref="E49" ca="1">_xll.d.TestUtils_Equal(C49,D49)</f>
        <v>Ok</v>
      </c>
      <c r="F49"/>
    </row>
    <row r="50" spans="2:22" s="455" customFormat="1" x14ac:dyDescent="0.25">
      <c r="B50" s="635">
        <v>44607</v>
      </c>
      <c r="C50" s="193">
        <f>EXP((LN(C31)-LN(C30))/((B31-B30)/365)*((B50-B30)/365)+LN(C30))</f>
        <v>0.98498730956292024</v>
      </c>
      <c r="D50" s="193" cm="1">
        <f t="array" aca="1" ref="D50" ca="1">_xll.d.Curve_GetDiscountFactors($C$19,B50)</f>
        <v>0.98498730956292024</v>
      </c>
      <c r="E50" s="634" t="str" cm="1">
        <f t="array" aca="1" ref="E50" ca="1">_xll.d.TestUtils_Equal(C50,D50)</f>
        <v>Ok</v>
      </c>
      <c r="F50"/>
    </row>
    <row r="51" spans="2:22" s="455" customFormat="1" x14ac:dyDescent="0.25">
      <c r="B51" s="636">
        <f>B31</f>
        <v>44621</v>
      </c>
      <c r="C51" s="57">
        <f>EXP((LN(C31)-LN(C30))/((B31-B30)/365)*((B51-B30)/365)+LN(C30))</f>
        <v>0.98</v>
      </c>
      <c r="D51" s="57" cm="1">
        <f t="array" aca="1" ref="D51" ca="1">_xll.d.Curve_GetDiscountFactors($C$19,B51)</f>
        <v>0.98</v>
      </c>
      <c r="E51" s="634" t="str" cm="1">
        <f t="array" aca="1" ref="E51" ca="1">_xll.d.TestUtils_Equal(C51,D51)</f>
        <v>Ok</v>
      </c>
      <c r="F51"/>
    </row>
    <row r="52" spans="2:22" s="455" customFormat="1" x14ac:dyDescent="0.25">
      <c r="B52" s="635">
        <v>44635</v>
      </c>
      <c r="C52" s="193">
        <f>EXP((LN(C32)-LN(C31))/((B32-B31)/365)*((B52-B31)/365)+LN(C31))</f>
        <v>0.97547116833738268</v>
      </c>
      <c r="D52" s="193" cm="1">
        <f t="array" aca="1" ref="D52" ca="1">_xll.d.Curve_GetDiscountFactors($C$19,B52)</f>
        <v>0.97547116833738268</v>
      </c>
      <c r="E52" s="634" t="str" cm="1">
        <f t="array" aca="1" ref="E52" ca="1">_xll.d.TestUtils_Equal(C52,D52)</f>
        <v>Ok</v>
      </c>
      <c r="F52"/>
    </row>
    <row r="53" spans="2:22" s="455" customFormat="1" x14ac:dyDescent="0.25">
      <c r="B53" s="636">
        <f>B32</f>
        <v>44652</v>
      </c>
      <c r="C53" s="57">
        <f>EXP((LN(C32)-LN(C31))/((B32-B31)/365)*((B53-B31)/365)+LN(C31))</f>
        <v>0.97</v>
      </c>
      <c r="D53" s="57" cm="1">
        <f t="array" aca="1" ref="D53" ca="1">_xll.d.Curve_GetDiscountFactors($C$19,B53)</f>
        <v>0.97</v>
      </c>
      <c r="E53" s="634" t="str" cm="1">
        <f t="array" aca="1" ref="E53" ca="1">_xll.d.TestUtils_Equal(C53,D53)</f>
        <v>Ok</v>
      </c>
      <c r="F53"/>
    </row>
    <row r="54" spans="2:22" s="455" customFormat="1" x14ac:dyDescent="0.25">
      <c r="B54" s="635">
        <v>44666</v>
      </c>
      <c r="C54" s="193">
        <f>EXP((LN(C33)-LN(C32))/((B33-B32)/365)*((B54-B32)/365)+LN(C32))</f>
        <v>0.96532043596444328</v>
      </c>
      <c r="D54" s="193" cm="1">
        <f t="array" aca="1" ref="D54" ca="1">_xll.d.Curve_GetDiscountFactors($C$19,B54)</f>
        <v>0.96532043596444328</v>
      </c>
      <c r="E54" s="634" t="str" cm="1">
        <f t="array" aca="1" ref="E54" ca="1">_xll.d.TestUtils_Equal(C54,D54)</f>
        <v>Ok</v>
      </c>
      <c r="F54"/>
    </row>
    <row r="55" spans="2:22" s="455" customFormat="1" x14ac:dyDescent="0.25">
      <c r="B55" s="636">
        <f>B33</f>
        <v>44682</v>
      </c>
      <c r="C55" s="57">
        <f>EXP((LN(C33)-LN(C32))/((B33-B32)/365)*((B55-B32)/365)+LN(C32))</f>
        <v>0.96</v>
      </c>
      <c r="D55" s="57" cm="1">
        <f t="array" aca="1" ref="D55" ca="1">_xll.d.Curve_GetDiscountFactors($C$19,B55)</f>
        <v>0.96</v>
      </c>
      <c r="E55" s="634" t="str" cm="1">
        <f t="array" aca="1" ref="E55" ca="1">_xll.d.TestUtils_Equal(C55,D55)</f>
        <v>Ok</v>
      </c>
      <c r="F55"/>
    </row>
    <row r="56" spans="2:22" s="455" customFormat="1" x14ac:dyDescent="0.25">
      <c r="B56" s="635">
        <v>45107</v>
      </c>
      <c r="C56" s="193">
        <f>EXP((LN(C34)-LN(C33))/((B34-B33)/365)*((B56-B33)/365)+LN(C33))</f>
        <v>0.8356958461194135</v>
      </c>
      <c r="D56" s="193" cm="1">
        <f t="array" aca="1" ref="D56" ca="1">_xll.d.Curve_GetDiscountFactors($C$19,B56)</f>
        <v>0.8356958461194135</v>
      </c>
      <c r="E56" s="634" t="str" cm="1">
        <f t="array" aca="1" ref="E56" ca="1">_xll.d.TestUtils_Equal(C56,D56)</f>
        <v>Ok</v>
      </c>
      <c r="F56"/>
    </row>
    <row r="57" spans="2:22" s="455" customFormat="1" x14ac:dyDescent="0.25">
      <c r="B57" s="637">
        <f>B34</f>
        <v>46022</v>
      </c>
      <c r="C57" s="638">
        <f>EXP((LN(C34)-LN(C33))/((B34-B33)/365)*((B57-B33)/365)+LN(C33))</f>
        <v>0.62</v>
      </c>
      <c r="D57" s="638" cm="1">
        <f t="array" aca="1" ref="D57" ca="1">_xll.d.Curve_GetDiscountFactors($C$19,B57)</f>
        <v>0.62</v>
      </c>
      <c r="E57" s="639" t="str" cm="1">
        <f t="array" aca="1" ref="E57" ca="1">_xll.d.TestUtils_Equal(C57,D57)</f>
        <v>Ok</v>
      </c>
      <c r="F57"/>
    </row>
    <row r="58" spans="2:22" s="455" customFormat="1" x14ac:dyDescent="0.25">
      <c r="F58"/>
    </row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aca="1" ref="C62" ca="1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B30</f>
        <v>44593</v>
      </c>
      <c r="C67" s="541">
        <f>-LN(C30)/YEARFRAC($B$29,B67,3)</f>
        <v>0.11833459956542031</v>
      </c>
      <c r="D67" s="541">
        <f t="array" aca="1" ref="D67:D71" ca="1">_xll.d.Curve_GetZeroRates($C$19,B67:B71,"NACC")</f>
        <v>0.11833459956542096</v>
      </c>
      <c r="E67" s="536" t="str" cm="1">
        <f t="array" aca="1" ref="E67" ca="1">_xll.d.TestUtils_Equal(C67,D67)</f>
        <v>Ok</v>
      </c>
      <c r="F67" s="541">
        <f>1*($C30^(-1/(1*YEARFRAC($B$29,$B67,3)))-1)</f>
        <v>0.12562068055442754</v>
      </c>
      <c r="G67" s="541" cm="1">
        <f t="array" aca="1" ref="G67" ca="1">_xll.d.Curve_GetZeroRates($C$19,$B67,"NACA")</f>
        <v>0.12562068055442821</v>
      </c>
      <c r="H67" s="541"/>
      <c r="I67" s="536" t="str" cm="1">
        <f t="array" aca="1" ref="I67" ca="1">_xll.d.TestUtils_Equal(F67,G67)</f>
        <v>Ok</v>
      </c>
      <c r="J67" s="541">
        <f>2*($C30^(-1/(2*YEARFRAC($B$29,$B67,3)))-1)</f>
        <v>0.12190544610680298</v>
      </c>
      <c r="K67" s="541" cm="1">
        <f t="array" aca="1" ref="K67" ca="1">_xll.d.Curve_GetZeroRates($C$19,$B67,"NACS")</f>
        <v>0.12190544610680343</v>
      </c>
      <c r="L67" s="541"/>
      <c r="M67" s="536" t="str" cm="1">
        <f t="array" aca="1" ref="M67" ca="1">_xll.d.TestUtils_Equal(J67,K67)</f>
        <v>Ok</v>
      </c>
      <c r="N67" s="541">
        <f>4*($C30^(-1/(4*YEARFRAC($B$29,$B67,3)))-1)</f>
        <v>0.12010237358908604</v>
      </c>
      <c r="O67" s="541" cm="1">
        <f t="array" aca="1" ref="O67" ca="1">_xll.d.Curve_GetZeroRates($C$19,$B67,"NACQ")</f>
        <v>0.12010237358908693</v>
      </c>
      <c r="P67" s="536" t="str" cm="1">
        <f t="array" aca="1" ref="P67" ca="1">_xll.d.TestUtils_Equal(N67,O67)</f>
        <v>Ok</v>
      </c>
      <c r="Q67" s="541">
        <f>12*($C30^(-1/(12*YEARFRAC($B$29,$B67,3)))-1)</f>
        <v>0.11891998374379664</v>
      </c>
      <c r="R67" s="541">
        <f t="array" aca="1" ref="R67" ca="1">_xll.d.Curve_GetZeroRates($C$19,$B67,"NACM")</f>
        <v>0.11891998374379664</v>
      </c>
      <c r="S67" s="536" t="str" cm="1">
        <f t="array" aca="1" ref="S67" ca="1">_xll.d.TestUtils_Equal(Q67,R67)</f>
        <v>Ok</v>
      </c>
      <c r="T67" s="541">
        <f>(1/YEARFRAC($B$29,B67,3))*(1/C30-1)</f>
        <v>0.11893124796350681</v>
      </c>
      <c r="U67" s="541" cm="1">
        <f t="array" aca="1" ref="U67" ca="1">_xll.d.Curve_GetZeroRates($C$19,$B67,"Simple")</f>
        <v>0.11893124796350679</v>
      </c>
      <c r="V67" s="538" t="str" cm="1">
        <f t="array" aca="1" ref="V67" ca="1">_xll.d.TestUtils_Equal(T67,U67)</f>
        <v>Ok</v>
      </c>
    </row>
    <row r="68" spans="2:25" x14ac:dyDescent="0.25">
      <c r="B68" s="533">
        <f>B31</f>
        <v>44621</v>
      </c>
      <c r="C68" s="542">
        <f>-LN(C31)/YEARFRAC($B$29,B68,3)</f>
        <v>0.12498285035414584</v>
      </c>
      <c r="D68" s="542">
        <f ca="1"/>
        <v>0.12498285035414587</v>
      </c>
      <c r="E68" s="535" t="str" cm="1">
        <f t="array" aca="1" ref="E68" ca="1">_xll.d.TestUtils_Equal(C68,D68)</f>
        <v>Ok</v>
      </c>
      <c r="F68" s="542">
        <f>1*($C31^(-1/(1*YEARFRAC($B$29,$B68,3)))-1)</f>
        <v>0.13312902013879047</v>
      </c>
      <c r="G68" s="542" cm="1">
        <f t="array" aca="1" ref="G68" ca="1">_xll.d.Curve_GetZeroRates($C$19,$B68,"NACA")</f>
        <v>0.13312902013879047</v>
      </c>
      <c r="H68" s="542"/>
      <c r="I68" s="535" t="str" cm="1">
        <f t="array" aca="1" ref="I68" ca="1">_xll.d.TestUtils_Equal(F68,G68)</f>
        <v>Ok</v>
      </c>
      <c r="J68" s="542">
        <f>2*($C31^(-1/(2*YEARFRAC($B$29,$B68,3)))-1)</f>
        <v>0.12897066221100451</v>
      </c>
      <c r="K68" s="542" cm="1">
        <f t="array" aca="1" ref="K68" ca="1">_xll.d.Curve_GetZeroRates($C$19,$B68,"NACS")</f>
        <v>0.12897066221100406</v>
      </c>
      <c r="L68" s="542"/>
      <c r="M68" s="535" t="str" cm="1">
        <f t="array" aca="1" ref="M68" ca="1">_xll.d.TestUtils_Equal(J68,K68)</f>
        <v>Ok</v>
      </c>
      <c r="N68" s="542">
        <f>4*($C31^(-1/(4*YEARFRAC($B$29,$B68,3)))-1)</f>
        <v>0.12695593600029031</v>
      </c>
      <c r="O68" s="542" cm="1">
        <f t="array" aca="1" ref="O68" ca="1">_xll.d.Curve_GetZeroRates($C$19,$B68,"NACQ")</f>
        <v>0.12695593600029031</v>
      </c>
      <c r="P68" s="535" t="str" cm="1">
        <f t="array" aca="1" ref="P68" ca="1">_xll.d.TestUtils_Equal(N68,O68)</f>
        <v>Ok</v>
      </c>
      <c r="Q68" s="542">
        <f>12*($C31^(-1/(12*YEARFRAC($B$29,$B68,3)))-1)</f>
        <v>0.12563597891789247</v>
      </c>
      <c r="R68" s="542" cm="1">
        <f t="array" aca="1" ref="R68" ca="1">_xll.d.Curve_GetZeroRates($C$19,$B68,"NACM")</f>
        <v>0.1256359789178898</v>
      </c>
      <c r="S68" s="535" t="str" cm="1">
        <f t="array" aca="1" ref="S68" ca="1">_xll.d.TestUtils_Equal(Q68,R68)</f>
        <v>Ok</v>
      </c>
      <c r="T68" s="542">
        <f>(1/YEARFRAC($B$29,B68,3))*(1/C31-1)</f>
        <v>0.12625389138706342</v>
      </c>
      <c r="U68" s="542" cm="1">
        <f t="array" aca="1" ref="U68" ca="1">_xll.d.Curve_GetZeroRates($C$19,$B68,"Simple")</f>
        <v>0.12625389138706344</v>
      </c>
      <c r="V68" s="539" t="str" cm="1">
        <f t="array" aca="1" ref="V68" ca="1">_xll.d.TestUtils_Equal(T68,U68)</f>
        <v>Ok</v>
      </c>
    </row>
    <row r="69" spans="2:25" x14ac:dyDescent="0.25">
      <c r="B69" s="533">
        <f>B32</f>
        <v>44652</v>
      </c>
      <c r="C69" s="542">
        <f>-LN(C32)/YEARFRAC($B$29,B69,3)</f>
        <v>0.12352900813242923</v>
      </c>
      <c r="D69" s="542">
        <f ca="1"/>
        <v>0.12352900813242955</v>
      </c>
      <c r="E69" s="535" t="str" cm="1">
        <f t="array" aca="1" ref="E69" ca="1">_xll.d.TestUtils_Equal(C69,D69)</f>
        <v>Ok</v>
      </c>
      <c r="F69" s="542">
        <f>1*($C32^(-1/(1*YEARFRAC($B$29,$B69,3)))-1)</f>
        <v>0.13148282626969365</v>
      </c>
      <c r="G69" s="542" cm="1">
        <f t="array" aca="1" ref="G69" ca="1">_xll.d.Curve_GetZeroRates($C$19,$B69,"NACA")</f>
        <v>0.1314828262696941</v>
      </c>
      <c r="H69" s="542"/>
      <c r="I69" s="535" t="str" cm="1">
        <f t="array" aca="1" ref="I69" ca="1">_xll.d.TestUtils_Equal(F69,G69)</f>
        <v>Ok</v>
      </c>
      <c r="J69" s="542">
        <f>2*($C32^(-1/(2*YEARFRAC($B$29,$B69,3)))-1)</f>
        <v>0.12742363084524699</v>
      </c>
      <c r="K69" s="542" cm="1">
        <f t="array" aca="1" ref="K69" ca="1">_xll.d.Curve_GetZeroRates($C$19,$B69,"NACS")</f>
        <v>0.12742363084524744</v>
      </c>
      <c r="L69" s="542"/>
      <c r="M69" s="535" t="str" cm="1">
        <f t="array" aca="1" ref="M69" ca="1">_xll.d.TestUtils_Equal(J69,K69)</f>
        <v>Ok</v>
      </c>
      <c r="N69" s="542">
        <f>4*($C32^(-1/(4*YEARFRAC($B$29,$B69,3)))-1)</f>
        <v>0.12545622286335512</v>
      </c>
      <c r="O69" s="542" cm="1">
        <f t="array" aca="1" ref="O69" ca="1">_xll.d.Curve_GetZeroRates($C$19,$B69,"NACQ")</f>
        <v>0.12545622286335512</v>
      </c>
      <c r="P69" s="535" t="str" cm="1">
        <f t="array" aca="1" ref="P69" ca="1">_xll.d.TestUtils_Equal(N69,O69)</f>
        <v>Ok</v>
      </c>
      <c r="Q69" s="542">
        <f>12*($C32^(-1/(12*YEARFRAC($B$29,$B69,3)))-1)</f>
        <v>0.12416700444279183</v>
      </c>
      <c r="R69" s="542" cm="1">
        <f t="array" aca="1" ref="R69" ca="1">_xll.d.Curve_GetZeroRates($C$19,$B69,"NACM")</f>
        <v>0.12416700444279183</v>
      </c>
      <c r="S69" s="535" t="str" cm="1">
        <f t="array" aca="1" ref="S69" ca="1">_xll.d.TestUtils_Equal(Q69,R69)</f>
        <v>Ok</v>
      </c>
      <c r="T69" s="542">
        <f>(1/YEARFRAC($B$29,B69,3))*(1/C32-1)</f>
        <v>0.12542955326460525</v>
      </c>
      <c r="U69" s="542" cm="1">
        <f t="array" aca="1" ref="U69" ca="1">_xll.d.Curve_GetZeroRates($C$19,$B69,"Simple")</f>
        <v>0.12542955326460528</v>
      </c>
      <c r="V69" s="539" t="str" cm="1">
        <f t="array" aca="1" ref="V69" ca="1">_xll.d.TestUtils_Equal(T69,U69)</f>
        <v>Ok</v>
      </c>
    </row>
    <row r="70" spans="2:25" x14ac:dyDescent="0.25">
      <c r="B70" s="533">
        <f>B33</f>
        <v>44682</v>
      </c>
      <c r="C70" s="542">
        <f>-LN(C33)/YEARFRAC($B$29,B70,3)</f>
        <v>0.12416689999910947</v>
      </c>
      <c r="D70" s="542">
        <f ca="1"/>
        <v>0.12416689999910957</v>
      </c>
      <c r="E70" s="535" t="str" cm="1">
        <f t="array" aca="1" ref="E70" ca="1">_xll.d.TestUtils_Equal(C70,D70)</f>
        <v>Ok</v>
      </c>
      <c r="F70" s="542">
        <f>1*($C33^(-1/(1*YEARFRAC($B$29,$B70,3)))-1)</f>
        <v>0.13220482021441016</v>
      </c>
      <c r="G70" s="542" cm="1">
        <f t="array" aca="1" ref="G70" ca="1">_xll.d.Curve_GetZeroRates($C$19,$B70,"NACA")</f>
        <v>0.13220482021441016</v>
      </c>
      <c r="H70" s="542"/>
      <c r="I70" s="535" t="str" cm="1">
        <f t="array" aca="1" ref="I70" ca="1">_xll.d.TestUtils_Equal(F70,G70)</f>
        <v>Ok</v>
      </c>
      <c r="J70" s="542">
        <f>2*($C33^(-1/(2*YEARFRAC($B$29,$B70,3)))-1)</f>
        <v>0.12810227217999115</v>
      </c>
      <c r="K70" s="542" cm="1">
        <f t="array" aca="1" ref="K70" ca="1">_xll.d.Curve_GetZeroRates($C$19,$B70,"NACS")</f>
        <v>0.12810227217999115</v>
      </c>
      <c r="L70" s="542"/>
      <c r="M70" s="535" t="str" cm="1">
        <f t="array" aca="1" ref="M70" ca="1">_xll.d.TestUtils_Equal(J70,K70)</f>
        <v>Ok</v>
      </c>
      <c r="N70" s="542">
        <f>4*($C33^(-1/(4*YEARFRAC($B$29,$B70,3)))-1)</f>
        <v>0.12611417406740255</v>
      </c>
      <c r="O70" s="542" cm="1">
        <f t="array" aca="1" ref="O70" ca="1">_xll.d.Curve_GetZeroRates($C$19,$B70,"NACQ")</f>
        <v>0.12611417406740344</v>
      </c>
      <c r="P70" s="535" t="str" cm="1">
        <f t="array" aca="1" ref="P70" ca="1">_xll.d.TestUtils_Equal(N70,O70)</f>
        <v>Ok</v>
      </c>
      <c r="Q70" s="542">
        <f>12*($C33^(-1/(12*YEARFRAC($B$29,$B70,3)))-1)</f>
        <v>0.12481151386647849</v>
      </c>
      <c r="R70" s="542" cm="1">
        <f t="array" aca="1" ref="R70" ca="1">_xll.d.Curve_GetZeroRates($C$19,$B70,"NACM")</f>
        <v>0.12481151386647849</v>
      </c>
      <c r="S70" s="535" t="str" cm="1">
        <f t="array" aca="1" ref="S70" ca="1">_xll.d.TestUtils_Equal(Q70,R70)</f>
        <v>Ok</v>
      </c>
      <c r="T70" s="542">
        <f>(1/YEARFRAC($B$29,B70,3))*(1/C33-1)</f>
        <v>0.12673611111111135</v>
      </c>
      <c r="U70" s="542" cm="1">
        <f t="array" aca="1" ref="U70" ca="1">_xll.d.Curve_GetZeroRates($C$19,$B70,"Simple")</f>
        <v>0.12673611111111135</v>
      </c>
      <c r="V70" s="539" t="str" cm="1">
        <f t="array" aca="1" ref="V70" ca="1">_xll.d.TestUtils_Equal(T70,U70)</f>
        <v>Ok</v>
      </c>
    </row>
    <row r="71" spans="2:25" x14ac:dyDescent="0.25">
      <c r="B71" s="534">
        <f>B34</f>
        <v>46022</v>
      </c>
      <c r="C71" s="543">
        <f>-LN(C34)/YEARFRAC($B$29,B71,3)</f>
        <v>0.11950895023574995</v>
      </c>
      <c r="D71" s="543">
        <f ca="1"/>
        <v>0.11950895023574998</v>
      </c>
      <c r="E71" s="537" t="str" cm="1">
        <f t="array" aca="1" ref="E71" ca="1">_xll.d.TestUtils_Equal(C71,D71)</f>
        <v>Ok</v>
      </c>
      <c r="F71" s="543">
        <f>1*($C34^(-1/(1*YEARFRAC($B$29,$B71,3)))-1)</f>
        <v>0.12694333043055228</v>
      </c>
      <c r="G71" s="543" cm="1">
        <f t="array" aca="1" ref="G71" ca="1">_xll.d.Curve_GetZeroRates($C$19,$B71,"NACA")</f>
        <v>0.12694333043055228</v>
      </c>
      <c r="H71" s="543"/>
      <c r="I71" s="537" t="str" cm="1">
        <f t="array" aca="1" ref="I71" ca="1">_xll.d.TestUtils_Equal(F71,G71)</f>
        <v>Ok</v>
      </c>
      <c r="J71" s="543">
        <f>2*($C34^(-1/(2*YEARFRAC($B$29,$B71,3)))-1)</f>
        <v>0.12315174250975502</v>
      </c>
      <c r="K71" s="543" cm="1">
        <f t="array" aca="1" ref="K71" ca="1">_xll.d.Curve_GetZeroRates($C$19,$B71,"NACS")</f>
        <v>0.12315174250975502</v>
      </c>
      <c r="L71" s="543"/>
      <c r="M71" s="537" t="str" cm="1">
        <f t="array" aca="1" ref="M71" ca="1">_xll.d.TestUtils_Equal(J71,K71)</f>
        <v>Ok</v>
      </c>
      <c r="N71" s="543">
        <f>4*($C34^(-1/(4*YEARFRAC($B$29,$B71,3)))-1)</f>
        <v>0.1213121624159994</v>
      </c>
      <c r="O71" s="543" cm="1">
        <f t="array" aca="1" ref="O71" ca="1">_xll.d.Curve_GetZeroRates($C$19,$B71,"NACQ")</f>
        <v>0.1213121624159994</v>
      </c>
      <c r="P71" s="537" t="str" cm="1">
        <f t="array" aca="1" ref="P71" ca="1">_xll.d.TestUtils_Equal(N71,O71)</f>
        <v>Ok</v>
      </c>
      <c r="Q71" s="543">
        <f>12*($C34^(-1/(12*YEARFRAC($B$29,$B71,3)))-1)</f>
        <v>0.12010603026150424</v>
      </c>
      <c r="R71" s="543" cm="1">
        <f t="array" aca="1" ref="R71" ca="1">_xll.d.Curve_GetZeroRates($C$19,$B71,"NACM")</f>
        <v>0.12010603026150424</v>
      </c>
      <c r="S71" s="537" t="str" cm="1">
        <f t="array" aca="1" ref="S71" ca="1">_xll.d.TestUtils_Equal(Q71,R71)</f>
        <v>Ok</v>
      </c>
      <c r="T71" s="543">
        <f>(1/YEARFRAC($B$29,B71,3))*(1/C34-1)</f>
        <v>0.15322580645161293</v>
      </c>
      <c r="U71" s="543" cm="1">
        <f t="array" aca="1" ref="U71" ca="1">_xll.d.Curve_GetZeroRates($C$19,$B71,"Simple")</f>
        <v>0.15322580645161293</v>
      </c>
      <c r="V71" s="540" t="str" cm="1">
        <f t="array" aca="1" ref="V71" ca="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Ok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cm="1">
        <f t="array" aca="1" ref="D81" ca="1">_xll.d.Curve_GetDiscountFactors($C$19,B81)</f>
        <v>0.99</v>
      </c>
      <c r="E81" s="530" cm="1">
        <f t="array" aca="1" ref="E81" ca="1">_xll.d.Curve_GetDiscountFactors($C$19,C81)</f>
        <v>0.96</v>
      </c>
      <c r="F81" s="523" cm="1">
        <f t="array" aca="1" ref="F81" ca="1">_xll.d.IR_DiscountFactorsToForwardRate($F$79,D81,E81,YEARFRAC(B81,C81,3))</f>
        <v>0.1261983754310686</v>
      </c>
      <c r="G81" s="523">
        <f t="array" aca="1" ref="G81:G85" ca="1">_xll.d.Curve_GetForwardRates($C$19,B81:B85,C81:C85,F79)</f>
        <v>0.12619837543106849</v>
      </c>
      <c r="H81" s="523"/>
      <c r="I81" s="517" t="str" cm="1">
        <f t="array" aca="1" ref="I81" ca="1">_xll.d.TestUtils_Equal(F81,G81)</f>
        <v>Ok</v>
      </c>
      <c r="J81" s="523" cm="1">
        <f t="array" aca="1" ref="J81" ca="1">_xll.d.IR_DiscountFactorsToForwardRate($J$79,D81,E81,YEARFRAC(B81,C81,3))</f>
        <v>0.13450720431718377</v>
      </c>
      <c r="K81" s="523">
        <f t="array" aca="1" ref="K81:K85" ca="1">_xll.d.Curve_GetForwardRates($C$19,B81:B85,C81:C85,J79)</f>
        <v>0.13450720431718355</v>
      </c>
      <c r="L81" s="523"/>
      <c r="M81" s="517" t="str" cm="1">
        <f t="array" aca="1" ref="M81" ca="1">_xll.d.TestUtils_Equal(J81,K81)</f>
        <v>Ok</v>
      </c>
      <c r="N81" s="523" cm="1">
        <f t="array" aca="1" ref="N81" ca="1">_xll.d.IR_DiscountFactorsToForwardRate($N$79,D81,E81,YEARFRAC(B81,C81,3))</f>
        <v>0.13026496409923993</v>
      </c>
      <c r="O81" s="523" cm="1">
        <f t="array" aca="1" ref="O81:O85" ca="1">_xll.d.Curve_GetForwardRates($C$19,B81:B85,C81:C85,N79)</f>
        <v>0.13026496409923949</v>
      </c>
      <c r="P81" s="517" t="str" cm="1">
        <f t="array" aca="1" ref="P81" ca="1">_xll.d.TestUtils_Equal(N81,O81)</f>
        <v>Ok</v>
      </c>
      <c r="Q81" s="523" cm="1">
        <f t="array" aca="1" ref="Q81" ca="1">_xll.d.IR_DiscountFactorsToForwardRate($Q$79,D81,E81,YEARFRAC(B81,C81,3))</f>
        <v>0.12821023117693464</v>
      </c>
      <c r="R81" s="523" cm="1">
        <f t="array" aca="1" ref="R81:R85" ca="1">_xll.d.Curve_GetForwardRates($C$19,B81:B85,C81:C85,Q79)</f>
        <v>0.12821023117693464</v>
      </c>
      <c r="S81" s="517" t="str" cm="1">
        <f t="array" aca="1" ref="S81" ca="1">_xll.d.TestUtils_Equal(Q81,R81)</f>
        <v>Ok</v>
      </c>
      <c r="T81" s="523" cm="1">
        <f t="array" aca="1" ref="T81" ca="1">_xll.d.IR_DiscountFactorsToForwardRate($T$79,D81,E81,YEARFRAC(B81,C81,3))</f>
        <v>0.12686429234424779</v>
      </c>
      <c r="U81" s="523" cm="1">
        <f t="array" aca="1" ref="U81:U85" ca="1">_xll.d.Curve_GetForwardRates($C$19,B81:B85,C81:C85,T79)</f>
        <v>0.12686429234424779</v>
      </c>
      <c r="V81" s="517" t="str" cm="1">
        <f t="array" aca="1" ref="V81" ca="1">_xll.d.TestUtils_Equal(T81,U81)</f>
        <v>Ok</v>
      </c>
      <c r="W81" s="523" cm="1">
        <f t="array" aca="1" ref="W81" ca="1">_xll.d.IR_DiscountFactorsToForwardRate($W$79,D81,E81,YEARFRAC(B81,C81,3))</f>
        <v>0.12816011235955058</v>
      </c>
      <c r="X81" s="523" cm="1">
        <f t="array" aca="1" ref="X81:X85" ca="1">_xll.d.Curve_GetForwardRates($C$19,B81:B85,C81:C85,W79)</f>
        <v>0.12816011235955058</v>
      </c>
      <c r="Y81" s="521" t="str" cm="1">
        <f t="array" aca="1" ref="Y81" ca="1">_xll.d.TestUtils_Equal(W81,X81)</f>
        <v>Ok</v>
      </c>
    </row>
    <row r="82" spans="2:25" x14ac:dyDescent="0.25">
      <c r="B82" s="514">
        <f>B68</f>
        <v>44621</v>
      </c>
      <c r="C82" s="528">
        <f>EDATE(B82,3)</f>
        <v>44713</v>
      </c>
      <c r="D82" s="531" cm="1">
        <f t="array" aca="1" ref="D82" ca="1">_xll.d.Curve_GetDiscountFactors($C$19,B82)</f>
        <v>0.98</v>
      </c>
      <c r="E82" s="531" cm="1">
        <f t="array" aca="1" ref="E82" ca="1">_xll.d.Curve_GetDiscountFactors($C$19,C82)</f>
        <v>0.95033887992895882</v>
      </c>
      <c r="F82" s="524" cm="1">
        <f t="array" aca="1" ref="F82" ca="1">_xll.d.IR_DiscountFactorsToForwardRate($F$79,D82,E82,YEARFRAC(B82,C82,3))</f>
        <v>0.12193354632163705</v>
      </c>
      <c r="G82" s="524">
        <f ca="1"/>
        <v>0.12193354632163736</v>
      </c>
      <c r="H82" s="524"/>
      <c r="I82" s="516" t="str" cm="1">
        <f t="array" aca="1" ref="I82" ca="1">_xll.d.TestUtils_Equal(F82,G82)</f>
        <v>Ok</v>
      </c>
      <c r="J82" s="524" cm="1">
        <f t="array" aca="1" ref="J82" ca="1">_xll.d.IR_DiscountFactorsToForwardRate($J$79,D82,E82,YEARFRAC(B82,C82,3))</f>
        <v>0.12967902795910313</v>
      </c>
      <c r="K82" s="524">
        <f ca="1"/>
        <v>0.12967902795910358</v>
      </c>
      <c r="L82" s="524"/>
      <c r="M82" s="516" t="str" cm="1">
        <f t="array" aca="1" ref="M82" ca="1">_xll.d.TestUtils_Equal(J82,K82)</f>
        <v>Ok</v>
      </c>
      <c r="N82" s="524" cm="1">
        <f t="array" aca="1" ref="N82" ca="1">_xll.d.IR_DiscountFactorsToForwardRate($N$79,D82,E82,YEARFRAC(B82,C82,3))</f>
        <v>0.12572719600526661</v>
      </c>
      <c r="O82" s="524">
        <f ca="1"/>
        <v>0.12572719600526661</v>
      </c>
      <c r="P82" s="516" t="str" cm="1">
        <f t="array" aca="1" ref="P82" ca="1">_xll.d.TestUtils_Equal(N82,O82)</f>
        <v>Ok</v>
      </c>
      <c r="Q82" s="524" cm="1">
        <f t="array" aca="1" ref="Q82" ca="1">_xll.d.IR_DiscountFactorsToForwardRate($Q$79,D82,E82,YEARFRAC(B82,C82,3))</f>
        <v>0.12381104902275197</v>
      </c>
      <c r="R82" s="524">
        <f ca="1"/>
        <v>0.12381104902275286</v>
      </c>
      <c r="S82" s="516" t="str" cm="1">
        <f t="array" aca="1" ref="S82" ca="1">_xll.d.TestUtils_Equal(Q82,R82)</f>
        <v>Ok</v>
      </c>
      <c r="T82" s="524" cm="1">
        <f t="array" aca="1" ref="T82" ca="1">_xll.d.IR_DiscountFactorsToForwardRate($T$79,D82,E82,YEARFRAC(B82,C82,3))</f>
        <v>0.12255514114432575</v>
      </c>
      <c r="U82" s="524">
        <f ca="1"/>
        <v>0.12255514114432575</v>
      </c>
      <c r="V82" s="516" t="str" cm="1">
        <f t="array" aca="1" ref="V82" ca="1">_xll.d.TestUtils_Equal(T82,U82)</f>
        <v>Ok</v>
      </c>
      <c r="W82" s="524" cm="1">
        <f t="array" aca="1" ref="W82" ca="1">_xll.d.IR_DiscountFactorsToForwardRate($W$79,D82,E82,YEARFRAC(B82,C82,3))</f>
        <v>0.12382663945714034</v>
      </c>
      <c r="X82" s="524">
        <f ca="1"/>
        <v>0.12382663945714034</v>
      </c>
      <c r="Y82" s="522" t="str" cm="1">
        <f t="array" aca="1" ref="Y82" ca="1">_xll.d.TestUtils_Equal(W82,X82)</f>
        <v>Ok</v>
      </c>
    </row>
    <row r="83" spans="2:25" x14ac:dyDescent="0.25">
      <c r="B83" s="514">
        <f>B69</f>
        <v>44652</v>
      </c>
      <c r="C83" s="528">
        <f>EDATE(B83,3)</f>
        <v>44743</v>
      </c>
      <c r="D83" s="531" cm="1">
        <f t="array" aca="1" ref="D83" ca="1">_xll.d.Curve_GetDiscountFactors($C$19,B83)</f>
        <v>0.97</v>
      </c>
      <c r="E83" s="531" cm="1">
        <f t="array" aca="1" ref="E83" ca="1">_xll.d.Curve_GetDiscountFactors($C$19,C83)</f>
        <v>0.94108199131668513</v>
      </c>
      <c r="F83" s="524" cm="1">
        <f t="array" aca="1" ref="F83" ca="1">_xll.d.IR_DiscountFactorsToForwardRate($F$79,D83,E83,YEARFRAC(B83,C83,3))</f>
        <v>0.12139580563464189</v>
      </c>
      <c r="G83" s="524">
        <f ca="1"/>
        <v>0.12139580563464152</v>
      </c>
      <c r="H83" s="524"/>
      <c r="I83" s="516" t="str" cm="1">
        <f t="array" aca="1" ref="I83" ca="1">_xll.d.TestUtils_Equal(F83,G83)</f>
        <v>Ok</v>
      </c>
      <c r="J83" s="524" cm="1">
        <f t="array" aca="1" ref="J83" ca="1">_xll.d.IR_DiscountFactorsToForwardRate($J$79,D83,E83,YEARFRAC(B83,C83,3))</f>
        <v>0.12907171688509589</v>
      </c>
      <c r="K83" s="524">
        <f ca="1"/>
        <v>0.12907171688509544</v>
      </c>
      <c r="L83" s="524"/>
      <c r="M83" s="516" t="str" cm="1">
        <f t="array" aca="1" ref="M83" ca="1">_xll.d.TestUtils_Equal(J83,K83)</f>
        <v>Ok</v>
      </c>
      <c r="N83" s="524" cm="1">
        <f t="array" aca="1" ref="N83" ca="1">_xll.d.IR_DiscountFactorsToForwardRate($N$79,D83,E83,YEARFRAC(B83,C83,3))</f>
        <v>0.12515572783275886</v>
      </c>
      <c r="O83" s="524">
        <f ca="1"/>
        <v>0.12515572783275841</v>
      </c>
      <c r="P83" s="516" t="str" cm="1">
        <f t="array" aca="1" ref="P83" ca="1">_xll.d.TestUtils_Equal(N83,O83)</f>
        <v>Ok</v>
      </c>
      <c r="Q83" s="524" cm="1">
        <f t="array" aca="1" ref="Q83" ca="1">_xll.d.IR_DiscountFactorsToForwardRate($Q$79,D83,E83,YEARFRAC(B83,C83,3))</f>
        <v>0.1232567010388852</v>
      </c>
      <c r="R83" s="524">
        <f ca="1"/>
        <v>0.1232567010388852</v>
      </c>
      <c r="S83" s="516" t="str" cm="1">
        <f t="array" aca="1" ref="S83" ca="1">_xll.d.TestUtils_Equal(Q83,R83)</f>
        <v>Ok</v>
      </c>
      <c r="T83" s="524" cm="1">
        <f t="array" aca="1" ref="T83" ca="1">_xll.d.IR_DiscountFactorsToForwardRate($T$79,D83,E83,YEARFRAC(B83,C83,3))</f>
        <v>0.12201192072159373</v>
      </c>
      <c r="U83" s="524">
        <f ca="1"/>
        <v>0.12201192072159373</v>
      </c>
      <c r="V83" s="516" t="str" cm="1">
        <f t="array" aca="1" ref="V83" ca="1">_xll.d.TestUtils_Equal(T83,U83)</f>
        <v>Ok</v>
      </c>
      <c r="W83" s="524" cm="1">
        <f t="array" aca="1" ref="W83" ca="1">_xll.d.IR_DiscountFactorsToForwardRate($W$79,D83,E83,YEARFRAC(B83,C83,3))</f>
        <v>0.12325155100054225</v>
      </c>
      <c r="X83" s="524">
        <f ca="1"/>
        <v>0.12325155100054225</v>
      </c>
      <c r="Y83" s="522" t="str" cm="1">
        <f t="array" aca="1" ref="Y83" ca="1">_xll.d.TestUtils_Equal(W83,X83)</f>
        <v>Ok</v>
      </c>
    </row>
    <row r="84" spans="2:25" x14ac:dyDescent="0.25">
      <c r="B84" s="514">
        <f>B70</f>
        <v>44682</v>
      </c>
      <c r="C84" s="528">
        <f>EDATE(B84,3)</f>
        <v>44774</v>
      </c>
      <c r="D84" s="531" cm="1">
        <f t="array" aca="1" ref="D84" ca="1">_xll.d.Curve_GetDiscountFactors($C$19,B84)</f>
        <v>0.96</v>
      </c>
      <c r="E84" s="531" cm="1">
        <f t="array" aca="1" ref="E84" ca="1">_xll.d.Curve_GetDiscountFactors($C$19,C84)</f>
        <v>0.93161125578042991</v>
      </c>
      <c r="F84" s="524" cm="1">
        <f t="array" aca="1" ref="F84" ca="1">_xll.d.IR_DiscountFactorsToForwardRate($F$79,D84,E84,YEARFRAC(B84,C84,3))</f>
        <v>0.11909182040619554</v>
      </c>
      <c r="G84" s="524">
        <f ca="1"/>
        <v>0.11909182040619548</v>
      </c>
      <c r="H84" s="524"/>
      <c r="I84" s="516" t="str" cm="1">
        <f t="array" aca="1" ref="I84" ca="1">_xll.d.TestUtils_Equal(F84,G84)</f>
        <v>Ok</v>
      </c>
      <c r="J84" s="524" cm="1">
        <f t="array" aca="1" ref="J84" ca="1">_xll.d.IR_DiscountFactorsToForwardRate($J$79,D84,E84,YEARFRAC(B84,C84,3))</f>
        <v>0.12647334678012689</v>
      </c>
      <c r="K84" s="524">
        <f ca="1"/>
        <v>0.12647334678012689</v>
      </c>
      <c r="L84" s="524"/>
      <c r="M84" s="516" t="str" cm="1">
        <f t="array" aca="1" ref="M84" ca="1">_xll.d.TestUtils_Equal(J84,K84)</f>
        <v>Ok</v>
      </c>
      <c r="N84" s="524" cm="1">
        <f t="array" aca="1" ref="N84" ca="1">_xll.d.IR_DiscountFactorsToForwardRate($N$79,D84,E84,YEARFRAC(B84,C84,3))</f>
        <v>0.1227089737221414</v>
      </c>
      <c r="O84" s="524">
        <f ca="1"/>
        <v>0.1227089737221414</v>
      </c>
      <c r="P84" s="516" t="str" cm="1">
        <f t="array" aca="1" ref="P84" ca="1">_xll.d.TestUtils_Equal(N84,O84)</f>
        <v>Ok</v>
      </c>
      <c r="Q84" s="524" cm="1">
        <f t="array" aca="1" ref="Q84" ca="1">_xll.d.IR_DiscountFactorsToForwardRate($Q$79,D84,E84,YEARFRAC(B84,C84,3))</f>
        <v>0.12088240426454444</v>
      </c>
      <c r="R84" s="524">
        <f ca="1"/>
        <v>0.12088240426454444</v>
      </c>
      <c r="S84" s="516" t="str" cm="1">
        <f t="array" aca="1" ref="S84" ca="1">_xll.d.TestUtils_Equal(Q84,R84)</f>
        <v>Ok</v>
      </c>
      <c r="T84" s="524" cm="1">
        <f t="array" aca="1" ref="T84" ca="1">_xll.d.IR_DiscountFactorsToForwardRate($T$79,D84,E84,YEARFRAC(B84,C84,3))</f>
        <v>0.11968473277032032</v>
      </c>
      <c r="U84" s="524">
        <f ca="1"/>
        <v>0.11968473277032032</v>
      </c>
      <c r="V84" s="516" t="str" cm="1">
        <f t="array" aca="1" ref="V84" ca="1">_xll.d.TestUtils_Equal(T84,U84)</f>
        <v>Ok</v>
      </c>
      <c r="W84" s="524" cm="1">
        <f t="array" aca="1" ref="W84" ca="1">_xll.d.IR_DiscountFactorsToForwardRate($W$79,D84,E84,YEARFRAC(B84,C84,3))</f>
        <v>0.12089726939132452</v>
      </c>
      <c r="X84" s="524">
        <f ca="1"/>
        <v>0.12089726939132452</v>
      </c>
      <c r="Y84" s="522" t="str" cm="1">
        <f t="array" aca="1" ref="Y84" ca="1">_xll.d.TestUtils_Equal(W84,X84)</f>
        <v>Ok</v>
      </c>
    </row>
    <row r="85" spans="2:25" x14ac:dyDescent="0.25">
      <c r="B85" s="515">
        <v>44713</v>
      </c>
      <c r="C85" s="529">
        <f>EDATE(B85,3)</f>
        <v>44805</v>
      </c>
      <c r="D85" s="532" cm="1">
        <f t="array" aca="1" ref="D85" ca="1">_xll.d.Curve_GetDiscountFactors($C$19,B85)</f>
        <v>0.95033887992895882</v>
      </c>
      <c r="E85" s="532" cm="1">
        <f t="array" aca="1" ref="E85" ca="1">_xll.d.Curve_GetDiscountFactors($C$19,C85)</f>
        <v>0.92223583057040071</v>
      </c>
      <c r="F85" s="525" cm="1">
        <f t="array" aca="1" ref="F85" ca="1">_xll.d.IR_DiscountFactorsToForwardRate($F$79,D85,E85,YEARFRAC(B85,C85,3))</f>
        <v>0.11909182040619504</v>
      </c>
      <c r="G85" s="525">
        <f ca="1"/>
        <v>0.11909182040619463</v>
      </c>
      <c r="H85" s="525"/>
      <c r="I85" s="518" t="str" cm="1">
        <f t="array" aca="1" ref="I85" ca="1">_xll.d.TestUtils_Equal(F85,G85)</f>
        <v>Ok</v>
      </c>
      <c r="J85" s="525" cm="1">
        <f t="array" aca="1" ref="J85" ca="1">_xll.d.IR_DiscountFactorsToForwardRate($J$79,D85,E85,YEARFRAC(B85,C85,3))</f>
        <v>0.12647334678012645</v>
      </c>
      <c r="K85" s="525">
        <f ca="1"/>
        <v>0.12647334678012601</v>
      </c>
      <c r="L85" s="525"/>
      <c r="M85" s="518" t="str" cm="1">
        <f t="array" aca="1" ref="M85" ca="1">_xll.d.TestUtils_Equal(J85,K85)</f>
        <v>Ok</v>
      </c>
      <c r="N85" s="525" cm="1">
        <f t="array" aca="1" ref="N85" ca="1">_xll.d.IR_DiscountFactorsToForwardRate($N$79,D85,E85,YEARFRAC(B85,C85,3))</f>
        <v>0.12270897372214096</v>
      </c>
      <c r="O85" s="525">
        <f ca="1"/>
        <v>0.12270897372214051</v>
      </c>
      <c r="P85" s="518" t="str" cm="1">
        <f t="array" aca="1" ref="P85" ca="1">_xll.d.TestUtils_Equal(N85,O85)</f>
        <v>Ok</v>
      </c>
      <c r="Q85" s="525" cm="1">
        <f t="array" aca="1" ref="Q85" ca="1">_xll.d.IR_DiscountFactorsToForwardRate($Q$79,D85,E85,YEARFRAC(B85,C85,3))</f>
        <v>0.12088240426454444</v>
      </c>
      <c r="R85" s="525">
        <f ca="1"/>
        <v>0.12088240426454355</v>
      </c>
      <c r="S85" s="518" t="str" cm="1">
        <f t="array" aca="1" ref="S85" ca="1">_xll.d.TestUtils_Equal(Q85,R85)</f>
        <v>Ok</v>
      </c>
      <c r="T85" s="525" cm="1">
        <f t="array" aca="1" ref="T85" ca="1">_xll.d.IR_DiscountFactorsToForwardRate($T$79,D85,E85,YEARFRAC(B85,C85,3))</f>
        <v>0.11968473277032032</v>
      </c>
      <c r="U85" s="525">
        <f ca="1"/>
        <v>0.11968473277032032</v>
      </c>
      <c r="V85" s="518" t="str" cm="1">
        <f t="array" aca="1" ref="V85" ca="1">_xll.d.TestUtils_Equal(T85,U85)</f>
        <v>Ok</v>
      </c>
      <c r="W85" s="525" cm="1">
        <f t="array" aca="1" ref="W85" ca="1">_xll.d.IR_DiscountFactorsToForwardRate($W$79,D85,E85,YEARFRAC(B85,C85,3))</f>
        <v>0.12089726939132364</v>
      </c>
      <c r="X85" s="525">
        <f ca="1"/>
        <v>0.12089726939132364</v>
      </c>
      <c r="Y85" s="512" t="str" cm="1">
        <f t="array" aca="1" ref="Y85" ca="1">_xll.d.TestUtils_Equal(W85,X85)</f>
        <v>Ok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ht="18.75" x14ac:dyDescent="0.3">
      <c r="B88" s="3" t="s">
        <v>660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 x14ac:dyDescent="0.25">
      <c r="C89" s="455"/>
      <c r="D89" s="455"/>
      <c r="E89" s="455"/>
    </row>
    <row r="90" spans="2:25" x14ac:dyDescent="0.25">
      <c r="B90" s="66" t="s">
        <v>155</v>
      </c>
      <c r="C90" s="854" t="str">
        <f ca="1">K94</f>
        <v>Ok</v>
      </c>
      <c r="D90" s="455"/>
      <c r="E90" s="455"/>
    </row>
    <row r="91" spans="2:25" x14ac:dyDescent="0.25">
      <c r="B91" s="495" t="s">
        <v>662</v>
      </c>
      <c r="C91" s="455"/>
    </row>
    <row r="92" spans="2:25" x14ac:dyDescent="0.25">
      <c r="B92" s="495" t="s">
        <v>663</v>
      </c>
    </row>
    <row r="93" spans="2:25" x14ac:dyDescent="0.25">
      <c r="B93" s="848" t="s">
        <v>81</v>
      </c>
      <c r="C93" s="849"/>
      <c r="D93" s="849"/>
      <c r="E93" s="849"/>
      <c r="F93" s="849" t="s">
        <v>82</v>
      </c>
      <c r="G93" s="849"/>
      <c r="H93" s="849"/>
      <c r="I93" s="849"/>
      <c r="J93" s="849"/>
      <c r="K93" s="850" t="s">
        <v>83</v>
      </c>
    </row>
    <row r="94" spans="2:25" x14ac:dyDescent="0.25">
      <c r="B94" s="851" t="str" cm="1">
        <f t="array" aca="1" ref="B94" ca="1">_xll.d.Curve_GetInstruments(C19)</f>
        <v>#∂Excel Error: No instruments found. Was this bootstrapped or built from discount factors directly?</v>
      </c>
      <c r="C94" s="852"/>
      <c r="D94" s="852"/>
      <c r="E94" s="852"/>
      <c r="F94" s="855" t="s">
        <v>661</v>
      </c>
      <c r="G94" s="852"/>
      <c r="H94" s="852"/>
      <c r="I94" s="852"/>
      <c r="J94" s="856"/>
      <c r="K94" s="853" t="str" cm="1">
        <f t="array" aca="1" ref="K94" ca="1">_xll.d.TestUtils_Equal(B94,F94)</f>
        <v>Ok</v>
      </c>
    </row>
  </sheetData>
  <conditionalFormatting sqref="E47:E57">
    <cfRule type="cellIs" dxfId="423" priority="43" stopIfTrue="1" operator="equal">
      <formula>"OK"</formula>
    </cfRule>
    <cfRule type="cellIs" dxfId="422" priority="44" stopIfTrue="1" operator="equal">
      <formula>"ERROR"</formula>
    </cfRule>
  </conditionalFormatting>
  <conditionalFormatting sqref="C43">
    <cfRule type="cellIs" dxfId="421" priority="41" stopIfTrue="1" operator="equal">
      <formula>"OK"</formula>
    </cfRule>
    <cfRule type="cellIs" dxfId="420" priority="42" stopIfTrue="1" operator="equal">
      <formula>"ERROR"</formula>
    </cfRule>
  </conditionalFormatting>
  <conditionalFormatting sqref="C15">
    <cfRule type="cellIs" dxfId="419" priority="45" stopIfTrue="1" operator="equal">
      <formula>"OK"</formula>
    </cfRule>
    <cfRule type="cellIs" dxfId="418" priority="46" stopIfTrue="1" operator="equal">
      <formula>"ERROR"</formula>
    </cfRule>
  </conditionalFormatting>
  <conditionalFormatting sqref="E67:E71">
    <cfRule type="cellIs" dxfId="417" priority="39" stopIfTrue="1" operator="equal">
      <formula>"OK"</formula>
    </cfRule>
    <cfRule type="cellIs" dxfId="416" priority="40" stopIfTrue="1" operator="equal">
      <formula>"ERROR"</formula>
    </cfRule>
  </conditionalFormatting>
  <conditionalFormatting sqref="S67:S71">
    <cfRule type="cellIs" dxfId="415" priority="37" stopIfTrue="1" operator="equal">
      <formula>"OK"</formula>
    </cfRule>
    <cfRule type="cellIs" dxfId="414" priority="38" stopIfTrue="1" operator="equal">
      <formula>"ERROR"</formula>
    </cfRule>
  </conditionalFormatting>
  <conditionalFormatting sqref="P67:P71">
    <cfRule type="cellIs" dxfId="413" priority="35" stopIfTrue="1" operator="equal">
      <formula>"OK"</formula>
    </cfRule>
    <cfRule type="cellIs" dxfId="412" priority="36" stopIfTrue="1" operator="equal">
      <formula>"ERROR"</formula>
    </cfRule>
  </conditionalFormatting>
  <conditionalFormatting sqref="M47">
    <cfRule type="cellIs" dxfId="411" priority="33" stopIfTrue="1" operator="equal">
      <formula>"OK"</formula>
    </cfRule>
    <cfRule type="cellIs" dxfId="410" priority="34" stopIfTrue="1" operator="equal">
      <formula>"ERROR"</formula>
    </cfRule>
  </conditionalFormatting>
  <conditionalFormatting sqref="C7">
    <cfRule type="cellIs" dxfId="409" priority="47" stopIfTrue="1" operator="equal">
      <formula>"ERROR"</formula>
    </cfRule>
    <cfRule type="cellIs" dxfId="408" priority="48" stopIfTrue="1" operator="equal">
      <formula>"OK"</formula>
    </cfRule>
    <cfRule type="cellIs" dxfId="407" priority="49" stopIfTrue="1" operator="equal">
      <formula>"WARNING"</formula>
    </cfRule>
  </conditionalFormatting>
  <conditionalFormatting sqref="H43">
    <cfRule type="cellIs" dxfId="406" priority="31" stopIfTrue="1" operator="equal">
      <formula>"OK"</formula>
    </cfRule>
    <cfRule type="cellIs" dxfId="405" priority="32" stopIfTrue="1" operator="equal">
      <formula>"ERROR"</formula>
    </cfRule>
  </conditionalFormatting>
  <conditionalFormatting sqref="I67:I71">
    <cfRule type="cellIs" dxfId="404" priority="29" stopIfTrue="1" operator="equal">
      <formula>"OK"</formula>
    </cfRule>
    <cfRule type="cellIs" dxfId="403" priority="30" stopIfTrue="1" operator="equal">
      <formula>"ERROR"</formula>
    </cfRule>
  </conditionalFormatting>
  <conditionalFormatting sqref="C62">
    <cfRule type="cellIs" dxfId="402" priority="27" stopIfTrue="1" operator="equal">
      <formula>"OK"</formula>
    </cfRule>
    <cfRule type="cellIs" dxfId="401" priority="28" stopIfTrue="1" operator="equal">
      <formula>"ERROR"</formula>
    </cfRule>
  </conditionalFormatting>
  <conditionalFormatting sqref="M67:M71">
    <cfRule type="cellIs" dxfId="400" priority="25" stopIfTrue="1" operator="equal">
      <formula>"OK"</formula>
    </cfRule>
    <cfRule type="cellIs" dxfId="399" priority="26" stopIfTrue="1" operator="equal">
      <formula>"ERROR"</formula>
    </cfRule>
  </conditionalFormatting>
  <conditionalFormatting sqref="V67:V71">
    <cfRule type="cellIs" dxfId="398" priority="23" stopIfTrue="1" operator="equal">
      <formula>"OK"</formula>
    </cfRule>
    <cfRule type="cellIs" dxfId="397" priority="24" stopIfTrue="1" operator="equal">
      <formula>"ERROR"</formula>
    </cfRule>
  </conditionalFormatting>
  <conditionalFormatting sqref="C8">
    <cfRule type="cellIs" dxfId="396" priority="50" stopIfTrue="1" operator="equal">
      <formula>"ERROR"</formula>
    </cfRule>
    <cfRule type="cellIs" dxfId="395" priority="51" stopIfTrue="1" operator="equal">
      <formula>"OK"</formula>
    </cfRule>
    <cfRule type="cellIs" dxfId="394" priority="52" stopIfTrue="1" operator="equal">
      <formula>"WARNING"</formula>
    </cfRule>
  </conditionalFormatting>
  <conditionalFormatting sqref="C4">
    <cfRule type="cellIs" dxfId="393" priority="21" stopIfTrue="1" operator="equal">
      <formula>"OK"</formula>
    </cfRule>
    <cfRule type="cellIs" dxfId="392" priority="22" stopIfTrue="1" operator="equal">
      <formula>"ERROR"</formula>
    </cfRule>
  </conditionalFormatting>
  <conditionalFormatting sqref="I81:I85">
    <cfRule type="cellIs" dxfId="391" priority="19" stopIfTrue="1" operator="equal">
      <formula>"OK"</formula>
    </cfRule>
    <cfRule type="cellIs" dxfId="390" priority="20" stopIfTrue="1" operator="equal">
      <formula>"ERROR"</formula>
    </cfRule>
  </conditionalFormatting>
  <conditionalFormatting sqref="V81:V85">
    <cfRule type="cellIs" dxfId="389" priority="17" stopIfTrue="1" operator="equal">
      <formula>"OK"</formula>
    </cfRule>
    <cfRule type="cellIs" dxfId="388" priority="18" stopIfTrue="1" operator="equal">
      <formula>"ERROR"</formula>
    </cfRule>
  </conditionalFormatting>
  <conditionalFormatting sqref="S81:S85">
    <cfRule type="cellIs" dxfId="387" priority="15" stopIfTrue="1" operator="equal">
      <formula>"OK"</formula>
    </cfRule>
    <cfRule type="cellIs" dxfId="386" priority="16" stopIfTrue="1" operator="equal">
      <formula>"ERROR"</formula>
    </cfRule>
  </conditionalFormatting>
  <conditionalFormatting sqref="M81:M85">
    <cfRule type="cellIs" dxfId="385" priority="13" stopIfTrue="1" operator="equal">
      <formula>"OK"</formula>
    </cfRule>
    <cfRule type="cellIs" dxfId="384" priority="14" stopIfTrue="1" operator="equal">
      <formula>"ERROR"</formula>
    </cfRule>
  </conditionalFormatting>
  <conditionalFormatting sqref="C76">
    <cfRule type="cellIs" dxfId="383" priority="11" stopIfTrue="1" operator="equal">
      <formula>"OK"</formula>
    </cfRule>
    <cfRule type="cellIs" dxfId="382" priority="12" stopIfTrue="1" operator="equal">
      <formula>"ERROR"</formula>
    </cfRule>
  </conditionalFormatting>
  <conditionalFormatting sqref="P81:P85">
    <cfRule type="cellIs" dxfId="381" priority="9" stopIfTrue="1" operator="equal">
      <formula>"OK"</formula>
    </cfRule>
    <cfRule type="cellIs" dxfId="380" priority="10" stopIfTrue="1" operator="equal">
      <formula>"ERROR"</formula>
    </cfRule>
  </conditionalFormatting>
  <conditionalFormatting sqref="Y81:Y85">
    <cfRule type="cellIs" dxfId="379" priority="7" stopIfTrue="1" operator="equal">
      <formula>"OK"</formula>
    </cfRule>
    <cfRule type="cellIs" dxfId="378" priority="8" stopIfTrue="1" operator="equal">
      <formula>"ERROR"</formula>
    </cfRule>
  </conditionalFormatting>
  <conditionalFormatting sqref="C9:C10">
    <cfRule type="cellIs" dxfId="377" priority="53" stopIfTrue="1" operator="equal">
      <formula>"ERROR"</formula>
    </cfRule>
    <cfRule type="cellIs" dxfId="376" priority="54" stopIfTrue="1" operator="equal">
      <formula>"OK"</formula>
    </cfRule>
    <cfRule type="cellIs" dxfId="375" priority="55" stopIfTrue="1" operator="equal">
      <formula>"WARNING"</formula>
    </cfRule>
  </conditionalFormatting>
  <conditionalFormatting sqref="C39">
    <cfRule type="cellIs" dxfId="374" priority="5" stopIfTrue="1" operator="equal">
      <formula>"OK"</formula>
    </cfRule>
    <cfRule type="cellIs" dxfId="373" priority="6" stopIfTrue="1" operator="equal">
      <formula>"ERROR"</formula>
    </cfRule>
  </conditionalFormatting>
  <conditionalFormatting sqref="C90">
    <cfRule type="cellIs" dxfId="372" priority="3" stopIfTrue="1" operator="equal">
      <formula>"OK"</formula>
    </cfRule>
    <cfRule type="cellIs" dxfId="371" priority="4" stopIfTrue="1" operator="equal">
      <formula>"ERROR"</formula>
    </cfRule>
  </conditionalFormatting>
  <conditionalFormatting sqref="K94">
    <cfRule type="cellIs" dxfId="370" priority="1" stopIfTrue="1" operator="equal">
      <formula>"OK"</formula>
    </cfRule>
    <cfRule type="cellIs" dxfId="36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R102"/>
  <sheetViews>
    <sheetView showGridLines="0" topLeftCell="A56" zoomScaleNormal="100" workbookViewId="0">
      <selection activeCell="B59" sqref="B59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7" width="11" style="455" customWidth="1"/>
    <col min="48" max="48" width="11.625" style="455" bestFit="1" customWidth="1"/>
    <col min="49" max="50" width="11" style="455" customWidth="1"/>
    <col min="51" max="51" width="20.75" style="455" customWidth="1"/>
    <col min="52" max="52" width="19" style="455" customWidth="1"/>
    <col min="53" max="55" width="11" style="455" customWidth="1"/>
    <col min="56" max="56" width="14.25" style="455" bestFit="1" customWidth="1"/>
    <col min="57" max="69" width="11" style="455" customWidth="1"/>
    <col min="70" max="70" width="15.25" style="455" customWidth="1"/>
    <col min="71" max="71" width="18.5" style="455" customWidth="1"/>
    <col min="72" max="76" width="11" style="455" customWidth="1"/>
    <col min="77" max="77" width="19.625" style="455" bestFit="1" customWidth="1"/>
    <col min="78" max="78" width="18.75" style="455" bestFit="1" customWidth="1"/>
    <col min="79" max="96" width="11" style="455" customWidth="1"/>
    <col min="97" max="97" width="11.375" customWidth="1"/>
    <col min="99" max="99" width="11" customWidth="1"/>
    <col min="114" max="114" width="20.25" customWidth="1"/>
  </cols>
  <sheetData>
    <row r="1" spans="2:122" x14ac:dyDescent="0.25">
      <c r="B1" s="418" t="s">
        <v>403</v>
      </c>
    </row>
    <row r="2" spans="2:122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</row>
    <row r="4" spans="2:122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22" x14ac:dyDescent="0.25">
      <c r="B6" s="59" t="s">
        <v>155</v>
      </c>
      <c r="C6" s="174" t="str" cm="1">
        <f t="array" aca="1" ref="C6" ca="1">_xll.d.TestUtils_And(D12:D13,D16,I11)</f>
        <v>Ok</v>
      </c>
    </row>
    <row r="8" spans="2:122" s="455" customFormat="1" ht="15.75" x14ac:dyDescent="0.25">
      <c r="B8" s="4" t="s">
        <v>665</v>
      </c>
      <c r="C8" s="4"/>
      <c r="D8" s="4"/>
      <c r="F8" s="4" t="s">
        <v>666</v>
      </c>
      <c r="G8" s="4"/>
      <c r="H8" s="4"/>
      <c r="I8" s="4"/>
    </row>
    <row r="9" spans="2:122" s="455" customFormat="1" x14ac:dyDescent="0.25"/>
    <row r="10" spans="2:122" x14ac:dyDescent="0.25">
      <c r="B10" s="199" t="s">
        <v>9</v>
      </c>
      <c r="C10" s="199"/>
      <c r="D10" s="200" t="s">
        <v>10</v>
      </c>
      <c r="F10" s="199" t="s">
        <v>225</v>
      </c>
      <c r="G10" s="199"/>
      <c r="H10" s="199"/>
      <c r="I10" s="200" t="s">
        <v>10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</row>
    <row r="11" spans="2:122" x14ac:dyDescent="0.25">
      <c r="B11" s="245" t="str">
        <f>B20</f>
        <v>ZAR Swap Curve Testing</v>
      </c>
      <c r="C11" s="246"/>
      <c r="D11" s="247"/>
      <c r="F11" s="425" t="s">
        <v>660</v>
      </c>
      <c r="G11" s="425"/>
      <c r="H11" s="425"/>
      <c r="I11" s="310" t="str">
        <f>C61</f>
        <v>Ok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</row>
    <row r="12" spans="2:122" x14ac:dyDescent="0.25">
      <c r="B12" s="417" t="str">
        <f>B22</f>
        <v>Flat Curve, 3m JIBAR</v>
      </c>
      <c r="C12" s="212"/>
      <c r="D12" s="174" t="str">
        <f ca="1">C24</f>
        <v>Ok</v>
      </c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</row>
    <row r="13" spans="2:122" x14ac:dyDescent="0.25">
      <c r="B13" s="212" t="s">
        <v>605</v>
      </c>
      <c r="C13" s="212"/>
      <c r="D13" s="174" t="str">
        <f ca="1">N24</f>
        <v>Ok</v>
      </c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</row>
    <row r="14" spans="2:122" s="455" customFormat="1" x14ac:dyDescent="0.25"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</row>
    <row r="15" spans="2:122" x14ac:dyDescent="0.25">
      <c r="B15" s="245" t="s">
        <v>206</v>
      </c>
      <c r="C15" s="246"/>
      <c r="D15" s="247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</row>
    <row r="16" spans="2:122" x14ac:dyDescent="0.25">
      <c r="B16" s="417" t="str">
        <f>AC22</f>
        <v>Real Curve, FEDFUND</v>
      </c>
      <c r="C16" s="212"/>
      <c r="D16" s="174" t="str">
        <f ca="1">AD24</f>
        <v>Ok</v>
      </c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</row>
    <row r="17" spans="2:121" x14ac:dyDescent="0.25">
      <c r="B17" s="209"/>
      <c r="C17" s="244"/>
      <c r="D17" s="174"/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213"/>
      <c r="AB17" s="214"/>
      <c r="AQ17" s="213"/>
      <c r="AR17" s="21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</row>
    <row r="18" spans="2:121" x14ac:dyDescent="0.25">
      <c r="K18" s="213"/>
      <c r="L18" s="21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213"/>
      <c r="AB18" s="214"/>
      <c r="AQ18" s="213"/>
      <c r="AR18" s="21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</row>
    <row r="19" spans="2:121" x14ac:dyDescent="0.25">
      <c r="K19" s="213"/>
      <c r="L19" s="21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804"/>
      <c r="Y19" s="64"/>
      <c r="Z19" s="64"/>
      <c r="AA19" s="213"/>
      <c r="AB19" s="214"/>
      <c r="AQ19" s="213"/>
      <c r="AR19" s="21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</row>
    <row r="20" spans="2:121" ht="18.75" x14ac:dyDescent="0.3">
      <c r="B20" s="3" t="s">
        <v>226</v>
      </c>
      <c r="C20" s="3"/>
      <c r="D20" s="3"/>
      <c r="E20" s="3"/>
      <c r="F20" s="3"/>
      <c r="G20" s="3"/>
      <c r="H20" s="3"/>
      <c r="I20" s="3"/>
      <c r="J20" s="3"/>
      <c r="K20" s="213"/>
      <c r="L20" s="214"/>
      <c r="M20" s="3" t="s">
        <v>226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13"/>
      <c r="AB20" s="214"/>
      <c r="AC20" s="3" t="s">
        <v>227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13"/>
      <c r="AR20" s="214"/>
      <c r="AS20" s="3" t="s">
        <v>656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3" t="s">
        <v>199</v>
      </c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</row>
    <row r="21" spans="2:121" x14ac:dyDescent="0.25">
      <c r="K21" s="213"/>
      <c r="L21" s="214"/>
      <c r="AA21" s="213"/>
      <c r="AB21" s="214"/>
      <c r="AQ21" s="213"/>
      <c r="AR21" s="21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</row>
    <row r="22" spans="2:121" ht="15.75" x14ac:dyDescent="0.25">
      <c r="B22" s="4" t="s">
        <v>207</v>
      </c>
      <c r="C22" s="4"/>
      <c r="D22" s="4"/>
      <c r="E22" s="4"/>
      <c r="F22" s="4"/>
      <c r="G22" s="4"/>
      <c r="H22" s="4"/>
      <c r="I22" s="4"/>
      <c r="J22" s="4"/>
      <c r="K22" s="213"/>
      <c r="L22" s="214"/>
      <c r="M22" s="4" t="s">
        <v>605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13"/>
      <c r="AB22" s="214"/>
      <c r="AC22" s="4" t="s">
        <v>623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13"/>
      <c r="AR22" s="214"/>
      <c r="AS22" s="4" t="s">
        <v>623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131" t="s">
        <v>508</v>
      </c>
      <c r="BY22" s="805">
        <v>1E-3</v>
      </c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t="s">
        <v>203</v>
      </c>
      <c r="DC22" t="s">
        <v>200</v>
      </c>
    </row>
    <row r="23" spans="2:121" x14ac:dyDescent="0.25">
      <c r="K23" s="213"/>
      <c r="L23" s="214"/>
      <c r="V23" s="756"/>
      <c r="W23" s="756"/>
      <c r="X23" s="756"/>
      <c r="Y23" s="756"/>
      <c r="Z23" s="756"/>
      <c r="AA23" s="213"/>
      <c r="AB23" s="214"/>
      <c r="AQ23" s="213"/>
      <c r="AR23" s="21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</row>
    <row r="24" spans="2:121" x14ac:dyDescent="0.25">
      <c r="B24" s="59" t="s">
        <v>122</v>
      </c>
      <c r="C24" s="174" t="str" cm="1">
        <f t="array" aca="1" ref="C24" ca="1">_xll.d.TestUtils_And(J26:J31,J52:J53)</f>
        <v>Ok</v>
      </c>
      <c r="G24" s="241" t="s">
        <v>225</v>
      </c>
      <c r="H24" s="242"/>
      <c r="I24" s="242"/>
      <c r="J24" s="243"/>
      <c r="K24" s="213"/>
      <c r="L24" s="214"/>
      <c r="M24" s="59" t="s">
        <v>122</v>
      </c>
      <c r="N24" s="174" t="str" cm="1">
        <f t="array" aca="1" ref="N24" ca="1">_xll.d.TestUtils_And(U28:U38,U79:U84,Z28:Z44)</f>
        <v>Ok</v>
      </c>
      <c r="V24" s="756"/>
      <c r="W24" s="131" t="s">
        <v>508</v>
      </c>
      <c r="X24" s="805">
        <v>1E-4</v>
      </c>
      <c r="Y24" s="756"/>
      <c r="Z24" s="756"/>
      <c r="AA24" s="213"/>
      <c r="AB24" s="214"/>
      <c r="AC24" s="59" t="s">
        <v>122</v>
      </c>
      <c r="AD24" s="174" t="str" cm="1">
        <f t="array" aca="1" ref="AD24" ca="1">_xll.d.TestUtils_And(AK26:AK32,AK51:AK56,AP26:AP47)</f>
        <v>Ok</v>
      </c>
      <c r="AH24" s="131" t="s">
        <v>225</v>
      </c>
      <c r="AI24" s="202"/>
      <c r="AJ24" s="202"/>
      <c r="AK24" s="132"/>
      <c r="AM24" s="131" t="s">
        <v>34</v>
      </c>
      <c r="AN24" s="772" t="s">
        <v>2</v>
      </c>
      <c r="AO24" s="773"/>
      <c r="AP24" s="132" t="s">
        <v>83</v>
      </c>
      <c r="AQ24" s="213"/>
      <c r="AR24" s="214"/>
      <c r="AS24" s="59" t="s">
        <v>122</v>
      </c>
      <c r="AT24" s="174" t="str" cm="1">
        <f t="array" aca="1" ref="AT24" ca="1">_xll.d.TestUtils_And(BA26:BA32,BA51:BA56,BF26:BF47)</f>
        <v>Ok</v>
      </c>
      <c r="AX24" s="131" t="s">
        <v>225</v>
      </c>
      <c r="AY24" s="202"/>
      <c r="AZ24" s="202"/>
      <c r="BA24" s="132"/>
      <c r="BC24" s="131" t="s">
        <v>34</v>
      </c>
      <c r="BD24" s="772" t="s">
        <v>2</v>
      </c>
      <c r="BE24" s="773"/>
      <c r="BF24" s="132" t="s">
        <v>83</v>
      </c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59" t="s">
        <v>122</v>
      </c>
      <c r="BS24" s="174" t="str" cm="1">
        <f t="array" ref="BS24">_xll.d.TestUtils_And(BZ28:BZ39,BZ80:BZ84,CE28:CE44)</f>
        <v>Error</v>
      </c>
      <c r="BV24" s="64"/>
      <c r="BX24" s="844" t="s">
        <v>225</v>
      </c>
      <c r="BY24" s="845"/>
      <c r="BZ24" s="845"/>
      <c r="CA24" s="846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6" t="s">
        <v>40</v>
      </c>
      <c r="CT24" s="66"/>
      <c r="CU24" s="275" t="str" cm="1">
        <f t="array" ref="CU24">_xll.d.Curve_SingleCurveBootstrap("CurveMissingBaseDate",CS28:CT30,CS35:CU40,CS42:CU45,CS47:CU50)</f>
        <v>#∂Excel Error: Curve parameter missing: 'BASEDATE'.</v>
      </c>
      <c r="CV24" s="39"/>
      <c r="CW24" s="39"/>
      <c r="CX24" s="39"/>
      <c r="CY24" s="219"/>
      <c r="DC24" s="66" t="s">
        <v>40</v>
      </c>
      <c r="DD24" s="66"/>
      <c r="DE24" s="218" t="str" cm="1">
        <f t="array" ref="DE24">_xll.d.Curve_SingleCurveBootstrap("CurveMissingRateIndex",DC28:DD30,DC35:DE40,DC42:DE45,DC47:DE50)</f>
        <v>#∂Excel Error: Curve parameter missing: 'RATEINDEXTENOR'.</v>
      </c>
      <c r="DF24" s="219"/>
      <c r="DN24" s="66" t="s">
        <v>40</v>
      </c>
      <c r="DO24" s="66"/>
      <c r="DP24" s="218"/>
      <c r="DQ24" s="219"/>
    </row>
    <row r="25" spans="2:121" x14ac:dyDescent="0.25">
      <c r="G25" s="72" t="s">
        <v>34</v>
      </c>
      <c r="H25" s="73" t="s">
        <v>41</v>
      </c>
      <c r="I25" s="73" t="s">
        <v>42</v>
      </c>
      <c r="J25" s="74" t="s">
        <v>83</v>
      </c>
      <c r="K25" s="213"/>
      <c r="L25" s="214"/>
      <c r="V25" s="756"/>
      <c r="W25" s="756"/>
      <c r="X25" s="756"/>
      <c r="Y25" s="756"/>
      <c r="Z25" s="756"/>
      <c r="AA25" s="213"/>
      <c r="AB25" s="214"/>
      <c r="AH25" s="781" t="s">
        <v>34</v>
      </c>
      <c r="AI25" s="782" t="s">
        <v>41</v>
      </c>
      <c r="AJ25" s="782" t="s">
        <v>42</v>
      </c>
      <c r="AK25" s="783" t="s">
        <v>9</v>
      </c>
      <c r="AM25" s="770"/>
      <c r="AN25" s="764" t="s">
        <v>621</v>
      </c>
      <c r="AO25" s="44" t="s">
        <v>622</v>
      </c>
      <c r="AP25" s="771"/>
      <c r="AQ25" s="213"/>
      <c r="AR25" s="214"/>
      <c r="AX25" s="781" t="s">
        <v>34</v>
      </c>
      <c r="AY25" s="782" t="s">
        <v>41</v>
      </c>
      <c r="AZ25" s="782" t="s">
        <v>42</v>
      </c>
      <c r="BA25" s="783" t="s">
        <v>9</v>
      </c>
      <c r="BC25" s="770"/>
      <c r="BD25" s="764" t="s">
        <v>621</v>
      </c>
      <c r="BE25" s="44" t="s">
        <v>622</v>
      </c>
      <c r="BF25" s="771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V25" s="64"/>
      <c r="BX25" s="781" t="s">
        <v>34</v>
      </c>
      <c r="BY25" s="782" t="s">
        <v>41</v>
      </c>
      <c r="BZ25" s="782" t="s">
        <v>42</v>
      </c>
      <c r="CA25" s="783" t="s">
        <v>83</v>
      </c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</row>
    <row r="26" spans="2:121" x14ac:dyDescent="0.25">
      <c r="G26" s="238">
        <f>C32</f>
        <v>44713</v>
      </c>
      <c r="H26" s="248">
        <v>1</v>
      </c>
      <c r="I26" s="248" cm="1">
        <f t="array" aca="1" ref="I26" ca="1">_xll.d.Curve_GetDiscountFactors($D$27,G26)</f>
        <v>1</v>
      </c>
      <c r="J26" s="227" t="str" cm="1">
        <f t="array" aca="1" ref="J26" ca="1">_xll.d.TestUtils_Equal(H26,I26,0.00001)</f>
        <v>Ok</v>
      </c>
      <c r="K26" s="213"/>
      <c r="L26" s="214"/>
      <c r="R26" s="241" t="s">
        <v>225</v>
      </c>
      <c r="S26" s="242"/>
      <c r="T26" s="242"/>
      <c r="U26" s="243"/>
      <c r="V26" s="756"/>
      <c r="W26" s="131" t="s">
        <v>34</v>
      </c>
      <c r="X26" s="772" t="s">
        <v>2</v>
      </c>
      <c r="Y26" s="773"/>
      <c r="Z26" s="132" t="s">
        <v>83</v>
      </c>
      <c r="AA26" s="213"/>
      <c r="AB26" s="214"/>
      <c r="AH26" s="784">
        <f>AD32</f>
        <v>43921</v>
      </c>
      <c r="AI26" s="754">
        <v>1</v>
      </c>
      <c r="AJ26" s="754" cm="1">
        <f t="array" aca="1" ref="AJ26" ca="1">_xll.d.Curve_GetDiscountFactors($AE$27,AH26)</f>
        <v>1</v>
      </c>
      <c r="AK26" s="785" t="str" cm="1">
        <f t="array" aca="1" ref="AK26" ca="1">_xll.d.TestUtils_Equal(AI26,AJ26,0.001)</f>
        <v>Ok</v>
      </c>
      <c r="AM26" s="796">
        <v>43923</v>
      </c>
      <c r="AN26" s="797">
        <v>1</v>
      </c>
      <c r="AO26" s="798" cm="1">
        <f t="array" aca="1" ref="AO26" ca="1">_xll.d.Curve_GetDiscountFactors($AE$27,AM26)</f>
        <v>0.999995833404974</v>
      </c>
      <c r="AP26" s="763" t="str" cm="1">
        <f t="array" aca="1" ref="AP26" ca="1">_xll.d.TestUtils_Equal(AN26,AO26,0.0001)</f>
        <v>Ok</v>
      </c>
      <c r="AQ26" s="213"/>
      <c r="AR26" s="214"/>
      <c r="AX26" s="832">
        <f>AT32</f>
        <v>44651</v>
      </c>
      <c r="AY26" s="833">
        <v>1</v>
      </c>
      <c r="AZ26" s="833" cm="1">
        <f t="array" aca="1" ref="AZ26:AZ32" ca="1">_xll.d.Curve_GetDiscountFactors(AU27,AX26:AX32)</f>
        <v>1</v>
      </c>
      <c r="BA26" s="834" t="str" cm="1">
        <f t="array" aca="1" ref="BA26" ca="1">_xll.d.TestUtils_Equal(AY26,AZ26,0.001)</f>
        <v>Ok</v>
      </c>
      <c r="BC26" s="796">
        <v>44655</v>
      </c>
      <c r="BD26" s="797">
        <v>0.99996333417359595</v>
      </c>
      <c r="BE26" s="798" cm="1">
        <f t="array" aca="1" ref="BE26:BE47" ca="1">_xll.d.Curve_GetDiscountFactors(AU27,BC26:BC47)</f>
        <v>0.99996233814505109</v>
      </c>
      <c r="BF26" s="763" t="str" cm="1">
        <f t="array" aca="1" ref="BF26" ca="1">_xll.d.TestUtils_Equal(BD26,BE26,0.001)</f>
        <v>Ok</v>
      </c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V26" s="64"/>
      <c r="BX26" s="839">
        <f>BS32</f>
        <v>44651</v>
      </c>
      <c r="BY26" s="749">
        <v>1</v>
      </c>
      <c r="BZ26" s="749" t="e" cm="1">
        <f t="array" ref="BZ26">_xll.d.Curve_GetDiscountFactors($BT$27,BX26)</f>
        <v>#VALUE!</v>
      </c>
      <c r="CA26" s="840" t="str" cm="1">
        <f t="array" ref="CA26">_xll.d.TestUtils_Equal(BY26,BZ26,$BY$22)</f>
        <v>Error</v>
      </c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U26" t="s">
        <v>202</v>
      </c>
    </row>
    <row r="27" spans="2:121" x14ac:dyDescent="0.25">
      <c r="B27" s="66" t="s">
        <v>40</v>
      </c>
      <c r="C27" s="66"/>
      <c r="D27" s="218" t="str" cm="1">
        <f t="array" ref="D27">_xll.d.Curve_Bootstrap("ZARFlatCurve",B30:C35,,B38:D42,B44:D48,B50:D53)</f>
        <v>@@ZARFlatCurve::10:01:09</v>
      </c>
      <c r="E27" s="219"/>
      <c r="G27" s="239">
        <f>EDATE(G26,1)</f>
        <v>44743</v>
      </c>
      <c r="H27" s="249">
        <f>1/(1+YEARFRAC($G$26,G27,3)*C40)</f>
        <v>0.99184782608695643</v>
      </c>
      <c r="I27" s="249" cm="1">
        <f t="array" aca="1" ref="I27" ca="1">_xll.d.Curve_GetDiscountFactors($D$27,G27)</f>
        <v>0.99184782608695665</v>
      </c>
      <c r="J27" s="231" t="str" cm="1">
        <f t="array" aca="1" ref="J27" ca="1">_xll.d.TestUtils_Equal(H27,I27,0.00001)</f>
        <v>Ok</v>
      </c>
      <c r="K27" s="213"/>
      <c r="L27" s="214"/>
      <c r="M27" s="66" t="s">
        <v>40</v>
      </c>
      <c r="N27" s="66"/>
      <c r="O27" s="218" t="str" cm="1">
        <f t="array" ref="O27">_xll.d.Curve_SingleCurveBootstrap("ZARRealCurve",M30:N35,,M38:O42,M44:O52,M54:O61)</f>
        <v>@@ZARRealCurve::10:01:12</v>
      </c>
      <c r="P27" s="219"/>
      <c r="R27" s="72" t="s">
        <v>34</v>
      </c>
      <c r="S27" s="73" t="s">
        <v>41</v>
      </c>
      <c r="T27" s="73" t="s">
        <v>42</v>
      </c>
      <c r="U27" s="74" t="s">
        <v>83</v>
      </c>
      <c r="V27" s="756"/>
      <c r="W27" s="770"/>
      <c r="X27" s="764" t="s">
        <v>621</v>
      </c>
      <c r="Y27" s="44" t="s">
        <v>622</v>
      </c>
      <c r="Z27" s="771"/>
      <c r="AA27" s="213"/>
      <c r="AB27" s="214"/>
      <c r="AC27" s="66" t="s">
        <v>40</v>
      </c>
      <c r="AD27" s="66"/>
      <c r="AE27" s="218" t="str" cm="1">
        <f t="array" ref="AE27">_xll.d.Curve_SingleCurveBootstrap("USDOIS",AC30:AD35,,AC38:AE40,AC42:AE63)</f>
        <v>@@USDOIS::10:01:11</v>
      </c>
      <c r="AF27" s="219"/>
      <c r="AH27" s="786">
        <f>EDATE(AF31,1)</f>
        <v>43953</v>
      </c>
      <c r="AI27" s="755" cm="1">
        <f t="array" ref="AI27">1/(1+AD44*_xll.d.Dates_Act360($AH$26,AH27))</f>
        <v>0.99993778164914182</v>
      </c>
      <c r="AJ27" s="755" cm="1">
        <f t="array" aca="1" ref="AJ27" ca="1">_xll.d.Curve_GetDiscountFactors($AE$27,AH27)</f>
        <v>0.99993750383066682</v>
      </c>
      <c r="AK27" s="787" t="str" cm="1">
        <f t="array" aca="1" ref="AK27" ca="1">_xll.d.TestUtils_Equal(AI27,AJ27,0.001)</f>
        <v>Ok</v>
      </c>
      <c r="AM27" s="799">
        <v>43924</v>
      </c>
      <c r="AN27" s="777">
        <v>0.99999777778271604</v>
      </c>
      <c r="AO27" s="800" cm="1">
        <f t="array" aca="1" ref="AO27" ca="1">_xll.d.Curve_GetDiscountFactors($AE$27,AM27)</f>
        <v>0.99999388903101261</v>
      </c>
      <c r="AP27" s="765" t="str" cm="1">
        <f t="array" aca="1" ref="AP27" ca="1">_xll.d.TestUtils_Equal(AN27,AO27,0.0001)</f>
        <v>Ok</v>
      </c>
      <c r="AQ27" s="213"/>
      <c r="AR27" s="214"/>
      <c r="AS27" s="66" t="s">
        <v>40</v>
      </c>
      <c r="AT27" s="66"/>
      <c r="AU27" s="218" t="str" cm="1">
        <f t="array" ref="AU27">_xll.d.Curve_Bootstrap("USDOIS-Dual",AS30:AT35,,AS38:AU40,AS42:AU63)</f>
        <v>@@USDOIS-Dual::10:01:09</v>
      </c>
      <c r="AV27" s="219"/>
      <c r="AX27" s="786">
        <f>EDATE(AV31,1)</f>
        <v>44685</v>
      </c>
      <c r="AY27" s="755" cm="1">
        <f t="array" ref="AY27">1/(1+AT44*_xll.d.Dates_Act360($AX$26,AX27))</f>
        <v>0.99967710429531254</v>
      </c>
      <c r="AZ27" s="755">
        <f ca="1"/>
        <v>0.999677430077479</v>
      </c>
      <c r="BA27" s="834" t="str" cm="1">
        <f t="array" aca="1" ref="BA27" ca="1">_xll.d.TestUtils_Equal(AY27,AZ27,0.001)</f>
        <v>Ok</v>
      </c>
      <c r="BC27" s="799">
        <v>44656</v>
      </c>
      <c r="BD27" s="777">
        <v>0.9999541679270566</v>
      </c>
      <c r="BE27" s="800">
        <f ca="1"/>
        <v>0.99995283990139094</v>
      </c>
      <c r="BF27" s="763" t="str" cm="1">
        <f t="array" aca="1" ref="BF27" ca="1">_xll.d.TestUtils_Equal(BD27,BE27,0.001)</f>
        <v>Ok</v>
      </c>
      <c r="BG27" s="64"/>
      <c r="BH27" s="64" t="str" cm="1">
        <f t="array" ref="BH27:BJ53">_xll.d.Curve_GetInstruments(AU27)</f>
        <v>Deposits</v>
      </c>
      <c r="BI27" s="64" t="str">
        <v/>
      </c>
      <c r="BJ27" s="64" t="str">
        <v/>
      </c>
      <c r="BK27" s="64"/>
      <c r="BL27" s="64"/>
      <c r="BM27" s="64"/>
      <c r="BN27" s="64"/>
      <c r="BO27" s="64"/>
      <c r="BP27" s="64"/>
      <c r="BQ27" s="64"/>
      <c r="BR27" s="66" t="s">
        <v>40</v>
      </c>
      <c r="BS27" s="66"/>
      <c r="BT27" s="218" t="e" cm="1">
        <f t="array" ref="BT27">_xll.d.Curve_Bootstrap("USDSwap-Dual",BR30:BS36,,BR38:BT42,BR44:BT51,BR54:BT68)</f>
        <v>#VALUE!</v>
      </c>
      <c r="BU27" s="219"/>
      <c r="BV27" s="64"/>
      <c r="BX27" s="841" cm="1">
        <f t="array" ref="BX27">_xll.d.Dates_AddTenorToDate($BS$32,BR40,"USD","ModFol")</f>
        <v>44652</v>
      </c>
      <c r="BY27" s="747" cm="1">
        <f t="array" ref="BY27">1/(1+_xll.d.Dates_Act360($BX$26,BX27)*BS40)</f>
        <v>0.99999078591823332</v>
      </c>
      <c r="BZ27" s="747" t="e" cm="1">
        <f t="array" ref="BZ27">_xll.d.Curve_GetDiscountFactors($BT$27,BX27)</f>
        <v>#VALUE!</v>
      </c>
      <c r="CA27" s="840" t="str" cm="1">
        <f t="array" ref="CA27">_xll.d.TestUtils_Equal(BY27,BZ27,$BY$22)</f>
        <v>Error</v>
      </c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</row>
    <row r="28" spans="2:121" x14ac:dyDescent="0.25">
      <c r="G28" s="239">
        <f>EDATE(G26,2)</f>
        <v>44774</v>
      </c>
      <c r="H28" s="249">
        <f>1/(1+YEARFRAC($G$26,G28,3)*C41)</f>
        <v>0.98356238210724867</v>
      </c>
      <c r="I28" s="249" cm="1">
        <f t="array" aca="1" ref="I28" ca="1">_xll.d.Curve_GetDiscountFactors($D$27,G28)</f>
        <v>0.98356238210724867</v>
      </c>
      <c r="J28" s="231" t="str" cm="1">
        <f t="array" aca="1" ref="J28" ca="1">_xll.d.TestUtils_Equal(H28,I28,0.00001)</f>
        <v>Ok</v>
      </c>
      <c r="K28" s="213"/>
      <c r="L28" s="214"/>
      <c r="R28" s="238">
        <f>N32</f>
        <v>43861</v>
      </c>
      <c r="S28" s="749">
        <v>1</v>
      </c>
      <c r="T28" s="749" cm="1">
        <f t="array" aca="1" ref="T28" ca="1">_xll.d.Curve_GetDiscountFactors($O$27,R28)</f>
        <v>1</v>
      </c>
      <c r="U28" s="227" t="str" cm="1">
        <f t="array" aca="1" ref="U28" ca="1">_xll.d.TestUtils_Equal(S28,T28,0.00001)</f>
        <v>Ok</v>
      </c>
      <c r="V28" s="756"/>
      <c r="W28" s="767">
        <v>43861</v>
      </c>
      <c r="X28" s="774">
        <v>1</v>
      </c>
      <c r="Y28" s="775" cm="1">
        <f t="array" aca="1" ref="Y28" ca="1">_xll.d.Curve_GetDiscountFactors($O$27,W28)</f>
        <v>1</v>
      </c>
      <c r="Z28" s="763" t="str" cm="1">
        <f t="array" aca="1" ref="Z28" ca="1">_xll.d.TestUtils_Equal(X28,Y28,$X$24)</f>
        <v>Ok</v>
      </c>
      <c r="AA28" s="213"/>
      <c r="AB28" s="214"/>
      <c r="AH28" s="786">
        <f>EDATE(AH27,1)</f>
        <v>43984</v>
      </c>
      <c r="AI28" s="755" cm="1">
        <f t="array" ref="AI28">1/(1+AD45*_xll.d.Dates_Act360($AH$26,AH28))</f>
        <v>0.99987576543614454</v>
      </c>
      <c r="AJ28" s="755" cm="1">
        <f t="array" aca="1" ref="AJ28" ca="1">_xll.d.Curve_GetDiscountFactors($AE$27,AH28)</f>
        <v>0.99987554282230828</v>
      </c>
      <c r="AK28" s="787" t="str" cm="1">
        <f t="array" aca="1" ref="AK28" ca="1">_xll.d.TestUtils_Equal(AI28,AJ28,0.001)</f>
        <v>Ok</v>
      </c>
      <c r="AM28" s="799">
        <v>43955</v>
      </c>
      <c r="AN28" s="777">
        <v>0.99993778164914182</v>
      </c>
      <c r="AO28" s="800" cm="1">
        <f t="array" aca="1" ref="AO28" ca="1">_xll.d.Curve_GetDiscountFactors($AE$27,AM28)</f>
        <v>0.99993361531335445</v>
      </c>
      <c r="AP28" s="765" t="str" cm="1">
        <f t="array" aca="1" ref="AP28" ca="1">_xll.d.TestUtils_Equal(AN28,AO28,0.0001)</f>
        <v>Ok</v>
      </c>
      <c r="AQ28" s="213"/>
      <c r="AR28" s="214"/>
      <c r="AX28" s="786">
        <f>EDATE(AX27,1)</f>
        <v>44716</v>
      </c>
      <c r="AY28" s="755" cm="1">
        <f t="array" ref="AY28">1/(1+AT45*_xll.d.Dates_Act360($AX$26,AX28))</f>
        <v>0.99898090073390411</v>
      </c>
      <c r="AZ28" s="755">
        <f ca="1"/>
        <v>0.99901718357838576</v>
      </c>
      <c r="BA28" s="834" t="str" cm="1">
        <f t="array" aca="1" ref="BA28" ca="1">_xll.d.TestUtils_Equal(AY28,AZ28,0.001)</f>
        <v>Ok</v>
      </c>
      <c r="BC28" s="799">
        <v>44685</v>
      </c>
      <c r="BD28" s="777">
        <v>0.99967709816278005</v>
      </c>
      <c r="BE28" s="800">
        <f ca="1"/>
        <v>0.99967743007747911</v>
      </c>
      <c r="BF28" s="763" t="str" cm="1">
        <f t="array" aca="1" ref="BF28" ca="1">_xll.d.TestUtils_Equal(BD28,BE28,0.001)</f>
        <v>Ok</v>
      </c>
      <c r="BG28" s="64"/>
      <c r="BH28" s="64" t="str">
        <v>Tenors</v>
      </c>
      <c r="BI28" s="64" t="str">
        <v>Rates</v>
      </c>
      <c r="BJ28" s="64" t="str">
        <v>Include</v>
      </c>
      <c r="BK28" s="64"/>
      <c r="BL28" s="64"/>
      <c r="BM28" s="64"/>
      <c r="BN28" s="64"/>
      <c r="BO28" s="64"/>
      <c r="BP28" s="64"/>
      <c r="BQ28" s="64"/>
      <c r="BV28" s="64"/>
      <c r="BX28" s="841" cm="1">
        <f t="array" ref="BX28">_xll.d.Dates_AddTenorToDate($BS$32,BR41,"USD","ModFol")</f>
        <v>44680</v>
      </c>
      <c r="BY28" s="747" cm="1">
        <f t="array" ref="BY28">1/(1+_xll.d.Dates_Act360($BX$26,BX28)*BS41)</f>
        <v>0.99963602141753505</v>
      </c>
      <c r="BZ28" s="747" t="e" cm="1">
        <f t="array" ref="BZ28">_xll.d.Curve_GetDiscountFactors($BT$27,BX28)</f>
        <v>#VALUE!</v>
      </c>
      <c r="CA28" s="840" t="str" cm="1">
        <f t="array" ref="CA28">_xll.d.TestUtils_Equal(BY28,BZ28,$BY$22)</f>
        <v>Error</v>
      </c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58" t="s">
        <v>60</v>
      </c>
      <c r="CT28" s="59"/>
      <c r="DC28" s="58" t="s">
        <v>60</v>
      </c>
      <c r="DD28" s="59"/>
      <c r="DN28" s="58" t="s">
        <v>60</v>
      </c>
      <c r="DO28" s="59"/>
    </row>
    <row r="29" spans="2:121" x14ac:dyDescent="0.25">
      <c r="G29" s="239">
        <f>EDATE(G26,3)</f>
        <v>44805</v>
      </c>
      <c r="H29" s="249">
        <f>1/(1+YEARFRAC($G$26,G29,3)*C42)</f>
        <v>0.97541421699625863</v>
      </c>
      <c r="I29" s="249" cm="1">
        <f t="array" aca="1" ref="I29" ca="1">_xll.d.Curve_GetDiscountFactors($D$27,G29)</f>
        <v>0.97541421699625874</v>
      </c>
      <c r="J29" s="231" t="str" cm="1">
        <f t="array" aca="1" ref="J29" ca="1">_xll.d.TestUtils_Equal(H29,I29,0.00001)</f>
        <v>Ok</v>
      </c>
      <c r="K29" s="213"/>
      <c r="L29" s="214"/>
      <c r="R29" s="239">
        <v>43862</v>
      </c>
      <c r="S29" s="747" cm="1">
        <f t="array" ref="S29">1/(1+_xll.d.Dates_Act365($R$28,R29)*N40)</f>
        <v>0.99982802957891237</v>
      </c>
      <c r="T29" s="747" cm="1">
        <f t="array" aca="1" ref="T29" ca="1">_xll.d.Curve_GetDiscountFactors($O$27,R29)</f>
        <v>0.99982805914426409</v>
      </c>
      <c r="U29" s="231" t="str" cm="1">
        <f t="array" aca="1" ref="U29" ca="1">_xll.d.TestUtils_Equal(S29,T29,0.00001)</f>
        <v>Ok</v>
      </c>
      <c r="V29" s="756"/>
      <c r="W29" s="768">
        <v>43864</v>
      </c>
      <c r="X29" s="776">
        <v>0.99948429439882203</v>
      </c>
      <c r="Y29" s="777" cm="1">
        <f t="array" aca="1" ref="Y29" ca="1">_xll.d.Curve_GetDiscountFactors($O$27,W29)</f>
        <v>0.9994842661186828</v>
      </c>
      <c r="Z29" s="763" t="str" cm="1">
        <f t="array" aca="1" ref="Z29" ca="1">_xll.d.TestUtils_Equal(X29,Y29,$X$24)</f>
        <v>Ok</v>
      </c>
      <c r="AA29" s="213"/>
      <c r="AB29" s="214"/>
      <c r="AH29" s="786">
        <f>EDATE(AH28,1)</f>
        <v>44014</v>
      </c>
      <c r="AI29" s="755" cm="1">
        <f t="array" ref="AI29">1/(1+AD46*_xll.d.Dates_Act360($AH$26,AH29))</f>
        <v>0.99982436418669129</v>
      </c>
      <c r="AJ29" s="755" cm="1">
        <f t="array" aca="1" ref="AJ29" ca="1">_xll.d.Curve_GetDiscountFactors($AE$27,AH29)</f>
        <v>0.99982397477286578</v>
      </c>
      <c r="AK29" s="787" t="str" cm="1">
        <f t="array" aca="1" ref="AK29" ca="1">_xll.d.TestUtils_Equal(AI29,AJ29,0.001)</f>
        <v>Ok</v>
      </c>
      <c r="AM29" s="799">
        <v>43984</v>
      </c>
      <c r="AN29" s="777">
        <v>0.99987970891612998</v>
      </c>
      <c r="AO29" s="800" cm="1">
        <f t="array" aca="1" ref="AO29" ca="1">_xll.d.Curve_GetDiscountFactors($AE$27,AM29)</f>
        <v>0.99987554282230828</v>
      </c>
      <c r="AP29" s="765" t="str" cm="1">
        <f t="array" aca="1" ref="AP29" ca="1">_xll.d.TestUtils_Equal(AN29,AO29,0.0001)</f>
        <v>Ok</v>
      </c>
      <c r="AQ29" s="213"/>
      <c r="AR29" s="214"/>
      <c r="AX29" s="786">
        <f>EDATE(AX28,1)</f>
        <v>44746</v>
      </c>
      <c r="AY29" s="755" cm="1">
        <f t="array" ref="AY29">1/(1+AT46*_xll.d.Dates_Act360($AX$26,AX29))</f>
        <v>0.99810886096094031</v>
      </c>
      <c r="AZ29" s="755">
        <f ca="1"/>
        <v>0.99815996092048009</v>
      </c>
      <c r="BA29" s="834" t="str" cm="1">
        <f t="array" aca="1" ref="BA29" ca="1">_xll.d.TestUtils_Equal(AY29,AZ29,0.001)</f>
        <v>Ok</v>
      </c>
      <c r="BC29" s="799">
        <v>44718</v>
      </c>
      <c r="BD29" s="777">
        <v>0.99894954384460399</v>
      </c>
      <c r="BE29" s="800">
        <f ca="1"/>
        <v>0.99897460200731647</v>
      </c>
      <c r="BF29" s="763" t="str" cm="1">
        <f t="array" aca="1" ref="BF29" ca="1">_xll.d.TestUtils_Equal(BD29,BE29,0.001)</f>
        <v>Ok</v>
      </c>
      <c r="BG29" s="64"/>
      <c r="BH29" s="64" t="str">
        <v>1d</v>
      </c>
      <c r="BI29" s="64">
        <v>3.3E-3</v>
      </c>
      <c r="BJ29" s="64" t="b">
        <v>1</v>
      </c>
      <c r="BK29" s="64"/>
      <c r="BL29" s="64"/>
      <c r="BM29" s="64"/>
      <c r="BN29" s="64"/>
      <c r="BO29" s="64"/>
      <c r="BP29" s="64"/>
      <c r="BQ29" s="64"/>
      <c r="BV29" s="64"/>
      <c r="BW29" s="751"/>
      <c r="BX29" s="841" cm="1">
        <f t="array" ref="BX29">_xll.d.Dates_AddTenorToDate($BS$32,BR42,"USD","ModFol")</f>
        <v>44742</v>
      </c>
      <c r="BY29" s="747" cm="1">
        <f t="array" ref="BY29">1/(1+_xll.d.Dates_Act360($BX$26,BX29)*BS42)</f>
        <v>0.99757525838473171</v>
      </c>
      <c r="BZ29" s="747" t="e" cm="1">
        <f t="array" ref="BZ29">_xll.d.Curve_GetDiscountFactors($BT$27,BX29)</f>
        <v>#VALUE!</v>
      </c>
      <c r="CA29" s="840" t="str" cm="1">
        <f t="array" ref="CA29">_xll.d.TestUtils_Equal(BY29,BZ29,$BY$22)</f>
        <v>Error</v>
      </c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0" t="s">
        <v>31</v>
      </c>
      <c r="CT29" s="61" t="s">
        <v>32</v>
      </c>
      <c r="DC29" s="60" t="s">
        <v>31</v>
      </c>
      <c r="DD29" s="61" t="s">
        <v>32</v>
      </c>
      <c r="DN29" s="60" t="s">
        <v>31</v>
      </c>
      <c r="DO29" s="61" t="s">
        <v>32</v>
      </c>
    </row>
    <row r="30" spans="2:121" x14ac:dyDescent="0.25">
      <c r="B30" s="12" t="s">
        <v>60</v>
      </c>
      <c r="C30" s="13"/>
      <c r="G30" s="239">
        <f>EDATE(G26,6)</f>
        <v>44896</v>
      </c>
      <c r="H30" s="249">
        <f>H29*1/(1+YEARFRAC($G$29,G30,3)*C46)</f>
        <v>0.95168722053898536</v>
      </c>
      <c r="I30" s="249" cm="1">
        <f t="array" aca="1" ref="I30" ca="1">_xll.d.Curve_GetDiscountFactors($D$27,G30)</f>
        <v>0.95168722053898525</v>
      </c>
      <c r="J30" s="231" t="str" cm="1">
        <f t="array" aca="1" ref="J30" ca="1">_xll.d.TestUtils_Equal(H30,I30,0.00001)</f>
        <v>Ok</v>
      </c>
      <c r="K30" s="213"/>
      <c r="L30" s="214"/>
      <c r="M30" s="12" t="s">
        <v>60</v>
      </c>
      <c r="N30" s="13"/>
      <c r="R30" s="239" cm="1">
        <f t="array" ref="R30">_xll.d.Dates_AddTenorToDate($N$32,M41,"ZAR","ModFol")</f>
        <v>43889</v>
      </c>
      <c r="S30" s="747" cm="1">
        <f t="array" ref="S30">1/(1+_xll.d.Dates_Act365($R$28,R30)*N41)</f>
        <v>0.99512731140810684</v>
      </c>
      <c r="T30" s="747" cm="1">
        <f t="array" aca="1" ref="T30" ca="1">_xll.d.Curve_GetDiscountFactors($O$27,R30)</f>
        <v>0.99512731140810673</v>
      </c>
      <c r="U30" s="231" t="str" cm="1">
        <f t="array" aca="1" ref="U30" ca="1">_xll.d.TestUtils_Equal(S30,T30,0.00001)</f>
        <v>Ok</v>
      </c>
      <c r="V30" s="756"/>
      <c r="W30" s="768">
        <v>43892</v>
      </c>
      <c r="X30" s="776">
        <v>0.99460805260486285</v>
      </c>
      <c r="Y30" s="777" cm="1">
        <f t="array" aca="1" ref="Y30" ca="1">_xll.d.Curve_GetDiscountFactors($O$27,W30)</f>
        <v>0.99459025791532141</v>
      </c>
      <c r="Z30" s="763" t="str" cm="1">
        <f t="array" aca="1" ref="Z30" ca="1">_xll.d.TestUtils_Equal(X30,Y30,$X$24)</f>
        <v>Ok</v>
      </c>
      <c r="AA30" s="213"/>
      <c r="AB30" s="214"/>
      <c r="AC30" s="12" t="s">
        <v>60</v>
      </c>
      <c r="AD30" s="13"/>
      <c r="AF30" s="12" t="s">
        <v>632</v>
      </c>
      <c r="AH30" s="786">
        <f>EDATE(AH29,1)</f>
        <v>44045</v>
      </c>
      <c r="AI30" s="755" cm="1">
        <f t="array" ref="AI30">1/(1+AD47*_xll.d.Dates_Act360($AH$26,AH30))</f>
        <v>0.99976927546831706</v>
      </c>
      <c r="AJ30" s="755" cm="1">
        <f t="array" aca="1" ref="AJ30" ca="1">_xll.d.Curve_GetDiscountFactors($AE$27,AH30)</f>
        <v>0.99976875143010868</v>
      </c>
      <c r="AK30" s="787" t="str" cm="1">
        <f t="array" aca="1" ref="AK30" ca="1">_xll.d.TestUtils_Equal(AI30,AJ30,0.001)</f>
        <v>Ok</v>
      </c>
      <c r="AM30" s="799">
        <v>44014</v>
      </c>
      <c r="AN30" s="777">
        <v>0.99982814065182357</v>
      </c>
      <c r="AO30" s="800" cm="1">
        <f t="array" aca="1" ref="AO30" ca="1">_xll.d.Curve_GetDiscountFactors($AE$27,AM30)</f>
        <v>0.99982397477286578</v>
      </c>
      <c r="AP30" s="765" t="str" cm="1">
        <f t="array" aca="1" ref="AP30" ca="1">_xll.d.TestUtils_Equal(AN30,AO30,0.0001)</f>
        <v>Ok</v>
      </c>
      <c r="AQ30" s="213"/>
      <c r="AR30" s="214"/>
      <c r="AS30" s="12" t="s">
        <v>60</v>
      </c>
      <c r="AT30" s="13"/>
      <c r="AV30" s="12" t="s">
        <v>632</v>
      </c>
      <c r="AX30" s="786">
        <f>EDATE(AX29,1)</f>
        <v>44777</v>
      </c>
      <c r="AY30" s="755" cm="1">
        <f t="array" ref="AY30">1/(1+AT47*_xll.d.Dates_Act360($AX$26,AX30))</f>
        <v>0.99701294920418426</v>
      </c>
      <c r="AZ30" s="755">
        <f ca="1"/>
        <v>0.99706994900852686</v>
      </c>
      <c r="BA30" s="834" t="str" cm="1">
        <f t="array" aca="1" ref="BA30" ca="1">_xll.d.TestUtils_Equal(AY30,AZ30,0.001)</f>
        <v>Ok</v>
      </c>
      <c r="BC30" s="799">
        <v>44747</v>
      </c>
      <c r="BD30" s="777">
        <v>0.99808891623829643</v>
      </c>
      <c r="BE30" s="800">
        <f ca="1"/>
        <v>0.99813087888572671</v>
      </c>
      <c r="BF30" s="763" t="str" cm="1">
        <f t="array" aca="1" ref="BF30" ca="1">_xll.d.TestUtils_Equal(BD30,BE30,0.001)</f>
        <v>Ok</v>
      </c>
      <c r="BG30" s="64"/>
      <c r="BH30" s="64" t="str">
        <v/>
      </c>
      <c r="BI30" s="64" t="str">
        <v/>
      </c>
      <c r="BJ30" s="64" t="str">
        <v/>
      </c>
      <c r="BK30" s="64"/>
      <c r="BL30" s="64"/>
      <c r="BM30" s="64"/>
      <c r="BN30" s="64"/>
      <c r="BO30" s="64"/>
      <c r="BP30" s="64"/>
      <c r="BQ30" s="64"/>
      <c r="BR30" s="12" t="s">
        <v>60</v>
      </c>
      <c r="BS30" s="13"/>
      <c r="BV30" s="64"/>
      <c r="BW30" s="751" t="s">
        <v>28</v>
      </c>
      <c r="BX30" s="841" cm="1">
        <f t="array" ref="BX30">_xll.d.Dates_AddTenorToDate($BS$32,BW30,"USD","ModFol")</f>
        <v>44834</v>
      </c>
      <c r="BY30" s="747" cm="1">
        <f t="array" ref="BY30">1/(1+_xll.d.Dates_Act360(BX29,BX30)*BS46)*BY29</f>
        <v>0.9933460324656187</v>
      </c>
      <c r="BZ30" s="747" t="e" cm="1">
        <f t="array" ref="BZ30">_xll.d.Curve_GetDiscountFactors($BT$27,BX30)</f>
        <v>#VALUE!</v>
      </c>
      <c r="CA30" s="840" t="str" cm="1">
        <f t="array" ref="CA30">_xll.d.TestUtils_Equal(BY30,BZ30,$BY$22)</f>
        <v>Error</v>
      </c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224" t="s">
        <v>35</v>
      </c>
      <c r="CT30" s="225" t="s">
        <v>36</v>
      </c>
      <c r="CV30" s="62"/>
      <c r="DC30" s="220" t="s">
        <v>198</v>
      </c>
      <c r="DD30" s="46">
        <v>44713</v>
      </c>
      <c r="DF30" s="62"/>
      <c r="DN30" s="220" t="s">
        <v>198</v>
      </c>
      <c r="DO30" s="46">
        <v>44713</v>
      </c>
      <c r="DQ30" s="62"/>
    </row>
    <row r="31" spans="2:121" x14ac:dyDescent="0.25">
      <c r="B31" s="72" t="s">
        <v>31</v>
      </c>
      <c r="C31" s="74" t="s">
        <v>32</v>
      </c>
      <c r="G31" s="240">
        <f>EDATE(G26,9)</f>
        <v>44986</v>
      </c>
      <c r="H31" s="250">
        <f>H30*1/(1+C47*YEARFRAC(G30,G31,3))</f>
        <v>0.92878565640836808</v>
      </c>
      <c r="I31" s="250" cm="1">
        <f t="array" aca="1" ref="I31" ca="1">_xll.d.Curve_GetDiscountFactors($D$27,G31)</f>
        <v>0.92878565640836797</v>
      </c>
      <c r="J31" s="229" t="str" cm="1">
        <f t="array" aca="1" ref="J31" ca="1">_xll.d.TestUtils_Equal(H31,I31,0.00001)</f>
        <v>Ok</v>
      </c>
      <c r="K31" s="213"/>
      <c r="L31" s="214"/>
      <c r="M31" s="72" t="s">
        <v>31</v>
      </c>
      <c r="N31" s="74" t="s">
        <v>32</v>
      </c>
      <c r="R31" s="239" cm="1">
        <f t="array" ref="R31">_xll.d.Dates_AddTenorToDate($N$32,M42,"ZAR","ModFol")</f>
        <v>43951</v>
      </c>
      <c r="S31" s="747" cm="1">
        <f t="array" ref="S31">1/(1+_xll.d.Dates_Act365($R$28,R31)*N42)</f>
        <v>0.98408691024210704</v>
      </c>
      <c r="T31" s="747" cm="1">
        <f t="array" aca="1" ref="T31" ca="1">_xll.d.Curve_GetDiscountFactors($O$27,R31)</f>
        <v>0.98408691024210682</v>
      </c>
      <c r="U31" s="231" t="str" cm="1">
        <f t="array" aca="1" ref="U31" ca="1">_xll.d.TestUtils_Equal(S31,T31,0.00001)</f>
        <v>Ok</v>
      </c>
      <c r="V31" s="756"/>
      <c r="W31" s="768">
        <v>43951</v>
      </c>
      <c r="X31" s="776">
        <v>0.98408691018216155</v>
      </c>
      <c r="Y31" s="777" cm="1">
        <f t="array" aca="1" ref="Y31" ca="1">_xll.d.Curve_GetDiscountFactors($O$27,W31)</f>
        <v>0.98408691024210693</v>
      </c>
      <c r="Z31" s="763" t="str" cm="1">
        <f t="array" aca="1" ref="Z31" ca="1">_xll.d.TestUtils_Equal(X31,Y31,$X$24)</f>
        <v>Ok</v>
      </c>
      <c r="AA31" s="213"/>
      <c r="AB31" s="214"/>
      <c r="AC31" s="72" t="s">
        <v>31</v>
      </c>
      <c r="AD31" s="74" t="s">
        <v>32</v>
      </c>
      <c r="AF31" s="795" cm="1">
        <f t="array" ref="AF31">_xll.d.Dates_AddTenorToDate(AD32,"2d","USD","MODFOL")</f>
        <v>43923</v>
      </c>
      <c r="AH31" s="786">
        <f>EDATE(AH30,1)</f>
        <v>44076</v>
      </c>
      <c r="AI31" s="755" cm="1">
        <f t="array" ref="AI31">1/(1+AD48*_xll.d.Dates_Act360($AH$26,AH31))</f>
        <v>0.99971591406108762</v>
      </c>
      <c r="AJ31" s="755" cm="1">
        <f t="array" aca="1" ref="AJ31" ca="1">_xll.d.Curve_GetDiscountFactors($AE$27,AH31)</f>
        <v>0.99971541323156243</v>
      </c>
      <c r="AK31" s="787" t="str" cm="1">
        <f t="array" aca="1" ref="AK31" ca="1">_xll.d.TestUtils_Equal(AI31,AJ31,0.001)</f>
        <v>Ok</v>
      </c>
      <c r="AM31" s="799">
        <v>44046</v>
      </c>
      <c r="AN31" s="777">
        <v>0.99977113572418042</v>
      </c>
      <c r="AO31" s="800" cm="1">
        <f t="array" aca="1" ref="AO31" ca="1">_xll.d.Curve_GetDiscountFactors($AE$27,AM31)</f>
        <v>0.99976697008273918</v>
      </c>
      <c r="AP31" s="765" t="str" cm="1">
        <f t="array" aca="1" ref="AP31" ca="1">_xll.d.TestUtils_Equal(AN31,AO31,0.0001)</f>
        <v>Ok</v>
      </c>
      <c r="AQ31" s="213"/>
      <c r="AR31" s="214"/>
      <c r="AS31" s="72" t="s">
        <v>31</v>
      </c>
      <c r="AT31" s="74" t="s">
        <v>32</v>
      </c>
      <c r="AV31" s="857" cm="1">
        <f t="array" ref="AV31">_xll.d.Dates_AddTenorToDate(AT32,"2d","USD","MODFOL")</f>
        <v>44655</v>
      </c>
      <c r="AX31" s="786">
        <f>EDATE(AX30,1)</f>
        <v>44808</v>
      </c>
      <c r="AY31" s="755" cm="1">
        <f t="array" ref="AY31">1/(1+AT48*_xll.d.Dates_Act360($AX$26,AX31))</f>
        <v>0.99561891723511198</v>
      </c>
      <c r="AZ31" s="755">
        <f ca="1"/>
        <v>0.99572377438897064</v>
      </c>
      <c r="BA31" s="834" t="str" cm="1">
        <f t="array" aca="1" ref="BA31" ca="1">_xll.d.TestUtils_Equal(AY31,AZ31,0.001)</f>
        <v>Ok</v>
      </c>
      <c r="BC31" s="799">
        <v>44777</v>
      </c>
      <c r="BD31" s="777">
        <v>0.9970128077099264</v>
      </c>
      <c r="BE31" s="800">
        <f ca="1"/>
        <v>0.9970699490085273</v>
      </c>
      <c r="BF31" s="763" t="str" cm="1">
        <f t="array" aca="1" ref="BF31" ca="1">_xll.d.TestUtils_Equal(BD31,BE31,0.001)</f>
        <v>Ok</v>
      </c>
      <c r="BG31" s="64"/>
      <c r="BH31" s="64" t="str">
        <v>OISs</v>
      </c>
      <c r="BI31" s="64" t="str">
        <v/>
      </c>
      <c r="BJ31" s="64" t="str">
        <v/>
      </c>
      <c r="BK31" s="64"/>
      <c r="BL31" s="64"/>
      <c r="BM31" s="64"/>
      <c r="BN31" s="64"/>
      <c r="BO31" s="64"/>
      <c r="BP31" s="64"/>
      <c r="BQ31" s="64"/>
      <c r="BR31" s="72" t="s">
        <v>31</v>
      </c>
      <c r="BS31" s="74" t="s">
        <v>32</v>
      </c>
      <c r="BV31" s="64"/>
      <c r="BW31" s="751" t="s">
        <v>29</v>
      </c>
      <c r="BX31" s="841" cm="1">
        <f t="array" ref="BX31">_xll.d.Dates_AddTenorToDate($BS$32,BW31,"USD","ModFol")</f>
        <v>44925</v>
      </c>
      <c r="BY31" s="747" cm="1">
        <f t="array" ref="BY31">1/(1+_xll.d.Dates_Act360(BX30,BX31)*BS47)*BY30</f>
        <v>0.98760768614641792</v>
      </c>
      <c r="BZ31" s="747" t="e" cm="1">
        <f t="array" ref="BZ31">_xll.d.Curve_GetDiscountFactors($BT$27,BX31)</f>
        <v>#VALUE!</v>
      </c>
      <c r="CA31" s="840" t="str" cm="1">
        <f t="array" ref="CA31">_xll.d.TestUtils_Equal(BY31,BZ31,$BY$22)</f>
        <v>Error</v>
      </c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224"/>
      <c r="CT31" s="225"/>
      <c r="CV31" s="62"/>
      <c r="DC31" s="221"/>
      <c r="DD31" s="222"/>
      <c r="DF31" s="62"/>
      <c r="DN31" s="221" t="s">
        <v>35</v>
      </c>
      <c r="DO31" s="223" t="s">
        <v>201</v>
      </c>
      <c r="DQ31" s="62"/>
    </row>
    <row r="32" spans="2:121" x14ac:dyDescent="0.25">
      <c r="B32" s="226" t="s">
        <v>198</v>
      </c>
      <c r="C32" s="230">
        <v>44713</v>
      </c>
      <c r="E32" s="62"/>
      <c r="H32" s="8"/>
      <c r="K32" s="213"/>
      <c r="L32" s="214"/>
      <c r="M32" s="226" t="s">
        <v>198</v>
      </c>
      <c r="N32" s="230">
        <v>43861</v>
      </c>
      <c r="P32" s="62"/>
      <c r="Q32" s="751" t="s">
        <v>28</v>
      </c>
      <c r="R32" s="239" cm="1">
        <f t="array" ref="R32">_xll.d.Dates_AddTenorToDate($N$32,Q32,"ZAR","ModFol")</f>
        <v>44043</v>
      </c>
      <c r="S32" s="747">
        <f t="array" ref="S32">1/(1+_xll.d.Dates_Act365($R$31,R32)*N46)*S31</f>
        <v>0.96832000758706194</v>
      </c>
      <c r="T32" s="747" cm="1">
        <f t="array" aca="1" ref="T32" ca="1">_xll.d.Curve_GetDiscountFactors($O$27,R32)</f>
        <v>0.96832386496355927</v>
      </c>
      <c r="U32" s="231" t="str" cm="1">
        <f t="array" aca="1" ref="U32" ca="1">_xll.d.TestUtils_Equal(S32,T32,0.00001)</f>
        <v>Ok</v>
      </c>
      <c r="V32" s="756"/>
      <c r="W32" s="768">
        <v>44042</v>
      </c>
      <c r="X32" s="776">
        <v>0.96848867041690068</v>
      </c>
      <c r="Y32" s="777" cm="1">
        <f t="array" aca="1" ref="Y32" ca="1">_xll.d.Curve_GetDiscountFactors($O$27,W32)</f>
        <v>0.96848867052013532</v>
      </c>
      <c r="Z32" s="763" t="str" cm="1">
        <f t="array" aca="1" ref="Z32" ca="1">_xll.d.TestUtils_Equal(X32,Y32,$X$24)</f>
        <v>Ok</v>
      </c>
      <c r="AA32" s="213"/>
      <c r="AB32" s="214"/>
      <c r="AC32" s="280" t="s">
        <v>198</v>
      </c>
      <c r="AD32" s="780">
        <v>43921</v>
      </c>
      <c r="AE32" s="8"/>
      <c r="AF32" s="62"/>
      <c r="AH32" s="788">
        <f>EDATE(AH31,1)</f>
        <v>44106</v>
      </c>
      <c r="AI32" s="789" cm="1">
        <f t="array" ref="AI32">1/(1+AD49*_xll.d.Dates_Act360($AH$26,AH32))</f>
        <v>0.99966094832835872</v>
      </c>
      <c r="AJ32" s="789" cm="1">
        <f t="array" aca="1" ref="AJ32" ca="1">_xll.d.Curve_GetDiscountFactors($AE$27,AH32)</f>
        <v>0.99966044732489656</v>
      </c>
      <c r="AK32" s="790" t="str" cm="1">
        <f t="array" aca="1" ref="AK32" ca="1">_xll.d.TestUtils_Equal(AI32,AJ32,0.001)</f>
        <v>Ok</v>
      </c>
      <c r="AM32" s="799">
        <v>44076</v>
      </c>
      <c r="AN32" s="777">
        <v>0.9997195786581865</v>
      </c>
      <c r="AO32" s="800" cm="1">
        <f t="array" aca="1" ref="AO32" ca="1">_xll.d.Curve_GetDiscountFactors($AE$27,AM32)</f>
        <v>0.99971541323156254</v>
      </c>
      <c r="AP32" s="765" t="str" cm="1">
        <f t="array" aca="1" ref="AP32" ca="1">_xll.d.TestUtils_Equal(AN32,AO32,0.0001)</f>
        <v>Ok</v>
      </c>
      <c r="AQ32" s="213"/>
      <c r="AR32" s="214"/>
      <c r="AS32" s="280" t="s">
        <v>198</v>
      </c>
      <c r="AT32" s="780">
        <v>44651</v>
      </c>
      <c r="AU32" s="8"/>
      <c r="AV32" s="62"/>
      <c r="AX32" s="788">
        <f>EDATE(AX31,1)</f>
        <v>44838</v>
      </c>
      <c r="AY32" s="789" cm="1">
        <f t="array" ref="AY32">1/(1+AT49*_xll.d.Dates_Act360($AX$26,AX32))</f>
        <v>0.9942261421490407</v>
      </c>
      <c r="AZ32" s="789">
        <f ca="1"/>
        <v>0.99431150017099579</v>
      </c>
      <c r="BA32" s="834" t="str" cm="1">
        <f t="array" aca="1" ref="BA32" ca="1">_xll.d.TestUtils_Equal(AY32,AZ32,0.001)</f>
        <v>Ok</v>
      </c>
      <c r="BC32" s="799">
        <v>44810</v>
      </c>
      <c r="BD32" s="777">
        <v>0.99556310762600775</v>
      </c>
      <c r="BE32" s="800">
        <f ca="1"/>
        <v>0.99563698685175428</v>
      </c>
      <c r="BF32" s="763" t="str" cm="1">
        <f t="array" aca="1" ref="BF32" ca="1">_xll.d.TestUtils_Equal(BD32,BE32,0.001)</f>
        <v>Ok</v>
      </c>
      <c r="BG32" s="64"/>
      <c r="BH32" s="64" t="str">
        <v>Tenors</v>
      </c>
      <c r="BI32" s="64" t="str">
        <v>Rates</v>
      </c>
      <c r="BJ32" s="64" t="str">
        <v>Include</v>
      </c>
      <c r="BK32" s="64"/>
      <c r="BL32" s="64"/>
      <c r="BM32" s="64"/>
      <c r="BN32" s="64"/>
      <c r="BO32" s="64"/>
      <c r="BP32" s="64"/>
      <c r="BQ32" s="64"/>
      <c r="BR32" s="226" t="s">
        <v>198</v>
      </c>
      <c r="BS32" s="230">
        <f>AT32</f>
        <v>44651</v>
      </c>
      <c r="BU32" s="62"/>
      <c r="BV32" s="64"/>
      <c r="BW32" s="751" t="s">
        <v>611</v>
      </c>
      <c r="BX32" s="841" cm="1">
        <f t="array" ref="BX32">_xll.d.Dates_AddTenorToDate($BS$32,BW32,"USD","ModFol")</f>
        <v>45016</v>
      </c>
      <c r="BY32" s="747" cm="1">
        <f t="array" ref="BY32">1/(1+_xll.d.Dates_Act360(BX31,BX32)*BS48)*BY31</f>
        <v>0.98075265823113977</v>
      </c>
      <c r="BZ32" s="747" t="e" cm="1">
        <f t="array" ref="BZ32">_xll.d.Curve_GetDiscountFactors($BT$27,BX32)</f>
        <v>#VALUE!</v>
      </c>
      <c r="CA32" s="840" t="str" cm="1">
        <f t="array" ref="CA32">_xll.d.TestUtils_Equal(BY32,BZ32,$BY$22)</f>
        <v>Error</v>
      </c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</row>
    <row r="33" spans="1:120" x14ac:dyDescent="0.25">
      <c r="B33" s="279" t="s">
        <v>233</v>
      </c>
      <c r="C33" s="251" t="s">
        <v>36</v>
      </c>
      <c r="E33" s="62"/>
      <c r="K33" s="213"/>
      <c r="L33" s="214"/>
      <c r="M33" s="279" t="s">
        <v>233</v>
      </c>
      <c r="N33" s="251" t="s">
        <v>36</v>
      </c>
      <c r="P33" s="62"/>
      <c r="Q33" s="751" t="s">
        <v>29</v>
      </c>
      <c r="R33" s="239" cm="1">
        <f t="array" ref="R33">_xll.d.Dates_AddTenorToDate($N$32,Q33,"ZAR","ModFol")</f>
        <v>44134</v>
      </c>
      <c r="S33" s="747" cm="1">
        <f t="array" ref="S33">1/(1+_xll.d.Dates_Act365(R32,R33)*N47)*S32</f>
        <v>0.95343955884482767</v>
      </c>
      <c r="T33" s="747" cm="1">
        <f t="array" aca="1" ref="T33" ca="1">_xll.d.Curve_GetDiscountFactors($O$27,R33)</f>
        <v>0.95344335694392413</v>
      </c>
      <c r="U33" s="231" t="str" cm="1">
        <f t="array" aca="1" ref="U33" ca="1">_xll.d.TestUtils_Equal(S33,T33,0.00001)</f>
        <v>Ok</v>
      </c>
      <c r="V33" s="756"/>
      <c r="W33" s="768">
        <v>44134</v>
      </c>
      <c r="X33" s="776">
        <v>0.95344335683361159</v>
      </c>
      <c r="Y33" s="777" cm="1">
        <f t="array" aca="1" ref="Y33" ca="1">_xll.d.Curve_GetDiscountFactors($O$27,W33)</f>
        <v>0.95344335694392435</v>
      </c>
      <c r="Z33" s="763" t="str" cm="1">
        <f t="array" aca="1" ref="Z33" ca="1">_xll.d.TestUtils_Equal(X33,Y33,$X$24)</f>
        <v>Ok</v>
      </c>
      <c r="AA33" s="213"/>
      <c r="AB33" s="214"/>
      <c r="AC33" s="729" t="s">
        <v>233</v>
      </c>
      <c r="AD33" s="746" t="s">
        <v>66</v>
      </c>
      <c r="AE33" s="455"/>
      <c r="AF33" s="455"/>
      <c r="AG33" s="455"/>
      <c r="AJ33" s="283"/>
      <c r="AK33" s="288"/>
      <c r="AM33" s="799">
        <v>44106</v>
      </c>
      <c r="AN33" s="777">
        <v>0.99966461252249861</v>
      </c>
      <c r="AO33" s="800" cm="1">
        <f t="array" aca="1" ref="AO33" ca="1">_xll.d.Curve_GetDiscountFactors($AE$27,AM33)</f>
        <v>0.99966044732489656</v>
      </c>
      <c r="AP33" s="765" t="str" cm="1">
        <f t="array" aca="1" ref="AP33" ca="1">_xll.d.TestUtils_Equal(AN33,AO33,0.0001)</f>
        <v>Ok</v>
      </c>
      <c r="AQ33" s="213"/>
      <c r="AR33" s="214"/>
      <c r="AS33" s="729" t="s">
        <v>233</v>
      </c>
      <c r="AT33" s="746" t="s">
        <v>66</v>
      </c>
      <c r="AZ33" s="283"/>
      <c r="BA33" s="288"/>
      <c r="BC33" s="799">
        <v>44838</v>
      </c>
      <c r="BD33" s="777">
        <v>0.99422578625789704</v>
      </c>
      <c r="BE33" s="800">
        <f ca="1"/>
        <v>0.99431150017099601</v>
      </c>
      <c r="BF33" s="763" t="str" cm="1">
        <f t="array" aca="1" ref="BF33" ca="1">_xll.d.TestUtils_Equal(BD33,BE33,0.001)</f>
        <v>Ok</v>
      </c>
      <c r="BG33" s="64"/>
      <c r="BH33" s="64" t="str">
        <v>1m</v>
      </c>
      <c r="BI33" s="64">
        <v>3.4200000000000003E-3</v>
      </c>
      <c r="BJ33" s="64" t="b">
        <v>1</v>
      </c>
      <c r="BK33" s="64"/>
      <c r="BL33" s="64"/>
      <c r="BM33" s="64"/>
      <c r="BN33" s="64"/>
      <c r="BO33" s="64"/>
      <c r="BP33" s="64"/>
      <c r="BQ33" s="64"/>
      <c r="BR33" s="279" t="s">
        <v>233</v>
      </c>
      <c r="BS33" s="835" t="s">
        <v>59</v>
      </c>
      <c r="BU33" s="62"/>
      <c r="BV33" s="64"/>
      <c r="BW33" s="751" t="s">
        <v>612</v>
      </c>
      <c r="BX33" s="841" cm="1">
        <f t="array" ref="BX33">_xll.d.Dates_AddTenorToDate($BS$32,BW33,"USD","ModFol")</f>
        <v>45107</v>
      </c>
      <c r="BY33" s="747" cm="1">
        <f t="array" ref="BY33">1/(1+_xll.d.Dates_Act360(BX32,BX33)*BS49)*BY32</f>
        <v>0.97323697089520322</v>
      </c>
      <c r="BZ33" s="747" t="e" cm="1">
        <f t="array" ref="BZ33">_xll.d.Curve_GetDiscountFactors($BT$27,BX33)</f>
        <v>#VALUE!</v>
      </c>
      <c r="CA33" s="840" t="str" cm="1">
        <f t="array" ref="CA33">_xll.d.TestUtils_Equal(BY33,BZ33,$BY$22)</f>
        <v>Error</v>
      </c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455"/>
      <c r="CT33" s="455"/>
      <c r="CU33" s="455"/>
      <c r="CV33" s="455"/>
      <c r="CW33" s="64"/>
      <c r="CX33" s="64"/>
      <c r="CY33" s="64"/>
      <c r="CZ33" s="279" t="s">
        <v>233</v>
      </c>
      <c r="DA33" s="281" t="s">
        <v>66</v>
      </c>
      <c r="DC33" s="62"/>
      <c r="DE33" s="276" t="str">
        <f>AC50</f>
        <v>9m</v>
      </c>
      <c r="DF33" s="282" t="e">
        <f>1/(1+AD50*(AC50-$AH$26)/360)</f>
        <v>#VALUE!</v>
      </c>
      <c r="DG33" s="287" t="e" cm="1">
        <f t="array" aca="1" ref="DG33" ca="1">_xll.d.Curve_GetDiscountFactors($AE$27,DE33)</f>
        <v>#VALUE!</v>
      </c>
      <c r="DH33" s="277" t="str" cm="1">
        <f t="array" aca="1" ref="DH33" ca="1">_xll.d.TestUtils_Equal(DF33,DG33,0.001)</f>
        <v>Error</v>
      </c>
      <c r="DI33" s="213"/>
      <c r="DJ33" s="214"/>
    </row>
    <row r="34" spans="1:120" x14ac:dyDescent="0.25">
      <c r="B34" s="279" t="s">
        <v>56</v>
      </c>
      <c r="C34" s="231" t="s">
        <v>25</v>
      </c>
      <c r="G34" s="131" t="s">
        <v>574</v>
      </c>
      <c r="H34" s="202"/>
      <c r="I34" s="202"/>
      <c r="J34" s="132"/>
      <c r="K34" s="213"/>
      <c r="L34" s="214"/>
      <c r="M34" s="279" t="s">
        <v>56</v>
      </c>
      <c r="N34" s="231" t="s">
        <v>25</v>
      </c>
      <c r="Q34" s="751" t="s">
        <v>611</v>
      </c>
      <c r="R34" s="239" cm="1">
        <f t="array" ref="R34">_xll.d.Dates_AddTenorToDate($N$32,Q34,"ZAR","ModFol")</f>
        <v>44225</v>
      </c>
      <c r="S34" s="747" cm="1">
        <f t="array" ref="S34">1/(1+_xll.d.Dates_Act365(R33,R34)*N48)*S33</f>
        <v>0.93890302491578215</v>
      </c>
      <c r="T34" s="747" cm="1">
        <f t="array" aca="1" ref="T34" ca="1">_xll.d.Curve_GetDiscountFactors($O$27,R34)</f>
        <v>0.93890676510748883</v>
      </c>
      <c r="U34" s="231" t="str" cm="1">
        <f t="array" aca="1" ref="U34" ca="1">_xll.d.TestUtils_Equal(S34,T34,0.00001)</f>
        <v>Ok</v>
      </c>
      <c r="V34" s="756"/>
      <c r="W34" s="768">
        <v>44229</v>
      </c>
      <c r="X34" s="776">
        <v>0.93827416773178896</v>
      </c>
      <c r="Y34" s="777" cm="1">
        <f t="array" aca="1" ref="Y34" ca="1">_xll.d.Curve_GetDiscountFactors($O$27,W34)</f>
        <v>0.93827588915259053</v>
      </c>
      <c r="Z34" s="763" t="str" cm="1">
        <f t="array" aca="1" ref="Z34" ca="1">_xll.d.TestUtils_Equal(X34,Y34,$X$24)</f>
        <v>Ok</v>
      </c>
      <c r="AA34" s="213"/>
      <c r="AB34" s="214"/>
      <c r="AC34" s="279" t="s">
        <v>56</v>
      </c>
      <c r="AD34" s="281" t="s">
        <v>67</v>
      </c>
      <c r="AF34" s="62"/>
      <c r="AH34" s="131" t="s">
        <v>574</v>
      </c>
      <c r="AI34" s="202"/>
      <c r="AJ34" s="202"/>
      <c r="AK34" s="132"/>
      <c r="AM34" s="799">
        <v>44200</v>
      </c>
      <c r="AN34" s="777">
        <v>0.99949242443046016</v>
      </c>
      <c r="AO34" s="800" cm="1">
        <f t="array" aca="1" ref="AO34" ca="1">_xll.d.Curve_GetDiscountFactors($AE$27,AM34)</f>
        <v>0.999488259950296</v>
      </c>
      <c r="AP34" s="765" t="str" cm="1">
        <f t="array" aca="1" ref="AP34" ca="1">_xll.d.TestUtils_Equal(AN34,AO34,0.0001)</f>
        <v>Ok</v>
      </c>
      <c r="AQ34" s="213"/>
      <c r="AR34" s="214"/>
      <c r="AS34" s="279" t="s">
        <v>56</v>
      </c>
      <c r="AT34" s="281" t="s">
        <v>67</v>
      </c>
      <c r="AV34" s="62"/>
      <c r="AX34" s="131" t="s">
        <v>574</v>
      </c>
      <c r="AY34" s="202"/>
      <c r="AZ34" s="202"/>
      <c r="BA34" s="132"/>
      <c r="BC34" s="799">
        <v>44930</v>
      </c>
      <c r="BD34" s="777">
        <v>0.9888258604504544</v>
      </c>
      <c r="BE34" s="800">
        <f ca="1"/>
        <v>0.98894793056834607</v>
      </c>
      <c r="BF34" s="763" t="str" cm="1">
        <f t="array" aca="1" ref="BF34" ca="1">_xll.d.TestUtils_Equal(BD34,BE34,0.001)</f>
        <v>Ok</v>
      </c>
      <c r="BG34" s="64"/>
      <c r="BH34" s="64" t="str">
        <v>2m</v>
      </c>
      <c r="BI34" s="64">
        <v>5.6499999999999996E-3</v>
      </c>
      <c r="BJ34" s="64" t="b">
        <v>1</v>
      </c>
      <c r="BK34" s="64"/>
      <c r="BL34" s="64"/>
      <c r="BM34" s="64"/>
      <c r="BN34" s="64"/>
      <c r="BO34" s="64"/>
      <c r="BP34" s="64"/>
      <c r="BQ34" s="64"/>
      <c r="BR34" s="279" t="s">
        <v>56</v>
      </c>
      <c r="BS34" s="231" t="s">
        <v>25</v>
      </c>
      <c r="BV34" s="64"/>
      <c r="BW34" s="751" t="s">
        <v>614</v>
      </c>
      <c r="BX34" s="841" cm="1">
        <f t="array" ref="BX34">_xll.d.Dates_AddTenorToDate($BS$32,BW34,"USD","ModFol")</f>
        <v>45198</v>
      </c>
      <c r="BY34" s="747" cm="1">
        <f t="array" ref="BY34">1/(1+_xll.d.Dates_Act360(BX33,BX34)*BS50)*BY33</f>
        <v>0.96546961497669326</v>
      </c>
      <c r="BZ34" s="747" t="e" cm="1">
        <f t="array" ref="BZ34">_xll.d.Curve_GetDiscountFactors($BT$27,BX34)</f>
        <v>#VALUE!</v>
      </c>
      <c r="CA34" s="840" t="str" cm="1">
        <f t="array" ref="CA34">_xll.d.TestUtils_Equal(BY34,BZ34,$BY$22)</f>
        <v>Error</v>
      </c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</row>
    <row r="35" spans="1:120" x14ac:dyDescent="0.25">
      <c r="B35" s="153" t="s">
        <v>53</v>
      </c>
      <c r="C35" s="512" t="s">
        <v>471</v>
      </c>
      <c r="D35" s="628" t="s">
        <v>570</v>
      </c>
      <c r="G35" s="129" t="s">
        <v>0</v>
      </c>
      <c r="H35" s="301" t="s">
        <v>572</v>
      </c>
      <c r="I35" s="301" t="s">
        <v>573</v>
      </c>
      <c r="J35" s="130" t="s">
        <v>2</v>
      </c>
      <c r="K35" s="213"/>
      <c r="L35" s="214"/>
      <c r="M35" s="153" t="s">
        <v>53</v>
      </c>
      <c r="N35" s="512" t="s">
        <v>471</v>
      </c>
      <c r="O35" s="750" t="s">
        <v>613</v>
      </c>
      <c r="Q35" s="751" t="s">
        <v>612</v>
      </c>
      <c r="R35" s="239" cm="1">
        <f t="array" ref="R35">_xll.d.Dates_AddTenorToDate($N$32,Q35,"ZAR","ModFol")</f>
        <v>44316</v>
      </c>
      <c r="S35" s="747" cm="1">
        <f t="array" ref="S35">1/(1+_xll.d.Dates_Act365(R34,R35)*N49)*S34</f>
        <v>0.92465622578544726</v>
      </c>
      <c r="T35" s="747" cm="1">
        <f t="array" aca="1" ref="T35" ca="1">_xll.d.Curve_GetDiscountFactors($O$27,R35)</f>
        <v>0.92465799189869069</v>
      </c>
      <c r="U35" s="231" t="str" cm="1">
        <f t="array" aca="1" ref="U35" ca="1">_xll.d.TestUtils_Equal(S35,T35,0.00001)</f>
        <v>Ok</v>
      </c>
      <c r="V35" s="756"/>
      <c r="W35" s="768">
        <v>44319</v>
      </c>
      <c r="X35" s="776">
        <v>0.92419291912677659</v>
      </c>
      <c r="Y35" s="777" cm="1">
        <f t="array" aca="1" ref="Y35" ca="1">_xll.d.Curve_GetDiscountFactors($O$27,W35)</f>
        <v>0.92418977115352896</v>
      </c>
      <c r="Z35" s="763" t="str" cm="1">
        <f t="array" aca="1" ref="Z35" ca="1">_xll.d.TestUtils_Equal(X35,Y35,$X$24)</f>
        <v>Ok</v>
      </c>
      <c r="AA35" s="213"/>
      <c r="AB35" s="214"/>
      <c r="AC35" s="137" t="s">
        <v>53</v>
      </c>
      <c r="AD35" s="138" t="s">
        <v>471</v>
      </c>
      <c r="AH35" s="129" t="s">
        <v>0</v>
      </c>
      <c r="AI35" s="301" t="s">
        <v>572</v>
      </c>
      <c r="AJ35" s="301" t="s">
        <v>573</v>
      </c>
      <c r="AK35" s="130" t="s">
        <v>2</v>
      </c>
      <c r="AM35" s="799">
        <v>44291</v>
      </c>
      <c r="AN35" s="777">
        <v>0.99929516381112526</v>
      </c>
      <c r="AO35" s="800" cm="1">
        <f t="array" aca="1" ref="AO35" ca="1">_xll.d.Curve_GetDiscountFactors($AE$27,AM35)</f>
        <v>0.99928852256680856</v>
      </c>
      <c r="AP35" s="765" t="str" cm="1">
        <f t="array" aca="1" ref="AP35" ca="1">_xll.d.TestUtils_Equal(AN35,AO35,0.0001)</f>
        <v>Ok</v>
      </c>
      <c r="AQ35" s="213"/>
      <c r="AR35" s="214"/>
      <c r="AS35" s="137" t="s">
        <v>53</v>
      </c>
      <c r="AT35" s="138" t="s">
        <v>471</v>
      </c>
      <c r="AX35" s="129" t="s">
        <v>0</v>
      </c>
      <c r="AY35" s="301" t="s">
        <v>572</v>
      </c>
      <c r="AZ35" s="301" t="s">
        <v>573</v>
      </c>
      <c r="BA35" s="130" t="s">
        <v>2</v>
      </c>
      <c r="BC35" s="799">
        <v>45020</v>
      </c>
      <c r="BD35" s="777">
        <v>0.98256492920654781</v>
      </c>
      <c r="BE35" s="800">
        <f ca="1"/>
        <v>0.98271527559368377</v>
      </c>
      <c r="BF35" s="763" t="str" cm="1">
        <f t="array" aca="1" ref="BF35" ca="1">_xll.d.TestUtils_Equal(BD35,BE35,0.001)</f>
        <v>Ok</v>
      </c>
      <c r="BG35" s="64"/>
      <c r="BH35" s="64" t="str">
        <v>3m</v>
      </c>
      <c r="BI35" s="64">
        <v>7.1799999999999998E-3</v>
      </c>
      <c r="BJ35" s="64" t="b">
        <v>1</v>
      </c>
      <c r="BK35" s="64"/>
      <c r="BL35" s="64"/>
      <c r="BM35" s="64"/>
      <c r="BN35" s="64"/>
      <c r="BO35" s="64"/>
      <c r="BP35" s="64"/>
      <c r="BQ35" s="64"/>
      <c r="BR35" s="279" t="s">
        <v>53</v>
      </c>
      <c r="BS35" s="231" t="s">
        <v>471</v>
      </c>
      <c r="BT35" s="750" t="s">
        <v>613</v>
      </c>
      <c r="BV35" s="64"/>
      <c r="BW35" s="751" t="s">
        <v>615</v>
      </c>
      <c r="BX35" s="841" cm="1">
        <f t="array" ref="BX35">_xll.d.Dates_AddTenorToDate($BS$32,BW35,"USD","ModFol")</f>
        <v>45289</v>
      </c>
      <c r="BY35" s="747" cm="1">
        <f t="array" ref="BY35">1/(1+_xll.d.Dates_Act360(BX34,BX35)*BS51)*BY34</f>
        <v>0.95784519384053368</v>
      </c>
      <c r="BZ35" s="747" t="e" cm="1">
        <f t="array" ref="BZ35">_xll.d.Curve_GetDiscountFactors($BT$27,BX35)</f>
        <v>#VALUE!</v>
      </c>
      <c r="CA35" s="840" t="str" cm="1">
        <f t="array" ref="CA35">_xll.d.TestUtils_Equal(BY35,BZ35,$BY$22)</f>
        <v>Error</v>
      </c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12" t="s">
        <v>22</v>
      </c>
      <c r="CT35" s="13"/>
      <c r="CU35" s="13"/>
      <c r="DC35" s="12" t="s">
        <v>22</v>
      </c>
      <c r="DD35" s="13"/>
      <c r="DE35" s="13"/>
      <c r="DN35" s="12" t="s">
        <v>22</v>
      </c>
      <c r="DO35" s="13"/>
      <c r="DP35" s="13"/>
    </row>
    <row r="36" spans="1:120" x14ac:dyDescent="0.25">
      <c r="A36" s="455"/>
      <c r="B36" s="455"/>
      <c r="C36" s="455"/>
      <c r="D36" s="455"/>
      <c r="E36" s="455"/>
      <c r="F36" s="455"/>
      <c r="G36" s="625">
        <f t="array" ref="G36:G48">_xll.d.Dates_GenerateSchedule(C32,_xll.d.Dates_AddTenorToDate(C32,"3Y","ZAR","ModFol"),"3m","ZAR","ModFol","Forward")</f>
        <v>44713</v>
      </c>
      <c r="H36" s="738"/>
      <c r="I36" s="738"/>
      <c r="J36" s="740"/>
      <c r="K36" s="213"/>
      <c r="L36" s="214"/>
      <c r="Q36" s="751" t="s">
        <v>614</v>
      </c>
      <c r="R36" s="239" cm="1">
        <f t="array" ref="R36">_xll.d.Dates_AddTenorToDate($N$32,Q36,"ZAR","ModFol")</f>
        <v>44407</v>
      </c>
      <c r="S36" s="747" cm="1">
        <f t="array" ref="S36">1/(1+_xll.d.Dates_Act365(R35,R36)*N50)*S35</f>
        <v>0.9105585344591941</v>
      </c>
      <c r="T36" s="747" cm="1">
        <f t="array" aca="1" ref="T36" ca="1">_xll.d.Curve_GetDiscountFactors($O$27,R36)</f>
        <v>0.9105602736455447</v>
      </c>
      <c r="U36" s="231" t="str" cm="1">
        <f t="array" aca="1" ref="U36" ca="1">_xll.d.TestUtils_Equal(S36,T36,0.00001)</f>
        <v>Ok</v>
      </c>
      <c r="V36" s="756"/>
      <c r="W36" s="768">
        <v>44407</v>
      </c>
      <c r="X36" s="776">
        <v>0.91056113955799578</v>
      </c>
      <c r="Y36" s="777" cm="1">
        <f t="array" aca="1" ref="Y36" ca="1">_xll.d.Curve_GetDiscountFactors($O$27,W36)</f>
        <v>0.91056027364554482</v>
      </c>
      <c r="Z36" s="763" t="str" cm="1">
        <f t="array" aca="1" ref="Z36" ca="1">_xll.d.TestUtils_Equal(X36,Y36,$X$24)</f>
        <v>Ok</v>
      </c>
      <c r="AA36" s="213"/>
      <c r="AB36" s="214"/>
      <c r="AG36" s="8"/>
      <c r="AH36" s="739">
        <f t="array" ref="AH36:AH44">_xll.d.Dates_GenerateSchedule(AF31,_xll.d.Dates_AddTenorToDate(AF31,"8Y","USD","ModFol"),"1y","USD","ModFol","Forward")</f>
        <v>43923</v>
      </c>
      <c r="AI36" s="738"/>
      <c r="AJ36" s="738"/>
      <c r="AK36" s="740"/>
      <c r="AM36" s="799">
        <v>44473</v>
      </c>
      <c r="AN36" s="777">
        <v>0.99879392902080666</v>
      </c>
      <c r="AO36" s="800" cm="1">
        <f t="array" aca="1" ref="AO36" ca="1">_xll.d.Curve_GetDiscountFactors($AE$27,AM36)</f>
        <v>0.9987899998063251</v>
      </c>
      <c r="AP36" s="765" t="str" cm="1">
        <f t="array" aca="1" ref="AP36" ca="1">_xll.d.TestUtils_Equal(AN36,AO36,0.0001)</f>
        <v>Ok</v>
      </c>
      <c r="AQ36" s="213"/>
      <c r="AR36" s="214"/>
      <c r="AW36" s="8"/>
      <c r="AX36" s="739">
        <f t="array" ref="AX36:AX44">_xll.d.Dates_GenerateSchedule(AV31,_xll.d.Dates_AddTenorToDate(AV31,"8Y","USD","ModFol"),"1y","USD","ModFol","Forward")</f>
        <v>44655</v>
      </c>
      <c r="AY36" s="738"/>
      <c r="AZ36" s="738"/>
      <c r="BA36" s="740"/>
      <c r="BC36" s="799">
        <v>45203</v>
      </c>
      <c r="BD36" s="777">
        <v>0.96863570501852436</v>
      </c>
      <c r="BE36" s="800">
        <f ca="1"/>
        <v>0.96889716294273831</v>
      </c>
      <c r="BF36" s="763" t="str" cm="1">
        <f t="array" aca="1" ref="BF36" ca="1">_xll.d.TestUtils_Equal(BD36,BE36,0.001)</f>
        <v>Ok</v>
      </c>
      <c r="BG36" s="64"/>
      <c r="BH36" s="64" t="str">
        <v>4m</v>
      </c>
      <c r="BI36" s="64">
        <v>8.5599999999999999E-3</v>
      </c>
      <c r="BJ36" s="64" t="b">
        <v>1</v>
      </c>
      <c r="BK36" s="64"/>
      <c r="BL36" s="64"/>
      <c r="BM36" s="64"/>
      <c r="BN36" s="64"/>
      <c r="BO36" s="64"/>
      <c r="BP36" s="64"/>
      <c r="BQ36" s="64"/>
      <c r="BR36" s="153" t="s">
        <v>659</v>
      </c>
      <c r="BS36" s="512" t="str">
        <f>AU27</f>
        <v>@@USDOIS-Dual::10:01:09</v>
      </c>
      <c r="BV36" s="64"/>
      <c r="BW36" s="751" t="s">
        <v>616</v>
      </c>
      <c r="BX36" s="842" cm="1">
        <f t="array" ref="BX36">_xll.d.Dates_AddTenorToDate($BS$32,BW36,"USD","ModFol")</f>
        <v>45380</v>
      </c>
      <c r="BY36" s="843" cm="1">
        <f t="array" ref="BY36">1/(1+_xll.d.Dates_Act360(BX35,BX36)*BS52)*BY35</f>
        <v>0.95784519384053368</v>
      </c>
      <c r="BZ36" s="843" t="e" cm="1">
        <f t="array" ref="BZ36">_xll.d.Curve_GetDiscountFactors($BT$27,BX36)</f>
        <v>#VALUE!</v>
      </c>
      <c r="CA36" s="847" t="str" cm="1">
        <f t="array" ref="CA36">_xll.d.TestUtils_Equal(BY36,BZ36,$BY$22)</f>
        <v>Error</v>
      </c>
      <c r="CB36" s="64"/>
      <c r="CC36" s="841">
        <f>EDATE(BX26,72)</f>
        <v>46843</v>
      </c>
      <c r="CD36" s="64" t="e" cm="1">
        <f t="array" ref="CD36">_xll.d.Curve_GetDiscountFactors(BT27,CC36)</f>
        <v>#VALUE!</v>
      </c>
      <c r="CE36" s="64">
        <v>0.90020764392158203</v>
      </c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43" t="s">
        <v>38</v>
      </c>
      <c r="CT36" s="44" t="s">
        <v>39</v>
      </c>
      <c r="CU36" s="45" t="s">
        <v>52</v>
      </c>
      <c r="DC36" s="43" t="s">
        <v>38</v>
      </c>
      <c r="DD36" s="44" t="s">
        <v>39</v>
      </c>
      <c r="DE36" s="45" t="s">
        <v>52</v>
      </c>
      <c r="DN36" s="43" t="s">
        <v>38</v>
      </c>
      <c r="DO36" s="44" t="s">
        <v>39</v>
      </c>
      <c r="DP36" s="45" t="s">
        <v>52</v>
      </c>
    </row>
    <row r="37" spans="1:120" x14ac:dyDescent="0.25">
      <c r="A37" s="455"/>
      <c r="B37" s="455"/>
      <c r="C37" s="455"/>
      <c r="D37" s="455"/>
      <c r="E37" s="455"/>
      <c r="F37" s="455"/>
      <c r="G37" s="626">
        <v>44805</v>
      </c>
      <c r="H37" s="289" cm="1">
        <f t="array" ref="H37">_xll.d.Dates_Act365(G36,G37)</f>
        <v>0.25205479452054796</v>
      </c>
      <c r="I37" s="623">
        <f t="array" ref="I37:I48">_xll.d.Curve_GetForwardRates(D27,G36:G47,G37:G48,"Simple")</f>
        <v>0.10000000000000028</v>
      </c>
      <c r="J37" s="136" cm="1">
        <f t="array" aca="1" ref="J37:J48" ca="1">_xll.d.Curve_GetDiscountFactors(D27,G37:G48)</f>
        <v>0.97541421699625874</v>
      </c>
      <c r="K37" s="213"/>
      <c r="L37" s="214"/>
      <c r="Q37" s="751" t="s">
        <v>615</v>
      </c>
      <c r="R37" s="239" cm="1">
        <f t="array" ref="R37">_xll.d.Dates_AddTenorToDate($N$32,Q37,"ZAR","ModFol")</f>
        <v>44498</v>
      </c>
      <c r="S37" s="747" cm="1">
        <f t="array" ref="S37">1/(1+_xll.d.Dates_Act365(R36,R37)*N51)*S36</f>
        <v>0.89656572268967616</v>
      </c>
      <c r="T37" s="747" cm="1">
        <f t="array" aca="1" ref="T37" ca="1">_xll.d.Curve_GetDiscountFactors($O$27,R37)</f>
        <v>0.89656743514945614</v>
      </c>
      <c r="U37" s="231" t="str" cm="1">
        <f t="array" aca="1" ref="U37" ca="1">_xll.d.TestUtils_Equal(S37,T37,0.00001)</f>
        <v>Ok</v>
      </c>
      <c r="V37" s="756"/>
      <c r="W37" s="768">
        <v>44502</v>
      </c>
      <c r="X37" s="776">
        <v>0.89595940151095488</v>
      </c>
      <c r="Y37" s="777" cm="1">
        <f t="array" aca="1" ref="Y37" ca="1">_xll.d.Curve_GetDiscountFactors($O$27,W37)</f>
        <v>0.89595168092300459</v>
      </c>
      <c r="Z37" s="763" t="str" cm="1">
        <f t="array" aca="1" ref="Z37" ca="1">_xll.d.TestUtils_Equal(X37,Y37,$X$24)</f>
        <v>Ok</v>
      </c>
      <c r="AA37" s="213"/>
      <c r="AB37" s="214"/>
      <c r="AC37" s="455"/>
      <c r="AD37" s="455"/>
      <c r="AE37" s="455"/>
      <c r="AF37" s="455"/>
      <c r="AG37" s="8"/>
      <c r="AH37" s="741">
        <v>44288</v>
      </c>
      <c r="AI37" s="290" cm="1">
        <f t="array" ref="AI37">_xll.d.Dates_Act360(AH36,AH37)</f>
        <v>1.0138888888888888</v>
      </c>
      <c r="AJ37" s="737">
        <f t="array" ref="AJ37:AJ44">_xll.d.Curve_GetForwardRates(AE27,AH36:AH43,AH37:AH44,"Simple")</f>
        <v>6.9000000000008551E-4</v>
      </c>
      <c r="AK37" s="742">
        <f t="array" aca="1" ref="AK37:AK44" ca="1">_xll.d.Curve_GetDiscountFactors(AE27,AH37:AH44)</f>
        <v>0.99929674205917507</v>
      </c>
      <c r="AM37" s="799">
        <v>44655</v>
      </c>
      <c r="AN37" s="777">
        <v>0.99831442697204265</v>
      </c>
      <c r="AO37" s="800" cm="1">
        <f t="array" aca="1" ref="AO37" ca="1">_xll.d.Curve_GetDiscountFactors($AE$27,AM37)</f>
        <v>0.99831018836473895</v>
      </c>
      <c r="AP37" s="765" t="str" cm="1">
        <f t="array" aca="1" ref="AP37" ca="1">_xll.d.TestUtils_Equal(AN37,AO37,0.0001)</f>
        <v>Ok</v>
      </c>
      <c r="AQ37" s="213"/>
      <c r="AR37" s="214"/>
      <c r="AW37" s="8"/>
      <c r="AX37" s="741">
        <v>45020</v>
      </c>
      <c r="AY37" s="290" cm="1">
        <f t="array" ref="AY37">_xll.d.Dates_Act360(AX36,AX37)</f>
        <v>1.0138888888888888</v>
      </c>
      <c r="AZ37" s="737">
        <f t="array" ref="AZ37:AZ44">_xll.d.Curve_GetForwardRates(AU27,AX36:AX43,AX37:AX44,"Simple")</f>
        <v>1.7310000000000013E-2</v>
      </c>
      <c r="BA37" s="742">
        <f t="array" aca="1" ref="BA37:BA44" ca="1">_xll.d.Curve_GetDiscountFactors(AU27,AX37:AX44)</f>
        <v>0.98271527559368355</v>
      </c>
      <c r="BC37" s="799">
        <v>45386</v>
      </c>
      <c r="BD37" s="777">
        <v>0.95447497778402202</v>
      </c>
      <c r="BE37" s="800">
        <f ca="1"/>
        <v>0.95462529734401802</v>
      </c>
      <c r="BF37" s="763" t="str" cm="1">
        <f t="array" aca="1" ref="BF37" ca="1">_xll.d.TestUtils_Equal(BD37,BE37,0.001)</f>
        <v>Ok</v>
      </c>
      <c r="BG37" s="64"/>
      <c r="BH37" s="64" t="str">
        <v>5m</v>
      </c>
      <c r="BI37" s="64">
        <v>1.0089999999999998E-2</v>
      </c>
      <c r="BJ37" s="64" t="b">
        <v>1</v>
      </c>
      <c r="BK37" s="64"/>
      <c r="BL37" s="64"/>
      <c r="BM37" s="64"/>
      <c r="BN37" s="64"/>
      <c r="BO37" s="64"/>
      <c r="BP37" s="64"/>
      <c r="BQ37" s="64"/>
      <c r="BV37" s="64"/>
      <c r="CB37" s="64"/>
      <c r="CC37" s="841"/>
      <c r="CD37" s="64"/>
      <c r="CE37" s="64">
        <v>0.86078787516076039</v>
      </c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42" t="s">
        <v>26</v>
      </c>
      <c r="CT37" s="42">
        <v>0.1</v>
      </c>
      <c r="CU37" s="42" t="b">
        <v>1</v>
      </c>
      <c r="DC37" s="42" t="s">
        <v>26</v>
      </c>
      <c r="DD37" s="42">
        <v>0.1</v>
      </c>
      <c r="DE37" s="42" t="b">
        <v>1</v>
      </c>
      <c r="DN37" s="42" t="s">
        <v>26</v>
      </c>
      <c r="DO37" s="42">
        <v>0.1</v>
      </c>
      <c r="DP37" s="42" t="b">
        <v>1</v>
      </c>
    </row>
    <row r="38" spans="1:120" x14ac:dyDescent="0.25">
      <c r="A38" s="455"/>
      <c r="B38" s="12" t="s">
        <v>22</v>
      </c>
      <c r="C38" s="27"/>
      <c r="D38" s="13"/>
      <c r="G38" s="626">
        <v>44896</v>
      </c>
      <c r="H38" s="289" cm="1">
        <f t="array" ref="H38">_xll.d.Dates_Act365(G37,G38)</f>
        <v>0.24931506849315069</v>
      </c>
      <c r="I38" s="623">
        <v>0.10000000000000062</v>
      </c>
      <c r="J38" s="136">
        <f ca="1"/>
        <v>0.95168722053898547</v>
      </c>
      <c r="K38" s="213"/>
      <c r="L38" s="214"/>
      <c r="M38" s="12" t="s">
        <v>22</v>
      </c>
      <c r="N38" s="27"/>
      <c r="O38" s="13"/>
      <c r="Q38" s="751" t="s">
        <v>616</v>
      </c>
      <c r="R38" s="240" cm="1">
        <f t="array" ref="R38">_xll.d.Dates_AddTenorToDate($N$32,Q38,"ZAR","ModFol")</f>
        <v>44592</v>
      </c>
      <c r="S38" s="748" cm="1">
        <f t="array" ref="S38">1/(1+_xll.d.Dates_Act365(R37,R38)*N52)*S37</f>
        <v>0.88220678011621201</v>
      </c>
      <c r="T38" s="748" cm="1">
        <f t="array" aca="1" ref="T38" ca="1">_xll.d.Curve_GetDiscountFactors($O$27,R38)</f>
        <v>0.88220846515010332</v>
      </c>
      <c r="U38" s="231" t="str" cm="1">
        <f t="array" aca="1" ref="U38" ca="1">_xll.d.TestUtils_Equal(S38,T38,0.00001)</f>
        <v>Ok</v>
      </c>
      <c r="V38" s="756"/>
      <c r="W38" s="768">
        <v>44593</v>
      </c>
      <c r="X38" s="776">
        <v>0.88203888724645341</v>
      </c>
      <c r="Y38" s="777" cm="1">
        <f t="array" aca="1" ref="Y38" ca="1">_xll.d.Curve_GetDiscountFactors($O$27,W38)</f>
        <v>0.88205105245930171</v>
      </c>
      <c r="Z38" s="763" t="str" cm="1">
        <f t="array" aca="1" ref="Z38" ca="1">_xll.d.TestUtils_Equal(X38,Y38,$X$24)</f>
        <v>Ok</v>
      </c>
      <c r="AA38" s="213"/>
      <c r="AB38" s="214"/>
      <c r="AC38" s="12" t="s">
        <v>22</v>
      </c>
      <c r="AD38" s="27"/>
      <c r="AE38" s="13"/>
      <c r="AG38" s="8"/>
      <c r="AH38" s="741">
        <v>44655</v>
      </c>
      <c r="AI38" s="289" cm="1">
        <f t="array" ref="AI38">_xll.d.Dates_Act360(AH37,AH38)</f>
        <v>1.0194444444444444</v>
      </c>
      <c r="AJ38" s="623">
        <v>9.6937465456741368E-4</v>
      </c>
      <c r="AK38" s="743">
        <f ca="1"/>
        <v>0.99831018836473895</v>
      </c>
      <c r="AM38" s="799">
        <v>45019</v>
      </c>
      <c r="AN38" s="777">
        <v>0.99647638149095108</v>
      </c>
      <c r="AO38" s="800" cm="1">
        <f t="array" aca="1" ref="AO38" ca="1">_xll.d.Curve_GetDiscountFactors($AE$27,AM38)</f>
        <v>0.99647124209597093</v>
      </c>
      <c r="AP38" s="765" t="str" cm="1">
        <f t="array" aca="1" ref="AP38" ca="1">_xll.d.TestUtils_Equal(AN38,AO38,0.0001)</f>
        <v>Ok</v>
      </c>
      <c r="AQ38" s="213"/>
      <c r="AR38" s="214"/>
      <c r="AS38" s="12" t="s">
        <v>22</v>
      </c>
      <c r="AT38" s="27"/>
      <c r="AU38" s="13"/>
      <c r="AW38" s="8"/>
      <c r="AX38" s="741">
        <v>45386</v>
      </c>
      <c r="AY38" s="289" cm="1">
        <f t="array" ref="AY38">_xll.d.Dates_Act360(AX37,AX38)</f>
        <v>1.0166666666666666</v>
      </c>
      <c r="AZ38" s="623">
        <v>2.8942755738635206E-2</v>
      </c>
      <c r="BA38" s="743">
        <f ca="1"/>
        <v>0.9546252973440178</v>
      </c>
      <c r="BC38" s="799">
        <v>45751</v>
      </c>
      <c r="BD38" s="777">
        <v>0.93151665593338084</v>
      </c>
      <c r="BE38" s="800">
        <f ca="1"/>
        <v>0.9316870312441724</v>
      </c>
      <c r="BF38" s="763" t="str" cm="1">
        <f t="array" aca="1" ref="BF38" ca="1">_xll.d.TestUtils_Equal(BD38,BE38,0.001)</f>
        <v>Ok</v>
      </c>
      <c r="BG38" s="64"/>
      <c r="BH38" s="64" t="str">
        <v>6m</v>
      </c>
      <c r="BI38" s="64">
        <v>1.1180000000000001E-2</v>
      </c>
      <c r="BJ38" s="64" t="b">
        <v>1</v>
      </c>
      <c r="BK38" s="64"/>
      <c r="BL38" s="64"/>
      <c r="BM38" s="64"/>
      <c r="BN38" s="64"/>
      <c r="BO38" s="64"/>
      <c r="BP38" s="64"/>
      <c r="BQ38" s="64"/>
      <c r="BR38" s="12" t="s">
        <v>22</v>
      </c>
      <c r="BS38" s="27"/>
      <c r="BT38" s="13"/>
      <c r="BV38" s="64"/>
      <c r="BX38" s="131" t="s">
        <v>574</v>
      </c>
      <c r="BY38" s="202"/>
      <c r="BZ38" s="202"/>
      <c r="CA38" s="132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42" t="s">
        <v>27</v>
      </c>
      <c r="CT38" s="42">
        <v>0.1</v>
      </c>
      <c r="CU38" s="42" t="b">
        <v>1</v>
      </c>
      <c r="DC38" s="42" t="s">
        <v>27</v>
      </c>
      <c r="DD38" s="42">
        <v>0.1</v>
      </c>
      <c r="DE38" s="42" t="b">
        <v>1</v>
      </c>
      <c r="DN38" s="42" t="s">
        <v>27</v>
      </c>
      <c r="DO38" s="42">
        <v>0.1</v>
      </c>
      <c r="DP38" s="42" t="b">
        <v>1</v>
      </c>
    </row>
    <row r="39" spans="1:120" x14ac:dyDescent="0.25">
      <c r="A39" s="455"/>
      <c r="B39" s="72" t="s">
        <v>38</v>
      </c>
      <c r="C39" s="73" t="s">
        <v>39</v>
      </c>
      <c r="D39" s="74" t="s">
        <v>52</v>
      </c>
      <c r="G39" s="626">
        <v>44986</v>
      </c>
      <c r="H39" s="289" cm="1">
        <f t="array" ref="H39">_xll.d.Dates_Act365(G38,G39)</f>
        <v>0.24657534246575341</v>
      </c>
      <c r="I39" s="623">
        <v>0.10000000000000005</v>
      </c>
      <c r="J39" s="136">
        <f ca="1"/>
        <v>0.92878565640836819</v>
      </c>
      <c r="K39" s="213"/>
      <c r="L39" s="214"/>
      <c r="M39" s="72" t="s">
        <v>38</v>
      </c>
      <c r="N39" s="73" t="s">
        <v>39</v>
      </c>
      <c r="O39" s="74" t="s">
        <v>52</v>
      </c>
      <c r="V39" s="756"/>
      <c r="W39" s="768">
        <v>44957</v>
      </c>
      <c r="X39" s="776">
        <v>0.82657950215859954</v>
      </c>
      <c r="Y39" s="777" cm="1">
        <f t="array" aca="1" ref="Y39" ca="1">_xll.d.Curve_GetDiscountFactors($O$27,W39)</f>
        <v>0.82657902369827219</v>
      </c>
      <c r="Z39" s="763" t="str" cm="1">
        <f t="array" aca="1" ref="Z39" ca="1">_xll.d.TestUtils_Equal(X39,Y39,$X$24)</f>
        <v>Ok</v>
      </c>
      <c r="AA39" s="213"/>
      <c r="AB39" s="214"/>
      <c r="AC39" s="72" t="s">
        <v>38</v>
      </c>
      <c r="AD39" s="73" t="s">
        <v>39</v>
      </c>
      <c r="AE39" s="74" t="s">
        <v>52</v>
      </c>
      <c r="AG39" s="8"/>
      <c r="AH39" s="741">
        <v>45019</v>
      </c>
      <c r="AI39" s="289" cm="1">
        <f t="array" ref="AI39">_xll.d.Dates_Act360(AH38,AH39)</f>
        <v>1.0111111111111111</v>
      </c>
      <c r="AJ39" s="623">
        <v>1.8251786817116121E-3</v>
      </c>
      <c r="AK39" s="743">
        <f ca="1"/>
        <v>0.99647124209597082</v>
      </c>
      <c r="AM39" s="799">
        <v>45384</v>
      </c>
      <c r="AN39" s="777">
        <v>0.99353628932238969</v>
      </c>
      <c r="AO39" s="800" cm="1">
        <f t="array" aca="1" ref="AO39" ca="1">_xll.d.Curve_GetDiscountFactors($AE$27,AM39)</f>
        <v>0.9935226136889701</v>
      </c>
      <c r="AP39" s="765" t="str" cm="1">
        <f t="array" aca="1" ref="AP39" ca="1">_xll.d.TestUtils_Equal(AN39,AO39,0.0001)</f>
        <v>Ok</v>
      </c>
      <c r="AQ39" s="213"/>
      <c r="AR39" s="214"/>
      <c r="AS39" s="72" t="s">
        <v>38</v>
      </c>
      <c r="AT39" s="73" t="s">
        <v>39</v>
      </c>
      <c r="AU39" s="74" t="s">
        <v>52</v>
      </c>
      <c r="AW39" s="8"/>
      <c r="AX39" s="741">
        <v>45751</v>
      </c>
      <c r="AY39" s="289" cm="1">
        <f t="array" ref="AY39">_xll.d.Dates_Act360(AX38,AX39)</f>
        <v>1.0138888888888888</v>
      </c>
      <c r="AZ39" s="623">
        <v>2.4282878818596618E-2</v>
      </c>
      <c r="BA39" s="743">
        <f ca="1"/>
        <v>0.93168703124417207</v>
      </c>
      <c r="BC39" s="799">
        <v>46118</v>
      </c>
      <c r="BD39" s="777">
        <v>0.91204003345386175</v>
      </c>
      <c r="BE39" s="800">
        <f ca="1"/>
        <v>0.91218522603371888</v>
      </c>
      <c r="BF39" s="763" t="str" cm="1">
        <f t="array" aca="1" ref="BF39" ca="1">_xll.d.TestUtils_Equal(BD39,BE39,0.001)</f>
        <v>Ok</v>
      </c>
      <c r="BG39" s="64"/>
      <c r="BH39" s="64" t="str">
        <v>9m</v>
      </c>
      <c r="BI39" s="64">
        <v>1.4579999999999999E-2</v>
      </c>
      <c r="BJ39" s="64" t="b">
        <v>1</v>
      </c>
      <c r="BK39" s="64"/>
      <c r="BL39" s="64"/>
      <c r="BM39" s="64"/>
      <c r="BN39" s="64"/>
      <c r="BO39" s="64"/>
      <c r="BP39" s="64"/>
      <c r="BQ39" s="64"/>
      <c r="BR39" s="72" t="s">
        <v>38</v>
      </c>
      <c r="BS39" s="73" t="s">
        <v>39</v>
      </c>
      <c r="BT39" s="74" t="s">
        <v>52</v>
      </c>
      <c r="BV39" s="64"/>
      <c r="BX39" s="129" t="s">
        <v>0</v>
      </c>
      <c r="BY39" s="301" t="s">
        <v>572</v>
      </c>
      <c r="BZ39" s="301" t="s">
        <v>573</v>
      </c>
      <c r="CA39" s="130" t="s">
        <v>2</v>
      </c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42" t="s">
        <v>25</v>
      </c>
      <c r="CT39" s="42">
        <v>0.1</v>
      </c>
      <c r="CU39" s="42" t="b">
        <v>1</v>
      </c>
      <c r="DC39" s="42" t="s">
        <v>25</v>
      </c>
      <c r="DD39" s="42">
        <v>0.1</v>
      </c>
      <c r="DE39" s="42" t="b">
        <v>1</v>
      </c>
      <c r="DN39" s="42" t="s">
        <v>25</v>
      </c>
      <c r="DO39" s="42">
        <v>0.1</v>
      </c>
      <c r="DP39" s="42" t="b">
        <v>1</v>
      </c>
    </row>
    <row r="40" spans="1:120" x14ac:dyDescent="0.25">
      <c r="A40" s="455"/>
      <c r="B40" s="258" t="s">
        <v>26</v>
      </c>
      <c r="C40" s="259">
        <v>0.1</v>
      </c>
      <c r="D40" s="260" t="b">
        <v>1</v>
      </c>
      <c r="G40" s="626">
        <v>45078</v>
      </c>
      <c r="H40" s="289" cm="1">
        <f t="array" ref="H40">_xll.d.Dates_Act365(G39,G40)</f>
        <v>0.25205479452054796</v>
      </c>
      <c r="I40" s="623">
        <v>0.10000000000000028</v>
      </c>
      <c r="J40" s="136">
        <f ca="1"/>
        <v>0.90595073380292457</v>
      </c>
      <c r="K40" s="213"/>
      <c r="L40" s="214"/>
      <c r="M40" s="722" t="s">
        <v>67</v>
      </c>
      <c r="N40" s="723">
        <v>6.2780000000000002E-2</v>
      </c>
      <c r="O40" s="260" t="b">
        <v>1</v>
      </c>
      <c r="R40" s="131" t="s">
        <v>574</v>
      </c>
      <c r="S40" s="202"/>
      <c r="T40" s="202"/>
      <c r="U40" s="132"/>
      <c r="V40" s="756"/>
      <c r="W40" s="768">
        <v>45322</v>
      </c>
      <c r="X40" s="776">
        <v>0.77142555086444875</v>
      </c>
      <c r="Y40" s="777" cm="1">
        <f t="array" aca="1" ref="Y40" ca="1">_xll.d.Curve_GetDiscountFactors($O$27,W40)</f>
        <v>0.771425092989796</v>
      </c>
      <c r="Z40" s="763" t="str" cm="1">
        <f t="array" aca="1" ref="Z40" ca="1">_xll.d.TestUtils_Equal(X40,Y40,$X$24)</f>
        <v>Ok</v>
      </c>
      <c r="AA40" s="213"/>
      <c r="AB40" s="214"/>
      <c r="AC40" s="235" t="s">
        <v>67</v>
      </c>
      <c r="AD40" s="237">
        <v>8.0000000000000004E-4</v>
      </c>
      <c r="AE40" s="236" t="b">
        <v>1</v>
      </c>
      <c r="AG40" s="8"/>
      <c r="AH40" s="741">
        <v>45384</v>
      </c>
      <c r="AI40" s="289" cm="1">
        <f t="array" ref="AI40">_xll.d.Dates_Act360(AH39,AH40)</f>
        <v>1.0138888888888888</v>
      </c>
      <c r="AJ40" s="623">
        <v>2.9271968216642782E-3</v>
      </c>
      <c r="AK40" s="743">
        <f ca="1"/>
        <v>0.9935226136889701</v>
      </c>
      <c r="AM40" s="799">
        <v>45749</v>
      </c>
      <c r="AN40" s="777">
        <v>0.98925951996509143</v>
      </c>
      <c r="AO40" s="800" cm="1">
        <f t="array" aca="1" ref="AO40" ca="1">_xll.d.Curve_GetDiscountFactors($AE$27,AM40)</f>
        <v>0.98924200910255267</v>
      </c>
      <c r="AP40" s="765" t="str" cm="1">
        <f t="array" aca="1" ref="AP40" ca="1">_xll.d.TestUtils_Equal(AN40,AO40,0.0001)</f>
        <v>Ok</v>
      </c>
      <c r="AQ40" s="213"/>
      <c r="AR40" s="214"/>
      <c r="AS40" s="235" t="s">
        <v>67</v>
      </c>
      <c r="AT40" s="237">
        <v>3.3E-3</v>
      </c>
      <c r="AU40" s="236" t="b">
        <v>1</v>
      </c>
      <c r="AW40" s="8"/>
      <c r="AX40" s="741">
        <v>46118</v>
      </c>
      <c r="AY40" s="289" cm="1">
        <f t="array" ref="AY40">_xll.d.Dates_Act360(AX39,AX40)</f>
        <v>1.0194444444444444</v>
      </c>
      <c r="AZ40" s="623">
        <v>2.0971438286630152E-2</v>
      </c>
      <c r="BA40" s="743">
        <f ca="1"/>
        <v>0.91218522603371865</v>
      </c>
      <c r="BC40" s="799">
        <v>46482</v>
      </c>
      <c r="BD40" s="777">
        <v>0.89492872245432198</v>
      </c>
      <c r="BE40" s="800">
        <f ca="1"/>
        <v>0.89506557532521158</v>
      </c>
      <c r="BF40" s="763" t="str" cm="1">
        <f t="array" aca="1" ref="BF40" ca="1">_xll.d.TestUtils_Equal(BD40,BE40,0.001)</f>
        <v>Ok</v>
      </c>
      <c r="BG40" s="64"/>
      <c r="BH40" s="64" t="str">
        <v>12m</v>
      </c>
      <c r="BI40" s="64">
        <v>1.7310000000000002E-2</v>
      </c>
      <c r="BJ40" s="64" t="b">
        <v>1</v>
      </c>
      <c r="BK40" s="64"/>
      <c r="BL40" s="64"/>
      <c r="BM40" s="64"/>
      <c r="BN40" s="64"/>
      <c r="BO40" s="64"/>
      <c r="BP40" s="64"/>
      <c r="BQ40" s="64"/>
      <c r="BR40" s="722" t="s">
        <v>67</v>
      </c>
      <c r="BS40" s="723">
        <v>3.3170999999999999E-3</v>
      </c>
      <c r="BT40" s="260" t="b">
        <v>1</v>
      </c>
      <c r="BV40" s="64"/>
      <c r="BX40" s="739">
        <f t="array" ref="BX40:BX72">_xll.d.Dates_GenerateSchedule(BS32,_xll.d.Dates_AddTenorToDate(BS32,"8Y","USD","ModFol"),"3m","USD","ModFol","Forward")</f>
        <v>44651</v>
      </c>
      <c r="BY40" s="738"/>
      <c r="BZ40" s="738"/>
      <c r="CA40" s="740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42" t="s">
        <v>28</v>
      </c>
      <c r="CT40" s="42">
        <v>0.1</v>
      </c>
      <c r="CU40" s="42" t="b">
        <v>1</v>
      </c>
      <c r="DC40" s="42" t="s">
        <v>28</v>
      </c>
      <c r="DD40" s="42">
        <v>0.1</v>
      </c>
      <c r="DE40" s="42" t="b">
        <v>1</v>
      </c>
      <c r="DN40" s="42" t="s">
        <v>28</v>
      </c>
      <c r="DO40" s="42">
        <v>0.1</v>
      </c>
      <c r="DP40" s="42" t="b">
        <v>1</v>
      </c>
    </row>
    <row r="41" spans="1:120" x14ac:dyDescent="0.25">
      <c r="B41" s="261" t="s">
        <v>27</v>
      </c>
      <c r="C41" s="233">
        <v>0.1</v>
      </c>
      <c r="D41" s="262" t="b">
        <v>1</v>
      </c>
      <c r="F41" s="9"/>
      <c r="G41" s="626">
        <v>45170</v>
      </c>
      <c r="H41" s="289" cm="1">
        <f t="array" ref="H41">_xll.d.Dates_Act365(G40,G41)</f>
        <v>0.25205479452054796</v>
      </c>
      <c r="I41" s="623">
        <v>0.1000000342771778</v>
      </c>
      <c r="J41" s="136">
        <f ca="1"/>
        <v>0.8836772182025413</v>
      </c>
      <c r="K41" s="213"/>
      <c r="L41" s="214"/>
      <c r="M41" s="261" t="s">
        <v>26</v>
      </c>
      <c r="N41" s="724">
        <v>6.3829999999999998E-2</v>
      </c>
      <c r="O41" s="262" t="b">
        <v>1</v>
      </c>
      <c r="R41" s="129" t="s">
        <v>0</v>
      </c>
      <c r="S41" s="301" t="s">
        <v>572</v>
      </c>
      <c r="T41" s="301" t="s">
        <v>573</v>
      </c>
      <c r="U41" s="130" t="s">
        <v>2</v>
      </c>
      <c r="V41" s="756"/>
      <c r="W41" s="768">
        <v>45688</v>
      </c>
      <c r="X41" s="776">
        <v>0.71728031027113948</v>
      </c>
      <c r="Y41" s="777" cm="1">
        <f t="array" aca="1" ref="Y41" ca="1">_xll.d.Curve_GetDiscountFactors($O$27,W41)</f>
        <v>0.71727987233787971</v>
      </c>
      <c r="Z41" s="763" t="str" cm="1">
        <f t="array" aca="1" ref="Z41" ca="1">_xll.d.TestUtils_Equal(X41,Y41,$X$24)</f>
        <v>Ok</v>
      </c>
      <c r="AA41" s="213"/>
      <c r="AB41" s="214"/>
      <c r="AG41" s="8"/>
      <c r="AH41" s="741">
        <v>45749</v>
      </c>
      <c r="AI41" s="289" cm="1">
        <f t="array" ref="AI41">_xll.d.Dates_Act360(AH40,AH41)</f>
        <v>1.0138888888888888</v>
      </c>
      <c r="AJ41" s="623">
        <v>4.2678799814167357E-3</v>
      </c>
      <c r="AK41" s="743">
        <f ca="1"/>
        <v>0.98924200910255267</v>
      </c>
      <c r="AM41" s="799">
        <v>46479</v>
      </c>
      <c r="AN41" s="777">
        <v>0.97794158297967493</v>
      </c>
      <c r="AO41" s="800" cm="1">
        <f t="array" aca="1" ref="AO41" ca="1">_xll.d.Curve_GetDiscountFactors($AE$27,AM41)</f>
        <v>0.97789827726743384</v>
      </c>
      <c r="AP41" s="765" t="str" cm="1">
        <f t="array" aca="1" ref="AP41" ca="1">_xll.d.TestUtils_Equal(AN41,AO41,0.0001)</f>
        <v>Ok</v>
      </c>
      <c r="AQ41" s="213"/>
      <c r="AR41" s="214"/>
      <c r="AW41" s="8"/>
      <c r="AX41" s="741">
        <v>46482</v>
      </c>
      <c r="AY41" s="289" cm="1">
        <f t="array" ref="AY41">_xll.d.Dates_Act360(AX40,AX41)</f>
        <v>1.0111111111111111</v>
      </c>
      <c r="AZ41" s="623">
        <v>1.8916516449190037E-2</v>
      </c>
      <c r="BA41" s="743">
        <f ca="1"/>
        <v>0.89506557532521158</v>
      </c>
      <c r="BC41" s="799">
        <v>47212</v>
      </c>
      <c r="BD41" s="777">
        <v>0.86066681192648165</v>
      </c>
      <c r="BE41" s="800">
        <f ca="1"/>
        <v>0.86079635578514846</v>
      </c>
      <c r="BF41" s="763" t="str" cm="1">
        <f t="array" aca="1" ref="BF41" ca="1">_xll.d.TestUtils_Equal(BD41,BE41,0.001)</f>
        <v>Ok</v>
      </c>
      <c r="BG41" s="64"/>
      <c r="BH41" s="64" t="str">
        <v>18m</v>
      </c>
      <c r="BI41" s="64">
        <v>2.0879999999999999E-2</v>
      </c>
      <c r="BJ41" s="64" t="b">
        <v>1</v>
      </c>
      <c r="BK41" s="64"/>
      <c r="BL41" s="64"/>
      <c r="BM41" s="64"/>
      <c r="BN41" s="64"/>
      <c r="BO41" s="64"/>
      <c r="BP41" s="64"/>
      <c r="BQ41" s="64"/>
      <c r="BR41" s="261" t="s">
        <v>26</v>
      </c>
      <c r="BS41" s="724">
        <v>4.5199999999999997E-3</v>
      </c>
      <c r="BT41" s="262" t="b">
        <v>1</v>
      </c>
      <c r="BV41" s="64"/>
      <c r="BW41" s="9"/>
      <c r="BX41" s="741">
        <v>44742</v>
      </c>
      <c r="BY41" s="290" cm="1">
        <f t="array" ref="BY41">_xll.d.Dates_Act360(BX40,BX41)</f>
        <v>0.25277777777777777</v>
      </c>
      <c r="BZ41" s="737" t="e">
        <f t="array" ref="BZ41:BZ72">_xll.d.Curve_GetForwardRates(BU24,BX40:BX71,BX41:BX72,"Simple")</f>
        <v>#VALUE!</v>
      </c>
      <c r="CA41" s="742" t="e">
        <f t="array" aca="1" ref="CA41:CA72" ca="1">_xll.d.Curve_GetDiscountFactors(BU24,BX41:BX72)</f>
        <v>#VALUE!</v>
      </c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</row>
    <row r="42" spans="1:120" x14ac:dyDescent="0.25">
      <c r="B42" s="263" t="s">
        <v>25</v>
      </c>
      <c r="C42" s="264">
        <v>0.1</v>
      </c>
      <c r="D42" s="265" t="b">
        <v>1</v>
      </c>
      <c r="F42" s="9"/>
      <c r="G42" s="626">
        <v>45261</v>
      </c>
      <c r="H42" s="289" cm="1">
        <f t="array" ref="H42">_xll.d.Dates_Act365(G41,G42)</f>
        <v>0.24931506849315069</v>
      </c>
      <c r="I42" s="623">
        <v>9.9986450530074988E-2</v>
      </c>
      <c r="J42" s="136">
        <f ca="1"/>
        <v>0.86218457021925377</v>
      </c>
      <c r="K42" s="213"/>
      <c r="L42" s="214"/>
      <c r="M42" s="263" t="s">
        <v>25</v>
      </c>
      <c r="N42" s="725">
        <v>6.5579999999999999E-2</v>
      </c>
      <c r="O42" s="265" t="b">
        <v>1</v>
      </c>
      <c r="R42" s="739">
        <f t="array" ref="R42:R74">_xll.d.Dates_GenerateSchedule(N32,_xll.d.Dates_AddTenorToDate(N32,"8Y","ZAR","ModFol"),"3m","ZAR","ModFol","Forward")</f>
        <v>43861</v>
      </c>
      <c r="S42" s="738"/>
      <c r="T42" s="738"/>
      <c r="U42" s="740"/>
      <c r="V42" s="756"/>
      <c r="W42" s="768">
        <v>46052</v>
      </c>
      <c r="X42" s="776">
        <v>0.66351867459800129</v>
      </c>
      <c r="Y42" s="777" cm="1">
        <f t="array" aca="1" ref="Y42" ca="1">_xll.d.Curve_GetDiscountFactors($O$27,W42)</f>
        <v>0.663518254527107</v>
      </c>
      <c r="Z42" s="763" t="str" cm="1">
        <f t="array" aca="1" ref="Z42" ca="1">_xll.d.TestUtils_Equal(X42,Y42,$X$24)</f>
        <v>Ok</v>
      </c>
      <c r="AA42" s="213"/>
      <c r="AB42" s="214"/>
      <c r="AC42" s="12" t="s">
        <v>65</v>
      </c>
      <c r="AD42" s="27"/>
      <c r="AE42" s="13"/>
      <c r="AF42" s="455"/>
      <c r="AG42" s="8"/>
      <c r="AH42" s="741">
        <v>46114</v>
      </c>
      <c r="AI42" s="289" cm="1">
        <f t="array" ref="AI42">_xll.d.Dates_Act360(AH41,AH42)</f>
        <v>1.0138888888888888</v>
      </c>
      <c r="AJ42" s="623">
        <v>5.704109949398458E-3</v>
      </c>
      <c r="AK42" s="743">
        <f ca="1"/>
        <v>0.98355378932825088</v>
      </c>
      <c r="AM42" s="799">
        <v>47575</v>
      </c>
      <c r="AN42" s="777">
        <v>0.95684032944715969</v>
      </c>
      <c r="AO42" s="800" cm="1">
        <f t="array" aca="1" ref="AO42" ca="1">_xll.d.Curve_GetDiscountFactors($AE$27,AM42)</f>
        <v>0.95681834245853103</v>
      </c>
      <c r="AP42" s="766" t="str" cm="1">
        <f t="array" aca="1" ref="AP42" ca="1">_xll.d.TestUtils_Equal(AN42,AO42,0.0001)</f>
        <v>Ok</v>
      </c>
      <c r="AQ42" s="213"/>
      <c r="AR42" s="214"/>
      <c r="AS42" s="12" t="s">
        <v>65</v>
      </c>
      <c r="AT42" s="27"/>
      <c r="AU42" s="13"/>
      <c r="AW42" s="8"/>
      <c r="AX42" s="741">
        <v>46847</v>
      </c>
      <c r="AY42" s="289" cm="1">
        <f t="array" ref="AY42">_xll.d.Dates_Act360(AX41,AX42)</f>
        <v>1.0138888888888888</v>
      </c>
      <c r="AZ42" s="623">
        <v>1.9441248096291202E-2</v>
      </c>
      <c r="BA42" s="743">
        <f ca="1"/>
        <v>0.87776374123603407</v>
      </c>
      <c r="BC42" s="799">
        <v>48309</v>
      </c>
      <c r="BD42" s="777">
        <v>0.81049568807084837</v>
      </c>
      <c r="BE42" s="800">
        <f ca="1"/>
        <v>0.81061212037314934</v>
      </c>
      <c r="BF42" s="763" t="str" cm="1">
        <f t="array" aca="1" ref="BF42" ca="1">_xll.d.TestUtils_Equal(BD42,BE42,0.001)</f>
        <v>Ok</v>
      </c>
      <c r="BG42" s="64"/>
      <c r="BH42" s="64" t="str">
        <v>2y</v>
      </c>
      <c r="BI42" s="64">
        <v>2.3050000000000001E-2</v>
      </c>
      <c r="BJ42" s="64" t="b">
        <v>1</v>
      </c>
      <c r="BK42" s="64"/>
      <c r="BL42" s="64"/>
      <c r="BM42" s="64"/>
      <c r="BN42" s="64"/>
      <c r="BO42" s="64"/>
      <c r="BP42" s="64"/>
      <c r="BQ42" s="64"/>
      <c r="BR42" s="263" t="s">
        <v>25</v>
      </c>
      <c r="BS42" s="725">
        <v>9.6156999999999996E-3</v>
      </c>
      <c r="BT42" s="265" t="b">
        <v>1</v>
      </c>
      <c r="BV42" s="64"/>
      <c r="BW42" s="9"/>
      <c r="BX42" s="741">
        <v>44834</v>
      </c>
      <c r="BY42" s="289" cm="1">
        <f t="array" ref="BY42">_xll.d.Dates_Act365(BX41,BX42)</f>
        <v>0.25205479452054796</v>
      </c>
      <c r="BZ42" s="623" t="e">
        <v>#VALUE!</v>
      </c>
      <c r="CA42" s="743" t="e">
        <f ca="1"/>
        <v>#VALUE!</v>
      </c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12" t="s">
        <v>37</v>
      </c>
      <c r="CT42" s="13"/>
      <c r="CU42" s="13"/>
      <c r="DC42" s="12" t="s">
        <v>37</v>
      </c>
      <c r="DD42" s="13"/>
      <c r="DE42" s="13"/>
      <c r="DN42" s="12" t="s">
        <v>37</v>
      </c>
      <c r="DO42" s="13"/>
      <c r="DP42" s="13"/>
    </row>
    <row r="43" spans="1:120" x14ac:dyDescent="0.25">
      <c r="G43" s="626">
        <v>45352</v>
      </c>
      <c r="H43" s="289" cm="1">
        <f t="array" ref="H43">_xll.d.Dates_Act365(G42,G43)</f>
        <v>0.24931506849315069</v>
      </c>
      <c r="I43" s="623">
        <v>9.9986450530074086E-2</v>
      </c>
      <c r="J43" s="136">
        <f ca="1"/>
        <v>0.84121466278853252</v>
      </c>
      <c r="K43" s="213"/>
      <c r="L43" s="214"/>
      <c r="Q43" s="9"/>
      <c r="R43" s="741">
        <v>43951</v>
      </c>
      <c r="S43" s="290" cm="1">
        <f t="array" ref="S43">_xll.d.Dates_Act365(R42,R43)</f>
        <v>0.24657534246575341</v>
      </c>
      <c r="T43" s="737">
        <f t="array" ref="T43:T74">_xll.d.Curve_GetForwardRates(O27,R42:R73,R43:R74,"Simple")</f>
        <v>6.5579999999999708E-2</v>
      </c>
      <c r="U43" s="742">
        <f t="array" aca="1" ref="U43:U74" ca="1">_xll.d.Curve_GetDiscountFactors(O27,R43:R74)</f>
        <v>0.98408691024210715</v>
      </c>
      <c r="V43" s="756"/>
      <c r="W43" s="768">
        <v>46416</v>
      </c>
      <c r="X43" s="776">
        <v>0.61166546399400523</v>
      </c>
      <c r="Y43" s="777" cm="1">
        <f t="array" aca="1" ref="Y43" ca="1">_xll.d.Curve_GetDiscountFactors($O$27,W43)</f>
        <v>0.61166506256248276</v>
      </c>
      <c r="Z43" s="763" t="str" cm="1">
        <f t="array" aca="1" ref="Z43" ca="1">_xll.d.TestUtils_Equal(X43,Y43,$X$24)</f>
        <v>Ok</v>
      </c>
      <c r="AA43" s="213"/>
      <c r="AB43" s="214"/>
      <c r="AC43" s="72" t="s">
        <v>38</v>
      </c>
      <c r="AD43" s="73" t="s">
        <v>39</v>
      </c>
      <c r="AE43" s="74" t="s">
        <v>52</v>
      </c>
      <c r="AF43" s="455"/>
      <c r="AG43" s="8"/>
      <c r="AH43" s="741">
        <v>46479</v>
      </c>
      <c r="AI43" s="289" cm="1">
        <f t="array" ref="AI43">_xll.d.Dates_Act360(AH42,AH43)</f>
        <v>1.0138888888888888</v>
      </c>
      <c r="AJ43" s="623">
        <v>5.704109949398458E-3</v>
      </c>
      <c r="AK43" s="743">
        <f ca="1"/>
        <v>0.97789827726743384</v>
      </c>
      <c r="AM43" s="799">
        <v>48306</v>
      </c>
      <c r="AN43" s="777">
        <v>0.94199581673574373</v>
      </c>
      <c r="AO43" s="800" cm="1">
        <f t="array" aca="1" ref="AO43" ca="1">_xll.d.Curve_GetDiscountFactors($AE$27,AM43)</f>
        <v>0.94196322894163875</v>
      </c>
      <c r="AP43" s="766" t="str" cm="1">
        <f t="array" aca="1" ref="AP43" ca="1">_xll.d.TestUtils_Equal(AN43,AO43,0.0001)</f>
        <v>Ok</v>
      </c>
      <c r="AQ43" s="213"/>
      <c r="AR43" s="214"/>
      <c r="AS43" s="72" t="s">
        <v>38</v>
      </c>
      <c r="AT43" s="73" t="s">
        <v>39</v>
      </c>
      <c r="AU43" s="74" t="s">
        <v>52</v>
      </c>
      <c r="AW43" s="8"/>
      <c r="AX43" s="741">
        <v>47212</v>
      </c>
      <c r="AY43" s="289" cm="1">
        <f t="array" ref="AY43">_xll.d.Dates_Act360(AX42,AX43)</f>
        <v>1.0138888888888888</v>
      </c>
      <c r="AZ43" s="623">
        <v>1.9441248096291202E-2</v>
      </c>
      <c r="BA43" s="743">
        <f ca="1"/>
        <v>0.86079635578514846</v>
      </c>
      <c r="BC43" s="799">
        <v>49038</v>
      </c>
      <c r="BD43" s="777">
        <v>0.77683553954317675</v>
      </c>
      <c r="BE43" s="800">
        <f ca="1"/>
        <v>0.77694743626845508</v>
      </c>
      <c r="BF43" s="763" t="str" cm="1">
        <f t="array" aca="1" ref="BF43" ca="1">_xll.d.TestUtils_Equal(BD43,BE43,0.001)</f>
        <v>Ok</v>
      </c>
      <c r="BG43" s="64"/>
      <c r="BH43" s="64" t="str">
        <v>3y</v>
      </c>
      <c r="BI43" s="64">
        <v>2.3450000000000002E-2</v>
      </c>
      <c r="BJ43" s="64" t="b">
        <v>1</v>
      </c>
      <c r="BK43" s="64"/>
      <c r="BL43" s="64"/>
      <c r="BM43" s="64"/>
      <c r="BN43" s="64"/>
      <c r="BO43" s="64"/>
      <c r="BP43" s="64"/>
      <c r="BQ43" s="64"/>
      <c r="BV43" s="64"/>
      <c r="BX43" s="741">
        <v>44925</v>
      </c>
      <c r="BY43" s="289" cm="1">
        <f t="array" ref="BY43">_xll.d.Dates_Act365(BX42,BX43)</f>
        <v>0.24931506849315069</v>
      </c>
      <c r="BZ43" s="623" t="e">
        <v>#VALUE!</v>
      </c>
      <c r="CA43" s="743" t="e">
        <f ca="1"/>
        <v>#VALUE!</v>
      </c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43" t="s">
        <v>38</v>
      </c>
      <c r="CT43" s="44" t="s">
        <v>39</v>
      </c>
      <c r="CU43" s="45" t="s">
        <v>52</v>
      </c>
      <c r="DC43" s="43" t="s">
        <v>38</v>
      </c>
      <c r="DD43" s="44" t="s">
        <v>39</v>
      </c>
      <c r="DE43" s="45" t="s">
        <v>52</v>
      </c>
      <c r="DN43" s="43" t="s">
        <v>38</v>
      </c>
      <c r="DO43" s="44" t="s">
        <v>39</v>
      </c>
      <c r="DP43" s="45" t="s">
        <v>52</v>
      </c>
    </row>
    <row r="44" spans="1:120" x14ac:dyDescent="0.25">
      <c r="B44" s="12" t="s">
        <v>37</v>
      </c>
      <c r="C44" s="27"/>
      <c r="D44" s="13"/>
      <c r="F44" s="9"/>
      <c r="G44" s="626">
        <v>45446</v>
      </c>
      <c r="H44" s="289" cm="1">
        <f t="array" ref="H44">_xll.d.Dates_Act365(G43,G44)</f>
        <v>0.25753424657534246</v>
      </c>
      <c r="I44" s="623">
        <v>0.10002720913866793</v>
      </c>
      <c r="J44" s="136">
        <f ca="1"/>
        <v>0.82008882054015264</v>
      </c>
      <c r="K44" s="213"/>
      <c r="L44" s="214"/>
      <c r="M44" s="12" t="s">
        <v>37</v>
      </c>
      <c r="N44" s="27"/>
      <c r="O44" s="13"/>
      <c r="Q44" s="9"/>
      <c r="R44" s="741">
        <v>44043</v>
      </c>
      <c r="S44" s="289" cm="1">
        <f t="array" ref="S44">_xll.d.Dates_Act365(R43,R44)</f>
        <v>0.25205479452054796</v>
      </c>
      <c r="T44" s="623">
        <v>6.4583938319547507E-2</v>
      </c>
      <c r="U44" s="743">
        <f ca="1"/>
        <v>0.96832386496355949</v>
      </c>
      <c r="V44" s="756"/>
      <c r="W44" s="769">
        <v>46783</v>
      </c>
      <c r="X44" s="778">
        <v>0.55992571979354799</v>
      </c>
      <c r="Y44" s="779" cm="1">
        <f t="array" aca="1" ref="Y44" ca="1">_xll.d.Curve_GetDiscountFactors($O$27,W44)</f>
        <v>0.55992533612260798</v>
      </c>
      <c r="Z44" s="763" t="str" cm="1">
        <f t="array" aca="1" ref="Z44" ca="1">_xll.d.TestUtils_Equal(X44,Y44,$X$24)</f>
        <v>Ok</v>
      </c>
      <c r="AA44" s="213"/>
      <c r="AB44" s="214"/>
      <c r="AC44" s="792" t="s">
        <v>26</v>
      </c>
      <c r="AD44" s="284">
        <v>7.000000000000001E-4</v>
      </c>
      <c r="AE44" s="215" t="b">
        <v>1</v>
      </c>
      <c r="AF44" s="455"/>
      <c r="AG44" s="8"/>
      <c r="AH44" s="744">
        <v>46846</v>
      </c>
      <c r="AI44" s="656" cm="1">
        <f t="array" ref="AI44">_xll.d.Dates_Act360(AH43,AH44)</f>
        <v>1.0194444444444444</v>
      </c>
      <c r="AJ44" s="745">
        <v>7.1841692349993245E-3</v>
      </c>
      <c r="AK44" s="338">
        <f ca="1"/>
        <v>0.97078835787150619</v>
      </c>
      <c r="AM44" s="799">
        <v>49401</v>
      </c>
      <c r="AN44" s="777">
        <v>0.92158205934554305</v>
      </c>
      <c r="AO44" s="800" cm="1">
        <f t="array" aca="1" ref="AO44" ca="1">_xll.d.Curve_GetDiscountFactors($AE$27,AM44)</f>
        <v>0.92156171445373036</v>
      </c>
      <c r="AP44" s="766" t="str" cm="1">
        <f t="array" aca="1" ref="AP44" ca="1">_xll.d.TestUtils_Equal(AN44,AO44,0.0001)</f>
        <v>Ok</v>
      </c>
      <c r="AQ44" s="213"/>
      <c r="AR44" s="214"/>
      <c r="AS44" s="792" t="s">
        <v>26</v>
      </c>
      <c r="AT44" s="284">
        <v>3.4200000000000003E-3</v>
      </c>
      <c r="AU44" s="215" t="b">
        <v>1</v>
      </c>
      <c r="AW44" s="8"/>
      <c r="AX44" s="744">
        <v>47577</v>
      </c>
      <c r="AY44" s="656" cm="1">
        <f t="array" ref="AY44">_xll.d.Dates_Act360(AX43,AX44)</f>
        <v>1.0138888888888888</v>
      </c>
      <c r="AZ44" s="745">
        <v>1.9910782449838366E-2</v>
      </c>
      <c r="BA44" s="338">
        <f ca="1"/>
        <v>0.84376304036130234</v>
      </c>
      <c r="BC44" s="799">
        <v>50136</v>
      </c>
      <c r="BD44" s="777">
        <v>0.72962499907491318</v>
      </c>
      <c r="BE44" s="800">
        <f ca="1"/>
        <v>0.72972988149655804</v>
      </c>
      <c r="BF44" s="763" t="str" cm="1">
        <f t="array" aca="1" ref="BF44" ca="1">_xll.d.TestUtils_Equal(BD44,BE44,0.001)</f>
        <v>Ok</v>
      </c>
      <c r="BG44" s="64"/>
      <c r="BH44" s="64" t="str">
        <v>4y</v>
      </c>
      <c r="BI44" s="64">
        <v>2.2850000000000002E-2</v>
      </c>
      <c r="BJ44" s="64" t="b">
        <v>1</v>
      </c>
      <c r="BK44" s="64"/>
      <c r="BL44" s="64"/>
      <c r="BM44" s="64"/>
      <c r="BN44" s="64"/>
      <c r="BO44" s="64"/>
      <c r="BP44" s="64"/>
      <c r="BQ44" s="64"/>
      <c r="BR44" s="12" t="s">
        <v>37</v>
      </c>
      <c r="BS44" s="27"/>
      <c r="BT44" s="13"/>
      <c r="BV44" s="64"/>
      <c r="BW44" s="9"/>
      <c r="BX44" s="741">
        <v>45016</v>
      </c>
      <c r="BY44" s="289" cm="1">
        <f t="array" ref="BY44">_xll.d.Dates_Act365(BX43,BX44)</f>
        <v>0.24931506849315069</v>
      </c>
      <c r="BZ44" s="623" t="e">
        <v>#VALUE!</v>
      </c>
      <c r="CA44" s="743" t="e">
        <f ca="1"/>
        <v>#VALUE!</v>
      </c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42" t="s">
        <v>28</v>
      </c>
      <c r="CT44" s="42">
        <v>0.1</v>
      </c>
      <c r="CU44" s="42" t="b">
        <v>1</v>
      </c>
      <c r="DC44" s="42" t="s">
        <v>28</v>
      </c>
      <c r="DD44" s="42">
        <v>0.1</v>
      </c>
      <c r="DE44" s="42" t="b">
        <v>1</v>
      </c>
      <c r="DN44" s="42" t="s">
        <v>28</v>
      </c>
      <c r="DO44" s="42">
        <v>0.1</v>
      </c>
      <c r="DP44" s="42" t="b">
        <v>1</v>
      </c>
    </row>
    <row r="45" spans="1:120" x14ac:dyDescent="0.25">
      <c r="B45" s="72" t="s">
        <v>208</v>
      </c>
      <c r="C45" s="73" t="s">
        <v>39</v>
      </c>
      <c r="D45" s="74" t="s">
        <v>52</v>
      </c>
      <c r="F45" s="9"/>
      <c r="G45" s="626">
        <v>45537</v>
      </c>
      <c r="H45" s="289" cm="1">
        <f t="array" ref="H45">_xll.d.Dates_Act365(G44,G45)</f>
        <v>0.24931506849315069</v>
      </c>
      <c r="I45" s="623">
        <v>9.9999999999999728E-2</v>
      </c>
      <c r="J45" s="136">
        <f ca="1"/>
        <v>0.80014012161763093</v>
      </c>
      <c r="K45" s="213"/>
      <c r="L45" s="214"/>
      <c r="M45" s="72" t="s">
        <v>208</v>
      </c>
      <c r="N45" s="73" t="s">
        <v>39</v>
      </c>
      <c r="O45" s="74" t="s">
        <v>52</v>
      </c>
      <c r="R45" s="741">
        <v>44134</v>
      </c>
      <c r="S45" s="289" cm="1">
        <f t="array" ref="S45">_xll.d.Dates_Act365(R44,R45)</f>
        <v>0.24931506849315069</v>
      </c>
      <c r="T45" s="623">
        <v>6.2599999999999503E-2</v>
      </c>
      <c r="U45" s="743">
        <f ca="1"/>
        <v>0.95344335694392446</v>
      </c>
      <c r="V45" s="756"/>
      <c r="W45" s="756"/>
      <c r="X45" s="756"/>
      <c r="Y45" s="756"/>
      <c r="Z45" s="756"/>
      <c r="AA45" s="213"/>
      <c r="AB45" s="214"/>
      <c r="AC45" s="793" t="s">
        <v>27</v>
      </c>
      <c r="AD45" s="285">
        <v>7.0999999999999991E-4</v>
      </c>
      <c r="AE45" s="216" t="b">
        <v>1</v>
      </c>
      <c r="AF45" s="455"/>
      <c r="AH45" s="455"/>
      <c r="AI45" s="455"/>
      <c r="AJ45" s="455"/>
      <c r="AK45" s="455"/>
      <c r="AM45" s="799">
        <v>51228</v>
      </c>
      <c r="AN45" s="777">
        <v>0.88718364143951234</v>
      </c>
      <c r="AO45" s="800" cm="1">
        <f t="array" aca="1" ref="AO45" ca="1">_xll.d.Curve_GetDiscountFactors($AE$27,AM45)</f>
        <v>0.88716540900503749</v>
      </c>
      <c r="AP45" s="766" t="str" cm="1">
        <f t="array" aca="1" ref="AP45" ca="1">_xll.d.TestUtils_Equal(AN45,AO45,0.0001)</f>
        <v>Ok</v>
      </c>
      <c r="AQ45" s="213"/>
      <c r="AR45" s="214"/>
      <c r="AS45" s="793" t="s">
        <v>27</v>
      </c>
      <c r="AT45" s="285">
        <v>5.6499999999999996E-3</v>
      </c>
      <c r="AU45" s="216" t="b">
        <v>1</v>
      </c>
      <c r="BC45" s="799">
        <v>51963</v>
      </c>
      <c r="BD45" s="777">
        <v>0.6587292168104727</v>
      </c>
      <c r="BE45" s="800">
        <f ca="1"/>
        <v>0.65884119832617793</v>
      </c>
      <c r="BF45" s="763" t="str" cm="1">
        <f t="array" aca="1" ref="BF45" ca="1">_xll.d.TestUtils_Equal(BD45,BE45,0.001)</f>
        <v>Ok</v>
      </c>
      <c r="BG45" s="64"/>
      <c r="BH45" s="64" t="str">
        <v>5y</v>
      </c>
      <c r="BI45" s="64">
        <v>2.2099999999999998E-2</v>
      </c>
      <c r="BJ45" s="64" t="b">
        <v>1</v>
      </c>
      <c r="BK45" s="64"/>
      <c r="BL45" s="64"/>
      <c r="BM45" s="64"/>
      <c r="BN45" s="64"/>
      <c r="BO45" s="64"/>
      <c r="BP45" s="64"/>
      <c r="BQ45" s="64"/>
      <c r="BR45" s="72" t="s">
        <v>208</v>
      </c>
      <c r="BS45" s="73" t="s">
        <v>39</v>
      </c>
      <c r="BT45" s="74" t="s">
        <v>52</v>
      </c>
      <c r="BV45" s="64"/>
      <c r="BW45" s="9"/>
      <c r="BX45" s="741">
        <v>45107</v>
      </c>
      <c r="BY45" s="289" cm="1">
        <f t="array" ref="BY45">_xll.d.Dates_Act365(BX44,BX45)</f>
        <v>0.24931506849315069</v>
      </c>
      <c r="BZ45" s="623" t="e">
        <v>#VALUE!</v>
      </c>
      <c r="CA45" s="743" t="e">
        <f ca="1"/>
        <v>#VALUE!</v>
      </c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42" t="s">
        <v>29</v>
      </c>
      <c r="CT45" s="42">
        <v>0.1</v>
      </c>
      <c r="CU45" s="42" t="b">
        <v>1</v>
      </c>
      <c r="DC45" s="42" t="s">
        <v>29</v>
      </c>
      <c r="DD45" s="42">
        <v>0.1</v>
      </c>
      <c r="DE45" s="42" t="b">
        <v>1</v>
      </c>
      <c r="DN45" s="42" t="s">
        <v>29</v>
      </c>
      <c r="DO45" s="42">
        <v>0.1</v>
      </c>
      <c r="DP45" s="42" t="b">
        <v>1</v>
      </c>
    </row>
    <row r="46" spans="1:120" x14ac:dyDescent="0.25">
      <c r="B46" s="266" t="s">
        <v>209</v>
      </c>
      <c r="C46" s="257">
        <v>0.1</v>
      </c>
      <c r="D46" s="256" t="b">
        <v>1</v>
      </c>
      <c r="G46" s="626">
        <v>45628</v>
      </c>
      <c r="H46" s="289" cm="1">
        <f t="array" ref="H46">_xll.d.Dates_Act365(G45,G46)</f>
        <v>0.24931506849315069</v>
      </c>
      <c r="I46" s="623">
        <v>9.9999999999999728E-2</v>
      </c>
      <c r="J46" s="136">
        <f ca="1"/>
        <v>0.78067667572957855</v>
      </c>
      <c r="K46" s="213"/>
      <c r="L46" s="214"/>
      <c r="M46" s="266" t="s">
        <v>209</v>
      </c>
      <c r="N46" s="731">
        <v>6.4600000000000005E-2</v>
      </c>
      <c r="O46" s="256" t="b">
        <v>1</v>
      </c>
      <c r="Q46" s="9"/>
      <c r="R46" s="741">
        <v>44225</v>
      </c>
      <c r="S46" s="289" cm="1">
        <f t="array" ref="S46">_xll.d.Dates_Act365(R45,R46)</f>
        <v>0.24931506849315069</v>
      </c>
      <c r="T46" s="623">
        <v>6.2100000000000218E-2</v>
      </c>
      <c r="U46" s="743">
        <f ca="1"/>
        <v>0.93890676510748894</v>
      </c>
      <c r="V46" s="756"/>
      <c r="W46" s="756"/>
      <c r="X46" s="756"/>
      <c r="Y46" s="756"/>
      <c r="Z46" s="756"/>
      <c r="AA46" s="213"/>
      <c r="AB46" s="214"/>
      <c r="AC46" s="793" t="s">
        <v>25</v>
      </c>
      <c r="AD46" s="285">
        <v>6.8000000000000005E-4</v>
      </c>
      <c r="AE46" s="216" t="b">
        <v>1</v>
      </c>
      <c r="AF46" s="455"/>
      <c r="AH46" s="455"/>
      <c r="AI46" s="455"/>
      <c r="AJ46" s="455"/>
      <c r="AK46" s="455"/>
      <c r="AM46" s="799">
        <v>53055</v>
      </c>
      <c r="AN46" s="777">
        <v>0.85641643828217151</v>
      </c>
      <c r="AO46" s="800" cm="1">
        <f t="array" aca="1" ref="AO46" ca="1">_xll.d.Curve_GetDiscountFactors($AE$27,AM46)</f>
        <v>0.85640111401297903</v>
      </c>
      <c r="AP46" s="766" t="str" cm="1">
        <f t="array" aca="1" ref="AP46" ca="1">_xll.d.TestUtils_Equal(AN46,AO46,0.0001)</f>
        <v>Ok</v>
      </c>
      <c r="AQ46" s="213"/>
      <c r="AR46" s="214"/>
      <c r="AS46" s="793" t="s">
        <v>25</v>
      </c>
      <c r="AT46" s="285">
        <v>7.1799999999999998E-3</v>
      </c>
      <c r="AU46" s="216" t="b">
        <v>1</v>
      </c>
      <c r="BC46" s="799">
        <v>53786</v>
      </c>
      <c r="BD46" s="777">
        <v>0.60407419555991859</v>
      </c>
      <c r="BE46" s="800">
        <f ca="1"/>
        <v>0.60416443029590561</v>
      </c>
      <c r="BF46" s="763" t="str" cm="1">
        <f t="array" aca="1" ref="BF46" ca="1">_xll.d.TestUtils_Equal(BD46,BE46,0.001)</f>
        <v>Ok</v>
      </c>
      <c r="BG46" s="64"/>
      <c r="BH46" s="64" t="str">
        <v>7y</v>
      </c>
      <c r="BI46" s="64">
        <v>2.138E-2</v>
      </c>
      <c r="BJ46" s="64" t="b">
        <v>1</v>
      </c>
      <c r="BK46" s="64"/>
      <c r="BL46" s="64"/>
      <c r="BM46" s="64"/>
      <c r="BN46" s="64"/>
      <c r="BO46" s="64"/>
      <c r="BP46" s="64"/>
      <c r="BQ46" s="64"/>
      <c r="BR46" s="266" t="s">
        <v>209</v>
      </c>
      <c r="BS46" s="731">
        <v>1.6659999999999998E-2</v>
      </c>
      <c r="BT46" s="256" t="b">
        <v>1</v>
      </c>
      <c r="BV46" s="64"/>
      <c r="BX46" s="741">
        <v>45198</v>
      </c>
      <c r="BY46" s="289" cm="1">
        <f t="array" ref="BY46">_xll.d.Dates_Act365(BX45,BX46)</f>
        <v>0.24931506849315069</v>
      </c>
      <c r="BZ46" s="623" t="e">
        <v>#VALUE!</v>
      </c>
      <c r="CA46" s="743" t="e">
        <f ca="1"/>
        <v>#VALUE!</v>
      </c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</row>
    <row r="47" spans="1:120" x14ac:dyDescent="0.25">
      <c r="B47" s="267" t="s">
        <v>210</v>
      </c>
      <c r="C47" s="252">
        <v>0.1</v>
      </c>
      <c r="D47" s="253" t="b">
        <v>1</v>
      </c>
      <c r="F47" s="628"/>
      <c r="G47" s="626">
        <v>45719</v>
      </c>
      <c r="H47" s="289" cm="1">
        <f t="array" ref="H47">_xll.d.Dates_Act365(G46,G47)</f>
        <v>0.24931506849315069</v>
      </c>
      <c r="I47" s="623">
        <v>9.9999999999999728E-2</v>
      </c>
      <c r="J47" s="136">
        <f ca="1"/>
        <v>0.76168667907323229</v>
      </c>
      <c r="K47" s="213"/>
      <c r="L47" s="214"/>
      <c r="M47" s="267" t="s">
        <v>210</v>
      </c>
      <c r="N47" s="732">
        <v>6.2600000000000003E-2</v>
      </c>
      <c r="O47" s="253" t="b">
        <v>1</v>
      </c>
      <c r="Q47" s="9"/>
      <c r="R47" s="741">
        <v>44316</v>
      </c>
      <c r="S47" s="289" cm="1">
        <f t="array" ref="S47">_xll.d.Dates_Act365(R46,R47)</f>
        <v>0.24931506849315069</v>
      </c>
      <c r="T47" s="623">
        <v>6.1808445134625675E-2</v>
      </c>
      <c r="U47" s="743">
        <f ca="1"/>
        <v>0.92465799189869102</v>
      </c>
      <c r="V47" s="756"/>
      <c r="W47" s="756"/>
      <c r="X47" s="756"/>
      <c r="Y47" s="756"/>
      <c r="Z47" s="756"/>
      <c r="AA47" s="213"/>
      <c r="AB47" s="214"/>
      <c r="AC47" s="793" t="s">
        <v>624</v>
      </c>
      <c r="AD47" s="285">
        <v>6.7000000000000002E-4</v>
      </c>
      <c r="AE47" s="216" t="b">
        <v>1</v>
      </c>
      <c r="AF47" s="455"/>
      <c r="AH47" s="455"/>
      <c r="AI47" s="455"/>
      <c r="AJ47" s="455"/>
      <c r="AK47" s="455"/>
      <c r="AM47" s="801">
        <v>54882</v>
      </c>
      <c r="AN47" s="802">
        <v>0.82945903335872884</v>
      </c>
      <c r="AO47" s="803" cm="1">
        <f t="array" aca="1" ref="AO47" ca="1">_xll.d.Curve_GetDiscountFactors($AE$27,AM47)</f>
        <v>0.82944410369347776</v>
      </c>
      <c r="AP47" s="766" t="str" cm="1">
        <f t="array" aca="1" ref="AP47" ca="1">_xll.d.TestUtils_Equal(AN47,AO47,0.0001)</f>
        <v>Ok</v>
      </c>
      <c r="AQ47" s="213"/>
      <c r="AR47" s="214"/>
      <c r="AS47" s="793" t="s">
        <v>624</v>
      </c>
      <c r="AT47" s="285">
        <v>8.5599999999999999E-3</v>
      </c>
      <c r="AU47" s="216" t="b">
        <v>1</v>
      </c>
      <c r="BC47" s="801">
        <v>55613</v>
      </c>
      <c r="BD47" s="802">
        <v>0.56044847306900425</v>
      </c>
      <c r="BE47" s="803">
        <f ca="1"/>
        <v>0.56052710527539373</v>
      </c>
      <c r="BF47" s="763" t="str" cm="1">
        <f t="array" aca="1" ref="BF47" ca="1">_xll.d.TestUtils_Equal(BD47,BE47,0.001)</f>
        <v>Ok</v>
      </c>
      <c r="BG47" s="64"/>
      <c r="BH47" s="64" t="str">
        <v>10y</v>
      </c>
      <c r="BI47" s="64">
        <v>2.0969999999999999E-2</v>
      </c>
      <c r="BJ47" s="64" t="b">
        <v>1</v>
      </c>
      <c r="BK47" s="64"/>
      <c r="BL47" s="64"/>
      <c r="BM47" s="64"/>
      <c r="BN47" s="64"/>
      <c r="BO47" s="64"/>
      <c r="BP47" s="64"/>
      <c r="BQ47" s="64"/>
      <c r="BR47" s="267" t="s">
        <v>210</v>
      </c>
      <c r="BS47" s="732">
        <v>2.2985999999999999E-2</v>
      </c>
      <c r="BT47" s="253" t="b">
        <v>1</v>
      </c>
      <c r="BV47" s="64"/>
      <c r="BW47" s="628"/>
      <c r="BX47" s="741">
        <v>45289</v>
      </c>
      <c r="BY47" s="289" cm="1">
        <f t="array" ref="BY47">_xll.d.Dates_Act365(BX46,BX47)</f>
        <v>0.24931506849315069</v>
      </c>
      <c r="BZ47" s="623" t="e">
        <v>#VALUE!</v>
      </c>
      <c r="CA47" s="743" t="e">
        <f ca="1"/>
        <v>#VALUE!</v>
      </c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12" t="s">
        <v>45</v>
      </c>
      <c r="CT47" s="13"/>
      <c r="CU47" s="13"/>
      <c r="DC47" s="12" t="s">
        <v>45</v>
      </c>
      <c r="DD47" s="13"/>
      <c r="DE47" s="13"/>
      <c r="DN47" s="12" t="s">
        <v>45</v>
      </c>
      <c r="DO47" s="13"/>
      <c r="DP47" s="13"/>
    </row>
    <row r="48" spans="1:120" x14ac:dyDescent="0.25">
      <c r="B48" s="268" t="s">
        <v>211</v>
      </c>
      <c r="C48" s="254">
        <v>0.1</v>
      </c>
      <c r="D48" s="255" t="b">
        <v>1</v>
      </c>
      <c r="G48" s="627">
        <v>45810</v>
      </c>
      <c r="H48" s="201" cm="1">
        <f t="array" ref="H48">_xll.d.Dates_Act365(G47,G48)</f>
        <v>0.24931506849315069</v>
      </c>
      <c r="I48" s="624">
        <v>0.10000000000000062</v>
      </c>
      <c r="J48" s="138">
        <f ca="1"/>
        <v>0.74315861497388347</v>
      </c>
      <c r="K48" s="213"/>
      <c r="L48" s="214"/>
      <c r="M48" s="267" t="s">
        <v>211</v>
      </c>
      <c r="N48" s="732">
        <v>6.2100000000000002E-2</v>
      </c>
      <c r="O48" s="253" t="b">
        <v>1</v>
      </c>
      <c r="R48" s="741">
        <v>44407</v>
      </c>
      <c r="S48" s="289" cm="1">
        <f t="array" ref="S48">_xll.d.Dates_Act365(R47,R48)</f>
        <v>0.24931506849315069</v>
      </c>
      <c r="T48" s="623">
        <v>6.2100000000000218E-2</v>
      </c>
      <c r="U48" s="743">
        <f ca="1"/>
        <v>0.91056027364554482</v>
      </c>
      <c r="V48" s="756"/>
      <c r="W48" s="756"/>
      <c r="X48" s="756"/>
      <c r="Y48" s="756"/>
      <c r="Z48" s="756"/>
      <c r="AA48" s="213"/>
      <c r="AB48" s="214"/>
      <c r="AC48" s="793" t="s">
        <v>625</v>
      </c>
      <c r="AD48" s="285">
        <v>6.6E-4</v>
      </c>
      <c r="AE48" s="216" t="b">
        <v>1</v>
      </c>
      <c r="AF48" s="455"/>
      <c r="AH48" s="455"/>
      <c r="AI48" s="455"/>
      <c r="AJ48" s="455"/>
      <c r="AK48" s="455"/>
      <c r="AQ48" s="213"/>
      <c r="AR48" s="214"/>
      <c r="AS48" s="793" t="s">
        <v>625</v>
      </c>
      <c r="AT48" s="285">
        <v>1.0089999999999998E-2</v>
      </c>
      <c r="AU48" s="216" t="b">
        <v>1</v>
      </c>
      <c r="BG48" s="64"/>
      <c r="BH48" s="64" t="str">
        <v>12y</v>
      </c>
      <c r="BI48" s="64">
        <v>2.1000000000000001E-2</v>
      </c>
      <c r="BJ48" s="64" t="b">
        <v>1</v>
      </c>
      <c r="BK48" s="64"/>
      <c r="BL48" s="64"/>
      <c r="BM48" s="64"/>
      <c r="BN48" s="64"/>
      <c r="BO48" s="64"/>
      <c r="BP48" s="64"/>
      <c r="BQ48" s="64"/>
      <c r="BR48" s="267" t="s">
        <v>211</v>
      </c>
      <c r="BS48" s="732">
        <v>2.7650999999999998E-2</v>
      </c>
      <c r="BT48" s="253" t="b">
        <v>1</v>
      </c>
      <c r="BV48" s="64"/>
      <c r="BX48" s="741">
        <v>45380</v>
      </c>
      <c r="BY48" s="289" cm="1">
        <f t="array" ref="BY48">_xll.d.Dates_Act365(BX47,BX48)</f>
        <v>0.24931506849315069</v>
      </c>
      <c r="BZ48" s="623" t="e">
        <v>#VALUE!</v>
      </c>
      <c r="CA48" s="743" t="e">
        <f ca="1"/>
        <v>#VALUE!</v>
      </c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43" t="s">
        <v>38</v>
      </c>
      <c r="CT48" s="44" t="s">
        <v>39</v>
      </c>
      <c r="CU48" s="45" t="s">
        <v>52</v>
      </c>
      <c r="DC48" s="43" t="s">
        <v>38</v>
      </c>
      <c r="DD48" s="44" t="s">
        <v>39</v>
      </c>
      <c r="DE48" s="45" t="s">
        <v>52</v>
      </c>
      <c r="DN48" s="43" t="s">
        <v>38</v>
      </c>
      <c r="DO48" s="44" t="s">
        <v>39</v>
      </c>
      <c r="DP48" s="45" t="s">
        <v>52</v>
      </c>
    </row>
    <row r="49" spans="2:120" x14ac:dyDescent="0.25">
      <c r="K49" s="213"/>
      <c r="L49" s="214"/>
      <c r="M49" s="729" t="s">
        <v>606</v>
      </c>
      <c r="N49" s="732">
        <v>6.1800000000000001E-2</v>
      </c>
      <c r="O49" s="253" t="b">
        <v>1</v>
      </c>
      <c r="Q49" s="628"/>
      <c r="R49" s="741">
        <v>44498</v>
      </c>
      <c r="S49" s="289" cm="1">
        <f t="array" ref="S49">_xll.d.Dates_Act365(R48,R49)</f>
        <v>0.24931506849315069</v>
      </c>
      <c r="T49" s="623">
        <v>6.2599999999999503E-2</v>
      </c>
      <c r="U49" s="743">
        <f ca="1"/>
        <v>0.89656743514945603</v>
      </c>
      <c r="V49" s="756"/>
      <c r="W49" s="756"/>
      <c r="X49" s="756"/>
      <c r="Y49" s="756"/>
      <c r="Z49" s="756"/>
      <c r="AA49" s="213"/>
      <c r="AB49" s="214"/>
      <c r="AC49" s="793" t="s">
        <v>28</v>
      </c>
      <c r="AD49" s="285">
        <v>6.6E-4</v>
      </c>
      <c r="AE49" s="216" t="b">
        <v>1</v>
      </c>
      <c r="AF49" s="455"/>
      <c r="AH49" s="304" t="s">
        <v>575</v>
      </c>
      <c r="AI49" s="305"/>
      <c r="AJ49" s="305"/>
      <c r="AK49" s="306"/>
      <c r="AQ49" s="213"/>
      <c r="AR49" s="214"/>
      <c r="AS49" s="793" t="s">
        <v>28</v>
      </c>
      <c r="AT49" s="285">
        <v>1.1180000000000001E-2</v>
      </c>
      <c r="AU49" s="216" t="b">
        <v>1</v>
      </c>
      <c r="AX49" s="304" t="s">
        <v>575</v>
      </c>
      <c r="AY49" s="305"/>
      <c r="AZ49" s="305"/>
      <c r="BA49" s="306"/>
      <c r="BG49" s="64"/>
      <c r="BH49" s="64" t="str">
        <v>15y</v>
      </c>
      <c r="BI49" s="64">
        <v>2.0959999999999999E-2</v>
      </c>
      <c r="BJ49" s="64" t="b">
        <v>1</v>
      </c>
      <c r="BK49" s="64"/>
      <c r="BL49" s="64"/>
      <c r="BM49" s="64"/>
      <c r="BN49" s="64"/>
      <c r="BO49" s="64"/>
      <c r="BP49" s="64"/>
      <c r="BQ49" s="64"/>
      <c r="BR49" s="729" t="s">
        <v>606</v>
      </c>
      <c r="BS49" s="732">
        <v>3.0550000000000001E-2</v>
      </c>
      <c r="BT49" s="253" t="b">
        <v>1</v>
      </c>
      <c r="BV49" s="64"/>
      <c r="BX49" s="741">
        <v>45471</v>
      </c>
      <c r="BY49" s="289" cm="1">
        <f t="array" ref="BY49">_xll.d.Dates_Act365(BX48,BX49)</f>
        <v>0.24931506849315069</v>
      </c>
      <c r="BZ49" s="623" t="e">
        <v>#VALUE!</v>
      </c>
      <c r="CA49" s="743" t="e">
        <f ca="1"/>
        <v>#VALUE!</v>
      </c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42" t="s">
        <v>62</v>
      </c>
      <c r="CT49" s="42">
        <v>0.1</v>
      </c>
      <c r="CU49" s="42" t="b">
        <v>1</v>
      </c>
      <c r="DC49" s="42" t="s">
        <v>62</v>
      </c>
      <c r="DD49" s="42">
        <v>0.1</v>
      </c>
      <c r="DE49" s="42" t="b">
        <v>1</v>
      </c>
      <c r="DN49" s="42" t="s">
        <v>62</v>
      </c>
      <c r="DO49" s="42">
        <v>0.1</v>
      </c>
      <c r="DP49" s="42" t="b">
        <v>1</v>
      </c>
    </row>
    <row r="50" spans="2:120" x14ac:dyDescent="0.25">
      <c r="B50" s="12" t="s">
        <v>45</v>
      </c>
      <c r="C50" s="27"/>
      <c r="D50" s="13"/>
      <c r="G50" s="304" t="s">
        <v>575</v>
      </c>
      <c r="H50" s="305"/>
      <c r="I50" s="305"/>
      <c r="J50" s="306"/>
      <c r="K50" s="213"/>
      <c r="L50" s="214"/>
      <c r="M50" s="729" t="s">
        <v>607</v>
      </c>
      <c r="N50" s="732">
        <v>6.2100000000000002E-2</v>
      </c>
      <c r="O50" s="253" t="b">
        <v>1</v>
      </c>
      <c r="R50" s="741">
        <v>44592</v>
      </c>
      <c r="S50" s="289" cm="1">
        <f t="array" ref="S50">_xll.d.Dates_Act365(R49,R50)</f>
        <v>0.25753424657534246</v>
      </c>
      <c r="T50" s="623">
        <v>6.3199999999999867E-2</v>
      </c>
      <c r="U50" s="743">
        <f ca="1"/>
        <v>0.88220846515010332</v>
      </c>
      <c r="V50" s="756"/>
      <c r="W50" s="756"/>
      <c r="X50" s="756"/>
      <c r="Y50" s="756"/>
      <c r="Z50" s="756"/>
      <c r="AA50" s="213"/>
      <c r="AB50" s="214"/>
      <c r="AC50" s="793" t="s">
        <v>29</v>
      </c>
      <c r="AD50" s="285">
        <v>6.6E-4</v>
      </c>
      <c r="AE50" s="216" t="b">
        <v>1</v>
      </c>
      <c r="AF50" s="455"/>
      <c r="AH50" s="519" t="s">
        <v>23</v>
      </c>
      <c r="AI50" s="640" t="s">
        <v>81</v>
      </c>
      <c r="AJ50" s="640" t="s">
        <v>82</v>
      </c>
      <c r="AK50" s="641" t="s">
        <v>83</v>
      </c>
      <c r="AQ50" s="213"/>
      <c r="AR50" s="214"/>
      <c r="AS50" s="793" t="s">
        <v>29</v>
      </c>
      <c r="AT50" s="285">
        <v>1.4579999999999999E-2</v>
      </c>
      <c r="AU50" s="216" t="b">
        <v>1</v>
      </c>
      <c r="AX50" s="519" t="s">
        <v>23</v>
      </c>
      <c r="AY50" s="640" t="s">
        <v>81</v>
      </c>
      <c r="AZ50" s="640" t="s">
        <v>82</v>
      </c>
      <c r="BA50" s="641" t="s">
        <v>83</v>
      </c>
      <c r="BG50" s="64"/>
      <c r="BH50" s="64" t="str">
        <v>20y</v>
      </c>
      <c r="BI50" s="64">
        <v>2.0830000000000001E-2</v>
      </c>
      <c r="BJ50" s="64" t="b">
        <v>1</v>
      </c>
      <c r="BK50" s="64"/>
      <c r="BL50" s="64"/>
      <c r="BM50" s="64"/>
      <c r="BN50" s="64"/>
      <c r="BO50" s="64"/>
      <c r="BP50" s="64"/>
      <c r="BQ50" s="64"/>
      <c r="BR50" s="729" t="s">
        <v>607</v>
      </c>
      <c r="BS50" s="732">
        <v>3.1827000000000001E-2</v>
      </c>
      <c r="BT50" s="253" t="b">
        <v>1</v>
      </c>
      <c r="BV50" s="64"/>
      <c r="BX50" s="741">
        <v>45565</v>
      </c>
      <c r="BY50" s="289" cm="1">
        <f t="array" ref="BY50">_xll.d.Dates_Act365(BX49,BX50)</f>
        <v>0.25753424657534246</v>
      </c>
      <c r="BZ50" s="623" t="e">
        <v>#VALUE!</v>
      </c>
      <c r="CA50" s="743" t="e">
        <f ca="1"/>
        <v>#VALUE!</v>
      </c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42" t="s">
        <v>68</v>
      </c>
      <c r="CT50" s="42">
        <v>0.1</v>
      </c>
      <c r="CU50" s="42" t="b">
        <v>1</v>
      </c>
      <c r="DC50" s="42" t="s">
        <v>68</v>
      </c>
      <c r="DD50" s="42">
        <v>0.1</v>
      </c>
      <c r="DE50" s="42" t="b">
        <v>1</v>
      </c>
      <c r="DN50" s="42" t="s">
        <v>68</v>
      </c>
      <c r="DO50" s="42">
        <v>0.1</v>
      </c>
      <c r="DP50" s="42" t="b">
        <v>1</v>
      </c>
    </row>
    <row r="51" spans="2:120" x14ac:dyDescent="0.25">
      <c r="B51" s="72" t="s">
        <v>38</v>
      </c>
      <c r="C51" s="73" t="s">
        <v>39</v>
      </c>
      <c r="D51" s="74" t="s">
        <v>52</v>
      </c>
      <c r="G51" s="519" t="s">
        <v>23</v>
      </c>
      <c r="H51" s="640" t="s">
        <v>81</v>
      </c>
      <c r="I51" s="640" t="s">
        <v>82</v>
      </c>
      <c r="J51" s="641" t="s">
        <v>83</v>
      </c>
      <c r="K51" s="213"/>
      <c r="L51" s="214"/>
      <c r="M51" s="729" t="s">
        <v>608</v>
      </c>
      <c r="N51" s="732">
        <v>6.2600000000000003E-2</v>
      </c>
      <c r="O51" s="253" t="b">
        <v>1</v>
      </c>
      <c r="R51" s="741">
        <v>44680</v>
      </c>
      <c r="S51" s="289" cm="1">
        <f t="array" ref="S51">_xll.d.Dates_Act365(R50,R51)</f>
        <v>0.24109589041095891</v>
      </c>
      <c r="T51" s="623">
        <v>6.5646944639983829E-2</v>
      </c>
      <c r="U51" s="743">
        <f ca="1"/>
        <v>0.8684631182417003</v>
      </c>
      <c r="V51" s="756"/>
      <c r="W51" s="756"/>
      <c r="X51" s="756"/>
      <c r="Y51" s="756"/>
      <c r="Z51" s="756"/>
      <c r="AA51" s="213"/>
      <c r="AB51" s="214"/>
      <c r="AC51" s="793" t="s">
        <v>611</v>
      </c>
      <c r="AD51" s="285">
        <v>6.9000000000000008E-4</v>
      </c>
      <c r="AE51" s="216" t="b">
        <v>1</v>
      </c>
      <c r="AF51" s="455"/>
      <c r="AH51" s="642" t="s">
        <v>61</v>
      </c>
      <c r="AI51" s="752">
        <f ca="1">SUMPRODUCT(AI37,AJ37,AK37)/SUMPRODUCT(AI37,AK37)</f>
        <v>6.900000000000854E-4</v>
      </c>
      <c r="AJ51" s="752">
        <f>AD51</f>
        <v>6.9000000000000008E-4</v>
      </c>
      <c r="AK51" s="205" t="str" cm="1">
        <f t="array" aca="1" ref="AK51" ca="1">_xll.d.TestUtils_Equal(AI51,AJ51,0.00001)</f>
        <v>Ok</v>
      </c>
      <c r="AL51" s="791"/>
      <c r="AQ51" s="213"/>
      <c r="AR51" s="214"/>
      <c r="AS51" s="793" t="s">
        <v>611</v>
      </c>
      <c r="AT51" s="285">
        <v>1.7310000000000002E-2</v>
      </c>
      <c r="AU51" s="216" t="b">
        <v>1</v>
      </c>
      <c r="AX51" s="642" t="s">
        <v>61</v>
      </c>
      <c r="AY51" s="752">
        <f ca="1">SUMPRODUCT(AY37,AZ37,BA37)/SUMPRODUCT(AY37,BA37)</f>
        <v>1.7310000000000013E-2</v>
      </c>
      <c r="AZ51" s="752">
        <f>AT51</f>
        <v>1.7310000000000002E-2</v>
      </c>
      <c r="BA51" s="205" t="str" cm="1">
        <f t="array" aca="1" ref="BA51" ca="1">_xll.d.TestUtils_Equal(AY51,AZ51,0.00001)</f>
        <v>Ok</v>
      </c>
      <c r="BB51" s="791"/>
      <c r="BG51" s="64"/>
      <c r="BH51" s="64" t="str">
        <v>25y</v>
      </c>
      <c r="BI51" s="64">
        <v>2.0250000000000001E-2</v>
      </c>
      <c r="BJ51" s="64" t="b">
        <v>1</v>
      </c>
      <c r="BK51" s="64"/>
      <c r="BL51" s="64"/>
      <c r="BM51" s="64"/>
      <c r="BN51" s="64"/>
      <c r="BO51" s="64"/>
      <c r="BP51" s="64"/>
      <c r="BQ51" s="64"/>
      <c r="BR51" s="729" t="s">
        <v>608</v>
      </c>
      <c r="BS51" s="732">
        <v>3.1489999999999997E-2</v>
      </c>
      <c r="BT51" s="253" t="b">
        <v>1</v>
      </c>
      <c r="BV51" s="64"/>
      <c r="BX51" s="741">
        <v>45657</v>
      </c>
      <c r="BY51" s="289" cm="1">
        <f t="array" ref="BY51">_xll.d.Dates_Act365(BX50,BX51)</f>
        <v>0.25205479452054796</v>
      </c>
      <c r="BZ51" s="623" t="e">
        <v>#VALUE!</v>
      </c>
      <c r="CA51" s="743" t="e">
        <f ca="1"/>
        <v>#VALUE!</v>
      </c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</row>
    <row r="52" spans="2:120" x14ac:dyDescent="0.25">
      <c r="B52" s="226" t="s">
        <v>62</v>
      </c>
      <c r="C52" s="232">
        <v>0.1</v>
      </c>
      <c r="D52" s="227" t="b">
        <v>1</v>
      </c>
      <c r="G52" s="642" t="s">
        <v>62</v>
      </c>
      <c r="H52" s="204">
        <f ca="1">SUMPRODUCT(H37:H44,I37:I44,J37:J44)/SUMPRODUCT(H37:H44,J37:J44)</f>
        <v>9.9999999999999936E-2</v>
      </c>
      <c r="I52" s="204">
        <f>C52</f>
        <v>0.1</v>
      </c>
      <c r="J52" s="205" t="str" cm="1">
        <f t="array" aca="1" ref="J52" ca="1">_xll.d.TestUtils_Equal(H52,I52,0.00001)</f>
        <v>Ok</v>
      </c>
      <c r="K52" s="213"/>
      <c r="L52" s="214"/>
      <c r="M52" s="730" t="s">
        <v>609</v>
      </c>
      <c r="N52" s="733">
        <v>6.3200000000000006E-2</v>
      </c>
      <c r="O52" s="255" t="b">
        <v>1</v>
      </c>
      <c r="R52" s="741">
        <v>44771</v>
      </c>
      <c r="S52" s="289" cm="1">
        <f t="array" ref="S52">_xll.d.Dates_Act365(R51,R52)</f>
        <v>0.24931506849315069</v>
      </c>
      <c r="T52" s="623">
        <v>6.5664565447257517E-2</v>
      </c>
      <c r="U52" s="743">
        <f ca="1"/>
        <v>0.85447437669251913</v>
      </c>
      <c r="V52" s="756"/>
      <c r="W52" s="756"/>
      <c r="X52" s="756"/>
      <c r="Y52" s="756"/>
      <c r="Z52" s="756"/>
      <c r="AA52" s="213"/>
      <c r="AB52" s="214"/>
      <c r="AC52" s="793" t="s">
        <v>614</v>
      </c>
      <c r="AD52" s="285">
        <v>7.9000000000000001E-4</v>
      </c>
      <c r="AE52" s="216" t="b">
        <v>1</v>
      </c>
      <c r="AF52" s="455"/>
      <c r="AH52" s="759" t="s">
        <v>62</v>
      </c>
      <c r="AI52" s="760">
        <f t="array" aca="1" ref="AI52" ca="1">SUMPRODUCT(AI37:AI38,AJ37:AJ38,AK37:AK38)/SUMPRODUCT(AI37:AI38,AK37:AK38)</f>
        <v>8.2999999999999459E-4</v>
      </c>
      <c r="AJ52" s="760">
        <f>AD53</f>
        <v>8.3000000000000001E-4</v>
      </c>
      <c r="AK52" s="702" t="str" cm="1">
        <f t="array" aca="1" ref="AK52" ca="1">_xll.d.TestUtils_Equal(AI52,AJ52,0.00001)</f>
        <v>Ok</v>
      </c>
      <c r="AL52" s="791"/>
      <c r="AQ52" s="213"/>
      <c r="AR52" s="214"/>
      <c r="AS52" s="793" t="s">
        <v>614</v>
      </c>
      <c r="AT52" s="285">
        <v>2.0879999999999999E-2</v>
      </c>
      <c r="AU52" s="216" t="b">
        <v>1</v>
      </c>
      <c r="AX52" s="759" t="s">
        <v>62</v>
      </c>
      <c r="AY52" s="760">
        <f t="array" aca="1" ref="AY52" ca="1">SUMPRODUCT(AY37:AY38,AZ37:AZ38,BA37:BA38)/SUMPRODUCT(AY37:AY38,BA37:BA38)</f>
        <v>2.3050000000000015E-2</v>
      </c>
      <c r="AZ52" s="760">
        <f>AT53</f>
        <v>2.3050000000000001E-2</v>
      </c>
      <c r="BA52" s="702" t="str" cm="1">
        <f t="array" aca="1" ref="BA52" ca="1">_xll.d.TestUtils_Equal(AY52,AZ52,0.00001)</f>
        <v>Ok</v>
      </c>
      <c r="BB52" s="791"/>
      <c r="BG52" s="64"/>
      <c r="BH52" s="64" t="str">
        <v>30y</v>
      </c>
      <c r="BI52" s="64">
        <v>1.9550000000000001E-2</v>
      </c>
      <c r="BJ52" s="64" t="b">
        <v>1</v>
      </c>
      <c r="BK52" s="64"/>
      <c r="BL52" s="64"/>
      <c r="BM52" s="64"/>
      <c r="BN52" s="64"/>
      <c r="BO52" s="64"/>
      <c r="BP52" s="64"/>
      <c r="BQ52" s="64"/>
      <c r="BR52" s="730"/>
      <c r="BS52" s="733"/>
      <c r="BT52" s="255"/>
      <c r="BV52" s="64"/>
      <c r="BX52" s="741">
        <v>45747</v>
      </c>
      <c r="BY52" s="289" cm="1">
        <f t="array" ref="BY52">_xll.d.Dates_Act365(BX51,BX52)</f>
        <v>0.24657534246575341</v>
      </c>
      <c r="BZ52" s="623" t="e">
        <v>#VALUE!</v>
      </c>
      <c r="CA52" s="743" t="e">
        <f ca="1"/>
        <v>#VALUE!</v>
      </c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</row>
    <row r="53" spans="2:120" x14ac:dyDescent="0.25">
      <c r="B53" s="228" t="s">
        <v>68</v>
      </c>
      <c r="C53" s="234">
        <v>0.1</v>
      </c>
      <c r="D53" s="229" t="b">
        <v>1</v>
      </c>
      <c r="G53" s="643" t="s">
        <v>68</v>
      </c>
      <c r="H53" s="644">
        <f ca="1">SUMPRODUCT(H37:H48,I37:I48,J37:J48)/SUMPRODUCT(H37:H48,J37:J48)</f>
        <v>9.9999999999999964E-2</v>
      </c>
      <c r="I53" s="644">
        <f>C53</f>
        <v>0.1</v>
      </c>
      <c r="J53" s="208" t="str" cm="1">
        <f t="array" aca="1" ref="J53" ca="1">_xll.d.TestUtils_Equal(H53,I53,0.00001)</f>
        <v>Ok</v>
      </c>
      <c r="K53" s="213"/>
      <c r="L53" s="214"/>
      <c r="M53" s="726"/>
      <c r="N53" s="727"/>
      <c r="O53" s="728"/>
      <c r="R53" s="741">
        <v>44865</v>
      </c>
      <c r="S53" s="289" cm="1">
        <f t="array" ref="S53">_xll.d.Dates_Act365(R52,R53)</f>
        <v>0.25753424657534246</v>
      </c>
      <c r="T53" s="623">
        <v>6.5682192552889401E-2</v>
      </c>
      <c r="U53" s="743">
        <f ca="1"/>
        <v>0.84026101379913332</v>
      </c>
      <c r="V53" s="756"/>
      <c r="W53" s="756"/>
      <c r="X53" s="756"/>
      <c r="Y53" s="756"/>
      <c r="Z53" s="756"/>
      <c r="AA53" s="213"/>
      <c r="AB53" s="214"/>
      <c r="AC53" s="793" t="s">
        <v>62</v>
      </c>
      <c r="AD53" s="285">
        <v>8.3000000000000001E-4</v>
      </c>
      <c r="AE53" s="216" t="b">
        <v>1</v>
      </c>
      <c r="AF53" s="455"/>
      <c r="AH53" s="761" t="s">
        <v>68</v>
      </c>
      <c r="AI53" s="760">
        <f ca="1">SUMPRODUCT(AI37:AI39,AJ37:AJ39,AK37:AK39)/SUMPRODUCT(AI37:AI39,AK37:AK39)</f>
        <v>1.1599999999999759E-3</v>
      </c>
      <c r="AJ53" s="762">
        <f>AD54</f>
        <v>1.16E-3</v>
      </c>
      <c r="AK53" s="702" t="str" cm="1">
        <f t="array" aca="1" ref="AK53" ca="1">_xll.d.TestUtils_Equal(AI53,AJ53,0.00001)</f>
        <v>Ok</v>
      </c>
      <c r="AL53" s="791"/>
      <c r="AQ53" s="213"/>
      <c r="AR53" s="214"/>
      <c r="AS53" s="793" t="s">
        <v>62</v>
      </c>
      <c r="AT53" s="285">
        <v>2.3050000000000001E-2</v>
      </c>
      <c r="AU53" s="216" t="b">
        <v>1</v>
      </c>
      <c r="AX53" s="761" t="s">
        <v>68</v>
      </c>
      <c r="AY53" s="760">
        <f ca="1">SUMPRODUCT(AY37:AY39,AZ37:AZ39,BA37:BA39)/SUMPRODUCT(AY37:AY39,BA37:BA39)</f>
        <v>2.3449999999999988E-2</v>
      </c>
      <c r="AZ53" s="762">
        <f>AT54</f>
        <v>2.3450000000000002E-2</v>
      </c>
      <c r="BA53" s="702" t="str" cm="1">
        <f t="array" aca="1" ref="BA53" ca="1">_xll.d.TestUtils_Equal(AY53,AZ53,0.00001)</f>
        <v>Ok</v>
      </c>
      <c r="BB53" s="791"/>
      <c r="BG53" s="64"/>
      <c r="BH53" s="64" t="str">
        <v/>
      </c>
      <c r="BI53" s="64" t="str">
        <v/>
      </c>
      <c r="BJ53" s="64" t="str">
        <v/>
      </c>
      <c r="BK53" s="64"/>
      <c r="BL53" s="64"/>
      <c r="BM53" s="64"/>
      <c r="BN53" s="64"/>
      <c r="BO53" s="64"/>
      <c r="BP53" s="64"/>
      <c r="BQ53" s="64"/>
      <c r="BR53" s="726"/>
      <c r="BS53" s="727"/>
      <c r="BT53" s="728"/>
      <c r="BV53" s="64"/>
      <c r="BX53" s="741">
        <v>45838</v>
      </c>
      <c r="BY53" s="289" cm="1">
        <f t="array" ref="BY53">_xll.d.Dates_Act365(BX52,BX53)</f>
        <v>0.24931506849315069</v>
      </c>
      <c r="BZ53" s="623" t="e">
        <v>#VALUE!</v>
      </c>
      <c r="CA53" s="743" t="e">
        <f ca="1"/>
        <v>#VALUE!</v>
      </c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</row>
    <row r="54" spans="2:120" x14ac:dyDescent="0.25">
      <c r="K54" s="213"/>
      <c r="L54" s="214"/>
      <c r="M54" s="12" t="s">
        <v>45</v>
      </c>
      <c r="N54" s="27"/>
      <c r="O54" s="13"/>
      <c r="R54" s="741">
        <v>44957</v>
      </c>
      <c r="S54" s="289" cm="1">
        <f t="array" ref="S54">_xll.d.Dates_Act365(R53,R54)</f>
        <v>0.25205479452054796</v>
      </c>
      <c r="T54" s="623">
        <v>6.5670440449192277E-2</v>
      </c>
      <c r="U54" s="743">
        <f ca="1"/>
        <v>0.8265790236982723</v>
      </c>
      <c r="V54" s="756"/>
      <c r="W54" s="756"/>
      <c r="X54" s="756"/>
      <c r="Y54" s="756"/>
      <c r="Z54" s="756"/>
      <c r="AA54" s="213"/>
      <c r="AB54" s="214"/>
      <c r="AC54" s="793" t="s">
        <v>68</v>
      </c>
      <c r="AD54" s="285">
        <v>1.16E-3</v>
      </c>
      <c r="AE54" s="216" t="b">
        <v>1</v>
      </c>
      <c r="AF54" s="455"/>
      <c r="AH54" s="759" t="s">
        <v>610</v>
      </c>
      <c r="AI54" s="760">
        <f ca="1">SUMPRODUCT(AI$37:AI40,AJ$37:AJ40,AK$37:AK40)/SUMPRODUCT(AI$37:AI40,AK$37:AK40)</f>
        <v>1.5999999999999936E-3</v>
      </c>
      <c r="AJ54" s="760">
        <f>AD55</f>
        <v>1.6000000000000001E-3</v>
      </c>
      <c r="AK54" s="702" t="str" cm="1">
        <f t="array" aca="1" ref="AK54" ca="1">_xll.d.TestUtils_Equal(AI54,AJ54,0.00001)</f>
        <v>Ok</v>
      </c>
      <c r="AL54" s="791"/>
      <c r="AQ54" s="213"/>
      <c r="AR54" s="214"/>
      <c r="AS54" s="793" t="s">
        <v>68</v>
      </c>
      <c r="AT54" s="285">
        <v>2.3450000000000002E-2</v>
      </c>
      <c r="AU54" s="216" t="b">
        <v>1</v>
      </c>
      <c r="AX54" s="759" t="s">
        <v>610</v>
      </c>
      <c r="AY54" s="760">
        <f ca="1">SUMPRODUCT(AY$37:AY40,AZ$37:AZ40,BA$37:BA40)/SUMPRODUCT(AY$37:AY40,BA$37:BA40)</f>
        <v>2.285000000000003E-2</v>
      </c>
      <c r="AZ54" s="760">
        <f>AT55</f>
        <v>2.2850000000000002E-2</v>
      </c>
      <c r="BA54" s="702" t="str" cm="1">
        <f t="array" aca="1" ref="BA54" ca="1">_xll.d.TestUtils_Equal(AY54,AZ54,0.00001)</f>
        <v>Ok</v>
      </c>
      <c r="BB54" s="791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12" t="s">
        <v>45</v>
      </c>
      <c r="BS54" s="27"/>
      <c r="BT54" s="13"/>
      <c r="BV54" s="64"/>
      <c r="BX54" s="741">
        <v>45930</v>
      </c>
      <c r="BY54" s="289" cm="1">
        <f t="array" ref="BY54">_xll.d.Dates_Act365(BX53,BX54)</f>
        <v>0.25205479452054796</v>
      </c>
      <c r="BZ54" s="623" t="e">
        <v>#VALUE!</v>
      </c>
      <c r="CA54" s="743" t="e">
        <f ca="1"/>
        <v>#VALUE!</v>
      </c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</row>
    <row r="55" spans="2:120" x14ac:dyDescent="0.25">
      <c r="G55" t="s">
        <v>229</v>
      </c>
      <c r="K55" s="213"/>
      <c r="L55" s="214"/>
      <c r="M55" s="72" t="s">
        <v>38</v>
      </c>
      <c r="N55" s="73" t="s">
        <v>39</v>
      </c>
      <c r="O55" s="74" t="s">
        <v>52</v>
      </c>
      <c r="R55" s="741">
        <v>45044</v>
      </c>
      <c r="S55" s="289" cm="1">
        <f t="array" ref="S55">_xll.d.Dates_Act365(R54,R55)</f>
        <v>0.23835616438356164</v>
      </c>
      <c r="T55" s="623">
        <v>6.9627409251721714E-2</v>
      </c>
      <c r="U55" s="743">
        <f ca="1"/>
        <v>0.81308496623541449</v>
      </c>
      <c r="V55" s="756"/>
      <c r="W55" s="756"/>
      <c r="X55" s="756"/>
      <c r="Y55" s="756"/>
      <c r="Z55" s="756"/>
      <c r="AA55" s="213"/>
      <c r="AB55" s="214"/>
      <c r="AC55" s="793" t="s">
        <v>610</v>
      </c>
      <c r="AD55" s="285">
        <v>1.6000000000000001E-3</v>
      </c>
      <c r="AE55" s="216" t="b">
        <v>1</v>
      </c>
      <c r="AF55" s="455"/>
      <c r="AH55" s="761" t="s">
        <v>617</v>
      </c>
      <c r="AI55" s="760">
        <f ca="1">SUMPRODUCT(AI$37:AI41,AJ$37:AJ41,AK$37:AK41)/SUMPRODUCT(AI$37:AI41,AK$37:AK41)</f>
        <v>2.1299999999999843E-3</v>
      </c>
      <c r="AJ55" s="762">
        <f>AD56</f>
        <v>2.1299999999999999E-3</v>
      </c>
      <c r="AK55" s="702" t="str" cm="1">
        <f t="array" aca="1" ref="AK55" ca="1">_xll.d.TestUtils_Equal(AI55,AJ55,0.00001)</f>
        <v>Ok</v>
      </c>
      <c r="AL55" s="791"/>
      <c r="AQ55" s="213"/>
      <c r="AR55" s="214"/>
      <c r="AS55" s="793" t="s">
        <v>610</v>
      </c>
      <c r="AT55" s="285">
        <v>2.2850000000000002E-2</v>
      </c>
      <c r="AU55" s="216" t="b">
        <v>1</v>
      </c>
      <c r="AX55" s="761" t="s">
        <v>617</v>
      </c>
      <c r="AY55" s="760">
        <f ca="1">SUMPRODUCT(AY$37:AY41,AZ$37:AZ41,BA$37:BA41)/SUMPRODUCT(AY$37:AY41,BA$37:BA41)</f>
        <v>2.2099999999999988E-2</v>
      </c>
      <c r="AZ55" s="762">
        <f>AT56</f>
        <v>2.2099999999999998E-2</v>
      </c>
      <c r="BA55" s="702" t="str" cm="1">
        <f t="array" aca="1" ref="BA55" ca="1">_xll.d.TestUtils_Equal(AY55,AZ55,0.00001)</f>
        <v>Ok</v>
      </c>
      <c r="BB55" s="791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72" t="s">
        <v>38</v>
      </c>
      <c r="BS55" s="73" t="s">
        <v>39</v>
      </c>
      <c r="BT55" s="74" t="s">
        <v>52</v>
      </c>
      <c r="BV55" s="64"/>
      <c r="BX55" s="741">
        <v>46022</v>
      </c>
      <c r="BY55" s="289" cm="1">
        <f t="array" ref="BY55">_xll.d.Dates_Act365(BX54,BX55)</f>
        <v>0.25205479452054796</v>
      </c>
      <c r="BZ55" s="623" t="e">
        <v>#VALUE!</v>
      </c>
      <c r="CA55" s="743" t="e">
        <f ca="1"/>
        <v>#VALUE!</v>
      </c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</row>
    <row r="56" spans="2:120" x14ac:dyDescent="0.25">
      <c r="G56" s="278" t="s">
        <v>228</v>
      </c>
      <c r="K56" s="213"/>
      <c r="L56" s="214"/>
      <c r="M56" s="734" t="s">
        <v>68</v>
      </c>
      <c r="N56" s="735">
        <v>6.3899999999999998E-2</v>
      </c>
      <c r="O56" s="227" t="b">
        <v>1</v>
      </c>
      <c r="R56" s="741">
        <v>45138</v>
      </c>
      <c r="S56" s="289" cm="1">
        <f t="array" ref="S56">_xll.d.Dates_Act365(R55,R56)</f>
        <v>0.25753424657534246</v>
      </c>
      <c r="T56" s="623">
        <v>6.9673662080722773E-2</v>
      </c>
      <c r="U56" s="743">
        <f ca="1"/>
        <v>0.79875266436428716</v>
      </c>
      <c r="V56" s="756"/>
      <c r="W56" s="756"/>
      <c r="X56" s="756"/>
      <c r="Y56" s="756"/>
      <c r="Z56" s="756"/>
      <c r="AA56" s="213"/>
      <c r="AB56" s="214"/>
      <c r="AC56" s="793" t="s">
        <v>617</v>
      </c>
      <c r="AD56" s="285">
        <v>2.1299999999999999E-3</v>
      </c>
      <c r="AE56" s="216" t="b">
        <v>1</v>
      </c>
      <c r="AF56" s="455"/>
      <c r="AH56" s="643" t="s">
        <v>619</v>
      </c>
      <c r="AI56" s="753">
        <f ca="1">SUMPRODUCT(AI$37:AI43,AJ$37:AJ43,AK$37:AK43)/SUMPRODUCT(AI$37:AI43,AK$37:AK43)</f>
        <v>3.1399999999999957E-3</v>
      </c>
      <c r="AJ56" s="753">
        <f>AD57</f>
        <v>3.14E-3</v>
      </c>
      <c r="AK56" s="208" t="str" cm="1">
        <f t="array" aca="1" ref="AK56" ca="1">_xll.d.TestUtils_Equal(AI56,AJ56,0.00001)</f>
        <v>Ok</v>
      </c>
      <c r="AL56" s="791"/>
      <c r="AQ56" s="213"/>
      <c r="AR56" s="214"/>
      <c r="AS56" s="793" t="s">
        <v>617</v>
      </c>
      <c r="AT56" s="285">
        <v>2.2099999999999998E-2</v>
      </c>
      <c r="AU56" s="216" t="b">
        <v>1</v>
      </c>
      <c r="AX56" s="643" t="s">
        <v>619</v>
      </c>
      <c r="AY56" s="753">
        <f ca="1">SUMPRODUCT(AY$37:AY43,AZ$37:AZ43,BA$37:BA43)/SUMPRODUCT(AY$37:AY43,BA$37:BA43)</f>
        <v>2.1380000000000024E-2</v>
      </c>
      <c r="AZ56" s="753">
        <f>AT57</f>
        <v>2.138E-2</v>
      </c>
      <c r="BA56" s="208" t="str" cm="1">
        <f t="array" aca="1" ref="BA56" ca="1">_xll.d.TestUtils_Equal(AY56,AZ56,0.00001)</f>
        <v>Ok</v>
      </c>
      <c r="BB56" s="791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836" t="s">
        <v>62</v>
      </c>
      <c r="BS56" s="735">
        <v>2.5665E-2</v>
      </c>
      <c r="BT56" s="227" t="b">
        <v>1</v>
      </c>
      <c r="BV56" s="64"/>
      <c r="BX56" s="741">
        <v>46112</v>
      </c>
      <c r="BY56" s="289" cm="1">
        <f t="array" ref="BY56">_xll.d.Dates_Act365(BX55,BX56)</f>
        <v>0.24657534246575341</v>
      </c>
      <c r="BZ56" s="623" t="e">
        <v>#VALUE!</v>
      </c>
      <c r="CA56" s="743" t="e">
        <f ca="1"/>
        <v>#VALUE!</v>
      </c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</row>
    <row r="57" spans="2:120" x14ac:dyDescent="0.25">
      <c r="K57" s="213"/>
      <c r="L57" s="214"/>
      <c r="M57" s="729" t="s">
        <v>610</v>
      </c>
      <c r="N57" s="724">
        <v>6.5199999999999994E-2</v>
      </c>
      <c r="O57" s="231" t="b">
        <v>1</v>
      </c>
      <c r="R57" s="741">
        <v>45230</v>
      </c>
      <c r="S57" s="289" cm="1">
        <f t="array" ref="S57">_xll.d.Dates_Act365(R56,R57)</f>
        <v>0.25205479452054796</v>
      </c>
      <c r="T57" s="623">
        <v>6.9660442813451517E-2</v>
      </c>
      <c r="U57" s="743">
        <f ca="1"/>
        <v>0.78496996654844531</v>
      </c>
      <c r="V57" s="756"/>
      <c r="W57" s="756"/>
      <c r="X57" s="756"/>
      <c r="Y57" s="756"/>
      <c r="Z57" s="756"/>
      <c r="AA57" s="213"/>
      <c r="AB57" s="214"/>
      <c r="AC57" s="793" t="s">
        <v>619</v>
      </c>
      <c r="AD57" s="285">
        <v>3.14E-3</v>
      </c>
      <c r="AE57" s="216" t="b">
        <v>1</v>
      </c>
      <c r="AF57" s="455"/>
      <c r="AH57" s="455"/>
      <c r="AI57" s="455"/>
      <c r="AJ57" s="455"/>
      <c r="AK57" s="455"/>
      <c r="AQ57" s="213"/>
      <c r="AR57" s="214"/>
      <c r="AS57" s="793" t="s">
        <v>619</v>
      </c>
      <c r="AT57" s="285">
        <v>2.138E-2</v>
      </c>
      <c r="AU57" s="216" t="b">
        <v>1</v>
      </c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837" t="s">
        <v>68</v>
      </c>
      <c r="BS57" s="724">
        <v>2.656E-2</v>
      </c>
      <c r="BT57" s="231" t="b">
        <v>1</v>
      </c>
      <c r="BV57" s="64"/>
      <c r="BX57" s="741">
        <v>46203</v>
      </c>
      <c r="BY57" s="289" cm="1">
        <f t="array" ref="BY57">_xll.d.Dates_Act365(BX56,BX57)</f>
        <v>0.24931506849315069</v>
      </c>
      <c r="BZ57" s="623" t="e">
        <v>#VALUE!</v>
      </c>
      <c r="CA57" s="743" t="e">
        <f ca="1"/>
        <v>#VALUE!</v>
      </c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</row>
    <row r="58" spans="2:120" x14ac:dyDescent="0.25">
      <c r="K58" s="213"/>
      <c r="L58" s="214"/>
      <c r="M58" s="757" t="s">
        <v>617</v>
      </c>
      <c r="N58" s="724">
        <v>6.6600000000000006E-2</v>
      </c>
      <c r="O58" s="231" t="b">
        <v>1</v>
      </c>
      <c r="R58" s="741">
        <v>45322</v>
      </c>
      <c r="S58" s="289" cm="1">
        <f t="array" ref="S58">_xll.d.Dates_Act365(R57,R58)</f>
        <v>0.25205479452054796</v>
      </c>
      <c r="T58" s="623">
        <v>6.9660442813451517E-2</v>
      </c>
      <c r="U58" s="743">
        <f ca="1"/>
        <v>0.77142509298979567</v>
      </c>
      <c r="V58" s="756"/>
      <c r="W58" s="756"/>
      <c r="X58" s="756"/>
      <c r="Y58" s="756"/>
      <c r="Z58" s="756"/>
      <c r="AA58" s="213"/>
      <c r="AB58" s="214"/>
      <c r="AC58" s="793" t="s">
        <v>626</v>
      </c>
      <c r="AD58" s="285">
        <v>4.3299999999999996E-3</v>
      </c>
      <c r="AE58" s="216" t="b">
        <v>1</v>
      </c>
      <c r="AF58" s="455"/>
      <c r="AH58" s="308" t="s">
        <v>229</v>
      </c>
      <c r="AI58" s="455"/>
      <c r="AJ58" s="455"/>
      <c r="AK58" s="455"/>
      <c r="AQ58" s="213"/>
      <c r="AR58" s="214"/>
      <c r="AS58" s="793" t="s">
        <v>626</v>
      </c>
      <c r="AT58" s="285">
        <v>2.0969999999999999E-2</v>
      </c>
      <c r="AU58" s="216" t="b">
        <v>1</v>
      </c>
      <c r="AX58" s="308" t="s">
        <v>229</v>
      </c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837" t="s">
        <v>610</v>
      </c>
      <c r="BS58" s="724">
        <v>2.5990000000000003E-2</v>
      </c>
      <c r="BT58" s="231" t="b">
        <v>1</v>
      </c>
      <c r="BV58" s="64"/>
      <c r="BX58" s="741">
        <v>46295</v>
      </c>
      <c r="BY58" s="289" cm="1">
        <f t="array" ref="BY58">_xll.d.Dates_Act365(BX57,BX58)</f>
        <v>0.25205479452054796</v>
      </c>
      <c r="BZ58" s="623" t="e">
        <v>#VALUE!</v>
      </c>
      <c r="CA58" s="743" t="e">
        <f ca="1"/>
        <v>#VALUE!</v>
      </c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</row>
    <row r="59" spans="2:120" ht="15.75" x14ac:dyDescent="0.25">
      <c r="B59" s="4" t="s">
        <v>660</v>
      </c>
      <c r="C59" s="4"/>
      <c r="D59" s="4"/>
      <c r="E59" s="4"/>
      <c r="F59" s="4"/>
      <c r="G59" s="4"/>
      <c r="H59" s="4"/>
      <c r="I59" s="4"/>
      <c r="J59" s="4"/>
      <c r="K59" s="213"/>
      <c r="L59" s="214"/>
      <c r="M59" s="757" t="s">
        <v>618</v>
      </c>
      <c r="N59" s="724">
        <v>6.83E-2</v>
      </c>
      <c r="O59" s="231" t="b">
        <v>1</v>
      </c>
      <c r="R59" s="741">
        <v>45412</v>
      </c>
      <c r="S59" s="289" cm="1">
        <f t="array" ref="S59">_xll.d.Dates_Act365(R58,R59)</f>
        <v>0.24657534246575341</v>
      </c>
      <c r="T59" s="623">
        <v>7.3227894012978037E-2</v>
      </c>
      <c r="U59" s="743">
        <f ca="1"/>
        <v>0.75774313663669324</v>
      </c>
      <c r="V59" s="756"/>
      <c r="W59" s="756"/>
      <c r="X59" s="756"/>
      <c r="Y59" s="756"/>
      <c r="Z59" s="756"/>
      <c r="AA59" s="213"/>
      <c r="AB59" s="214"/>
      <c r="AC59" s="793" t="s">
        <v>627</v>
      </c>
      <c r="AD59" s="285">
        <v>4.8799999999999998E-3</v>
      </c>
      <c r="AE59" s="216" t="b">
        <v>1</v>
      </c>
      <c r="AF59" s="455"/>
      <c r="AH59" s="278" t="s">
        <v>228</v>
      </c>
      <c r="AI59" s="455"/>
      <c r="AJ59" s="455"/>
      <c r="AK59" s="455"/>
      <c r="AQ59" s="213"/>
      <c r="AR59" s="214"/>
      <c r="AS59" s="793" t="s">
        <v>627</v>
      </c>
      <c r="AT59" s="285">
        <v>2.1000000000000001E-2</v>
      </c>
      <c r="AU59" s="216" t="b">
        <v>1</v>
      </c>
      <c r="AX59" s="278" t="s">
        <v>228</v>
      </c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837" t="s">
        <v>617</v>
      </c>
      <c r="BS59" s="724">
        <v>2.5137E-2</v>
      </c>
      <c r="BT59" s="231" t="b">
        <v>1</v>
      </c>
      <c r="BV59" s="64"/>
      <c r="BX59" s="741">
        <v>46387</v>
      </c>
      <c r="BY59" s="289" cm="1">
        <f t="array" ref="BY59">_xll.d.Dates_Act365(BX58,BX59)</f>
        <v>0.25205479452054796</v>
      </c>
      <c r="BZ59" s="623" t="e">
        <v>#VALUE!</v>
      </c>
      <c r="CA59" s="743" t="e">
        <f ca="1"/>
        <v>#VALUE!</v>
      </c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</row>
    <row r="60" spans="2:120" x14ac:dyDescent="0.25">
      <c r="C60" s="174"/>
      <c r="K60" s="213"/>
      <c r="L60" s="214"/>
      <c r="M60" s="757" t="s">
        <v>619</v>
      </c>
      <c r="N60" s="724">
        <v>6.9900000000000004E-2</v>
      </c>
      <c r="O60" s="231" t="b">
        <v>1</v>
      </c>
      <c r="R60" s="741">
        <v>45504</v>
      </c>
      <c r="S60" s="289" cm="1">
        <f t="array" ref="S60">_xll.d.Dates_Act365(R59,R60)</f>
        <v>0.25205479452054796</v>
      </c>
      <c r="T60" s="623">
        <v>7.3242499618522236E-2</v>
      </c>
      <c r="U60" s="743">
        <f ca="1"/>
        <v>0.7440079148649078</v>
      </c>
      <c r="V60" s="756"/>
      <c r="W60" s="756"/>
      <c r="X60" s="756"/>
      <c r="Y60" s="756"/>
      <c r="Z60" s="756"/>
      <c r="AA60" s="213"/>
      <c r="AB60" s="214"/>
      <c r="AC60" s="793" t="s">
        <v>628</v>
      </c>
      <c r="AD60" s="285">
        <v>5.3300000000000005E-3</v>
      </c>
      <c r="AE60" s="216" t="b">
        <v>1</v>
      </c>
      <c r="AF60" s="455"/>
      <c r="AH60" s="455"/>
      <c r="AI60" s="455"/>
      <c r="AJ60" s="455"/>
      <c r="AK60" s="455"/>
      <c r="AQ60" s="213"/>
      <c r="AR60" s="214"/>
      <c r="AS60" s="793" t="s">
        <v>628</v>
      </c>
      <c r="AT60" s="285">
        <v>2.0959999999999999E-2</v>
      </c>
      <c r="AU60" s="216" t="b">
        <v>1</v>
      </c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837" t="s">
        <v>618</v>
      </c>
      <c r="BS60" s="724">
        <v>2.4760000000000001E-2</v>
      </c>
      <c r="BT60" s="231" t="b">
        <v>1</v>
      </c>
      <c r="BV60" s="64"/>
      <c r="BX60" s="741">
        <v>46477</v>
      </c>
      <c r="BY60" s="289" cm="1">
        <f t="array" ref="BY60">_xll.d.Dates_Act365(BX59,BX60)</f>
        <v>0.24657534246575341</v>
      </c>
      <c r="BZ60" s="623" t="e">
        <v>#VALUE!</v>
      </c>
      <c r="CA60" s="743" t="e">
        <f ca="1"/>
        <v>#VALUE!</v>
      </c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</row>
    <row r="61" spans="2:120" x14ac:dyDescent="0.25">
      <c r="B61" s="59" t="s">
        <v>122</v>
      </c>
      <c r="C61" s="174" t="str" cm="1">
        <f t="array" ref="C61">_xll.d.TestUtils_And(H64:J79)</f>
        <v>Ok</v>
      </c>
      <c r="D61" s="455"/>
      <c r="E61" s="455"/>
      <c r="F61" s="455"/>
      <c r="G61" s="455"/>
      <c r="H61" s="455"/>
      <c r="K61" s="213"/>
      <c r="L61" s="214"/>
      <c r="M61" s="758" t="s">
        <v>620</v>
      </c>
      <c r="N61" s="736">
        <v>7.17E-2</v>
      </c>
      <c r="O61" s="229" t="b">
        <v>1</v>
      </c>
      <c r="R61" s="741">
        <v>45596</v>
      </c>
      <c r="S61" s="289" cm="1">
        <f t="array" ref="S61">_xll.d.Dates_Act365(R60,R61)</f>
        <v>0.25205479452054796</v>
      </c>
      <c r="T61" s="623">
        <v>7.3242499618522236E-2</v>
      </c>
      <c r="U61" s="743">
        <f ca="1"/>
        <v>0.73052166442390531</v>
      </c>
      <c r="V61" s="756"/>
      <c r="W61" s="756"/>
      <c r="X61" s="756"/>
      <c r="Y61" s="756"/>
      <c r="Z61" s="756"/>
      <c r="AA61" s="213"/>
      <c r="AB61" s="214"/>
      <c r="AC61" s="793" t="s">
        <v>629</v>
      </c>
      <c r="AD61" s="285">
        <v>5.8499999999999993E-3</v>
      </c>
      <c r="AE61" s="216" t="b">
        <v>1</v>
      </c>
      <c r="AF61" s="455"/>
      <c r="AH61" s="455"/>
      <c r="AI61" s="455"/>
      <c r="AJ61" s="455"/>
      <c r="AK61" s="455"/>
      <c r="AQ61" s="213"/>
      <c r="AR61" s="214"/>
      <c r="AS61" s="793" t="s">
        <v>629</v>
      </c>
      <c r="AT61" s="285">
        <v>2.0830000000000001E-2</v>
      </c>
      <c r="AU61" s="216" t="b">
        <v>1</v>
      </c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837" t="s">
        <v>619</v>
      </c>
      <c r="BS61" s="724">
        <v>2.4512999999999997E-2</v>
      </c>
      <c r="BT61" s="231" t="b">
        <v>1</v>
      </c>
      <c r="BV61" s="64"/>
      <c r="BX61" s="741">
        <v>46568</v>
      </c>
      <c r="BY61" s="289" cm="1">
        <f t="array" ref="BY61">_xll.d.Dates_Act365(BX60,BX61)</f>
        <v>0.24931506849315069</v>
      </c>
      <c r="BZ61" s="623" t="e">
        <v>#VALUE!</v>
      </c>
      <c r="CA61" s="743" t="e">
        <f ca="1"/>
        <v>#VALUE!</v>
      </c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</row>
    <row r="62" spans="2:120" x14ac:dyDescent="0.25">
      <c r="B62" s="455"/>
      <c r="C62" s="455"/>
      <c r="D62" s="455"/>
      <c r="E62" s="455"/>
      <c r="F62" s="455"/>
      <c r="G62" s="455"/>
      <c r="H62" s="455"/>
      <c r="K62" s="213"/>
      <c r="L62" s="214"/>
      <c r="R62" s="741">
        <v>45688</v>
      </c>
      <c r="S62" s="289" cm="1">
        <f t="array" ref="S62">_xll.d.Dates_Act365(R61,R62)</f>
        <v>0.25205479452054796</v>
      </c>
      <c r="T62" s="623">
        <v>7.3242499618522236E-2</v>
      </c>
      <c r="U62" s="743">
        <f ca="1"/>
        <v>0.71727987233787949</v>
      </c>
      <c r="V62" s="756"/>
      <c r="W62" s="756"/>
      <c r="X62" s="756"/>
      <c r="Y62" s="756"/>
      <c r="Z62" s="756"/>
      <c r="AA62" s="213"/>
      <c r="AB62" s="214"/>
      <c r="AC62" s="793" t="s">
        <v>630</v>
      </c>
      <c r="AD62" s="285">
        <v>6.0599999999999994E-3</v>
      </c>
      <c r="AE62" s="216" t="b">
        <v>1</v>
      </c>
      <c r="AF62" s="455"/>
      <c r="AG62" s="455"/>
      <c r="AH62" s="455"/>
      <c r="AI62" s="455"/>
      <c r="AJ62" s="455"/>
      <c r="AK62" s="455"/>
      <c r="AQ62" s="213"/>
      <c r="AR62" s="214"/>
      <c r="AS62" s="793" t="s">
        <v>630</v>
      </c>
      <c r="AT62" s="285">
        <v>2.0250000000000001E-2</v>
      </c>
      <c r="AU62" s="216" t="b">
        <v>1</v>
      </c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837" t="s">
        <v>620</v>
      </c>
      <c r="BS62" s="724">
        <v>2.4540000000000003E-2</v>
      </c>
      <c r="BT62" s="231" t="b">
        <v>1</v>
      </c>
      <c r="BV62" s="64"/>
      <c r="BX62" s="741">
        <v>46660</v>
      </c>
      <c r="BY62" s="289" cm="1">
        <f t="array" ref="BY62">_xll.d.Dates_Act365(BX61,BX62)</f>
        <v>0.25205479452054796</v>
      </c>
      <c r="BZ62" s="623" t="e">
        <v>#VALUE!</v>
      </c>
      <c r="CA62" s="743" t="e">
        <f ca="1"/>
        <v>#VALUE!</v>
      </c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</row>
    <row r="63" spans="2:120" x14ac:dyDescent="0.25">
      <c r="B63" s="12" t="s">
        <v>81</v>
      </c>
      <c r="C63" s="27"/>
      <c r="D63" s="13"/>
      <c r="E63" s="12" t="s">
        <v>82</v>
      </c>
      <c r="F63" s="27"/>
      <c r="G63" s="13"/>
      <c r="H63" s="12" t="s">
        <v>204</v>
      </c>
      <c r="I63" s="27"/>
      <c r="J63" s="13"/>
      <c r="K63" s="213"/>
      <c r="L63" s="214"/>
      <c r="R63" s="741">
        <v>45777</v>
      </c>
      <c r="S63" s="289" cm="1">
        <f t="array" ref="S63">_xll.d.Dates_Act365(R62,R63)</f>
        <v>0.24383561643835616</v>
      </c>
      <c r="T63" s="623">
        <v>7.8872625681942893E-2</v>
      </c>
      <c r="U63" s="743">
        <f ca="1"/>
        <v>0.70374547089671624</v>
      </c>
      <c r="V63" s="756"/>
      <c r="W63" s="756"/>
      <c r="X63" s="756"/>
      <c r="Y63" s="756"/>
      <c r="Z63" s="756"/>
      <c r="AA63" s="213"/>
      <c r="AB63" s="214"/>
      <c r="AC63" s="794" t="s">
        <v>631</v>
      </c>
      <c r="AD63" s="286">
        <v>6.0999999999999995E-3</v>
      </c>
      <c r="AE63" s="217" t="b">
        <v>1</v>
      </c>
      <c r="AF63" s="455"/>
      <c r="AG63" s="455"/>
      <c r="AH63" s="455"/>
      <c r="AI63" s="455"/>
      <c r="AJ63" s="455"/>
      <c r="AK63" s="455"/>
      <c r="AQ63" s="213"/>
      <c r="AR63" s="214"/>
      <c r="AS63" s="794" t="s">
        <v>631</v>
      </c>
      <c r="AT63" s="286">
        <v>1.9550000000000001E-2</v>
      </c>
      <c r="AU63" s="217" t="b">
        <v>1</v>
      </c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837" t="s">
        <v>657</v>
      </c>
      <c r="BS63" s="724">
        <v>2.4089999999999997E-2</v>
      </c>
      <c r="BT63" s="231" t="b">
        <v>1</v>
      </c>
      <c r="BU63" s="64"/>
      <c r="BV63" s="64"/>
      <c r="BX63" s="741">
        <v>46751</v>
      </c>
      <c r="BY63" s="289" cm="1">
        <f t="array" ref="BY63">_xll.d.Dates_Act365(BX62,BX63)</f>
        <v>0.24931506849315069</v>
      </c>
      <c r="BZ63" s="623" t="e">
        <v>#VALUE!</v>
      </c>
      <c r="CA63" s="743" t="e">
        <f ca="1"/>
        <v>#VALUE!</v>
      </c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</row>
    <row r="64" spans="2:120" x14ac:dyDescent="0.25">
      <c r="B64" t="str" cm="1">
        <f t="array" ref="B64:D80">_xll.d.Curve_GetInstruments(D27)</f>
        <v>Deposits</v>
      </c>
      <c r="C64" t="str">
        <v/>
      </c>
      <c r="D64" t="str">
        <v/>
      </c>
      <c r="E64" t="str">
        <f t="shared" ref="E64:E79" si="0">IF(B38&lt;&gt;"",B38,"")</f>
        <v>Deposits</v>
      </c>
      <c r="F64" s="455" t="str">
        <f t="shared" ref="F64:F79" si="1">IF(C38&lt;&gt;"",C38,"")</f>
        <v/>
      </c>
      <c r="G64" s="455" t="str">
        <f t="shared" ref="G64:G79" si="2">IF(D38&lt;&gt;"",D38,"")</f>
        <v/>
      </c>
      <c r="H64" s="174" t="str" cm="1">
        <f t="array" ref="H64">_xll.d.TestUtils_Equal(B64,E64)</f>
        <v>Ok</v>
      </c>
      <c r="I64" s="174" t="str" cm="1">
        <f t="array" ref="I64">_xll.d.TestUtils_Equal(C64,F64)</f>
        <v>Ok</v>
      </c>
      <c r="J64" s="174" t="str" cm="1">
        <f t="array" ref="J64">_xll.d.TestUtils_Equal(D64,G64)</f>
        <v>Ok</v>
      </c>
      <c r="K64" s="213"/>
      <c r="L64" s="214"/>
      <c r="R64" s="741">
        <v>45869</v>
      </c>
      <c r="S64" s="289" cm="1">
        <f t="array" ref="S64">_xll.d.Dates_Act365(R63,R64)</f>
        <v>0.25205479452054796</v>
      </c>
      <c r="T64" s="623">
        <v>7.8898034102186321E-2</v>
      </c>
      <c r="U64" s="743">
        <f ca="1"/>
        <v>0.69002323565405865</v>
      </c>
      <c r="V64" s="756"/>
      <c r="W64" s="756"/>
      <c r="X64" s="756"/>
      <c r="Y64" s="756"/>
      <c r="Z64" s="756"/>
      <c r="AA64" s="213"/>
      <c r="AB64" s="214"/>
      <c r="AC64" s="1"/>
      <c r="AG64" s="455"/>
      <c r="AH64" s="455"/>
      <c r="AI64" s="455"/>
      <c r="AJ64" s="455"/>
      <c r="AK64" s="455"/>
      <c r="AQ64" s="213"/>
      <c r="AR64" s="214"/>
      <c r="AS64" s="1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837" t="s">
        <v>626</v>
      </c>
      <c r="BS64" s="724">
        <v>2.3950999999999997E-2</v>
      </c>
      <c r="BT64" s="231" t="b">
        <v>1</v>
      </c>
      <c r="BU64" s="64"/>
      <c r="BV64" s="64"/>
      <c r="BX64" s="741">
        <v>46843</v>
      </c>
      <c r="BY64" s="289" cm="1">
        <f t="array" ref="BY64">_xll.d.Dates_Act365(BX63,BX64)</f>
        <v>0.25205479452054796</v>
      </c>
      <c r="BZ64" s="623" t="e">
        <v>#VALUE!</v>
      </c>
      <c r="CA64" s="743" t="e">
        <f ca="1"/>
        <v>#VALUE!</v>
      </c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</row>
    <row r="65" spans="2:96" x14ac:dyDescent="0.25">
      <c r="B65" t="str">
        <v>Tenors</v>
      </c>
      <c r="C65" t="str">
        <v>Rates</v>
      </c>
      <c r="D65" t="str">
        <v>Include</v>
      </c>
      <c r="E65" s="455" t="str">
        <f t="shared" si="0"/>
        <v>Tenors</v>
      </c>
      <c r="F65" s="455" t="str">
        <f t="shared" si="1"/>
        <v>Rates</v>
      </c>
      <c r="G65" s="455" t="str">
        <f t="shared" si="2"/>
        <v>Include</v>
      </c>
      <c r="H65" s="174" t="str" cm="1">
        <f t="array" ref="H65">_xll.d.TestUtils_Equal(B65,E65)</f>
        <v>Ok</v>
      </c>
      <c r="I65" s="174" t="str" cm="1">
        <f t="array" ref="I65">_xll.d.TestUtils_Equal(C65,F65)</f>
        <v>Ok</v>
      </c>
      <c r="J65" s="174" t="str" cm="1">
        <f t="array" ref="J65">_xll.d.TestUtils_Equal(D65,G65)</f>
        <v>Ok</v>
      </c>
      <c r="K65" s="213"/>
      <c r="L65" s="214"/>
      <c r="R65" s="741">
        <v>45961</v>
      </c>
      <c r="S65" s="289" cm="1">
        <f t="array" ref="S65">_xll.d.Dates_Act365(R64,R65)</f>
        <v>0.25205479452054796</v>
      </c>
      <c r="T65" s="623">
        <v>7.8898034102187209E-2</v>
      </c>
      <c r="U65" s="743">
        <f ca="1"/>
        <v>0.67656856837146884</v>
      </c>
      <c r="V65" s="756"/>
      <c r="W65" s="756"/>
      <c r="X65" s="756"/>
      <c r="Y65" s="756"/>
      <c r="Z65" s="756"/>
      <c r="AA65" s="213"/>
      <c r="AB65" s="214"/>
      <c r="AC65" s="1"/>
      <c r="AG65" s="455"/>
      <c r="AQ65" s="213"/>
      <c r="AR65" s="214"/>
      <c r="AS65" s="1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837" t="s">
        <v>627</v>
      </c>
      <c r="BS65" s="724">
        <v>2.4050999999999999E-2</v>
      </c>
      <c r="BT65" s="231" t="b">
        <v>1</v>
      </c>
      <c r="BU65" s="64"/>
      <c r="BV65" s="64"/>
      <c r="BX65" s="741">
        <v>46934</v>
      </c>
      <c r="BY65" s="289" cm="1">
        <f t="array" ref="BY65">_xll.d.Dates_Act365(BX64,BX65)</f>
        <v>0.24931506849315069</v>
      </c>
      <c r="BZ65" s="623" t="e">
        <v>#VALUE!</v>
      </c>
      <c r="CA65" s="743" t="e">
        <f ca="1"/>
        <v>#VALUE!</v>
      </c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</row>
    <row r="66" spans="2:96" x14ac:dyDescent="0.25">
      <c r="B66" t="str">
        <v>1m</v>
      </c>
      <c r="C66" s="858">
        <v>0.1</v>
      </c>
      <c r="D66" t="b">
        <v>1</v>
      </c>
      <c r="E66" s="455" t="str">
        <f t="shared" si="0"/>
        <v>1m</v>
      </c>
      <c r="F66" s="455">
        <f t="shared" si="1"/>
        <v>0.1</v>
      </c>
      <c r="G66" s="455" t="b">
        <f t="shared" si="2"/>
        <v>1</v>
      </c>
      <c r="H66" s="174" t="str" cm="1">
        <f t="array" ref="H66">_xll.d.TestUtils_Equal(B66,E66)</f>
        <v>Ok</v>
      </c>
      <c r="I66" s="174" t="str" cm="1">
        <f t="array" ref="I66">_xll.d.TestUtils_Equal(C66,F66)</f>
        <v>Ok</v>
      </c>
      <c r="J66" s="174" t="str" cm="1">
        <f t="array" ref="J66">_xll.d.TestUtils_Equal(D66,G66)</f>
        <v>Ok</v>
      </c>
      <c r="K66" s="213"/>
      <c r="L66" s="214"/>
      <c r="R66" s="741">
        <v>46052</v>
      </c>
      <c r="S66" s="289" cm="1">
        <f t="array" ref="S66">_xll.d.Dates_Act365(R65,R66)</f>
        <v>0.24931506849315069</v>
      </c>
      <c r="T66" s="623">
        <v>7.8889563418266861E-2</v>
      </c>
      <c r="U66" s="743">
        <f ca="1"/>
        <v>0.66351825452710678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837" t="s">
        <v>628</v>
      </c>
      <c r="BS66" s="724">
        <v>2.4262499999999999E-2</v>
      </c>
      <c r="BT66" s="231" t="b">
        <v>1</v>
      </c>
      <c r="BU66" s="64"/>
      <c r="BV66" s="64"/>
      <c r="BX66" s="741">
        <v>47025</v>
      </c>
      <c r="BY66" s="289" cm="1">
        <f t="array" ref="BY66">_xll.d.Dates_Act365(BX65,BX66)</f>
        <v>0.24931506849315069</v>
      </c>
      <c r="BZ66" s="623" t="e">
        <v>#VALUE!</v>
      </c>
      <c r="CA66" s="743" t="e">
        <f ca="1"/>
        <v>#VALUE!</v>
      </c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</row>
    <row r="67" spans="2:96" x14ac:dyDescent="0.25">
      <c r="B67" t="str">
        <v>2m</v>
      </c>
      <c r="C67" s="858">
        <v>0.1</v>
      </c>
      <c r="D67" t="b">
        <v>1</v>
      </c>
      <c r="E67" s="455" t="str">
        <f t="shared" si="0"/>
        <v>2m</v>
      </c>
      <c r="F67" s="455">
        <f t="shared" si="1"/>
        <v>0.1</v>
      </c>
      <c r="G67" s="455" t="b">
        <f t="shared" si="2"/>
        <v>1</v>
      </c>
      <c r="H67" s="174" t="str" cm="1">
        <f t="array" ref="H67">_xll.d.TestUtils_Equal(B67,E67)</f>
        <v>Ok</v>
      </c>
      <c r="I67" s="174" t="str" cm="1">
        <f t="array" ref="I67">_xll.d.TestUtils_Equal(C67,F67)</f>
        <v>Ok</v>
      </c>
      <c r="J67" s="174" t="str" cm="1">
        <f t="array" ref="J67">_xll.d.TestUtils_Equal(D67,G67)</f>
        <v>Ok</v>
      </c>
      <c r="K67" s="213"/>
      <c r="L67" s="214"/>
      <c r="R67" s="741">
        <v>46142</v>
      </c>
      <c r="S67" s="289" cm="1">
        <f t="array" ref="S67">_xll.d.Dates_Act365(R66,R67)</f>
        <v>0.24657534246575341</v>
      </c>
      <c r="T67" s="623">
        <v>8.242141632233177E-2</v>
      </c>
      <c r="U67" s="743">
        <f ca="1"/>
        <v>0.65030210695898072</v>
      </c>
      <c r="V67" s="756"/>
      <c r="W67" s="756"/>
      <c r="X67" s="756"/>
      <c r="Y67" s="756"/>
      <c r="Z67" s="756"/>
      <c r="AA67" s="213"/>
      <c r="AB67" s="214"/>
      <c r="AG67" s="455"/>
      <c r="AQ67" s="213"/>
      <c r="AR67" s="21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837" t="s">
        <v>629</v>
      </c>
      <c r="BS67" s="724">
        <v>2.3692999999999999E-2</v>
      </c>
      <c r="BT67" s="231" t="b">
        <v>1</v>
      </c>
      <c r="BU67" s="64"/>
      <c r="BV67" s="64"/>
      <c r="BX67" s="741">
        <v>47116</v>
      </c>
      <c r="BY67" s="289" cm="1">
        <f t="array" ref="BY67">_xll.d.Dates_Act365(BX66,BX67)</f>
        <v>0.24931506849315069</v>
      </c>
      <c r="BZ67" s="623" t="e">
        <v>#VALUE!</v>
      </c>
      <c r="CA67" s="743" t="e">
        <f ca="1"/>
        <v>#VALUE!</v>
      </c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</row>
    <row r="68" spans="2:96" x14ac:dyDescent="0.25">
      <c r="B68" s="10" t="str">
        <v>3m</v>
      </c>
      <c r="C68" s="858">
        <v>0.1</v>
      </c>
      <c r="D68" t="b">
        <v>1</v>
      </c>
      <c r="E68" s="455" t="str">
        <f t="shared" si="0"/>
        <v>3m</v>
      </c>
      <c r="F68" s="455">
        <f t="shared" si="1"/>
        <v>0.1</v>
      </c>
      <c r="G68" s="455" t="b">
        <f t="shared" si="2"/>
        <v>1</v>
      </c>
      <c r="H68" s="174" t="str" cm="1">
        <f t="array" ref="H68">_xll.d.TestUtils_Equal(B68,E68)</f>
        <v>Ok</v>
      </c>
      <c r="I68" s="174" t="str" cm="1">
        <f t="array" ref="I68">_xll.d.TestUtils_Equal(C68,F68)</f>
        <v>Ok</v>
      </c>
      <c r="J68" s="174" t="str" cm="1">
        <f t="array" ref="J68">_xll.d.TestUtils_Equal(D68,G68)</f>
        <v>Ok</v>
      </c>
      <c r="K68" s="213"/>
      <c r="L68" s="214"/>
      <c r="R68" s="741">
        <v>46234</v>
      </c>
      <c r="S68" s="289" cm="1">
        <f t="array" ref="S68">_xll.d.Dates_Act365(R67,R68)</f>
        <v>0.25205479452054796</v>
      </c>
      <c r="T68" s="623">
        <v>8.2439906018475229E-2</v>
      </c>
      <c r="U68" s="743">
        <f ca="1"/>
        <v>0.63706430967891448</v>
      </c>
      <c r="V68" s="756"/>
      <c r="W68" s="756"/>
      <c r="X68" s="756"/>
      <c r="Y68" s="756"/>
      <c r="Z68" s="756"/>
      <c r="AA68" s="213"/>
      <c r="AB68" s="214"/>
      <c r="AG68" s="455"/>
      <c r="AQ68" s="213"/>
      <c r="AR68" s="21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837" t="s">
        <v>630</v>
      </c>
      <c r="BS68" s="724">
        <v>2.3399999999999997E-2</v>
      </c>
      <c r="BT68" s="231" t="b">
        <v>1</v>
      </c>
      <c r="BU68" s="64"/>
      <c r="BV68" s="64"/>
      <c r="BX68" s="741">
        <v>47207</v>
      </c>
      <c r="BY68" s="289" cm="1">
        <f t="array" ref="BY68">_xll.d.Dates_Act365(BX67,BX68)</f>
        <v>0.24931506849315069</v>
      </c>
      <c r="BZ68" s="623" t="e">
        <v>#VALUE!</v>
      </c>
      <c r="CA68" s="743" t="e">
        <f ca="1"/>
        <v>#VALUE!</v>
      </c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</row>
    <row r="69" spans="2:96" x14ac:dyDescent="0.25">
      <c r="B69" t="str">
        <v/>
      </c>
      <c r="C69" t="str">
        <v/>
      </c>
      <c r="D69" t="str">
        <v/>
      </c>
      <c r="E69" s="455" t="str">
        <f t="shared" si="0"/>
        <v/>
      </c>
      <c r="F69" s="455" t="str">
        <f t="shared" si="1"/>
        <v/>
      </c>
      <c r="G69" s="455" t="str">
        <f t="shared" si="2"/>
        <v/>
      </c>
      <c r="H69" s="174" t="str" cm="1">
        <f t="array" ref="H69">_xll.d.TestUtils_Equal(B69,E69)</f>
        <v>Ok</v>
      </c>
      <c r="I69" s="174" t="str" cm="1">
        <f t="array" ref="I69">_xll.d.TestUtils_Equal(C69,F69)</f>
        <v>Ok</v>
      </c>
      <c r="J69" s="174" t="str" cm="1">
        <f t="array" ref="J69">_xll.d.TestUtils_Equal(D69,G69)</f>
        <v>Ok</v>
      </c>
      <c r="K69" s="213"/>
      <c r="R69" s="741">
        <v>46325</v>
      </c>
      <c r="S69" s="289" cm="1">
        <f t="array" ref="S69">_xll.d.Dates_Act365(R68,R69)</f>
        <v>0.24931506849315069</v>
      </c>
      <c r="T69" s="623">
        <v>8.2430660480347487E-2</v>
      </c>
      <c r="U69" s="743">
        <f ca="1"/>
        <v>0.62423551712160508</v>
      </c>
      <c r="V69" s="756"/>
      <c r="W69" s="756"/>
      <c r="X69" s="756"/>
      <c r="Y69" s="756"/>
      <c r="Z69" s="756"/>
      <c r="AA69" s="213"/>
      <c r="AG69" s="455"/>
      <c r="AQ69" s="213"/>
      <c r="AR69" s="21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837" t="s">
        <v>631</v>
      </c>
      <c r="BS69" s="724">
        <v>2.2423999999999999E-2</v>
      </c>
      <c r="BT69" s="231" t="b">
        <v>1</v>
      </c>
      <c r="BU69" s="64"/>
      <c r="BV69" s="64"/>
      <c r="BX69" s="741">
        <v>47298</v>
      </c>
      <c r="BY69" s="289" cm="1">
        <f t="array" ref="BY69">_xll.d.Dates_Act365(BX68,BX69)</f>
        <v>0.24931506849315069</v>
      </c>
      <c r="BZ69" s="623" t="e">
        <v>#VALUE!</v>
      </c>
      <c r="CA69" s="743" t="e">
        <f ca="1"/>
        <v>#VALUE!</v>
      </c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</row>
    <row r="70" spans="2:96" x14ac:dyDescent="0.25">
      <c r="B70" t="str">
        <v>FRAs</v>
      </c>
      <c r="C70" t="str">
        <v/>
      </c>
      <c r="D70" t="str">
        <v/>
      </c>
      <c r="E70" s="455" t="str">
        <f t="shared" si="0"/>
        <v>FRAs</v>
      </c>
      <c r="F70" s="455" t="str">
        <f t="shared" si="1"/>
        <v/>
      </c>
      <c r="G70" s="455" t="str">
        <f t="shared" si="2"/>
        <v/>
      </c>
      <c r="H70" s="174" t="str" cm="1">
        <f t="array" ref="H70">_xll.d.TestUtils_Equal(B70,E70)</f>
        <v>Ok</v>
      </c>
      <c r="I70" s="174" t="str" cm="1">
        <f t="array" ref="I70">_xll.d.TestUtils_Equal(C70,F70)</f>
        <v>Ok</v>
      </c>
      <c r="J70" s="174" t="str" cm="1">
        <f t="array" ref="J70">_xll.d.TestUtils_Equal(D70,G70)</f>
        <v>Ok</v>
      </c>
      <c r="K70" s="213"/>
      <c r="L70" s="455"/>
      <c r="R70" s="741">
        <v>46416</v>
      </c>
      <c r="S70" s="289" cm="1">
        <f t="array" ref="S70">_xll.d.Dates_Act365(R69,R70)</f>
        <v>0.24931506849315069</v>
      </c>
      <c r="T70" s="623">
        <v>8.2430660480348375E-2</v>
      </c>
      <c r="U70" s="743">
        <f ca="1"/>
        <v>0.61166506256248221</v>
      </c>
      <c r="V70" s="756"/>
      <c r="W70" s="756"/>
      <c r="X70" s="756"/>
      <c r="Y70" s="756"/>
      <c r="Z70" s="756"/>
      <c r="AA70" s="213"/>
      <c r="AG70" s="455"/>
      <c r="AQ70" s="213"/>
      <c r="AR70" s="21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838" t="s">
        <v>658</v>
      </c>
      <c r="BS70" s="736">
        <v>2.1080000000000002E-2</v>
      </c>
      <c r="BT70" s="229" t="b">
        <v>1</v>
      </c>
      <c r="BU70" s="64"/>
      <c r="BV70" s="64"/>
      <c r="BX70" s="741">
        <v>47389</v>
      </c>
      <c r="BY70" s="289" cm="1">
        <f t="array" ref="BY70">_xll.d.Dates_Act365(BX69,BX70)</f>
        <v>0.24931506849315069</v>
      </c>
      <c r="BZ70" s="623" t="e">
        <v>#VALUE!</v>
      </c>
      <c r="CA70" s="743" t="e">
        <f ca="1"/>
        <v>#VALUE!</v>
      </c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</row>
    <row r="71" spans="2:96" x14ac:dyDescent="0.25">
      <c r="B71" s="10" t="str">
        <v>FraTenors</v>
      </c>
      <c r="C71" t="str">
        <v>Rates</v>
      </c>
      <c r="D71" t="str">
        <v>Include</v>
      </c>
      <c r="E71" s="455" t="str">
        <f t="shared" si="0"/>
        <v>FraTenors</v>
      </c>
      <c r="F71" s="455" t="str">
        <f t="shared" si="1"/>
        <v>Rates</v>
      </c>
      <c r="G71" s="455" t="str">
        <f t="shared" si="2"/>
        <v>Include</v>
      </c>
      <c r="H71" s="174" t="str" cm="1">
        <f t="array" ref="H71">_xll.d.TestUtils_Equal(B71,E71)</f>
        <v>Ok</v>
      </c>
      <c r="I71" s="174" t="str" cm="1">
        <f t="array" ref="I71">_xll.d.TestUtils_Equal(C71,F71)</f>
        <v>Ok</v>
      </c>
      <c r="J71" s="174" t="str" cm="1">
        <f t="array" ref="J71">_xll.d.TestUtils_Equal(D71,G71)</f>
        <v>Ok</v>
      </c>
      <c r="K71" s="213"/>
      <c r="L71" s="455"/>
      <c r="R71" s="741">
        <v>46507</v>
      </c>
      <c r="S71" s="289" cm="1">
        <f t="array" ref="S71">_xll.d.Dates_Act365(R70,R71)</f>
        <v>0.24931506849315069</v>
      </c>
      <c r="T71" s="623">
        <v>8.8869984701113194E-2</v>
      </c>
      <c r="U71" s="743">
        <f ca="1"/>
        <v>0.59840639566460185</v>
      </c>
      <c r="V71" s="756"/>
      <c r="W71" s="756"/>
      <c r="X71" s="756"/>
      <c r="Y71" s="756"/>
      <c r="Z71" s="756"/>
      <c r="AA71" s="213"/>
      <c r="AG71" s="455"/>
      <c r="AQ71" s="213"/>
      <c r="AR71" s="21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X71" s="741">
        <v>47483</v>
      </c>
      <c r="BY71" s="289" cm="1">
        <f t="array" ref="BY71">_xll.d.Dates_Act365(BX70,BX71)</f>
        <v>0.25753424657534246</v>
      </c>
      <c r="BZ71" s="623" t="e">
        <v>#VALUE!</v>
      </c>
      <c r="CA71" s="743" t="e">
        <f ca="1"/>
        <v>#VALUE!</v>
      </c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</row>
    <row r="72" spans="2:96" x14ac:dyDescent="0.25">
      <c r="B72" t="str">
        <v>3x6</v>
      </c>
      <c r="C72" s="858">
        <v>0.1</v>
      </c>
      <c r="D72" t="b">
        <v>1</v>
      </c>
      <c r="E72" s="455" t="str">
        <f t="shared" si="0"/>
        <v>3x6</v>
      </c>
      <c r="F72" s="455">
        <f t="shared" si="1"/>
        <v>0.1</v>
      </c>
      <c r="G72" s="455" t="b">
        <f t="shared" si="2"/>
        <v>1</v>
      </c>
      <c r="H72" s="174" t="str" cm="1">
        <f t="array" ref="H72">_xll.d.TestUtils_Equal(B72,E72)</f>
        <v>Ok</v>
      </c>
      <c r="I72" s="174" t="str" cm="1">
        <f t="array" ref="I72">_xll.d.TestUtils_Equal(C72,F72)</f>
        <v>Ok</v>
      </c>
      <c r="J72" s="174" t="str" cm="1">
        <f t="array" ref="J72">_xll.d.TestUtils_Equal(D72,G72)</f>
        <v>Ok</v>
      </c>
      <c r="K72" s="213"/>
      <c r="L72" s="455"/>
      <c r="R72" s="741">
        <v>46598</v>
      </c>
      <c r="S72" s="289" cm="1">
        <f t="array" ref="S72">_xll.d.Dates_Act365(R71,R72)</f>
        <v>0.24931506849315069</v>
      </c>
      <c r="T72" s="623">
        <v>8.8869984701114083E-2</v>
      </c>
      <c r="U72" s="743">
        <f ca="1"/>
        <v>0.58543512829085398</v>
      </c>
      <c r="V72" s="756"/>
      <c r="W72" s="756"/>
      <c r="X72" s="756"/>
      <c r="Y72" s="756"/>
      <c r="Z72" s="756"/>
      <c r="AA72" s="213"/>
      <c r="AG72" s="455"/>
      <c r="AQ72" s="213"/>
      <c r="AR72" s="21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X72" s="744">
        <v>47571</v>
      </c>
      <c r="BY72" s="656" cm="1">
        <f t="array" ref="BY72">_xll.d.Dates_Act365(BX71,BX72)</f>
        <v>0.24109589041095891</v>
      </c>
      <c r="BZ72" s="745" t="e">
        <v>#VALUE!</v>
      </c>
      <c r="CA72" s="338" t="e">
        <f ca="1"/>
        <v>#VALUE!</v>
      </c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</row>
    <row r="73" spans="2:96" x14ac:dyDescent="0.25">
      <c r="B73" t="str">
        <v>6x9</v>
      </c>
      <c r="C73" s="858">
        <v>0.1</v>
      </c>
      <c r="D73" t="b">
        <v>1</v>
      </c>
      <c r="E73" s="455" t="str">
        <f t="shared" si="0"/>
        <v>6x9</v>
      </c>
      <c r="F73" s="455">
        <f t="shared" si="1"/>
        <v>0.1</v>
      </c>
      <c r="G73" s="455" t="b">
        <f t="shared" si="2"/>
        <v>1</v>
      </c>
      <c r="H73" s="174" t="str" cm="1">
        <f t="array" ref="H73">_xll.d.TestUtils_Equal(B73,E73)</f>
        <v>Ok</v>
      </c>
      <c r="I73" s="174" t="str" cm="1">
        <f t="array" ref="I73">_xll.d.TestUtils_Equal(C73,F73)</f>
        <v>Ok</v>
      </c>
      <c r="J73" s="174" t="str" cm="1">
        <f t="array" ref="J73">_xll.d.TestUtils_Equal(D73,G73)</f>
        <v>Ok</v>
      </c>
      <c r="K73" s="213"/>
      <c r="L73" s="455"/>
      <c r="R73" s="741">
        <v>46689</v>
      </c>
      <c r="S73" s="289" cm="1">
        <f t="array" ref="S73">_xll.d.Dates_Act365(R72,R73)</f>
        <v>0.24931506849315069</v>
      </c>
      <c r="T73" s="623">
        <v>8.8869984701112306E-2</v>
      </c>
      <c r="U73" s="743">
        <f ca="1"/>
        <v>0.57274503066813198</v>
      </c>
      <c r="V73" s="756"/>
      <c r="AA73" s="213"/>
      <c r="AG73" s="455"/>
      <c r="AQ73" s="213"/>
      <c r="AR73" s="21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</row>
    <row r="74" spans="2:96" x14ac:dyDescent="0.25">
      <c r="B74" s="10" t="str">
        <v>9x12</v>
      </c>
      <c r="C74" s="858">
        <v>0.1</v>
      </c>
      <c r="D74" t="b">
        <v>1</v>
      </c>
      <c r="E74" s="455" t="str">
        <f t="shared" si="0"/>
        <v>9x12</v>
      </c>
      <c r="F74" s="455">
        <f t="shared" si="1"/>
        <v>0.1</v>
      </c>
      <c r="G74" s="455" t="b">
        <f t="shared" si="2"/>
        <v>1</v>
      </c>
      <c r="H74" s="174" t="str" cm="1">
        <f t="array" ref="H74">_xll.d.TestUtils_Equal(B74,E74)</f>
        <v>Ok</v>
      </c>
      <c r="I74" s="174" t="str" cm="1">
        <f t="array" ref="I74">_xll.d.TestUtils_Equal(C74,F74)</f>
        <v>Ok</v>
      </c>
      <c r="J74" s="174" t="str" cm="1">
        <f t="array" ref="J74">_xll.d.TestUtils_Equal(D74,G74)</f>
        <v>Ok</v>
      </c>
      <c r="K74" s="213"/>
      <c r="L74" s="455"/>
      <c r="R74" s="744">
        <v>46783</v>
      </c>
      <c r="S74" s="656" cm="1">
        <f t="array" ref="S74">_xll.d.Dates_Act365(R73,R74)</f>
        <v>0.25753424657534246</v>
      </c>
      <c r="T74" s="745">
        <v>8.8902212401247502E-2</v>
      </c>
      <c r="U74" s="338">
        <f ca="1"/>
        <v>0.55992533612260764</v>
      </c>
      <c r="V74" s="756"/>
      <c r="AA74" s="213"/>
      <c r="AG74" s="455"/>
      <c r="AQ74" s="213"/>
      <c r="AR74" s="21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</row>
    <row r="75" spans="2:96" x14ac:dyDescent="0.25">
      <c r="B75" t="str">
        <v/>
      </c>
      <c r="C75" t="str">
        <v/>
      </c>
      <c r="D75" t="str">
        <v/>
      </c>
      <c r="E75" s="455" t="str">
        <f t="shared" si="0"/>
        <v/>
      </c>
      <c r="F75" s="455" t="str">
        <f t="shared" si="1"/>
        <v/>
      </c>
      <c r="G75" s="455" t="str">
        <f t="shared" si="2"/>
        <v/>
      </c>
      <c r="H75" s="174" t="str" cm="1">
        <f t="array" ref="H75">_xll.d.TestUtils_Equal(B75,E75)</f>
        <v>Ok</v>
      </c>
      <c r="I75" s="174" t="str" cm="1">
        <f t="array" ref="I75">_xll.d.TestUtils_Equal(C75,F75)</f>
        <v>Ok</v>
      </c>
      <c r="J75" s="174" t="str" cm="1">
        <f t="array" ref="J75">_xll.d.TestUtils_Equal(D75,G75)</f>
        <v>Ok</v>
      </c>
      <c r="K75" s="213"/>
      <c r="L75" s="455"/>
      <c r="V75" s="756"/>
      <c r="AA75" s="213"/>
      <c r="AG75" s="455"/>
      <c r="AQ75" s="213"/>
      <c r="AR75" s="21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X75" s="304" t="s">
        <v>575</v>
      </c>
      <c r="BY75" s="305"/>
      <c r="BZ75" s="305"/>
      <c r="CA75" s="306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</row>
    <row r="76" spans="2:96" x14ac:dyDescent="0.25">
      <c r="B76" t="str">
        <v>Interest Rate Swaps</v>
      </c>
      <c r="C76" t="str">
        <v/>
      </c>
      <c r="D76" t="str">
        <v/>
      </c>
      <c r="E76" s="455" t="str">
        <f t="shared" si="0"/>
        <v>Interest Rate Swaps</v>
      </c>
      <c r="F76" s="455" t="str">
        <f t="shared" si="1"/>
        <v/>
      </c>
      <c r="G76" s="455" t="str">
        <f t="shared" si="2"/>
        <v/>
      </c>
      <c r="H76" s="174" t="str" cm="1">
        <f t="array" ref="H76">_xll.d.TestUtils_Equal(B76,E76)</f>
        <v>Ok</v>
      </c>
      <c r="I76" s="174" t="str" cm="1">
        <f t="array" ref="I76">_xll.d.TestUtils_Equal(C76,F76)</f>
        <v>Ok</v>
      </c>
      <c r="J76" s="174" t="str" cm="1">
        <f t="array" ref="J76">_xll.d.TestUtils_Equal(D76,G76)</f>
        <v>Ok</v>
      </c>
      <c r="K76" s="213"/>
      <c r="L76" s="455"/>
      <c r="V76" s="756"/>
      <c r="AA76" s="213"/>
      <c r="AG76" s="455"/>
      <c r="AQ76" s="213"/>
      <c r="AR76" s="21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X76" s="519" t="s">
        <v>23</v>
      </c>
      <c r="BY76" s="640" t="s">
        <v>81</v>
      </c>
      <c r="BZ76" s="640" t="s">
        <v>82</v>
      </c>
      <c r="CA76" s="641" t="s">
        <v>83</v>
      </c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</row>
    <row r="77" spans="2:96" x14ac:dyDescent="0.25">
      <c r="B77" t="str">
        <v>Tenors</v>
      </c>
      <c r="C77" t="str">
        <v>Rates</v>
      </c>
      <c r="D77" t="str">
        <v>Include</v>
      </c>
      <c r="E77" s="455" t="str">
        <f t="shared" si="0"/>
        <v>Tenors</v>
      </c>
      <c r="F77" s="455" t="str">
        <f t="shared" si="1"/>
        <v>Rates</v>
      </c>
      <c r="G77" s="455" t="str">
        <f t="shared" si="2"/>
        <v>Include</v>
      </c>
      <c r="H77" s="174" t="str" cm="1">
        <f t="array" ref="H77">_xll.d.TestUtils_Equal(B77,E77)</f>
        <v>Ok</v>
      </c>
      <c r="I77" s="174" t="str" cm="1">
        <f t="array" ref="I77">_xll.d.TestUtils_Equal(C77,F77)</f>
        <v>Ok</v>
      </c>
      <c r="J77" s="174" t="str" cm="1">
        <f t="array" ref="J77">_xll.d.TestUtils_Equal(D77,G77)</f>
        <v>Ok</v>
      </c>
      <c r="K77" s="213"/>
      <c r="L77" s="455"/>
      <c r="R77" s="304" t="s">
        <v>575</v>
      </c>
      <c r="S77" s="305"/>
      <c r="T77" s="305"/>
      <c r="U77" s="306"/>
      <c r="V77" s="756"/>
      <c r="AA77" s="213"/>
      <c r="AG77" s="455"/>
      <c r="AQ77" s="213"/>
      <c r="AR77" s="21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X77" s="642" t="s">
        <v>68</v>
      </c>
      <c r="BY77" s="752" t="e">
        <f ca="1">SUMPRODUCT(BY41:BY52,BZ41:BZ52,CA41:CA52)/SUMPRODUCT(BY41:BY52,CA41:CA52)</f>
        <v>#VALUE!</v>
      </c>
      <c r="BZ77" s="752">
        <f t="shared" ref="BZ77:BZ82" si="3">BT53</f>
        <v>0</v>
      </c>
      <c r="CA77" s="205" t="str" cm="1">
        <f t="array" aca="1" ref="CA77" ca="1">_xll.d.TestUtils_Equal(BY77,BZ77,0.00001)</f>
        <v>Error</v>
      </c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</row>
    <row r="78" spans="2:96" x14ac:dyDescent="0.25">
      <c r="B78" s="1" t="str">
        <v>2y</v>
      </c>
      <c r="C78" s="858">
        <v>0.1</v>
      </c>
      <c r="D78" t="b">
        <v>1</v>
      </c>
      <c r="E78" s="455" t="str">
        <f t="shared" si="0"/>
        <v>2y</v>
      </c>
      <c r="F78" s="455">
        <f t="shared" si="1"/>
        <v>0.1</v>
      </c>
      <c r="G78" s="455" t="b">
        <f t="shared" si="2"/>
        <v>1</v>
      </c>
      <c r="H78" s="174" t="str" cm="1">
        <f t="array" ref="H78">_xll.d.TestUtils_Equal(B78,E78)</f>
        <v>Ok</v>
      </c>
      <c r="I78" s="174" t="str" cm="1">
        <f t="array" ref="I78">_xll.d.TestUtils_Equal(C78,F78)</f>
        <v>Ok</v>
      </c>
      <c r="J78" s="174" t="str" cm="1">
        <f t="array" ref="J78">_xll.d.TestUtils_Equal(D78,G78)</f>
        <v>Ok</v>
      </c>
      <c r="K78" s="213"/>
      <c r="L78" s="455"/>
      <c r="R78" s="519" t="s">
        <v>23</v>
      </c>
      <c r="S78" s="640" t="s">
        <v>81</v>
      </c>
      <c r="T78" s="640" t="s">
        <v>82</v>
      </c>
      <c r="U78" s="641" t="s">
        <v>83</v>
      </c>
      <c r="V78" s="756"/>
      <c r="AA78" s="213"/>
      <c r="AG78" s="455"/>
      <c r="AQ78" s="213"/>
      <c r="AR78" s="21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X78" s="759" t="s">
        <v>610</v>
      </c>
      <c r="BY78" s="760" t="e">
        <f ca="1">SUMPRODUCT(BY41:BY56,BZ41:BZ56,CA41:CA56)/SUMPRODUCT(BY41:BY56,CA41:CA56)</f>
        <v>#VALUE!</v>
      </c>
      <c r="BZ78" s="760">
        <f t="shared" si="3"/>
        <v>0</v>
      </c>
      <c r="CA78" s="702" t="str" cm="1">
        <f t="array" aca="1" ref="CA78" ca="1">_xll.d.TestUtils_Equal(BY78,BZ78,0.00001)</f>
        <v>Error</v>
      </c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</row>
    <row r="79" spans="2:96" x14ac:dyDescent="0.25">
      <c r="B79" t="str">
        <v>3y</v>
      </c>
      <c r="C79" s="858">
        <v>0.1</v>
      </c>
      <c r="D79" t="b">
        <v>1</v>
      </c>
      <c r="E79" s="455" t="str">
        <f t="shared" si="0"/>
        <v>3y</v>
      </c>
      <c r="F79" s="455">
        <f t="shared" si="1"/>
        <v>0.1</v>
      </c>
      <c r="G79" s="455" t="b">
        <f t="shared" si="2"/>
        <v>1</v>
      </c>
      <c r="H79" s="174" t="str" cm="1">
        <f t="array" ref="H79">_xll.d.TestUtils_Equal(B79,E79)</f>
        <v>Ok</v>
      </c>
      <c r="I79" s="174" t="str" cm="1">
        <f t="array" ref="I79">_xll.d.TestUtils_Equal(C79,F79)</f>
        <v>Ok</v>
      </c>
      <c r="J79" s="174" t="str" cm="1">
        <f t="array" ref="J79">_xll.d.TestUtils_Equal(D79,G79)</f>
        <v>Ok</v>
      </c>
      <c r="K79" s="213"/>
      <c r="L79" s="455"/>
      <c r="R79" s="642" t="s">
        <v>68</v>
      </c>
      <c r="S79" s="752">
        <f ca="1">SUMPRODUCT(S43:S54,T43:T54,U43:U54)/SUMPRODUCT(S43:S54,U43:U54)</f>
        <v>6.3899999999999998E-2</v>
      </c>
      <c r="T79" s="752">
        <f t="shared" ref="T79:T84" si="4">N56</f>
        <v>6.3899999999999998E-2</v>
      </c>
      <c r="U79" s="205" t="str" cm="1">
        <f t="array" aca="1" ref="U79" ca="1">_xll.d.TestUtils_Equal(S79,T79,0.00001)</f>
        <v>Ok</v>
      </c>
      <c r="V79" s="756"/>
      <c r="AA79" s="213"/>
      <c r="AQ79" s="213"/>
      <c r="AR79" s="21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X79" s="761" t="s">
        <v>617</v>
      </c>
      <c r="BY79" s="760" t="e">
        <f ca="1">SUMPRODUCT(BY41:BY60,BZ41:BZ60,CA41:CA60)/SUMPRODUCT(BY41:BY60,CA41:CA60)</f>
        <v>#VALUE!</v>
      </c>
      <c r="BZ79" s="762" t="str">
        <f t="shared" si="3"/>
        <v>Include</v>
      </c>
      <c r="CA79" s="702" t="str" cm="1">
        <f t="array" aca="1" ref="CA79" ca="1">_xll.d.TestUtils_Equal(BY79,BZ79,0.00001)</f>
        <v>Error</v>
      </c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</row>
    <row r="80" spans="2:96" x14ac:dyDescent="0.25">
      <c r="B80" t="str">
        <v/>
      </c>
      <c r="C80" t="str">
        <v/>
      </c>
      <c r="D80" t="str">
        <v/>
      </c>
      <c r="E80" s="791"/>
      <c r="I80" s="830"/>
      <c r="K80" s="213"/>
      <c r="L80" s="455"/>
      <c r="R80" s="759" t="s">
        <v>610</v>
      </c>
      <c r="S80" s="760">
        <f ca="1">SUMPRODUCT(S43:S58,T43:T58,U43:U58)/SUMPRODUCT(S43:S58,U43:U58)</f>
        <v>6.519999999999998E-2</v>
      </c>
      <c r="T80" s="760">
        <f t="shared" si="4"/>
        <v>6.5199999999999994E-2</v>
      </c>
      <c r="U80" s="702" t="str" cm="1">
        <f t="array" aca="1" ref="U80" ca="1">_xll.d.TestUtils_Equal(S80,T80,0.00001)</f>
        <v>Ok</v>
      </c>
      <c r="V80" s="756"/>
      <c r="AA80" s="213"/>
      <c r="AQ80" s="213"/>
      <c r="AR80" s="21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X80" s="759" t="s">
        <v>618</v>
      </c>
      <c r="BY80" s="760" t="e">
        <f ca="1">SUMPRODUCT(BY41:BY64,BZ41:BZ64,CA41:CA64)/SUMPRODUCT(BY41:BY64,CA41:CA64)</f>
        <v>#VALUE!</v>
      </c>
      <c r="BZ80" s="760" t="b">
        <f t="shared" si="3"/>
        <v>1</v>
      </c>
      <c r="CA80" s="702" t="str" cm="1">
        <f t="array" aca="1" ref="CA80" ca="1">_xll.d.TestUtils_Equal(BY80,BZ80,0.00001)</f>
        <v>Error</v>
      </c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</row>
    <row r="81" spans="2:96" x14ac:dyDescent="0.25">
      <c r="B81" s="1"/>
      <c r="C81" s="829"/>
      <c r="D81" s="831"/>
      <c r="E81" s="791"/>
      <c r="I81" s="830"/>
      <c r="K81" s="213"/>
      <c r="L81" s="455"/>
      <c r="R81" s="761" t="s">
        <v>617</v>
      </c>
      <c r="S81" s="760">
        <f ca="1">SUMPRODUCT(S43:S62,T43:T62,U43:U62)/SUMPRODUCT(S43:S62,U43:U62)</f>
        <v>6.6600000000000006E-2</v>
      </c>
      <c r="T81" s="762">
        <f t="shared" si="4"/>
        <v>6.6600000000000006E-2</v>
      </c>
      <c r="U81" s="702" t="str" cm="1">
        <f t="array" aca="1" ref="U81" ca="1">_xll.d.TestUtils_Equal(S81,T81,0.00001)</f>
        <v>Ok</v>
      </c>
      <c r="V81" s="756"/>
      <c r="AA81" s="213"/>
      <c r="AQ81" s="213"/>
      <c r="AR81" s="21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X81" s="761" t="s">
        <v>619</v>
      </c>
      <c r="BY81" s="760" t="e">
        <f ca="1">SUMPRODUCT(BY41:BY68,BZ41:BZ68,CA41:CA68)/SUMPRODUCT(BY41:BY68,CA41:CA68)</f>
        <v>#VALUE!</v>
      </c>
      <c r="BZ81" s="762" t="b">
        <f t="shared" si="3"/>
        <v>1</v>
      </c>
      <c r="CA81" s="702" t="str" cm="1">
        <f t="array" aca="1" ref="CA81" ca="1">_xll.d.TestUtils_Equal(BY81,BZ81,0.00001)</f>
        <v>Error</v>
      </c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</row>
    <row r="82" spans="2:96" x14ac:dyDescent="0.25">
      <c r="B82" s="455"/>
      <c r="C82" s="455"/>
      <c r="D82" s="455"/>
      <c r="E82" s="455"/>
      <c r="I82" s="830"/>
      <c r="K82" s="213"/>
      <c r="L82" s="455"/>
      <c r="R82" s="759" t="s">
        <v>618</v>
      </c>
      <c r="S82" s="760">
        <f ca="1">SUMPRODUCT(S43:S66,T43:T66,U43:U66)/SUMPRODUCT(S43:S66,U43:U66)</f>
        <v>6.8299999999999972E-2</v>
      </c>
      <c r="T82" s="760">
        <f t="shared" si="4"/>
        <v>6.83E-2</v>
      </c>
      <c r="U82" s="702" t="str" cm="1">
        <f t="array" aca="1" ref="U82" ca="1">_xll.d.TestUtils_Equal(S82,T82,0.00001)</f>
        <v>Ok</v>
      </c>
      <c r="V82" s="756"/>
      <c r="AA82" s="213"/>
      <c r="AQ82" s="213"/>
      <c r="AR82" s="21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X82" s="643" t="s">
        <v>620</v>
      </c>
      <c r="BY82" s="753" t="e">
        <f ca="1">SUMPRODUCT(BY41:BY72,BZ41:BZ72,CA41:CA72)/SUMPRODUCT(BY41:BY72,CA41:CA72)</f>
        <v>#VALUE!</v>
      </c>
      <c r="BZ82" s="753" t="b">
        <f t="shared" si="3"/>
        <v>1</v>
      </c>
      <c r="CA82" s="208" t="str" cm="1">
        <f t="array" aca="1" ref="CA82" ca="1">_xll.d.TestUtils_Equal(BY82,BZ82,0.00001)</f>
        <v>Error</v>
      </c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</row>
    <row r="83" spans="2:96" x14ac:dyDescent="0.25">
      <c r="B83" s="455"/>
      <c r="C83" s="455"/>
      <c r="D83" s="455"/>
      <c r="E83" s="455"/>
      <c r="I83" s="830"/>
      <c r="K83" s="213"/>
      <c r="L83" s="455"/>
      <c r="N83" s="831"/>
      <c r="R83" s="761" t="s">
        <v>619</v>
      </c>
      <c r="S83" s="760">
        <f ca="1">SUMPRODUCT(S43:S70,T43:T70,U43:U70)/SUMPRODUCT(S43:S70,U43:U70)</f>
        <v>6.9900000000000004E-2</v>
      </c>
      <c r="T83" s="762">
        <f t="shared" si="4"/>
        <v>6.9900000000000004E-2</v>
      </c>
      <c r="U83" s="702" t="str" cm="1">
        <f t="array" aca="1" ref="U83" ca="1">_xll.d.TestUtils_Equal(S83,T83,0.00001)</f>
        <v>Ok</v>
      </c>
      <c r="V83" s="756"/>
      <c r="AA83" s="213"/>
      <c r="AQ83" s="213"/>
      <c r="AR83" s="21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</row>
    <row r="84" spans="2:96" x14ac:dyDescent="0.25">
      <c r="B84" s="455"/>
      <c r="C84" s="455"/>
      <c r="D84" s="455"/>
      <c r="E84" s="455"/>
      <c r="I84" s="830"/>
      <c r="K84" s="213"/>
      <c r="L84" s="455"/>
      <c r="N84" s="831"/>
      <c r="R84" s="643" t="s">
        <v>620</v>
      </c>
      <c r="S84" s="753">
        <f ca="1">SUMPRODUCT(S43:S74,T43:T74,U43:U74)/SUMPRODUCT(S43:S74,U43:U74)</f>
        <v>7.1699999999999972E-2</v>
      </c>
      <c r="T84" s="753">
        <f t="shared" si="4"/>
        <v>7.17E-2</v>
      </c>
      <c r="U84" s="208" t="str" cm="1">
        <f t="array" aca="1" ref="U84" ca="1">_xll.d.TestUtils_Equal(S84,T84,0.00001)</f>
        <v>Ok</v>
      </c>
      <c r="AA84" s="213"/>
      <c r="AQ84" s="213"/>
      <c r="AR84" s="21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</row>
    <row r="85" spans="2:96" x14ac:dyDescent="0.25">
      <c r="B85" s="455"/>
      <c r="C85" s="455"/>
      <c r="D85" s="455"/>
      <c r="E85" s="455"/>
      <c r="I85" s="830"/>
      <c r="K85" s="213"/>
      <c r="L85" s="455"/>
      <c r="N85" s="831"/>
      <c r="AA85" s="213"/>
      <c r="AQ85" s="213"/>
      <c r="AR85" s="21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</row>
    <row r="86" spans="2:96" x14ac:dyDescent="0.25">
      <c r="B86" s="455"/>
      <c r="C86" s="455"/>
      <c r="D86" s="455"/>
      <c r="E86" s="455"/>
      <c r="I86" s="830"/>
      <c r="K86" s="213"/>
      <c r="L86" s="455"/>
      <c r="N86" s="831"/>
      <c r="R86" s="308" t="s">
        <v>229</v>
      </c>
      <c r="AA86" s="213"/>
      <c r="AQ86" s="213"/>
      <c r="AR86" s="21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</row>
    <row r="87" spans="2:96" x14ac:dyDescent="0.25">
      <c r="B87" s="455"/>
      <c r="C87" s="455"/>
      <c r="D87" s="455"/>
      <c r="E87" s="455"/>
      <c r="I87" s="830"/>
      <c r="K87" s="213"/>
      <c r="L87" s="455"/>
      <c r="N87" s="831"/>
      <c r="R87" s="278" t="s">
        <v>228</v>
      </c>
      <c r="AA87" s="213"/>
      <c r="AQ87" s="213"/>
      <c r="AR87" s="21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</row>
    <row r="88" spans="2:96" x14ac:dyDescent="0.25">
      <c r="B88" s="455"/>
      <c r="C88" s="455"/>
      <c r="D88" s="455"/>
      <c r="E88" s="455"/>
      <c r="I88" s="830"/>
      <c r="N88" s="831"/>
    </row>
    <row r="89" spans="2:96" x14ac:dyDescent="0.25">
      <c r="B89" s="1"/>
      <c r="C89" s="829"/>
      <c r="D89" s="831"/>
      <c r="E89" s="791"/>
      <c r="I89" s="830"/>
      <c r="N89" s="831"/>
    </row>
    <row r="90" spans="2:96" x14ac:dyDescent="0.25">
      <c r="B90" s="1"/>
      <c r="C90" s="829"/>
      <c r="D90" s="831"/>
      <c r="E90" s="791"/>
      <c r="I90" s="830"/>
      <c r="N90" s="831"/>
    </row>
    <row r="91" spans="2:96" x14ac:dyDescent="0.25">
      <c r="B91" s="1"/>
      <c r="C91" s="829"/>
      <c r="D91" s="831"/>
      <c r="E91" s="791"/>
      <c r="I91" s="830"/>
      <c r="N91" s="831"/>
    </row>
    <row r="92" spans="2:96" x14ac:dyDescent="0.25">
      <c r="B92" s="1"/>
      <c r="C92" s="829"/>
      <c r="D92" s="831"/>
      <c r="E92" s="791"/>
      <c r="I92" s="830"/>
      <c r="J92" s="455"/>
      <c r="N92" s="831"/>
    </row>
    <row r="93" spans="2:96" x14ac:dyDescent="0.25">
      <c r="B93" s="1"/>
      <c r="C93" s="829"/>
      <c r="D93" s="831"/>
      <c r="E93" s="791"/>
      <c r="N93" s="831"/>
    </row>
    <row r="94" spans="2:96" x14ac:dyDescent="0.25">
      <c r="B94" s="1"/>
      <c r="C94" s="829"/>
      <c r="D94" s="831"/>
      <c r="E94" s="791"/>
      <c r="F94" s="455"/>
      <c r="G94" s="455"/>
      <c r="H94" s="455"/>
      <c r="N94" s="831"/>
    </row>
    <row r="95" spans="2:96" x14ac:dyDescent="0.25">
      <c r="B95" s="1"/>
      <c r="C95" s="829"/>
      <c r="D95" s="831"/>
      <c r="E95" s="791"/>
      <c r="N95" s="831"/>
    </row>
    <row r="96" spans="2:96" x14ac:dyDescent="0.25">
      <c r="N96" s="831"/>
    </row>
    <row r="97" spans="14:14" x14ac:dyDescent="0.25">
      <c r="N97" s="831"/>
    </row>
    <row r="98" spans="14:14" x14ac:dyDescent="0.25">
      <c r="N98" s="831"/>
    </row>
    <row r="99" spans="14:14" x14ac:dyDescent="0.25">
      <c r="N99" s="831"/>
    </row>
    <row r="100" spans="14:14" x14ac:dyDescent="0.25">
      <c r="N100" s="831"/>
    </row>
    <row r="101" spans="14:14" x14ac:dyDescent="0.25">
      <c r="N101" s="831"/>
    </row>
    <row r="102" spans="14:14" x14ac:dyDescent="0.25">
      <c r="N102" s="831"/>
    </row>
  </sheetData>
  <conditionalFormatting sqref="J26:J31 D12 D16:D17 AK26:AK32 DH33 U79:U80 U28:V38 W27:X27 V26:V83 W28:Z72 V23:Z23 V25:Z25 V24 X24:Z24 CA26:CA36">
    <cfRule type="cellIs" dxfId="368" priority="133" stopIfTrue="1" operator="equal">
      <formula>"ERROR"</formula>
    </cfRule>
    <cfRule type="cellIs" dxfId="367" priority="134" stopIfTrue="1" operator="equal">
      <formula>"OK"</formula>
    </cfRule>
    <cfRule type="cellIs" dxfId="366" priority="135" stopIfTrue="1" operator="equal">
      <formula>"WARNING"</formula>
    </cfRule>
  </conditionalFormatting>
  <conditionalFormatting sqref="C6">
    <cfRule type="cellIs" dxfId="365" priority="130" stopIfTrue="1" operator="equal">
      <formula>"ERROR"</formula>
    </cfRule>
    <cfRule type="cellIs" dxfId="364" priority="131" stopIfTrue="1" operator="equal">
      <formula>"OK"</formula>
    </cfRule>
    <cfRule type="cellIs" dxfId="363" priority="132" stopIfTrue="1" operator="equal">
      <formula>"WARNING"</formula>
    </cfRule>
  </conditionalFormatting>
  <conditionalFormatting sqref="C24">
    <cfRule type="cellIs" dxfId="362" priority="127" stopIfTrue="1" operator="equal">
      <formula>"ERROR"</formula>
    </cfRule>
    <cfRule type="cellIs" dxfId="361" priority="128" stopIfTrue="1" operator="equal">
      <formula>"OK"</formula>
    </cfRule>
    <cfRule type="cellIs" dxfId="360" priority="129" stopIfTrue="1" operator="equal">
      <formula>"WARNING"</formula>
    </cfRule>
  </conditionalFormatting>
  <conditionalFormatting sqref="AD24">
    <cfRule type="cellIs" dxfId="359" priority="124" stopIfTrue="1" operator="equal">
      <formula>"ERROR"</formula>
    </cfRule>
    <cfRule type="cellIs" dxfId="358" priority="125" stopIfTrue="1" operator="equal">
      <formula>"OK"</formula>
    </cfRule>
    <cfRule type="cellIs" dxfId="357" priority="126" stopIfTrue="1" operator="equal">
      <formula>"WARNING"</formula>
    </cfRule>
  </conditionalFormatting>
  <conditionalFormatting sqref="J52:J53">
    <cfRule type="cellIs" dxfId="356" priority="139" stopIfTrue="1" operator="equal">
      <formula>"ERROR"</formula>
    </cfRule>
    <cfRule type="cellIs" dxfId="355" priority="140" stopIfTrue="1" operator="equal">
      <formula>"OK"</formula>
    </cfRule>
    <cfRule type="cellIs" dxfId="354" priority="141" stopIfTrue="1" operator="equal">
      <formula>"WARNING"</formula>
    </cfRule>
  </conditionalFormatting>
  <conditionalFormatting sqref="N24">
    <cfRule type="cellIs" dxfId="353" priority="115" stopIfTrue="1" operator="equal">
      <formula>"ERROR"</formula>
    </cfRule>
    <cfRule type="cellIs" dxfId="352" priority="116" stopIfTrue="1" operator="equal">
      <formula>"OK"</formula>
    </cfRule>
    <cfRule type="cellIs" dxfId="351" priority="117" stopIfTrue="1" operator="equal">
      <formula>"WARNING"</formula>
    </cfRule>
  </conditionalFormatting>
  <conditionalFormatting sqref="D13">
    <cfRule type="cellIs" dxfId="350" priority="142" stopIfTrue="1" operator="equal">
      <formula>"ERROR"</formula>
    </cfRule>
    <cfRule type="cellIs" dxfId="349" priority="143" stopIfTrue="1" operator="equal">
      <formula>"OK"</formula>
    </cfRule>
    <cfRule type="cellIs" dxfId="348" priority="144" stopIfTrue="1" operator="equal">
      <formula>"WARNING"</formula>
    </cfRule>
  </conditionalFormatting>
  <conditionalFormatting sqref="U81:U82">
    <cfRule type="cellIs" dxfId="347" priority="112" stopIfTrue="1" operator="equal">
      <formula>"ERROR"</formula>
    </cfRule>
    <cfRule type="cellIs" dxfId="346" priority="113" stopIfTrue="1" operator="equal">
      <formula>"OK"</formula>
    </cfRule>
    <cfRule type="cellIs" dxfId="345" priority="114" stopIfTrue="1" operator="equal">
      <formula>"WARNING"</formula>
    </cfRule>
  </conditionalFormatting>
  <conditionalFormatting sqref="U83:U84">
    <cfRule type="cellIs" dxfId="344" priority="109" stopIfTrue="1" operator="equal">
      <formula>"ERROR"</formula>
    </cfRule>
    <cfRule type="cellIs" dxfId="343" priority="110" stopIfTrue="1" operator="equal">
      <formula>"OK"</formula>
    </cfRule>
    <cfRule type="cellIs" dxfId="342" priority="111" stopIfTrue="1" operator="equal">
      <formula>"WARNING"</formula>
    </cfRule>
  </conditionalFormatting>
  <conditionalFormatting sqref="U82">
    <cfRule type="cellIs" dxfId="341" priority="106" stopIfTrue="1" operator="equal">
      <formula>"ERROR"</formula>
    </cfRule>
    <cfRule type="cellIs" dxfId="340" priority="107" stopIfTrue="1" operator="equal">
      <formula>"OK"</formula>
    </cfRule>
    <cfRule type="cellIs" dxfId="339" priority="108" stopIfTrue="1" operator="equal">
      <formula>"WARNING"</formula>
    </cfRule>
  </conditionalFormatting>
  <conditionalFormatting sqref="U83:U84">
    <cfRule type="cellIs" dxfId="338" priority="103" stopIfTrue="1" operator="equal">
      <formula>"ERROR"</formula>
    </cfRule>
    <cfRule type="cellIs" dxfId="337" priority="104" stopIfTrue="1" operator="equal">
      <formula>"OK"</formula>
    </cfRule>
    <cfRule type="cellIs" dxfId="336" priority="105" stopIfTrue="1" operator="equal">
      <formula>"WARNING"</formula>
    </cfRule>
  </conditionalFormatting>
  <conditionalFormatting sqref="AK51:AK52">
    <cfRule type="cellIs" dxfId="335" priority="100" stopIfTrue="1" operator="equal">
      <formula>"ERROR"</formula>
    </cfRule>
    <cfRule type="cellIs" dxfId="334" priority="101" stopIfTrue="1" operator="equal">
      <formula>"OK"</formula>
    </cfRule>
    <cfRule type="cellIs" dxfId="333" priority="102" stopIfTrue="1" operator="equal">
      <formula>"WARNING"</formula>
    </cfRule>
  </conditionalFormatting>
  <conditionalFormatting sqref="AK53:AK54">
    <cfRule type="cellIs" dxfId="332" priority="97" stopIfTrue="1" operator="equal">
      <formula>"ERROR"</formula>
    </cfRule>
    <cfRule type="cellIs" dxfId="331" priority="98" stopIfTrue="1" operator="equal">
      <formula>"OK"</formula>
    </cfRule>
    <cfRule type="cellIs" dxfId="330" priority="99" stopIfTrue="1" operator="equal">
      <formula>"WARNING"</formula>
    </cfRule>
  </conditionalFormatting>
  <conditionalFormatting sqref="AK55:AK56">
    <cfRule type="cellIs" dxfId="329" priority="94" stopIfTrue="1" operator="equal">
      <formula>"ERROR"</formula>
    </cfRule>
    <cfRule type="cellIs" dxfId="328" priority="95" stopIfTrue="1" operator="equal">
      <formula>"OK"</formula>
    </cfRule>
    <cfRule type="cellIs" dxfId="327" priority="96" stopIfTrue="1" operator="equal">
      <formula>"WARNING"</formula>
    </cfRule>
  </conditionalFormatting>
  <conditionalFormatting sqref="AK54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AK55:AK56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AM25:AN25 AM26:AM41 AO26:AP41 AP42:AP47">
    <cfRule type="cellIs" dxfId="320" priority="85" stopIfTrue="1" operator="equal">
      <formula>"ERROR"</formula>
    </cfRule>
    <cfRule type="cellIs" dxfId="319" priority="86" stopIfTrue="1" operator="equal">
      <formula>"OK"</formula>
    </cfRule>
    <cfRule type="cellIs" dxfId="318" priority="87" stopIfTrue="1" operator="equal">
      <formula>"WARNING"</formula>
    </cfRule>
  </conditionalFormatting>
  <conditionalFormatting sqref="AN26:AN41">
    <cfRule type="cellIs" dxfId="317" priority="82" stopIfTrue="1" operator="equal">
      <formula>"ERROR"</formula>
    </cfRule>
    <cfRule type="cellIs" dxfId="316" priority="83" stopIfTrue="1" operator="equal">
      <formula>"OK"</formula>
    </cfRule>
    <cfRule type="cellIs" dxfId="315" priority="84" stopIfTrue="1" operator="equal">
      <formula>"WARNING"</formula>
    </cfRule>
  </conditionalFormatting>
  <conditionalFormatting sqref="AM46:AM47 AO46:AO47">
    <cfRule type="cellIs" dxfId="314" priority="79" stopIfTrue="1" operator="equal">
      <formula>"ERROR"</formula>
    </cfRule>
    <cfRule type="cellIs" dxfId="313" priority="80" stopIfTrue="1" operator="equal">
      <formula>"OK"</formula>
    </cfRule>
    <cfRule type="cellIs" dxfId="312" priority="81" stopIfTrue="1" operator="equal">
      <formula>"WARNING"</formula>
    </cfRule>
  </conditionalFormatting>
  <conditionalFormatting sqref="AN46:AN47">
    <cfRule type="cellIs" dxfId="311" priority="76" stopIfTrue="1" operator="equal">
      <formula>"ERROR"</formula>
    </cfRule>
    <cfRule type="cellIs" dxfId="310" priority="77" stopIfTrue="1" operator="equal">
      <formula>"OK"</formula>
    </cfRule>
    <cfRule type="cellIs" dxfId="309" priority="78" stopIfTrue="1" operator="equal">
      <formula>"WARNING"</formula>
    </cfRule>
  </conditionalFormatting>
  <conditionalFormatting sqref="AM42:AM45 AO42:AO45">
    <cfRule type="cellIs" dxfId="308" priority="73" stopIfTrue="1" operator="equal">
      <formula>"ERROR"</formula>
    </cfRule>
    <cfRule type="cellIs" dxfId="307" priority="74" stopIfTrue="1" operator="equal">
      <formula>"OK"</formula>
    </cfRule>
    <cfRule type="cellIs" dxfId="306" priority="75" stopIfTrue="1" operator="equal">
      <formula>"WARNING"</formula>
    </cfRule>
  </conditionalFormatting>
  <conditionalFormatting sqref="AN42:AN45">
    <cfRule type="cellIs" dxfId="305" priority="70" stopIfTrue="1" operator="equal">
      <formula>"ERROR"</formula>
    </cfRule>
    <cfRule type="cellIs" dxfId="304" priority="71" stopIfTrue="1" operator="equal">
      <formula>"OK"</formula>
    </cfRule>
    <cfRule type="cellIs" dxfId="303" priority="72" stopIfTrue="1" operator="equal">
      <formula>"WARNING"</formula>
    </cfRule>
  </conditionalFormatting>
  <conditionalFormatting sqref="BA26:BA32">
    <cfRule type="cellIs" dxfId="302" priority="67" stopIfTrue="1" operator="equal">
      <formula>"ERROR"</formula>
    </cfRule>
    <cfRule type="cellIs" dxfId="301" priority="68" stopIfTrue="1" operator="equal">
      <formula>"OK"</formula>
    </cfRule>
    <cfRule type="cellIs" dxfId="300" priority="69" stopIfTrue="1" operator="equal">
      <formula>"WARNING"</formula>
    </cfRule>
  </conditionalFormatting>
  <conditionalFormatting sqref="AT24">
    <cfRule type="cellIs" dxfId="299" priority="64" stopIfTrue="1" operator="equal">
      <formula>"ERROR"</formula>
    </cfRule>
    <cfRule type="cellIs" dxfId="298" priority="65" stopIfTrue="1" operator="equal">
      <formula>"OK"</formula>
    </cfRule>
    <cfRule type="cellIs" dxfId="297" priority="66" stopIfTrue="1" operator="equal">
      <formula>"WARNING"</formula>
    </cfRule>
  </conditionalFormatting>
  <conditionalFormatting sqref="BA51:BA52">
    <cfRule type="cellIs" dxfId="296" priority="61" stopIfTrue="1" operator="equal">
      <formula>"ERROR"</formula>
    </cfRule>
    <cfRule type="cellIs" dxfId="295" priority="62" stopIfTrue="1" operator="equal">
      <formula>"OK"</formula>
    </cfRule>
    <cfRule type="cellIs" dxfId="294" priority="63" stopIfTrue="1" operator="equal">
      <formula>"WARNING"</formula>
    </cfRule>
  </conditionalFormatting>
  <conditionalFormatting sqref="BA53:BA54">
    <cfRule type="cellIs" dxfId="293" priority="58" stopIfTrue="1" operator="equal">
      <formula>"ERROR"</formula>
    </cfRule>
    <cfRule type="cellIs" dxfId="292" priority="59" stopIfTrue="1" operator="equal">
      <formula>"OK"</formula>
    </cfRule>
    <cfRule type="cellIs" dxfId="291" priority="60" stopIfTrue="1" operator="equal">
      <formula>"WARNING"</formula>
    </cfRule>
  </conditionalFormatting>
  <conditionalFormatting sqref="BA55:BA56">
    <cfRule type="cellIs" dxfId="290" priority="55" stopIfTrue="1" operator="equal">
      <formula>"ERROR"</formula>
    </cfRule>
    <cfRule type="cellIs" dxfId="289" priority="56" stopIfTrue="1" operator="equal">
      <formula>"OK"</formula>
    </cfRule>
    <cfRule type="cellIs" dxfId="288" priority="57" stopIfTrue="1" operator="equal">
      <formula>"WARNING"</formula>
    </cfRule>
  </conditionalFormatting>
  <conditionalFormatting sqref="BA54">
    <cfRule type="cellIs" dxfId="287" priority="52" stopIfTrue="1" operator="equal">
      <formula>"ERROR"</formula>
    </cfRule>
    <cfRule type="cellIs" dxfId="286" priority="53" stopIfTrue="1" operator="equal">
      <formula>"OK"</formula>
    </cfRule>
    <cfRule type="cellIs" dxfId="285" priority="54" stopIfTrue="1" operator="equal">
      <formula>"WARNING"</formula>
    </cfRule>
  </conditionalFormatting>
  <conditionalFormatting sqref="BA55:BA56">
    <cfRule type="cellIs" dxfId="284" priority="49" stopIfTrue="1" operator="equal">
      <formula>"ERROR"</formula>
    </cfRule>
    <cfRule type="cellIs" dxfId="283" priority="50" stopIfTrue="1" operator="equal">
      <formula>"OK"</formula>
    </cfRule>
    <cfRule type="cellIs" dxfId="282" priority="51" stopIfTrue="1" operator="equal">
      <formula>"WARNING"</formula>
    </cfRule>
  </conditionalFormatting>
  <conditionalFormatting sqref="BC25:BD25 BC26:BC41 BE26:BF26 BE27:BE41 BF27:BF47">
    <cfRule type="cellIs" dxfId="281" priority="46" stopIfTrue="1" operator="equal">
      <formula>"ERROR"</formula>
    </cfRule>
    <cfRule type="cellIs" dxfId="280" priority="47" stopIfTrue="1" operator="equal">
      <formula>"OK"</formula>
    </cfRule>
    <cfRule type="cellIs" dxfId="279" priority="48" stopIfTrue="1" operator="equal">
      <formula>"WARNING"</formula>
    </cfRule>
  </conditionalFormatting>
  <conditionalFormatting sqref="BD26:BD41">
    <cfRule type="cellIs" dxfId="278" priority="43" stopIfTrue="1" operator="equal">
      <formula>"ERROR"</formula>
    </cfRule>
    <cfRule type="cellIs" dxfId="277" priority="44" stopIfTrue="1" operator="equal">
      <formula>"OK"</formula>
    </cfRule>
    <cfRule type="cellIs" dxfId="276" priority="45" stopIfTrue="1" operator="equal">
      <formula>"WARNING"</formula>
    </cfRule>
  </conditionalFormatting>
  <conditionalFormatting sqref="BC46:BC47 BE46:BE47">
    <cfRule type="cellIs" dxfId="275" priority="40" stopIfTrue="1" operator="equal">
      <formula>"ERROR"</formula>
    </cfRule>
    <cfRule type="cellIs" dxfId="274" priority="41" stopIfTrue="1" operator="equal">
      <formula>"OK"</formula>
    </cfRule>
    <cfRule type="cellIs" dxfId="273" priority="42" stopIfTrue="1" operator="equal">
      <formula>"WARNING"</formula>
    </cfRule>
  </conditionalFormatting>
  <conditionalFormatting sqref="BD46:BD47">
    <cfRule type="cellIs" dxfId="272" priority="37" stopIfTrue="1" operator="equal">
      <formula>"ERROR"</formula>
    </cfRule>
    <cfRule type="cellIs" dxfId="271" priority="38" stopIfTrue="1" operator="equal">
      <formula>"OK"</formula>
    </cfRule>
    <cfRule type="cellIs" dxfId="270" priority="39" stopIfTrue="1" operator="equal">
      <formula>"WARNING"</formula>
    </cfRule>
  </conditionalFormatting>
  <conditionalFormatting sqref="BC42:BC45 BE42:BE45">
    <cfRule type="cellIs" dxfId="269" priority="34" stopIfTrue="1" operator="equal">
      <formula>"ERROR"</formula>
    </cfRule>
    <cfRule type="cellIs" dxfId="268" priority="35" stopIfTrue="1" operator="equal">
      <formula>"OK"</formula>
    </cfRule>
    <cfRule type="cellIs" dxfId="267" priority="36" stopIfTrue="1" operator="equal">
      <formula>"WARNING"</formula>
    </cfRule>
  </conditionalFormatting>
  <conditionalFormatting sqref="BD42:BD45">
    <cfRule type="cellIs" dxfId="266" priority="31" stopIfTrue="1" operator="equal">
      <formula>"ERROR"</formula>
    </cfRule>
    <cfRule type="cellIs" dxfId="265" priority="32" stopIfTrue="1" operator="equal">
      <formula>"OK"</formula>
    </cfRule>
    <cfRule type="cellIs" dxfId="264" priority="33" stopIfTrue="1" operator="equal">
      <formula>"WARNING"</formula>
    </cfRule>
  </conditionalFormatting>
  <conditionalFormatting sqref="BS24">
    <cfRule type="cellIs" dxfId="263" priority="28" stopIfTrue="1" operator="equal">
      <formula>"ERROR"</formula>
    </cfRule>
    <cfRule type="cellIs" dxfId="262" priority="29" stopIfTrue="1" operator="equal">
      <formula>"OK"</formula>
    </cfRule>
    <cfRule type="cellIs" dxfId="261" priority="30" stopIfTrue="1" operator="equal">
      <formula>"WARNING"</formula>
    </cfRule>
  </conditionalFormatting>
  <conditionalFormatting sqref="CA77:CA78">
    <cfRule type="cellIs" dxfId="260" priority="25" stopIfTrue="1" operator="equal">
      <formula>"ERROR"</formula>
    </cfRule>
    <cfRule type="cellIs" dxfId="259" priority="26" stopIfTrue="1" operator="equal">
      <formula>"OK"</formula>
    </cfRule>
    <cfRule type="cellIs" dxfId="258" priority="27" stopIfTrue="1" operator="equal">
      <formula>"WARNING"</formula>
    </cfRule>
  </conditionalFormatting>
  <conditionalFormatting sqref="CA79:CA80">
    <cfRule type="cellIs" dxfId="257" priority="22" stopIfTrue="1" operator="equal">
      <formula>"ERROR"</formula>
    </cfRule>
    <cfRule type="cellIs" dxfId="256" priority="23" stopIfTrue="1" operator="equal">
      <formula>"OK"</formula>
    </cfRule>
    <cfRule type="cellIs" dxfId="255" priority="24" stopIfTrue="1" operator="equal">
      <formula>"WARNING"</formula>
    </cfRule>
  </conditionalFormatting>
  <conditionalFormatting sqref="CA81:CA82">
    <cfRule type="cellIs" dxfId="254" priority="19" stopIfTrue="1" operator="equal">
      <formula>"ERROR"</formula>
    </cfRule>
    <cfRule type="cellIs" dxfId="253" priority="20" stopIfTrue="1" operator="equal">
      <formula>"OK"</formula>
    </cfRule>
    <cfRule type="cellIs" dxfId="252" priority="21" stopIfTrue="1" operator="equal">
      <formula>"WARNING"</formula>
    </cfRule>
  </conditionalFormatting>
  <conditionalFormatting sqref="CA80">
    <cfRule type="cellIs" dxfId="251" priority="16" stopIfTrue="1" operator="equal">
      <formula>"ERROR"</formula>
    </cfRule>
    <cfRule type="cellIs" dxfId="250" priority="17" stopIfTrue="1" operator="equal">
      <formula>"OK"</formula>
    </cfRule>
    <cfRule type="cellIs" dxfId="249" priority="18" stopIfTrue="1" operator="equal">
      <formula>"WARNING"</formula>
    </cfRule>
  </conditionalFormatting>
  <conditionalFormatting sqref="CA81:CA82">
    <cfRule type="cellIs" dxfId="248" priority="13" stopIfTrue="1" operator="equal">
      <formula>"ERROR"</formula>
    </cfRule>
    <cfRule type="cellIs" dxfId="247" priority="14" stopIfTrue="1" operator="equal">
      <formula>"OK"</formula>
    </cfRule>
    <cfRule type="cellIs" dxfId="246" priority="15" stopIfTrue="1" operator="equal">
      <formula>"WARNING"</formula>
    </cfRule>
  </conditionalFormatting>
  <conditionalFormatting sqref="BY22">
    <cfRule type="cellIs" dxfId="245" priority="10" stopIfTrue="1" operator="equal">
      <formula>"ERROR"</formula>
    </cfRule>
    <cfRule type="cellIs" dxfId="244" priority="11" stopIfTrue="1" operator="equal">
      <formula>"OK"</formula>
    </cfRule>
    <cfRule type="cellIs" dxfId="243" priority="12" stopIfTrue="1" operator="equal">
      <formula>"WARNING"</formula>
    </cfRule>
  </conditionalFormatting>
  <conditionalFormatting sqref="H64:J79">
    <cfRule type="cellIs" dxfId="242" priority="145" stopIfTrue="1" operator="equal">
      <formula>"ERROR"</formula>
    </cfRule>
  </conditionalFormatting>
  <conditionalFormatting sqref="H64:J79">
    <cfRule type="cellIs" dxfId="241" priority="146" stopIfTrue="1" operator="equal">
      <formula>"OK"</formula>
    </cfRule>
  </conditionalFormatting>
  <conditionalFormatting sqref="H64:J79">
    <cfRule type="cellIs" dxfId="240" priority="147" stopIfTrue="1" operator="equal">
      <formula>"WARNING"</formula>
    </cfRule>
  </conditionalFormatting>
  <conditionalFormatting sqref="C60">
    <cfRule type="cellIs" dxfId="239" priority="7" stopIfTrue="1" operator="equal">
      <formula>"ERROR"</formula>
    </cfRule>
  </conditionalFormatting>
  <conditionalFormatting sqref="C60">
    <cfRule type="cellIs" dxfId="238" priority="8" stopIfTrue="1" operator="equal">
      <formula>"OK"</formula>
    </cfRule>
  </conditionalFormatting>
  <conditionalFormatting sqref="C60">
    <cfRule type="cellIs" dxfId="237" priority="9" stopIfTrue="1" operator="equal">
      <formula>"WARNING"</formula>
    </cfRule>
  </conditionalFormatting>
  <conditionalFormatting sqref="C61">
    <cfRule type="cellIs" dxfId="236" priority="4" stopIfTrue="1" operator="equal">
      <formula>"ERROR"</formula>
    </cfRule>
  </conditionalFormatting>
  <conditionalFormatting sqref="C61">
    <cfRule type="cellIs" dxfId="235" priority="5" stopIfTrue="1" operator="equal">
      <formula>"OK"</formula>
    </cfRule>
  </conditionalFormatting>
  <conditionalFormatting sqref="C61">
    <cfRule type="cellIs" dxfId="234" priority="6" stopIfTrue="1" operator="equal">
      <formula>"WARNING"</formula>
    </cfRule>
  </conditionalFormatting>
  <conditionalFormatting sqref="I11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B12:C12" location="SinlgeCurveBootstrapping.Title.FlatCurve3mJIBAR" display="SinlgeCurveBootstrapping.Title.FlatCurve3mJIBAR" xr:uid="{FD99D492-5903-451C-B64E-2436C274EEE5}"/>
    <hyperlink ref="R87" r:id="rId2" xr:uid="{1E8674F0-71D9-4940-A38B-A454D20F27EA}"/>
    <hyperlink ref="B13:C13" location="SinlgeCurveBootstrapping.Title.RealCurve3mJIBAR" display="SinlgeCurveBootstrapping.Title.RealCurve3mJIBAR" xr:uid="{D136C4A4-E52C-451C-AA87-97C19147958A}"/>
    <hyperlink ref="AH59" r:id="rId3" xr:uid="{32E84A7D-5DFC-4C02-BF7E-1C234160C1D7}"/>
    <hyperlink ref="B16:C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F11:G11" location="$B$11" display="$B$11" xr:uid="{5441A30A-408A-4BE5-846E-611627F2FC13}"/>
    <hyperlink ref="H11" location="$B$11" display="$B$11" xr:uid="{951AFCD3-4ECC-4ED8-90B1-083F5AD00E53}"/>
    <hyperlink ref="F11:H11" location="SinlgeCurveBootstrapping.Title.d.Curve_GetInstruments" display="SinlgeCurveBootstrapping.Title.d.Curve_GetInstruments" xr:uid="{14E6199E-A77C-4314-B608-69B6A75FF4D9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aca="1" ref="C4" ca="1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aca="1" ref="C8" ca="1">_xll.d.TestUtils_And(J20,J23,H26:J28,H31:J33,Y20,Y23,Y26,Y31)</f>
        <v>Ok</v>
      </c>
      <c r="E8" s="628" t="s">
        <v>589</v>
      </c>
    </row>
    <row r="9" spans="2:34" x14ac:dyDescent="0.25">
      <c r="B9" s="496" t="s">
        <v>586</v>
      </c>
      <c r="C9" s="174" t="str" cm="1">
        <f t="array" aca="1" ref="C9" ca="1">_xll.d.TestUtils_And(J39,J42,H45:J47,H50:J52,Y39,Y42,Y45,Y50)</f>
        <v>Ok</v>
      </c>
      <c r="E9" s="628" t="s">
        <v>590</v>
      </c>
    </row>
    <row r="12" spans="2:34" x14ac:dyDescent="0.25">
      <c r="B12" s="59" t="s">
        <v>594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591</v>
      </c>
      <c r="F19" s="59"/>
      <c r="G19" s="59"/>
      <c r="H19" s="59" t="s">
        <v>595</v>
      </c>
      <c r="I19" s="59"/>
      <c r="J19" s="59"/>
      <c r="K19" s="59" t="s">
        <v>598</v>
      </c>
      <c r="L19" s="59"/>
      <c r="M19" s="59"/>
      <c r="N19" s="59"/>
      <c r="O19" s="59"/>
      <c r="P19" s="59"/>
      <c r="Q19" s="59"/>
      <c r="R19" s="59" t="s">
        <v>597</v>
      </c>
      <c r="S19" s="59"/>
      <c r="T19" s="59"/>
      <c r="U19" s="59"/>
      <c r="V19" s="59"/>
      <c r="W19" s="59"/>
      <c r="X19" s="59"/>
      <c r="Y19" s="59" t="s">
        <v>599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aca="1" ref="D20" ca="1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aca="1" ref="J20" ca="1">_xll.d.TestUtils_Equal(FixEMSLinks.File1.SingleCell,G20)</f>
        <v>Ok</v>
      </c>
      <c r="K20" s="687" t="s">
        <v>600</v>
      </c>
      <c r="L20" s="688"/>
      <c r="M20" s="688"/>
      <c r="N20" s="688"/>
      <c r="O20" s="688"/>
      <c r="P20" s="688"/>
      <c r="Q20" s="689"/>
      <c r="R20" s="688" t="s">
        <v>600</v>
      </c>
      <c r="S20" s="688"/>
      <c r="T20" s="688"/>
      <c r="U20" s="688"/>
      <c r="V20" s="688"/>
      <c r="W20" s="688"/>
      <c r="X20" s="689"/>
      <c r="Y20" s="310" t="str" cm="1">
        <f t="array" aca="1" ref="Y20" ca="1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aca="1" ref="AH20" ca="1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591</v>
      </c>
      <c r="F22" s="59"/>
      <c r="G22" s="59"/>
      <c r="H22" s="59" t="s">
        <v>595</v>
      </c>
      <c r="I22" s="59"/>
      <c r="J22" s="59"/>
      <c r="K22" s="59" t="s">
        <v>598</v>
      </c>
      <c r="L22" s="59"/>
      <c r="M22" s="59"/>
      <c r="N22" s="59"/>
      <c r="O22" s="59"/>
      <c r="P22" s="59"/>
      <c r="Q22" s="59"/>
      <c r="R22" s="59" t="s">
        <v>597</v>
      </c>
      <c r="S22" s="59"/>
      <c r="T22" s="59"/>
      <c r="U22" s="59"/>
      <c r="V22" s="59"/>
      <c r="W22" s="59"/>
      <c r="X22" s="59"/>
      <c r="Y22" s="59" t="s">
        <v>599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aca="1" ref="D23" ca="1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aca="1" ref="J23" ca="1">_xll.d.TestUtils_Equal(FixEMSLinks.File1.SingleCellNamedRange,G23)</f>
        <v>Ok</v>
      </c>
      <c r="K23" s="687" t="s">
        <v>600</v>
      </c>
      <c r="L23" s="688"/>
      <c r="M23" s="688"/>
      <c r="N23" s="688"/>
      <c r="O23" s="688"/>
      <c r="P23" s="688"/>
      <c r="Q23" s="689"/>
      <c r="R23" s="688" t="s">
        <v>600</v>
      </c>
      <c r="S23" s="688"/>
      <c r="T23" s="688"/>
      <c r="U23" s="688"/>
      <c r="V23" s="688"/>
      <c r="W23" s="688"/>
      <c r="X23" s="689"/>
      <c r="Y23" s="310" t="str" cm="1">
        <f t="array" aca="1" ref="Y23" ca="1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aca="1" ref="AH23" ca="1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596</v>
      </c>
      <c r="F25" s="59"/>
      <c r="G25" s="59"/>
      <c r="H25" s="59" t="s">
        <v>595</v>
      </c>
      <c r="I25" s="59"/>
      <c r="J25" s="59"/>
      <c r="K25" s="59" t="s">
        <v>598</v>
      </c>
      <c r="L25" s="59"/>
      <c r="M25" s="59"/>
      <c r="N25" s="59"/>
      <c r="O25" s="59"/>
      <c r="P25" s="59"/>
      <c r="Q25" s="59"/>
      <c r="R25" s="59" t="s">
        <v>597</v>
      </c>
      <c r="S25" s="59"/>
      <c r="T25" s="59"/>
      <c r="U25" s="59"/>
      <c r="V25" s="59"/>
      <c r="W25" s="59"/>
      <c r="X25" s="59"/>
      <c r="Y25" s="59" t="s">
        <v>599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aca="1" ref="B26:D28" ca="1">[1]Sheet1!$B$9:$D$11</f>
        <v>1654654654</v>
      </c>
      <c r="C26" s="674">
        <f ca="1"/>
        <v>3554129</v>
      </c>
      <c r="D26" s="675">
        <f ca="1"/>
        <v>321754</v>
      </c>
      <c r="E26" s="673">
        <v>1654654654</v>
      </c>
      <c r="F26" s="674">
        <v>3554129</v>
      </c>
      <c r="G26" s="675">
        <v>321754</v>
      </c>
      <c r="H26" s="310" t="str" cm="1">
        <f t="array" aca="1" ref="H26" ca="1">_xll.d.TestUtils_Equal(B26,E26)</f>
        <v>Ok</v>
      </c>
      <c r="I26" s="310" t="str" cm="1">
        <f t="array" aca="1" ref="I26" ca="1">_xll.d.TestUtils_Equal(C26,F26)</f>
        <v>Ok</v>
      </c>
      <c r="J26" s="310" t="str" cm="1">
        <f t="array" aca="1" ref="J26" ca="1">_xll.d.TestUtils_Equal(D26,G26)</f>
        <v>Ok</v>
      </c>
      <c r="K26" s="696" t="s">
        <v>600</v>
      </c>
      <c r="L26" s="690"/>
      <c r="M26" s="690"/>
      <c r="N26" s="690"/>
      <c r="O26" s="690"/>
      <c r="P26" s="690"/>
      <c r="Q26" s="691"/>
      <c r="R26" s="690" t="s">
        <v>600</v>
      </c>
      <c r="S26" s="690"/>
      <c r="T26" s="690"/>
      <c r="U26" s="690"/>
      <c r="V26" s="690"/>
      <c r="W26" s="690"/>
      <c r="X26" s="691"/>
      <c r="Y26" s="310" t="str" cm="1">
        <f t="array" aca="1" ref="Y26" ca="1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aca="1" ref="AF26:AH28" ca="1">[2]Sheet1!$B$9:$D$11</f>
        <v>6768</v>
      </c>
      <c r="AG26" s="667">
        <f ca="1"/>
        <v>87784</v>
      </c>
      <c r="AH26" s="667">
        <f ca="1"/>
        <v>8486787</v>
      </c>
    </row>
    <row r="27" spans="2:34" x14ac:dyDescent="0.25">
      <c r="B27" s="676">
        <f ca="1"/>
        <v>454654</v>
      </c>
      <c r="C27" s="677">
        <f ca="1"/>
        <v>23154</v>
      </c>
      <c r="D27" s="678">
        <f ca="1"/>
        <v>258724</v>
      </c>
      <c r="E27" s="676">
        <v>454654</v>
      </c>
      <c r="F27" s="677">
        <v>23154</v>
      </c>
      <c r="G27" s="678">
        <v>258724</v>
      </c>
      <c r="H27" s="310" t="str" cm="1">
        <f t="array" aca="1" ref="H27" ca="1">_xll.d.TestUtils_Equal(B27,E27)</f>
        <v>Ok</v>
      </c>
      <c r="I27" s="310" t="str" cm="1">
        <f t="array" aca="1" ref="I27" ca="1">_xll.d.TestUtils_Equal(C27,F27)</f>
        <v>Ok</v>
      </c>
      <c r="J27" s="310" t="str" cm="1">
        <f t="array" aca="1" ref="J27" ca="1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f ca="1"/>
        <v>351132</v>
      </c>
      <c r="AG27" s="667">
        <f ca="1"/>
        <v>468468</v>
      </c>
      <c r="AH27" s="667">
        <f ca="1"/>
        <v>486864</v>
      </c>
    </row>
    <row r="28" spans="2:34" x14ac:dyDescent="0.25">
      <c r="B28" s="679">
        <f ca="1"/>
        <v>873213</v>
      </c>
      <c r="C28" s="680">
        <f ca="1"/>
        <v>45321</v>
      </c>
      <c r="D28" s="681">
        <f ca="1"/>
        <v>1475435</v>
      </c>
      <c r="E28" s="679">
        <v>873213</v>
      </c>
      <c r="F28" s="680">
        <v>45321</v>
      </c>
      <c r="G28" s="681">
        <v>1475435</v>
      </c>
      <c r="H28" s="310" t="str" cm="1">
        <f t="array" aca="1" ref="H28" ca="1">_xll.d.TestUtils_Equal(B28,E28)</f>
        <v>Ok</v>
      </c>
      <c r="I28" s="310" t="str" cm="1">
        <f t="array" aca="1" ref="I28" ca="1">_xll.d.TestUtils_Equal(C28,F28)</f>
        <v>Ok</v>
      </c>
      <c r="J28" s="310" t="str" cm="1">
        <f t="array" aca="1" ref="J28" ca="1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f ca="1"/>
        <v>49848519</v>
      </c>
      <c r="AG28" s="667">
        <f ca="1"/>
        <v>1974746</v>
      </c>
      <c r="AH28" s="667">
        <f ca="1"/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596</v>
      </c>
      <c r="F30" s="59"/>
      <c r="G30" s="59"/>
      <c r="H30" s="59" t="s">
        <v>595</v>
      </c>
      <c r="I30" s="59"/>
      <c r="J30" s="59"/>
      <c r="K30" s="59" t="s">
        <v>598</v>
      </c>
      <c r="L30" s="59"/>
      <c r="M30" s="59"/>
      <c r="N30" s="59"/>
      <c r="O30" s="59"/>
      <c r="P30" s="59"/>
      <c r="Q30" s="59"/>
      <c r="R30" s="59" t="s">
        <v>597</v>
      </c>
      <c r="S30" s="59"/>
      <c r="T30" s="59"/>
      <c r="U30" s="59"/>
      <c r="V30" s="59"/>
      <c r="W30" s="59"/>
      <c r="X30" s="59"/>
      <c r="Y30" s="59" t="s">
        <v>599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aca="1" ref="B31:D33" ca="1">[1]!Array</f>
        <v>154</v>
      </c>
      <c r="C31" s="674">
        <f ca="1"/>
        <v>254257</v>
      </c>
      <c r="D31" s="675">
        <f ca="1"/>
        <v>1358354</v>
      </c>
      <c r="E31" s="673">
        <v>154</v>
      </c>
      <c r="F31" s="674">
        <v>254257</v>
      </c>
      <c r="G31" s="675">
        <v>1358354</v>
      </c>
      <c r="H31" s="310" t="str" cm="1">
        <f t="array" aca="1" ref="H31" ca="1">_xll.d.TestUtils_Equal(B31,E31)</f>
        <v>Ok</v>
      </c>
      <c r="I31" s="310" t="str" cm="1">
        <f t="array" aca="1" ref="I31" ca="1">_xll.d.TestUtils_Equal(C31,F31)</f>
        <v>Ok</v>
      </c>
      <c r="J31" s="310" t="str" cm="1">
        <f t="array" aca="1" ref="J31" ca="1">_xll.d.TestUtils_Equal(D31,G31)</f>
        <v>Ok</v>
      </c>
      <c r="K31" s="696" t="s">
        <v>600</v>
      </c>
      <c r="L31" s="690"/>
      <c r="M31" s="690"/>
      <c r="N31" s="690"/>
      <c r="O31" s="690"/>
      <c r="P31" s="690"/>
      <c r="Q31" s="691"/>
      <c r="R31" s="690" t="s">
        <v>600</v>
      </c>
      <c r="S31" s="690"/>
      <c r="T31" s="690"/>
      <c r="U31" s="690"/>
      <c r="V31" s="690"/>
      <c r="W31" s="690"/>
      <c r="X31" s="691"/>
      <c r="Y31" s="310" t="str" cm="1">
        <f t="array" aca="1" ref="Y31" ca="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aca="1" ref="AF31:AH33" ca="1">[2]!Array</f>
        <v>56384</v>
      </c>
      <c r="AG31" s="667">
        <f ca="1"/>
        <v>89436</v>
      </c>
      <c r="AH31" s="667">
        <f ca="1"/>
        <v>4497</v>
      </c>
    </row>
    <row r="32" spans="2:34" x14ac:dyDescent="0.25">
      <c r="B32" s="676">
        <f ca="1"/>
        <v>835</v>
      </c>
      <c r="C32" s="677">
        <f ca="1"/>
        <v>76843</v>
      </c>
      <c r="D32" s="678">
        <f ca="1"/>
        <v>332156</v>
      </c>
      <c r="E32" s="676">
        <v>835</v>
      </c>
      <c r="F32" s="677">
        <v>76843</v>
      </c>
      <c r="G32" s="678">
        <v>332156</v>
      </c>
      <c r="H32" s="310" t="str" cm="1">
        <f t="array" aca="1" ref="H32" ca="1">_xll.d.TestUtils_Equal(B32,E32)</f>
        <v>Ok</v>
      </c>
      <c r="I32" s="310" t="str" cm="1">
        <f t="array" aca="1" ref="I32" ca="1">_xll.d.TestUtils_Equal(C32,F32)</f>
        <v>Ok</v>
      </c>
      <c r="J32" s="310" t="str" cm="1">
        <f t="array" aca="1" ref="J32" ca="1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f ca="1"/>
        <v>486465</v>
      </c>
      <c r="AG32" s="667">
        <f ca="1"/>
        <v>4863</v>
      </c>
      <c r="AH32" s="667">
        <f ca="1"/>
        <v>44978</v>
      </c>
    </row>
    <row r="33" spans="2:34" x14ac:dyDescent="0.25">
      <c r="B33" s="679">
        <f ca="1"/>
        <v>45358</v>
      </c>
      <c r="C33" s="680">
        <f ca="1"/>
        <v>6546</v>
      </c>
      <c r="D33" s="681">
        <f ca="1"/>
        <v>53853654</v>
      </c>
      <c r="E33" s="679">
        <v>45358</v>
      </c>
      <c r="F33" s="680">
        <v>6546</v>
      </c>
      <c r="G33" s="681">
        <v>53853654</v>
      </c>
      <c r="H33" s="310" t="str" cm="1">
        <f t="array" aca="1" ref="H33" ca="1">_xll.d.TestUtils_Equal(B33,E33)</f>
        <v>Ok</v>
      </c>
      <c r="I33" s="310" t="str" cm="1">
        <f t="array" aca="1" ref="I33" ca="1">_xll.d.TestUtils_Equal(C33,F33)</f>
        <v>Ok</v>
      </c>
      <c r="J33" s="310" t="str" cm="1">
        <f t="array" aca="1" ref="J33" ca="1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f ca="1"/>
        <v>687845</v>
      </c>
      <c r="AG33" s="667">
        <f ca="1"/>
        <v>8977986</v>
      </c>
      <c r="AH33" s="667">
        <f ca="1"/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591</v>
      </c>
      <c r="F38" s="59"/>
      <c r="G38" s="59"/>
      <c r="H38" s="59" t="s">
        <v>595</v>
      </c>
      <c r="I38" s="59"/>
      <c r="J38" s="59"/>
      <c r="K38" s="59" t="s">
        <v>598</v>
      </c>
      <c r="L38" s="59"/>
      <c r="M38" s="59"/>
      <c r="N38" s="59"/>
      <c r="O38" s="59"/>
      <c r="P38" s="59"/>
      <c r="Q38" s="59"/>
      <c r="R38" s="59" t="s">
        <v>597</v>
      </c>
      <c r="S38" s="59"/>
      <c r="T38" s="59"/>
      <c r="U38" s="59"/>
      <c r="V38" s="59"/>
      <c r="W38" s="59"/>
      <c r="X38" s="59"/>
      <c r="Y38" s="59" t="s">
        <v>599</v>
      </c>
    </row>
    <row r="39" spans="2:34" x14ac:dyDescent="0.25">
      <c r="B39" s="682"/>
      <c r="C39" s="683"/>
      <c r="D39" s="683">
        <f t="array" aca="1" ref="D39" ca="1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aca="1" ref="J39" ca="1">_xll.d.TestUtils_Equal(D39,G39)</f>
        <v>Ok</v>
      </c>
      <c r="K39" s="687" t="s">
        <v>600</v>
      </c>
      <c r="L39" s="688"/>
      <c r="M39" s="688"/>
      <c r="N39" s="688"/>
      <c r="O39" s="688"/>
      <c r="P39" s="688"/>
      <c r="Q39" s="689"/>
      <c r="R39" s="688" t="s">
        <v>600</v>
      </c>
      <c r="S39" s="688"/>
      <c r="T39" s="688"/>
      <c r="U39" s="688"/>
      <c r="V39" s="688"/>
      <c r="W39" s="688"/>
      <c r="X39" s="689"/>
      <c r="Y39" s="310" t="str" cm="1">
        <f t="array" aca="1" ref="Y39" ca="1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591</v>
      </c>
      <c r="F41" s="59"/>
      <c r="G41" s="59"/>
      <c r="H41" s="59" t="s">
        <v>595</v>
      </c>
      <c r="I41" s="59"/>
      <c r="J41" s="59"/>
      <c r="K41" s="59" t="s">
        <v>598</v>
      </c>
      <c r="L41" s="59"/>
      <c r="M41" s="59"/>
      <c r="N41" s="59"/>
      <c r="O41" s="59"/>
      <c r="P41" s="59"/>
      <c r="Q41" s="59"/>
      <c r="R41" s="59" t="s">
        <v>597</v>
      </c>
      <c r="S41" s="59"/>
      <c r="T41" s="59"/>
      <c r="U41" s="59"/>
      <c r="V41" s="59"/>
      <c r="W41" s="59"/>
      <c r="X41" s="59"/>
      <c r="Y41" s="59" t="s">
        <v>599</v>
      </c>
    </row>
    <row r="42" spans="2:34" x14ac:dyDescent="0.25">
      <c r="B42" s="682"/>
      <c r="C42" s="683"/>
      <c r="D42" s="683">
        <f t="array" aca="1" ref="D42" ca="1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aca="1" ref="J42" ca="1">_xll.d.TestUtils_Equal(D42,G42)</f>
        <v>Ok</v>
      </c>
      <c r="K42" s="687" t="s">
        <v>600</v>
      </c>
      <c r="L42" s="688"/>
      <c r="M42" s="688"/>
      <c r="N42" s="688"/>
      <c r="O42" s="688"/>
      <c r="P42" s="688"/>
      <c r="Q42" s="689"/>
      <c r="R42" s="688" t="s">
        <v>600</v>
      </c>
      <c r="S42" s="688"/>
      <c r="T42" s="688"/>
      <c r="U42" s="688"/>
      <c r="V42" s="688"/>
      <c r="W42" s="688"/>
      <c r="X42" s="689"/>
      <c r="Y42" s="310" t="str" cm="1">
        <f t="array" aca="1" ref="Y42" ca="1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596</v>
      </c>
      <c r="F44" s="59"/>
      <c r="G44" s="59"/>
      <c r="H44" s="59" t="s">
        <v>595</v>
      </c>
      <c r="I44" s="59"/>
      <c r="J44" s="59"/>
      <c r="K44" s="59" t="s">
        <v>598</v>
      </c>
      <c r="L44" s="59"/>
      <c r="M44" s="59"/>
      <c r="N44" s="59"/>
      <c r="O44" s="59"/>
      <c r="P44" s="59"/>
      <c r="Q44" s="59"/>
      <c r="R44" s="59" t="s">
        <v>597</v>
      </c>
      <c r="S44" s="59"/>
      <c r="T44" s="59"/>
      <c r="U44" s="59"/>
      <c r="V44" s="59"/>
      <c r="W44" s="59"/>
      <c r="X44" s="59"/>
      <c r="Y44" s="59" t="s">
        <v>599</v>
      </c>
    </row>
    <row r="45" spans="2:34" x14ac:dyDescent="0.25">
      <c r="B45" s="673">
        <f t="array" aca="1" ref="B45:D47" ca="1">[2]Sheet1!$B$9:$D$11</f>
        <v>6768</v>
      </c>
      <c r="C45" s="674">
        <f ca="1"/>
        <v>87784</v>
      </c>
      <c r="D45" s="675">
        <f ca="1"/>
        <v>8486787</v>
      </c>
      <c r="E45" s="673">
        <v>6768</v>
      </c>
      <c r="F45" s="674">
        <v>87784</v>
      </c>
      <c r="G45" s="675">
        <v>8486787</v>
      </c>
      <c r="H45" s="310" t="str" cm="1">
        <f t="array" aca="1" ref="H45" ca="1">_xll.d.TestUtils_Equal(B45,E45)</f>
        <v>Ok</v>
      </c>
      <c r="I45" s="310" t="str" cm="1">
        <f t="array" aca="1" ref="I45" ca="1">_xll.d.TestUtils_Equal(C45,F45)</f>
        <v>Ok</v>
      </c>
      <c r="J45" s="310" t="str" cm="1">
        <f t="array" aca="1" ref="J45" ca="1">_xll.d.TestUtils_Equal(D45,G45)</f>
        <v>Ok</v>
      </c>
      <c r="K45" s="696" t="s">
        <v>600</v>
      </c>
      <c r="L45" s="690"/>
      <c r="M45" s="690"/>
      <c r="N45" s="690"/>
      <c r="O45" s="690"/>
      <c r="P45" s="690"/>
      <c r="Q45" s="691"/>
      <c r="R45" s="690" t="s">
        <v>600</v>
      </c>
      <c r="S45" s="690"/>
      <c r="T45" s="690"/>
      <c r="U45" s="690"/>
      <c r="V45" s="690"/>
      <c r="W45" s="690"/>
      <c r="X45" s="691"/>
      <c r="Y45" s="310" t="str" cm="1">
        <f t="array" aca="1" ref="Y45" ca="1">_xll.d.TestUtils_Equal(K45,FixEMSLinks.File2.Array.ActualPath)</f>
        <v>Ok</v>
      </c>
    </row>
    <row r="46" spans="2:34" x14ac:dyDescent="0.25">
      <c r="B46" s="676">
        <f ca="1"/>
        <v>351132</v>
      </c>
      <c r="C46" s="677">
        <f ca="1"/>
        <v>468468</v>
      </c>
      <c r="D46" s="678">
        <f ca="1"/>
        <v>486864</v>
      </c>
      <c r="E46" s="676">
        <v>351132</v>
      </c>
      <c r="F46" s="677">
        <v>468468</v>
      </c>
      <c r="G46" s="678">
        <v>486864</v>
      </c>
      <c r="H46" s="310" t="str" cm="1">
        <f t="array" aca="1" ref="H46" ca="1">_xll.d.TestUtils_Equal(B46,E46)</f>
        <v>Ok</v>
      </c>
      <c r="I46" s="310" t="str" cm="1">
        <f t="array" aca="1" ref="I46" ca="1">_xll.d.TestUtils_Equal(C46,F46)</f>
        <v>Ok</v>
      </c>
      <c r="J46" s="310" t="str" cm="1">
        <f t="array" aca="1" ref="J46" ca="1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f ca="1"/>
        <v>49848519</v>
      </c>
      <c r="C47" s="680">
        <f ca="1"/>
        <v>1974746</v>
      </c>
      <c r="D47" s="681">
        <f ca="1"/>
        <v>5445</v>
      </c>
      <c r="E47" s="679">
        <v>49848519</v>
      </c>
      <c r="F47" s="680">
        <v>1974746</v>
      </c>
      <c r="G47" s="681">
        <v>5445</v>
      </c>
      <c r="H47" s="310" t="str" cm="1">
        <f t="array" aca="1" ref="H47" ca="1">_xll.d.TestUtils_Equal(B47,E47)</f>
        <v>Ok</v>
      </c>
      <c r="I47" s="310" t="str" cm="1">
        <f t="array" aca="1" ref="I47" ca="1">_xll.d.TestUtils_Equal(C47,F47)</f>
        <v>Ok</v>
      </c>
      <c r="J47" s="310" t="str" cm="1">
        <f t="array" aca="1" ref="J47" ca="1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596</v>
      </c>
      <c r="F49" s="59"/>
      <c r="G49" s="59"/>
      <c r="H49" s="59" t="s">
        <v>595</v>
      </c>
      <c r="I49" s="59"/>
      <c r="J49" s="59"/>
      <c r="K49" s="59" t="s">
        <v>598</v>
      </c>
      <c r="L49" s="59"/>
      <c r="M49" s="59"/>
      <c r="N49" s="59"/>
      <c r="O49" s="59"/>
      <c r="P49" s="59"/>
      <c r="Q49" s="59"/>
      <c r="R49" s="59" t="s">
        <v>597</v>
      </c>
      <c r="S49" s="59"/>
      <c r="T49" s="59"/>
      <c r="U49" s="59"/>
      <c r="V49" s="59"/>
      <c r="W49" s="59"/>
      <c r="X49" s="59"/>
      <c r="Y49" s="59" t="s">
        <v>599</v>
      </c>
    </row>
    <row r="50" spans="2:25" x14ac:dyDescent="0.25">
      <c r="B50" s="673">
        <f t="array" aca="1" ref="B50:D52" ca="1">[2]!Array</f>
        <v>56384</v>
      </c>
      <c r="C50" s="674">
        <f ca="1"/>
        <v>89436</v>
      </c>
      <c r="D50" s="675">
        <f ca="1"/>
        <v>4497</v>
      </c>
      <c r="E50" s="673">
        <v>56384</v>
      </c>
      <c r="F50" s="674">
        <v>89436</v>
      </c>
      <c r="G50" s="675">
        <v>4497</v>
      </c>
      <c r="H50" s="310" t="str" cm="1">
        <f t="array" aca="1" ref="H50" ca="1">_xll.d.TestUtils_Equal(B50,E50)</f>
        <v>Ok</v>
      </c>
      <c r="I50" s="310" t="str" cm="1">
        <f t="array" aca="1" ref="I50" ca="1">_xll.d.TestUtils_Equal(C50,F50)</f>
        <v>Ok</v>
      </c>
      <c r="J50" s="310" t="str" cm="1">
        <f t="array" aca="1" ref="J50" ca="1">_xll.d.TestUtils_Equal(D50,G50)</f>
        <v>Ok</v>
      </c>
      <c r="K50" s="696" t="s">
        <v>600</v>
      </c>
      <c r="L50" s="690"/>
      <c r="M50" s="690"/>
      <c r="N50" s="690"/>
      <c r="O50" s="690"/>
      <c r="P50" s="690"/>
      <c r="Q50" s="691"/>
      <c r="R50" s="690" t="s">
        <v>600</v>
      </c>
      <c r="S50" s="690"/>
      <c r="T50" s="690"/>
      <c r="U50" s="690"/>
      <c r="V50" s="690"/>
      <c r="W50" s="690"/>
      <c r="X50" s="691"/>
      <c r="Y50" s="310" t="str" cm="1">
        <f t="array" aca="1" ref="Y50" ca="1">_xll.d.TestUtils_Equal(K50,FixEMSLinks.File2.ArrayNamedRange.ActualPath)</f>
        <v>Ok</v>
      </c>
    </row>
    <row r="51" spans="2:25" x14ac:dyDescent="0.25">
      <c r="B51" s="676">
        <f ca="1"/>
        <v>486465</v>
      </c>
      <c r="C51" s="677">
        <f ca="1"/>
        <v>4863</v>
      </c>
      <c r="D51" s="678">
        <f ca="1"/>
        <v>44978</v>
      </c>
      <c r="E51" s="676">
        <v>486465</v>
      </c>
      <c r="F51" s="677">
        <v>4863</v>
      </c>
      <c r="G51" s="678">
        <v>44978</v>
      </c>
      <c r="H51" s="310" t="str" cm="1">
        <f t="array" aca="1" ref="H51" ca="1">_xll.d.TestUtils_Equal(B51,E51)</f>
        <v>Ok</v>
      </c>
      <c r="I51" s="310" t="str" cm="1">
        <f t="array" aca="1" ref="I51" ca="1">_xll.d.TestUtils_Equal(C51,F51)</f>
        <v>Ok</v>
      </c>
      <c r="J51" s="310" t="str" cm="1">
        <f t="array" aca="1" ref="J51" ca="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f ca="1"/>
        <v>687845</v>
      </c>
      <c r="C52" s="680">
        <f ca="1"/>
        <v>8977986</v>
      </c>
      <c r="D52" s="681">
        <f ca="1"/>
        <v>3687</v>
      </c>
      <c r="E52" s="679">
        <v>687845</v>
      </c>
      <c r="F52" s="680">
        <v>8977986</v>
      </c>
      <c r="G52" s="681">
        <v>3687</v>
      </c>
      <c r="H52" s="310" t="str" cm="1">
        <f t="array" aca="1" ref="H52" ca="1">_xll.d.TestUtils_Equal(B52,E52)</f>
        <v>Ok</v>
      </c>
      <c r="I52" s="310" t="str" cm="1">
        <f t="array" aca="1" ref="I52" ca="1">_xll.d.TestUtils_Equal(C52,F52)</f>
        <v>Ok</v>
      </c>
      <c r="J52" s="310" t="str" cm="1">
        <f t="array" aca="1" ref="J52" ca="1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Ok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Ok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Ok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Ok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Ok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Ok</v>
      </c>
    </row>
    <row r="8" spans="2:56" x14ac:dyDescent="0.25">
      <c r="B8" s="196" t="s">
        <v>107</v>
      </c>
      <c r="C8" s="174" t="str">
        <f ca="1">C48</f>
        <v>Ok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Ok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Ok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69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69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70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70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70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70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70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70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70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70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70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70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70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70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70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70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70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70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70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70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70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70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70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70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70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70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70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70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70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70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70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70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71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71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72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73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73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73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73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73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73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73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73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73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73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73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73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73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73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73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73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69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69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71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71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69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69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70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70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70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70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70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70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71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71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180</vt:i4>
      </vt:variant>
    </vt:vector>
  </HeadingPairs>
  <TitlesOfParts>
    <vt:vector size="20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2023-04-05T08:01:33Z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