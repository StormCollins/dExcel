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FB1D947-113B-4714-9DDD-E0A77E291AB3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24" l="1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D45" i="25" s="1"/>
  <c r="C45" i="25"/>
  <c r="D42" i="25" a="1"/>
  <c r="D42" i="25" s="1"/>
  <c r="D39" i="25" a="1"/>
  <c r="D39" i="25"/>
  <c r="AF31" i="25" a="1"/>
  <c r="AF31" i="25" s="1"/>
  <c r="AF26" i="25" a="1"/>
  <c r="AH26" i="25" s="1"/>
  <c r="AF26" i="25"/>
  <c r="AG26" i="25"/>
  <c r="AH23" i="25" a="1"/>
  <c r="AH23" i="25" s="1"/>
  <c r="AH20" i="25" a="1"/>
  <c r="AH20" i="25"/>
  <c r="B31" i="25" a="1"/>
  <c r="B31" i="25" s="1"/>
  <c r="B26" i="25" a="1"/>
  <c r="D26" i="25" s="1"/>
  <c r="D23" i="25" a="1"/>
  <c r="D23" i="25" s="1"/>
  <c r="D20" i="25" a="1"/>
  <c r="D20" i="25" s="1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C16" i="24" a="1"/>
  <c r="D27" i="3" a="1"/>
  <c r="G16" i="27" a="1"/>
  <c r="O27" i="3" a="1"/>
  <c r="C16" i="27" a="1"/>
  <c r="K16" i="27" a="1"/>
  <c r="C16" i="24" l="1"/>
  <c r="B45" i="25"/>
  <c r="C26" i="25"/>
  <c r="B26" i="25"/>
  <c r="B52" i="25"/>
  <c r="D33" i="25"/>
  <c r="D51" i="25"/>
  <c r="B33" i="25"/>
  <c r="AF33" i="25"/>
  <c r="C28" i="25"/>
  <c r="AG28" i="25"/>
  <c r="C47" i="25"/>
  <c r="C32" i="25"/>
  <c r="AG32" i="25"/>
  <c r="C51" i="25"/>
  <c r="D27" i="25"/>
  <c r="B32" i="25"/>
  <c r="AH27" i="25"/>
  <c r="AF32" i="25"/>
  <c r="D46" i="25"/>
  <c r="B51" i="25"/>
  <c r="C27" i="25"/>
  <c r="D31" i="25"/>
  <c r="AG27" i="25"/>
  <c r="AH31" i="25"/>
  <c r="C46" i="25"/>
  <c r="D50" i="25"/>
  <c r="AH33" i="25"/>
  <c r="D52" i="25"/>
  <c r="C33" i="25"/>
  <c r="AG33" i="25"/>
  <c r="C52" i="25"/>
  <c r="D28" i="25"/>
  <c r="AH28" i="25"/>
  <c r="D47" i="25"/>
  <c r="D32" i="25"/>
  <c r="AH32" i="25"/>
  <c r="B28" i="25"/>
  <c r="AF28" i="25"/>
  <c r="B47" i="25"/>
  <c r="B27" i="25"/>
  <c r="C31" i="25"/>
  <c r="AF27" i="25"/>
  <c r="AG31" i="25"/>
  <c r="B46" i="25"/>
  <c r="C50" i="25"/>
  <c r="K16" i="27"/>
  <c r="C16" i="27"/>
  <c r="G16" i="27"/>
  <c r="D27" i="3"/>
  <c r="O27" i="3"/>
  <c r="M100" i="27" a="1"/>
  <c r="M102" i="27" a="1"/>
  <c r="M99" i="27" a="1"/>
  <c r="M96" i="27" a="1"/>
  <c r="M97" i="27" a="1"/>
  <c r="M103" i="27" a="1"/>
  <c r="M98" i="27" a="1"/>
  <c r="M98" i="27" l="1"/>
  <c r="M103" i="27"/>
  <c r="M97" i="27"/>
  <c r="M96" i="27"/>
  <c r="M99" i="27"/>
  <c r="M102" i="27"/>
  <c r="M100" i="27"/>
  <c r="M56" i="27" l="1"/>
  <c r="N56" i="27" s="1"/>
  <c r="F57" i="27"/>
  <c r="I57" i="27" a="1"/>
  <c r="M106" i="27" a="1"/>
  <c r="G57" i="27" a="1"/>
  <c r="M106" i="27" l="1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X17" i="26" a="1"/>
  <c r="AG17" i="26" a="1"/>
  <c r="M60" i="27" a="1"/>
  <c r="M83" i="27" a="1"/>
  <c r="M92" i="27" a="1"/>
  <c r="J57" i="27" a="1"/>
  <c r="C12" i="27" a="1"/>
  <c r="M80" i="27" a="1"/>
  <c r="M81" i="27" a="1"/>
  <c r="M84" i="27" a="1"/>
  <c r="C44" i="26" a="1"/>
  <c r="M61" i="27" a="1"/>
  <c r="M91" i="27" a="1"/>
  <c r="M104" i="27" a="1"/>
  <c r="M76" i="27" a="1"/>
  <c r="M62" i="27" a="1"/>
  <c r="M66" i="27" a="1"/>
  <c r="M67" i="27" a="1"/>
  <c r="M86" i="27" a="1"/>
  <c r="M90" i="27" a="1"/>
  <c r="M73" i="27" a="1"/>
  <c r="C32" i="26" a="1"/>
  <c r="C38" i="26" a="1"/>
  <c r="M63" i="27" a="1"/>
  <c r="M69" i="27" a="1"/>
  <c r="M85" i="27" a="1"/>
  <c r="M79" i="27" a="1"/>
  <c r="M58" i="27" a="1"/>
  <c r="M75" i="27" a="1"/>
  <c r="M71" i="27" a="1"/>
  <c r="E17" i="26" a="1"/>
  <c r="M64" i="27" a="1"/>
  <c r="C42" i="26" a="1"/>
  <c r="M101" i="27" a="1"/>
  <c r="C43" i="26" a="1"/>
  <c r="M93" i="27" a="1"/>
  <c r="M77" i="27" a="1"/>
  <c r="C34" i="26" a="1"/>
  <c r="M65" i="27" a="1"/>
  <c r="M57" i="27" a="1"/>
  <c r="C36" i="26" a="1"/>
  <c r="C37" i="26" a="1"/>
  <c r="M94" i="27" a="1"/>
  <c r="AU27" i="3" a="1"/>
  <c r="C31" i="26" a="1"/>
  <c r="M72" i="27" a="1"/>
  <c r="M87" i="27" a="1"/>
  <c r="M95" i="27" a="1"/>
  <c r="M70" i="27" a="1"/>
  <c r="C33" i="26" a="1"/>
  <c r="M82" i="27" a="1"/>
  <c r="M89" i="27" a="1"/>
  <c r="M88" i="27" a="1"/>
  <c r="C40" i="26" a="1"/>
  <c r="C39" i="26" a="1"/>
  <c r="M59" i="27" a="1"/>
  <c r="C35" i="26" a="1"/>
  <c r="M78" i="27" a="1"/>
  <c r="AE27" i="3" a="1"/>
  <c r="B221" i="3" a="1"/>
  <c r="C41" i="26" a="1"/>
  <c r="M74" i="27" a="1"/>
  <c r="M68" i="27" a="1"/>
  <c r="B259" i="3" a="1"/>
  <c r="N17" i="26" a="1"/>
  <c r="R21" i="26" a="1"/>
  <c r="S20" i="26" a="1"/>
  <c r="S21" i="26" a="1"/>
  <c r="S18" i="26" a="1"/>
  <c r="S19" i="26" a="1"/>
  <c r="S17" i="26" a="1"/>
  <c r="R18" i="26" a="1"/>
  <c r="R19" i="26" a="1"/>
  <c r="R20" i="26" a="1"/>
  <c r="M58" i="27" l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N58" i="27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AU27" i="3"/>
  <c r="B259" i="3"/>
  <c r="AE27" i="3"/>
  <c r="D39" i="26" a="1"/>
  <c r="F72" i="27" a="1"/>
  <c r="D32" i="26" a="1"/>
  <c r="F97" i="27" a="1"/>
  <c r="D40" i="26" a="1"/>
  <c r="AK17" i="26" a="1"/>
  <c r="F65" i="27" a="1"/>
  <c r="F83" i="27" a="1"/>
  <c r="F89" i="27" a="1"/>
  <c r="F101" i="27" a="1"/>
  <c r="C261" i="3" a="1"/>
  <c r="F87" i="27" a="1"/>
  <c r="F75" i="27" a="1"/>
  <c r="T29" i="3" a="1"/>
  <c r="D44" i="26" a="1"/>
  <c r="F70" i="27" a="1"/>
  <c r="F95" i="27" a="1"/>
  <c r="F64" i="27" a="1"/>
  <c r="D37" i="26" a="1"/>
  <c r="F96" i="27" a="1"/>
  <c r="F84" i="27" a="1"/>
  <c r="F99" i="27" a="1"/>
  <c r="F61" i="27" a="1"/>
  <c r="F79" i="27" a="1"/>
  <c r="C225" i="3" a="1"/>
  <c r="F58" i="27" a="1"/>
  <c r="F69" i="27" a="1"/>
  <c r="D43" i="26" a="1"/>
  <c r="F63" i="27" a="1"/>
  <c r="D34" i="26" a="1"/>
  <c r="F66" i="27" a="1"/>
  <c r="F92" i="27" a="1"/>
  <c r="F74" i="27" a="1"/>
  <c r="F81" i="27" a="1"/>
  <c r="F88" i="27" a="1"/>
  <c r="F78" i="27" a="1"/>
  <c r="F82" i="27" a="1"/>
  <c r="D42" i="26" a="1"/>
  <c r="D31" i="26" a="1"/>
  <c r="E225" i="3" a="1"/>
  <c r="D33" i="26" a="1"/>
  <c r="F77" i="27" a="1"/>
  <c r="D35" i="26" a="1"/>
  <c r="AB17" i="26" a="1"/>
  <c r="F90" i="27" a="1"/>
  <c r="F98" i="27" a="1"/>
  <c r="F93" i="27" a="1"/>
  <c r="F80" i="27" a="1"/>
  <c r="G261" i="3" a="1"/>
  <c r="D36" i="26" a="1"/>
  <c r="F71" i="27" a="1"/>
  <c r="F59" i="27" a="1"/>
  <c r="F103" i="27" a="1"/>
  <c r="F94" i="27" a="1"/>
  <c r="F100" i="27" a="1"/>
  <c r="F62" i="27" a="1"/>
  <c r="F91" i="27" a="1"/>
  <c r="R17" i="26" a="1"/>
  <c r="I17" i="26" a="1"/>
  <c r="F85" i="27" a="1"/>
  <c r="F76" i="27" a="1"/>
  <c r="F67" i="27" a="1"/>
  <c r="C4" i="27" a="1"/>
  <c r="D41" i="26" a="1"/>
  <c r="F104" i="27" a="1"/>
  <c r="F60" i="27" a="1"/>
  <c r="F86" i="27" a="1"/>
  <c r="F102" i="27" a="1"/>
  <c r="F68" i="27" a="1"/>
  <c r="D38" i="26" a="1"/>
  <c r="F73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G97" i="27" a="1"/>
  <c r="G80" i="27" a="1"/>
  <c r="G70" i="27" a="1"/>
  <c r="I80" i="27" a="1"/>
  <c r="G68" i="27" a="1"/>
  <c r="I68" i="27" a="1"/>
  <c r="I92" i="27" a="1"/>
  <c r="G83" i="27" a="1"/>
  <c r="I93" i="27" a="1"/>
  <c r="I85" i="27" a="1"/>
  <c r="G96" i="27" a="1"/>
  <c r="G90" i="27" a="1"/>
  <c r="G59" i="27" a="1"/>
  <c r="G71" i="27" a="1"/>
  <c r="I94" i="27" a="1"/>
  <c r="G88" i="27" a="1"/>
  <c r="G75" i="27" a="1"/>
  <c r="I82" i="27" a="1"/>
  <c r="G89" i="27" a="1"/>
  <c r="I67" i="27" a="1"/>
  <c r="G94" i="27" a="1"/>
  <c r="I97" i="27" a="1"/>
  <c r="G58" i="27" a="1"/>
  <c r="I102" i="27" a="1"/>
  <c r="G101" i="27" a="1"/>
  <c r="I65" i="27" a="1"/>
  <c r="G98" i="27" a="1"/>
  <c r="G93" i="27" a="1"/>
  <c r="G95" i="27" a="1"/>
  <c r="I69" i="27" a="1"/>
  <c r="G60" i="27" a="1"/>
  <c r="G65" i="27" a="1"/>
  <c r="I100" i="27" a="1"/>
  <c r="G86" i="27" a="1"/>
  <c r="I104" i="27" a="1"/>
  <c r="I79" i="27" a="1"/>
  <c r="G91" i="27" a="1"/>
  <c r="G76" i="27" a="1"/>
  <c r="I101" i="27" a="1"/>
  <c r="I103" i="27" a="1"/>
  <c r="I84" i="27" a="1"/>
  <c r="I73" i="27" a="1"/>
  <c r="I77" i="27" a="1"/>
  <c r="I89" i="27" a="1"/>
  <c r="G63" i="27" a="1"/>
  <c r="G85" i="27" a="1"/>
  <c r="G66" i="27" a="1"/>
  <c r="G92" i="27" a="1"/>
  <c r="G99" i="27" a="1"/>
  <c r="G64" i="27" a="1"/>
  <c r="G81" i="27" a="1"/>
  <c r="C12" i="26" a="1"/>
  <c r="G82" i="27" a="1"/>
  <c r="G78" i="27" a="1"/>
  <c r="I78" i="27" a="1"/>
  <c r="I95" i="27" a="1"/>
  <c r="G74" i="27" a="1"/>
  <c r="I71" i="27" a="1"/>
  <c r="I98" i="27" a="1"/>
  <c r="I61" i="27" a="1"/>
  <c r="I75" i="27" a="1"/>
  <c r="I70" i="27" a="1"/>
  <c r="G61" i="27" a="1"/>
  <c r="I63" i="27" a="1"/>
  <c r="I83" i="27" a="1"/>
  <c r="I60" i="27" a="1"/>
  <c r="I88" i="27" a="1"/>
  <c r="I86" i="27" a="1"/>
  <c r="G72" i="27" a="1"/>
  <c r="I58" i="27" a="1"/>
  <c r="I90" i="27" a="1"/>
  <c r="G79" i="27" a="1"/>
  <c r="G103" i="27" a="1"/>
  <c r="I91" i="27" a="1"/>
  <c r="I66" i="27" a="1"/>
  <c r="I62" i="27" a="1"/>
  <c r="I87" i="27" a="1"/>
  <c r="I99" i="27" a="1"/>
  <c r="I72" i="27" a="1"/>
  <c r="G62" i="27" a="1"/>
  <c r="G87" i="27" a="1"/>
  <c r="I96" i="27" a="1"/>
  <c r="G100" i="27" a="1"/>
  <c r="I74" i="27" a="1"/>
  <c r="G77" i="27" a="1"/>
  <c r="I64" i="27" a="1"/>
  <c r="I81" i="27" a="1"/>
  <c r="G104" i="27" a="1"/>
  <c r="I59" i="27" a="1"/>
  <c r="G102" i="27" a="1"/>
  <c r="I76" i="27" a="1"/>
  <c r="G67" i="27" a="1"/>
  <c r="G73" i="27" a="1"/>
  <c r="G84" i="27" a="1"/>
  <c r="G69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J71" i="27" a="1"/>
  <c r="J95" i="27" a="1"/>
  <c r="J65" i="27" a="1"/>
  <c r="J66" i="27" a="1"/>
  <c r="J102" i="27" a="1"/>
  <c r="J58" i="27" a="1"/>
  <c r="J61" i="27" a="1"/>
  <c r="J68" i="27" a="1"/>
  <c r="J62" i="27" a="1"/>
  <c r="J99" i="27" a="1"/>
  <c r="J84" i="27" a="1"/>
  <c r="J93" i="27" a="1"/>
  <c r="J74" i="27" a="1"/>
  <c r="J101" i="27" a="1"/>
  <c r="J92" i="27" a="1"/>
  <c r="J94" i="27" a="1"/>
  <c r="J67" i="27" a="1"/>
  <c r="J63" i="27" a="1"/>
  <c r="J80" i="27" a="1"/>
  <c r="J82" i="27" a="1"/>
  <c r="J86" i="27" a="1"/>
  <c r="J60" i="27" a="1"/>
  <c r="J73" i="27" a="1"/>
  <c r="J103" i="27" a="1"/>
  <c r="J87" i="27" a="1"/>
  <c r="J75" i="27" a="1"/>
  <c r="J59" i="27" a="1"/>
  <c r="J72" i="27" a="1"/>
  <c r="J100" i="27" a="1"/>
  <c r="C4" i="26" a="1"/>
  <c r="J64" i="27" a="1"/>
  <c r="J90" i="27" a="1"/>
  <c r="J78" i="27" a="1"/>
  <c r="J91" i="27" a="1"/>
  <c r="J96" i="27" a="1"/>
  <c r="J81" i="27" a="1"/>
  <c r="J79" i="27" a="1"/>
  <c r="J98" i="27" a="1"/>
  <c r="J70" i="27" a="1"/>
  <c r="J85" i="27" a="1"/>
  <c r="J97" i="27" a="1"/>
  <c r="J88" i="27" a="1"/>
  <c r="J69" i="27" a="1"/>
  <c r="J89" i="27" a="1"/>
  <c r="J104" i="27" a="1"/>
  <c r="J76" i="27" a="1"/>
  <c r="J83" i="27" a="1"/>
  <c r="J77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C68" i="3" a="1"/>
  <c r="C68" i="3" l="1"/>
  <c r="B92" i="3" a="1"/>
  <c r="B112" i="3" a="1"/>
  <c r="M129" i="3" a="1"/>
  <c r="M120" i="3" a="1"/>
  <c r="K122" i="3" a="1"/>
  <c r="K114" i="3" a="1"/>
  <c r="L124" i="3" a="1"/>
  <c r="M114" i="3" a="1"/>
  <c r="K119" i="3" a="1"/>
  <c r="M121" i="3" a="1"/>
  <c r="M133" i="3" a="1"/>
  <c r="J128" i="3" a="1"/>
  <c r="M132" i="3" a="1"/>
  <c r="J130" i="3" a="1"/>
  <c r="M136" i="3" a="1"/>
  <c r="M141" i="3" a="1"/>
  <c r="J129" i="3" a="1"/>
  <c r="L112" i="3" a="1"/>
  <c r="M117" i="3" a="1"/>
  <c r="K124" i="3" a="1"/>
  <c r="L127" i="3" a="1"/>
  <c r="L122" i="3" a="1"/>
  <c r="L115" i="3" a="1"/>
  <c r="K128" i="3" a="1"/>
  <c r="L136" i="3" a="1"/>
  <c r="M123" i="3" a="1"/>
  <c r="L126" i="3" a="1"/>
  <c r="M118" i="3" a="1"/>
  <c r="K133" i="3" a="1"/>
  <c r="K127" i="3" a="1"/>
  <c r="K115" i="3" a="1"/>
  <c r="L128" i="3" a="1"/>
  <c r="M122" i="3" a="1"/>
  <c r="M128" i="3" a="1"/>
  <c r="K123" i="3" a="1"/>
  <c r="L139" i="3" a="1"/>
  <c r="J137" i="3" a="1"/>
  <c r="K129" i="3" a="1"/>
  <c r="L129" i="3" a="1"/>
  <c r="J115" i="3" a="1"/>
  <c r="M135" i="3" a="1"/>
  <c r="K139" i="3" a="1"/>
  <c r="M139" i="3" a="1"/>
  <c r="L123" i="3" a="1"/>
  <c r="K113" i="3" a="1"/>
  <c r="J127" i="3" a="1"/>
  <c r="J120" i="3" a="1"/>
  <c r="J118" i="3" a="1"/>
  <c r="L120" i="3" a="1"/>
  <c r="K135" i="3" a="1"/>
  <c r="K136" i="3" a="1"/>
  <c r="K117" i="3" a="1"/>
  <c r="L113" i="3" a="1"/>
  <c r="L140" i="3" a="1"/>
  <c r="L125" i="3" a="1"/>
  <c r="K132" i="3" a="1"/>
  <c r="M124" i="3" a="1"/>
  <c r="K121" i="3" a="1"/>
  <c r="K142" i="3" a="1"/>
  <c r="J113" i="3" a="1"/>
  <c r="J122" i="3" a="1"/>
  <c r="L141" i="3" a="1"/>
  <c r="K137" i="3" a="1"/>
  <c r="K140" i="3" a="1"/>
  <c r="L137" i="3" a="1"/>
  <c r="K112" i="3" a="1"/>
  <c r="L117" i="3" a="1"/>
  <c r="J133" i="3" a="1"/>
  <c r="J141" i="3" a="1"/>
  <c r="J114" i="3" a="1"/>
  <c r="M126" i="3" a="1"/>
  <c r="L132" i="3" a="1"/>
  <c r="J132" i="3" a="1"/>
  <c r="L118" i="3" a="1"/>
  <c r="M137" i="3" a="1"/>
  <c r="J125" i="3" a="1"/>
  <c r="M134" i="3" a="1"/>
  <c r="J131" i="3" a="1"/>
  <c r="K141" i="3" a="1"/>
  <c r="M142" i="3" a="1"/>
  <c r="J117" i="3" a="1"/>
  <c r="K130" i="3" a="1"/>
  <c r="J140" i="3" a="1"/>
  <c r="L133" i="3" a="1"/>
  <c r="M125" i="3" a="1"/>
  <c r="L116" i="3" a="1"/>
  <c r="L114" i="3" a="1"/>
  <c r="K138" i="3" a="1"/>
  <c r="M138" i="3" a="1"/>
  <c r="M130" i="3" a="1"/>
  <c r="K125" i="3" a="1"/>
  <c r="J123" i="3" a="1"/>
  <c r="M127" i="3" a="1"/>
  <c r="C72" i="3" a="1"/>
  <c r="L119" i="3" a="1"/>
  <c r="J138" i="3" a="1"/>
  <c r="J135" i="3" a="1"/>
  <c r="L131" i="3" a="1"/>
  <c r="M116" i="3" a="1"/>
  <c r="K120" i="3" a="1"/>
  <c r="M112" i="3" a="1"/>
  <c r="J142" i="3" a="1"/>
  <c r="L138" i="3" a="1"/>
  <c r="J134" i="3" a="1"/>
  <c r="K116" i="3" a="1"/>
  <c r="L121" i="3" a="1"/>
  <c r="J136" i="3" a="1"/>
  <c r="M140" i="3" a="1"/>
  <c r="L142" i="3" a="1"/>
  <c r="J116" i="3" a="1"/>
  <c r="J126" i="3" a="1"/>
  <c r="J139" i="3" a="1"/>
  <c r="J124" i="3" a="1"/>
  <c r="J121" i="3" a="1"/>
  <c r="K131" i="3" a="1"/>
  <c r="L130" i="3" a="1"/>
  <c r="J119" i="3" a="1"/>
  <c r="M119" i="3" a="1"/>
  <c r="M113" i="3" a="1"/>
  <c r="K118" i="3" a="1"/>
  <c r="K134" i="3" a="1"/>
  <c r="K126" i="3" a="1"/>
  <c r="M115" i="3" a="1"/>
  <c r="M131" i="3" a="1"/>
  <c r="L135" i="3" a="1"/>
  <c r="L134" i="3" a="1"/>
  <c r="L127" i="3" l="1"/>
  <c r="K142" i="3"/>
  <c r="M119" i="3"/>
  <c r="K131" i="3"/>
  <c r="J116" i="3"/>
  <c r="L138" i="3"/>
  <c r="M127" i="3"/>
  <c r="L133" i="3"/>
  <c r="J141" i="3"/>
  <c r="J127" i="3"/>
  <c r="J115" i="3"/>
  <c r="K127" i="3"/>
  <c r="K124" i="3"/>
  <c r="K134" i="3"/>
  <c r="M114" i="3"/>
  <c r="L113" i="3"/>
  <c r="K126" i="3"/>
  <c r="L135" i="3"/>
  <c r="J123" i="3"/>
  <c r="J140" i="3"/>
  <c r="K136" i="3"/>
  <c r="K140" i="3"/>
  <c r="L129" i="3"/>
  <c r="K133" i="3"/>
  <c r="M117" i="3"/>
  <c r="L118" i="3"/>
  <c r="L132" i="3"/>
  <c r="K122" i="3"/>
  <c r="L142" i="3"/>
  <c r="J142" i="3"/>
  <c r="K125" i="3"/>
  <c r="K130" i="3"/>
  <c r="J133" i="3"/>
  <c r="K113" i="3"/>
  <c r="K129" i="3"/>
  <c r="M118" i="3"/>
  <c r="L112" i="3"/>
  <c r="M121" i="3"/>
  <c r="L125" i="3"/>
  <c r="J121" i="3"/>
  <c r="M140" i="3"/>
  <c r="M112" i="3"/>
  <c r="M130" i="3"/>
  <c r="J117" i="3"/>
  <c r="K135" i="3"/>
  <c r="K137" i="3"/>
  <c r="J137" i="3"/>
  <c r="L126" i="3"/>
  <c r="J129" i="3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C72" i="3"/>
  <c r="B112" i="3"/>
  <c r="B92" i="3"/>
  <c r="B72" i="3"/>
  <c r="D72" i="3" s="1"/>
  <c r="B73" i="3"/>
  <c r="D73" i="3" s="1"/>
  <c r="F75" i="3" a="1"/>
  <c r="F73" i="3" a="1"/>
  <c r="F82" i="3" a="1"/>
  <c r="F80" i="3" a="1"/>
  <c r="F83" i="3" a="1"/>
  <c r="F74" i="3" a="1"/>
  <c r="F79" i="3" a="1"/>
  <c r="F77" i="3" a="1"/>
  <c r="F81" i="3" a="1"/>
  <c r="F84" i="3" a="1"/>
  <c r="F76" i="3" a="1"/>
  <c r="F78" i="3" a="1"/>
  <c r="J112" i="3" a="1"/>
  <c r="B74" i="3" l="1"/>
  <c r="F79" i="3"/>
  <c r="F75" i="3"/>
  <c r="F74" i="3"/>
  <c r="F73" i="3"/>
  <c r="F78" i="3"/>
  <c r="F80" i="3"/>
  <c r="F83" i="3"/>
  <c r="F76" i="3"/>
  <c r="J112" i="3"/>
  <c r="F81" i="3"/>
  <c r="F84" i="3"/>
  <c r="F77" i="3"/>
  <c r="F82" i="3"/>
  <c r="I28" i="3" a="1"/>
  <c r="I29" i="3" a="1"/>
  <c r="D74" i="3" l="1"/>
  <c r="B75" i="3"/>
  <c r="I28" i="3"/>
  <c r="I29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40" i="3" a="1"/>
  <c r="BN32" i="3" a="1"/>
  <c r="BN31" i="3" a="1"/>
  <c r="BN33" i="3" a="1"/>
  <c r="BN30" i="3" a="1"/>
  <c r="BN28" i="3" a="1"/>
  <c r="BN36" i="3" a="1"/>
  <c r="BN34" i="3" a="1"/>
  <c r="BN27" i="3" a="1"/>
  <c r="C19" i="1" a="1"/>
  <c r="BN29" i="3" a="1"/>
  <c r="BN35" i="3" a="1"/>
  <c r="D80" i="3" l="1"/>
  <c r="B81" i="3"/>
  <c r="BN26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55" i="3" a="1"/>
  <c r="H99" i="3" a="1"/>
  <c r="I106" i="3" a="1"/>
  <c r="H103" i="3" a="1"/>
  <c r="BO67" i="3" a="1"/>
  <c r="J92" i="3" a="1"/>
  <c r="I98" i="3" a="1"/>
  <c r="J93" i="3" a="1"/>
  <c r="BO68" i="3" a="1"/>
  <c r="J94" i="3" a="1"/>
  <c r="H104" i="3" a="1"/>
  <c r="BO72" i="3" a="1"/>
  <c r="I94" i="3" a="1"/>
  <c r="BO57" i="3" a="1"/>
  <c r="BO50" i="3" a="1"/>
  <c r="BO45" i="3" a="1"/>
  <c r="J96" i="3" a="1"/>
  <c r="I92" i="3" a="1"/>
  <c r="I96" i="3" a="1"/>
  <c r="BO59" i="3" a="1"/>
  <c r="BO52" i="3" a="1"/>
  <c r="H107" i="3" a="1"/>
  <c r="I100" i="3" a="1"/>
  <c r="BO44" i="3" a="1"/>
  <c r="J104" i="3" a="1"/>
  <c r="I93" i="3" a="1"/>
  <c r="I107" i="3" a="1"/>
  <c r="BO51" i="3" a="1"/>
  <c r="BO66" i="3" a="1"/>
  <c r="BO27" i="3" a="1"/>
  <c r="BO48" i="3" a="1"/>
  <c r="H105" i="3" a="1"/>
  <c r="J97" i="3" a="1"/>
  <c r="H97" i="3" a="1"/>
  <c r="BO70" i="3" a="1"/>
  <c r="BO47" i="3" a="1"/>
  <c r="BO58" i="3" a="1"/>
  <c r="BO49" i="3" a="1"/>
  <c r="BO65" i="3" a="1"/>
  <c r="I97" i="3" a="1"/>
  <c r="BO41" i="3" a="1"/>
  <c r="BO53" i="3" a="1"/>
  <c r="BO29" i="3" a="1"/>
  <c r="BO42" i="3" a="1"/>
  <c r="H94" i="3" a="1"/>
  <c r="BO43" i="3" a="1"/>
  <c r="BO63" i="3" a="1"/>
  <c r="H100" i="3" a="1"/>
  <c r="I103" i="3" a="1"/>
  <c r="H96" i="3" a="1"/>
  <c r="BO60" i="3" a="1"/>
  <c r="BO64" i="3" a="1"/>
  <c r="BO54" i="3" a="1"/>
  <c r="J101" i="3" a="1"/>
  <c r="J103" i="3" a="1"/>
  <c r="BO61" i="3" a="1"/>
  <c r="H95" i="3" a="1"/>
  <c r="I101" i="3" a="1"/>
  <c r="H106" i="3" a="1"/>
  <c r="I99" i="3" a="1"/>
  <c r="J95" i="3" a="1"/>
  <c r="B94" i="1" a="1"/>
  <c r="J107" i="3" a="1"/>
  <c r="I104" i="3" a="1"/>
  <c r="J102" i="3" a="1"/>
  <c r="J105" i="3" a="1"/>
  <c r="I95" i="3" a="1"/>
  <c r="J106" i="3" a="1"/>
  <c r="BO46" i="3" a="1"/>
  <c r="H98" i="3" a="1"/>
  <c r="BO56" i="3" a="1"/>
  <c r="J99" i="3" a="1"/>
  <c r="I102" i="3" a="1"/>
  <c r="J100" i="3" a="1"/>
  <c r="H101" i="3" a="1"/>
  <c r="I105" i="3" a="1"/>
  <c r="BJ27" i="3" a="1"/>
  <c r="H102" i="3" a="1"/>
  <c r="J98" i="3" a="1"/>
  <c r="BO71" i="3" a="1"/>
  <c r="BO69" i="3" a="1"/>
  <c r="H93" i="3" a="1"/>
  <c r="BO62" i="3" a="1"/>
  <c r="BO28" i="3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BP28" i="3" a="1"/>
  <c r="BP26" i="3" a="1"/>
  <c r="BP27" i="3" a="1"/>
  <c r="AV31" i="3" a="1"/>
  <c r="BP34" i="3" a="1"/>
  <c r="K94" i="1" a="1"/>
  <c r="F72" i="3" a="1"/>
  <c r="BP29" i="3" a="1"/>
  <c r="BO30" i="3" a="1"/>
  <c r="BP30" i="3" a="1"/>
  <c r="BP33" i="3" a="1"/>
  <c r="BP31" i="3" a="1"/>
  <c r="BP32" i="3" a="1"/>
  <c r="H92" i="3" a="1"/>
  <c r="BP35" i="3" a="1"/>
  <c r="BP36" i="3" a="1"/>
  <c r="BP26" i="3" l="1"/>
  <c r="BP28" i="3"/>
  <c r="BP30" i="3"/>
  <c r="BP29" i="3"/>
  <c r="BP27" i="3"/>
  <c r="B83" i="3"/>
  <c r="D82" i="3"/>
  <c r="BP35" i="3"/>
  <c r="BP34" i="3"/>
  <c r="BP33" i="3"/>
  <c r="BP32" i="3"/>
  <c r="BP31" i="3"/>
  <c r="BP36" i="3"/>
  <c r="F72" i="3"/>
  <c r="H92" i="3"/>
  <c r="K94" i="1"/>
  <c r="C90" i="1" s="1"/>
  <c r="C10" i="1" s="1"/>
  <c r="BO30" i="3"/>
  <c r="AV31" i="3"/>
  <c r="AX27" i="3" s="1"/>
  <c r="AY27" i="3" a="1"/>
  <c r="BQ27" i="3" a="1"/>
  <c r="BQ26" i="3" a="1"/>
  <c r="C61" i="3" a="1"/>
  <c r="BQ29" i="3" a="1"/>
  <c r="BQ28" i="3" a="1"/>
  <c r="BO31" i="3" a="1"/>
  <c r="BQ30" i="3" a="1"/>
  <c r="C89" i="3" a="1"/>
  <c r="BE26" i="3" a="1"/>
  <c r="BF40" i="3" a="1"/>
  <c r="BF39" i="3" a="1"/>
  <c r="BF43" i="3" a="1"/>
  <c r="BF28" i="3" a="1"/>
  <c r="BF27" i="3" a="1"/>
  <c r="BF44" i="3" a="1"/>
  <c r="BF47" i="3" a="1"/>
  <c r="BF36" i="3" a="1"/>
  <c r="BF33" i="3" a="1"/>
  <c r="BF35" i="3" a="1"/>
  <c r="BF45" i="3" a="1"/>
  <c r="BF30" i="3" a="1"/>
  <c r="BF31" i="3" a="1"/>
  <c r="BF29" i="3" a="1"/>
  <c r="BF38" i="3" a="1"/>
  <c r="BF32" i="3" a="1"/>
  <c r="BF37" i="3" a="1"/>
  <c r="BF46" i="3" a="1"/>
  <c r="BF34" i="3" a="1"/>
  <c r="BF41" i="3" a="1"/>
  <c r="BF42" i="3" a="1"/>
  <c r="B84" i="3" l="1"/>
  <c r="D84" i="3" s="1"/>
  <c r="D83" i="3"/>
  <c r="C61" i="3"/>
  <c r="D11" i="3" s="1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F26" i="3" a="1"/>
  <c r="BQ31" i="3" a="1"/>
  <c r="BO32" i="3" a="1"/>
  <c r="AY28" i="3" a="1"/>
  <c r="BQ31" i="3" l="1"/>
  <c r="BO32" i="3"/>
  <c r="BF26" i="3"/>
  <c r="AY28" i="3"/>
  <c r="AX29" i="3"/>
  <c r="BQ32" i="3" a="1"/>
  <c r="AY29" i="3" a="1"/>
  <c r="BO33" i="3" a="1"/>
  <c r="BO33" i="3" l="1"/>
  <c r="BQ32" i="3"/>
  <c r="AY29" i="3"/>
  <c r="AX30" i="3"/>
  <c r="BO34" i="3" a="1"/>
  <c r="AY30" i="3" a="1"/>
  <c r="BQ33" i="3" a="1"/>
  <c r="BO34" i="3" l="1"/>
  <c r="BQ33" i="3"/>
  <c r="AY30" i="3"/>
  <c r="AX31" i="3"/>
  <c r="BQ34" i="3" a="1"/>
  <c r="BO35" i="3" a="1"/>
  <c r="AY31" i="3" a="1"/>
  <c r="BO35" i="3" l="1"/>
  <c r="BQ34" i="3"/>
  <c r="AY31" i="3"/>
  <c r="AX32" i="3"/>
  <c r="AY32" i="3" a="1"/>
  <c r="BO36" i="3" a="1"/>
  <c r="BQ35" i="3" a="1"/>
  <c r="AZ26" i="3" a="1"/>
  <c r="BA29" i="3" a="1"/>
  <c r="BA27" i="3" a="1"/>
  <c r="BA28" i="3" a="1"/>
  <c r="BO36" i="3" l="1"/>
  <c r="BQ35" i="3"/>
  <c r="BA27" i="3"/>
  <c r="BA28" i="3"/>
  <c r="BA29" i="3"/>
  <c r="AY32" i="3"/>
  <c r="AZ26" i="3"/>
  <c r="BA32" i="3" a="1"/>
  <c r="BA30" i="3" a="1"/>
  <c r="BA26" i="3" a="1"/>
  <c r="BA31" i="3" a="1"/>
  <c r="BQ36" i="3" a="1"/>
  <c r="BA30" i="3" l="1"/>
  <c r="BA31" i="3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R36" i="3" a="1"/>
  <c r="R34" i="3" a="1"/>
  <c r="AO46" i="3" a="1"/>
  <c r="AO44" i="3" a="1"/>
  <c r="R42" i="3" a="1"/>
  <c r="AX36" i="3" a="1"/>
  <c r="AO47" i="3" a="1"/>
  <c r="AO45" i="3" a="1"/>
  <c r="R37" i="3" a="1"/>
  <c r="AF31" i="3" a="1"/>
  <c r="E67" i="23" a="1"/>
  <c r="AO43" i="3" a="1"/>
  <c r="BI24" i="3" a="1"/>
  <c r="R35" i="3" a="1"/>
  <c r="R38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56" i="3" a="1"/>
  <c r="AO33" i="3" a="1"/>
  <c r="S52" i="3" a="1"/>
  <c r="AO42" i="3" a="1"/>
  <c r="AO37" i="3" a="1"/>
  <c r="S59" i="3" a="1"/>
  <c r="S72" i="3" a="1"/>
  <c r="S62" i="3" a="1"/>
  <c r="AP46" i="3" a="1"/>
  <c r="D48" i="1" a="1"/>
  <c r="S69" i="3" a="1"/>
  <c r="T43" i="3" a="1"/>
  <c r="S68" i="3" a="1"/>
  <c r="AY40" i="3" a="1"/>
  <c r="S74" i="3" a="1"/>
  <c r="AO40" i="3" a="1"/>
  <c r="AO30" i="3" a="1"/>
  <c r="AO32" i="3" a="1"/>
  <c r="S70" i="3" a="1"/>
  <c r="S63" i="3" a="1"/>
  <c r="AP44" i="3" a="1"/>
  <c r="AO41" i="3" a="1"/>
  <c r="S60" i="3" a="1"/>
  <c r="AY39" i="3" a="1"/>
  <c r="AO35" i="3" a="1"/>
  <c r="AO39" i="3" a="1"/>
  <c r="AY42" i="3" a="1"/>
  <c r="S71" i="3" a="1"/>
  <c r="AY43" i="3" a="1"/>
  <c r="S57" i="3" a="1"/>
  <c r="AH36" i="3" a="1"/>
  <c r="S73" i="3" a="1"/>
  <c r="S65" i="3" a="1"/>
  <c r="AO28" i="3" a="1"/>
  <c r="AO29" i="3" a="1"/>
  <c r="AO36" i="3" a="1"/>
  <c r="U43" i="3" a="1"/>
  <c r="S66" i="3" a="1"/>
  <c r="AO27" i="3" a="1"/>
  <c r="AP47" i="3" a="1"/>
  <c r="S55" i="3" a="1"/>
  <c r="AO31" i="3" a="1"/>
  <c r="S64" i="3" a="1"/>
  <c r="Y36" i="3" a="1"/>
  <c r="AY37" i="3" a="1"/>
  <c r="AP43" i="3" a="1"/>
  <c r="AJ27" i="3" a="1"/>
  <c r="AY44" i="3" a="1"/>
  <c r="S58" i="3" a="1"/>
  <c r="AO34" i="3" a="1"/>
  <c r="AY41" i="3" a="1"/>
  <c r="AO38" i="3" a="1"/>
  <c r="AY38" i="3" a="1"/>
  <c r="S67" i="3" a="1"/>
  <c r="AP45" i="3" a="1"/>
  <c r="S61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2" i="3" a="1"/>
  <c r="AP33" i="3" a="1"/>
  <c r="Z36" i="3" a="1"/>
  <c r="AP34" i="3" a="1"/>
  <c r="AP29" i="3" a="1"/>
  <c r="AP39" i="3" a="1"/>
  <c r="AP35" i="3" a="1"/>
  <c r="AP42" i="3" a="1"/>
  <c r="AP40" i="3" a="1"/>
  <c r="AP38" i="3" a="1"/>
  <c r="AP28" i="3" a="1"/>
  <c r="AP37" i="3" a="1"/>
  <c r="AP30" i="3" a="1"/>
  <c r="AP27" i="3" a="1"/>
  <c r="AP31" i="3" a="1"/>
  <c r="AP36" i="3" a="1"/>
  <c r="AP41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T28" i="3" a="1"/>
  <c r="R32" i="3" a="1"/>
  <c r="R31" i="3" a="1"/>
  <c r="R30" i="3" a="1"/>
  <c r="R33" i="3" a="1"/>
  <c r="S29" i="3" a="1"/>
  <c r="T28" i="3" l="1"/>
  <c r="S29" i="3"/>
  <c r="R31" i="3"/>
  <c r="R32" i="3"/>
  <c r="R30" i="3"/>
  <c r="R33" i="3"/>
  <c r="S50" i="3" a="1"/>
  <c r="Y31" i="3" a="1"/>
  <c r="T34" i="3" a="1"/>
  <c r="S31" i="3" a="1"/>
  <c r="S51" i="3" a="1"/>
  <c r="Y34" i="3" a="1"/>
  <c r="Y29" i="3" a="1"/>
  <c r="T37" i="3" a="1"/>
  <c r="S46" i="3" a="1"/>
  <c r="Y40" i="3" a="1"/>
  <c r="Y30" i="3" a="1"/>
  <c r="S45" i="3" a="1"/>
  <c r="T35" i="3" a="1"/>
  <c r="Y42" i="3" a="1"/>
  <c r="S48" i="3" a="1"/>
  <c r="Y38" i="3" a="1"/>
  <c r="S53" i="3" a="1"/>
  <c r="T30" i="3" a="1"/>
  <c r="T36" i="3" a="1"/>
  <c r="Y28" i="3" a="1"/>
  <c r="S47" i="3" a="1"/>
  <c r="T33" i="3" a="1"/>
  <c r="T32" i="3" a="1"/>
  <c r="S43" i="3" a="1"/>
  <c r="Y41" i="3" a="1"/>
  <c r="Y44" i="3" a="1"/>
  <c r="S49" i="3" a="1"/>
  <c r="Y32" i="3" a="1"/>
  <c r="AO26" i="3" a="1"/>
  <c r="S44" i="3" a="1"/>
  <c r="Y33" i="3" a="1"/>
  <c r="Y37" i="3" a="1"/>
  <c r="Y35" i="3" a="1"/>
  <c r="Y39" i="3" a="1"/>
  <c r="T31" i="3" a="1"/>
  <c r="Y43" i="3" a="1"/>
  <c r="S30" i="3" a="1"/>
  <c r="T38" i="3" a="1"/>
  <c r="S54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Z34" i="3" a="1"/>
  <c r="Z37" i="3" a="1"/>
  <c r="Z30" i="3" a="1"/>
  <c r="Z38" i="3" a="1"/>
  <c r="S32" i="3" a="1"/>
  <c r="Z35" i="3" a="1"/>
  <c r="Z43" i="3" a="1"/>
  <c r="Z42" i="3" a="1"/>
  <c r="Z39" i="3" a="1"/>
  <c r="AP26" i="3" a="1"/>
  <c r="U30" i="3" a="1"/>
  <c r="Z40" i="3" a="1"/>
  <c r="Z29" i="3" a="1"/>
  <c r="Z28" i="3" a="1"/>
  <c r="Z44" i="3" a="1"/>
  <c r="Z33" i="3" a="1"/>
  <c r="U31" i="3" a="1"/>
  <c r="Z31" i="3" a="1"/>
  <c r="U28" i="3" a="1"/>
  <c r="Z41" i="3" a="1"/>
  <c r="Z32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84" i="3" a="1"/>
  <c r="U82" i="3" a="1"/>
  <c r="U83" i="3" a="1"/>
  <c r="U80" i="3" a="1"/>
  <c r="S33" i="3" a="1"/>
  <c r="U81" i="3" a="1"/>
  <c r="U79" i="3" a="1"/>
  <c r="U32" i="3" a="1"/>
  <c r="U84" i="3" l="1"/>
  <c r="U83" i="3"/>
  <c r="U81" i="3"/>
  <c r="U82" i="3"/>
  <c r="U79" i="3"/>
  <c r="U80" i="3"/>
  <c r="S33" i="3"/>
  <c r="U32" i="3"/>
  <c r="U33" i="3" a="1"/>
  <c r="S34" i="3" a="1"/>
  <c r="S34" i="3" l="1"/>
  <c r="U33" i="3"/>
  <c r="AH26" i="3"/>
  <c r="CU33" i="3"/>
  <c r="AJ31" i="3" a="1"/>
  <c r="AI32" i="3" a="1"/>
  <c r="S35" i="3" a="1"/>
  <c r="CW33" i="3" a="1"/>
  <c r="AJ26" i="3" a="1"/>
  <c r="AJ28" i="3" a="1"/>
  <c r="U34" i="3" a="1"/>
  <c r="AI27" i="3" a="1"/>
  <c r="AJ29" i="3" a="1"/>
  <c r="AI29" i="3" a="1"/>
  <c r="AJ30" i="3" a="1"/>
  <c r="AJ32" i="3" a="1"/>
  <c r="AI31" i="3" a="1"/>
  <c r="AI30" i="3" a="1"/>
  <c r="AI28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AK32" i="3" a="1"/>
  <c r="AK26" i="3" a="1"/>
  <c r="AK27" i="3" a="1"/>
  <c r="AK28" i="3" a="1"/>
  <c r="AK31" i="3" a="1"/>
  <c r="AK30" i="3" a="1"/>
  <c r="S36" i="3" a="1"/>
  <c r="U35" i="3" a="1"/>
  <c r="AK29" i="3" a="1"/>
  <c r="CX33" i="3" a="1"/>
  <c r="AK27" i="3" l="1"/>
  <c r="AK30" i="3"/>
  <c r="AK28" i="3"/>
  <c r="AK29" i="3"/>
  <c r="S36" i="3"/>
  <c r="U35" i="3"/>
  <c r="AK26" i="3"/>
  <c r="CX33" i="3"/>
  <c r="AK31" i="3"/>
  <c r="AK32" i="3"/>
  <c r="U36" i="3" a="1"/>
  <c r="AF31" i="14" a="1"/>
  <c r="S37" i="3" a="1"/>
  <c r="R31" i="14" a="1"/>
  <c r="S37" i="3" l="1"/>
  <c r="U36" i="3"/>
  <c r="R31" i="14"/>
  <c r="AF31" i="14"/>
  <c r="AL31" i="14" a="1"/>
  <c r="X31" i="14" a="1"/>
  <c r="S38" i="3" a="1"/>
  <c r="U37" i="3" a="1"/>
  <c r="S38" i="3" l="1"/>
  <c r="U37" i="3"/>
  <c r="AL31" i="14"/>
  <c r="X31" i="14"/>
  <c r="Y50" i="25" a="1"/>
  <c r="Y42" i="25" a="1"/>
  <c r="Y39" i="25" a="1"/>
  <c r="Y45" i="25" a="1"/>
  <c r="Y31" i="25" a="1"/>
  <c r="Y26" i="25" a="1"/>
  <c r="J23" i="25" a="1"/>
  <c r="Y23" i="25" a="1"/>
  <c r="J39" i="25" a="1"/>
  <c r="Y20" i="25" a="1"/>
  <c r="U38" i="3" a="1"/>
  <c r="J20" i="25" a="1"/>
  <c r="J42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H33" i="25" a="1"/>
  <c r="J28" i="25" a="1"/>
  <c r="J27" i="25" a="1"/>
  <c r="I33" i="25" a="1"/>
  <c r="J33" i="25" a="1"/>
  <c r="J26" i="25" a="1"/>
  <c r="I50" i="25" a="1"/>
  <c r="J45" i="25" a="1"/>
  <c r="I27" i="25" a="1"/>
  <c r="I51" i="25" a="1"/>
  <c r="H32" i="25" a="1"/>
  <c r="H47" i="25" a="1"/>
  <c r="J47" i="25" a="1"/>
  <c r="J31" i="25" a="1"/>
  <c r="I46" i="25" a="1"/>
  <c r="I26" i="25" a="1"/>
  <c r="J52" i="25" a="1"/>
  <c r="H31" i="25" a="1"/>
  <c r="H27" i="25" a="1"/>
  <c r="H45" i="25" a="1"/>
  <c r="H26" i="25" a="1"/>
  <c r="H52" i="25" a="1"/>
  <c r="D5" i="8" a="1"/>
  <c r="H46" i="25" a="1"/>
  <c r="H28" i="25" a="1"/>
  <c r="J50" i="25" a="1"/>
  <c r="I32" i="25" a="1"/>
  <c r="I45" i="25" a="1"/>
  <c r="I31" i="25" a="1"/>
  <c r="I52" i="25" a="1"/>
  <c r="I47" i="25" a="1"/>
  <c r="H50" i="25" a="1"/>
  <c r="H51" i="25" a="1"/>
  <c r="J32" i="25" a="1"/>
  <c r="J46" i="25" a="1"/>
  <c r="I28" i="25" a="1"/>
  <c r="J51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C9" i="25" a="1"/>
  <c r="C8" i="25" a="1"/>
  <c r="D6" i="8" a="1"/>
  <c r="D6" i="8" l="1"/>
  <c r="C9" i="25"/>
  <c r="C8" i="25"/>
  <c r="I31" i="14"/>
  <c r="C4" i="25" a="1"/>
  <c r="H31" i="14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E124" i="13" a="1"/>
  <c r="CU24" i="3" a="1"/>
  <c r="G36" i="3" a="1"/>
  <c r="H116" i="15" a="1"/>
  <c r="D50" i="15" a="1"/>
  <c r="CK24" i="3" a="1"/>
  <c r="H125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2" i="3" a="1"/>
  <c r="H45" i="3" a="1"/>
  <c r="J37" i="3" a="1"/>
  <c r="H48" i="3" a="1"/>
  <c r="H43" i="3" a="1"/>
  <c r="H44" i="3" a="1"/>
  <c r="H46" i="3" a="1"/>
  <c r="H39" i="3" a="1"/>
  <c r="H40" i="3" a="1"/>
  <c r="H41" i="3" a="1"/>
  <c r="H38" i="3" a="1"/>
  <c r="H37" i="3" a="1"/>
  <c r="H4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4" i="17" a="1"/>
  <c r="S21" i="17" a="1"/>
  <c r="P23" i="17" a="1"/>
  <c r="R26" i="17" a="1"/>
  <c r="E17" i="21" a="1"/>
  <c r="C257" i="13" a="1"/>
  <c r="Z79" i="13" a="1"/>
  <c r="X17" i="21" a="1"/>
  <c r="D258" i="13" a="1"/>
  <c r="U25" i="17" a="1"/>
  <c r="O17" i="20" a="1"/>
  <c r="R24" i="17" a="1"/>
  <c r="AI79" i="13" a="1"/>
  <c r="E100" i="15" a="1"/>
  <c r="S26" i="17" a="1"/>
  <c r="S23" i="17" a="1"/>
  <c r="E31" i="13" a="1"/>
  <c r="AE100" i="15" a="1"/>
  <c r="F41" i="17" a="1"/>
  <c r="S79" i="13" a="1"/>
  <c r="F39" i="17" a="1"/>
  <c r="X50" i="15" a="1"/>
  <c r="E67" i="13" a="1"/>
  <c r="Q21" i="17" a="1"/>
  <c r="C261" i="13" a="1"/>
  <c r="T21" i="17" a="1"/>
  <c r="AG17" i="21" a="1"/>
  <c r="U21" i="17" a="1"/>
  <c r="S25" i="17" a="1"/>
  <c r="N17" i="21" a="1"/>
  <c r="F40" i="17" a="1"/>
  <c r="U26" i="17" a="1"/>
  <c r="C258" i="13" a="1"/>
  <c r="AG17" i="23" a="1"/>
  <c r="C259" i="13" a="1"/>
  <c r="BA19" i="14" a="1"/>
  <c r="E79" i="13" a="1"/>
  <c r="P25" i="17" a="1"/>
  <c r="U22" i="17" a="1"/>
  <c r="P21" i="17" a="1"/>
  <c r="S20" i="21" a="1"/>
  <c r="BO19" i="14" a="1"/>
  <c r="P26" i="17" a="1"/>
  <c r="P22" i="17" a="1"/>
  <c r="P24" i="17" a="1"/>
  <c r="T22" i="17" a="1"/>
  <c r="R23" i="17" a="1"/>
  <c r="D257" i="13" a="1"/>
  <c r="F38" i="17" a="1"/>
  <c r="X17" i="23" a="1"/>
  <c r="T26" i="17" a="1"/>
  <c r="D256" i="13" a="1"/>
  <c r="AV20" i="17" a="1"/>
  <c r="N17" i="23" a="1"/>
  <c r="E210" i="13" a="1"/>
  <c r="R22" i="17" a="1"/>
  <c r="E55" i="13" a="1"/>
  <c r="U23" i="17" a="1"/>
  <c r="R25" i="17" a="1"/>
  <c r="R100" i="15" a="1"/>
  <c r="E17" i="20" a="1"/>
  <c r="C38" i="13" a="1"/>
  <c r="C256" i="13" a="1"/>
  <c r="D260" i="13" a="1"/>
  <c r="R18" i="21" a="1"/>
  <c r="R21" i="17" a="1"/>
  <c r="S22" i="17" a="1"/>
  <c r="C260" i="13" a="1"/>
  <c r="AJ20" i="17" a="1"/>
  <c r="T24" i="17" a="1"/>
  <c r="Q26" i="17" a="1"/>
  <c r="S20" i="23" a="1"/>
  <c r="M38" i="17" a="1"/>
  <c r="U24" i="17" a="1"/>
  <c r="V17" i="20" a="1"/>
  <c r="E17" i="23" a="1"/>
  <c r="D259" i="13" a="1"/>
  <c r="BG40" i="5" a="1"/>
  <c r="L79" i="13" a="1"/>
  <c r="S21" i="23" a="1"/>
  <c r="Q23" i="17" a="1"/>
  <c r="C50" i="13" a="1"/>
  <c r="F43" i="17" a="1"/>
  <c r="E183" i="13" a="1"/>
  <c r="F42" i="17" a="1"/>
  <c r="D261" i="13" a="1"/>
  <c r="R20" i="23" a="1"/>
  <c r="BD63" i="5" a="1"/>
  <c r="E43" i="13" a="1"/>
  <c r="Q22" i="17" a="1"/>
  <c r="Q25" i="17" a="1"/>
  <c r="S17" i="21" a="1"/>
  <c r="T23" i="17" a="1"/>
  <c r="R19" i="23" a="1"/>
  <c r="AG17" i="20" a="1"/>
  <c r="D255" i="13" a="1"/>
  <c r="Q24" i="17" a="1"/>
  <c r="C255" i="13" a="1"/>
  <c r="T25" i="17" a="1"/>
  <c r="R19" i="21" a="1"/>
  <c r="S19" i="21" a="1"/>
  <c r="S17" i="23" a="1"/>
  <c r="R21" i="23" a="1"/>
  <c r="S19" i="23" a="1"/>
  <c r="R18" i="2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S18" i="21" a="1"/>
  <c r="AA23" i="17" a="1"/>
  <c r="S38" i="17" a="1"/>
  <c r="J19" i="20" a="1"/>
  <c r="J100" i="15" a="1"/>
  <c r="AB23" i="17" a="1"/>
  <c r="R17" i="23" a="1"/>
  <c r="AA22" i="17" a="1"/>
  <c r="BB20" i="17" a="1"/>
  <c r="AC25" i="17" a="1"/>
  <c r="R17" i="21" a="1"/>
  <c r="I18" i="20" a="1"/>
  <c r="AJ100" i="15" a="1"/>
  <c r="AC26" i="17" a="1"/>
  <c r="AB24" i="17" a="1"/>
  <c r="AC21" i="17" a="1"/>
  <c r="Y25" i="17" a="1"/>
  <c r="U100" i="15" a="1"/>
  <c r="AM17" i="20" a="1"/>
  <c r="G43" i="13" a="1"/>
  <c r="AB21" i="17" a="1"/>
  <c r="AD21" i="17" a="1"/>
  <c r="H42" i="17" a="1"/>
  <c r="AB17" i="20" a="1"/>
  <c r="D85" i="1" a="1"/>
  <c r="AB17" i="23" a="1"/>
  <c r="AK17" i="23" a="1"/>
  <c r="G31" i="13" a="1"/>
  <c r="H43" i="17" a="1"/>
  <c r="D50" i="1" a="1"/>
  <c r="Y22" i="17" a="1"/>
  <c r="I20" i="20" a="1"/>
  <c r="J20" i="20" a="1"/>
  <c r="AB17" i="21" a="1"/>
  <c r="G55" i="13" a="1"/>
  <c r="Y21" i="17" a="1"/>
  <c r="AC24" i="17" a="1"/>
  <c r="BW19" i="14" a="1"/>
  <c r="Z24" i="17" a="1"/>
  <c r="I17" i="21" a="1"/>
  <c r="R20" i="21" a="1"/>
  <c r="S18" i="23" a="1"/>
  <c r="H38" i="17" a="1"/>
  <c r="AD23" i="17" a="1"/>
  <c r="AC23" i="17" a="1"/>
  <c r="AK17" i="21" a="1"/>
  <c r="AA25" i="17" a="1"/>
  <c r="AD25" i="17" a="1"/>
  <c r="AD26" i="17" a="1"/>
  <c r="AD22" i="17" a="1"/>
  <c r="H40" i="17" a="1"/>
  <c r="Z22" i="17" a="1"/>
  <c r="H41" i="17" a="1"/>
  <c r="Z26" i="17" a="1"/>
  <c r="G67" i="13" a="1"/>
  <c r="AD24" i="17" a="1"/>
  <c r="AQ79" i="13" a="1"/>
  <c r="Z23" i="17" a="1"/>
  <c r="I17" i="23" a="1"/>
  <c r="AB26" i="17" a="1"/>
  <c r="AA21" i="17" a="1"/>
  <c r="AC22" i="17" a="1"/>
  <c r="Z25" i="17" a="1"/>
  <c r="Y24" i="17" a="1"/>
  <c r="I17" i="20" a="1"/>
  <c r="Y23" i="17" a="1"/>
  <c r="Y26" i="17" a="1"/>
  <c r="I19" i="20" a="1"/>
  <c r="H39" i="17" a="1"/>
  <c r="E85" i="1" a="1"/>
  <c r="J18" i="20" a="1"/>
  <c r="AB22" i="17" a="1"/>
  <c r="Z21" i="17" a="1"/>
  <c r="AP20" i="17" a="1"/>
  <c r="BI19" i="14" a="1"/>
  <c r="AA26" i="17" a="1"/>
  <c r="N79" i="13" a="1"/>
  <c r="AA24" i="17" a="1"/>
  <c r="AB25" i="17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95" i="15" a="1"/>
  <c r="C12" i="23" a="1"/>
  <c r="J85" i="1" a="1"/>
  <c r="C62" i="13" a="1"/>
  <c r="E259" i="13" a="1"/>
  <c r="J17" i="20" a="1"/>
  <c r="E255" i="13" a="1"/>
  <c r="T85" i="1" a="1"/>
  <c r="Q85" i="1" a="1"/>
  <c r="E258" i="13" a="1"/>
  <c r="E261" i="13" a="1"/>
  <c r="C35" i="17" a="1"/>
  <c r="C26" i="13" a="1"/>
  <c r="E257" i="13" a="1"/>
  <c r="C12" i="21" a="1"/>
  <c r="E260" i="13" a="1"/>
  <c r="E256" i="13" a="1"/>
  <c r="W85" i="1" a="1"/>
  <c r="F85" i="1" a="1"/>
  <c r="N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Q17" i="20" a="1"/>
  <c r="C4" i="24" a="1"/>
  <c r="C31" i="17" a="1"/>
  <c r="C4" i="23" a="1"/>
  <c r="C250" i="13" a="1"/>
  <c r="C4" i="21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V218" i="5" a="1"/>
  <c r="T89" i="5" a="1"/>
  <c r="T90" i="5" a="1"/>
  <c r="U223" i="5" a="1"/>
  <c r="X220" i="5" a="1"/>
  <c r="G189" i="13" a="1"/>
  <c r="L210" i="13" a="1"/>
  <c r="E94" i="13" a="1"/>
  <c r="G184" i="13" a="1"/>
  <c r="W222" i="5" a="1"/>
  <c r="T91" i="5" a="1"/>
  <c r="V219" i="5" a="1"/>
  <c r="T92" i="5" a="1"/>
  <c r="AB109" i="13" a="1"/>
  <c r="U222" i="5" a="1"/>
  <c r="F20" i="15" a="1"/>
  <c r="T96" i="5" a="1"/>
  <c r="AF20" i="15" a="1"/>
  <c r="T218" i="5" a="1"/>
  <c r="T93" i="5" a="1"/>
  <c r="T97" i="5" a="1"/>
  <c r="T102" i="5" a="1"/>
  <c r="S109" i="13" a="1"/>
  <c r="W218" i="5" a="1"/>
  <c r="S210" i="13" a="1"/>
  <c r="U218" i="5" a="1"/>
  <c r="AA210" i="13" a="1"/>
  <c r="T34" i="15" a="1"/>
  <c r="W217" i="5" a="1"/>
  <c r="C4" i="20" a="1"/>
  <c r="T219" i="5" a="1"/>
  <c r="T20" i="15" a="1"/>
  <c r="T98" i="5" a="1"/>
  <c r="V221" i="5" a="1"/>
  <c r="T88" i="5" a="1"/>
  <c r="U220" i="5" a="1"/>
  <c r="W43" i="14" a="1"/>
  <c r="L183" i="13" a="1"/>
  <c r="T223" i="5" a="1"/>
  <c r="V223" i="5" a="1"/>
  <c r="X217" i="5" a="1"/>
  <c r="N19" i="14" a="1"/>
  <c r="L109" i="13" a="1"/>
  <c r="BM43" i="14" a="1"/>
  <c r="AE19" i="14" a="1"/>
  <c r="W220" i="5" a="1"/>
  <c r="T95" i="5" a="1"/>
  <c r="T103" i="5" a="1"/>
  <c r="AI124" i="13" a="1"/>
  <c r="X218" i="5" a="1"/>
  <c r="W219" i="5" a="1"/>
  <c r="AR20" i="15" a="1"/>
  <c r="AI43" i="14" a="1"/>
  <c r="J43" i="14" a="1"/>
  <c r="AD36" i="15" a="1"/>
  <c r="CC19" i="14" a="1"/>
  <c r="B226" i="13" a="1"/>
  <c r="W223" i="5" a="1"/>
  <c r="E109" i="13" a="1"/>
  <c r="T221" i="5" a="1"/>
  <c r="AC35" i="15" a="1"/>
  <c r="T222" i="5" a="1"/>
  <c r="U217" i="5" a="1"/>
  <c r="W221" i="5" a="1"/>
  <c r="F19" i="14" a="1"/>
  <c r="V220" i="5" a="1"/>
  <c r="T94" i="5" a="1"/>
  <c r="V222" i="5" a="1"/>
  <c r="G190" i="13" a="1"/>
  <c r="B138" i="13" a="1"/>
  <c r="L162" i="13" a="1"/>
  <c r="G188" i="13" a="1"/>
  <c r="U219" i="5" a="1"/>
  <c r="N162" i="13" a="1"/>
  <c r="L165" i="13" a="1"/>
  <c r="M164" i="13" a="1"/>
  <c r="N146" i="13" a="1"/>
  <c r="G185" i="13" a="1"/>
  <c r="M169" i="13" a="1"/>
  <c r="N138" i="13" a="1"/>
  <c r="X222" i="5" a="1"/>
  <c r="O150" i="13" a="1"/>
  <c r="L145" i="13" a="1"/>
  <c r="M50" i="15" a="1"/>
  <c r="M146" i="13" a="1"/>
  <c r="E17" i="19" a="1"/>
  <c r="L149" i="13" a="1"/>
  <c r="N145" i="13" a="1"/>
  <c r="B241" i="13" a="1"/>
  <c r="O157" i="13" a="1"/>
  <c r="N148" i="13" a="1"/>
  <c r="L142" i="13" a="1"/>
  <c r="O160" i="13" a="1"/>
  <c r="G187" i="13" a="1"/>
  <c r="X221" i="5" a="1"/>
  <c r="N167" i="13" a="1"/>
  <c r="M242" i="13" a="1"/>
  <c r="O243" i="13" a="1"/>
  <c r="M157" i="13" a="1"/>
  <c r="M124" i="13" a="1"/>
  <c r="N154" i="13" a="1"/>
  <c r="T220" i="5" a="1"/>
  <c r="S183" i="13" a="1"/>
  <c r="T87" i="5" a="1"/>
  <c r="N140" i="13" a="1"/>
  <c r="N243" i="13" a="1"/>
  <c r="T99" i="5" a="1"/>
  <c r="X223" i="5" a="1"/>
  <c r="T100" i="5" a="1"/>
  <c r="L244" i="13" a="1"/>
  <c r="M151" i="13" a="1"/>
  <c r="S94" i="13" a="1"/>
  <c r="M144" i="13" a="1"/>
  <c r="M161" i="13" a="1"/>
  <c r="L147" i="13" a="1"/>
  <c r="O148" i="13" a="1"/>
  <c r="W19" i="14" a="1"/>
  <c r="V217" i="5" a="1"/>
  <c r="X219" i="5" a="1"/>
  <c r="O165" i="13" a="1"/>
  <c r="N245" i="13" a="1"/>
  <c r="N164" i="13" a="1"/>
  <c r="G191" i="13" a="1"/>
  <c r="U124" i="13" a="1"/>
  <c r="N170" i="13" a="1"/>
  <c r="L170" i="13" a="1"/>
  <c r="F34" i="15" a="1"/>
  <c r="O168" i="13" a="1"/>
  <c r="L154" i="13" a="1"/>
  <c r="U221" i="5" a="1"/>
  <c r="E35" i="9" a="1"/>
  <c r="AU43" i="14" a="1"/>
  <c r="M162" i="13" a="1"/>
  <c r="N158" i="13" a="1"/>
  <c r="L152" i="13" a="1"/>
  <c r="M153" i="13" a="1"/>
  <c r="M142" i="13" a="1"/>
  <c r="L94" i="13" a="1"/>
  <c r="L164" i="13" a="1"/>
  <c r="L160" i="13" a="1"/>
  <c r="O139" i="13" a="1"/>
  <c r="L153" i="13" a="1"/>
  <c r="AB94" i="13" a="1"/>
  <c r="O162" i="13" a="1"/>
  <c r="O245" i="13" a="1"/>
  <c r="N157" i="13" a="1"/>
  <c r="T101" i="5" a="1"/>
  <c r="AM19" i="14" a="1"/>
  <c r="N159" i="13" a="1"/>
  <c r="T217" i="5" a="1"/>
  <c r="L150" i="13" a="1"/>
  <c r="O141" i="13" a="1"/>
  <c r="L143" i="13" a="1"/>
  <c r="L167" i="13" a="1"/>
  <c r="L156" i="13" a="1"/>
  <c r="N171" i="13" a="1"/>
  <c r="L144" i="13" a="1"/>
  <c r="L168" i="13" a="1"/>
  <c r="M158" i="13" a="1"/>
  <c r="N169" i="13" a="1"/>
  <c r="N147" i="13" a="1"/>
  <c r="L161" i="13" a="1"/>
  <c r="M150" i="13" a="1"/>
  <c r="L141" i="13" a="1"/>
  <c r="N150" i="13" a="1"/>
  <c r="L140" i="13" a="1"/>
  <c r="O140" i="13" a="1"/>
  <c r="O158" i="13" a="1"/>
  <c r="L166" i="13" a="1"/>
  <c r="O163" i="13" a="1"/>
  <c r="M143" i="13" a="1"/>
  <c r="O145" i="13" a="1"/>
  <c r="N153" i="13" a="1"/>
  <c r="M147" i="13" a="1"/>
  <c r="O159" i="13" a="1"/>
  <c r="O172" i="13" a="1"/>
  <c r="M170" i="13" a="1"/>
  <c r="M171" i="13" a="1"/>
  <c r="L157" i="13" a="1"/>
  <c r="N168" i="13" a="1"/>
  <c r="M138" i="13" a="1"/>
  <c r="O167" i="13" a="1"/>
  <c r="O153" i="13" a="1"/>
  <c r="O152" i="13" a="1"/>
  <c r="O170" i="13" a="1"/>
  <c r="N141" i="13" a="1"/>
  <c r="M139" i="13" a="1"/>
  <c r="M166" i="13" a="1"/>
  <c r="L169" i="13" a="1"/>
  <c r="N149" i="13" a="1"/>
  <c r="M145" i="13" a="1"/>
  <c r="L172" i="13" a="1"/>
  <c r="L151" i="13" a="1"/>
  <c r="O151" i="13" a="1"/>
  <c r="L158" i="13" a="1"/>
  <c r="O147" i="13" a="1"/>
  <c r="L139" i="13" a="1"/>
  <c r="L146" i="13" a="1"/>
  <c r="N156" i="13" a="1"/>
  <c r="M160" i="13" a="1"/>
  <c r="M148" i="13" a="1"/>
  <c r="L159" i="13" a="1"/>
  <c r="N166" i="13" a="1"/>
  <c r="O155" i="13" a="1"/>
  <c r="O171" i="13" a="1"/>
  <c r="O156" i="13" a="1"/>
  <c r="M156" i="13" a="1"/>
  <c r="N160" i="13" a="1"/>
  <c r="M154" i="13" a="1"/>
  <c r="M167" i="13" a="1"/>
  <c r="O142" i="13" a="1"/>
  <c r="M149" i="13" a="1"/>
  <c r="N151" i="13" a="1"/>
  <c r="M163" i="13" a="1"/>
  <c r="O169" i="13" a="1"/>
  <c r="L148" i="13" a="1"/>
  <c r="N144" i="13" a="1"/>
  <c r="M168" i="13" a="1"/>
  <c r="N172" i="13" a="1"/>
  <c r="M140" i="13" a="1"/>
  <c r="M152" i="13" a="1"/>
  <c r="N142" i="13" a="1"/>
  <c r="N165" i="13" a="1"/>
  <c r="M155" i="13" a="1"/>
  <c r="N155" i="13" a="1"/>
  <c r="O138" i="13" a="1"/>
  <c r="L171" i="13" a="1"/>
  <c r="M172" i="13" a="1"/>
  <c r="O149" i="13" a="1"/>
  <c r="O161" i="13" a="1"/>
  <c r="N139" i="13" a="1"/>
  <c r="M165" i="13" a="1"/>
  <c r="O166" i="13" a="1"/>
  <c r="N161" i="13" a="1"/>
  <c r="N163" i="13" a="1"/>
  <c r="O146" i="13" a="1"/>
  <c r="O164" i="13" a="1"/>
  <c r="L163" i="13" a="1"/>
  <c r="O154" i="13" a="1"/>
  <c r="M141" i="13" a="1"/>
  <c r="M159" i="13" a="1"/>
  <c r="N152" i="13" a="1"/>
  <c r="O144" i="13" a="1"/>
  <c r="O143" i="13" a="1"/>
  <c r="L155" i="13" a="1"/>
  <c r="M241" i="13" a="1"/>
  <c r="O241" i="13" a="1"/>
  <c r="N244" i="13" a="1"/>
  <c r="L242" i="13" a="1"/>
  <c r="O242" i="13" a="1"/>
  <c r="L243" i="13" a="1"/>
  <c r="O244" i="13" a="1"/>
  <c r="M245" i="13" a="1"/>
  <c r="N242" i="13" a="1"/>
  <c r="M243" i="13" a="1"/>
  <c r="L245" i="13" a="1"/>
  <c r="M244" i="13" a="1"/>
  <c r="C4" i="20" l="1"/>
  <c r="C35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H17" i="19" a="1"/>
  <c r="L20" i="15" a="1"/>
  <c r="N188" i="13" a="1"/>
  <c r="L138" i="13" a="1"/>
  <c r="AB35" i="15" a="1"/>
  <c r="AK43" i="14" a="1"/>
  <c r="G211" i="13" a="1"/>
  <c r="N184" i="13" a="1"/>
  <c r="N211" i="13" a="1"/>
  <c r="H226" i="13" a="1"/>
  <c r="I226" i="13" a="1"/>
  <c r="G212" i="13" a="1"/>
  <c r="G183" i="13" a="1"/>
  <c r="N187" i="13" a="1"/>
  <c r="N183" i="13" a="1"/>
  <c r="U211" i="13" a="1"/>
  <c r="AJ109" i="13" a="1"/>
  <c r="L241" i="13" a="1"/>
  <c r="N191" i="13" a="1"/>
  <c r="U79" i="13" a="1"/>
  <c r="CI19" i="14" a="1"/>
  <c r="N20" i="15" a="1"/>
  <c r="AL20" i="15" a="1"/>
  <c r="G109" i="13" a="1"/>
  <c r="H227" i="13" a="1"/>
  <c r="N143" i="13" a="1"/>
  <c r="N109" i="13" a="1"/>
  <c r="M34" i="15" a="1"/>
  <c r="AI210" i="13" a="1"/>
  <c r="N194" i="13" a="1"/>
  <c r="L34" i="15" a="1"/>
  <c r="AG19" i="14" a="1"/>
  <c r="BU43" i="14" a="1"/>
  <c r="N192" i="13" a="1"/>
  <c r="N214" i="13" a="1"/>
  <c r="L21" i="15" a="1"/>
  <c r="W109" i="13" a="1"/>
  <c r="AJ94" i="13" a="1"/>
  <c r="U214" i="13" a="1"/>
  <c r="M20" i="15" a="1"/>
  <c r="G214" i="13" a="1"/>
  <c r="L22" i="15" a="1"/>
  <c r="C203" i="5" a="1"/>
  <c r="AC34" i="15" a="1"/>
  <c r="N212" i="13" a="1"/>
  <c r="W94" i="13" a="1"/>
  <c r="N195" i="13" a="1"/>
  <c r="N94" i="13" a="1"/>
  <c r="N22" i="15" a="1"/>
  <c r="N193" i="13" a="1"/>
  <c r="I227" i="13" a="1"/>
  <c r="N199" i="13" a="1"/>
  <c r="N185" i="13" a="1"/>
  <c r="AD79" i="13" a="1"/>
  <c r="N198" i="13" a="1"/>
  <c r="H229" i="13" a="1"/>
  <c r="N21" i="15" a="1"/>
  <c r="N197" i="13" a="1"/>
  <c r="M22" i="15" a="1"/>
  <c r="G186" i="13" a="1"/>
  <c r="N186" i="13" a="1"/>
  <c r="N196" i="13" a="1"/>
  <c r="U213" i="13" a="1"/>
  <c r="BC43" i="14" a="1"/>
  <c r="L43" i="14" a="1"/>
  <c r="N241" i="13" a="1"/>
  <c r="N189" i="13" a="1"/>
  <c r="I229" i="13" a="1"/>
  <c r="U210" i="13" a="1"/>
  <c r="AB34" i="15" a="1"/>
  <c r="N213" i="13" a="1"/>
  <c r="H230" i="13" a="1"/>
  <c r="Q17" i="19" a="1"/>
  <c r="AD34" i="15" a="1"/>
  <c r="G94" i="13" a="1"/>
  <c r="L35" i="15" a="1"/>
  <c r="N190" i="13" a="1"/>
  <c r="N210" i="13" a="1"/>
  <c r="M21" i="15" a="1"/>
  <c r="AA183" i="13" a="1"/>
  <c r="Y43" i="14" a="1"/>
  <c r="AZ20" i="15" a="1"/>
  <c r="X17" i="19" a="1"/>
  <c r="AD35" i="15" a="1"/>
  <c r="H19" i="14" a="1"/>
  <c r="G210" i="13" a="1"/>
  <c r="AU19" i="14" a="1"/>
  <c r="O124" i="13" a="1"/>
  <c r="AB36" i="15" a="1"/>
  <c r="P19" i="14" a="1"/>
  <c r="I230" i="13" a="1"/>
  <c r="G124" i="13" a="1"/>
  <c r="Z20" i="15" a="1"/>
  <c r="N200" i="13" a="1"/>
  <c r="M35" i="15" a="1"/>
  <c r="AC124" i="13" a="1"/>
  <c r="I228" i="13" a="1"/>
  <c r="H228" i="13" a="1"/>
  <c r="AS124" i="13" a="1"/>
  <c r="AC36" i="15" a="1"/>
  <c r="G213" i="13" a="1"/>
  <c r="U212" i="13" a="1"/>
  <c r="Y19" i="14" a="1"/>
  <c r="G79" i="13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17" i="19" a="1"/>
  <c r="C133" i="13" a="1"/>
  <c r="C221" i="13" a="1"/>
  <c r="C236" i="13" a="1"/>
  <c r="C14" i="14" a="1"/>
  <c r="C205" i="13" a="1"/>
  <c r="C178" i="13" a="1"/>
  <c r="T53" i="15" a="1"/>
  <c r="C15" i="15" a="1"/>
  <c r="C89" i="13" a="1"/>
  <c r="C119" i="13" a="1"/>
  <c r="Z17" i="19" a="1"/>
  <c r="C74" i="13" a="1"/>
  <c r="C28" i="15" a="1"/>
  <c r="C17" i="17" a="1"/>
  <c r="C104" i="13" a="1"/>
  <c r="C38" i="14" a="1"/>
  <c r="J53" i="15" a="1"/>
  <c r="K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3" i="17" a="1"/>
  <c r="C4" i="14" a="1"/>
  <c r="C4" i="13" a="1"/>
  <c r="C44" i="15" a="1"/>
  <c r="C12" i="19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BS66" i="5" a="1"/>
  <c r="U68" i="1" a="1"/>
  <c r="U100" i="5" a="1"/>
  <c r="W92" i="5" a="1"/>
  <c r="L179" i="5" a="1"/>
  <c r="I230" i="9" a="1"/>
  <c r="W100" i="5" a="1"/>
  <c r="BF42" i="5" a="1"/>
  <c r="E208" i="9" a="1"/>
  <c r="BM41" i="5" a="1"/>
  <c r="BP64" i="5" a="1"/>
  <c r="BK43" i="5" a="1"/>
  <c r="BQ42" i="5" a="1"/>
  <c r="T134" i="5" a="1"/>
  <c r="U94" i="5" a="1"/>
  <c r="V103" i="5" a="1"/>
  <c r="V136" i="5" a="1"/>
  <c r="X87" i="5" a="1"/>
  <c r="X92" i="5" a="1"/>
  <c r="J54" i="9" a="1"/>
  <c r="BR39" i="5" a="1"/>
  <c r="BD66" i="5" a="1"/>
  <c r="BJ43" i="5" a="1"/>
  <c r="BR41" i="5" a="1"/>
  <c r="E98" i="9" a="1"/>
  <c r="V123" i="5" a="1"/>
  <c r="D51" i="1" a="1"/>
  <c r="V137" i="5" a="1"/>
  <c r="U130" i="5" a="1"/>
  <c r="BR64" i="5" a="1"/>
  <c r="U198" i="5" a="1"/>
  <c r="T129" i="5" a="1"/>
  <c r="BS40" i="5" a="1"/>
  <c r="E142" i="9" a="1"/>
  <c r="BI40" i="5" a="1"/>
  <c r="X101" i="5" a="1"/>
  <c r="BE39" i="5" a="1"/>
  <c r="BF64" i="5" a="1"/>
  <c r="BG42" i="5" a="1"/>
  <c r="O76" i="9" a="1"/>
  <c r="U88" i="5" a="1"/>
  <c r="K177" i="5" a="1"/>
  <c r="BM43" i="5" a="1"/>
  <c r="BE43" i="5" a="1"/>
  <c r="V126" i="5" a="1"/>
  <c r="W98" i="5" a="1"/>
  <c r="BR63" i="5" a="1"/>
  <c r="O32" i="9" a="1"/>
  <c r="W91" i="5" a="1"/>
  <c r="J142" i="9" a="1"/>
  <c r="BS41" i="5" a="1"/>
  <c r="BK42" i="5" a="1"/>
  <c r="BH39" i="5" a="1"/>
  <c r="BT43" i="5" a="1"/>
  <c r="V127" i="5" a="1"/>
  <c r="U67" i="1" a="1"/>
  <c r="U97" i="5" a="1"/>
  <c r="L180" i="5" a="1"/>
  <c r="BM64" i="5" a="1"/>
  <c r="V128" i="5" a="1"/>
  <c r="O54" i="9" a="1"/>
  <c r="V129" i="5" a="1"/>
  <c r="BF63" i="5" a="1"/>
  <c r="BT42" i="5" a="1"/>
  <c r="X93" i="5" a="1"/>
  <c r="BI39" i="5" a="1"/>
  <c r="W130" i="5" a="1"/>
  <c r="BJ41" i="5" a="1"/>
  <c r="O142" i="9" a="1"/>
  <c r="BS65" i="5" a="1"/>
  <c r="BF40" i="5" a="1"/>
  <c r="X98" i="5" a="1"/>
  <c r="BM67" i="5" a="1"/>
  <c r="W131" i="5" a="1"/>
  <c r="C142" i="9" a="1"/>
  <c r="BP66" i="5" a="1"/>
  <c r="F230" i="9" a="1"/>
  <c r="BL63" i="5" a="1"/>
  <c r="BD65" i="5" a="1"/>
  <c r="BD42" i="5" a="1"/>
  <c r="V130" i="5" a="1"/>
  <c r="BG41" i="5" a="1"/>
  <c r="O186" i="9" a="1"/>
  <c r="U71" i="1" a="1"/>
  <c r="U92" i="5" a="1"/>
  <c r="BH65" i="5" a="1"/>
  <c r="BE64" i="5" a="1"/>
  <c r="BE40" i="5" a="1"/>
  <c r="BO42" i="5" a="1"/>
  <c r="W124" i="5" a="1"/>
  <c r="W129" i="5" a="1"/>
  <c r="BQ63" i="5" a="1"/>
  <c r="X197" i="5" a="1"/>
  <c r="C54" i="9" a="1"/>
  <c r="V93" i="5" a="1"/>
  <c r="U133" i="5" a="1"/>
  <c r="BQ65" i="5" a="1"/>
  <c r="BK67" i="5" a="1"/>
  <c r="U197" i="5" a="1"/>
  <c r="BE42" i="5" a="1"/>
  <c r="BP40" i="5" a="1"/>
  <c r="BT63" i="5" a="1"/>
  <c r="J98" i="9" a="1"/>
  <c r="G71" i="1" a="1"/>
  <c r="X95" i="5" a="1"/>
  <c r="BH41" i="5" a="1"/>
  <c r="BI41" i="5" a="1"/>
  <c r="BS42" i="5" a="1"/>
  <c r="U90" i="5" a="1"/>
  <c r="V96" i="5" a="1"/>
  <c r="J208" i="9" a="1"/>
  <c r="BQ43" i="5" a="1"/>
  <c r="BN43" i="5" a="1"/>
  <c r="T125" i="5" a="1"/>
  <c r="BL40" i="5" a="1"/>
  <c r="J186" i="9" a="1"/>
  <c r="X90" i="5" a="1"/>
  <c r="BE63" i="5" a="1"/>
  <c r="X100" i="5" a="1"/>
  <c r="X88" i="5" a="1"/>
  <c r="V88" i="5" a="1"/>
  <c r="J120" i="9" a="1"/>
  <c r="V138" i="5" a="1"/>
  <c r="BG67" i="5" a="1"/>
  <c r="BS43" i="5" a="1"/>
  <c r="X99" i="5" a="1"/>
  <c r="BL65" i="5" a="1"/>
  <c r="BN41" i="5" a="1"/>
  <c r="W123" i="5" a="1"/>
  <c r="BG65" i="5" a="1"/>
  <c r="BP43" i="5" a="1"/>
  <c r="BI43" i="5" a="1"/>
  <c r="E186" i="9" a="1"/>
  <c r="BO63" i="5" a="1"/>
  <c r="J76" i="9" a="1"/>
  <c r="G68" i="1" a="1"/>
  <c r="C32" i="9" a="1"/>
  <c r="V132" i="5" a="1"/>
  <c r="BL67" i="5" a="1"/>
  <c r="L158" i="5" a="1"/>
  <c r="BN66" i="5" a="1"/>
  <c r="BE66" i="5" a="1"/>
  <c r="U132" i="5" a="1"/>
  <c r="BF66" i="5" a="1"/>
  <c r="BL66" i="5" a="1"/>
  <c r="U102" i="5" a="1"/>
  <c r="X123" i="5" a="1"/>
  <c r="BP39" i="5" a="1"/>
  <c r="W198" i="5" a="1"/>
  <c r="G67" i="1" a="1"/>
  <c r="BO67" i="5" a="1"/>
  <c r="W89" i="5" a="1"/>
  <c r="BK64" i="5" a="1"/>
  <c r="X133" i="5" a="1"/>
  <c r="W94" i="5" a="1"/>
  <c r="W138" i="5" a="1"/>
  <c r="U96" i="5" a="1"/>
  <c r="T139" i="5" a="1"/>
  <c r="U70" i="1" a="1"/>
  <c r="BT66" i="5" a="1"/>
  <c r="V139" i="5" a="1"/>
  <c r="BH40" i="5" a="1"/>
  <c r="BG66" i="5" a="1"/>
  <c r="X96" i="5" a="1"/>
  <c r="BH42" i="5" a="1"/>
  <c r="BF65" i="5" a="1"/>
  <c r="W102" i="5" a="1"/>
  <c r="C76" i="9" a="1"/>
  <c r="V87" i="5" a="1"/>
  <c r="L177" i="5" a="1"/>
  <c r="U230" i="9" a="1"/>
  <c r="K180" i="5" a="1"/>
  <c r="BH63" i="5" a="1"/>
  <c r="BN42" i="5" a="1"/>
  <c r="C186" i="9" a="1"/>
  <c r="BL39" i="5" a="1"/>
  <c r="K159" i="5" a="1"/>
  <c r="BP42" i="5" a="1"/>
  <c r="T136" i="5" a="1"/>
  <c r="BT65" i="5" a="1"/>
  <c r="BT64" i="5" a="1"/>
  <c r="BG39" i="5" a="1"/>
  <c r="X129" i="5" a="1"/>
  <c r="T198" i="5" a="1"/>
  <c r="BI42" i="5" a="1"/>
  <c r="W132" i="5" a="1"/>
  <c r="BN65" i="5" a="1"/>
  <c r="BQ64" i="5" a="1"/>
  <c r="BK40" i="5" a="1"/>
  <c r="U126" i="5" a="1"/>
  <c r="T133" i="5" a="1"/>
  <c r="BL43" i="5" a="1"/>
  <c r="G70" i="1" a="1"/>
  <c r="BG43" i="5" a="1"/>
  <c r="BI65" i="5" a="1"/>
  <c r="BH66" i="5" a="1"/>
  <c r="U139" i="5" a="1"/>
  <c r="X102" i="5" a="1"/>
  <c r="X91" i="5" a="1"/>
  <c r="W103" i="5" a="1"/>
  <c r="BS64" i="5" a="1"/>
  <c r="T127" i="5" a="1"/>
  <c r="BI66" i="5" a="1"/>
  <c r="BQ41" i="5" a="1"/>
  <c r="J164" i="9" a="1"/>
  <c r="BF39" i="5" a="1"/>
  <c r="O164" i="9" a="1"/>
  <c r="K68" i="1" a="1"/>
  <c r="BD41" i="5" a="1"/>
  <c r="U93" i="5" a="1"/>
  <c r="C6" i="2" a="1"/>
  <c r="X103" i="5" a="1"/>
  <c r="W88" i="5" a="1"/>
  <c r="E164" i="9" a="1"/>
  <c r="K67" i="1" a="1"/>
  <c r="T130" i="5" a="1"/>
  <c r="V102" i="5" a="1"/>
  <c r="BD43" i="5" a="1"/>
  <c r="V89" i="5" a="1"/>
  <c r="BM63" i="5" a="1"/>
  <c r="W136" i="5" a="1"/>
  <c r="W134" i="5" a="1"/>
  <c r="BR67" i="5" a="1"/>
  <c r="K158" i="5" a="1"/>
  <c r="U124" i="5" a="1"/>
  <c r="X126" i="5" a="1"/>
  <c r="E54" i="9" a="1"/>
  <c r="BR42" i="5" a="1"/>
  <c r="V101" i="5" a="1"/>
  <c r="BN63" i="5" a="1"/>
  <c r="BM66" i="5" a="1"/>
  <c r="BS39" i="5" a="1"/>
  <c r="BP65" i="5" a="1"/>
  <c r="G47" i="1" a="1"/>
  <c r="V97" i="5" a="1"/>
  <c r="U137" i="5" a="1"/>
  <c r="W133" i="5" a="1"/>
  <c r="V124" i="5" a="1"/>
  <c r="D49" i="1" a="1"/>
  <c r="BJ42" i="5" a="1"/>
  <c r="X132" i="5" a="1"/>
  <c r="W101" i="5" a="1"/>
  <c r="BM42" i="5" a="1"/>
  <c r="V135" i="5" a="1"/>
  <c r="R230" i="9" a="1"/>
  <c r="W128" i="5" a="1"/>
  <c r="U69" i="1" a="1"/>
  <c r="BL64" i="5" a="1"/>
  <c r="BN40" i="5" a="1"/>
  <c r="BL41" i="5" a="1"/>
  <c r="BJ67" i="5" a="1"/>
  <c r="BF41" i="5" a="1"/>
  <c r="BL42" i="5" a="1"/>
  <c r="BF67" i="5" a="1"/>
  <c r="K181" i="5" a="1"/>
  <c r="BR43" i="5" a="1"/>
  <c r="BD67" i="5" a="1"/>
  <c r="L157" i="5" a="1"/>
  <c r="V100" i="5" a="1"/>
  <c r="BO39" i="5" a="1"/>
  <c r="BJ40" i="5" a="1"/>
  <c r="W135" i="5" a="1"/>
  <c r="BK65" i="5" a="1"/>
  <c r="BO64" i="5" a="1"/>
  <c r="BO41" i="5" a="1"/>
  <c r="T138" i="5" a="1"/>
  <c r="BO65" i="5" a="1"/>
  <c r="W87" i="5" a="1"/>
  <c r="BF43" i="5" a="1"/>
  <c r="U99" i="5" a="1"/>
  <c r="W93" i="5" a="1"/>
  <c r="BJ39" i="5" a="1"/>
  <c r="BT40" i="5" a="1"/>
  <c r="V92" i="5" a="1"/>
  <c r="X128" i="5" a="1"/>
  <c r="K71" i="1" a="1"/>
  <c r="BH43" i="5" a="1"/>
  <c r="X134" i="5" a="1"/>
  <c r="V94" i="5" a="1"/>
  <c r="U89" i="5" a="1"/>
  <c r="T131" i="5" a="1"/>
  <c r="W127" i="5" a="1"/>
  <c r="V90" i="5" a="1"/>
  <c r="X135" i="5" a="1"/>
  <c r="X198" i="5" a="1"/>
  <c r="X131" i="5" a="1"/>
  <c r="T137" i="5" a="1"/>
  <c r="I26" i="3" a="1"/>
  <c r="U101" i="5" a="1"/>
  <c r="K157" i="5" a="1"/>
  <c r="U87" i="5" a="1"/>
  <c r="T124" i="5" a="1"/>
  <c r="BK41" i="5" a="1"/>
  <c r="BJ66" i="5" a="1"/>
  <c r="U128" i="5" a="1"/>
  <c r="BP63" i="5" a="1"/>
  <c r="BT67" i="5" a="1"/>
  <c r="BJ63" i="5" a="1"/>
  <c r="C120" i="9" a="1"/>
  <c r="O230" i="9" a="1"/>
  <c r="T132" i="5" a="1"/>
  <c r="L160" i="5" a="1"/>
  <c r="BP67" i="5" a="1"/>
  <c r="W90" i="5" a="1"/>
  <c r="V131" i="5" a="1"/>
  <c r="BR66" i="5" a="1"/>
  <c r="V125" i="5" a="1"/>
  <c r="U127" i="5" a="1"/>
  <c r="D47" i="1" a="1"/>
  <c r="BE41" i="5" a="1"/>
  <c r="E120" i="9" a="1"/>
  <c r="U135" i="5" a="1"/>
  <c r="BS63" i="5" a="1"/>
  <c r="BM39" i="5" a="1"/>
  <c r="W99" i="5" a="1"/>
  <c r="V197" i="5" a="1"/>
  <c r="BI63" i="5" a="1"/>
  <c r="T126" i="5" a="1"/>
  <c r="BG64" i="5" a="1"/>
  <c r="BO43" i="5" a="1"/>
  <c r="BT41" i="5" a="1"/>
  <c r="BS67" i="5" a="1"/>
  <c r="U125" i="5" a="1"/>
  <c r="X97" i="5" a="1"/>
  <c r="BT39" i="5" a="1"/>
  <c r="X136" i="5" a="1"/>
  <c r="K70" i="1" a="1"/>
  <c r="U138" i="5" a="1"/>
  <c r="BQ39" i="5" a="1"/>
  <c r="BJ65" i="5" a="1"/>
  <c r="U123" i="5" a="1"/>
  <c r="W95" i="5" a="1"/>
  <c r="X137" i="5" a="1"/>
  <c r="L230" i="9" a="1"/>
  <c r="L178" i="5" a="1"/>
  <c r="BR65" i="5" a="1"/>
  <c r="BI64" i="5" a="1"/>
  <c r="BQ66" i="5" a="1"/>
  <c r="W125" i="5" a="1"/>
  <c r="C164" i="9" a="1"/>
  <c r="X139" i="5" a="1"/>
  <c r="BQ67" i="5" a="1"/>
  <c r="V95" i="5" a="1"/>
  <c r="BP41" i="5" a="1"/>
  <c r="I27" i="11" a="1"/>
  <c r="U103" i="5" a="1"/>
  <c r="G69" i="1" a="1"/>
  <c r="BE67" i="5" a="1"/>
  <c r="W97" i="5" a="1"/>
  <c r="X94" i="5" a="1"/>
  <c r="BO66" i="5" a="1"/>
  <c r="X89" i="5" a="1"/>
  <c r="BK63" i="5" a="1"/>
  <c r="W139" i="5" a="1"/>
  <c r="BH64" i="5" a="1"/>
  <c r="K178" i="5" a="1"/>
  <c r="C230" i="9" a="1"/>
  <c r="U131" i="5" a="1"/>
  <c r="K160" i="5" a="1"/>
  <c r="C208" i="9" a="1"/>
  <c r="BR40" i="5" a="1"/>
  <c r="U91" i="5" a="1"/>
  <c r="C98" i="9" a="1"/>
  <c r="BI67" i="5" a="1"/>
  <c r="W137" i="5" a="1"/>
  <c r="U134" i="5" a="1"/>
  <c r="L159" i="5" a="1"/>
  <c r="BD64" i="5" a="1"/>
  <c r="U98" i="5" a="1"/>
  <c r="W96" i="5" a="1"/>
  <c r="I22" i="11" a="1"/>
  <c r="T123" i="5" a="1"/>
  <c r="V98" i="5" a="1"/>
  <c r="BM40" i="5" a="1"/>
  <c r="U136" i="5" a="1"/>
  <c r="K69" i="1" a="1"/>
  <c r="BE65" i="5" a="1"/>
  <c r="U95" i="5" a="1"/>
  <c r="BG63" i="5" a="1"/>
  <c r="BD40" i="5" a="1"/>
  <c r="W126" i="5" a="1"/>
  <c r="BJ64" i="5" a="1"/>
  <c r="T197" i="5" a="1"/>
  <c r="V133" i="5" a="1"/>
  <c r="BN39" i="5" a="1"/>
  <c r="BN64" i="5" a="1"/>
  <c r="E76" i="9" a="1"/>
  <c r="X124" i="5" a="1"/>
  <c r="V99" i="5" a="1"/>
  <c r="BH67" i="5" a="1"/>
  <c r="X138" i="5" a="1"/>
  <c r="V198" i="5" a="1"/>
  <c r="V91" i="5" a="1"/>
  <c r="L161" i="5" a="1"/>
  <c r="V134" i="5" a="1"/>
  <c r="K161" i="5" a="1"/>
  <c r="L181" i="5" a="1"/>
  <c r="BQ40" i="5" a="1"/>
  <c r="O98" i="9" a="1"/>
  <c r="BM65" i="5" a="1"/>
  <c r="T135" i="5" a="1"/>
  <c r="X127" i="5" a="1"/>
  <c r="BK66" i="5" a="1"/>
  <c r="J32" i="9" a="1"/>
  <c r="O208" i="9" a="1"/>
  <c r="BD39" i="5" a="1"/>
  <c r="BN67" i="5" a="1"/>
  <c r="K179" i="5" a="1"/>
  <c r="U129" i="5" a="1"/>
  <c r="W197" i="5" a="1"/>
  <c r="X125" i="5" a="1"/>
  <c r="T128" i="5" a="1"/>
  <c r="X130" i="5" a="1"/>
  <c r="O120" i="9" a="1"/>
  <c r="BK39" i="5" a="1"/>
  <c r="BO40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D62" i="2" a="1"/>
  <c r="C27" i="9" a="1"/>
  <c r="I25" i="11" a="1"/>
  <c r="C24" i="5" a="1"/>
  <c r="K71" i="9" a="1"/>
  <c r="I30" i="3" a="1"/>
  <c r="O68" i="1" a="1"/>
  <c r="C186" i="5" a="1"/>
  <c r="D53" i="1" a="1"/>
  <c r="P93" i="9" a="1"/>
  <c r="O225" i="9" a="1"/>
  <c r="J22" i="11" a="1"/>
  <c r="R70" i="1" a="1"/>
  <c r="V70" i="1" a="1"/>
  <c r="R67" i="1" a="1"/>
  <c r="H17" i="2" a="1"/>
  <c r="I24" i="11" a="1"/>
  <c r="M68" i="1" a="1"/>
  <c r="I26" i="11" a="1"/>
  <c r="F71" i="9" a="1"/>
  <c r="L225" i="9" a="1"/>
  <c r="I23" i="11" a="1"/>
  <c r="O67" i="1" a="1"/>
  <c r="R71" i="1" a="1"/>
  <c r="I71" i="1" a="1"/>
  <c r="P159" i="9" a="1"/>
  <c r="O71" i="1" a="1"/>
  <c r="V67" i="1" a="1"/>
  <c r="R68" i="1" a="1"/>
  <c r="D84" i="1" a="1"/>
  <c r="D56" i="1" a="1"/>
  <c r="D52" i="1" a="1"/>
  <c r="K115" i="9" a="1"/>
  <c r="V68" i="1" a="1"/>
  <c r="D57" i="1" a="1"/>
  <c r="M71" i="1" a="1"/>
  <c r="C108" i="5" a="1"/>
  <c r="M67" i="1" a="1"/>
  <c r="F203" i="9" a="1"/>
  <c r="K137" i="9" a="1"/>
  <c r="D54" i="1" a="1"/>
  <c r="F49" i="9" a="1"/>
  <c r="M47" i="1" a="1"/>
  <c r="I27" i="3" a="1"/>
  <c r="I67" i="1" a="1"/>
  <c r="F115" i="9" a="1"/>
  <c r="C225" i="9" a="1"/>
  <c r="I69" i="1" a="1"/>
  <c r="C166" i="5" a="1"/>
  <c r="C144" i="5" a="1"/>
  <c r="D81" i="1" a="1"/>
  <c r="C203" i="9" a="1"/>
  <c r="I225" i="9" a="1"/>
  <c r="C159" i="9" a="1"/>
  <c r="C181" i="9" a="1"/>
  <c r="K181" i="9" a="1"/>
  <c r="P115" i="9" a="1"/>
  <c r="F27" i="9" a="1"/>
  <c r="D55" i="1" a="1"/>
  <c r="I70" i="1" a="1"/>
  <c r="F181" i="9" a="1"/>
  <c r="M69" i="1" a="1"/>
  <c r="F137" i="9" a="1"/>
  <c r="P27" i="9" a="1"/>
  <c r="I31" i="3" a="1"/>
  <c r="V71" i="1" a="1"/>
  <c r="P203" i="9" a="1"/>
  <c r="D64" i="2" a="1"/>
  <c r="D82" i="1" a="1"/>
  <c r="M70" i="1" a="1"/>
  <c r="K203" i="9" a="1"/>
  <c r="C48" i="5" a="1"/>
  <c r="O70" i="1" a="1"/>
  <c r="U29" i="3" a="1"/>
  <c r="C72" i="5" a="1"/>
  <c r="R69" i="1" a="1"/>
  <c r="C71" i="9" a="1"/>
  <c r="J26" i="3" a="1"/>
  <c r="C137" i="9" a="1"/>
  <c r="V69" i="1" a="1"/>
  <c r="K49" i="9" a="1"/>
  <c r="I68" i="1" a="1"/>
  <c r="D83" i="1" a="1"/>
  <c r="P181" i="9" a="1"/>
  <c r="F159" i="9" a="1"/>
  <c r="O69" i="1" a="1"/>
  <c r="U225" i="9" a="1"/>
  <c r="K93" i="9" a="1"/>
  <c r="P71" i="9" a="1"/>
  <c r="C115" i="9" a="1"/>
  <c r="K27" i="9" a="1"/>
  <c r="C93" i="9" a="1"/>
  <c r="F225" i="9" a="1"/>
  <c r="C49" i="9" a="1"/>
  <c r="P49" i="9" a="1"/>
  <c r="P137" i="9" a="1"/>
  <c r="K159" i="9" a="1"/>
  <c r="R225" i="9" a="1"/>
  <c r="F93" i="9" a="1"/>
  <c r="I27" i="3" l="1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2" i="2" a="1"/>
  <c r="S70" i="1" a="1"/>
  <c r="C219" i="9" a="1"/>
  <c r="E48" i="1" a="1"/>
  <c r="P69" i="1" a="1"/>
  <c r="S69" i="1" a="1"/>
  <c r="C175" i="9" a="1"/>
  <c r="C4" i="5" a="1"/>
  <c r="C197" i="9" a="1"/>
  <c r="N24" i="3" a="1"/>
  <c r="J26" i="11" a="1"/>
  <c r="E53" i="1" a="1"/>
  <c r="J27" i="3" a="1"/>
  <c r="P67" i="1" a="1"/>
  <c r="U81" i="1" a="1"/>
  <c r="C153" i="9" a="1"/>
  <c r="E55" i="1" a="1"/>
  <c r="J28" i="3" a="1"/>
  <c r="C109" i="9" a="1"/>
  <c r="E83" i="1" a="1"/>
  <c r="J23" i="11" a="1"/>
  <c r="E57" i="1" a="1"/>
  <c r="E82" i="1" a="1"/>
  <c r="E84" i="1" a="1"/>
  <c r="J29" i="3" a="1"/>
  <c r="P68" i="1" a="1"/>
  <c r="E54" i="1" a="1"/>
  <c r="G21" i="2" a="1"/>
  <c r="S68" i="1" a="1"/>
  <c r="O81" i="1" a="1"/>
  <c r="P71" i="1" a="1"/>
  <c r="E81" i="1" a="1"/>
  <c r="X81" i="1" a="1"/>
  <c r="G81" i="1" a="1"/>
  <c r="C65" i="9" a="1"/>
  <c r="E51" i="1" a="1"/>
  <c r="F64" i="2" a="1"/>
  <c r="R81" i="1" a="1"/>
  <c r="E49" i="1" a="1"/>
  <c r="C131" i="9" a="1"/>
  <c r="E52" i="1" a="1"/>
  <c r="C21" i="9" a="1"/>
  <c r="S67" i="1" a="1"/>
  <c r="J24" i="11" a="1"/>
  <c r="E56" i="1" a="1"/>
  <c r="P70" i="1" a="1"/>
  <c r="C87" i="9" a="1"/>
  <c r="E50" i="1" a="1"/>
  <c r="C43" i="9" a="1"/>
  <c r="E47" i="1" a="1"/>
  <c r="J25" i="11" a="1"/>
  <c r="K81" i="1" a="1"/>
  <c r="S71" i="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Q81" i="1" a="1"/>
  <c r="N81" i="1" a="1"/>
  <c r="W81" i="1" a="1"/>
  <c r="F82" i="1" a="1"/>
  <c r="N84" i="1" a="1"/>
  <c r="T81" i="1" a="1"/>
  <c r="Y85" i="1" a="1"/>
  <c r="J81" i="1" a="1"/>
  <c r="J30" i="3" a="1"/>
  <c r="Q83" i="1" a="1"/>
  <c r="N82" i="1" a="1"/>
  <c r="Q82" i="1" a="1"/>
  <c r="C43" i="1" a="1"/>
  <c r="Q84" i="1" a="1"/>
  <c r="F83" i="1" a="1"/>
  <c r="W84" i="1" a="1"/>
  <c r="W83" i="1" a="1"/>
  <c r="J84" i="1" a="1"/>
  <c r="F81" i="1" a="1"/>
  <c r="I85" i="1" a="1"/>
  <c r="J83" i="1" a="1"/>
  <c r="C58" i="2" a="1"/>
  <c r="C4" i="9" a="1"/>
  <c r="T84" i="1" a="1"/>
  <c r="T83" i="1" a="1"/>
  <c r="W82" i="1" a="1"/>
  <c r="F84" i="1" a="1"/>
  <c r="J27" i="11" a="1"/>
  <c r="M85" i="1" a="1"/>
  <c r="V85" i="1" a="1"/>
  <c r="T82" i="1" a="1"/>
  <c r="N83" i="1" a="1"/>
  <c r="S85" i="1" a="1"/>
  <c r="J82" i="1" a="1"/>
  <c r="P85" i="1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Y83" i="1" a="1"/>
  <c r="Y82" i="1" a="1"/>
  <c r="I84" i="1" a="1"/>
  <c r="J31" i="3" a="1"/>
  <c r="M81" i="1" a="1"/>
  <c r="M82" i="1" a="1"/>
  <c r="M84" i="1" a="1"/>
  <c r="C20" i="11" a="1"/>
  <c r="C39" i="1" a="1"/>
  <c r="V81" i="1" a="1"/>
  <c r="Y84" i="1" a="1"/>
  <c r="I83" i="1" a="1"/>
  <c r="S82" i="1" a="1"/>
  <c r="I82" i="1" a="1"/>
  <c r="P81" i="1" a="1"/>
  <c r="P84" i="1" a="1"/>
  <c r="V84" i="1" a="1"/>
  <c r="V82" i="1" a="1"/>
  <c r="I81" i="1" a="1"/>
  <c r="P82" i="1" a="1"/>
  <c r="S83" i="1" a="1"/>
  <c r="M83" i="1" a="1"/>
  <c r="C15" i="1" a="1"/>
  <c r="S84" i="1" a="1"/>
  <c r="P83" i="1" a="1"/>
  <c r="Y81" i="1" a="1"/>
  <c r="S81" i="1" a="1"/>
  <c r="V83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71" i="1" a="1"/>
  <c r="E69" i="1" a="1"/>
  <c r="E70" i="1" a="1"/>
  <c r="E68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1" i="3" a="1"/>
  <c r="AK53" i="3" a="1"/>
  <c r="AK52" i="3" a="1"/>
  <c r="AK54" i="3" a="1"/>
  <c r="AK55" i="3" a="1"/>
  <c r="AK56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AZ37" i="3" a="1"/>
  <c r="BA37" i="3" a="1"/>
  <c r="BP41" i="3" a="1"/>
  <c r="BQ41" i="3" a="1"/>
  <c r="D46" i="26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82" i="3" a="1"/>
  <c r="BQ81" i="3" a="1"/>
  <c r="BA55" i="3" a="1"/>
  <c r="BA56" i="3" a="1"/>
  <c r="BQ79" i="3" a="1"/>
  <c r="BQ77" i="3" a="1"/>
  <c r="BA53" i="3" a="1"/>
  <c r="BA51" i="3" a="1"/>
  <c r="BQ80" i="3" a="1"/>
  <c r="BA54" i="3" a="1"/>
  <c r="BA52" i="3" a="1"/>
  <c r="BQ78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<sst xmlns="http://schemas.openxmlformats.org/spreadsheetml/2006/main" count="4883" uniqueCount="713">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</sst>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2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</cellStyleXfs>
  <cellXfs count="966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7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7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4" fillId="0" borderId="0" xfId="0" applyNumberFormat="1" applyFont="1"/>
    <xf numFmtId="168" fontId="34" fillId="0" borderId="0" xfId="0" quotePrefix="1" applyNumberFormat="1" applyFont="1"/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0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tabSelected="1" zoomScale="130" zoomScaleNormal="130" workbookViewId="0">
      <selection activeCell="B15" sqref="B15:C15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83" t="s">
        <v>410</v>
      </c>
      <c r="C4" s="884"/>
      <c r="D4" s="887" t="s">
        <v>670</v>
      </c>
      <c r="I4" s="439"/>
    </row>
    <row r="5" spans="2:9" s="417" customFormat="1">
      <c r="B5" s="885" t="s">
        <v>411</v>
      </c>
      <c r="C5" s="886"/>
      <c r="D5" s="888" t="str" cm="1">
        <f t="array" ref="D5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447</v>
      </c>
      <c r="C9" s="200"/>
    </row>
    <row r="10" spans="2:9" s="439" customFormat="1" ht="18.75" customHeight="1">
      <c r="B10" s="951" t="str" cm="1">
        <f t="array" aca="1" ref="B10" ca="1">_xll.d.TestUtils_And(C19:C21,C24:C25,C28:C29,C33:C36,C40:C43)</f>
        <v>Error</v>
      </c>
      <c r="C10" s="951"/>
      <c r="D10" s="613" t="s">
        <v>669</v>
      </c>
    </row>
    <row r="11" spans="2:9" s="439" customFormat="1" ht="15" customHeight="1">
      <c r="B11" s="952"/>
      <c r="C11" s="952"/>
      <c r="D11" s="882" t="s">
        <v>673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550</v>
      </c>
      <c r="C15" s="604"/>
      <c r="F15" s="439"/>
    </row>
    <row r="16" spans="2:9">
      <c r="B16" s="605" t="s">
        <v>551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>Dates!C4</f>
        <v>Error</v>
      </c>
      <c r="F19" s="439"/>
    </row>
    <row r="20" spans="2:9">
      <c r="B20" s="413" t="s">
        <v>340</v>
      </c>
      <c r="C20" s="126" t="str">
        <f>Mathematics!C4</f>
        <v>Ok</v>
      </c>
      <c r="F20" s="439"/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>'Equity Pricers'!C4</f>
        <v>Ok</v>
      </c>
    </row>
    <row r="25" spans="2:9" s="439" customFormat="1">
      <c r="B25" s="414" t="s">
        <v>394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>'FX Pricers'!C4</f>
        <v>Ok</v>
      </c>
    </row>
    <row r="29" spans="2:9" s="439" customFormat="1">
      <c r="B29" s="413" t="s">
        <v>674</v>
      </c>
      <c r="C29" s="300"/>
      <c r="D29" s="613" t="s">
        <v>671</v>
      </c>
    </row>
    <row r="30" spans="2:9" s="439" customFormat="1">
      <c r="B30" s="483" t="s">
        <v>676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650</v>
      </c>
      <c r="C34" s="279" t="str">
        <f ca="1">'Curve Bootstrapping'!C6</f>
        <v>Error</v>
      </c>
    </row>
    <row r="35" spans="2:5">
      <c r="B35" s="574" t="s">
        <v>504</v>
      </c>
      <c r="C35" s="280" t="str">
        <f>'Interest Rate Pricers'!C4</f>
        <v>Ok</v>
      </c>
      <c r="D35" s="439"/>
    </row>
    <row r="36" spans="2:5">
      <c r="B36" s="413" t="s">
        <v>390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671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672</v>
      </c>
    </row>
    <row r="42" spans="2:5">
      <c r="B42" s="482" t="s">
        <v>70</v>
      </c>
      <c r="C42" s="631" t="str">
        <f ca="1">'Table Formatting'!C4</f>
        <v>Ok</v>
      </c>
      <c r="D42" s="613" t="s">
        <v>672</v>
      </c>
    </row>
    <row r="43" spans="2:5">
      <c r="B43" s="414" t="s">
        <v>155</v>
      </c>
      <c r="C43" s="632" t="str">
        <f>'Test Utils'!C4</f>
        <v>Ok</v>
      </c>
    </row>
    <row r="45" spans="2:5">
      <c r="E45" s="164"/>
    </row>
    <row r="51" spans="2:7">
      <c r="C51" s="8"/>
    </row>
    <row r="52" spans="2:7">
      <c r="C52" s="8"/>
    </row>
    <row r="53" spans="2:7">
      <c r="C53" s="8"/>
    </row>
    <row r="54" spans="2:7">
      <c r="B54" t="s">
        <v>710</v>
      </c>
      <c r="C54" s="8">
        <v>44927</v>
      </c>
    </row>
    <row r="55" spans="2:7">
      <c r="C55" s="8"/>
    </row>
    <row r="56" spans="2:7" s="439" customFormat="1">
      <c r="B56" s="58" t="s">
        <v>711</v>
      </c>
      <c r="C56" s="8"/>
      <c r="D56" s="949">
        <v>44651</v>
      </c>
      <c r="E56" s="949">
        <v>44742</v>
      </c>
      <c r="F56" s="949">
        <v>44834</v>
      </c>
      <c r="G56" s="949">
        <v>44926</v>
      </c>
    </row>
    <row r="57" spans="2:7">
      <c r="B57" s="58" t="s">
        <v>398</v>
      </c>
      <c r="C57" s="949">
        <v>44927</v>
      </c>
      <c r="D57" s="949">
        <v>45016</v>
      </c>
      <c r="E57" s="949">
        <v>45107</v>
      </c>
      <c r="F57" s="949">
        <v>45199</v>
      </c>
      <c r="G57" s="949">
        <v>45291</v>
      </c>
    </row>
    <row r="58" spans="2:7">
      <c r="B58" s="58" t="s">
        <v>708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>
      <c r="B59" s="58" t="s">
        <v>709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>
      <c r="C60" s="8"/>
    </row>
    <row r="61" spans="2:7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>
      <c r="C62" s="950" t="s">
        <v>712</v>
      </c>
    </row>
    <row r="63" spans="2:7">
      <c r="C63" s="8"/>
    </row>
    <row r="64" spans="2:7">
      <c r="B64" s="10"/>
    </row>
    <row r="66" spans="2:9">
      <c r="B66" s="10"/>
    </row>
    <row r="70" spans="2:9">
      <c r="B70" s="1"/>
    </row>
    <row r="75" spans="2:9">
      <c r="B75" s="8"/>
      <c r="D75" s="814"/>
    </row>
    <row r="76" spans="2:9">
      <c r="B76" s="8"/>
      <c r="D76" s="814"/>
    </row>
    <row r="77" spans="2:9">
      <c r="B77" s="8"/>
      <c r="D77" s="814"/>
      <c r="I77" s="948"/>
    </row>
    <row r="78" spans="2:9">
      <c r="B78" s="8"/>
      <c r="D78" s="814"/>
      <c r="I78" s="948"/>
    </row>
    <row r="79" spans="2:9">
      <c r="B79" s="8"/>
      <c r="D79" s="814"/>
      <c r="I79" s="948"/>
    </row>
    <row r="80" spans="2:9">
      <c r="B80" s="8"/>
      <c r="D80" s="814"/>
    </row>
    <row r="81" spans="2:9">
      <c r="B81" s="8"/>
      <c r="D81" s="814"/>
    </row>
    <row r="82" spans="2:9">
      <c r="B82" s="8"/>
      <c r="D82" s="814"/>
    </row>
    <row r="83" spans="2:9">
      <c r="B83" s="8"/>
      <c r="D83" s="814"/>
      <c r="I83" s="815"/>
    </row>
    <row r="84" spans="2:9">
      <c r="B84" s="8"/>
      <c r="D84" s="814"/>
      <c r="I84" s="815"/>
    </row>
    <row r="85" spans="2:9">
      <c r="B85" s="8"/>
      <c r="D85" s="814"/>
      <c r="I85" s="815"/>
    </row>
    <row r="86" spans="2:9">
      <c r="B86" s="8"/>
      <c r="D86" s="814"/>
      <c r="I86" s="815"/>
    </row>
    <row r="87" spans="2:9">
      <c r="B87" s="8"/>
      <c r="D87" s="814"/>
      <c r="I87" s="815"/>
    </row>
    <row r="88" spans="2:9">
      <c r="I88" s="815"/>
    </row>
    <row r="89" spans="2:9">
      <c r="I89" s="815"/>
    </row>
  </sheetData>
  <mergeCells count="1">
    <mergeCell ref="B10:C11"/>
  </mergeCells>
  <conditionalFormatting sqref="C19 C25 C33 C35">
    <cfRule type="cellIs" dxfId="909" priority="47" stopIfTrue="1" operator="equal">
      <formula>"ERROR"</formula>
    </cfRule>
    <cfRule type="cellIs" dxfId="908" priority="48" stopIfTrue="1" operator="equal">
      <formula>"OK"</formula>
    </cfRule>
    <cfRule type="cellIs" dxfId="907" priority="49" stopIfTrue="1" operator="equal">
      <formula>"WARNING"</formula>
    </cfRule>
  </conditionalFormatting>
  <conditionalFormatting sqref="C20">
    <cfRule type="cellIs" dxfId="906" priority="40" stopIfTrue="1" operator="equal">
      <formula>"ERROR"</formula>
    </cfRule>
    <cfRule type="cellIs" dxfId="905" priority="41" stopIfTrue="1" operator="equal">
      <formula>"OK"</formula>
    </cfRule>
    <cfRule type="cellIs" dxfId="904" priority="42" stopIfTrue="1" operator="equal">
      <formula>"WARNING"</formula>
    </cfRule>
  </conditionalFormatting>
  <conditionalFormatting sqref="C21">
    <cfRule type="cellIs" dxfId="903" priority="37" stopIfTrue="1" operator="equal">
      <formula>"ERROR"</formula>
    </cfRule>
    <cfRule type="cellIs" dxfId="902" priority="38" stopIfTrue="1" operator="equal">
      <formula>"OK"</formula>
    </cfRule>
    <cfRule type="cellIs" dxfId="901" priority="39" stopIfTrue="1" operator="equal">
      <formula>"WARNING"</formula>
    </cfRule>
  </conditionalFormatting>
  <conditionalFormatting sqref="D6">
    <cfRule type="cellIs" dxfId="900" priority="53" stopIfTrue="1" operator="equal">
      <formula>"ERROR"</formula>
    </cfRule>
    <cfRule type="cellIs" dxfId="899" priority="54" stopIfTrue="1" operator="equal">
      <formula>"OK"</formula>
    </cfRule>
    <cfRule type="cellIs" dxfId="898" priority="55" stopIfTrue="1" operator="equal">
      <formula>"WARNING"</formula>
    </cfRule>
  </conditionalFormatting>
  <conditionalFormatting sqref="C36">
    <cfRule type="cellIs" dxfId="897" priority="34" stopIfTrue="1" operator="equal">
      <formula>"ERROR"</formula>
    </cfRule>
    <cfRule type="cellIs" dxfId="896" priority="35" stopIfTrue="1" operator="equal">
      <formula>"OK"</formula>
    </cfRule>
    <cfRule type="cellIs" dxfId="895" priority="36" stopIfTrue="1" operator="equal">
      <formula>"WARNING"</formula>
    </cfRule>
  </conditionalFormatting>
  <conditionalFormatting sqref="B10:C11">
    <cfRule type="cellIs" dxfId="894" priority="31" stopIfTrue="1" operator="equal">
      <formula>"ERROR"</formula>
    </cfRule>
    <cfRule type="cellIs" dxfId="893" priority="32" stopIfTrue="1" operator="equal">
      <formula>"OK"</formula>
    </cfRule>
    <cfRule type="cellIs" dxfId="892" priority="33" stopIfTrue="1" operator="equal">
      <formula>"WARNING"</formula>
    </cfRule>
  </conditionalFormatting>
  <conditionalFormatting sqref="C34">
    <cfRule type="cellIs" dxfId="891" priority="59" stopIfTrue="1" operator="equal">
      <formula>"ERROR"</formula>
    </cfRule>
    <cfRule type="cellIs" dxfId="890" priority="60" stopIfTrue="1" operator="equal">
      <formula>"OK"</formula>
    </cfRule>
    <cfRule type="cellIs" dxfId="889" priority="61" stopIfTrue="1" operator="equal">
      <formula>"WARNING"</formula>
    </cfRule>
  </conditionalFormatting>
  <conditionalFormatting sqref="C24">
    <cfRule type="cellIs" dxfId="888" priority="19" stopIfTrue="1" operator="equal">
      <formula>"ERROR"</formula>
    </cfRule>
    <cfRule type="cellIs" dxfId="887" priority="20" stopIfTrue="1" operator="equal">
      <formula>"OK"</formula>
    </cfRule>
    <cfRule type="cellIs" dxfId="886" priority="21" stopIfTrue="1" operator="equal">
      <formula>"WARNING"</formula>
    </cfRule>
  </conditionalFormatting>
  <conditionalFormatting sqref="C40:C41">
    <cfRule type="cellIs" dxfId="885" priority="13" stopIfTrue="1" operator="equal">
      <formula>"ERROR"</formula>
    </cfRule>
    <cfRule type="cellIs" dxfId="884" priority="14" stopIfTrue="1" operator="equal">
      <formula>"OK"</formula>
    </cfRule>
    <cfRule type="cellIs" dxfId="883" priority="15" stopIfTrue="1" operator="equal">
      <formula>"WARNING"</formula>
    </cfRule>
  </conditionalFormatting>
  <conditionalFormatting sqref="C43">
    <cfRule type="cellIs" dxfId="882" priority="10" stopIfTrue="1" operator="equal">
      <formula>"ERROR"</formula>
    </cfRule>
    <cfRule type="cellIs" dxfId="881" priority="11" stopIfTrue="1" operator="equal">
      <formula>"OK"</formula>
    </cfRule>
    <cfRule type="cellIs" dxfId="880" priority="12" stopIfTrue="1" operator="equal">
      <formula>"WARNING"</formula>
    </cfRule>
  </conditionalFormatting>
  <conditionalFormatting sqref="C42">
    <cfRule type="cellIs" dxfId="879" priority="7" stopIfTrue="1" operator="equal">
      <formula>"ERROR"</formula>
    </cfRule>
    <cfRule type="cellIs" dxfId="878" priority="8" stopIfTrue="1" operator="equal">
      <formula>"OK"</formula>
    </cfRule>
    <cfRule type="cellIs" dxfId="877" priority="9" stopIfTrue="1" operator="equal">
      <formula>"WARNING"</formula>
    </cfRule>
  </conditionalFormatting>
  <conditionalFormatting sqref="C29:C30">
    <cfRule type="cellIs" dxfId="876" priority="4" stopIfTrue="1" operator="equal">
      <formula>"ERROR"</formula>
    </cfRule>
    <cfRule type="cellIs" dxfId="875" priority="5" stopIfTrue="1" operator="equal">
      <formula>"OK"</formula>
    </cfRule>
    <cfRule type="cellIs" dxfId="874" priority="6" stopIfTrue="1" operator="equal">
      <formula>"WARNING"</formula>
    </cfRule>
  </conditionalFormatting>
  <conditionalFormatting sqref="C28">
    <cfRule type="cellIs" dxfId="873" priority="1" stopIfTrue="1" operator="equal">
      <formula>"ERROR"</formula>
    </cfRule>
    <cfRule type="cellIs" dxfId="872" priority="2" stopIfTrue="1" operator="equal">
      <formula>"OK"</formula>
    </cfRule>
    <cfRule type="cellIs" dxfId="871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18" zoomScaleNormal="100" workbookViewId="0">
      <selection activeCell="C5" sqref="C5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ref="C4">_xll.d.TestUtils_And(D7:D20)</f>
        <v>Error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>C26</f>
        <v>Ok</v>
      </c>
    </row>
    <row r="8" spans="2:43">
      <c r="B8" s="415" t="s">
        <v>463</v>
      </c>
      <c r="C8" s="415"/>
      <c r="D8" s="300" t="str">
        <f>C38</f>
        <v>Ok</v>
      </c>
    </row>
    <row r="9" spans="2:43">
      <c r="B9" s="415" t="s">
        <v>467</v>
      </c>
      <c r="C9" s="415"/>
      <c r="D9" s="300" t="str">
        <f>C50</f>
        <v>Ok</v>
      </c>
    </row>
    <row r="10" spans="2:43">
      <c r="B10" s="415" t="s">
        <v>461</v>
      </c>
      <c r="C10" s="415"/>
      <c r="D10" s="300" t="str">
        <f>C62</f>
        <v>Ok</v>
      </c>
    </row>
    <row r="11" spans="2:43">
      <c r="B11" s="415" t="s">
        <v>380</v>
      </c>
      <c r="C11" s="415"/>
      <c r="D11" s="300" t="str">
        <f>C74</f>
        <v>Error</v>
      </c>
    </row>
    <row r="12" spans="2:43">
      <c r="B12" s="415" t="s">
        <v>381</v>
      </c>
      <c r="C12" s="415"/>
      <c r="D12" s="300" t="str">
        <f>C89</f>
        <v>Error</v>
      </c>
    </row>
    <row r="13" spans="2:43">
      <c r="B13" s="415" t="s">
        <v>382</v>
      </c>
      <c r="C13" s="415"/>
      <c r="D13" s="300" t="str">
        <f>C104</f>
        <v>Error</v>
      </c>
    </row>
    <row r="14" spans="2:43">
      <c r="B14" s="415" t="s">
        <v>383</v>
      </c>
      <c r="C14" s="415"/>
      <c r="D14" s="300" t="str">
        <f>C119</f>
        <v>Ok</v>
      </c>
    </row>
    <row r="15" spans="2:43">
      <c r="B15" s="415" t="s">
        <v>384</v>
      </c>
      <c r="C15" s="415"/>
      <c r="D15" s="300" t="str">
        <f>C133</f>
        <v>Ok</v>
      </c>
    </row>
    <row r="16" spans="2:43">
      <c r="B16" s="415" t="s">
        <v>385</v>
      </c>
      <c r="C16" s="415"/>
      <c r="D16" s="300" t="str">
        <f>C178</f>
        <v>Ok</v>
      </c>
    </row>
    <row r="17" spans="2:7">
      <c r="B17" s="415" t="s">
        <v>386</v>
      </c>
      <c r="C17" s="415"/>
      <c r="D17" s="300" t="str">
        <f>C205</f>
        <v>Error</v>
      </c>
    </row>
    <row r="18" spans="2:7">
      <c r="B18" s="415" t="s">
        <v>387</v>
      </c>
      <c r="C18" s="415"/>
      <c r="D18" s="300" t="str">
        <f>C221</f>
        <v>Ok</v>
      </c>
    </row>
    <row r="19" spans="2:7">
      <c r="B19" s="415" t="s">
        <v>388</v>
      </c>
      <c r="C19" s="415"/>
      <c r="D19" s="300" t="str">
        <f>C236</f>
        <v>Ok</v>
      </c>
    </row>
    <row r="20" spans="2:7">
      <c r="B20" s="415" t="s">
        <v>454</v>
      </c>
      <c r="C20" s="415"/>
      <c r="D20" s="300" t="str">
        <f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</row>
    <row r="74" spans="2:43">
      <c r="B74" s="50" t="s">
        <v>141</v>
      </c>
      <c r="C74" s="300" t="str" cm="1">
        <f t="array" ref="C74">_xll.d.TestUtils_And(G79,N79,U79,AD79,AQ79)</f>
        <v>Error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t="e" cm="1">
        <f t="array" ref="E79">_xll.d.Dates_FolDay(C79,B81:B83)</f>
        <v>#VALUE!</v>
      </c>
      <c r="F79" s="309">
        <v>44743</v>
      </c>
      <c r="G79" s="310" t="str" cm="1">
        <f t="array" ref="G79">_xll.d.TestUtils_Equal(E79,F79)</f>
        <v>Error</v>
      </c>
      <c r="I79" s="303" t="s">
        <v>31</v>
      </c>
      <c r="J79" s="304">
        <v>44742</v>
      </c>
      <c r="L79" s="308" t="e" cm="1">
        <f t="array" ref="L79">_xll.d.Dates_FolDay(J79,I81:J83)</f>
        <v>#VALUE!</v>
      </c>
      <c r="M79" s="309">
        <v>44746</v>
      </c>
      <c r="N79" s="310" t="str" cm="1">
        <f t="array" ref="N79">_xll.d.TestUtils_Equal(L79,M79)</f>
        <v>Error</v>
      </c>
      <c r="P79" s="123" t="s">
        <v>31</v>
      </c>
      <c r="Q79" s="301">
        <v>44728</v>
      </c>
      <c r="S79" s="308" t="e" cm="1">
        <f t="array" ref="S79">_xll.d.Dates_FolDay(Q79,Q80)</f>
        <v>#VALUE!</v>
      </c>
      <c r="T79" s="309">
        <v>44729</v>
      </c>
      <c r="U79" s="310" t="str" cm="1">
        <f t="array" ref="U79">_xll.d.TestUtils_Equal(S79,T79)</f>
        <v>Error</v>
      </c>
      <c r="W79" s="123" t="s">
        <v>31</v>
      </c>
      <c r="X79" s="301">
        <v>44746</v>
      </c>
      <c r="Z79" s="536" t="e" cm="1">
        <f t="array" ref="Z79">_xll.d.Dates_FolDay(X79,X80)</f>
        <v>#VALUE!</v>
      </c>
      <c r="AA79" s="537"/>
      <c r="AB79" s="537">
        <v>44747</v>
      </c>
      <c r="AC79" s="537"/>
      <c r="AD79" s="310" t="str" cm="1">
        <f t="array" ref="AD79">_xll.d.TestUtils_Equal(Z79,AB79)</f>
        <v>Error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</row>
    <row r="89" spans="2:36">
      <c r="B89" s="50" t="s">
        <v>141</v>
      </c>
      <c r="C89" s="300" t="str" cm="1">
        <f t="array" ref="C89">_xll.d.TestUtils_And(G94,N94,W94,AJ94)</f>
        <v>Error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t="e" cm="1">
        <f t="array" ref="E94">_xll.d.Dates_ModFolDay(C94,B96:B98)</f>
        <v>#VALUE!</v>
      </c>
      <c r="F94" s="309">
        <v>44741</v>
      </c>
      <c r="G94" s="310" t="str" cm="1">
        <f t="array" ref="G94">_xll.d.TestUtils_Equal(E94,F94)</f>
        <v>Error</v>
      </c>
      <c r="I94" s="123" t="s">
        <v>31</v>
      </c>
      <c r="J94" s="301">
        <v>44728</v>
      </c>
      <c r="L94" s="308" t="e" cm="1">
        <f t="array" ref="L94">_xll.d.Dates_ModFolDay(J94,J95)</f>
        <v>#VALUE!</v>
      </c>
      <c r="M94" s="309">
        <v>44729</v>
      </c>
      <c r="N94" s="310" t="str" cm="1">
        <f t="array" ref="N94">_xll.d.TestUtils_Equal(L94,M94)</f>
        <v>Error</v>
      </c>
      <c r="P94" s="123" t="s">
        <v>31</v>
      </c>
      <c r="Q94" s="301">
        <v>44746</v>
      </c>
      <c r="S94" s="536" t="e" cm="1">
        <f t="array" ref="S94">_xll.d.Dates_ModFolDay(Q94,Q95)</f>
        <v>#VALUE!</v>
      </c>
      <c r="T94" s="537"/>
      <c r="U94" s="537">
        <v>44747</v>
      </c>
      <c r="V94" s="537"/>
      <c r="W94" s="310" t="str" cm="1">
        <f t="array" ref="W94">_xll.d.TestUtils_Equal(S94,U94)</f>
        <v>Error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ref="C104">_xll.d.TestUtils_And(G109,N109,W109,AJ109)</f>
        <v>Error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t="e" cm="1">
        <f t="array" ref="E109">_xll.d.Dates_PrevDay(C109,B111:B113)</f>
        <v>#VALUE!</v>
      </c>
      <c r="F109" s="309">
        <v>44741</v>
      </c>
      <c r="G109" s="310" t="str" cm="1">
        <f t="array" ref="G109">_xll.d.TestUtils_Equal(E109,F109)</f>
        <v>Error</v>
      </c>
      <c r="I109" s="123" t="s">
        <v>31</v>
      </c>
      <c r="J109" s="301">
        <v>44728</v>
      </c>
      <c r="L109" s="308" t="e" cm="1">
        <f t="array" ref="L109">_xll.d.Dates_PrevDay(J109,J110)</f>
        <v>#VALUE!</v>
      </c>
      <c r="M109" s="309">
        <v>44727</v>
      </c>
      <c r="N109" s="310" t="str" cm="1">
        <f t="array" ref="N109">_xll.d.TestUtils_Equal(L109,M109)</f>
        <v>Error</v>
      </c>
      <c r="P109" s="123" t="s">
        <v>31</v>
      </c>
      <c r="Q109" s="301">
        <v>44746</v>
      </c>
      <c r="S109" s="536" t="e" cm="1">
        <f t="array" ref="S109">_xll.d.Dates_PrevDay(Q109,Q110)</f>
        <v>#VALUE!</v>
      </c>
      <c r="T109" s="537"/>
      <c r="U109" s="537">
        <v>44743</v>
      </c>
      <c r="V109" s="537"/>
      <c r="W109" s="310" t="str" cm="1">
        <f t="array" ref="W109">_xll.d.TestUtils_Equal(S109,U109)</f>
        <v>Error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ref="C119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ref="C133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ref="C178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ref="E183:E192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1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>
      <c r="E192" s="298">
        <v>44922</v>
      </c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1" spans="2:35">
      <c r="L201" s="298">
        <v>44922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ref="C205">_xll.d.TestUtils_And(G210:G214,N210:N214,U210:U214)</f>
        <v>Error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 t="e">
        <f t="array" ref="E210:E214">_xll.d.Dates_GenerateSchedule(C210,C211,C212,C213,C214,C215)</f>
        <v>#VALUE!</v>
      </c>
      <c r="F210" s="301">
        <v>44743</v>
      </c>
      <c r="G210" s="300" t="str" cm="1">
        <f t="array" ref="G210">_xll.d.TestUtils_Equal(E210,F210)</f>
        <v>Error</v>
      </c>
      <c r="I210" s="123" t="s">
        <v>233</v>
      </c>
      <c r="J210" s="301">
        <v>44743</v>
      </c>
      <c r="L210" s="314" t="e">
        <f t="array" ref="L210:L214">_xll.d.Dates_GenerateSchedule(J210,J211,J212,J213,J214,J215)</f>
        <v>#VALUE!</v>
      </c>
      <c r="M210" s="301">
        <v>44743</v>
      </c>
      <c r="N210" s="300" t="str" cm="1">
        <f t="array" ref="N210">_xll.d.TestUtils_Equal(L210,M210)</f>
        <v>Error</v>
      </c>
      <c r="P210" s="123" t="s">
        <v>233</v>
      </c>
      <c r="Q210" s="301">
        <v>44743</v>
      </c>
      <c r="S210" s="314" t="e">
        <f t="array" ref="S210:S214">_xll.d.Dates_GenerateSchedule(Q210,Q211,Q212,Q213,Q214,Q215)</f>
        <v>#VALUE!</v>
      </c>
      <c r="T210" s="301">
        <v>44743</v>
      </c>
      <c r="U210" s="300" t="str" cm="1">
        <f t="array" ref="U210">_xll.d.TestUtils_Equal(S210,T210)</f>
        <v>Error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>
      <c r="B211" s="125" t="s">
        <v>234</v>
      </c>
      <c r="C211" s="313">
        <v>45474</v>
      </c>
      <c r="E211" s="316" t="e">
        <v>#VALUE!</v>
      </c>
      <c r="F211" s="313">
        <v>44837</v>
      </c>
      <c r="G211" s="300" t="str" cm="1">
        <f t="array" ref="G211">_xll.d.TestUtils_Equal(E211,F211)</f>
        <v>Error</v>
      </c>
      <c r="I211" s="125" t="s">
        <v>234</v>
      </c>
      <c r="J211" s="313">
        <v>45108</v>
      </c>
      <c r="L211" s="316" t="e">
        <v>#VALUE!</v>
      </c>
      <c r="M211" s="313">
        <v>44837</v>
      </c>
      <c r="N211" s="300" t="str" cm="1">
        <f t="array" ref="N211">_xll.d.TestUtils_Equal(L211,M211)</f>
        <v>Error</v>
      </c>
      <c r="P211" s="125" t="s">
        <v>234</v>
      </c>
      <c r="Q211" s="313">
        <v>45108</v>
      </c>
      <c r="S211" s="316" t="e">
        <v>#VALUE!</v>
      </c>
      <c r="T211" s="313">
        <v>44824</v>
      </c>
      <c r="U211" s="300" t="str" cm="1">
        <f t="array" ref="U211">_xll.d.TestUtils_Equal(S211,T211)</f>
        <v>Error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 t="e">
        <v>#VALUE!</v>
      </c>
      <c r="F212" s="313">
        <v>44929</v>
      </c>
      <c r="G212" s="300" t="str" cm="1">
        <f t="array" ref="G212">_xll.d.TestUtils_Equal(E212,F212)</f>
        <v>Error</v>
      </c>
      <c r="I212" s="125" t="s">
        <v>331</v>
      </c>
      <c r="J212" s="126" t="s">
        <v>24</v>
      </c>
      <c r="L212" s="316" t="e">
        <v>#VALUE!</v>
      </c>
      <c r="M212" s="313">
        <v>44929</v>
      </c>
      <c r="N212" s="300" t="str" cm="1">
        <f t="array" ref="N212">_xll.d.TestUtils_Equal(L212,M212)</f>
        <v>Error</v>
      </c>
      <c r="P212" s="125" t="s">
        <v>331</v>
      </c>
      <c r="Q212" s="126" t="s">
        <v>24</v>
      </c>
      <c r="S212" s="316" t="e">
        <v>#VALUE!</v>
      </c>
      <c r="T212" s="313">
        <v>44915</v>
      </c>
      <c r="U212" s="300" t="str" cm="1">
        <f t="array" ref="U212">_xll.d.TestUtils_Equal(S212,T212)</f>
        <v>Error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 t="e">
        <v>#VALUE!</v>
      </c>
      <c r="F213" s="313">
        <v>45019</v>
      </c>
      <c r="G213" s="300" t="str" cm="1">
        <f t="array" ref="G213">_xll.d.TestUtils_Equal(E213,F213)</f>
        <v>Error</v>
      </c>
      <c r="I213" s="125" t="s">
        <v>332</v>
      </c>
      <c r="J213" s="126" t="s">
        <v>232</v>
      </c>
      <c r="L213" s="316" t="e">
        <v>#VALUE!</v>
      </c>
      <c r="M213" s="313">
        <v>45019</v>
      </c>
      <c r="N213" s="300" t="str" cm="1">
        <f t="array" ref="N213">_xll.d.TestUtils_Equal(L213,M213)</f>
        <v>Error</v>
      </c>
      <c r="P213" s="125" t="s">
        <v>332</v>
      </c>
      <c r="Q213" s="126" t="s">
        <v>232</v>
      </c>
      <c r="S213" s="316" t="e">
        <v>#VALUE!</v>
      </c>
      <c r="T213" s="313">
        <v>45005</v>
      </c>
      <c r="U213" s="300" t="str" cm="1">
        <f t="array" ref="U213">_xll.d.TestUtils_Equal(S213,T213)</f>
        <v>Error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 t="e">
        <v>#VALUE!</v>
      </c>
      <c r="F214" s="321">
        <v>45110</v>
      </c>
      <c r="G214" s="300" t="str" cm="1">
        <f t="array" ref="G214">_xll.d.TestUtils_Equal(E214,F214)</f>
        <v>Error</v>
      </c>
      <c r="I214" s="125" t="s">
        <v>217</v>
      </c>
      <c r="J214" s="126" t="s">
        <v>218</v>
      </c>
      <c r="L214" s="318" t="e">
        <v>#VALUE!</v>
      </c>
      <c r="M214" s="321">
        <v>45110</v>
      </c>
      <c r="N214" s="300" t="str" cm="1">
        <f t="array" ref="N214">_xll.d.TestUtils_Equal(L214,M214)</f>
        <v>Error</v>
      </c>
      <c r="P214" s="125" t="s">
        <v>217</v>
      </c>
      <c r="Q214" s="126" t="s">
        <v>218</v>
      </c>
      <c r="S214" s="318" t="e">
        <v>#VALUE!</v>
      </c>
      <c r="T214" s="321">
        <v>45097</v>
      </c>
      <c r="U214" s="300" t="str" cm="1">
        <f t="array" ref="U214">_xll.d.TestUtils_Equal(S214,T214)</f>
        <v>Error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ref="C22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ref="C236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ref="C250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70" priority="165" stopIfTrue="1" operator="equal">
      <formula>"ERROR"</formula>
    </cfRule>
    <cfRule type="cellIs" dxfId="869" priority="166" stopIfTrue="1" operator="equal">
      <formula>"OK"</formula>
    </cfRule>
    <cfRule type="cellIs" dxfId="868" priority="167" stopIfTrue="1" operator="equal">
      <formula>"WARNING"</formula>
    </cfRule>
  </conditionalFormatting>
  <conditionalFormatting sqref="C4">
    <cfRule type="cellIs" dxfId="867" priority="139" stopIfTrue="1" operator="equal">
      <formula>"ERROR"</formula>
    </cfRule>
    <cfRule type="cellIs" dxfId="866" priority="140" stopIfTrue="1" operator="equal">
      <formula>"OK"</formula>
    </cfRule>
    <cfRule type="cellIs" dxfId="865" priority="141" stopIfTrue="1" operator="equal">
      <formula>"WARNING"</formula>
    </cfRule>
  </conditionalFormatting>
  <conditionalFormatting sqref="C74">
    <cfRule type="cellIs" dxfId="864" priority="133" stopIfTrue="1" operator="equal">
      <formula>"ERROR"</formula>
    </cfRule>
  </conditionalFormatting>
  <conditionalFormatting sqref="C74">
    <cfRule type="cellIs" dxfId="863" priority="134" stopIfTrue="1" operator="equal">
      <formula>"OK"</formula>
    </cfRule>
  </conditionalFormatting>
  <conditionalFormatting sqref="C74">
    <cfRule type="cellIs" dxfId="862" priority="135" stopIfTrue="1" operator="equal">
      <formula>"WARNING"</formula>
    </cfRule>
  </conditionalFormatting>
  <conditionalFormatting sqref="G79">
    <cfRule type="cellIs" dxfId="861" priority="168" stopIfTrue="1" operator="equal">
      <formula>"ERROR"</formula>
    </cfRule>
    <cfRule type="cellIs" dxfId="860" priority="169" stopIfTrue="1" operator="equal">
      <formula>"OK"</formula>
    </cfRule>
    <cfRule type="cellIs" dxfId="859" priority="170" stopIfTrue="1" operator="equal">
      <formula>"WARNING"</formula>
    </cfRule>
  </conditionalFormatting>
  <conditionalFormatting sqref="U79">
    <cfRule type="cellIs" dxfId="858" priority="130" stopIfTrue="1" operator="equal">
      <formula>"ERROR"</formula>
    </cfRule>
    <cfRule type="cellIs" dxfId="857" priority="131" stopIfTrue="1" operator="equal">
      <formula>"OK"</formula>
    </cfRule>
    <cfRule type="cellIs" dxfId="856" priority="132" stopIfTrue="1" operator="equal">
      <formula>"WARNING"</formula>
    </cfRule>
  </conditionalFormatting>
  <conditionalFormatting sqref="AD79">
    <cfRule type="cellIs" dxfId="855" priority="127" stopIfTrue="1" operator="equal">
      <formula>"ERROR"</formula>
    </cfRule>
    <cfRule type="cellIs" dxfId="854" priority="128" stopIfTrue="1" operator="equal">
      <formula>"OK"</formula>
    </cfRule>
    <cfRule type="cellIs" dxfId="853" priority="129" stopIfTrue="1" operator="equal">
      <formula>"WARNING"</formula>
    </cfRule>
  </conditionalFormatting>
  <conditionalFormatting sqref="G183:G191">
    <cfRule type="cellIs" dxfId="852" priority="171" stopIfTrue="1" operator="equal">
      <formula>"ERROR"</formula>
    </cfRule>
    <cfRule type="cellIs" dxfId="851" priority="172" stopIfTrue="1" operator="equal">
      <formula>"OK"</formula>
    </cfRule>
    <cfRule type="cellIs" dxfId="850" priority="173" stopIfTrue="1" operator="equal">
      <formula>"WARNING"</formula>
    </cfRule>
  </conditionalFormatting>
  <conditionalFormatting sqref="C178">
    <cfRule type="cellIs" dxfId="849" priority="124" stopIfTrue="1" operator="equal">
      <formula>"ERROR"</formula>
    </cfRule>
  </conditionalFormatting>
  <conditionalFormatting sqref="C178">
    <cfRule type="cellIs" dxfId="848" priority="125" stopIfTrue="1" operator="equal">
      <formula>"OK"</formula>
    </cfRule>
  </conditionalFormatting>
  <conditionalFormatting sqref="C178">
    <cfRule type="cellIs" dxfId="847" priority="126" stopIfTrue="1" operator="equal">
      <formula>"WARNING"</formula>
    </cfRule>
  </conditionalFormatting>
  <conditionalFormatting sqref="N183:N200">
    <cfRule type="cellIs" dxfId="846" priority="121" stopIfTrue="1" operator="equal">
      <formula>"ERROR"</formula>
    </cfRule>
    <cfRule type="cellIs" dxfId="845" priority="122" stopIfTrue="1" operator="equal">
      <formula>"OK"</formula>
    </cfRule>
    <cfRule type="cellIs" dxfId="844" priority="123" stopIfTrue="1" operator="equal">
      <formula>"WARNING"</formula>
    </cfRule>
  </conditionalFormatting>
  <conditionalFormatting sqref="AQ79">
    <cfRule type="cellIs" dxfId="843" priority="118" stopIfTrue="1" operator="equal">
      <formula>"ERROR"</formula>
    </cfRule>
    <cfRule type="cellIs" dxfId="842" priority="119" stopIfTrue="1" operator="equal">
      <formula>"OK"</formula>
    </cfRule>
    <cfRule type="cellIs" dxfId="841" priority="120" stopIfTrue="1" operator="equal">
      <formula>"WARNING"</formula>
    </cfRule>
  </conditionalFormatting>
  <conditionalFormatting sqref="C89">
    <cfRule type="cellIs" dxfId="840" priority="112" stopIfTrue="1" operator="equal">
      <formula>"ERROR"</formula>
    </cfRule>
  </conditionalFormatting>
  <conditionalFormatting sqref="C89">
    <cfRule type="cellIs" dxfId="839" priority="113" stopIfTrue="1" operator="equal">
      <formula>"OK"</formula>
    </cfRule>
  </conditionalFormatting>
  <conditionalFormatting sqref="C89">
    <cfRule type="cellIs" dxfId="838" priority="114" stopIfTrue="1" operator="equal">
      <formula>"WARNING"</formula>
    </cfRule>
  </conditionalFormatting>
  <conditionalFormatting sqref="G94">
    <cfRule type="cellIs" dxfId="837" priority="115" stopIfTrue="1" operator="equal">
      <formula>"ERROR"</formula>
    </cfRule>
    <cfRule type="cellIs" dxfId="836" priority="116" stopIfTrue="1" operator="equal">
      <formula>"OK"</formula>
    </cfRule>
    <cfRule type="cellIs" dxfId="835" priority="117" stopIfTrue="1" operator="equal">
      <formula>"WARNING"</formula>
    </cfRule>
  </conditionalFormatting>
  <conditionalFormatting sqref="N94">
    <cfRule type="cellIs" dxfId="834" priority="109" stopIfTrue="1" operator="equal">
      <formula>"ERROR"</formula>
    </cfRule>
    <cfRule type="cellIs" dxfId="833" priority="110" stopIfTrue="1" operator="equal">
      <formula>"OK"</formula>
    </cfRule>
    <cfRule type="cellIs" dxfId="832" priority="111" stopIfTrue="1" operator="equal">
      <formula>"WARNING"</formula>
    </cfRule>
  </conditionalFormatting>
  <conditionalFormatting sqref="W94">
    <cfRule type="cellIs" dxfId="831" priority="106" stopIfTrue="1" operator="equal">
      <formula>"ERROR"</formula>
    </cfRule>
    <cfRule type="cellIs" dxfId="830" priority="107" stopIfTrue="1" operator="equal">
      <formula>"OK"</formula>
    </cfRule>
    <cfRule type="cellIs" dxfId="829" priority="108" stopIfTrue="1" operator="equal">
      <formula>"WARNING"</formula>
    </cfRule>
  </conditionalFormatting>
  <conditionalFormatting sqref="AJ94">
    <cfRule type="cellIs" dxfId="828" priority="103" stopIfTrue="1" operator="equal">
      <formula>"ERROR"</formula>
    </cfRule>
    <cfRule type="cellIs" dxfId="827" priority="104" stopIfTrue="1" operator="equal">
      <formula>"OK"</formula>
    </cfRule>
    <cfRule type="cellIs" dxfId="826" priority="105" stopIfTrue="1" operator="equal">
      <formula>"WARNING"</formula>
    </cfRule>
  </conditionalFormatting>
  <conditionalFormatting sqref="C104">
    <cfRule type="cellIs" dxfId="825" priority="97" stopIfTrue="1" operator="equal">
      <formula>"ERROR"</formula>
    </cfRule>
  </conditionalFormatting>
  <conditionalFormatting sqref="C104">
    <cfRule type="cellIs" dxfId="824" priority="98" stopIfTrue="1" operator="equal">
      <formula>"OK"</formula>
    </cfRule>
  </conditionalFormatting>
  <conditionalFormatting sqref="C104">
    <cfRule type="cellIs" dxfId="823" priority="99" stopIfTrue="1" operator="equal">
      <formula>"WARNING"</formula>
    </cfRule>
  </conditionalFormatting>
  <conditionalFormatting sqref="G109">
    <cfRule type="cellIs" dxfId="822" priority="100" stopIfTrue="1" operator="equal">
      <formula>"ERROR"</formula>
    </cfRule>
    <cfRule type="cellIs" dxfId="821" priority="101" stopIfTrue="1" operator="equal">
      <formula>"OK"</formula>
    </cfRule>
    <cfRule type="cellIs" dxfId="820" priority="102" stopIfTrue="1" operator="equal">
      <formula>"WARNING"</formula>
    </cfRule>
  </conditionalFormatting>
  <conditionalFormatting sqref="N109">
    <cfRule type="cellIs" dxfId="819" priority="94" stopIfTrue="1" operator="equal">
      <formula>"ERROR"</formula>
    </cfRule>
    <cfRule type="cellIs" dxfId="818" priority="95" stopIfTrue="1" operator="equal">
      <formula>"OK"</formula>
    </cfRule>
    <cfRule type="cellIs" dxfId="817" priority="96" stopIfTrue="1" operator="equal">
      <formula>"WARNING"</formula>
    </cfRule>
  </conditionalFormatting>
  <conditionalFormatting sqref="W109">
    <cfRule type="cellIs" dxfId="816" priority="91" stopIfTrue="1" operator="equal">
      <formula>"ERROR"</formula>
    </cfRule>
    <cfRule type="cellIs" dxfId="815" priority="92" stopIfTrue="1" operator="equal">
      <formula>"OK"</formula>
    </cfRule>
    <cfRule type="cellIs" dxfId="814" priority="93" stopIfTrue="1" operator="equal">
      <formula>"WARNING"</formula>
    </cfRule>
  </conditionalFormatting>
  <conditionalFormatting sqref="AJ109">
    <cfRule type="cellIs" dxfId="813" priority="88" stopIfTrue="1" operator="equal">
      <formula>"ERROR"</formula>
    </cfRule>
    <cfRule type="cellIs" dxfId="812" priority="89" stopIfTrue="1" operator="equal">
      <formula>"OK"</formula>
    </cfRule>
    <cfRule type="cellIs" dxfId="811" priority="90" stopIfTrue="1" operator="equal">
      <formula>"WARNING"</formula>
    </cfRule>
  </conditionalFormatting>
  <conditionalFormatting sqref="G124">
    <cfRule type="cellIs" dxfId="810" priority="82" stopIfTrue="1" operator="equal">
      <formula>"ERROR"</formula>
    </cfRule>
    <cfRule type="cellIs" dxfId="809" priority="83" stopIfTrue="1" operator="equal">
      <formula>"OK"</formula>
    </cfRule>
    <cfRule type="cellIs" dxfId="808" priority="84" stopIfTrue="1" operator="equal">
      <formula>"WARNING"</formula>
    </cfRule>
  </conditionalFormatting>
  <conditionalFormatting sqref="C119">
    <cfRule type="cellIs" dxfId="807" priority="79" stopIfTrue="1" operator="equal">
      <formula>"ERROR"</formula>
    </cfRule>
  </conditionalFormatting>
  <conditionalFormatting sqref="C119">
    <cfRule type="cellIs" dxfId="806" priority="80" stopIfTrue="1" operator="equal">
      <formula>"OK"</formula>
    </cfRule>
  </conditionalFormatting>
  <conditionalFormatting sqref="C119">
    <cfRule type="cellIs" dxfId="805" priority="81" stopIfTrue="1" operator="equal">
      <formula>"WARNING"</formula>
    </cfRule>
  </conditionalFormatting>
  <conditionalFormatting sqref="O124">
    <cfRule type="cellIs" dxfId="804" priority="76" stopIfTrue="1" operator="equal">
      <formula>"ERROR"</formula>
    </cfRule>
    <cfRule type="cellIs" dxfId="803" priority="77" stopIfTrue="1" operator="equal">
      <formula>"OK"</formula>
    </cfRule>
    <cfRule type="cellIs" dxfId="802" priority="78" stopIfTrue="1" operator="equal">
      <formula>"WARNING"</formula>
    </cfRule>
  </conditionalFormatting>
  <conditionalFormatting sqref="AC124">
    <cfRule type="cellIs" dxfId="801" priority="73" stopIfTrue="1" operator="equal">
      <formula>"ERROR"</formula>
    </cfRule>
    <cfRule type="cellIs" dxfId="800" priority="74" stopIfTrue="1" operator="equal">
      <formula>"OK"</formula>
    </cfRule>
    <cfRule type="cellIs" dxfId="799" priority="75" stopIfTrue="1" operator="equal">
      <formula>"WARNING"</formula>
    </cfRule>
  </conditionalFormatting>
  <conditionalFormatting sqref="AS124">
    <cfRule type="cellIs" dxfId="798" priority="70" stopIfTrue="1" operator="equal">
      <formula>"ERROR"</formula>
    </cfRule>
    <cfRule type="cellIs" dxfId="797" priority="71" stopIfTrue="1" operator="equal">
      <formula>"OK"</formula>
    </cfRule>
    <cfRule type="cellIs" dxfId="796" priority="72" stopIfTrue="1" operator="equal">
      <formula>"WARNING"</formula>
    </cfRule>
  </conditionalFormatting>
  <conditionalFormatting sqref="AA183">
    <cfRule type="cellIs" dxfId="795" priority="67" stopIfTrue="1" operator="equal">
      <formula>"ERROR"</formula>
    </cfRule>
    <cfRule type="cellIs" dxfId="794" priority="68" stopIfTrue="1" operator="equal">
      <formula>"OK"</formula>
    </cfRule>
    <cfRule type="cellIs" dxfId="793" priority="69" stopIfTrue="1" operator="equal">
      <formula>"WARNING"</formula>
    </cfRule>
  </conditionalFormatting>
  <conditionalFormatting sqref="C221">
    <cfRule type="cellIs" dxfId="792" priority="64" stopIfTrue="1" operator="equal">
      <formula>"ERROR"</formula>
    </cfRule>
  </conditionalFormatting>
  <conditionalFormatting sqref="C221">
    <cfRule type="cellIs" dxfId="791" priority="65" stopIfTrue="1" operator="equal">
      <formula>"OK"</formula>
    </cfRule>
  </conditionalFormatting>
  <conditionalFormatting sqref="C221">
    <cfRule type="cellIs" dxfId="790" priority="66" stopIfTrue="1" operator="equal">
      <formula>"WARNING"</formula>
    </cfRule>
  </conditionalFormatting>
  <conditionalFormatting sqref="H226:I230">
    <cfRule type="cellIs" dxfId="789" priority="174" stopIfTrue="1" operator="equal">
      <formula>"ERROR"</formula>
    </cfRule>
  </conditionalFormatting>
  <conditionalFormatting sqref="H226:I230">
    <cfRule type="cellIs" dxfId="788" priority="175" stopIfTrue="1" operator="equal">
      <formula>"OK"</formula>
    </cfRule>
  </conditionalFormatting>
  <conditionalFormatting sqref="H226:I230">
    <cfRule type="cellIs" dxfId="787" priority="176" stopIfTrue="1" operator="equal">
      <formula>"WARNING"</formula>
    </cfRule>
  </conditionalFormatting>
  <conditionalFormatting sqref="D16:D17">
    <cfRule type="cellIs" dxfId="786" priority="177" stopIfTrue="1" operator="equal">
      <formula>"ERROR"</formula>
    </cfRule>
    <cfRule type="cellIs" dxfId="785" priority="178" stopIfTrue="1" operator="equal">
      <formula>"OK"</formula>
    </cfRule>
    <cfRule type="cellIs" dxfId="784" priority="179" stopIfTrue="1" operator="equal">
      <formula>"WARNING"</formula>
    </cfRule>
  </conditionalFormatting>
  <conditionalFormatting sqref="D18:D19">
    <cfRule type="cellIs" dxfId="783" priority="180" stopIfTrue="1" operator="equal">
      <formula>"ERROR"</formula>
    </cfRule>
    <cfRule type="cellIs" dxfId="782" priority="181" stopIfTrue="1" operator="equal">
      <formula>"OK"</formula>
    </cfRule>
    <cfRule type="cellIs" dxfId="781" priority="182" stopIfTrue="1" operator="equal">
      <formula>"WARNING"</formula>
    </cfRule>
  </conditionalFormatting>
  <conditionalFormatting sqref="C236">
    <cfRule type="cellIs" dxfId="780" priority="58" stopIfTrue="1" operator="equal">
      <formula>"ERROR"</formula>
    </cfRule>
  </conditionalFormatting>
  <conditionalFormatting sqref="C236">
    <cfRule type="cellIs" dxfId="779" priority="59" stopIfTrue="1" operator="equal">
      <formula>"OK"</formula>
    </cfRule>
  </conditionalFormatting>
  <conditionalFormatting sqref="C236">
    <cfRule type="cellIs" dxfId="778" priority="60" stopIfTrue="1" operator="equal">
      <formula>"WARNING"</formula>
    </cfRule>
  </conditionalFormatting>
  <conditionalFormatting sqref="L241:O245">
    <cfRule type="cellIs" dxfId="777" priority="61" stopIfTrue="1" operator="equal">
      <formula>"ERROR"</formula>
    </cfRule>
  </conditionalFormatting>
  <conditionalFormatting sqref="L241:O245">
    <cfRule type="cellIs" dxfId="776" priority="62" stopIfTrue="1" operator="equal">
      <formula>"OK"</formula>
    </cfRule>
  </conditionalFormatting>
  <conditionalFormatting sqref="L241:O245">
    <cfRule type="cellIs" dxfId="775" priority="63" stopIfTrue="1" operator="equal">
      <formula>"WARNING"</formula>
    </cfRule>
  </conditionalFormatting>
  <conditionalFormatting sqref="C133">
    <cfRule type="cellIs" dxfId="774" priority="55" stopIfTrue="1" operator="equal">
      <formula>"ERROR"</formula>
    </cfRule>
  </conditionalFormatting>
  <conditionalFormatting sqref="C133">
    <cfRule type="cellIs" dxfId="773" priority="56" stopIfTrue="1" operator="equal">
      <formula>"OK"</formula>
    </cfRule>
  </conditionalFormatting>
  <conditionalFormatting sqref="C133">
    <cfRule type="cellIs" dxfId="772" priority="57" stopIfTrue="1" operator="equal">
      <formula>"WARNING"</formula>
    </cfRule>
  </conditionalFormatting>
  <conditionalFormatting sqref="L138:O172">
    <cfRule type="cellIs" dxfId="771" priority="183" stopIfTrue="1" operator="equal">
      <formula>"ERROR"</formula>
    </cfRule>
  </conditionalFormatting>
  <conditionalFormatting sqref="L138:O172">
    <cfRule type="cellIs" dxfId="770" priority="184" stopIfTrue="1" operator="equal">
      <formula>"OK"</formula>
    </cfRule>
  </conditionalFormatting>
  <conditionalFormatting sqref="L138:O172">
    <cfRule type="cellIs" dxfId="769" priority="185" stopIfTrue="1" operator="equal">
      <formula>"WARNING"</formula>
    </cfRule>
  </conditionalFormatting>
  <conditionalFormatting sqref="C205">
    <cfRule type="cellIs" dxfId="768" priority="52" stopIfTrue="1" operator="equal">
      <formula>"ERROR"</formula>
    </cfRule>
  </conditionalFormatting>
  <conditionalFormatting sqref="C205">
    <cfRule type="cellIs" dxfId="767" priority="53" stopIfTrue="1" operator="equal">
      <formula>"OK"</formula>
    </cfRule>
  </conditionalFormatting>
  <conditionalFormatting sqref="C205">
    <cfRule type="cellIs" dxfId="766" priority="54" stopIfTrue="1" operator="equal">
      <formula>"WARNING"</formula>
    </cfRule>
  </conditionalFormatting>
  <conditionalFormatting sqref="G210:G214">
    <cfRule type="cellIs" dxfId="765" priority="186" stopIfTrue="1" operator="equal">
      <formula>"ERROR"</formula>
    </cfRule>
  </conditionalFormatting>
  <conditionalFormatting sqref="G210:G214">
    <cfRule type="cellIs" dxfId="764" priority="187" stopIfTrue="1" operator="equal">
      <formula>"OK"</formula>
    </cfRule>
  </conditionalFormatting>
  <conditionalFormatting sqref="G210:G214">
    <cfRule type="cellIs" dxfId="763" priority="188" stopIfTrue="1" operator="equal">
      <formula>"WARNING"</formula>
    </cfRule>
  </conditionalFormatting>
  <conditionalFormatting sqref="N210:N214">
    <cfRule type="cellIs" dxfId="762" priority="49" stopIfTrue="1" operator="equal">
      <formula>"ERROR"</formula>
    </cfRule>
  </conditionalFormatting>
  <conditionalFormatting sqref="N210:N214">
    <cfRule type="cellIs" dxfId="761" priority="50" stopIfTrue="1" operator="equal">
      <formula>"OK"</formula>
    </cfRule>
  </conditionalFormatting>
  <conditionalFormatting sqref="N210:N214">
    <cfRule type="cellIs" dxfId="760" priority="51" stopIfTrue="1" operator="equal">
      <formula>"WARNING"</formula>
    </cfRule>
  </conditionalFormatting>
  <conditionalFormatting sqref="U210:U214">
    <cfRule type="cellIs" dxfId="759" priority="46" stopIfTrue="1" operator="equal">
      <formula>"ERROR"</formula>
    </cfRule>
  </conditionalFormatting>
  <conditionalFormatting sqref="U210:U214">
    <cfRule type="cellIs" dxfId="758" priority="47" stopIfTrue="1" operator="equal">
      <formula>"OK"</formula>
    </cfRule>
  </conditionalFormatting>
  <conditionalFormatting sqref="U210:U214">
    <cfRule type="cellIs" dxfId="757" priority="48" stopIfTrue="1" operator="equal">
      <formula>"WARNING"</formula>
    </cfRule>
  </conditionalFormatting>
  <conditionalFormatting sqref="AI210">
    <cfRule type="cellIs" dxfId="756" priority="43" stopIfTrue="1" operator="equal">
      <formula>"ERROR"</formula>
    </cfRule>
  </conditionalFormatting>
  <conditionalFormatting sqref="AI210">
    <cfRule type="cellIs" dxfId="755" priority="44" stopIfTrue="1" operator="equal">
      <formula>"OK"</formula>
    </cfRule>
  </conditionalFormatting>
  <conditionalFormatting sqref="AI210">
    <cfRule type="cellIs" dxfId="754" priority="45" stopIfTrue="1" operator="equal">
      <formula>"WARNING"</formula>
    </cfRule>
  </conditionalFormatting>
  <conditionalFormatting sqref="C250">
    <cfRule type="cellIs" dxfId="753" priority="40" stopIfTrue="1" operator="equal">
      <formula>"ERROR"</formula>
    </cfRule>
  </conditionalFormatting>
  <conditionalFormatting sqref="C250">
    <cfRule type="cellIs" dxfId="752" priority="41" stopIfTrue="1" operator="equal">
      <formula>"OK"</formula>
    </cfRule>
  </conditionalFormatting>
  <conditionalFormatting sqref="C250">
    <cfRule type="cellIs" dxfId="751" priority="42" stopIfTrue="1" operator="equal">
      <formula>"WARNING"</formula>
    </cfRule>
  </conditionalFormatting>
  <conditionalFormatting sqref="E255:E261">
    <cfRule type="cellIs" dxfId="750" priority="189" stopIfTrue="1" operator="equal">
      <formula>"ERROR"</formula>
    </cfRule>
  </conditionalFormatting>
  <conditionalFormatting sqref="E255:E261">
    <cfRule type="cellIs" dxfId="749" priority="190" stopIfTrue="1" operator="equal">
      <formula>"OK"</formula>
    </cfRule>
  </conditionalFormatting>
  <conditionalFormatting sqref="E255:E261">
    <cfRule type="cellIs" dxfId="748" priority="191" stopIfTrue="1" operator="equal">
      <formula>"WARNING"</formula>
    </cfRule>
  </conditionalFormatting>
  <conditionalFormatting sqref="D20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C62">
    <cfRule type="cellIs" dxfId="744" priority="34" stopIfTrue="1" operator="equal">
      <formula>"ERROR"</formula>
    </cfRule>
  </conditionalFormatting>
  <conditionalFormatting sqref="C62">
    <cfRule type="cellIs" dxfId="743" priority="35" stopIfTrue="1" operator="equal">
      <formula>"OK"</formula>
    </cfRule>
  </conditionalFormatting>
  <conditionalFormatting sqref="C62">
    <cfRule type="cellIs" dxfId="742" priority="36" stopIfTrue="1" operator="equal">
      <formula>"WARNING"</formula>
    </cfRule>
  </conditionalFormatting>
  <conditionalFormatting sqref="G67">
    <cfRule type="cellIs" dxfId="741" priority="31" stopIfTrue="1" operator="equal">
      <formula>"ERROR"</formula>
    </cfRule>
    <cfRule type="cellIs" dxfId="740" priority="32" stopIfTrue="1" operator="equal">
      <formula>"OK"</formula>
    </cfRule>
    <cfRule type="cellIs" dxfId="739" priority="33" stopIfTrue="1" operator="equal">
      <formula>"WARNING"</formula>
    </cfRule>
  </conditionalFormatting>
  <conditionalFormatting sqref="C38">
    <cfRule type="cellIs" dxfId="738" priority="28" stopIfTrue="1" operator="equal">
      <formula>"ERROR"</formula>
    </cfRule>
  </conditionalFormatting>
  <conditionalFormatting sqref="C38">
    <cfRule type="cellIs" dxfId="737" priority="29" stopIfTrue="1" operator="equal">
      <formula>"OK"</formula>
    </cfRule>
  </conditionalFormatting>
  <conditionalFormatting sqref="C38">
    <cfRule type="cellIs" dxfId="736" priority="30" stopIfTrue="1" operator="equal">
      <formula>"WARNING"</formula>
    </cfRule>
  </conditionalFormatting>
  <conditionalFormatting sqref="G43">
    <cfRule type="cellIs" dxfId="735" priority="25" stopIfTrue="1" operator="equal">
      <formula>"ERROR"</formula>
    </cfRule>
    <cfRule type="cellIs" dxfId="734" priority="26" stopIfTrue="1" operator="equal">
      <formula>"OK"</formula>
    </cfRule>
    <cfRule type="cellIs" dxfId="733" priority="27" stopIfTrue="1" operator="equal">
      <formula>"WARNING"</formula>
    </cfRule>
  </conditionalFormatting>
  <conditionalFormatting sqref="D8:D10">
    <cfRule type="cellIs" dxfId="732" priority="22" stopIfTrue="1" operator="equal">
      <formula>"ERROR"</formula>
    </cfRule>
    <cfRule type="cellIs" dxfId="731" priority="23" stopIfTrue="1" operator="equal">
      <formula>"OK"</formula>
    </cfRule>
    <cfRule type="cellIs" dxfId="730" priority="24" stopIfTrue="1" operator="equal">
      <formula>"WARNING"</formula>
    </cfRule>
  </conditionalFormatting>
  <conditionalFormatting sqref="C50">
    <cfRule type="cellIs" dxfId="729" priority="19" stopIfTrue="1" operator="equal">
      <formula>"ERROR"</formula>
    </cfRule>
  </conditionalFormatting>
  <conditionalFormatting sqref="C50">
    <cfRule type="cellIs" dxfId="728" priority="20" stopIfTrue="1" operator="equal">
      <formula>"OK"</formula>
    </cfRule>
  </conditionalFormatting>
  <conditionalFormatting sqref="C50">
    <cfRule type="cellIs" dxfId="727" priority="21" stopIfTrue="1" operator="equal">
      <formula>"WARNING"</formula>
    </cfRule>
  </conditionalFormatting>
  <conditionalFormatting sqref="G55">
    <cfRule type="cellIs" dxfId="726" priority="16" stopIfTrue="1" operator="equal">
      <formula>"ERROR"</formula>
    </cfRule>
    <cfRule type="cellIs" dxfId="725" priority="17" stopIfTrue="1" operator="equal">
      <formula>"OK"</formula>
    </cfRule>
    <cfRule type="cellIs" dxfId="724" priority="18" stopIfTrue="1" operator="equal">
      <formula>"WARNING"</formula>
    </cfRule>
  </conditionalFormatting>
  <conditionalFormatting sqref="N79">
    <cfRule type="cellIs" dxfId="723" priority="13" stopIfTrue="1" operator="equal">
      <formula>"ERROR"</formula>
    </cfRule>
    <cfRule type="cellIs" dxfId="722" priority="14" stopIfTrue="1" operator="equal">
      <formula>"OK"</formula>
    </cfRule>
    <cfRule type="cellIs" dxfId="721" priority="15" stopIfTrue="1" operator="equal">
      <formula>"WARNING"</formula>
    </cfRule>
  </conditionalFormatting>
  <conditionalFormatting sqref="C26">
    <cfRule type="cellIs" dxfId="720" priority="10" stopIfTrue="1" operator="equal">
      <formula>"ERROR"</formula>
    </cfRule>
  </conditionalFormatting>
  <conditionalFormatting sqref="C26">
    <cfRule type="cellIs" dxfId="719" priority="11" stopIfTrue="1" operator="equal">
      <formula>"OK"</formula>
    </cfRule>
  </conditionalFormatting>
  <conditionalFormatting sqref="C26">
    <cfRule type="cellIs" dxfId="718" priority="12" stopIfTrue="1" operator="equal">
      <formula>"WARNING"</formula>
    </cfRule>
  </conditionalFormatting>
  <conditionalFormatting sqref="G31">
    <cfRule type="cellIs" dxfId="717" priority="7" stopIfTrue="1" operator="equal">
      <formula>"ERROR"</formula>
    </cfRule>
    <cfRule type="cellIs" dxfId="716" priority="8" stopIfTrue="1" operator="equal">
      <formula>"OK"</formula>
    </cfRule>
    <cfRule type="cellIs" dxfId="715" priority="9" stopIfTrue="1" operator="equal">
      <formula>"WARNING"</formula>
    </cfRule>
  </conditionalFormatting>
  <conditionalFormatting sqref="D7">
    <cfRule type="cellIs" dxfId="714" priority="1" stopIfTrue="1" operator="equal">
      <formula>"ERROR"</formula>
    </cfRule>
    <cfRule type="cellIs" dxfId="713" priority="2" stopIfTrue="1" operator="equal">
      <formula>"OK"</formula>
    </cfRule>
    <cfRule type="cellIs" dxfId="71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1" priority="145" stopIfTrue="1" operator="equal">
      <formula>"ERROR"</formula>
    </cfRule>
    <cfRule type="cellIs" dxfId="710" priority="146" stopIfTrue="1" operator="equal">
      <formula>"OK"</formula>
    </cfRule>
    <cfRule type="cellIs" dxfId="709" priority="147" stopIfTrue="1" operator="equal">
      <formula>"WARNING"</formula>
    </cfRule>
  </conditionalFormatting>
  <conditionalFormatting sqref="C4">
    <cfRule type="cellIs" dxfId="708" priority="142" stopIfTrue="1" operator="equal">
      <formula>"ERROR"</formula>
    </cfRule>
    <cfRule type="cellIs" dxfId="707" priority="143" stopIfTrue="1" operator="equal">
      <formula>"OK"</formula>
    </cfRule>
    <cfRule type="cellIs" dxfId="706" priority="144" stopIfTrue="1" operator="equal">
      <formula>"WARNING"</formula>
    </cfRule>
  </conditionalFormatting>
  <conditionalFormatting sqref="C14">
    <cfRule type="cellIs" dxfId="705" priority="139" stopIfTrue="1" operator="equal">
      <formula>"ERROR"</formula>
    </cfRule>
  </conditionalFormatting>
  <conditionalFormatting sqref="C14">
    <cfRule type="cellIs" dxfId="704" priority="140" stopIfTrue="1" operator="equal">
      <formula>"OK"</formula>
    </cfRule>
  </conditionalFormatting>
  <conditionalFormatting sqref="C14">
    <cfRule type="cellIs" dxfId="703" priority="141" stopIfTrue="1" operator="equal">
      <formula>"WARNING"</formula>
    </cfRule>
  </conditionalFormatting>
  <conditionalFormatting sqref="H19">
    <cfRule type="cellIs" dxfId="702" priority="148" stopIfTrue="1" operator="equal">
      <formula>"ERROR"</formula>
    </cfRule>
    <cfRule type="cellIs" dxfId="701" priority="149" stopIfTrue="1" operator="equal">
      <formula>"OK"</formula>
    </cfRule>
    <cfRule type="cellIs" dxfId="700" priority="150" stopIfTrue="1" operator="equal">
      <formula>"WARNING"</formula>
    </cfRule>
  </conditionalFormatting>
  <conditionalFormatting sqref="C38">
    <cfRule type="cellIs" dxfId="699" priority="118" stopIfTrue="1" operator="equal">
      <formula>"ERROR"</formula>
    </cfRule>
  </conditionalFormatting>
  <conditionalFormatting sqref="C38">
    <cfRule type="cellIs" dxfId="698" priority="119" stopIfTrue="1" operator="equal">
      <formula>"OK"</formula>
    </cfRule>
  </conditionalFormatting>
  <conditionalFormatting sqref="C38">
    <cfRule type="cellIs" dxfId="697" priority="120" stopIfTrue="1" operator="equal">
      <formula>"WARNING"</formula>
    </cfRule>
  </conditionalFormatting>
  <conditionalFormatting sqref="P19">
    <cfRule type="cellIs" dxfId="696" priority="49" stopIfTrue="1" operator="equal">
      <formula>"ERROR"</formula>
    </cfRule>
    <cfRule type="cellIs" dxfId="695" priority="50" stopIfTrue="1" operator="equal">
      <formula>"OK"</formula>
    </cfRule>
    <cfRule type="cellIs" dxfId="694" priority="51" stopIfTrue="1" operator="equal">
      <formula>"WARNING"</formula>
    </cfRule>
  </conditionalFormatting>
  <conditionalFormatting sqref="Y19">
    <cfRule type="cellIs" dxfId="693" priority="46" stopIfTrue="1" operator="equal">
      <formula>"ERROR"</formula>
    </cfRule>
    <cfRule type="cellIs" dxfId="692" priority="47" stopIfTrue="1" operator="equal">
      <formula>"OK"</formula>
    </cfRule>
    <cfRule type="cellIs" dxfId="691" priority="48" stopIfTrue="1" operator="equal">
      <formula>"WARNING"</formula>
    </cfRule>
  </conditionalFormatting>
  <conditionalFormatting sqref="AG19">
    <cfRule type="cellIs" dxfId="690" priority="43" stopIfTrue="1" operator="equal">
      <formula>"ERROR"</formula>
    </cfRule>
    <cfRule type="cellIs" dxfId="689" priority="44" stopIfTrue="1" operator="equal">
      <formula>"OK"</formula>
    </cfRule>
    <cfRule type="cellIs" dxfId="688" priority="45" stopIfTrue="1" operator="equal">
      <formula>"WARNING"</formula>
    </cfRule>
  </conditionalFormatting>
  <conditionalFormatting sqref="AU19">
    <cfRule type="cellIs" dxfId="687" priority="40" stopIfTrue="1" operator="equal">
      <formula>"ERROR"</formula>
    </cfRule>
    <cfRule type="cellIs" dxfId="686" priority="41" stopIfTrue="1" operator="equal">
      <formula>"OK"</formula>
    </cfRule>
    <cfRule type="cellIs" dxfId="685" priority="42" stopIfTrue="1" operator="equal">
      <formula>"WARNING"</formula>
    </cfRule>
  </conditionalFormatting>
  <conditionalFormatting sqref="BI19">
    <cfRule type="cellIs" dxfId="684" priority="37" stopIfTrue="1" operator="equal">
      <formula>"ERROR"</formula>
    </cfRule>
    <cfRule type="cellIs" dxfId="683" priority="38" stopIfTrue="1" operator="equal">
      <formula>"OK"</formula>
    </cfRule>
    <cfRule type="cellIs" dxfId="682" priority="39" stopIfTrue="1" operator="equal">
      <formula>"WARNING"</formula>
    </cfRule>
  </conditionalFormatting>
  <conditionalFormatting sqref="CI19">
    <cfRule type="cellIs" dxfId="681" priority="34" stopIfTrue="1" operator="equal">
      <formula>"ERROR"</formula>
    </cfRule>
    <cfRule type="cellIs" dxfId="680" priority="35" stopIfTrue="1" operator="equal">
      <formula>"OK"</formula>
    </cfRule>
    <cfRule type="cellIs" dxfId="679" priority="36" stopIfTrue="1" operator="equal">
      <formula>"WARNING"</formula>
    </cfRule>
  </conditionalFormatting>
  <conditionalFormatting sqref="L43">
    <cfRule type="cellIs" dxfId="678" priority="28" stopIfTrue="1" operator="equal">
      <formula>"ERROR"</formula>
    </cfRule>
    <cfRule type="cellIs" dxfId="677" priority="29" stopIfTrue="1" operator="equal">
      <formula>"OK"</formula>
    </cfRule>
    <cfRule type="cellIs" dxfId="676" priority="30" stopIfTrue="1" operator="equal">
      <formula>"WARNING"</formula>
    </cfRule>
  </conditionalFormatting>
  <conditionalFormatting sqref="Y43">
    <cfRule type="cellIs" dxfId="675" priority="25" stopIfTrue="1" operator="equal">
      <formula>"ERROR"</formula>
    </cfRule>
    <cfRule type="cellIs" dxfId="674" priority="26" stopIfTrue="1" operator="equal">
      <formula>"OK"</formula>
    </cfRule>
    <cfRule type="cellIs" dxfId="673" priority="27" stopIfTrue="1" operator="equal">
      <formula>"WARNING"</formula>
    </cfRule>
  </conditionalFormatting>
  <conditionalFormatting sqref="AK43">
    <cfRule type="cellIs" dxfId="672" priority="22" stopIfTrue="1" operator="equal">
      <formula>"ERROR"</formula>
    </cfRule>
    <cfRule type="cellIs" dxfId="671" priority="23" stopIfTrue="1" operator="equal">
      <formula>"OK"</formula>
    </cfRule>
    <cfRule type="cellIs" dxfId="670" priority="24" stopIfTrue="1" operator="equal">
      <formula>"WARNING"</formula>
    </cfRule>
  </conditionalFormatting>
  <conditionalFormatting sqref="BC43">
    <cfRule type="cellIs" dxfId="669" priority="19" stopIfTrue="1" operator="equal">
      <formula>"ERROR"</formula>
    </cfRule>
    <cfRule type="cellIs" dxfId="668" priority="20" stopIfTrue="1" operator="equal">
      <formula>"OK"</formula>
    </cfRule>
    <cfRule type="cellIs" dxfId="667" priority="21" stopIfTrue="1" operator="equal">
      <formula>"WARNING"</formula>
    </cfRule>
  </conditionalFormatting>
  <conditionalFormatting sqref="BU43">
    <cfRule type="cellIs" dxfId="666" priority="16" stopIfTrue="1" operator="equal">
      <formula>"ERROR"</formula>
    </cfRule>
    <cfRule type="cellIs" dxfId="665" priority="17" stopIfTrue="1" operator="equal">
      <formula>"OK"</formula>
    </cfRule>
    <cfRule type="cellIs" dxfId="664" priority="18" stopIfTrue="1" operator="equal">
      <formula>"WARNING"</formula>
    </cfRule>
  </conditionalFormatting>
  <conditionalFormatting sqref="BW19">
    <cfRule type="cellIs" dxfId="663" priority="13" stopIfTrue="1" operator="equal">
      <formula>"ERROR"</formula>
    </cfRule>
    <cfRule type="cellIs" dxfId="662" priority="14" stopIfTrue="1" operator="equal">
      <formula>"OK"</formula>
    </cfRule>
    <cfRule type="cellIs" dxfId="661" priority="15" stopIfTrue="1" operator="equal">
      <formula>"WARNING"</formula>
    </cfRule>
  </conditionalFormatting>
  <conditionalFormatting sqref="C26">
    <cfRule type="cellIs" dxfId="660" priority="7" stopIfTrue="1" operator="equal">
      <formula>"ERROR"</formula>
    </cfRule>
  </conditionalFormatting>
  <conditionalFormatting sqref="C26">
    <cfRule type="cellIs" dxfId="659" priority="8" stopIfTrue="1" operator="equal">
      <formula>"OK"</formula>
    </cfRule>
  </conditionalFormatting>
  <conditionalFormatting sqref="C26">
    <cfRule type="cellIs" dxfId="658" priority="9" stopIfTrue="1" operator="equal">
      <formula>"WARNING"</formula>
    </cfRule>
  </conditionalFormatting>
  <conditionalFormatting sqref="J31">
    <cfRule type="cellIs" dxfId="657" priority="10" stopIfTrue="1" operator="equal">
      <formula>"ERROR"</formula>
    </cfRule>
    <cfRule type="cellIs" dxfId="656" priority="11" stopIfTrue="1" operator="equal">
      <formula>"OK"</formula>
    </cfRule>
    <cfRule type="cellIs" dxfId="655" priority="12" stopIfTrue="1" operator="equal">
      <formula>"WARNING"</formula>
    </cfRule>
  </conditionalFormatting>
  <conditionalFormatting sqref="X31">
    <cfRule type="cellIs" dxfId="654" priority="4" stopIfTrue="1" operator="equal">
      <formula>"ERROR"</formula>
    </cfRule>
    <cfRule type="cellIs" dxfId="653" priority="5" stopIfTrue="1" operator="equal">
      <formula>"OK"</formula>
    </cfRule>
    <cfRule type="cellIs" dxfId="652" priority="6" stopIfTrue="1" operator="equal">
      <formula>"WARNING"</formula>
    </cfRule>
  </conditionalFormatting>
  <conditionalFormatting sqref="AL31">
    <cfRule type="cellIs" dxfId="651" priority="1" stopIfTrue="1" operator="equal">
      <formula>"ERROR"</formula>
    </cfRule>
    <cfRule type="cellIs" dxfId="650" priority="2" stopIfTrue="1" operator="equal">
      <formula>"OK"</formula>
    </cfRule>
    <cfRule type="cellIs" dxfId="649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48" priority="106" stopIfTrue="1" operator="equal">
      <formula>"ERROR"</formula>
    </cfRule>
    <cfRule type="cellIs" dxfId="647" priority="107" stopIfTrue="1" operator="equal">
      <formula>"OK"</formula>
    </cfRule>
    <cfRule type="cellIs" dxfId="646" priority="108" stopIfTrue="1" operator="equal">
      <formula>"WARNING"</formula>
    </cfRule>
  </conditionalFormatting>
  <conditionalFormatting sqref="C4">
    <cfRule type="cellIs" dxfId="645" priority="103" stopIfTrue="1" operator="equal">
      <formula>"ERROR"</formula>
    </cfRule>
    <cfRule type="cellIs" dxfId="644" priority="104" stopIfTrue="1" operator="equal">
      <formula>"OK"</formula>
    </cfRule>
    <cfRule type="cellIs" dxfId="643" priority="105" stopIfTrue="1" operator="equal">
      <formula>"WARNING"</formula>
    </cfRule>
  </conditionalFormatting>
  <conditionalFormatting sqref="C15">
    <cfRule type="cellIs" dxfId="642" priority="100" stopIfTrue="1" operator="equal">
      <formula>"ERROR"</formula>
    </cfRule>
  </conditionalFormatting>
  <conditionalFormatting sqref="C15">
    <cfRule type="cellIs" dxfId="641" priority="101" stopIfTrue="1" operator="equal">
      <formula>"OK"</formula>
    </cfRule>
  </conditionalFormatting>
  <conditionalFormatting sqref="C15">
    <cfRule type="cellIs" dxfId="640" priority="102" stopIfTrue="1" operator="equal">
      <formula>"WARNING"</formula>
    </cfRule>
  </conditionalFormatting>
  <conditionalFormatting sqref="L20:N22">
    <cfRule type="cellIs" dxfId="639" priority="109" stopIfTrue="1" operator="equal">
      <formula>"ERROR"</formula>
    </cfRule>
    <cfRule type="cellIs" dxfId="638" priority="110" stopIfTrue="1" operator="equal">
      <formula>"OK"</formula>
    </cfRule>
    <cfRule type="cellIs" dxfId="637" priority="111" stopIfTrue="1" operator="equal">
      <formula>"WARNING"</formula>
    </cfRule>
  </conditionalFormatting>
  <conditionalFormatting sqref="E9">
    <cfRule type="cellIs" dxfId="636" priority="61" stopIfTrue="1" operator="equal">
      <formula>"ERROR"</formula>
    </cfRule>
    <cfRule type="cellIs" dxfId="635" priority="62" stopIfTrue="1" operator="equal">
      <formula>"OK"</formula>
    </cfRule>
    <cfRule type="cellIs" dxfId="634" priority="63" stopIfTrue="1" operator="equal">
      <formula>"WARNING"</formula>
    </cfRule>
  </conditionalFormatting>
  <conditionalFormatting sqref="Z20">
    <cfRule type="cellIs" dxfId="633" priority="58" stopIfTrue="1" operator="equal">
      <formula>"ERROR"</formula>
    </cfRule>
    <cfRule type="cellIs" dxfId="632" priority="59" stopIfTrue="1" operator="equal">
      <formula>"OK"</formula>
    </cfRule>
    <cfRule type="cellIs" dxfId="631" priority="60" stopIfTrue="1" operator="equal">
      <formula>"WARNING"</formula>
    </cfRule>
  </conditionalFormatting>
  <conditionalFormatting sqref="AL20">
    <cfRule type="cellIs" dxfId="630" priority="55" stopIfTrue="1" operator="equal">
      <formula>"ERROR"</formula>
    </cfRule>
    <cfRule type="cellIs" dxfId="629" priority="56" stopIfTrue="1" operator="equal">
      <formula>"OK"</formula>
    </cfRule>
    <cfRule type="cellIs" dxfId="628" priority="57" stopIfTrue="1" operator="equal">
      <formula>"WARNING"</formula>
    </cfRule>
  </conditionalFormatting>
  <conditionalFormatting sqref="AZ20">
    <cfRule type="cellIs" dxfId="627" priority="52" stopIfTrue="1" operator="equal">
      <formula>"ERROR"</formula>
    </cfRule>
    <cfRule type="cellIs" dxfId="626" priority="53" stopIfTrue="1" operator="equal">
      <formula>"OK"</formula>
    </cfRule>
    <cfRule type="cellIs" dxfId="625" priority="54" stopIfTrue="1" operator="equal">
      <formula>"WARNING"</formula>
    </cfRule>
  </conditionalFormatting>
  <conditionalFormatting sqref="C28">
    <cfRule type="cellIs" dxfId="624" priority="46" stopIfTrue="1" operator="equal">
      <formula>"ERROR"</formula>
    </cfRule>
  </conditionalFormatting>
  <conditionalFormatting sqref="C28">
    <cfRule type="cellIs" dxfId="623" priority="47" stopIfTrue="1" operator="equal">
      <formula>"OK"</formula>
    </cfRule>
  </conditionalFormatting>
  <conditionalFormatting sqref="C28">
    <cfRule type="cellIs" dxfId="622" priority="48" stopIfTrue="1" operator="equal">
      <formula>"WARNING"</formula>
    </cfRule>
  </conditionalFormatting>
  <conditionalFormatting sqref="L34:M35">
    <cfRule type="cellIs" dxfId="621" priority="49" stopIfTrue="1" operator="equal">
      <formula>"ERROR"</formula>
    </cfRule>
    <cfRule type="cellIs" dxfId="620" priority="50" stopIfTrue="1" operator="equal">
      <formula>"OK"</formula>
    </cfRule>
    <cfRule type="cellIs" dxfId="619" priority="51" stopIfTrue="1" operator="equal">
      <formula>"WARNING"</formula>
    </cfRule>
  </conditionalFormatting>
  <conditionalFormatting sqref="AB34:AD36">
    <cfRule type="cellIs" dxfId="618" priority="34" stopIfTrue="1" operator="equal">
      <formula>"ERROR"</formula>
    </cfRule>
    <cfRule type="cellIs" dxfId="617" priority="35" stopIfTrue="1" operator="equal">
      <formula>"OK"</formula>
    </cfRule>
    <cfRule type="cellIs" dxfId="616" priority="36" stopIfTrue="1" operator="equal">
      <formula>"WARNING"</formula>
    </cfRule>
  </conditionalFormatting>
  <conditionalFormatting sqref="C44">
    <cfRule type="cellIs" dxfId="615" priority="31" stopIfTrue="1" operator="equal">
      <formula>"ERROR"</formula>
    </cfRule>
  </conditionalFormatting>
  <conditionalFormatting sqref="C44">
    <cfRule type="cellIs" dxfId="614" priority="32" stopIfTrue="1" operator="equal">
      <formula>"OK"</formula>
    </cfRule>
  </conditionalFormatting>
  <conditionalFormatting sqref="C44">
    <cfRule type="cellIs" dxfId="613" priority="33" stopIfTrue="1" operator="equal">
      <formula>"WARNING"</formula>
    </cfRule>
  </conditionalFormatting>
  <conditionalFormatting sqref="J53:K53">
    <cfRule type="cellIs" dxfId="612" priority="28" stopIfTrue="1" operator="equal">
      <formula>"ERROR"</formula>
    </cfRule>
    <cfRule type="cellIs" dxfId="611" priority="29" stopIfTrue="1" operator="equal">
      <formula>"OK"</formula>
    </cfRule>
    <cfRule type="cellIs" dxfId="610" priority="30" stopIfTrue="1" operator="equal">
      <formula>"WARNING"</formula>
    </cfRule>
  </conditionalFormatting>
  <conditionalFormatting sqref="S53:T53">
    <cfRule type="cellIs" dxfId="609" priority="25" stopIfTrue="1" operator="equal">
      <formula>"ERROR"</formula>
    </cfRule>
    <cfRule type="cellIs" dxfId="608" priority="26" stopIfTrue="1" operator="equal">
      <formula>"OK"</formula>
    </cfRule>
    <cfRule type="cellIs" dxfId="607" priority="27" stopIfTrue="1" operator="equal">
      <formula>"WARNING"</formula>
    </cfRule>
  </conditionalFormatting>
  <conditionalFormatting sqref="AD53:AE53">
    <cfRule type="cellIs" dxfId="606" priority="16" stopIfTrue="1" operator="equal">
      <formula>"ERROR"</formula>
    </cfRule>
    <cfRule type="cellIs" dxfId="605" priority="17" stopIfTrue="1" operator="equal">
      <formula>"OK"</formula>
    </cfRule>
    <cfRule type="cellIs" dxfId="604" priority="18" stopIfTrue="1" operator="equal">
      <formula>"WARNING"</formula>
    </cfRule>
  </conditionalFormatting>
  <conditionalFormatting sqref="C95">
    <cfRule type="cellIs" dxfId="603" priority="13" stopIfTrue="1" operator="equal">
      <formula>"ERROR"</formula>
    </cfRule>
  </conditionalFormatting>
  <conditionalFormatting sqref="C95">
    <cfRule type="cellIs" dxfId="602" priority="14" stopIfTrue="1" operator="equal">
      <formula>"OK"</formula>
    </cfRule>
  </conditionalFormatting>
  <conditionalFormatting sqref="C95">
    <cfRule type="cellIs" dxfId="601" priority="15" stopIfTrue="1" operator="equal">
      <formula>"WARNING"</formula>
    </cfRule>
  </conditionalFormatting>
  <conditionalFormatting sqref="S103 U100">
    <cfRule type="cellIs" dxfId="600" priority="7" stopIfTrue="1" operator="equal">
      <formula>"ERROR"</formula>
    </cfRule>
    <cfRule type="cellIs" dxfId="599" priority="8" stopIfTrue="1" operator="equal">
      <formula>"OK"</formula>
    </cfRule>
    <cfRule type="cellIs" dxfId="598" priority="9" stopIfTrue="1" operator="equal">
      <formula>"WARNING"</formula>
    </cfRule>
  </conditionalFormatting>
  <conditionalFormatting sqref="E10">
    <cfRule type="cellIs" dxfId="597" priority="4" stopIfTrue="1" operator="equal">
      <formula>"ERROR"</formula>
    </cfRule>
    <cfRule type="cellIs" dxfId="596" priority="5" stopIfTrue="1" operator="equal">
      <formula>"OK"</formula>
    </cfRule>
    <cfRule type="cellIs" dxfId="595" priority="6" stopIfTrue="1" operator="equal">
      <formula>"WARNING"</formula>
    </cfRule>
  </conditionalFormatting>
  <conditionalFormatting sqref="AD103 AJ100">
    <cfRule type="cellIs" dxfId="594" priority="1" stopIfTrue="1" operator="equal">
      <formula>"ERROR"</formula>
    </cfRule>
    <cfRule type="cellIs" dxfId="593" priority="2" stopIfTrue="1" operator="equal">
      <formula>"OK"</formula>
    </cfRule>
    <cfRule type="cellIs" dxfId="59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421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421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421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509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>
      <c r="E27" s="299"/>
      <c r="F27" s="299"/>
      <c r="G27" s="299"/>
    </row>
  </sheetData>
  <conditionalFormatting sqref="D7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4">
    <cfRule type="cellIs" dxfId="588" priority="49" stopIfTrue="1" operator="equal">
      <formula>"ERROR"</formula>
    </cfRule>
    <cfRule type="cellIs" dxfId="587" priority="50" stopIfTrue="1" operator="equal">
      <formula>"OK"</formula>
    </cfRule>
    <cfRule type="cellIs" dxfId="586" priority="51" stopIfTrue="1" operator="equal">
      <formula>"WARNING"</formula>
    </cfRule>
  </conditionalFormatting>
  <conditionalFormatting sqref="C12">
    <cfRule type="cellIs" dxfId="585" priority="46" stopIfTrue="1" operator="equal">
      <formula>"ERROR"</formula>
    </cfRule>
  </conditionalFormatting>
  <conditionalFormatting sqref="C12">
    <cfRule type="cellIs" dxfId="584" priority="47" stopIfTrue="1" operator="equal">
      <formula>"OK"</formula>
    </cfRule>
  </conditionalFormatting>
  <conditionalFormatting sqref="C12">
    <cfRule type="cellIs" dxfId="583" priority="48" stopIfTrue="1" operator="equal">
      <formula>"WARNING"</formula>
    </cfRule>
  </conditionalFormatting>
  <conditionalFormatting sqref="I17:J17 T17">
    <cfRule type="cellIs" dxfId="582" priority="58" stopIfTrue="1" operator="equal">
      <formula>"ERROR"</formula>
    </cfRule>
    <cfRule type="cellIs" dxfId="581" priority="59" stopIfTrue="1" operator="equal">
      <formula>"OK"</formula>
    </cfRule>
    <cfRule type="cellIs" dxfId="580" priority="60" stopIfTrue="1" operator="equal">
      <formula>"WARNING"</formula>
    </cfRule>
  </conditionalFormatting>
  <conditionalFormatting sqref="AB17">
    <cfRule type="cellIs" dxfId="579" priority="34" stopIfTrue="1" operator="equal">
      <formula>"ERROR"</formula>
    </cfRule>
    <cfRule type="cellIs" dxfId="578" priority="35" stopIfTrue="1" operator="equal">
      <formula>"OK"</formula>
    </cfRule>
    <cfRule type="cellIs" dxfId="577" priority="36" stopIfTrue="1" operator="equal">
      <formula>"WARNING"</formula>
    </cfRule>
  </conditionalFormatting>
  <conditionalFormatting sqref="AK17">
    <cfRule type="cellIs" dxfId="576" priority="28" stopIfTrue="1" operator="equal">
      <formula>"ERROR"</formula>
    </cfRule>
    <cfRule type="cellIs" dxfId="575" priority="29" stopIfTrue="1" operator="equal">
      <formula>"OK"</formula>
    </cfRule>
    <cfRule type="cellIs" dxfId="574" priority="30" stopIfTrue="1" operator="equal">
      <formula>"WARNING"</formula>
    </cfRule>
  </conditionalFormatting>
  <conditionalFormatting sqref="R17:S20">
    <cfRule type="cellIs" dxfId="573" priority="22" stopIfTrue="1" operator="equal">
      <formula>"ERROR"</formula>
    </cfRule>
    <cfRule type="cellIs" dxfId="572" priority="23" stopIfTrue="1" operator="equal">
      <formula>"OK"</formula>
    </cfRule>
    <cfRule type="cellIs" dxfId="571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I23" sqref="A13:I23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81" t="s">
        <v>707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416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81" t="s">
        <v>668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0" priority="55" stopIfTrue="1" operator="equal">
      <formula>"ERROR"</formula>
    </cfRule>
    <cfRule type="cellIs" dxfId="569" priority="56" stopIfTrue="1" operator="equal">
      <formula>"OK"</formula>
    </cfRule>
    <cfRule type="cellIs" dxfId="568" priority="57" stopIfTrue="1" operator="equal">
      <formula>"WARNING"</formula>
    </cfRule>
  </conditionalFormatting>
  <conditionalFormatting sqref="C4">
    <cfRule type="cellIs" dxfId="567" priority="52" stopIfTrue="1" operator="equal">
      <formula>"ERROR"</formula>
    </cfRule>
    <cfRule type="cellIs" dxfId="566" priority="53" stopIfTrue="1" operator="equal">
      <formula>"OK"</formula>
    </cfRule>
    <cfRule type="cellIs" dxfId="565" priority="54" stopIfTrue="1" operator="equal">
      <formula>"WARNING"</formula>
    </cfRule>
  </conditionalFormatting>
  <conditionalFormatting sqref="H17">
    <cfRule type="cellIs" dxfId="564" priority="58" stopIfTrue="1" operator="equal">
      <formula>"ERROR"</formula>
    </cfRule>
    <cfRule type="cellIs" dxfId="563" priority="59" stopIfTrue="1" operator="equal">
      <formula>"OK"</formula>
    </cfRule>
    <cfRule type="cellIs" dxfId="562" priority="60" stopIfTrue="1" operator="equal">
      <formula>"WARNING"</formula>
    </cfRule>
  </conditionalFormatting>
  <conditionalFormatting sqref="C12">
    <cfRule type="cellIs" dxfId="561" priority="46" stopIfTrue="1" operator="equal">
      <formula>"ERROR"</formula>
    </cfRule>
  </conditionalFormatting>
  <conditionalFormatting sqref="C12">
    <cfRule type="cellIs" dxfId="560" priority="47" stopIfTrue="1" operator="equal">
      <formula>"OK"</formula>
    </cfRule>
  </conditionalFormatting>
  <conditionalFormatting sqref="C12">
    <cfRule type="cellIs" dxfId="559" priority="48" stopIfTrue="1" operator="equal">
      <formula>"WARNING"</formula>
    </cfRule>
  </conditionalFormatting>
  <conditionalFormatting sqref="S17">
    <cfRule type="cellIs" dxfId="558" priority="10" stopIfTrue="1" operator="equal">
      <formula>"ERROR"</formula>
    </cfRule>
    <cfRule type="cellIs" dxfId="557" priority="11" stopIfTrue="1" operator="equal">
      <formula>"OK"</formula>
    </cfRule>
    <cfRule type="cellIs" dxfId="556" priority="12" stopIfTrue="1" operator="equal">
      <formula>"WARNING"</formula>
    </cfRule>
  </conditionalFormatting>
  <conditionalFormatting sqref="Z17">
    <cfRule type="cellIs" dxfId="555" priority="7" stopIfTrue="1" operator="equal">
      <formula>"ERROR"</formula>
    </cfRule>
    <cfRule type="cellIs" dxfId="554" priority="8" stopIfTrue="1" operator="equal">
      <formula>"OK"</formula>
    </cfRule>
    <cfRule type="cellIs" dxfId="553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90" t="s">
        <v>615</v>
      </c>
      <c r="C49" s="791"/>
      <c r="D49" s="953" t="s">
        <v>616</v>
      </c>
      <c r="E49" s="954"/>
      <c r="F49" s="954"/>
      <c r="G49" s="954"/>
      <c r="H49" s="954"/>
      <c r="I49" s="954"/>
      <c r="J49" s="954"/>
      <c r="K49" s="954"/>
      <c r="L49" s="954"/>
      <c r="M49" s="954"/>
      <c r="N49" s="954"/>
      <c r="O49" s="954"/>
      <c r="P49" s="954"/>
      <c r="Q49" s="955"/>
    </row>
    <row r="50" spans="2:17">
      <c r="B50" s="792"/>
      <c r="C50" s="793"/>
      <c r="D50" s="794" t="s">
        <v>617</v>
      </c>
      <c r="E50" s="794" t="s">
        <v>22</v>
      </c>
      <c r="F50" s="794" t="s">
        <v>618</v>
      </c>
      <c r="G50" s="794" t="s">
        <v>0</v>
      </c>
      <c r="H50" s="794" t="s">
        <v>619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>
      <c r="B51" s="956" t="s">
        <v>22</v>
      </c>
      <c r="C51" s="795" t="s">
        <v>620</v>
      </c>
      <c r="D51" s="796" t="s">
        <v>621</v>
      </c>
      <c r="E51" s="797" t="s">
        <v>622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>
      <c r="B52" s="957"/>
      <c r="C52" s="802" t="s">
        <v>623</v>
      </c>
      <c r="D52" s="796" t="s">
        <v>624</v>
      </c>
      <c r="E52" s="797" t="s">
        <v>625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>
      <c r="B53" s="957"/>
      <c r="C53" s="802" t="s">
        <v>626</v>
      </c>
      <c r="D53" s="796" t="s">
        <v>624</v>
      </c>
      <c r="E53" s="797" t="s">
        <v>625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>
      <c r="B54" s="957"/>
      <c r="C54" s="802" t="s">
        <v>627</v>
      </c>
      <c r="D54" s="796" t="s">
        <v>624</v>
      </c>
      <c r="E54" s="797" t="s">
        <v>625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>
      <c r="B55" s="957"/>
      <c r="C55" s="802" t="s">
        <v>628</v>
      </c>
      <c r="D55" s="796" t="s">
        <v>629</v>
      </c>
      <c r="E55" s="797" t="s">
        <v>630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>
      <c r="B56" s="957"/>
      <c r="C56" s="802" t="s">
        <v>631</v>
      </c>
      <c r="D56" s="796" t="s">
        <v>629</v>
      </c>
      <c r="E56" s="797" t="s">
        <v>630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>
      <c r="B57" s="957"/>
      <c r="C57" s="802" t="s">
        <v>632</v>
      </c>
      <c r="D57" s="796" t="s">
        <v>629</v>
      </c>
      <c r="E57" s="797" t="s">
        <v>630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>
      <c r="B58" s="957"/>
      <c r="C58" s="802" t="s">
        <v>633</v>
      </c>
      <c r="D58" s="796" t="s">
        <v>629</v>
      </c>
      <c r="E58" s="797" t="s">
        <v>630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>
      <c r="B59" s="957"/>
      <c r="C59" s="802" t="s">
        <v>634</v>
      </c>
      <c r="D59" s="796" t="s">
        <v>352</v>
      </c>
      <c r="E59" s="797" t="s">
        <v>635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>
      <c r="B60" s="957"/>
      <c r="C60" s="802" t="s">
        <v>636</v>
      </c>
      <c r="D60" s="804" t="s">
        <v>629</v>
      </c>
      <c r="E60" s="805" t="s">
        <v>630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>
      <c r="B61" s="957"/>
      <c r="C61" s="807" t="s">
        <v>637</v>
      </c>
      <c r="D61" s="808" t="s">
        <v>352</v>
      </c>
      <c r="E61" s="809" t="s">
        <v>635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91">
        <v>0.9</v>
      </c>
      <c r="F30" s="891">
        <v>0.85</v>
      </c>
      <c r="G30" s="891">
        <v>0.8</v>
      </c>
      <c r="H30" s="891">
        <v>0.75</v>
      </c>
      <c r="I30" s="891">
        <v>0.7</v>
      </c>
      <c r="J30" s="891">
        <v>0.65</v>
      </c>
      <c r="K30" s="891">
        <v>0.6</v>
      </c>
      <c r="L30" s="891">
        <v>0.55000000000000004</v>
      </c>
      <c r="M30" s="891">
        <v>0.5</v>
      </c>
      <c r="N30" s="891">
        <v>0.45</v>
      </c>
      <c r="O30" s="891">
        <v>0.4</v>
      </c>
      <c r="P30" s="891">
        <v>0.35</v>
      </c>
      <c r="Q30" s="891">
        <v>0.29999999999999899</v>
      </c>
      <c r="R30" s="891">
        <v>0.249999999999998</v>
      </c>
      <c r="S30" s="891">
        <v>0.19999999999999701</v>
      </c>
      <c r="T30" s="891">
        <v>0.149999999999996</v>
      </c>
      <c r="U30" s="891">
        <v>9.9999999999994996E-2</v>
      </c>
    </row>
    <row r="31" spans="2:37">
      <c r="B31" s="890" t="s">
        <v>620</v>
      </c>
      <c r="C31" s="8" cm="1">
        <f t="array" ref="C31">_xll.d.Dates_AddTenorToDate($B$28,B31,"ZAR","MODFOL")</f>
        <v>45019</v>
      </c>
      <c r="D31" s="892" cm="1">
        <f t="array" ref="D31">_xll.d.Dates_Act360($B$28,C31)</f>
        <v>8.3333333333333332E-3</v>
      </c>
      <c r="E31" s="890">
        <v>5.8049999999999997E-2</v>
      </c>
      <c r="F31" s="890">
        <v>5.6619999999999997E-2</v>
      </c>
      <c r="G31" s="890">
        <v>5.5640000000000002E-2</v>
      </c>
      <c r="H31" s="890">
        <v>5.4900000000000004E-2</v>
      </c>
      <c r="I31" s="890">
        <v>5.4320000000000007E-2</v>
      </c>
      <c r="J31" s="890">
        <v>5.3859999999999998E-2</v>
      </c>
      <c r="K31" s="890">
        <v>5.3499999999999999E-2</v>
      </c>
      <c r="L31" s="890">
        <v>5.3200000000000004E-2</v>
      </c>
      <c r="M31" s="890">
        <v>5.2969999999999996E-2</v>
      </c>
      <c r="N31" s="890">
        <v>5.2809999999999996E-2</v>
      </c>
      <c r="O31" s="890">
        <v>5.2699999999999997E-2</v>
      </c>
      <c r="P31" s="890">
        <v>5.2670000000000002E-2</v>
      </c>
      <c r="Q31" s="890">
        <v>5.2720000000000003E-2</v>
      </c>
      <c r="R31" s="890">
        <v>5.287E-2</v>
      </c>
      <c r="S31" s="890">
        <v>5.3170000000000002E-2</v>
      </c>
      <c r="T31" s="890">
        <v>5.3699999999999998E-2</v>
      </c>
      <c r="U31" s="890">
        <v>5.4699999999999999E-2</v>
      </c>
    </row>
    <row r="32" spans="2:37">
      <c r="B32" s="890" t="s">
        <v>623</v>
      </c>
      <c r="C32" s="8" cm="1">
        <f t="array" ref="C32">_xll.d.Dates_AddTenorToDate($B$28,B32,"ZAR","MODFOL")</f>
        <v>45027</v>
      </c>
      <c r="D32" s="892" cm="1">
        <f t="array" ref="D32">_xll.d.Dates_Act360($B$28,C32)</f>
        <v>3.0555555555555555E-2</v>
      </c>
      <c r="E32" s="890">
        <v>8.5220000000000004E-2</v>
      </c>
      <c r="F32" s="890">
        <v>8.3699999999999997E-2</v>
      </c>
      <c r="G32" s="890">
        <v>8.2650000000000001E-2</v>
      </c>
      <c r="H32" s="890">
        <v>8.1839999999999996E-2</v>
      </c>
      <c r="I32" s="890">
        <v>8.1210000000000004E-2</v>
      </c>
      <c r="J32" s="890">
        <v>8.0690000000000012E-2</v>
      </c>
      <c r="K32" s="890">
        <v>8.0269999999999994E-2</v>
      </c>
      <c r="L32" s="890">
        <v>7.9930000000000001E-2</v>
      </c>
      <c r="M32" s="890">
        <v>7.9660000000000009E-2</v>
      </c>
      <c r="N32" s="890">
        <v>7.9460000000000003E-2</v>
      </c>
      <c r="O32" s="890">
        <v>7.9310000000000005E-2</v>
      </c>
      <c r="P32" s="890">
        <v>7.9240000000000005E-2</v>
      </c>
      <c r="Q32" s="890">
        <v>7.9250000000000001E-2</v>
      </c>
      <c r="R32" s="890">
        <v>7.9369999999999996E-2</v>
      </c>
      <c r="S32" s="890">
        <v>7.9640000000000002E-2</v>
      </c>
      <c r="T32" s="890">
        <v>8.0139999999999989E-2</v>
      </c>
      <c r="U32" s="890">
        <v>8.1089999999999995E-2</v>
      </c>
    </row>
    <row r="33" spans="2:76">
      <c r="B33" s="890" t="s">
        <v>626</v>
      </c>
      <c r="C33" s="8" cm="1">
        <f t="array" ref="C33">_xll.d.Dates_AddTenorToDate($B$28,B33,"ZAR","MODFOL")</f>
        <v>45030</v>
      </c>
      <c r="D33" s="892" cm="1">
        <f t="array" ref="D33">_xll.d.Dates_Act360($B$28,C33)</f>
        <v>3.888888888888889E-2</v>
      </c>
      <c r="E33" s="890">
        <v>9.11E-2</v>
      </c>
      <c r="F33" s="890">
        <v>8.9469999999999994E-2</v>
      </c>
      <c r="G33" s="890">
        <v>8.8249999999999995E-2</v>
      </c>
      <c r="H33" s="890">
        <v>8.727E-2</v>
      </c>
      <c r="I33" s="890">
        <v>8.6449999999999999E-2</v>
      </c>
      <c r="J33" s="890">
        <v>8.5760000000000003E-2</v>
      </c>
      <c r="K33" s="890">
        <v>8.5169999999999996E-2</v>
      </c>
      <c r="L33" s="890">
        <v>8.4680000000000005E-2</v>
      </c>
      <c r="M33" s="890">
        <v>8.43E-2</v>
      </c>
      <c r="N33" s="890">
        <v>8.4010000000000001E-2</v>
      </c>
      <c r="O33" s="890">
        <v>8.3819999999999992E-2</v>
      </c>
      <c r="P33" s="890">
        <v>8.3729999999999999E-2</v>
      </c>
      <c r="Q33" s="890">
        <v>8.3750000000000005E-2</v>
      </c>
      <c r="R33" s="890">
        <v>8.387E-2</v>
      </c>
      <c r="S33" s="890">
        <v>8.410999999999999E-2</v>
      </c>
      <c r="T33" s="890">
        <v>8.4499999999999992E-2</v>
      </c>
      <c r="U33" s="890">
        <v>8.5099999999999995E-2</v>
      </c>
    </row>
    <row r="34" spans="2:76">
      <c r="B34" s="890" t="s">
        <v>628</v>
      </c>
      <c r="C34" s="8" cm="1">
        <f t="array" ref="C34">_xll.d.Dates_AddTenorToDate($B$28,B34,"ZAR","MODFOL")</f>
        <v>45044</v>
      </c>
      <c r="D34" s="892" cm="1">
        <f t="array" ref="D34">_xll.d.Dates_Act360($B$28,C34)</f>
        <v>7.7777777777777779E-2</v>
      </c>
      <c r="E34" s="890">
        <v>8.4700000000000011E-2</v>
      </c>
      <c r="F34" s="890">
        <v>8.2589999999999997E-2</v>
      </c>
      <c r="G34" s="890">
        <v>8.1069999999999989E-2</v>
      </c>
      <c r="H34" s="890">
        <v>7.9880000000000007E-2</v>
      </c>
      <c r="I34" s="890">
        <v>7.893E-2</v>
      </c>
      <c r="J34" s="890">
        <v>7.8140000000000001E-2</v>
      </c>
      <c r="K34" s="890">
        <v>7.7499999999999999E-2</v>
      </c>
      <c r="L34" s="890">
        <v>7.6969999999999997E-2</v>
      </c>
      <c r="M34" s="890">
        <v>7.6550000000000007E-2</v>
      </c>
      <c r="N34" s="890">
        <v>7.6230000000000006E-2</v>
      </c>
      <c r="O34" s="890">
        <v>7.5990000000000002E-2</v>
      </c>
      <c r="P34" s="890">
        <v>7.5850000000000001E-2</v>
      </c>
      <c r="Q34" s="890">
        <v>7.5810000000000002E-2</v>
      </c>
      <c r="R34" s="890">
        <v>7.5880000000000003E-2</v>
      </c>
      <c r="S34" s="890">
        <v>7.6100000000000001E-2</v>
      </c>
      <c r="T34" s="890">
        <v>7.6499999999999999E-2</v>
      </c>
      <c r="U34" s="890">
        <v>7.7199999999999991E-2</v>
      </c>
    </row>
    <row r="35" spans="2:76">
      <c r="B35" s="890" t="s">
        <v>631</v>
      </c>
      <c r="C35" s="8" cm="1">
        <f t="array" ref="C35">_xll.d.Dates_AddTenorToDate($B$28,B35,"ZAR","MODFOL")</f>
        <v>45077</v>
      </c>
      <c r="D35" s="892" cm="1">
        <f t="array" ref="D35">_xll.d.Dates_Act360($B$28,C35)</f>
        <v>0.16944444444444445</v>
      </c>
      <c r="E35" s="890">
        <v>9.0370000000000006E-2</v>
      </c>
      <c r="F35" s="890">
        <v>8.77E-2</v>
      </c>
      <c r="G35" s="890">
        <v>8.5739999999999997E-2</v>
      </c>
      <c r="H35" s="890">
        <v>8.4190000000000001E-2</v>
      </c>
      <c r="I35" s="890">
        <v>8.2919999999999994E-2</v>
      </c>
      <c r="J35" s="890">
        <v>8.1869999999999998E-2</v>
      </c>
      <c r="K35" s="890">
        <v>8.0990000000000006E-2</v>
      </c>
      <c r="L35" s="890">
        <v>8.0259999999999998E-2</v>
      </c>
      <c r="M35" s="890">
        <v>7.9699999999999993E-2</v>
      </c>
      <c r="N35" s="890">
        <v>7.9259999999999997E-2</v>
      </c>
      <c r="O35" s="890">
        <v>7.8920000000000004E-2</v>
      </c>
      <c r="P35" s="890">
        <v>7.8710000000000002E-2</v>
      </c>
      <c r="Q35" s="890">
        <v>7.8630000000000005E-2</v>
      </c>
      <c r="R35" s="890">
        <v>7.8689999999999996E-2</v>
      </c>
      <c r="S35" s="890">
        <v>7.8899999999999998E-2</v>
      </c>
      <c r="T35" s="890">
        <v>7.9310000000000005E-2</v>
      </c>
      <c r="U35" s="890">
        <v>8.0020000000000008E-2</v>
      </c>
    </row>
    <row r="36" spans="2:76">
      <c r="B36" s="890" t="s">
        <v>632</v>
      </c>
      <c r="C36" s="8" cm="1">
        <f t="array" ref="C36">_xll.d.Dates_AddTenorToDate($B$28,B36,"ZAR","MODFOL")</f>
        <v>45107</v>
      </c>
      <c r="D36" s="892" cm="1">
        <f t="array" ref="D36">_xll.d.Dates_Act360($B$28,C36)</f>
        <v>0.25277777777777777</v>
      </c>
      <c r="E36" s="890">
        <v>9.2950000000000005E-2</v>
      </c>
      <c r="F36" s="890">
        <v>8.9540000000000008E-2</v>
      </c>
      <c r="G36" s="890">
        <v>8.7120000000000003E-2</v>
      </c>
      <c r="H36" s="890">
        <v>8.5260000000000002E-2</v>
      </c>
      <c r="I36" s="890">
        <v>8.3780000000000007E-2</v>
      </c>
      <c r="J36" s="890">
        <v>8.2569999999999991E-2</v>
      </c>
      <c r="K36" s="890">
        <v>8.1570000000000004E-2</v>
      </c>
      <c r="L36" s="890">
        <v>8.0749999999999988E-2</v>
      </c>
      <c r="M36" s="890">
        <v>8.0129999999999993E-2</v>
      </c>
      <c r="N36" s="890">
        <v>7.9619999999999996E-2</v>
      </c>
      <c r="O36" s="890">
        <v>7.9199999999999993E-2</v>
      </c>
      <c r="P36" s="890">
        <v>7.8909999999999994E-2</v>
      </c>
      <c r="Q36" s="890">
        <v>7.8750000000000001E-2</v>
      </c>
      <c r="R36" s="890">
        <v>7.8750000000000001E-2</v>
      </c>
      <c r="S36" s="890">
        <v>7.8949999999999992E-2</v>
      </c>
      <c r="T36" s="890">
        <v>7.9399999999999998E-2</v>
      </c>
      <c r="U36" s="890">
        <v>8.0299999999999996E-2</v>
      </c>
    </row>
    <row r="37" spans="2:76">
      <c r="B37" s="890" t="s">
        <v>633</v>
      </c>
      <c r="C37" s="8" cm="1">
        <f t="array" ref="C37">_xll.d.Dates_AddTenorToDate($B$28,B37,"ZAR","MODFOL")</f>
        <v>45198</v>
      </c>
      <c r="D37" s="892" cm="1">
        <f t="array" ref="D37">_xll.d.Dates_Act360($B$28,C37)</f>
        <v>0.50555555555555554</v>
      </c>
      <c r="E37" s="890">
        <v>9.7029999999999991E-2</v>
      </c>
      <c r="F37" s="890">
        <v>9.257E-2</v>
      </c>
      <c r="G37" s="890">
        <v>8.9369999999999991E-2</v>
      </c>
      <c r="H37" s="890">
        <v>8.6899999999999991E-2</v>
      </c>
      <c r="I37" s="890">
        <v>8.4900000000000003E-2</v>
      </c>
      <c r="J37" s="890">
        <v>8.3269999999999997E-2</v>
      </c>
      <c r="K37" s="890">
        <v>8.1910000000000011E-2</v>
      </c>
      <c r="L37" s="890">
        <v>8.0779999999999991E-2</v>
      </c>
      <c r="M37" s="890">
        <v>0.08</v>
      </c>
      <c r="N37" s="890">
        <v>7.934999999999999E-2</v>
      </c>
      <c r="O37" s="890">
        <v>7.8730000000000008E-2</v>
      </c>
      <c r="P37" s="890">
        <v>7.8289999999999998E-2</v>
      </c>
      <c r="Q37" s="890">
        <v>7.8030000000000002E-2</v>
      </c>
      <c r="R37" s="890">
        <v>7.7979999999999994E-2</v>
      </c>
      <c r="S37" s="890">
        <v>7.8189999999999996E-2</v>
      </c>
      <c r="T37" s="890">
        <v>7.8739999999999991E-2</v>
      </c>
      <c r="U37" s="890">
        <v>7.9839999999999994E-2</v>
      </c>
    </row>
    <row r="38" spans="2:76">
      <c r="B38" s="890" t="s">
        <v>675</v>
      </c>
      <c r="C38" s="8" cm="1">
        <f t="array" ref="C38">_xll.d.Dates_AddTenorToDate($B$28,B38,"ZAR","MODFOL")</f>
        <v>45289</v>
      </c>
      <c r="D38" s="892" cm="1">
        <f t="array" ref="D38">_xll.d.Dates_Act360($B$28,C38)</f>
        <v>0.7583333333333333</v>
      </c>
      <c r="E38" s="890">
        <v>9.8659999999999998E-2</v>
      </c>
      <c r="F38" s="890">
        <v>9.3829999999999997E-2</v>
      </c>
      <c r="G38" s="890">
        <v>9.0299999999999991E-2</v>
      </c>
      <c r="H38" s="890">
        <v>8.7520000000000001E-2</v>
      </c>
      <c r="I38" s="890">
        <v>8.5250000000000006E-2</v>
      </c>
      <c r="J38" s="890">
        <v>8.3360000000000004E-2</v>
      </c>
      <c r="K38" s="890">
        <v>8.1790000000000002E-2</v>
      </c>
      <c r="L38" s="890">
        <v>8.0489999999999992E-2</v>
      </c>
      <c r="M38" s="890">
        <v>7.9699999999999993E-2</v>
      </c>
      <c r="N38" s="890">
        <v>7.9039999999999999E-2</v>
      </c>
      <c r="O38" s="890">
        <v>7.8329999999999997E-2</v>
      </c>
      <c r="P38" s="890">
        <v>7.7850000000000003E-2</v>
      </c>
      <c r="Q38" s="890">
        <v>7.7609999999999998E-2</v>
      </c>
      <c r="R38" s="890">
        <v>7.7600000000000002E-2</v>
      </c>
      <c r="S38" s="890">
        <v>7.7869999999999995E-2</v>
      </c>
      <c r="T38" s="890">
        <v>7.8469999999999998E-2</v>
      </c>
      <c r="U38" s="890">
        <v>7.9570000000000002E-2</v>
      </c>
    </row>
    <row r="39" spans="2:76">
      <c r="B39" s="890" t="s">
        <v>634</v>
      </c>
      <c r="C39" s="8" cm="1">
        <f t="array" ref="C39">_xll.d.Dates_AddTenorToDate($B$28,B39,"ZAR","MODFOL")</f>
        <v>45379</v>
      </c>
      <c r="D39" s="892" cm="1">
        <f t="array" ref="D39">_xll.d.Dates_Act360($B$28,C39)</f>
        <v>1.0083333333333333</v>
      </c>
      <c r="E39" s="890">
        <v>0.10061999999999999</v>
      </c>
      <c r="F39" s="890">
        <v>9.5100000000000004E-2</v>
      </c>
      <c r="G39" s="890">
        <v>9.1090000000000004E-2</v>
      </c>
      <c r="H39" s="890">
        <v>8.795E-2</v>
      </c>
      <c r="I39" s="890">
        <v>8.541E-2</v>
      </c>
      <c r="J39" s="890">
        <v>8.3309999999999995E-2</v>
      </c>
      <c r="K39" s="890">
        <v>8.158E-2</v>
      </c>
      <c r="L39" s="890">
        <v>8.0149999999999999E-2</v>
      </c>
      <c r="M39" s="890">
        <v>7.9399999999999998E-2</v>
      </c>
      <c r="N39" s="890">
        <v>7.8750000000000001E-2</v>
      </c>
      <c r="O39" s="890">
        <v>7.7939999999999995E-2</v>
      </c>
      <c r="P39" s="890">
        <v>7.7380000000000004E-2</v>
      </c>
      <c r="Q39" s="890">
        <v>7.707E-2</v>
      </c>
      <c r="R39" s="890">
        <v>7.7030000000000001E-2</v>
      </c>
      <c r="S39" s="890">
        <v>7.7289999999999998E-2</v>
      </c>
      <c r="T39" s="890">
        <v>7.7929999999999999E-2</v>
      </c>
      <c r="U39" s="890">
        <v>7.9140000000000002E-2</v>
      </c>
    </row>
    <row r="40" spans="2:76">
      <c r="B40" s="890" t="s">
        <v>637</v>
      </c>
      <c r="C40" s="8" cm="1">
        <f t="array" ref="C40">_xll.d.Dates_AddTenorToDate($B$28,B40,"ZAR","MODFOL")</f>
        <v>45747</v>
      </c>
      <c r="D40" s="892" cm="1">
        <f t="array" ref="D40">_xll.d.Dates_Act360($B$28,C40)</f>
        <v>2.0305555555555554</v>
      </c>
      <c r="E40" s="890">
        <v>0.10005000000000001</v>
      </c>
      <c r="F40" s="890">
        <v>9.4689999999999996E-2</v>
      </c>
      <c r="G40" s="890">
        <v>9.0899999999999995E-2</v>
      </c>
      <c r="H40" s="890">
        <v>8.8000000000000009E-2</v>
      </c>
      <c r="I40" s="890">
        <v>8.5699999999999998E-2</v>
      </c>
      <c r="J40" s="890">
        <v>8.3829999999999988E-2</v>
      </c>
      <c r="K40" s="890">
        <v>8.2309999999999994E-2</v>
      </c>
      <c r="L40" s="890">
        <v>8.1079999999999999E-2</v>
      </c>
      <c r="M40" s="890">
        <v>8.0799999999999997E-2</v>
      </c>
      <c r="N40" s="890">
        <v>8.054E-2</v>
      </c>
      <c r="O40" s="890">
        <v>7.9689999999999997E-2</v>
      </c>
      <c r="P40" s="890">
        <v>7.9070000000000001E-2</v>
      </c>
      <c r="Q40" s="890">
        <v>7.8710000000000002E-2</v>
      </c>
      <c r="R40" s="890">
        <v>7.8630000000000005E-2</v>
      </c>
      <c r="S40" s="890">
        <v>7.8899999999999998E-2</v>
      </c>
      <c r="T40" s="890">
        <v>7.9660000000000009E-2</v>
      </c>
      <c r="U40" s="890">
        <v>8.1240000000000007E-2</v>
      </c>
    </row>
    <row r="41" spans="2:76">
      <c r="B41" s="890" t="s">
        <v>655</v>
      </c>
      <c r="C41" s="8" cm="1">
        <f t="array" ref="C41">_xll.d.Dates_AddTenorToDate($B$28,B41,"ZAR","MODFOL")</f>
        <v>46112</v>
      </c>
      <c r="D41" s="892" cm="1">
        <f t="array" ref="D41">_xll.d.Dates_Act360($B$28,C41)</f>
        <v>3.0444444444444443</v>
      </c>
      <c r="E41" s="890">
        <v>9.7989999999999994E-2</v>
      </c>
      <c r="F41" s="890">
        <v>9.3240000000000003E-2</v>
      </c>
      <c r="G41" s="890">
        <v>8.9939999999999992E-2</v>
      </c>
      <c r="H41" s="890">
        <v>8.7479999999999988E-2</v>
      </c>
      <c r="I41" s="890">
        <v>8.5580000000000003E-2</v>
      </c>
      <c r="J41" s="890">
        <v>8.4079999999999988E-2</v>
      </c>
      <c r="K41" s="890">
        <v>8.2909999999999998E-2</v>
      </c>
      <c r="L41" s="890">
        <v>8.2029999999999992E-2</v>
      </c>
      <c r="M41" s="890">
        <v>8.2100000000000006E-2</v>
      </c>
      <c r="N41" s="890">
        <v>8.2180000000000003E-2</v>
      </c>
      <c r="O41" s="890">
        <v>8.1500000000000003E-2</v>
      </c>
      <c r="P41" s="890">
        <v>8.1069999999999989E-2</v>
      </c>
      <c r="Q41" s="890">
        <v>8.0920000000000006E-2</v>
      </c>
      <c r="R41" s="890">
        <v>8.1089999999999995E-2</v>
      </c>
      <c r="S41" s="890">
        <v>8.166000000000001E-2</v>
      </c>
      <c r="T41" s="890">
        <v>8.2840000000000011E-2</v>
      </c>
      <c r="U41" s="890">
        <v>8.5050000000000014E-2</v>
      </c>
    </row>
    <row r="42" spans="2:76">
      <c r="B42" s="890" t="s">
        <v>657</v>
      </c>
      <c r="C42" s="8" cm="1">
        <f t="array" ref="C42">_xll.d.Dates_AddTenorToDate($B$28,B42,"ZAR","MODFOL")</f>
        <v>46843</v>
      </c>
      <c r="D42" s="892" cm="1">
        <f t="array" ref="D42">_xll.d.Dates_Act360($B$28,C42)</f>
        <v>5.0750000000000002</v>
      </c>
      <c r="E42" s="890">
        <v>0.10098000000000001</v>
      </c>
      <c r="F42" s="890">
        <v>9.6449999999999994E-2</v>
      </c>
      <c r="G42" s="890">
        <v>9.3339999999999992E-2</v>
      </c>
      <c r="H42" s="890">
        <v>9.1060000000000002E-2</v>
      </c>
      <c r="I42" s="890">
        <v>8.9349999999999999E-2</v>
      </c>
      <c r="J42" s="890">
        <v>8.8059999999999986E-2</v>
      </c>
      <c r="K42" s="890">
        <v>8.7120000000000003E-2</v>
      </c>
      <c r="L42" s="890">
        <v>8.6510000000000004E-2</v>
      </c>
      <c r="M42" s="890">
        <v>8.6899999999999991E-2</v>
      </c>
      <c r="N42" s="890">
        <v>8.7449999999999986E-2</v>
      </c>
      <c r="O42" s="890">
        <v>8.6709999999999995E-2</v>
      </c>
      <c r="P42" s="890">
        <v>8.6279999999999996E-2</v>
      </c>
      <c r="Q42" s="890">
        <v>8.6190000000000003E-2</v>
      </c>
      <c r="R42" s="890">
        <v>8.6460000000000009E-2</v>
      </c>
      <c r="S42" s="890">
        <v>8.72E-2</v>
      </c>
      <c r="T42" s="890">
        <v>8.8610000000000008E-2</v>
      </c>
      <c r="U42" s="890">
        <v>9.1170000000000015E-2</v>
      </c>
    </row>
    <row r="43" spans="2:76">
      <c r="B43" s="890" t="s">
        <v>659</v>
      </c>
      <c r="C43" s="8" cm="1">
        <f t="array" ref="C43">_xll.d.Dates_AddTenorToDate($B$28,B43,"ZAR","MODFOL")</f>
        <v>47571</v>
      </c>
      <c r="D43" s="892" cm="1">
        <f t="array" ref="D43">_xll.d.Dates_Act360($B$28,C43)</f>
        <v>7.0972222222222223</v>
      </c>
      <c r="E43" s="890">
        <v>0.10459</v>
      </c>
      <c r="F43" s="890">
        <v>9.9830000000000002E-2</v>
      </c>
      <c r="G43" s="890">
        <v>9.6630000000000008E-2</v>
      </c>
      <c r="H43" s="890">
        <v>9.4339999999999993E-2</v>
      </c>
      <c r="I43" s="890">
        <v>9.2660000000000006E-2</v>
      </c>
      <c r="J43" s="890">
        <v>9.1440000000000007E-2</v>
      </c>
      <c r="K43" s="890">
        <v>9.0619999999999992E-2</v>
      </c>
      <c r="L43" s="890">
        <v>9.0150000000000008E-2</v>
      </c>
      <c r="M43" s="890">
        <v>9.0500000000000011E-2</v>
      </c>
      <c r="N43" s="890">
        <v>9.1080000000000008E-2</v>
      </c>
      <c r="O43" s="890">
        <v>9.0389999999999998E-2</v>
      </c>
      <c r="P43" s="890">
        <v>9.0060000000000001E-2</v>
      </c>
      <c r="Q43" s="890">
        <v>9.0090000000000003E-2</v>
      </c>
      <c r="R43" s="890">
        <v>9.0530000000000013E-2</v>
      </c>
      <c r="S43" s="890">
        <v>9.1499999999999998E-2</v>
      </c>
      <c r="T43" s="890">
        <v>9.3240000000000003E-2</v>
      </c>
      <c r="U43" s="890">
        <v>9.6300000000000011E-2</v>
      </c>
    </row>
    <row r="44" spans="2:76">
      <c r="B44" s="890" t="s">
        <v>662</v>
      </c>
      <c r="C44" s="8" cm="1">
        <f t="array" ref="C44">_xll.d.Dates_AddTenorToDate($B$28,B44,"ZAR","MODFOL")</f>
        <v>48669</v>
      </c>
      <c r="D44" s="892" cm="1">
        <f t="array" ref="D44">_xll.d.Dates_Act360($B$28,C44)</f>
        <v>10.147222222222222</v>
      </c>
      <c r="E44" s="890">
        <v>0.10792</v>
      </c>
      <c r="F44" s="890">
        <v>0.10273</v>
      </c>
      <c r="G44" s="890">
        <v>9.9339999999999998E-2</v>
      </c>
      <c r="H44" s="890">
        <v>9.6980000000000011E-2</v>
      </c>
      <c r="I44" s="890">
        <v>9.5329999999999998E-2</v>
      </c>
      <c r="J44" s="890">
        <v>9.4220000000000012E-2</v>
      </c>
      <c r="K44" s="890">
        <v>9.3590000000000007E-2</v>
      </c>
      <c r="L44" s="890">
        <v>9.3409999999999993E-2</v>
      </c>
      <c r="M44" s="890">
        <v>9.3800000000000008E-2</v>
      </c>
      <c r="N44" s="890">
        <v>9.5129999999999992E-2</v>
      </c>
      <c r="O44" s="890">
        <v>9.4100000000000003E-2</v>
      </c>
      <c r="P44" s="890">
        <v>9.3530000000000002E-2</v>
      </c>
      <c r="Q44" s="890">
        <v>9.3420000000000003E-2</v>
      </c>
      <c r="R44" s="890">
        <v>9.3810000000000004E-2</v>
      </c>
      <c r="S44" s="890">
        <v>9.4830000000000012E-2</v>
      </c>
      <c r="T44" s="890">
        <v>9.6759999999999999E-2</v>
      </c>
      <c r="U44" s="890">
        <v>0.10026</v>
      </c>
    </row>
    <row r="46" spans="2:76">
      <c r="D46" s="892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I17:J17 T17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AB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conditionalFormatting sqref="AK17">
    <cfRule type="cellIs" dxfId="516" priority="4" stopIfTrue="1" operator="equal">
      <formula>"ERROR"</formula>
    </cfRule>
    <cfRule type="cellIs" dxfId="515" priority="5" stopIfTrue="1" operator="equal">
      <formula>"OK"</formula>
    </cfRule>
    <cfRule type="cellIs" dxfId="514" priority="6" stopIfTrue="1" operator="equal">
      <formula>"WARNING"</formula>
    </cfRule>
  </conditionalFormatting>
  <conditionalFormatting sqref="R17:S21">
    <cfRule type="cellIs" dxfId="513" priority="1" stopIfTrue="1" operator="equal">
      <formula>"ERROR"</formula>
    </cfRule>
    <cfRule type="cellIs" dxfId="512" priority="2" stopIfTrue="1" operator="equal">
      <formula>"OK"</formula>
    </cfRule>
    <cfRule type="cellIs" dxfId="511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686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690</v>
      </c>
      <c r="C16" s="208" t="str" cm="1">
        <f t="array" aca="1" ref="C16" ca="1">_xll.d.Curve_Create("CCSZarSwapCurve",B19:C22,C26:C49,D26:D49)</f>
        <v>@@CCSZarSwapCurve::16:56:06</v>
      </c>
      <c r="D16" s="209"/>
      <c r="F16" s="56" t="s">
        <v>690</v>
      </c>
      <c r="G16" s="208" t="str" cm="1">
        <f t="array" aca="1" ref="G16" ca="1">_xll.d.Curve_Create("CCSUsdZarBasisCurve",F19:G22,G26:G49,H26:H49)</f>
        <v>@@CCSUsdZarBasisCurve::16:56:06</v>
      </c>
      <c r="H16" s="209"/>
      <c r="J16" s="56" t="s">
        <v>690</v>
      </c>
      <c r="K16" s="208" t="str" cm="1">
        <f t="array" aca="1" ref="K16" ca="1">_xll.d.Curve_Create("CCSUsdSwapCurve",J19:K22,K26:K51,L26:L51)</f>
        <v>@@CCSUsdSwapCurve::16:56:06</v>
      </c>
      <c r="L16" s="209"/>
    </row>
    <row r="17" spans="2:14">
      <c r="D17" s="613"/>
    </row>
    <row r="18" spans="2:14">
      <c r="B18" s="12" t="s">
        <v>682</v>
      </c>
      <c r="C18" s="137"/>
      <c r="F18" s="12" t="s">
        <v>685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96" t="s">
        <v>58</v>
      </c>
      <c r="C20" s="897" t="s">
        <v>55</v>
      </c>
      <c r="F20" s="896" t="s">
        <v>58</v>
      </c>
      <c r="G20" s="897" t="s">
        <v>55</v>
      </c>
      <c r="J20" s="921" t="s">
        <v>58</v>
      </c>
      <c r="K20" s="922" t="s">
        <v>326</v>
      </c>
    </row>
    <row r="21" spans="2:14">
      <c r="B21" s="898" t="s">
        <v>56</v>
      </c>
      <c r="C21" s="899" t="s">
        <v>57</v>
      </c>
      <c r="F21" s="898" t="s">
        <v>56</v>
      </c>
      <c r="G21" s="899" t="s">
        <v>57</v>
      </c>
      <c r="J21" s="923" t="s">
        <v>56</v>
      </c>
      <c r="K21" s="924" t="s">
        <v>258</v>
      </c>
    </row>
    <row r="22" spans="2:14">
      <c r="B22" s="900" t="s">
        <v>43</v>
      </c>
      <c r="C22" s="901" t="s">
        <v>681</v>
      </c>
      <c r="F22" s="900" t="s">
        <v>43</v>
      </c>
      <c r="G22" s="926" t="s">
        <v>681</v>
      </c>
      <c r="J22" s="925" t="s">
        <v>43</v>
      </c>
      <c r="K22" s="932" t="s">
        <v>681</v>
      </c>
    </row>
    <row r="24" spans="2:14">
      <c r="B24" s="121" t="s">
        <v>680</v>
      </c>
      <c r="C24" s="192"/>
      <c r="D24" s="122"/>
      <c r="F24" s="121" t="s">
        <v>683</v>
      </c>
      <c r="G24" s="192"/>
      <c r="H24" s="122"/>
      <c r="J24" s="121" t="s">
        <v>706</v>
      </c>
      <c r="K24" s="192"/>
      <c r="L24" s="122"/>
    </row>
    <row r="25" spans="2:14">
      <c r="B25" s="906" t="s">
        <v>22</v>
      </c>
      <c r="C25" s="907" t="s">
        <v>0</v>
      </c>
      <c r="D25" s="908" t="s">
        <v>2</v>
      </c>
      <c r="F25" s="906" t="s">
        <v>22</v>
      </c>
      <c r="G25" s="907" t="s">
        <v>0</v>
      </c>
      <c r="H25" s="908" t="s">
        <v>2</v>
      </c>
      <c r="J25" s="906" t="s">
        <v>22</v>
      </c>
      <c r="K25" s="907" t="s">
        <v>0</v>
      </c>
      <c r="L25" s="908" t="s">
        <v>2</v>
      </c>
    </row>
    <row r="26" spans="2:14">
      <c r="B26" s="903" t="s">
        <v>684</v>
      </c>
      <c r="C26" s="893">
        <v>45016</v>
      </c>
      <c r="D26" s="464">
        <v>1</v>
      </c>
      <c r="F26" s="903" t="s">
        <v>684</v>
      </c>
      <c r="G26" s="902">
        <v>45016</v>
      </c>
      <c r="H26" s="927">
        <v>1</v>
      </c>
      <c r="J26" s="903" t="s">
        <v>684</v>
      </c>
      <c r="K26" s="894">
        <v>45016</v>
      </c>
      <c r="L26" s="928">
        <v>1</v>
      </c>
    </row>
    <row r="27" spans="2:14">
      <c r="B27" s="125" t="s">
        <v>620</v>
      </c>
      <c r="C27" s="894">
        <v>45019</v>
      </c>
      <c r="D27" s="465">
        <v>0.99941924199999999</v>
      </c>
      <c r="F27" s="903" t="s">
        <v>620</v>
      </c>
      <c r="G27" s="894">
        <v>45019</v>
      </c>
      <c r="H27" s="928">
        <v>0.99941919999999995</v>
      </c>
      <c r="J27" s="903" t="s">
        <v>620</v>
      </c>
      <c r="K27" s="894">
        <v>45019</v>
      </c>
      <c r="L27" s="928">
        <v>0.99959474800000003</v>
      </c>
    </row>
    <row r="28" spans="2:14">
      <c r="B28" s="125" t="s">
        <v>678</v>
      </c>
      <c r="C28" s="894">
        <v>45020</v>
      </c>
      <c r="D28" s="465">
        <v>0.99922414500000001</v>
      </c>
      <c r="F28" s="903" t="s">
        <v>678</v>
      </c>
      <c r="G28" s="894">
        <v>45020</v>
      </c>
      <c r="H28" s="928">
        <v>0.99922449999999996</v>
      </c>
      <c r="J28" s="903" t="s">
        <v>678</v>
      </c>
      <c r="K28" s="894">
        <v>45020</v>
      </c>
      <c r="L28" s="928">
        <v>0.99945968200000002</v>
      </c>
    </row>
    <row r="29" spans="2:14">
      <c r="B29" s="125" t="s">
        <v>679</v>
      </c>
      <c r="C29" s="894">
        <v>45027</v>
      </c>
      <c r="D29" s="465">
        <v>0.997834322</v>
      </c>
      <c r="F29" s="903" t="s">
        <v>679</v>
      </c>
      <c r="G29" s="894">
        <v>45027</v>
      </c>
      <c r="H29" s="928">
        <v>0.99784050000000002</v>
      </c>
      <c r="J29" s="903" t="s">
        <v>679</v>
      </c>
      <c r="K29" s="894">
        <v>45027</v>
      </c>
      <c r="L29" s="928">
        <v>0.99848547700000001</v>
      </c>
    </row>
    <row r="30" spans="2:14">
      <c r="B30" s="125" t="s">
        <v>628</v>
      </c>
      <c r="C30" s="894">
        <v>45044</v>
      </c>
      <c r="D30" s="465">
        <v>0.99436822499999999</v>
      </c>
      <c r="F30" s="903" t="s">
        <v>628</v>
      </c>
      <c r="G30" s="894">
        <v>45044</v>
      </c>
      <c r="H30" s="928">
        <v>0.99434610000000001</v>
      </c>
      <c r="J30" s="903" t="s">
        <v>628</v>
      </c>
      <c r="K30" s="894">
        <v>45050</v>
      </c>
      <c r="L30" s="928">
        <v>0.99523663699999998</v>
      </c>
    </row>
    <row r="31" spans="2:14">
      <c r="B31" s="125" t="s">
        <v>631</v>
      </c>
      <c r="C31" s="894">
        <v>45077</v>
      </c>
      <c r="D31" s="465">
        <v>0.98768435499999996</v>
      </c>
      <c r="F31" s="903" t="s">
        <v>631</v>
      </c>
      <c r="G31" s="894">
        <v>45077</v>
      </c>
      <c r="H31" s="928">
        <v>0.98719480000000004</v>
      </c>
      <c r="J31" s="903" t="s">
        <v>631</v>
      </c>
      <c r="K31" s="894">
        <v>45082</v>
      </c>
      <c r="L31" s="928">
        <v>0.99065656000000002</v>
      </c>
      <c r="N31" s="939"/>
    </row>
    <row r="32" spans="2:14">
      <c r="B32" s="125" t="s">
        <v>632</v>
      </c>
      <c r="C32" s="894">
        <v>45107</v>
      </c>
      <c r="D32" s="465">
        <v>0.98146443900000002</v>
      </c>
      <c r="F32" s="903" t="s">
        <v>632</v>
      </c>
      <c r="G32" s="894">
        <v>45107</v>
      </c>
      <c r="H32" s="928">
        <v>0.98054549999999996</v>
      </c>
      <c r="J32" s="903" t="s">
        <v>632</v>
      </c>
      <c r="K32" s="894">
        <v>45112</v>
      </c>
      <c r="L32" s="928">
        <v>0.98638947300000002</v>
      </c>
    </row>
    <row r="33" spans="2:13">
      <c r="B33" s="125" t="s">
        <v>633</v>
      </c>
      <c r="C33" s="894">
        <v>45198</v>
      </c>
      <c r="D33" s="465">
        <v>0.96091179299999996</v>
      </c>
      <c r="F33" s="903" t="s">
        <v>633</v>
      </c>
      <c r="G33" s="894">
        <v>45198</v>
      </c>
      <c r="H33" s="928">
        <v>0.96094789999999997</v>
      </c>
      <c r="J33" s="903" t="s">
        <v>633</v>
      </c>
      <c r="K33" s="894">
        <v>45203</v>
      </c>
      <c r="L33" s="928">
        <v>0.97355813899999999</v>
      </c>
    </row>
    <row r="34" spans="2:13">
      <c r="B34" s="125" t="s">
        <v>675</v>
      </c>
      <c r="C34" s="894">
        <v>45289</v>
      </c>
      <c r="D34" s="465">
        <v>0.94072104300000003</v>
      </c>
      <c r="F34" s="903" t="s">
        <v>675</v>
      </c>
      <c r="G34" s="894">
        <v>45289</v>
      </c>
      <c r="H34" s="928">
        <v>0.94165010000000005</v>
      </c>
      <c r="J34" s="903" t="s">
        <v>675</v>
      </c>
      <c r="K34" s="894">
        <v>45295</v>
      </c>
      <c r="L34" s="928">
        <v>0.96170955700000005</v>
      </c>
    </row>
    <row r="35" spans="2:13">
      <c r="B35" s="125" t="s">
        <v>634</v>
      </c>
      <c r="C35" s="894">
        <v>45379</v>
      </c>
      <c r="D35" s="465">
        <v>0.92057749200000005</v>
      </c>
      <c r="F35" s="903" t="s">
        <v>634</v>
      </c>
      <c r="G35" s="894">
        <v>45379</v>
      </c>
      <c r="H35" s="928">
        <v>0.9232669</v>
      </c>
      <c r="J35" s="903" t="s">
        <v>634</v>
      </c>
      <c r="K35" s="894">
        <v>45386</v>
      </c>
      <c r="L35" s="928">
        <v>0.95118707199999997</v>
      </c>
    </row>
    <row r="36" spans="2:13">
      <c r="B36" s="125" t="s">
        <v>637</v>
      </c>
      <c r="C36" s="894">
        <v>45747</v>
      </c>
      <c r="D36" s="465">
        <v>0.85585145699999998</v>
      </c>
      <c r="F36" s="903" t="s">
        <v>637</v>
      </c>
      <c r="G36" s="894">
        <v>45747</v>
      </c>
      <c r="H36" s="928">
        <v>0.85543950000000002</v>
      </c>
      <c r="J36" s="903" t="s">
        <v>637</v>
      </c>
      <c r="K36" s="894">
        <v>45751</v>
      </c>
      <c r="L36" s="928">
        <v>0.91719768300000004</v>
      </c>
    </row>
    <row r="37" spans="2:13">
      <c r="B37" s="125" t="s">
        <v>655</v>
      </c>
      <c r="C37" s="894">
        <v>46112</v>
      </c>
      <c r="D37" s="465">
        <v>0.79235356700000004</v>
      </c>
      <c r="F37" s="903" t="s">
        <v>655</v>
      </c>
      <c r="G37" s="894">
        <v>46112</v>
      </c>
      <c r="H37" s="928">
        <v>0.79222870000000001</v>
      </c>
      <c r="J37" s="903" t="s">
        <v>655</v>
      </c>
      <c r="K37" s="894">
        <v>46118</v>
      </c>
      <c r="L37" s="928">
        <v>0.888698879</v>
      </c>
    </row>
    <row r="38" spans="2:13">
      <c r="B38" s="125" t="s">
        <v>656</v>
      </c>
      <c r="C38" s="894">
        <v>46477</v>
      </c>
      <c r="D38" s="465">
        <v>0.72987643800000002</v>
      </c>
      <c r="F38" s="903" t="s">
        <v>656</v>
      </c>
      <c r="G38" s="894">
        <v>46477</v>
      </c>
      <c r="H38" s="928">
        <v>0.72975020000000002</v>
      </c>
      <c r="J38" s="903" t="s">
        <v>656</v>
      </c>
      <c r="K38" s="894">
        <v>46482</v>
      </c>
      <c r="L38" s="928">
        <v>0.86212352000000003</v>
      </c>
    </row>
    <row r="39" spans="2:13">
      <c r="B39" s="125" t="s">
        <v>657</v>
      </c>
      <c r="C39" s="894">
        <v>46843</v>
      </c>
      <c r="D39" s="465">
        <v>0.66780551399999999</v>
      </c>
      <c r="F39" s="903" t="s">
        <v>657</v>
      </c>
      <c r="G39" s="894">
        <v>46843</v>
      </c>
      <c r="H39" s="928">
        <v>0.66768899999999998</v>
      </c>
      <c r="J39" s="903" t="s">
        <v>657</v>
      </c>
      <c r="K39" s="894">
        <v>46847</v>
      </c>
      <c r="L39" s="928">
        <v>0.83607659400000001</v>
      </c>
    </row>
    <row r="40" spans="2:13">
      <c r="B40" s="125" t="s">
        <v>658</v>
      </c>
      <c r="C40" s="894">
        <v>47206</v>
      </c>
      <c r="D40" s="465">
        <v>0.60568792999999999</v>
      </c>
      <c r="F40" s="903" t="s">
        <v>658</v>
      </c>
      <c r="G40" s="894">
        <v>47206</v>
      </c>
      <c r="H40" s="928">
        <v>0.60557669999999997</v>
      </c>
      <c r="J40" s="903" t="s">
        <v>658</v>
      </c>
      <c r="K40" s="894">
        <v>47212</v>
      </c>
      <c r="L40" s="928">
        <v>0.81026768800000004</v>
      </c>
    </row>
    <row r="41" spans="2:13">
      <c r="B41" s="125" t="s">
        <v>659</v>
      </c>
      <c r="C41" s="894">
        <v>47571</v>
      </c>
      <c r="D41" s="465">
        <v>0.54612932300000006</v>
      </c>
      <c r="F41" s="903" t="s">
        <v>659</v>
      </c>
      <c r="G41" s="894">
        <v>47571</v>
      </c>
      <c r="H41" s="928">
        <v>0.54602439999999997</v>
      </c>
      <c r="J41" s="903" t="s">
        <v>659</v>
      </c>
      <c r="K41" s="894">
        <v>47577</v>
      </c>
      <c r="L41" s="928">
        <v>0.78501168799999999</v>
      </c>
    </row>
    <row r="42" spans="2:13">
      <c r="B42" s="125" t="s">
        <v>660</v>
      </c>
      <c r="C42" s="894">
        <v>47938</v>
      </c>
      <c r="D42" s="465">
        <v>0.49058402699999998</v>
      </c>
      <c r="F42" s="903" t="s">
        <v>660</v>
      </c>
      <c r="G42" s="894">
        <v>47938</v>
      </c>
      <c r="H42" s="928">
        <v>0.49048560000000002</v>
      </c>
      <c r="J42" s="903" t="s">
        <v>660</v>
      </c>
      <c r="K42" s="894">
        <v>47942</v>
      </c>
      <c r="L42" s="928">
        <v>0.76021046599999997</v>
      </c>
    </row>
    <row r="43" spans="2:13">
      <c r="B43" s="125" t="s">
        <v>661</v>
      </c>
      <c r="C43" s="894">
        <v>48304</v>
      </c>
      <c r="D43" s="465">
        <v>0.439981173</v>
      </c>
      <c r="F43" s="903" t="s">
        <v>661</v>
      </c>
      <c r="G43" s="894">
        <v>48304</v>
      </c>
      <c r="H43" s="928">
        <v>0.43988929999999998</v>
      </c>
      <c r="J43" s="903" t="s">
        <v>661</v>
      </c>
      <c r="K43" s="894">
        <v>48309</v>
      </c>
      <c r="L43" s="928">
        <v>0.73522727300000001</v>
      </c>
    </row>
    <row r="44" spans="2:13">
      <c r="B44" s="125" t="s">
        <v>662</v>
      </c>
      <c r="C44" s="894">
        <v>48669</v>
      </c>
      <c r="D44" s="465">
        <v>0.39577822400000001</v>
      </c>
      <c r="F44" s="933" t="s">
        <v>662</v>
      </c>
      <c r="G44" s="934">
        <v>48669</v>
      </c>
      <c r="H44" s="935">
        <v>0.39569320000000002</v>
      </c>
      <c r="J44" s="903" t="s">
        <v>662</v>
      </c>
      <c r="K44" s="894">
        <v>48673</v>
      </c>
      <c r="L44" s="928">
        <v>0.71099246900000002</v>
      </c>
      <c r="M44" s="439">
        <f>1/L56</f>
        <v>5.6202824753972098E-2</v>
      </c>
    </row>
    <row r="45" spans="2:13">
      <c r="B45" s="125" t="s">
        <v>663</v>
      </c>
      <c r="C45" s="894">
        <v>49398</v>
      </c>
      <c r="D45" s="465">
        <v>0.31771698599999998</v>
      </c>
      <c r="F45" s="903" t="s">
        <v>663</v>
      </c>
      <c r="G45" s="894">
        <v>49398</v>
      </c>
      <c r="H45" s="928">
        <v>0.3176445</v>
      </c>
      <c r="J45" s="903" t="s">
        <v>663</v>
      </c>
      <c r="K45" s="894">
        <v>49403</v>
      </c>
      <c r="L45" s="928">
        <v>0.663886482</v>
      </c>
    </row>
    <row r="46" spans="2:13">
      <c r="B46" s="125" t="s">
        <v>664</v>
      </c>
      <c r="C46" s="894">
        <v>50495</v>
      </c>
      <c r="D46" s="465">
        <v>0.23207609700000001</v>
      </c>
      <c r="F46" s="933" t="s">
        <v>664</v>
      </c>
      <c r="G46" s="934">
        <v>50495</v>
      </c>
      <c r="H46" s="935">
        <v>0.23202039999999999</v>
      </c>
      <c r="J46" s="903" t="s">
        <v>664</v>
      </c>
      <c r="K46" s="894">
        <v>50500</v>
      </c>
      <c r="L46" s="928">
        <v>0.59854510000000005</v>
      </c>
    </row>
    <row r="47" spans="2:13">
      <c r="B47" s="125" t="s">
        <v>665</v>
      </c>
      <c r="C47" s="894">
        <v>52321</v>
      </c>
      <c r="D47" s="465">
        <v>0.14914686399999999</v>
      </c>
      <c r="F47" s="903" t="s">
        <v>665</v>
      </c>
      <c r="G47" s="894">
        <v>52321</v>
      </c>
      <c r="H47" s="928">
        <v>0.14911199999999999</v>
      </c>
      <c r="J47" s="903" t="s">
        <v>665</v>
      </c>
      <c r="K47" s="894">
        <v>52327</v>
      </c>
      <c r="L47" s="928">
        <v>0.50990804499999998</v>
      </c>
    </row>
    <row r="48" spans="2:13">
      <c r="B48" s="125" t="s">
        <v>666</v>
      </c>
      <c r="C48" s="894">
        <v>54148</v>
      </c>
      <c r="D48" s="465">
        <v>0.104645248</v>
      </c>
      <c r="F48" s="903" t="s">
        <v>666</v>
      </c>
      <c r="G48" s="894">
        <v>54148</v>
      </c>
      <c r="H48" s="928">
        <v>0.10462349999999999</v>
      </c>
      <c r="J48" s="903" t="s">
        <v>666</v>
      </c>
      <c r="K48" s="894">
        <v>54154</v>
      </c>
      <c r="L48" s="928">
        <v>0.44646429199999998</v>
      </c>
    </row>
    <row r="49" spans="2:23">
      <c r="B49" s="127" t="s">
        <v>667</v>
      </c>
      <c r="C49" s="895">
        <v>55974</v>
      </c>
      <c r="D49" s="930">
        <v>4.6601701000000002E-2</v>
      </c>
      <c r="F49" s="904" t="s">
        <v>667</v>
      </c>
      <c r="G49" s="905">
        <v>55974</v>
      </c>
      <c r="H49" s="929">
        <v>4.6587700000000003E-2</v>
      </c>
      <c r="J49" s="903" t="s">
        <v>667</v>
      </c>
      <c r="K49" s="894">
        <v>55978</v>
      </c>
      <c r="L49" s="928">
        <v>0.39598382399999998</v>
      </c>
    </row>
    <row r="50" spans="2:23">
      <c r="J50" s="903" t="s">
        <v>704</v>
      </c>
      <c r="K50" s="894">
        <v>59630</v>
      </c>
      <c r="L50" s="928">
        <v>0.331760479</v>
      </c>
    </row>
    <row r="51" spans="2:23">
      <c r="J51" s="904" t="s">
        <v>705</v>
      </c>
      <c r="K51" s="905">
        <v>63283</v>
      </c>
      <c r="L51" s="929">
        <v>0.29387605100000003</v>
      </c>
    </row>
    <row r="52" spans="2:23">
      <c r="D52" s="912"/>
      <c r="F52" s="591" t="s">
        <v>694</v>
      </c>
    </row>
    <row r="53" spans="2:23">
      <c r="F53" s="591" t="s">
        <v>695</v>
      </c>
    </row>
    <row r="54" spans="2:23">
      <c r="B54" s="121" t="s">
        <v>700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701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15" t="s">
        <v>687</v>
      </c>
      <c r="C55" s="916" t="s">
        <v>688</v>
      </c>
      <c r="D55" s="916" t="s">
        <v>691</v>
      </c>
      <c r="E55" s="916" t="s">
        <v>692</v>
      </c>
      <c r="F55" s="916" t="s">
        <v>696</v>
      </c>
      <c r="G55" s="916" t="s">
        <v>693</v>
      </c>
      <c r="H55" s="916" t="s">
        <v>697</v>
      </c>
      <c r="I55" s="916" t="s">
        <v>698</v>
      </c>
      <c r="J55" s="916" t="s">
        <v>699</v>
      </c>
      <c r="K55" s="917" t="s">
        <v>689</v>
      </c>
      <c r="L55" s="919" t="s">
        <v>702</v>
      </c>
      <c r="M55" s="919" t="s">
        <v>703</v>
      </c>
      <c r="N55" s="915" t="s">
        <v>687</v>
      </c>
      <c r="O55" s="916" t="s">
        <v>688</v>
      </c>
      <c r="P55" s="916" t="s">
        <v>691</v>
      </c>
      <c r="Q55" s="916" t="s">
        <v>692</v>
      </c>
      <c r="R55" s="916" t="s">
        <v>696</v>
      </c>
      <c r="S55" s="916" t="s">
        <v>693</v>
      </c>
      <c r="T55" s="916" t="s">
        <v>697</v>
      </c>
      <c r="U55" s="916" t="s">
        <v>698</v>
      </c>
      <c r="V55" s="916" t="s">
        <v>699</v>
      </c>
      <c r="W55" s="917" t="s">
        <v>689</v>
      </c>
    </row>
    <row r="56" spans="2:23">
      <c r="B56" s="911">
        <v>45016</v>
      </c>
      <c r="C56" s="909">
        <v>10000000</v>
      </c>
      <c r="D56" s="722"/>
      <c r="E56" s="722"/>
      <c r="F56" s="722"/>
      <c r="G56" s="722"/>
      <c r="H56" s="722"/>
      <c r="I56" s="722"/>
      <c r="J56" s="722"/>
      <c r="K56" s="909">
        <v>10000000</v>
      </c>
      <c r="L56" s="920">
        <v>17.792700000000011</v>
      </c>
      <c r="M56" s="945">
        <f>L56</f>
        <v>17.792700000000011</v>
      </c>
      <c r="N56" s="931">
        <f>M56-L56</f>
        <v>0</v>
      </c>
      <c r="Q56" s="910"/>
      <c r="R56" s="909"/>
    </row>
    <row r="57" spans="2:23">
      <c r="B57" s="911">
        <v>45107</v>
      </c>
      <c r="C57" s="918"/>
      <c r="D57" s="913">
        <v>7.9449336984840704E-2</v>
      </c>
      <c r="E57" s="910">
        <v>-1.3066301515926599</v>
      </c>
      <c r="F57" s="914">
        <f>D57</f>
        <v>7.9449336984840704E-2</v>
      </c>
      <c r="G57" s="164" t="str" cm="1">
        <f t="array" ref="G57">_xll.d.TestUtils_Equal(D57,F57)</f>
        <v>Ok</v>
      </c>
      <c r="H57" s="909">
        <v>-198079.16892110999</v>
      </c>
      <c r="I57" s="909" cm="1">
        <f t="array" ref="I57">-$C$56*_xll.d.Dates_Act365(B56,B57)*F57</f>
        <v>-198079.1689211097</v>
      </c>
      <c r="J57" s="838" t="str" cm="1">
        <f t="array" ref="J57">_xll.d.TestUtils_Equal(H57,I57)</f>
        <v>Ok</v>
      </c>
      <c r="K57" s="909">
        <v>-198079.16892110999</v>
      </c>
      <c r="L57" s="920">
        <v>17.894870650852098</v>
      </c>
      <c r="M57" s="945" cm="1">
        <f t="array" aca="1" ref="M57" ca="1">$M$56*_xll.d.Curve_GetDiscountFactors($K$16,B57)/_xll.d.Curve_GetDiscountFactors($G$16,B57)</f>
        <v>17.911641208201114</v>
      </c>
      <c r="N57" s="931">
        <f t="shared" ref="N57:N104" ca="1" si="0">M57-L57</f>
        <v>1.6770557349016002E-2</v>
      </c>
      <c r="O57" s="920">
        <f>L57-L56</f>
        <v>0.10217065085208787</v>
      </c>
      <c r="Q57" s="910"/>
      <c r="R57" s="909"/>
    </row>
    <row r="58" spans="2:23">
      <c r="B58" s="911">
        <v>45198</v>
      </c>
      <c r="C58" s="918"/>
      <c r="D58" s="943">
        <v>8.5659143971575508E-2</v>
      </c>
      <c r="E58" s="910">
        <v>-1.3066301515926599</v>
      </c>
      <c r="F58" s="944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9">
        <v>-213561.15346338</v>
      </c>
      <c r="I58" s="909" cm="1">
        <f t="array" aca="1" ref="I58" ca="1">-$C$56*_xll.d.Dates_Act365(B57,B58)*F58</f>
        <v>-213561.15346338015</v>
      </c>
      <c r="J58" s="838" t="str" cm="1">
        <f t="array" aca="1" ref="J58" ca="1">_xll.d.TestUtils_Equal(H58,I58)</f>
        <v>Ok</v>
      </c>
      <c r="K58" s="909">
        <v>-213561.15346338</v>
      </c>
      <c r="L58" s="920">
        <v>18.039530362361127</v>
      </c>
      <c r="M58" s="945" cm="1">
        <f t="array" aca="1" ref="M58" ca="1">$M$56*_xll.d.Curve_GetDiscountFactors($K$16,B58)/_xll.d.Curve_GetDiscountFactors($G$16,B58)</f>
        <v>18.038852538596931</v>
      </c>
      <c r="N58" s="931">
        <f t="shared" ca="1" si="0"/>
        <v>-6.778237641960061E-4</v>
      </c>
      <c r="Q58" s="910"/>
      <c r="R58" s="909"/>
    </row>
    <row r="59" spans="2:23">
      <c r="B59" s="911">
        <v>45289</v>
      </c>
      <c r="C59" s="918"/>
      <c r="D59" s="913">
        <v>8.5957425452982406E-2</v>
      </c>
      <c r="E59" s="910">
        <v>-1.3066301515926599</v>
      </c>
      <c r="F59" s="914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9">
        <v>-214304.814143052</v>
      </c>
      <c r="I59" s="909" cm="1">
        <f t="array" aca="1" ref="I59" ca="1">-$C$56*_xll.d.Dates_Act365(B58,B59)*F59</f>
        <v>-214304.81414305195</v>
      </c>
      <c r="J59" s="838" t="str" cm="1">
        <f t="array" aca="1" ref="J59" ca="1">_xll.d.TestUtils_Equal(H59,I59)</f>
        <v>Ok</v>
      </c>
      <c r="K59" s="909">
        <v>-214304.814143052</v>
      </c>
      <c r="L59" s="920">
        <v>18.203540394045042</v>
      </c>
      <c r="M59" s="945" cm="1">
        <f t="array" aca="1" ref="M59" ca="1">$M$56*_xll.d.Curve_GetDiscountFactors($K$16,B59)/_xll.d.Curve_GetDiscountFactors($G$16,B59)</f>
        <v>18.185580297584739</v>
      </c>
      <c r="N59" s="931">
        <f t="shared" ca="1" si="0"/>
        <v>-1.7960096460303276E-2</v>
      </c>
      <c r="Q59" s="910"/>
      <c r="R59" s="909"/>
    </row>
    <row r="60" spans="2:23">
      <c r="B60" s="911">
        <v>45379</v>
      </c>
      <c r="C60" s="918"/>
      <c r="D60" s="913">
        <v>8.8610687796257609E-2</v>
      </c>
      <c r="E60" s="910">
        <v>-1.3066301515926599</v>
      </c>
      <c r="F60" s="914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9">
        <v>-218492.10689488199</v>
      </c>
      <c r="I60" s="909" cm="1">
        <f t="array" aca="1" ref="I60" ca="1">-$C$56*_xll.d.Dates_Act365(B59,B60)*F60</f>
        <v>-218492.1068948819</v>
      </c>
      <c r="J60" s="838" t="str" cm="1">
        <f t="array" aca="1" ref="J60" ca="1">_xll.d.TestUtils_Equal(H60,I60)</f>
        <v>Ok</v>
      </c>
      <c r="K60" s="909">
        <v>-218492.10689488199</v>
      </c>
      <c r="L60" s="920">
        <v>18.399227340008586</v>
      </c>
      <c r="M60" s="945" cm="1">
        <f t="array" aca="1" ref="M60" ca="1">$M$56*_xll.d.Curve_GetDiscountFactors($K$16,B60)/_xll.d.Curve_GetDiscountFactors($G$16,B60)</f>
        <v>18.345631755457656</v>
      </c>
      <c r="N60" s="931">
        <f t="shared" ca="1" si="0"/>
        <v>-5.3595584550929942E-2</v>
      </c>
      <c r="Q60" s="910"/>
      <c r="R60" s="909"/>
    </row>
    <row r="61" spans="2:23">
      <c r="B61" s="911">
        <v>45471</v>
      </c>
      <c r="C61" s="918"/>
      <c r="D61" s="913">
        <v>8.0897533127980897E-2</v>
      </c>
      <c r="E61" s="910">
        <v>-1.3066301515926599</v>
      </c>
      <c r="F61" s="914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9">
        <v>-203906.11089792501</v>
      </c>
      <c r="I61" s="909" cm="1">
        <f t="array" aca="1" ref="I61" ca="1">-$C$56*_xll.d.Dates_Act365(B60,B61)*F61</f>
        <v>-203906.11089792452</v>
      </c>
      <c r="J61" s="838" t="str" cm="1">
        <f t="array" aca="1" ref="J61" ca="1">_xll.d.TestUtils_Equal(H61,I61)</f>
        <v>Ok</v>
      </c>
      <c r="K61" s="909">
        <v>-203906.11089792501</v>
      </c>
      <c r="L61" s="920">
        <v>18.58389929920898</v>
      </c>
      <c r="M61" s="945" cm="1">
        <f t="array" aca="1" ref="M61" ca="1">$M$56*_xll.d.Curve_GetDiscountFactors($K$16,B61)/_xll.d.Curve_GetDiscountFactors($G$16,B61)</f>
        <v>18.517634351562098</v>
      </c>
      <c r="N61" s="931">
        <f t="shared" ca="1" si="0"/>
        <v>-6.6264947646882177E-2</v>
      </c>
      <c r="Q61" s="910"/>
      <c r="R61" s="909"/>
    </row>
    <row r="62" spans="2:23">
      <c r="B62" s="911">
        <v>45565</v>
      </c>
      <c r="C62" s="918"/>
      <c r="D62" s="913">
        <v>7.271527497035471E-2</v>
      </c>
      <c r="E62" s="910">
        <v>-1.3066301515926599</v>
      </c>
      <c r="F62" s="914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9">
        <v>-187266.735540091</v>
      </c>
      <c r="I62" s="909" cm="1">
        <f t="array" aca="1" ref="I62" ca="1">-$C$56*_xll.d.Dates_Act365(B61,B62)*F62</f>
        <v>-187266.73554009141</v>
      </c>
      <c r="J62" s="838" t="str" cm="1">
        <f t="array" aca="1" ref="J62" ca="1">_xll.d.TestUtils_Equal(H62,I62)</f>
        <v>Ok</v>
      </c>
      <c r="K62" s="909">
        <v>-187266.735540091</v>
      </c>
      <c r="L62" s="920">
        <v>18.751249058697272</v>
      </c>
      <c r="M62" s="945" cm="1">
        <f t="array" aca="1" ref="M62" ca="1">$M$56*_xll.d.Curve_GetDiscountFactors($K$16,B62)/_xll.d.Curve_GetDiscountFactors($G$16,B62)</f>
        <v>18.701706712006381</v>
      </c>
      <c r="N62" s="931">
        <f t="shared" ca="1" si="0"/>
        <v>-4.9542346690891748E-2</v>
      </c>
      <c r="Q62" s="910"/>
      <c r="R62" s="909"/>
    </row>
    <row r="63" spans="2:23">
      <c r="B63" s="911">
        <v>45657</v>
      </c>
      <c r="C63" s="918"/>
      <c r="D63" s="913">
        <v>6.8658062221273602E-2</v>
      </c>
      <c r="E63" s="910">
        <v>-1.3066301515926599</v>
      </c>
      <c r="F63" s="914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9">
        <v>-173055.93765362099</v>
      </c>
      <c r="I63" s="909" cm="1">
        <f t="array" aca="1" ref="I63" ca="1">-$C$56*_xll.d.Dates_Act365(B62,B63)*F63</f>
        <v>-173055.93765362113</v>
      </c>
      <c r="J63" s="838" t="str" cm="1">
        <f t="array" aca="1" ref="J63" ca="1">_xll.d.TestUtils_Equal(H63,I63)</f>
        <v>Ok</v>
      </c>
      <c r="K63" s="909">
        <v>-173055.93765362099</v>
      </c>
      <c r="L63" s="920">
        <v>18.909355370341672</v>
      </c>
      <c r="M63" s="945" cm="1">
        <f t="array" aca="1" ref="M63" ca="1">$M$56*_xll.d.Curve_GetDiscountFactors($K$16,B63)/_xll.d.Curve_GetDiscountFactors($G$16,B63)</f>
        <v>18.890493401102717</v>
      </c>
      <c r="N63" s="931">
        <f t="shared" ca="1" si="0"/>
        <v>-1.8861969238955112E-2</v>
      </c>
      <c r="Q63" s="910"/>
      <c r="R63" s="909"/>
    </row>
    <row r="64" spans="2:23">
      <c r="B64" s="911">
        <v>45747</v>
      </c>
      <c r="C64" s="918"/>
      <c r="D64" s="913">
        <v>6.9032399758861301E-2</v>
      </c>
      <c r="E64" s="910">
        <v>-1.3066301515926599</v>
      </c>
      <c r="F64" s="914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9">
        <v>-170216.87611774</v>
      </c>
      <c r="I64" s="909" cm="1">
        <f t="array" aca="1" ref="I64" ca="1">-$C$56*_xll.d.Dates_Act365(B63,B64)*F64</f>
        <v>-170216.87611773796</v>
      </c>
      <c r="J64" s="838" t="str" cm="1">
        <f t="array" aca="1" ref="J64" ca="1">_xll.d.TestUtils_Equal(H64,I64)</f>
        <v>Ok</v>
      </c>
      <c r="K64" s="909">
        <v>-170216.87611774</v>
      </c>
      <c r="L64" s="920">
        <v>19.074880531430914</v>
      </c>
      <c r="M64" s="945" cm="1">
        <f t="array" aca="1" ref="M64" ca="1">$M$56*_xll.d.Curve_GetDiscountFactors($K$16,B64)/_xll.d.Curve_GetDiscountFactors($G$16,B64)</f>
        <v>19.084066488543119</v>
      </c>
      <c r="N64" s="931">
        <f t="shared" ca="1" si="0"/>
        <v>9.1859571122050454E-3</v>
      </c>
      <c r="Q64" s="910"/>
      <c r="R64" s="909"/>
    </row>
    <row r="65" spans="2:18">
      <c r="B65" s="911">
        <v>45838</v>
      </c>
      <c r="C65" s="918"/>
      <c r="D65" s="913">
        <v>7.3022999924023294E-2</v>
      </c>
      <c r="E65" s="910">
        <v>-1.3066301515926599</v>
      </c>
      <c r="F65" s="914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9">
        <v>-182057.342276332</v>
      </c>
      <c r="I65" s="909" cm="1">
        <f t="array" aca="1" ref="I65" ca="1">-$C$56*_xll.d.Dates_Act365(B64,B65)*F65</f>
        <v>-182057.34227633211</v>
      </c>
      <c r="J65" s="838" t="str" cm="1">
        <f t="array" aca="1" ref="J65" ca="1">_xll.d.TestUtils_Equal(H65,I65)</f>
        <v>Ok</v>
      </c>
      <c r="K65" s="909">
        <v>-182057.342276332</v>
      </c>
      <c r="L65" s="920">
        <v>19.267098857294766</v>
      </c>
      <c r="M65" s="945" cm="1">
        <f t="array" aca="1" ref="M65" ca="1">$M$56*_xll.d.Curve_GetDiscountFactors($K$16,B65)/_xll.d.Curve_GetDiscountFactors($G$16,B65)</f>
        <v>19.289380253939051</v>
      </c>
      <c r="N65" s="931">
        <f t="shared" ca="1" si="0"/>
        <v>2.2281396644284968E-2</v>
      </c>
      <c r="Q65" s="910"/>
      <c r="R65" s="909"/>
    </row>
    <row r="66" spans="2:18">
      <c r="B66" s="911">
        <v>45930</v>
      </c>
      <c r="C66" s="918"/>
      <c r="D66" s="913">
        <v>7.6935608029885805E-2</v>
      </c>
      <c r="E66" s="910">
        <v>-1.3066301515926599</v>
      </c>
      <c r="F66" s="914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9">
        <v>-193919.88873286301</v>
      </c>
      <c r="I66" s="909" cm="1">
        <f t="array" aca="1" ref="I66" ca="1">-$C$56*_xll.d.Dates_Act365(B65,B66)*F66</f>
        <v>-193919.88873286298</v>
      </c>
      <c r="J66" s="838" t="str" cm="1">
        <f t="array" aca="1" ref="J66" ca="1">_xll.d.TestUtils_Equal(H66,I66)</f>
        <v>Ok</v>
      </c>
      <c r="K66" s="909">
        <v>-193919.88873286301</v>
      </c>
      <c r="L66" s="920">
        <v>19.485576679626359</v>
      </c>
      <c r="M66" s="945" cm="1">
        <f t="array" aca="1" ref="M66" ca="1">$M$56*_xll.d.Curve_GetDiscountFactors($K$16,B66)/_xll.d.Curve_GetDiscountFactors($G$16,B66)</f>
        <v>19.507099658341769</v>
      </c>
      <c r="N66" s="931">
        <f t="shared" ca="1" si="0"/>
        <v>2.152297871541009E-2</v>
      </c>
      <c r="Q66" s="910"/>
      <c r="R66" s="909"/>
    </row>
    <row r="67" spans="2:18">
      <c r="B67" s="911">
        <v>46022</v>
      </c>
      <c r="C67" s="918"/>
      <c r="D67" s="913">
        <v>7.9704697604764507E-2</v>
      </c>
      <c r="E67" s="910">
        <v>-1.3066301515926599</v>
      </c>
      <c r="F67" s="914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9">
        <v>-200899.511770913</v>
      </c>
      <c r="I67" s="909" cm="1">
        <f t="array" aca="1" ref="I67" ca="1">-$C$56*_xll.d.Dates_Act365(B66,B67)*F67</f>
        <v>-200899.5117709089</v>
      </c>
      <c r="J67" s="838" t="str" cm="1">
        <f t="array" aca="1" ref="J67" ca="1">_xll.d.TestUtils_Equal(H67,I67)</f>
        <v>Ok</v>
      </c>
      <c r="K67" s="909">
        <v>-200899.511770913</v>
      </c>
      <c r="L67" s="920">
        <v>19.722612154705182</v>
      </c>
      <c r="M67" s="945" cm="1">
        <f t="array" aca="1" ref="M67" ca="1">$M$56*_xll.d.Curve_GetDiscountFactors($K$16,B67)/_xll.d.Curve_GetDiscountFactors($G$16,B67)</f>
        <v>19.735394531252524</v>
      </c>
      <c r="N67" s="931">
        <f t="shared" ca="1" si="0"/>
        <v>1.2782376547342267E-2</v>
      </c>
      <c r="Q67" s="910"/>
      <c r="R67" s="909"/>
    </row>
    <row r="68" spans="2:18">
      <c r="B68" s="911">
        <v>46112</v>
      </c>
      <c r="C68" s="918"/>
      <c r="D68" s="913">
        <v>8.1190332260036413E-2</v>
      </c>
      <c r="E68" s="910">
        <v>-1.3066301515926599</v>
      </c>
      <c r="F68" s="914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9">
        <v>-200195.339819268</v>
      </c>
      <c r="I68" s="909" cm="1">
        <f t="array" aca="1" ref="I68" ca="1">-$C$56*_xll.d.Dates_Act365(B67,B68)*F68</f>
        <v>-200195.3398192701</v>
      </c>
      <c r="J68" s="838" t="str" cm="1">
        <f t="array" aca="1" ref="J68" ca="1">_xll.d.TestUtils_Equal(H68,I68)</f>
        <v>Ok</v>
      </c>
      <c r="K68" s="909">
        <v>-200195.339819268</v>
      </c>
      <c r="L68" s="920">
        <v>19.966227236057911</v>
      </c>
      <c r="M68" s="945" cm="1">
        <f t="array" aca="1" ref="M68" ca="1">$M$56*_xll.d.Curve_GetDiscountFactors($K$16,B68)/_xll.d.Curve_GetDiscountFactors($G$16,B68)</f>
        <v>19.969374209774315</v>
      </c>
      <c r="N68" s="931">
        <f t="shared" ca="1" si="0"/>
        <v>3.1469737164044886E-3</v>
      </c>
      <c r="Q68" s="910"/>
      <c r="R68" s="909"/>
    </row>
    <row r="69" spans="2:18">
      <c r="B69" s="911">
        <v>46203</v>
      </c>
      <c r="C69" s="918"/>
      <c r="D69" s="913">
        <v>8.1659487453250398E-2</v>
      </c>
      <c r="E69" s="910">
        <v>-1.3066301515926599</v>
      </c>
      <c r="F69" s="914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9">
        <v>-203589.40707522701</v>
      </c>
      <c r="I69" s="909" cm="1">
        <f t="array" aca="1" ref="I69" ca="1">-$C$56*_xll.d.Dates_Act365(B68,B69)*F69</f>
        <v>-203589.40707522692</v>
      </c>
      <c r="J69" s="838" t="str" cm="1">
        <f t="array" aca="1" ref="J69" ca="1">_xll.d.TestUtils_Equal(H69,I69)</f>
        <v>Ok</v>
      </c>
      <c r="K69" s="909">
        <v>-203589.40707522701</v>
      </c>
      <c r="L69" s="920">
        <v>20.218802795100956</v>
      </c>
      <c r="M69" s="945" cm="1">
        <f t="array" aca="1" ref="M69" ca="1">$M$56*_xll.d.Curve_GetDiscountFactors($K$16,B69)/_xll.d.Curve_GetDiscountFactors($G$16,B69)</f>
        <v>20.217016497717818</v>
      </c>
      <c r="N69" s="931">
        <f t="shared" ca="1" si="0"/>
        <v>-1.786297383137736E-3</v>
      </c>
      <c r="Q69" s="910"/>
      <c r="R69" s="909"/>
    </row>
    <row r="70" spans="2:18">
      <c r="B70" s="911">
        <v>46295</v>
      </c>
      <c r="C70" s="918"/>
      <c r="D70" s="913">
        <v>8.2205137998336897E-2</v>
      </c>
      <c r="E70" s="910">
        <v>-1.3066301515926599</v>
      </c>
      <c r="F70" s="914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9">
        <v>-207201.991667041</v>
      </c>
      <c r="I70" s="909" cm="1">
        <f t="array" aca="1" ref="I70" ca="1">-$C$56*_xll.d.Dates_Act365(B69,B70)*F70</f>
        <v>-207201.99166704307</v>
      </c>
      <c r="J70" s="838" t="str" cm="1">
        <f t="array" aca="1" ref="J70" ca="1">_xll.d.TestUtils_Equal(H70,I70)</f>
        <v>Ok</v>
      </c>
      <c r="K70" s="909">
        <v>-207201.991667041</v>
      </c>
      <c r="L70" s="920">
        <v>20.480656329084113</v>
      </c>
      <c r="M70" s="945" cm="1">
        <f t="array" aca="1" ref="M70" ca="1">$M$56*_xll.d.Curve_GetDiscountFactors($K$16,B70)/_xll.d.Curve_GetDiscountFactors($G$16,B70)</f>
        <v>20.478651005478703</v>
      </c>
      <c r="N70" s="931">
        <f t="shared" ca="1" si="0"/>
        <v>-2.0053236054096146E-3</v>
      </c>
      <c r="Q70" s="910"/>
      <c r="R70" s="909"/>
    </row>
    <row r="71" spans="2:18">
      <c r="B71" s="911">
        <v>46387</v>
      </c>
      <c r="C71" s="918"/>
      <c r="D71" s="913">
        <v>8.3128411196496596E-2</v>
      </c>
      <c r="E71" s="910">
        <v>-1.3066301515926599</v>
      </c>
      <c r="F71" s="914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9">
        <v>-209529.14602952599</v>
      </c>
      <c r="I71" s="909" cm="1">
        <f t="array" aca="1" ref="I71" ca="1">-$C$56*_xll.d.Dates_Act365(B70,B71)*F71</f>
        <v>-209529.1460295234</v>
      </c>
      <c r="J71" s="838" t="str" cm="1">
        <f t="array" aca="1" ref="J71" ca="1">_xll.d.TestUtils_Equal(H71,I71)</f>
        <v>Ok</v>
      </c>
      <c r="K71" s="909">
        <v>-209529.14602952599</v>
      </c>
      <c r="L71" s="920">
        <v>20.750881501400027</v>
      </c>
      <c r="M71" s="945" cm="1">
        <f t="array" aca="1" ref="M71" ca="1">$M$56*_xll.d.Curve_GetDiscountFactors($K$16,B71)/_xll.d.Curve_GetDiscountFactors($G$16,B71)</f>
        <v>20.751465664787908</v>
      </c>
      <c r="N71" s="931">
        <f t="shared" ca="1" si="0"/>
        <v>5.8416338788092048E-4</v>
      </c>
      <c r="Q71" s="910"/>
      <c r="R71" s="909"/>
    </row>
    <row r="72" spans="2:18">
      <c r="B72" s="911">
        <v>46477</v>
      </c>
      <c r="C72" s="918"/>
      <c r="D72" s="913">
        <v>8.4432021788474504E-2</v>
      </c>
      <c r="E72" s="910">
        <v>-1.3066301515926599</v>
      </c>
      <c r="F72" s="914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9">
        <v>-208188.54687568999</v>
      </c>
      <c r="I72" s="909" cm="1">
        <f t="array" aca="1" ref="I72" ca="1">-$C$56*_xll.d.Dates_Act365(B71,B72)*F72</f>
        <v>-208188.54687569046</v>
      </c>
      <c r="J72" s="838" t="str" cm="1">
        <f t="array" aca="1" ref="J72" ca="1">_xll.d.TestUtils_Equal(H72,I72)</f>
        <v>Ok</v>
      </c>
      <c r="K72" s="909">
        <v>-208188.54687568999</v>
      </c>
      <c r="L72" s="920">
        <v>21.025341056899961</v>
      </c>
      <c r="M72" s="945" cm="1">
        <f t="array" aca="1" ref="M72" ca="1">$M$56*_xll.d.Curve_GetDiscountFactors($K$16,B72)/_xll.d.Curve_GetDiscountFactors($G$16,B72)</f>
        <v>21.028978187803613</v>
      </c>
      <c r="N72" s="931">
        <f t="shared" ca="1" si="0"/>
        <v>3.6371309036518085E-3</v>
      </c>
      <c r="Q72" s="910"/>
      <c r="R72" s="909"/>
    </row>
    <row r="73" spans="2:18">
      <c r="B73" s="911">
        <v>46568</v>
      </c>
      <c r="C73" s="918"/>
      <c r="D73" s="913">
        <v>8.6160459395043298E-2</v>
      </c>
      <c r="E73" s="910">
        <v>-1.3066301515926599</v>
      </c>
      <c r="F73" s="914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9">
        <v>-214811.00835476501</v>
      </c>
      <c r="I73" s="909" cm="1">
        <f t="array" aca="1" ref="I73" ca="1">-$C$56*_xll.d.Dates_Act365(B72,B73)*F73</f>
        <v>-214811.00835476545</v>
      </c>
      <c r="J73" s="838" t="str" cm="1">
        <f t="array" aca="1" ref="J73" ca="1">_xll.d.TestUtils_Equal(H73,I73)</f>
        <v>Ok</v>
      </c>
      <c r="K73" s="909">
        <v>-214811.00835476501</v>
      </c>
      <c r="L73" s="920">
        <v>21.315127138378759</v>
      </c>
      <c r="M73" s="945" cm="1">
        <f t="array" aca="1" ref="M73" ca="1">$M$56*_xll.d.Curve_GetDiscountFactors($K$16,B73)/_xll.d.Curve_GetDiscountFactors($G$16,B73)</f>
        <v>21.32039849132174</v>
      </c>
      <c r="N73" s="931">
        <f t="shared" ca="1" si="0"/>
        <v>5.2713529429802009E-3</v>
      </c>
      <c r="Q73" s="910"/>
      <c r="R73" s="909"/>
    </row>
    <row r="74" spans="2:18">
      <c r="B74" s="911">
        <v>46660</v>
      </c>
      <c r="C74" s="918"/>
      <c r="D74" s="913">
        <v>8.8198809336336906E-2</v>
      </c>
      <c r="E74" s="910">
        <v>-1.3066301515926599</v>
      </c>
      <c r="F74" s="914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9">
        <v>-222309.327642274</v>
      </c>
      <c r="I74" s="909" cm="1">
        <f t="array" aca="1" ref="I74" ca="1">-$C$56*_xll.d.Dates_Act365(B73,B74)*F74</f>
        <v>-222309.32764227162</v>
      </c>
      <c r="J74" s="838" t="str" cm="1">
        <f t="array" aca="1" ref="J74" ca="1">_xll.d.TestUtils_Equal(H74,I74)</f>
        <v>Ok</v>
      </c>
      <c r="K74" s="909">
        <v>-222309.327642274</v>
      </c>
      <c r="L74" s="920">
        <v>21.622381323228868</v>
      </c>
      <c r="M74" s="945" cm="1">
        <f t="array" aca="1" ref="M74" ca="1">$M$56*_xll.d.Curve_GetDiscountFactors($K$16,B74)/_xll.d.Curve_GetDiscountFactors($G$16,B74)</f>
        <v>21.627826936473884</v>
      </c>
      <c r="N74" s="931">
        <f t="shared" ca="1" si="0"/>
        <v>5.4456132450155792E-3</v>
      </c>
      <c r="Q74" s="910"/>
      <c r="R74" s="909"/>
    </row>
    <row r="75" spans="2:18">
      <c r="B75" s="911">
        <v>46752</v>
      </c>
      <c r="C75" s="918"/>
      <c r="D75" s="913">
        <v>9.0518256454501497E-2</v>
      </c>
      <c r="E75" s="910">
        <v>-1.3066301515926599</v>
      </c>
      <c r="F75" s="914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9">
        <v>-228155.605309976</v>
      </c>
      <c r="I75" s="909" cm="1">
        <f t="array" aca="1" ref="I75" ca="1">-$C$56*_xll.d.Dates_Act365(B74,B75)*F75</f>
        <v>-228155.60530997644</v>
      </c>
      <c r="J75" s="838" t="str" cm="1">
        <f t="array" aca="1" ref="J75" ca="1">_xll.d.TestUtils_Equal(H75,I75)</f>
        <v>Ok</v>
      </c>
      <c r="K75" s="909">
        <v>-228155.605309976</v>
      </c>
      <c r="L75" s="920">
        <v>21.94580038898755</v>
      </c>
      <c r="M75" s="945" cm="1">
        <f t="array" aca="1" ref="M75" ca="1">$M$56*_xll.d.Curve_GetDiscountFactors($K$16,B75)/_xll.d.Curve_GetDiscountFactors($G$16,B75)</f>
        <v>21.950545229964025</v>
      </c>
      <c r="N75" s="931">
        <f t="shared" ca="1" si="0"/>
        <v>4.7448409764747623E-3</v>
      </c>
      <c r="Q75" s="910"/>
      <c r="R75" s="909"/>
    </row>
    <row r="76" spans="2:18">
      <c r="B76" s="911">
        <v>46843</v>
      </c>
      <c r="C76" s="918"/>
      <c r="D76" s="913">
        <v>9.3116168113874298E-2</v>
      </c>
      <c r="E76" s="910">
        <v>-1.3066301515926599</v>
      </c>
      <c r="F76" s="914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9">
        <v>-232152.63831130299</v>
      </c>
      <c r="I76" s="909" cm="1">
        <f t="array" aca="1" ref="I76" ca="1">-$C$56*_xll.d.Dates_Act365(B75,B76)*F76</f>
        <v>-232152.63831130532</v>
      </c>
      <c r="J76" s="838" t="str" cm="1">
        <f t="array" aca="1" ref="J76" ca="1">_xll.d.TestUtils_Equal(H76,I76)</f>
        <v>Ok</v>
      </c>
      <c r="K76" s="909">
        <v>-232152.63831130299</v>
      </c>
      <c r="L76" s="940">
        <v>22.283609961634713</v>
      </c>
      <c r="M76" s="945" cm="1">
        <f t="array" aca="1" ref="M76" ca="1">$M$56*_xll.d.Curve_GetDiscountFactors($K$16,B76)/_xll.d.Curve_GetDiscountFactors($G$16,B76)</f>
        <v>22.287498527315883</v>
      </c>
      <c r="N76" s="931">
        <f t="shared" ca="1" si="0"/>
        <v>3.8885656811693536E-3</v>
      </c>
      <c r="Q76" s="910"/>
      <c r="R76" s="909"/>
    </row>
    <row r="77" spans="2:18">
      <c r="B77" s="911">
        <v>46934</v>
      </c>
      <c r="C77" s="918"/>
      <c r="D77" s="913">
        <v>9.5916829839174406E-2</v>
      </c>
      <c r="E77" s="910">
        <v>-1.3066301515926599</v>
      </c>
      <c r="F77" s="914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9">
        <v>-239135.11000999599</v>
      </c>
      <c r="I77" s="909" cm="1">
        <f t="array" aca="1" ref="I77" ca="1">-$C$56*_xll.d.Dates_Act365(B76,B77)*F77</f>
        <v>-239135.11000999637</v>
      </c>
      <c r="J77" s="838" t="str" cm="1">
        <f t="array" aca="1" ref="J77" ca="1">_xll.d.TestUtils_Equal(H77,I77)</f>
        <v>Ok</v>
      </c>
      <c r="K77" s="909">
        <v>-239135.11000999599</v>
      </c>
      <c r="L77" s="910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31">
        <f t="shared" ca="1" si="0"/>
        <v>3.4996604978161372E-3</v>
      </c>
      <c r="Q77" s="910"/>
      <c r="R77" s="909"/>
    </row>
    <row r="78" spans="2:18">
      <c r="B78" s="911">
        <v>47025</v>
      </c>
      <c r="C78" s="918"/>
      <c r="D78" s="913">
        <v>9.84430222561231E-2</v>
      </c>
      <c r="E78" s="910">
        <v>-1.3066301515926599</v>
      </c>
      <c r="F78" s="914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9">
        <v>-245433.28836458101</v>
      </c>
      <c r="I78" s="909" cm="1">
        <f t="array" aca="1" ref="I78" ca="1">-$C$56*_xll.d.Dates_Act365(B77,B78)*F78</f>
        <v>-245433.28836458092</v>
      </c>
      <c r="J78" s="838" t="str" cm="1">
        <f t="array" aca="1" ref="J78" ca="1">_xll.d.TestUtils_Equal(H78,I78)</f>
        <v>Ok</v>
      </c>
      <c r="K78" s="909">
        <v>-245433.28836458101</v>
      </c>
      <c r="L78" s="910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31">
        <f t="shared" ca="1" si="0"/>
        <v>3.5818258724233942E-3</v>
      </c>
      <c r="Q78" s="910"/>
      <c r="R78" s="909"/>
    </row>
    <row r="79" spans="2:18">
      <c r="B79" s="911">
        <v>47116</v>
      </c>
      <c r="C79" s="918"/>
      <c r="D79" s="913">
        <v>0.100536132711461</v>
      </c>
      <c r="E79" s="910">
        <v>-1.3066301515926599</v>
      </c>
      <c r="F79" s="914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9">
        <v>-250651.72812994299</v>
      </c>
      <c r="I79" s="909" cm="1">
        <f t="array" aca="1" ref="I79" ca="1">-$C$56*_xll.d.Dates_Act365(B78,B79)*F79</f>
        <v>-250651.72812994523</v>
      </c>
      <c r="J79" s="838" t="str" cm="1">
        <f t="array" aca="1" ref="J79" ca="1">_xll.d.TestUtils_Equal(H79,I79)</f>
        <v>Ok</v>
      </c>
      <c r="K79" s="909">
        <v>-250651.72812994299</v>
      </c>
      <c r="L79" s="910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31">
        <f t="shared" ca="1" si="0"/>
        <v>3.9485297799117802E-3</v>
      </c>
      <c r="Q79" s="910"/>
      <c r="R79" s="909"/>
    </row>
    <row r="80" spans="2:18">
      <c r="B80" s="911">
        <v>47206</v>
      </c>
      <c r="C80" s="918"/>
      <c r="D80" s="913">
        <v>0.102126538084113</v>
      </c>
      <c r="E80" s="910">
        <v>-1.3066301515926599</v>
      </c>
      <c r="F80" s="914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9">
        <v>-251818.861029319</v>
      </c>
      <c r="I80" s="909" cm="1">
        <f t="array" aca="1" ref="I80" ca="1">-$C$56*_xll.d.Dates_Act365(B79,B80)*F80</f>
        <v>-251818.8610293192</v>
      </c>
      <c r="J80" s="838" t="str" cm="1">
        <f t="array" aca="1" ref="J80" ca="1">_xll.d.TestUtils_Equal(H80,I80)</f>
        <v>Ok</v>
      </c>
      <c r="K80" s="909">
        <v>-251818.861029319</v>
      </c>
      <c r="L80" s="910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31">
        <f t="shared" ca="1" si="0"/>
        <v>4.3742097595576013E-3</v>
      </c>
      <c r="Q80" s="910"/>
      <c r="R80" s="909"/>
    </row>
    <row r="81" spans="2:18">
      <c r="B81" s="911">
        <v>47298</v>
      </c>
      <c r="C81" s="918"/>
      <c r="D81" s="913">
        <v>0.103319112272896</v>
      </c>
      <c r="E81" s="910">
        <v>-1.3066301515926599</v>
      </c>
      <c r="F81" s="914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9">
        <v>-260420.77613990201</v>
      </c>
      <c r="I81" s="909" cm="1">
        <f t="array" aca="1" ref="I81" ca="1">-$C$56*_xll.d.Dates_Act365(B80,B81)*F81</f>
        <v>-260420.77613990463</v>
      </c>
      <c r="J81" s="838" t="str" cm="1">
        <f t="array" aca="1" ref="J81" ca="1">_xll.d.TestUtils_Equal(H81,I81)</f>
        <v>Ok</v>
      </c>
      <c r="K81" s="909">
        <v>-260420.77613990201</v>
      </c>
      <c r="L81" s="910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31">
        <f t="shared" ca="1" si="0"/>
        <v>4.6675067051005215E-3</v>
      </c>
      <c r="Q81" s="910"/>
      <c r="R81" s="909"/>
    </row>
    <row r="82" spans="2:18">
      <c r="B82" s="911">
        <v>47389</v>
      </c>
      <c r="C82" s="918"/>
      <c r="D82" s="913">
        <v>0.10431805179244799</v>
      </c>
      <c r="E82" s="910">
        <v>-1.3066301515926599</v>
      </c>
      <c r="F82" s="914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9">
        <v>-260080.62227706201</v>
      </c>
      <c r="I82" s="909" cm="1">
        <f t="array" aca="1" ref="I82" ca="1">-$C$56*_xll.d.Dates_Act365(B81,B82)*F82</f>
        <v>-260080.62227706178</v>
      </c>
      <c r="J82" s="838" t="str" cm="1">
        <f t="array" aca="1" ref="J82" ca="1">_xll.d.TestUtils_Equal(H82,I82)</f>
        <v>Ok</v>
      </c>
      <c r="K82" s="909">
        <v>-260080.62227706201</v>
      </c>
      <c r="L82" s="910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31">
        <f t="shared" ca="1" si="0"/>
        <v>4.8130273148672131E-3</v>
      </c>
      <c r="Q82" s="910"/>
      <c r="R82" s="909"/>
    </row>
    <row r="83" spans="2:18">
      <c r="B83" s="911">
        <v>47483</v>
      </c>
      <c r="C83" s="918"/>
      <c r="D83" s="913">
        <v>0.105296972766981</v>
      </c>
      <c r="E83" s="910">
        <v>-1.3066301515926599</v>
      </c>
      <c r="F83" s="914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9">
        <v>-271175.76548208902</v>
      </c>
      <c r="I83" s="909" cm="1">
        <f t="array" aca="1" ref="I83" ca="1">-$C$56*_xll.d.Dates_Act365(B82,B83)*F83</f>
        <v>-271175.76548208675</v>
      </c>
      <c r="J83" s="838" t="str" cm="1">
        <f t="array" aca="1" ref="J83" ca="1">_xll.d.TestUtils_Equal(H83,I83)</f>
        <v>Ok</v>
      </c>
      <c r="K83" s="909">
        <v>-271175.76548208902</v>
      </c>
      <c r="L83" s="910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31">
        <f t="shared" ca="1" si="0"/>
        <v>4.8742048396803739E-3</v>
      </c>
      <c r="Q83" s="910"/>
      <c r="R83" s="909"/>
    </row>
    <row r="84" spans="2:18">
      <c r="B84" s="911">
        <v>47571</v>
      </c>
      <c r="C84" s="918"/>
      <c r="D84" s="913">
        <v>0.10602518720704801</v>
      </c>
      <c r="E84" s="910">
        <v>-1.3066301515926599</v>
      </c>
      <c r="F84" s="914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9">
        <v>-255622.36915671799</v>
      </c>
      <c r="I84" s="909" cm="1">
        <f t="array" aca="1" ref="I84" ca="1">-$C$56*_xll.d.Dates_Act365(B83,B84)*F84</f>
        <v>-255622.3691567182</v>
      </c>
      <c r="J84" s="838" t="str" cm="1">
        <f t="array" aca="1" ref="J84" ca="1">_xll.d.TestUtils_Equal(H84,I84)</f>
        <v>Ok</v>
      </c>
      <c r="K84" s="909">
        <v>-255622.36915671799</v>
      </c>
      <c r="L84" s="910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31">
        <f t="shared" ca="1" si="0"/>
        <v>4.9170871893977619E-3</v>
      </c>
      <c r="Q84" s="910"/>
      <c r="R84" s="909"/>
    </row>
    <row r="85" spans="2:18">
      <c r="B85" s="911">
        <v>47662</v>
      </c>
      <c r="C85" s="918"/>
      <c r="D85" s="913">
        <v>0.10679415523651499</v>
      </c>
      <c r="E85" s="910">
        <v>-1.3066301515926599</v>
      </c>
      <c r="F85" s="914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9">
        <v>-266253.92127460003</v>
      </c>
      <c r="I85" s="909" cm="1">
        <f t="array" aca="1" ref="I85" ca="1">-$C$56*_xll.d.Dates_Act365(B84,B85)*F85</f>
        <v>-266253.92127460008</v>
      </c>
      <c r="J85" s="838" t="str" cm="1">
        <f t="array" aca="1" ref="J85" ca="1">_xll.d.TestUtils_Equal(H85,I85)</f>
        <v>Ok</v>
      </c>
      <c r="K85" s="909">
        <v>-266253.92127460003</v>
      </c>
      <c r="L85" s="910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31">
        <f t="shared" ca="1" si="0"/>
        <v>5.0110332635995292E-3</v>
      </c>
      <c r="Q85" s="910"/>
      <c r="R85" s="909"/>
    </row>
    <row r="86" spans="2:18">
      <c r="B86" s="911">
        <v>47756</v>
      </c>
      <c r="C86" s="918"/>
      <c r="D86" s="913">
        <v>0.10760383124936</v>
      </c>
      <c r="E86" s="910">
        <v>-1.3066301515926599</v>
      </c>
      <c r="F86" s="914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9">
        <v>-277116.716094242</v>
      </c>
      <c r="I86" s="909" cm="1">
        <f t="array" aca="1" ref="I86" ca="1">-$C$56*_xll.d.Dates_Act365(B85,B86)*F86</f>
        <v>-277116.71609424223</v>
      </c>
      <c r="J86" s="838" t="str" cm="1">
        <f t="array" aca="1" ref="J86" ca="1">_xll.d.TestUtils_Equal(H86,I86)</f>
        <v>Ok</v>
      </c>
      <c r="K86" s="909">
        <v>-277116.716094242</v>
      </c>
      <c r="L86" s="910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31">
        <f t="shared" ca="1" si="0"/>
        <v>5.1623194309904363E-3</v>
      </c>
      <c r="Q86" s="910"/>
      <c r="R86" s="909"/>
    </row>
    <row r="87" spans="2:18">
      <c r="B87" s="911">
        <v>47848</v>
      </c>
      <c r="C87" s="918"/>
      <c r="D87" s="913">
        <v>0.108382976383149</v>
      </c>
      <c r="E87" s="910">
        <v>-1.3066301515926599</v>
      </c>
      <c r="F87" s="914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9">
        <v>-273184.48841780098</v>
      </c>
      <c r="I87" s="909" cm="1">
        <f t="array" aca="1" ref="I87" ca="1">-$C$56*_xll.d.Dates_Act365(B86,B87)*F87</f>
        <v>-273184.48841780139</v>
      </c>
      <c r="J87" s="838" t="str" cm="1">
        <f t="array" aca="1" ref="J87" ca="1">_xll.d.TestUtils_Equal(H87,I87)</f>
        <v>Ok</v>
      </c>
      <c r="K87" s="909">
        <v>-273184.48841780098</v>
      </c>
      <c r="L87" s="910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31">
        <f t="shared" ca="1" si="0"/>
        <v>5.3449561411333946E-3</v>
      </c>
      <c r="Q87" s="910"/>
      <c r="R87" s="909"/>
    </row>
    <row r="88" spans="2:18">
      <c r="B88" s="911">
        <v>47938</v>
      </c>
      <c r="C88" s="918"/>
      <c r="D88" s="913">
        <v>0.10919045348551699</v>
      </c>
      <c r="E88" s="910">
        <v>-1.3066301515926599</v>
      </c>
      <c r="F88" s="914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9">
        <v>-269236.73462182202</v>
      </c>
      <c r="I88" s="909" cm="1">
        <f t="array" aca="1" ref="I88" ca="1">-$C$56*_xll.d.Dates_Act365(B87,B88)*F88</f>
        <v>-269236.73462182155</v>
      </c>
      <c r="J88" s="838" t="str" cm="1">
        <f t="array" aca="1" ref="J88" ca="1">_xll.d.TestUtils_Equal(H88,I88)</f>
        <v>Ok</v>
      </c>
      <c r="K88" s="909">
        <v>-269236.73462182202</v>
      </c>
      <c r="L88" s="910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31">
        <f t="shared" ca="1" si="0"/>
        <v>5.5348488250288597E-3</v>
      </c>
      <c r="Q88" s="910"/>
      <c r="R88" s="909"/>
    </row>
    <row r="89" spans="2:18">
      <c r="B89" s="911">
        <v>48029</v>
      </c>
      <c r="C89" s="918"/>
      <c r="D89" s="913">
        <v>0.10999728380375601</v>
      </c>
      <c r="E89" s="910">
        <v>-1.3066301515926599</v>
      </c>
      <c r="F89" s="914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9">
        <v>-274239.803455938</v>
      </c>
      <c r="I89" s="909" cm="1">
        <f t="array" aca="1" ref="I89" ca="1">-$C$56*_xll.d.Dates_Act365(B88,B89)*F89</f>
        <v>-274239.8034559362</v>
      </c>
      <c r="J89" s="838" t="str" cm="1">
        <f t="array" aca="1" ref="J89" ca="1">_xll.d.TestUtils_Equal(H89,I89)</f>
        <v>Ok</v>
      </c>
      <c r="K89" s="909">
        <v>-274239.803455938</v>
      </c>
      <c r="L89" s="910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31">
        <f t="shared" ca="1" si="0"/>
        <v>5.717354758196791E-3</v>
      </c>
      <c r="Q89" s="910"/>
      <c r="R89" s="909"/>
    </row>
    <row r="90" spans="2:18">
      <c r="B90" s="911">
        <v>48121</v>
      </c>
      <c r="C90" s="918"/>
      <c r="D90" s="913">
        <v>0.11036981957537</v>
      </c>
      <c r="E90" s="910">
        <v>-1.3066301515926599</v>
      </c>
      <c r="F90" s="914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9">
        <v>-278192.42194339901</v>
      </c>
      <c r="I90" s="909" cm="1">
        <f t="array" aca="1" ref="I90" ca="1">-$C$56*_xll.d.Dates_Act365(B89,B90)*F90</f>
        <v>-278192.42194340396</v>
      </c>
      <c r="J90" s="838" t="str" cm="1">
        <f t="array" aca="1" ref="J90" ca="1">_xll.d.TestUtils_Equal(H90,I90)</f>
        <v>Ok</v>
      </c>
      <c r="K90" s="909">
        <v>-278192.42194339901</v>
      </c>
      <c r="L90" s="910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31">
        <f t="shared" ca="1" si="0"/>
        <v>5.88998238623617E-3</v>
      </c>
      <c r="Q90" s="910"/>
      <c r="R90" s="909"/>
    </row>
    <row r="91" spans="2:18">
      <c r="B91" s="911">
        <v>48213</v>
      </c>
      <c r="C91" s="918"/>
      <c r="D91" s="913">
        <v>0.110127577694814</v>
      </c>
      <c r="E91" s="910">
        <v>-1.3066301515926599</v>
      </c>
      <c r="F91" s="914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9">
        <v>-277581.83966912102</v>
      </c>
      <c r="I91" s="909" cm="1">
        <f t="array" aca="1" ref="I91" ca="1">-$C$56*_xll.d.Dates_Act365(B90,B91)*F91</f>
        <v>-277581.83966912091</v>
      </c>
      <c r="J91" s="838" t="str" cm="1">
        <f t="array" aca="1" ref="J91" ca="1">_xll.d.TestUtils_Equal(H91,I91)</f>
        <v>Ok</v>
      </c>
      <c r="K91" s="909">
        <v>-277581.83966912102</v>
      </c>
      <c r="L91" s="910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31">
        <f t="shared" ca="1" si="0"/>
        <v>6.0541883062583679E-3</v>
      </c>
      <c r="Q91" s="910"/>
      <c r="R91" s="909"/>
    </row>
    <row r="92" spans="2:18">
      <c r="B92" s="911">
        <v>48304</v>
      </c>
      <c r="C92" s="918"/>
      <c r="D92" s="913">
        <v>0.10920837468591399</v>
      </c>
      <c r="E92" s="910">
        <v>-1.3066301515926599</v>
      </c>
      <c r="F92" s="914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9">
        <v>-272272.93414844398</v>
      </c>
      <c r="I92" s="909" cm="1">
        <f t="array" aca="1" ref="I92" ca="1">-$C$56*_xll.d.Dates_Act365(B91,B92)*F92</f>
        <v>-272272.93414844357</v>
      </c>
      <c r="J92" s="838" t="str" cm="1">
        <f t="array" aca="1" ref="J92" ca="1">_xll.d.TestUtils_Equal(H92,I92)</f>
        <v>Ok</v>
      </c>
      <c r="K92" s="909">
        <v>-272272.93414844398</v>
      </c>
      <c r="L92" s="910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31">
        <f t="shared" ca="1" si="0"/>
        <v>6.2125980361145139E-3</v>
      </c>
      <c r="Q92" s="910"/>
      <c r="R92" s="909"/>
    </row>
    <row r="93" spans="2:18">
      <c r="B93" s="911">
        <v>48395</v>
      </c>
      <c r="C93" s="918"/>
      <c r="D93" s="913">
        <v>0.10782235017127099</v>
      </c>
      <c r="E93" s="910">
        <v>-1.3066301515926599</v>
      </c>
      <c r="F93" s="914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9">
        <v>-268817.36618042999</v>
      </c>
      <c r="I93" s="909" cm="1">
        <f t="array" aca="1" ref="I93" ca="1">-$C$56*_xll.d.Dates_Act365(B92,B93)*F93</f>
        <v>-268817.36618043209</v>
      </c>
      <c r="J93" s="838" t="str" cm="1">
        <f t="array" aca="1" ref="J93" ca="1">_xll.d.TestUtils_Equal(H93,I93)</f>
        <v>Ok</v>
      </c>
      <c r="K93" s="909">
        <v>-268817.36618042999</v>
      </c>
      <c r="L93" s="910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31">
        <f t="shared" ca="1" si="0"/>
        <v>6.3713853767346507E-3</v>
      </c>
      <c r="Q93" s="910"/>
      <c r="R93" s="909"/>
    </row>
    <row r="94" spans="2:18">
      <c r="B94" s="911">
        <v>48487</v>
      </c>
      <c r="C94" s="918"/>
      <c r="D94" s="913">
        <v>0.10688431637066</v>
      </c>
      <c r="E94" s="910">
        <v>-1.3066301515926599</v>
      </c>
      <c r="F94" s="914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9">
        <v>-269407.04400275799</v>
      </c>
      <c r="I94" s="909" cm="1">
        <f t="array" aca="1" ref="I94" ca="1">-$C$56*_xll.d.Dates_Act365(B93,B94)*F94</f>
        <v>-269407.04400276067</v>
      </c>
      <c r="J94" s="838" t="str" cm="1">
        <f t="array" aca="1" ref="J94" ca="1">_xll.d.TestUtils_Equal(H94,I94)</f>
        <v>Ok</v>
      </c>
      <c r="K94" s="909">
        <v>-269407.04400275799</v>
      </c>
      <c r="L94" s="910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31">
        <f t="shared" ca="1" si="0"/>
        <v>6.5343311661223424E-3</v>
      </c>
      <c r="Q94" s="910"/>
      <c r="R94" s="909"/>
    </row>
    <row r="95" spans="2:18">
      <c r="B95" s="911">
        <v>48579</v>
      </c>
      <c r="C95" s="918"/>
      <c r="D95" s="913">
        <v>0.106677757608655</v>
      </c>
      <c r="E95" s="910">
        <v>-1.3066301515926599</v>
      </c>
      <c r="F95" s="914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9">
        <v>-268886.40273962298</v>
      </c>
      <c r="I95" s="909" cm="1">
        <f t="array" aca="1" ref="I95" ca="1">-$C$56*_xll.d.Dates_Act365(B94,B95)*F95</f>
        <v>-268886.40273962088</v>
      </c>
      <c r="J95" s="838" t="str" cm="1">
        <f t="array" aca="1" ref="J95" ca="1">_xll.d.TestUtils_Equal(H95,I95)</f>
        <v>Ok</v>
      </c>
      <c r="K95" s="909">
        <v>-268886.40273962298</v>
      </c>
      <c r="L95" s="910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31">
        <f t="shared" ca="1" si="0"/>
        <v>6.701354921929692E-3</v>
      </c>
      <c r="Q95" s="910"/>
      <c r="R95" s="909"/>
    </row>
    <row r="96" spans="2:18">
      <c r="B96" s="911">
        <v>48669</v>
      </c>
      <c r="C96" s="918"/>
      <c r="D96" s="913">
        <v>0.107269315396405</v>
      </c>
      <c r="E96" s="910">
        <v>-1.3066301515926599</v>
      </c>
      <c r="F96" s="914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9">
        <v>-264499.68179935397</v>
      </c>
      <c r="I96" s="909" cm="1">
        <f t="array" aca="1" ref="I96" ca="1">-$C$56*_xll.d.Dates_Act365(B95,B96)*F96</f>
        <v>-264499.68179935159</v>
      </c>
      <c r="J96" s="838" t="str" cm="1">
        <f t="array" aca="1" ref="J96" ca="1">_xll.d.TestUtils_Equal(H96,I96)</f>
        <v>Ok</v>
      </c>
      <c r="K96" s="936">
        <v>-264499.68179935397</v>
      </c>
      <c r="L96" s="946">
        <v>31.975390685164221</v>
      </c>
      <c r="M96" s="945" cm="1">
        <f t="array" aca="1" ref="M96" ca="1">$M$56*_xll.d.Curve_GetDiscountFactors($K$16,B96)/_xll.d.Curve_GetDiscountFactors($G$16,B96)</f>
        <v>31.982261350663752</v>
      </c>
      <c r="N96" s="937">
        <f t="shared" ca="1" si="0"/>
        <v>6.870665499530304E-3</v>
      </c>
      <c r="O96" s="947">
        <v>31.9753906851642</v>
      </c>
      <c r="Q96" s="910"/>
      <c r="R96" s="909"/>
    </row>
    <row r="97" spans="2:18">
      <c r="B97" s="911">
        <v>48760</v>
      </c>
      <c r="C97" s="918"/>
      <c r="D97" s="913">
        <v>0.108617774089257</v>
      </c>
      <c r="E97" s="910">
        <v>-1.3066301515926599</v>
      </c>
      <c r="F97" s="914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9">
        <v>-270800.47786636697</v>
      </c>
      <c r="I97" s="909" cm="1">
        <f t="array" aca="1" ref="I97" ca="1">-$C$56*_xll.d.Dates_Act365(B96,B97)*F97</f>
        <v>-270800.47786636691</v>
      </c>
      <c r="J97" s="838" t="str" cm="1">
        <f t="array" aca="1" ref="J97" ca="1">_xll.d.TestUtils_Equal(H97,I97)</f>
        <v>Ok</v>
      </c>
      <c r="K97" s="909">
        <v>-270800.47786636697</v>
      </c>
      <c r="L97" s="910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31">
        <f t="shared" ca="1" si="0"/>
        <v>7.0497058699956483E-3</v>
      </c>
      <c r="Q97" s="910"/>
      <c r="R97" s="909"/>
    </row>
    <row r="98" spans="2:18">
      <c r="B98" s="911">
        <v>48852</v>
      </c>
      <c r="C98" s="918"/>
      <c r="D98" s="913">
        <v>0.109963643040318</v>
      </c>
      <c r="E98" s="910">
        <v>-1.3066301515926599</v>
      </c>
      <c r="F98" s="914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9">
        <v>-277168.63451258099</v>
      </c>
      <c r="I98" s="909" cm="1">
        <f t="array" aca="1" ref="I98" ca="1">-$C$56*_xll.d.Dates_Act365(B97,B98)*F98</f>
        <v>-277168.63451257895</v>
      </c>
      <c r="J98" s="838" t="str" cm="1">
        <f t="array" aca="1" ref="J98" ca="1">_xll.d.TestUtils_Equal(H98,I98)</f>
        <v>Ok</v>
      </c>
      <c r="K98" s="909">
        <v>-277168.63451258099</v>
      </c>
      <c r="L98" s="910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31">
        <f t="shared" ca="1" si="0"/>
        <v>7.2388585625517976E-3</v>
      </c>
      <c r="Q98" s="910"/>
      <c r="R98" s="909"/>
    </row>
    <row r="99" spans="2:18">
      <c r="B99" s="911">
        <v>48943</v>
      </c>
      <c r="C99" s="918"/>
      <c r="D99" s="913">
        <v>0.111046637464129</v>
      </c>
      <c r="E99" s="910">
        <v>-1.3066301515926599</v>
      </c>
      <c r="F99" s="914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9">
        <v>-276856.00025303499</v>
      </c>
      <c r="I99" s="909" cm="1">
        <f t="array" aca="1" ref="I99" ca="1">-$C$56*_xll.d.Dates_Act365(B98,B99)*F99</f>
        <v>-276856.00025303231</v>
      </c>
      <c r="J99" s="838" t="str" cm="1">
        <f t="array" aca="1" ref="J99" ca="1">_xll.d.TestUtils_Equal(H99,I99)</f>
        <v>Ok</v>
      </c>
      <c r="K99" s="909">
        <v>-276856.00025303499</v>
      </c>
      <c r="L99" s="910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31">
        <f t="shared" ca="1" si="0"/>
        <v>7.4335233708922033E-3</v>
      </c>
      <c r="Q99" s="910"/>
      <c r="R99" s="909"/>
    </row>
    <row r="100" spans="2:18">
      <c r="B100" s="911">
        <v>49034</v>
      </c>
      <c r="C100" s="918"/>
      <c r="D100" s="913">
        <v>0.11188292615923701</v>
      </c>
      <c r="E100" s="910">
        <v>-1.3066301515926599</v>
      </c>
      <c r="F100" s="914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9">
        <v>-278940.99398604402</v>
      </c>
      <c r="I100" s="909" cm="1">
        <f t="array" aca="1" ref="I100" ca="1">-$C$56*_xll.d.Dates_Act365(B99,B100)*F100</f>
        <v>-278940.99398604815</v>
      </c>
      <c r="J100" s="838" t="str" cm="1">
        <f t="array" aca="1" ref="J100" ca="1">_xll.d.TestUtils_Equal(H100,I100)</f>
        <v>Ok</v>
      </c>
      <c r="K100" s="909">
        <v>-278940.99398604402</v>
      </c>
      <c r="L100" s="910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31">
        <f t="shared" ca="1" si="0"/>
        <v>7.6350471449302404E-3</v>
      </c>
      <c r="Q100" s="910"/>
      <c r="R100" s="909"/>
    </row>
    <row r="101" spans="2:18">
      <c r="B101" s="911">
        <v>49125</v>
      </c>
      <c r="C101" s="918"/>
      <c r="D101" s="913">
        <v>0.112432032365107</v>
      </c>
      <c r="E101" s="910">
        <v>-1.3066301515926599</v>
      </c>
      <c r="F101" s="914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9">
        <v>-280309.998499309</v>
      </c>
      <c r="I101" s="909" cm="1">
        <f t="array" aca="1" ref="I101" ca="1">-$C$56*_xll.d.Dates_Act365(B100,B101)*F101</f>
        <v>-280309.99849930673</v>
      </c>
      <c r="J101" s="838" t="str" cm="1">
        <f t="array" aca="1" ref="J101" ca="1">_xll.d.TestUtils_Equal(H101,I101)</f>
        <v>Ok</v>
      </c>
      <c r="K101" s="909">
        <v>-280309.998499309</v>
      </c>
      <c r="L101" s="910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31">
        <f t="shared" ca="1" si="0"/>
        <v>7.842549849669922E-3</v>
      </c>
      <c r="Q101" s="910"/>
      <c r="R101" s="909"/>
    </row>
    <row r="102" spans="2:18">
      <c r="B102" s="911">
        <v>49216</v>
      </c>
      <c r="C102" s="918"/>
      <c r="D102" s="913">
        <v>0.112660419539217</v>
      </c>
      <c r="E102" s="910">
        <v>-1.3066301515926599</v>
      </c>
      <c r="F102" s="914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9">
        <v>-280879.40213886998</v>
      </c>
      <c r="I102" s="909" cm="1">
        <f t="array" aca="1" ref="I102" ca="1">-$C$56*_xll.d.Dates_Act365(B101,B102)*F102</f>
        <v>-280879.40213886544</v>
      </c>
      <c r="J102" s="838" t="str" cm="1">
        <f t="array" aca="1" ref="J102" ca="1">_xll.d.TestUtils_Equal(H102,I102)</f>
        <v>Ok</v>
      </c>
      <c r="K102" s="909">
        <v>-280879.40213886998</v>
      </c>
      <c r="L102" s="910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31">
        <f t="shared" ca="1" si="0"/>
        <v>8.0549018518780713E-3</v>
      </c>
      <c r="Q102" s="910"/>
      <c r="R102" s="909"/>
    </row>
    <row r="103" spans="2:18">
      <c r="B103" s="911">
        <v>49307</v>
      </c>
      <c r="C103" s="918"/>
      <c r="D103" s="941">
        <v>0.112531968219763</v>
      </c>
      <c r="E103" s="910">
        <v>-1.3066301515926599</v>
      </c>
      <c r="F103" s="942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9">
        <v>-280559.15364379197</v>
      </c>
      <c r="I103" s="909" cm="1">
        <f t="array" aca="1" ref="I103" ca="1">-$C$56*_xll.d.Dates_Act365(B102,B103)*F103</f>
        <v>-280559.15364379174</v>
      </c>
      <c r="J103" s="838" t="str" cm="1">
        <f t="array" aca="1" ref="J103" ca="1">_xll.d.TestUtils_Equal(H103,I103)</f>
        <v>Ok</v>
      </c>
      <c r="K103" s="909">
        <v>-280559.15364379197</v>
      </c>
      <c r="L103" s="910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31">
        <f t="shared" ca="1" si="0"/>
        <v>8.2706867605963907E-3</v>
      </c>
      <c r="Q103" s="910"/>
      <c r="R103" s="909"/>
    </row>
    <row r="104" spans="2:18">
      <c r="B104" s="911">
        <v>49398</v>
      </c>
      <c r="C104" s="909">
        <v>-10000000</v>
      </c>
      <c r="D104" s="913">
        <v>0.11200812610859601</v>
      </c>
      <c r="E104" s="910">
        <v>-1.3066301515926599</v>
      </c>
      <c r="F104" s="914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9">
        <v>-279253.13632554002</v>
      </c>
      <c r="I104" s="909" cm="1">
        <f t="array" aca="1" ref="I104" ca="1">-$C$56*_xll.d.Dates_Act365(B103,B104)*F104</f>
        <v>-279253.1363255395</v>
      </c>
      <c r="J104" s="838" t="str" cm="1">
        <f t="array" aca="1" ref="J104" ca="1">_xll.d.TestUtils_Equal(H104,I104)</f>
        <v>Ok</v>
      </c>
      <c r="K104" s="909">
        <v>-10279253.136325501</v>
      </c>
      <c r="L104" s="910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31">
        <f t="shared" ca="1" si="0"/>
        <v>8.4881638408660365E-3</v>
      </c>
      <c r="Q104" s="910"/>
      <c r="R104" s="909"/>
    </row>
    <row r="106" spans="2:18">
      <c r="M106" s="938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20">
        <f>L57-$L$56</f>
        <v>0.10217065085208787</v>
      </c>
    </row>
    <row r="111" spans="2:18">
      <c r="L111" s="920">
        <f>L58-$L$56</f>
        <v>0.24683036236111633</v>
      </c>
    </row>
    <row r="112" spans="2:18">
      <c r="L112" s="920">
        <f>L59-$L$56</f>
        <v>0.41084039404503159</v>
      </c>
    </row>
    <row r="113" spans="10:13">
      <c r="L113" s="920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J57:J104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G57:G104">
    <cfRule type="cellIs" dxfId="498" priority="22" stopIfTrue="1" operator="equal">
      <formula>"ERROR"</formula>
    </cfRule>
    <cfRule type="cellIs" dxfId="497" priority="23" stopIfTrue="1" operator="equal">
      <formula>"OK"</formula>
    </cfRule>
    <cfRule type="cellIs" dxfId="496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642</v>
      </c>
      <c r="C10" s="838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@@ExampleCurve::16:56:08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642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8" t="str">
        <f ca="1">K94</f>
        <v>Ok</v>
      </c>
      <c r="D90" s="439"/>
      <c r="E90" s="439"/>
    </row>
    <row r="91" spans="2:25">
      <c r="B91" s="479" t="s">
        <v>644</v>
      </c>
      <c r="C91" s="439"/>
    </row>
    <row r="92" spans="2:25">
      <c r="B92" s="479" t="s">
        <v>645</v>
      </c>
    </row>
    <row r="93" spans="2: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643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topLeftCell="BL9" zoomScale="85" zoomScaleNormal="85" workbookViewId="0">
      <selection activeCell="BS33" sqref="BS33:BV39"/>
    </sheetView>
  </sheetViews>
  <sheetFormatPr defaultRowHeight="1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Error</v>
      </c>
      <c r="K6" s="203"/>
      <c r="L6" s="204"/>
    </row>
    <row r="7" spans="2:112">
      <c r="K7" s="203"/>
      <c r="L7" s="204"/>
    </row>
    <row r="8" spans="2:112" s="439" customFormat="1" ht="15.75">
      <c r="B8" s="4" t="s">
        <v>651</v>
      </c>
      <c r="C8" s="4"/>
      <c r="D8" s="4"/>
      <c r="F8" s="4" t="s">
        <v>652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646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642</v>
      </c>
      <c r="C12" s="415"/>
      <c r="D12" s="300" t="str">
        <f>C89</f>
        <v>Ok</v>
      </c>
      <c r="F12" s="407" t="str">
        <f>B22</f>
        <v>Flat Curve, 3m JIBAR</v>
      </c>
      <c r="G12" s="202"/>
      <c r="H12" s="164" t="str">
        <f ca="1">C24</f>
        <v>Error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Error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Error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492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_xll.d.TestUtils_And(J26:J31,J52:J53)</f>
        <v>Error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Error</v>
      </c>
      <c r="V24" s="740"/>
      <c r="W24" s="121" t="s">
        <v>492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Error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Error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603</v>
      </c>
      <c r="AO25" s="44" t="s">
        <v>604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603</v>
      </c>
      <c r="BE25" s="44" t="s">
        <v>604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0.99999583340497411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0.99996233814505098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ref="D27">_xll.d.Curve_Bootstrap("ZARFlatCurve",B30:C35,,B38:D42,B44:D48,B50:D53)</f>
        <v>@@ZARFlatCurve::16:55:51</v>
      </c>
      <c r="E27" s="209"/>
      <c r="G27" s="229">
        <f>EDATE(G26,1)</f>
        <v>44743</v>
      </c>
      <c r="H27" s="239">
        <f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@@ZARRealCurve::16:55:51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603</v>
      </c>
      <c r="Y27" s="44" t="s">
        <v>604</v>
      </c>
      <c r="Z27" s="755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@@USDOIS::16:55:52</v>
      </c>
      <c r="AF27" s="209"/>
      <c r="AH27" s="770">
        <f>EDATE(AF31,1)</f>
        <v>43953</v>
      </c>
      <c r="AI27" s="739" cm="1">
        <f t="array" ref="AI27">1/(1+AD44*_xll.d.Dates_Act360($AH$26,AH27))</f>
        <v>0.99993778164914182</v>
      </c>
      <c r="AJ27" s="739" cm="1">
        <f t="array" aca="1" ref="AJ27" ca="1">_xll.d.Curve_GetDiscountFactors($AE$27,AH27)</f>
        <v>0.99993750383066704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0.99999388903101272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@@USDOIS-Dual::16:55:51</v>
      </c>
      <c r="AV27" s="209"/>
      <c r="AX27" s="770">
        <f>EDATE(AV31,1)</f>
        <v>44685</v>
      </c>
      <c r="AY27" s="739" cm="1">
        <f t="array" ref="AY27">1/(1+AT44*_xll.d.Dates_Act360($AX$26,AX27))</f>
        <v>0.99967710429531254</v>
      </c>
      <c r="AZ27" s="739">
        <f ca="1"/>
        <v>0.99967743007747889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0.99995283990139083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ref="BJ27">_xll.d.Curve_Bootstrap("USDSwap-Dual",BH30:BI36,,BH38:BJ42,BH44:BJ51,BH54:BJ68)</f>
        <v>@@USDSwap-Dual::16:55:56</v>
      </c>
      <c r="BK27" s="209"/>
      <c r="BL27" s="54"/>
      <c r="BN27" s="825" cm="1">
        <f t="array" ref="BN27">_xll.d.Dates_AddTenorToDate($BI$32,BH40,"USD","ModFol")</f>
        <v>44652</v>
      </c>
      <c r="BO27" s="731" cm="1">
        <f t="array" ref="BO27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229">
        <f>EDATE(G26,2)</f>
        <v>44774</v>
      </c>
      <c r="H28" s="239">
        <f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>EDATE(AH27,1)</f>
        <v>43984</v>
      </c>
      <c r="AI28" s="739" cm="1">
        <f t="array" ref="AI28">1/(1+AD45*_xll.d.Dates_Act360($AH$26,AH28))</f>
        <v>0.99987576543614454</v>
      </c>
      <c r="AJ28" s="739" cm="1">
        <f t="array" aca="1" ref="AJ28" ca="1">_xll.d.Curve_GetDiscountFactors($AE$27,AH28)</f>
        <v>0.99987554282229585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0.99993361531335467</v>
      </c>
      <c r="AP28" s="749" t="str" cm="1">
        <f t="array" aca="1" ref="AP28" ca="1">_xll.d.TestUtils_Equal(AN28,AO28,0.0001)</f>
        <v>Ok</v>
      </c>
      <c r="AQ28" s="203"/>
      <c r="AR28" s="204"/>
      <c r="AX28" s="770">
        <f>EDATE(AX27,1)</f>
        <v>44716</v>
      </c>
      <c r="AY28" s="739" cm="1">
        <f t="array" ref="AY28">1/(1+AT45*_xll.d.Dates_Act360($AX$26,AX28))</f>
        <v>0.99898090073390411</v>
      </c>
      <c r="AZ28" s="739">
        <f ca="1"/>
        <v>0.9990171835784224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0.99967743007747889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ref="BN28">_xll.d.Dates_AddTenorToDate($BI$32,BH41,"USD","ModFol")</f>
        <v>44680</v>
      </c>
      <c r="BO28" s="731" cm="1">
        <f t="array" ref="BO28">1/(1+_xll.d.Dates_Act360($BN$26,BN28)*BI41)</f>
        <v>0.99963602141753505</v>
      </c>
      <c r="BP28" s="731" cm="1">
        <f t="array" aca="1" ref="BP28" ca="1">_xll.d.Curve_GetDiscountFactors($BJ$27,BN28)</f>
        <v>0.99964995069796359</v>
      </c>
      <c r="BQ28" s="824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G29" s="229">
        <f>EDATE(G26,3)</f>
        <v>44805</v>
      </c>
      <c r="H29" s="239">
        <f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ref="S29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>EDATE(AH28,1)</f>
        <v>44014</v>
      </c>
      <c r="AI29" s="739" cm="1">
        <f t="array" ref="AI29">1/(1+AD46*_xll.d.Dates_Act360($AH$26,AH29))</f>
        <v>0.99982436418669129</v>
      </c>
      <c r="AJ29" s="739" cm="1">
        <f t="array" aca="1" ref="AJ29" ca="1">_xll.d.Curve_GetDiscountFactors($AE$27,AH29)</f>
        <v>0.999823974772866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0.99987554282229585</v>
      </c>
      <c r="AP29" s="749" t="str" cm="1">
        <f t="array" aca="1" ref="AP29" ca="1">_xll.d.TestUtils_Equal(AN29,AO29,0.0001)</f>
        <v>Ok</v>
      </c>
      <c r="AQ29" s="203"/>
      <c r="AR29" s="204"/>
      <c r="AX29" s="770">
        <f>EDATE(AX28,1)</f>
        <v>44746</v>
      </c>
      <c r="AY29" s="739" cm="1">
        <f t="array" ref="AY29">1/(1+AT46*_xll.d.Dates_Act360($AX$26,AX29))</f>
        <v>0.99810886096094031</v>
      </c>
      <c r="AZ29" s="739">
        <f ca="1"/>
        <v>0.99815996092050929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0.99897460200735522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ref="BN29">_xll.d.Dates_AddTenorToDate($BI$32,BH42,"USD","ModFol")</f>
        <v>44742</v>
      </c>
      <c r="BO29" s="731" cm="1">
        <f t="array" ref="BO29">1/(1+_xll.d.Dates_Act360($BN$26,BN29)*BI42)</f>
        <v>0.99757525838473171</v>
      </c>
      <c r="BP29" s="731" cm="1">
        <f t="array" aca="1" ref="BP29" ca="1">_xll.d.Curve_GetDiscountFactors($BJ$27,BN29)</f>
        <v>0.99767266761427387</v>
      </c>
      <c r="BQ29" s="824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29">
        <f>EDATE(G26,6)</f>
        <v>44896</v>
      </c>
      <c r="H30" s="239">
        <f>H29*1/(1+YEARFRAC($G$29,G30,3)*C46)</f>
        <v>0.95168722053898536</v>
      </c>
      <c r="I30" s="239" cm="1">
        <f t="array" aca="1" ref="I30" ca="1">_xll.d.Curve_GetDiscountFactors($D$27,G30)</f>
        <v>0.95168722053906507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ref="R30">_xll.d.Dates_AddTenorToDate($N$32,M41,"ZAR","ModFol")</f>
        <v>43889</v>
      </c>
      <c r="S30" s="731" cm="1">
        <f t="array" ref="S30">1/(1+_xll.d.Dates_Act365($R$28,R30)*N41)</f>
        <v>0.99512731140810684</v>
      </c>
      <c r="T30" s="731" cm="1">
        <f t="array" aca="1" ref="T30" ca="1">_xll.d.Curve_GetDiscountFactors($O$27,R30)</f>
        <v>0.99512731140810684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0.99459025791532751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614</v>
      </c>
      <c r="AH30" s="770">
        <f>EDATE(AH29,1)</f>
        <v>44045</v>
      </c>
      <c r="AI30" s="739" cm="1">
        <f t="array" ref="AI30">1/(1+AD47*_xll.d.Dates_Act360($AH$26,AH30))</f>
        <v>0.99976927546831706</v>
      </c>
      <c r="AJ30" s="739" cm="1">
        <f t="array" aca="1" ref="AJ30" ca="1">_xll.d.Curve_GetDiscountFactors($AE$27,AH30)</f>
        <v>0.9997687514301089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0.999823974772866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614</v>
      </c>
      <c r="AX30" s="770">
        <f>EDATE(AX29,1)</f>
        <v>44777</v>
      </c>
      <c r="AY30" s="739" cm="1">
        <f t="array" ref="AY30">1/(1+AT47*_xll.d.Dates_Act360($AX$26,AX30))</f>
        <v>0.99701294920418426</v>
      </c>
      <c r="AZ30" s="739">
        <f ca="1"/>
        <v>0.99706994900858104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0.99813087888575547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ref="BN30">_xll.d.Dates_AddTenorToDate($BI$32,BM30,"USD","ModFol")</f>
        <v>44834</v>
      </c>
      <c r="BO30" s="731" cm="1">
        <f t="array" ref="BO30">1/(1+_xll.d.Dates_Act360(BN29,BN30)*BI46)*BO29</f>
        <v>0.9933460324656187</v>
      </c>
      <c r="BP30" s="731" cm="1">
        <f t="array" aca="1" ref="BP30" ca="1">_xll.d.Curve_GetDiscountFactors($BJ$27,BN30)</f>
        <v>0.99350990516303406</v>
      </c>
      <c r="BQ30" s="824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230">
        <f>EDATE(G26,9)</f>
        <v>44986</v>
      </c>
      <c r="H31" s="240">
        <f>H30*1/(1+C47*YEARFRAC(G30,G31,3))</f>
        <v>0.92878565640836808</v>
      </c>
      <c r="I31" s="240" cm="1">
        <f t="array" aca="1" ref="I31" ca="1">_xll.d.Curve_GetDiscountFactors($D$27,G31)</f>
        <v>0.92878565640844579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ref="R31">_xll.d.Dates_AddTenorToDate($N$32,M42,"ZAR","ModFol")</f>
        <v>43951</v>
      </c>
      <c r="S31" s="731" cm="1">
        <f t="array" ref="S31">1/(1+_xll.d.Dates_Act365($R$28,R31)*N42)</f>
        <v>0.98408691024210704</v>
      </c>
      <c r="T31" s="731" cm="1">
        <f t="array" aca="1" ref="T31" ca="1">_xll.d.Curve_GetDiscountFactors($O$27,R31)</f>
        <v>0.98408691024222983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0.98408691024222983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ref="AF31">_xll.d.Dates_AddTenorToDate(AD32,"2d","USD","MODFOL")</f>
        <v>43923</v>
      </c>
      <c r="AH31" s="770">
        <f>EDATE(AH30,1)</f>
        <v>44076</v>
      </c>
      <c r="AI31" s="739" cm="1">
        <f t="array" ref="AI31">1/(1+AD48*_xll.d.Dates_Act360($AH$26,AH31))</f>
        <v>0.99971591406108762</v>
      </c>
      <c r="AJ31" s="739" cm="1">
        <f t="array" aca="1" ref="AJ31" ca="1">_xll.d.Curve_GetDiscountFactors($AE$27,AH31)</f>
        <v>0.99971541323156266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0.9997669700827394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ref="AV31">_xll.d.Dates_AddTenorToDate(AT32,"2d","USD","MODFOL")</f>
        <v>44655</v>
      </c>
      <c r="AX31" s="770">
        <f>EDATE(AX30,1)</f>
        <v>44808</v>
      </c>
      <c r="AY31" s="739" cm="1">
        <f t="array" ref="AY31">1/(1+AT48*_xll.d.Dates_Act360($AX$26,AX31))</f>
        <v>0.99561891723511198</v>
      </c>
      <c r="AZ31" s="739">
        <f ca="1"/>
        <v>0.99572377438915471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0.99706994900858104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ref="BN31">_xll.d.Dates_AddTenorToDate($BI$32,BM31,"USD","ModFol")</f>
        <v>44925</v>
      </c>
      <c r="BO31" s="731" cm="1">
        <f t="array" ref="BO31">1/(1+_xll.d.Dates_Act360(BN30,BN31)*BI47)*BO30</f>
        <v>0.98760768614641792</v>
      </c>
      <c r="BP31" s="731" cm="1">
        <f t="array" aca="1" ref="BP31" ca="1">_xll.d.Curve_GetDiscountFactors($BJ$27,BN31)</f>
        <v>0.9878406433925756</v>
      </c>
      <c r="BQ31" s="824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ref="R32">_xll.d.Dates_AddTenorToDate($N$32,Q32,"ZAR","ModFol")</f>
        <v>44043</v>
      </c>
      <c r="S32" s="731">
        <f t="array" ref="S32">1/(1+_xll.d.Dates_Act365($R$31,R32)*N46)*S31</f>
        <v>0.96832000758706194</v>
      </c>
      <c r="T32" s="731" cm="1">
        <f t="array" aca="1" ref="T32" ca="1">_xll.d.Curve_GetDiscountFactors($O$27,R32)</f>
        <v>0.96832386496367961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0.96848867052025589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>EDATE(AH31,1)</f>
        <v>44106</v>
      </c>
      <c r="AI32" s="773" cm="1">
        <f t="array" ref="AI32">1/(1+AD49*_xll.d.Dates_Act360($AH$26,AH32))</f>
        <v>0.99966094832835872</v>
      </c>
      <c r="AJ32" s="773" cm="1">
        <f t="array" aca="1" ref="AJ32" ca="1">_xll.d.Curve_GetDiscountFactors($AE$27,AH32)</f>
        <v>0.99966044732489745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0.99971541323156266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>EDATE(AX31,1)</f>
        <v>44838</v>
      </c>
      <c r="AY32" s="773" cm="1">
        <f t="array" ref="AY32">1/(1+AT49*_xll.d.Dates_Act360($AX$26,AX32))</f>
        <v>0.9942261421490407</v>
      </c>
      <c r="AZ32" s="773">
        <f ca="1"/>
        <v>0.99431150017106629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0.99563698685194657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593</v>
      </c>
      <c r="BN32" s="825" cm="1">
        <f t="array" ref="BN32">_xll.d.Dates_AddTenorToDate($BI$32,BM32,"USD","ModFol")</f>
        <v>45016</v>
      </c>
      <c r="BO32" s="731" cm="1">
        <f t="array" ref="BO32">1/(1+_xll.d.Dates_Act360(BN31,BN32)*BI48)*BO31</f>
        <v>0.98075265823113977</v>
      </c>
      <c r="BP32" s="731" cm="1">
        <f t="array" aca="1" ref="BP32" ca="1">_xll.d.Curve_GetDiscountFactors($BJ$27,BN32)</f>
        <v>0.98104691928654564</v>
      </c>
      <c r="BQ32" s="824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ref="R33">_xll.d.Dates_AddTenorToDate($N$32,Q33,"ZAR","ModFol")</f>
        <v>44134</v>
      </c>
      <c r="S33" s="731" cm="1">
        <f t="array" ref="S33">1/(1+_xll.d.Dates_Act365(R32,R33)*N47)*S32</f>
        <v>0.95343955884482767</v>
      </c>
      <c r="T33" s="731" cm="1">
        <f t="array" aca="1" ref="T33" ca="1">_xll.d.Curve_GetDiscountFactors($O$27,R33)</f>
        <v>0.95344335694403037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0.95344335694403037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0.99966044732489745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0.99431150017106629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594</v>
      </c>
      <c r="BN33" s="825" cm="1">
        <f t="array" ref="BN33">_xll.d.Dates_AddTenorToDate($BI$32,BM33,"USD","ModFol")</f>
        <v>45107</v>
      </c>
      <c r="BO33" s="731" cm="1">
        <f t="array" ref="BO33">1/(1+_xll.d.Dates_Act360(BN32,BN33)*BI49)*BO32</f>
        <v>0.97323697089520322</v>
      </c>
      <c r="BP33" s="731" cm="1">
        <f t="array" aca="1" ref="BP33" ca="1">_xll.d.Curve_GetDiscountFactors($BJ$27,BN33)</f>
        <v>0.97356039740342826</v>
      </c>
      <c r="BQ33" s="824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121" t="s">
        <v>556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593</v>
      </c>
      <c r="R34" s="229" cm="1">
        <f t="array" ref="R34">_xll.d.Dates_AddTenorToDate($N$32,Q34,"ZAR","ModFol")</f>
        <v>44225</v>
      </c>
      <c r="S34" s="731" cm="1">
        <f t="array" ref="S34">1/(1+_xll.d.Dates_Act365(R33,R34)*N48)*S33</f>
        <v>0.93890302491578215</v>
      </c>
      <c r="T34" s="731" cm="1">
        <f t="array" aca="1" ref="T34" ca="1">_xll.d.Curve_GetDiscountFactors($O$27,R34)</f>
        <v>0.93890676510758675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0.93827588915268834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556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0.99948825995032253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556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0.98894793056834618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596</v>
      </c>
      <c r="BN34" s="825" cm="1">
        <f t="array" ref="BN34">_xll.d.Dates_AddTenorToDate($BI$32,BM34,"USD","ModFol")</f>
        <v>45198</v>
      </c>
      <c r="BO34" s="731" cm="1">
        <f t="array" ref="BO34">1/(1+_xll.d.Dates_Act360(BN33,BN34)*BI50)*BO33</f>
        <v>0.96546961497669326</v>
      </c>
      <c r="BP34" s="731" cm="1">
        <f t="array" aca="1" ref="BP34" ca="1">_xll.d.Curve_GetDiscountFactors($BJ$27,BN34)</f>
        <v>0.96580711647726836</v>
      </c>
      <c r="BQ34" s="824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119" t="s">
        <v>0</v>
      </c>
      <c r="H35" s="291" t="s">
        <v>554</v>
      </c>
      <c r="I35" s="291" t="s">
        <v>555</v>
      </c>
      <c r="J35" s="120" t="s">
        <v>2</v>
      </c>
      <c r="K35" s="203"/>
      <c r="L35" s="204"/>
      <c r="M35" s="143" t="s">
        <v>43</v>
      </c>
      <c r="N35" s="496" t="s">
        <v>455</v>
      </c>
      <c r="O35" s="734" t="s">
        <v>595</v>
      </c>
      <c r="Q35" s="735" t="s">
        <v>594</v>
      </c>
      <c r="R35" s="229" cm="1">
        <f t="array" ref="R35">_xll.d.Dates_AddTenorToDate($N$32,Q35,"ZAR","ModFol")</f>
        <v>44316</v>
      </c>
      <c r="S35" s="731" cm="1">
        <f t="array" ref="S35">1/(1+_xll.d.Dates_Act365(R34,R35)*N49)*S34</f>
        <v>0.92465622578544726</v>
      </c>
      <c r="T35" s="731" cm="1">
        <f t="array" aca="1" ref="T35" ca="1">_xll.d.Curve_GetDiscountFactors($O$27,R35)</f>
        <v>0.9246579918987835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0.92418977115362178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455</v>
      </c>
      <c r="AH35" s="119" t="s">
        <v>0</v>
      </c>
      <c r="AI35" s="291" t="s">
        <v>554</v>
      </c>
      <c r="AJ35" s="291" t="s">
        <v>555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0.99928852256680945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455</v>
      </c>
      <c r="AX35" s="119" t="s">
        <v>0</v>
      </c>
      <c r="AY35" s="291" t="s">
        <v>554</v>
      </c>
      <c r="AZ35" s="291" t="s">
        <v>555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0.98271527559368366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455</v>
      </c>
      <c r="BJ35" s="734" t="s">
        <v>595</v>
      </c>
      <c r="BL35" s="54"/>
      <c r="BM35" s="735" t="s">
        <v>597</v>
      </c>
      <c r="BN35" s="825" cm="1">
        <f t="array" ref="BN35">_xll.d.Dates_AddTenorToDate($BI$32,BM35,"USD","ModFol")</f>
        <v>45289</v>
      </c>
      <c r="BO35" s="731" cm="1">
        <f t="array" ref="BO35">1/(1+_xll.d.Dates_Act360(BN34,BN35)*BI51)*BO34</f>
        <v>0.95784519384053368</v>
      </c>
      <c r="BP35" s="731" cm="1">
        <f t="array" aca="1" ref="BP35" ca="1">_xll.d.Curve_GetDiscountFactors($BJ$27,BN35)</f>
        <v>0.95817587220698763</v>
      </c>
      <c r="BQ35" s="824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609" t="e">
        <f t="array" ref="G36:G48">_xll.d.Dates_GenerateSchedule(C32,_xll.d.Dates_AddTenorToDate(C32,"3Y","ZAR","ModFol"),"3m","ZAR","ModFol","Forward")</f>
        <v>#VALUE!</v>
      </c>
      <c r="H36" s="722"/>
      <c r="I36" s="722"/>
      <c r="J36" s="724"/>
      <c r="K36" s="203"/>
      <c r="L36" s="204"/>
      <c r="Q36" s="735" t="s">
        <v>596</v>
      </c>
      <c r="R36" s="229" cm="1">
        <f t="array" ref="R36">_xll.d.Dates_AddTenorToDate($N$32,Q36,"ZAR","ModFol")</f>
        <v>44407</v>
      </c>
      <c r="S36" s="731" cm="1">
        <f t="array" ref="S36">1/(1+_xll.d.Dates_Act365(R35,R36)*N50)*S35</f>
        <v>0.9105585344591941</v>
      </c>
      <c r="T36" s="731" cm="1">
        <f t="array" aca="1" ref="T36" ca="1">_xll.d.Curve_GetDiscountFactors($O$27,R36)</f>
        <v>0.91056027364563519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0.91056027364563519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 t="e">
        <f t="array" ref="AH36:AH44">_xll.d.Dates_GenerateSchedule(AF31,_xll.d.Dates_AddTenorToDate(AF31,"8Y","USD","ModFol"),"1y","USD","ModFol","Forward")</f>
        <v>#VALUE!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0.99878999980635563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 t="e">
        <f t="array" ref="AX36:AX44">_xll.d.Dates_GenerateSchedule(AV31,_xll.d.Dates_AddTenorToDate(AV31,"8Y","USD","ModFol"),"1y","USD","ModFol","Forward")</f>
        <v>#VALUE!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0.96889716294273875</v>
      </c>
      <c r="BF36" s="747" t="str" cm="1">
        <f t="array" aca="1" ref="BF36" ca="1">_xll.d.TestUtils_Equal(BD36,BE36,0.001)</f>
        <v>Ok</v>
      </c>
      <c r="BG36" s="54"/>
      <c r="BH36" s="143" t="s">
        <v>641</v>
      </c>
      <c r="BI36" s="496" t="str">
        <f>AU27</f>
        <v>@@USDOIS-Dual::16:55:51</v>
      </c>
      <c r="BL36" s="54"/>
      <c r="BM36" s="735" t="s">
        <v>598</v>
      </c>
      <c r="BN36" s="826" cm="1">
        <f t="array" ref="BN36">_xll.d.Dates_AddTenorToDate($BI$32,BM36,"USD","ModFol")</f>
        <v>45380</v>
      </c>
      <c r="BO36" s="827" cm="1">
        <f t="array" ref="BO36">1/(1+_xll.d.Dates_Act360(BN35,BN36)*BI52)*BO35</f>
        <v>0.95784519384053368</v>
      </c>
      <c r="BP36" s="827" cm="1">
        <f t="array" aca="1" ref="BP36" ca="1">_xll.d.Curve_GetDiscountFactors($BJ$27,BN36)</f>
        <v>0.94970587723685485</v>
      </c>
      <c r="BQ36" s="831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610" t="e">
        <v>#VALUE!</v>
      </c>
      <c r="H37" s="279" t="e" cm="1">
        <f t="array" ref="H37">_xll.d.Dates_Act365(G36,G37)</f>
        <v>#VALUE!</v>
      </c>
      <c r="I37" s="607" t="e">
        <f t="array" ref="I37:I48">_xll.d.Curve_GetForwardRates(D27,G36:G47,G37:G48,"Simple")</f>
        <v>#VALUE!</v>
      </c>
      <c r="J37" s="126" t="e" cm="1">
        <f t="array" aca="1" ref="J37" ca="1">_xll.d.Curve_GetDiscountFactors(D27,G37:G48)</f>
        <v>#VALUE!</v>
      </c>
      <c r="K37" s="203"/>
      <c r="L37" s="204"/>
      <c r="Q37" s="735" t="s">
        <v>597</v>
      </c>
      <c r="R37" s="229" cm="1">
        <f t="array" ref="R37">_xll.d.Dates_AddTenorToDate($N$32,Q37,"ZAR","ModFol")</f>
        <v>44498</v>
      </c>
      <c r="S37" s="731" cm="1">
        <f t="array" ref="S37">1/(1+_xll.d.Dates_Act365(R36,R37)*N51)*S36</f>
        <v>0.89656572268967616</v>
      </c>
      <c r="T37" s="731" cm="1">
        <f t="array" aca="1" ref="T37" ca="1">_xll.d.Curve_GetDiscountFactors($O$27,R37)</f>
        <v>0.89656743514954496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0.89595168092309352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 t="e">
        <v>#VALUE!</v>
      </c>
      <c r="AI37" s="280" t="e" cm="1">
        <f t="array" ref="AI37">_xll.d.Dates_Act360(AH36,AH37)</f>
        <v>#VALUE!</v>
      </c>
      <c r="AJ37" s="721" t="e">
        <f t="array" ref="AJ37:AJ44">_xll.d.Curve_GetForwardRates(AE27,AH36:AH43,AH37:AH44,"Simple")</f>
        <v>#VALUE!</v>
      </c>
      <c r="AK37" s="726" t="e">
        <f t="array" aca="1" ref="AK37:AK44" ca="1">_xll.d.Curve_GetDiscountFactors(AE27,AH37:AH44)</f>
        <v>#VALUE!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0.99831018836474006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 t="e">
        <v>#VALUE!</v>
      </c>
      <c r="AY37" s="280" t="e" cm="1">
        <f t="array" ref="AY37">_xll.d.Dates_Act360(AX36,AX37)</f>
        <v>#VALUE!</v>
      </c>
      <c r="AZ37" s="721" t="e">
        <f t="array" ref="AZ37:AZ44">_xll.d.Curve_GetForwardRates(AU27,AX36:AX43,AX37:AX44,"Simple")</f>
        <v>#VALUE!</v>
      </c>
      <c r="BA37" s="726" t="e">
        <f t="array" aca="1" ref="BA37:BA44" ca="1">_xll.d.Curve_GetDiscountFactors(AU27,AX37:AX44)</f>
        <v>#VALUE!</v>
      </c>
      <c r="BC37" s="783">
        <v>45386</v>
      </c>
      <c r="BD37" s="761">
        <v>0.95447497778402202</v>
      </c>
      <c r="BE37" s="784">
        <f ca="1"/>
        <v>0.95462529734401802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G38" s="610" t="e">
        <v>#VALUE!</v>
      </c>
      <c r="H38" s="279" t="e" cm="1">
        <f t="array" ref="H38">_xll.d.Dates_Act365(G37,G38)</f>
        <v>#VALUE!</v>
      </c>
      <c r="I38" s="607" t="e">
        <v>#VALUE!</v>
      </c>
      <c r="J38" s="126"/>
      <c r="K38" s="203"/>
      <c r="L38" s="204"/>
      <c r="M38" s="12" t="s">
        <v>21</v>
      </c>
      <c r="N38" s="27"/>
      <c r="O38" s="13"/>
      <c r="Q38" s="735" t="s">
        <v>598</v>
      </c>
      <c r="R38" s="230" cm="1">
        <f t="array" ref="R38">_xll.d.Dates_AddTenorToDate($N$32,Q38,"ZAR","ModFol")</f>
        <v>44592</v>
      </c>
      <c r="S38" s="732" cm="1">
        <f t="array" ref="S38">1/(1+_xll.d.Dates_Act365(R37,R38)*N52)*S37</f>
        <v>0.88220678011621201</v>
      </c>
      <c r="T38" s="732" cm="1">
        <f t="array" aca="1" ref="T38" ca="1">_xll.d.Curve_GetDiscountFactors($O$27,R38)</f>
        <v>0.88220846515019113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0.88205105245938864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 t="e">
        <v>#VALUE!</v>
      </c>
      <c r="AI38" s="279" t="e" cm="1">
        <f t="array" ref="AI38">_xll.d.Dates_Act360(AH37,AH38)</f>
        <v>#VALUE!</v>
      </c>
      <c r="AJ38" s="607" t="e">
        <v>#VALUE!</v>
      </c>
      <c r="AK38" s="727" t="e">
        <f ca="1"/>
        <v>#VALUE!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0.99647124209597082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 t="e">
        <v>#VALUE!</v>
      </c>
      <c r="AY38" s="279" t="e" cm="1">
        <f t="array" ref="AY38">_xll.d.Dates_Act360(AX37,AX38)</f>
        <v>#VALUE!</v>
      </c>
      <c r="AZ38" s="607" t="e">
        <v>#VALUE!</v>
      </c>
      <c r="BA38" s="727" t="e">
        <f ca="1"/>
        <v>#VALUE!</v>
      </c>
      <c r="BC38" s="783">
        <v>45751</v>
      </c>
      <c r="BD38" s="761">
        <v>0.93151665593338084</v>
      </c>
      <c r="BE38" s="784">
        <f ca="1"/>
        <v>0.93168703124417185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G39" s="610" t="e">
        <v>#VALUE!</v>
      </c>
      <c r="H39" s="279" t="e" cm="1">
        <f t="array" ref="H39">_xll.d.Dates_Act365(G38,G39)</f>
        <v>#VALUE!</v>
      </c>
      <c r="I39" s="607" t="e">
        <v>#VALUE!</v>
      </c>
      <c r="J39" s="126"/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0.82657902369806091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 t="e">
        <v>#VALUE!</v>
      </c>
      <c r="AI39" s="279" t="e" cm="1">
        <f t="array" ref="AI39">_xll.d.Dates_Act360(AH38,AH39)</f>
        <v>#VALUE!</v>
      </c>
      <c r="AJ39" s="607" t="e">
        <v>#VALUE!</v>
      </c>
      <c r="AK39" s="727" t="e">
        <f ca="1"/>
        <v>#VALUE!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0.99352261368897021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 t="e">
        <v>#VALUE!</v>
      </c>
      <c r="AY39" s="279" t="e" cm="1">
        <f t="array" ref="AY39">_xll.d.Dates_Act360(AX38,AX39)</f>
        <v>#VALUE!</v>
      </c>
      <c r="AZ39" s="607" t="e">
        <v>#VALUE!</v>
      </c>
      <c r="BA39" s="727" t="e">
        <f ca="1"/>
        <v>#VALUE!</v>
      </c>
      <c r="BC39" s="783">
        <v>46118</v>
      </c>
      <c r="BD39" s="761">
        <v>0.91204003345386175</v>
      </c>
      <c r="BE39" s="784">
        <f ca="1"/>
        <v>0.91218522603362695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610" t="e">
        <v>#VALUE!</v>
      </c>
      <c r="H40" s="279" t="e" cm="1">
        <f t="array" ref="H40">_xll.d.Dates_Act365(G39,G40)</f>
        <v>#VALUE!</v>
      </c>
      <c r="I40" s="607" t="e">
        <v>#VALUE!</v>
      </c>
      <c r="J40" s="126"/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556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0.77142509298979944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 t="e">
        <v>#VALUE!</v>
      </c>
      <c r="AI40" s="279" t="e" cm="1">
        <f t="array" ref="AI40">_xll.d.Dates_Act360(AH39,AH40)</f>
        <v>#VALUE!</v>
      </c>
      <c r="AJ40" s="607" t="e">
        <v>#VALUE!</v>
      </c>
      <c r="AK40" s="727" t="e">
        <f ca="1"/>
        <v>#VALUE!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0.98924200910255289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 t="e">
        <v>#VALUE!</v>
      </c>
      <c r="AY40" s="279" t="e" cm="1">
        <f t="array" ref="AY40">_xll.d.Dates_Act360(AX39,AX40)</f>
        <v>#VALUE!</v>
      </c>
      <c r="AZ40" s="607" t="e">
        <v>#VALUE!</v>
      </c>
      <c r="BA40" s="727" t="e">
        <f ca="1"/>
        <v>#VALUE!</v>
      </c>
      <c r="BC40" s="783">
        <v>46482</v>
      </c>
      <c r="BD40" s="761">
        <v>0.89492872245432198</v>
      </c>
      <c r="BE40" s="784">
        <f ca="1"/>
        <v>0.89506557532505249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 t="e">
        <f t="array" ref="BN40:BN72">_xll.d.Dates_GenerateSchedule(BI32,_xll.d.Dates_AddTenorToDate(BI32,"8Y","USD","ModFol"),"3m","USD","ModFol","Forward")</f>
        <v>#VALUE!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610" t="e">
        <v>#VALUE!</v>
      </c>
      <c r="H41" s="279" t="e" cm="1">
        <f t="array" ref="H41">_xll.d.Dates_Act365(G40,G41)</f>
        <v>#VALUE!</v>
      </c>
      <c r="I41" s="607" t="e">
        <v>#VALUE!</v>
      </c>
      <c r="J41" s="126"/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554</v>
      </c>
      <c r="T41" s="291" t="s">
        <v>555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0.7172798723379229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 t="e">
        <v>#VALUE!</v>
      </c>
      <c r="AI41" s="279" t="e" cm="1">
        <f t="array" ref="AI41">_xll.d.Dates_Act360(AH40,AH41)</f>
        <v>#VALUE!</v>
      </c>
      <c r="AJ41" s="607" t="e">
        <v>#VALUE!</v>
      </c>
      <c r="AK41" s="727" t="e">
        <f ca="1"/>
        <v>#VALUE!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 t="e">
        <v>#VALUE!</v>
      </c>
      <c r="AY41" s="279" t="e" cm="1">
        <f t="array" ref="AY41">_xll.d.Dates_Act360(AX40,AX41)</f>
        <v>#VALUE!</v>
      </c>
      <c r="AZ41" s="607" t="e">
        <v>#VALUE!</v>
      </c>
      <c r="BA41" s="727" t="e">
        <f ca="1"/>
        <v>#VALUE!</v>
      </c>
      <c r="BC41" s="783">
        <v>47212</v>
      </c>
      <c r="BD41" s="761">
        <v>0.86066681192648165</v>
      </c>
      <c r="BE41" s="784">
        <f ca="1"/>
        <v>0.86079635578515534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 t="e">
        <v>#VALUE!</v>
      </c>
      <c r="BO41" s="280" t="e" cm="1">
        <f t="array" ref="BO41">_xll.d.Dates_Act360(BN40,BN41)</f>
        <v>#VALUE!</v>
      </c>
      <c r="BP41" s="721" t="e">
        <f t="array" ref="BP41:BP72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10" t="e">
        <v>#VALUE!</v>
      </c>
      <c r="H42" s="279" t="e" cm="1">
        <f t="array" ref="H42">_xll.d.Dates_Act365(G41,G42)</f>
        <v>#VALUE!</v>
      </c>
      <c r="I42" s="607" t="e">
        <v>#VALUE!</v>
      </c>
      <c r="J42" s="126"/>
      <c r="K42" s="203"/>
      <c r="L42" s="204"/>
      <c r="M42" s="253" t="s">
        <v>24</v>
      </c>
      <c r="N42" s="709">
        <v>6.5579999999999999E-2</v>
      </c>
      <c r="O42" s="255" t="b">
        <v>1</v>
      </c>
      <c r="R42" s="723" t="e">
        <f t="array" ref="R42:R74">_xll.d.Dates_GenerateSchedule(N32,_xll.d.Dates_AddTenorToDate(N32,"8Y","ZAR","ModFol"),"3m","ZAR","ModFol","Forward")</f>
        <v>#VALUE!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0.66351825452723412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 t="e">
        <v>#VALUE!</v>
      </c>
      <c r="AI42" s="279" t="e" cm="1">
        <f t="array" ref="AI42">_xll.d.Dates_Act360(AH41,AH42)</f>
        <v>#VALUE!</v>
      </c>
      <c r="AJ42" s="607" t="e">
        <v>#VALUE!</v>
      </c>
      <c r="AK42" s="727" t="e">
        <f ca="1"/>
        <v>#VALUE!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0.95681834245853092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 t="e">
        <v>#VALUE!</v>
      </c>
      <c r="AY42" s="279" t="e" cm="1">
        <f t="array" ref="AY42">_xll.d.Dates_Act360(AX41,AX42)</f>
        <v>#VALUE!</v>
      </c>
      <c r="AZ42" s="607" t="e">
        <v>#VALUE!</v>
      </c>
      <c r="BA42" s="727" t="e">
        <f ca="1"/>
        <v>#VALUE!</v>
      </c>
      <c r="BC42" s="783">
        <v>48309</v>
      </c>
      <c r="BD42" s="761">
        <v>0.81049568807084837</v>
      </c>
      <c r="BE42" s="784">
        <f ca="1"/>
        <v>0.81061212037315589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 t="e">
        <v>#VALUE!</v>
      </c>
      <c r="BO42" s="279" t="e" cm="1">
        <f t="array" ref="BO42">_xll.d.Dates_Act365(BN41,BN42)</f>
        <v>#VALUE!</v>
      </c>
      <c r="BP42" s="607" t="e"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 t="e">
        <v>#VALUE!</v>
      </c>
      <c r="H43" s="279" t="e" cm="1">
        <f t="array" ref="H43">_xll.d.Dates_Act365(G42,G43)</f>
        <v>#VALUE!</v>
      </c>
      <c r="I43" s="607" t="e">
        <v>#VALUE!</v>
      </c>
      <c r="J43" s="126"/>
      <c r="K43" s="203"/>
      <c r="L43" s="204"/>
      <c r="Q43" s="9"/>
      <c r="R43" s="725" t="e">
        <v>#VALUE!</v>
      </c>
      <c r="S43" s="280" t="e" cm="1">
        <f t="array" ref="S43">_xll.d.Dates_Act365(R42,R43)</f>
        <v>#VALUE!</v>
      </c>
      <c r="T43" s="721" t="e">
        <f t="array" ref="T43:T74">_xll.d.Curve_GetForwardRates(O27,R42:R73,R43:R74,"Simple")</f>
        <v>#VALUE!</v>
      </c>
      <c r="U43" s="726" t="e">
        <f t="array" aca="1" ref="U43:U74" ca="1">_xll.d.Curve_GetDiscountFactors(O27,R43:R74)</f>
        <v>#VALUE!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0.61166506256260311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 t="e">
        <v>#VALUE!</v>
      </c>
      <c r="AI43" s="279" t="e" cm="1">
        <f t="array" ref="AI43">_xll.d.Dates_Act360(AH42,AH43)</f>
        <v>#VALUE!</v>
      </c>
      <c r="AJ43" s="607" t="e">
        <v>#VALUE!</v>
      </c>
      <c r="AK43" s="727" t="e">
        <f ca="1"/>
        <v>#VALUE!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0.9419632289416594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 t="e">
        <v>#VALUE!</v>
      </c>
      <c r="AY43" s="279" t="e" cm="1">
        <f t="array" ref="AY43">_xll.d.Dates_Act360(AX42,AX43)</f>
        <v>#VALUE!</v>
      </c>
      <c r="AZ43" s="607" t="e">
        <v>#VALUE!</v>
      </c>
      <c r="BA43" s="727" t="e">
        <f ca="1"/>
        <v>#VALUE!</v>
      </c>
      <c r="BC43" s="783">
        <v>49038</v>
      </c>
      <c r="BD43" s="761">
        <v>0.77683553954317675</v>
      </c>
      <c r="BE43" s="784">
        <f ca="1"/>
        <v>0.77694743626846119</v>
      </c>
      <c r="BF43" s="747" t="str" cm="1">
        <f t="array" aca="1" ref="BF43" ca="1">_xll.d.TestUtils_Equal(BD43,BE43,0.001)</f>
        <v>Ok</v>
      </c>
      <c r="BG43" s="54"/>
      <c r="BL43" s="54"/>
      <c r="BN43" s="725" t="e">
        <v>#VALUE!</v>
      </c>
      <c r="BO43" s="279" t="e" cm="1">
        <f t="array" ref="BO43">_xll.d.Dates_Act365(BN42,BN43)</f>
        <v>#VALUE!</v>
      </c>
      <c r="BP43" s="607" t="e"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 t="e">
        <v>#VALUE!</v>
      </c>
      <c r="H44" s="279" t="e" cm="1">
        <f t="array" ref="H44">_xll.d.Dates_Act365(G43,G44)</f>
        <v>#VALUE!</v>
      </c>
      <c r="I44" s="607" t="e">
        <v>#VALUE!</v>
      </c>
      <c r="J44" s="126"/>
      <c r="K44" s="203"/>
      <c r="L44" s="204"/>
      <c r="M44" s="12" t="s">
        <v>34</v>
      </c>
      <c r="N44" s="27"/>
      <c r="O44" s="13"/>
      <c r="Q44" s="9"/>
      <c r="R44" s="725" t="e">
        <v>#VALUE!</v>
      </c>
      <c r="S44" s="279" t="e" cm="1">
        <f t="array" ref="S44">_xll.d.Dates_Act365(R43,R44)</f>
        <v>#VALUE!</v>
      </c>
      <c r="T44" s="607" t="e">
        <v>#VALUE!</v>
      </c>
      <c r="U44" s="727" t="e">
        <f ca="1"/>
        <v>#VALUE!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0.5599253361228067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 t="e">
        <v>#VALUE!</v>
      </c>
      <c r="AI44" s="640" t="e" cm="1">
        <f t="array" ref="AI44">_xll.d.Dates_Act360(AH43,AH44)</f>
        <v>#VALUE!</v>
      </c>
      <c r="AJ44" s="729" t="e">
        <v>#VALUE!</v>
      </c>
      <c r="AK44" s="328" t="e">
        <f ca="1"/>
        <v>#VALUE!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0.92156171445373025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 t="e">
        <v>#VALUE!</v>
      </c>
      <c r="AY44" s="640" t="e" cm="1">
        <f t="array" ref="AY44">_xll.d.Dates_Act360(AX43,AX44)</f>
        <v>#VALUE!</v>
      </c>
      <c r="AZ44" s="729" t="e">
        <v>#VALUE!</v>
      </c>
      <c r="BA44" s="328" t="e">
        <f ca="1"/>
        <v>#VALUE!</v>
      </c>
      <c r="BC44" s="783">
        <v>50136</v>
      </c>
      <c r="BD44" s="761">
        <v>0.72962499907491318</v>
      </c>
      <c r="BE44" s="784">
        <f ca="1"/>
        <v>0.72972988149656359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 t="e">
        <v>#VALUE!</v>
      </c>
      <c r="BO44" s="279" t="e" cm="1">
        <f t="array" ref="BO44">_xll.d.Dates_Act365(BN43,BN44)</f>
        <v>#VALUE!</v>
      </c>
      <c r="BP44" s="607" t="e"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 t="e">
        <v>#VALUE!</v>
      </c>
      <c r="H45" s="279" t="e" cm="1">
        <f t="array" ref="H45">_xll.d.Dates_Act365(G44,G45)</f>
        <v>#VALUE!</v>
      </c>
      <c r="I45" s="607" t="e">
        <v>#VALUE!</v>
      </c>
      <c r="J45" s="126"/>
      <c r="K45" s="203"/>
      <c r="L45" s="204"/>
      <c r="M45" s="62" t="s">
        <v>194</v>
      </c>
      <c r="N45" s="63" t="s">
        <v>36</v>
      </c>
      <c r="O45" s="64" t="s">
        <v>42</v>
      </c>
      <c r="R45" s="725" t="e">
        <v>#VALUE!</v>
      </c>
      <c r="S45" s="279" t="e" cm="1">
        <f t="array" ref="S45">_xll.d.Dates_Act365(R44,R45)</f>
        <v>#VALUE!</v>
      </c>
      <c r="T45" s="607" t="e">
        <v>#VALUE!</v>
      </c>
      <c r="U45" s="727" t="e">
        <f ca="1"/>
        <v>#VALUE!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0.88716540900503715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0.65884119832618304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 t="e">
        <v>#VALUE!</v>
      </c>
      <c r="BO45" s="279" t="e" cm="1">
        <f t="array" ref="BO45">_xll.d.Dates_Act365(BN44,BN45)</f>
        <v>#VALUE!</v>
      </c>
      <c r="BP45" s="607" t="e"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 t="e">
        <v>#VALUE!</v>
      </c>
      <c r="H46" s="279" t="e" cm="1">
        <f t="array" ref="H46">_xll.d.Dates_Act365(G45,G46)</f>
        <v>#VALUE!</v>
      </c>
      <c r="I46" s="607" t="e">
        <v>#VALUE!</v>
      </c>
      <c r="J46" s="126"/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 t="e">
        <v>#VALUE!</v>
      </c>
      <c r="S46" s="279" t="e" cm="1">
        <f t="array" ref="S46">_xll.d.Dates_Act365(R45,R46)</f>
        <v>#VALUE!</v>
      </c>
      <c r="T46" s="607" t="e">
        <v>#VALUE!</v>
      </c>
      <c r="U46" s="727" t="e">
        <f ca="1"/>
        <v>#VALUE!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0.85640111401297891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0.60416443029591738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 t="e">
        <v>#VALUE!</v>
      </c>
      <c r="BO46" s="279" t="e" cm="1">
        <f t="array" ref="BO46">_xll.d.Dates_Act365(BN45,BN46)</f>
        <v>#VALUE!</v>
      </c>
      <c r="BP46" s="607" t="e"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 t="e">
        <v>#VALUE!</v>
      </c>
      <c r="H47" s="279" t="e" cm="1">
        <f t="array" ref="H47">_xll.d.Dates_Act365(G46,G47)</f>
        <v>#VALUE!</v>
      </c>
      <c r="I47" s="607" t="e">
        <v>#VALUE!</v>
      </c>
      <c r="J47" s="126"/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 t="e">
        <v>#VALUE!</v>
      </c>
      <c r="S47" s="279" t="e" cm="1">
        <f t="array" ref="S47">_xll.d.Dates_Act365(R46,R47)</f>
        <v>#VALUE!</v>
      </c>
      <c r="T47" s="607" t="e">
        <v>#VALUE!</v>
      </c>
      <c r="U47" s="727" t="e">
        <f ca="1"/>
        <v>#VALUE!</v>
      </c>
      <c r="V47" s="740"/>
      <c r="W47" s="740"/>
      <c r="X47" s="740"/>
      <c r="Y47" s="740"/>
      <c r="Z47" s="740"/>
      <c r="AA47" s="203"/>
      <c r="AB47" s="204"/>
      <c r="AC47" s="777" t="s">
        <v>606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0.82944410369349064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606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0.56052710527542615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 t="e">
        <v>#VALUE!</v>
      </c>
      <c r="BO47" s="279" t="e" cm="1">
        <f t="array" ref="BO47">_xll.d.Dates_Act365(BN46,BN47)</f>
        <v>#VALUE!</v>
      </c>
      <c r="BP47" s="607" t="e"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1" t="e">
        <v>#VALUE!</v>
      </c>
      <c r="H48" s="191" t="e" cm="1">
        <f t="array" ref="H48">_xll.d.Dates_Act365(G47,G48)</f>
        <v>#VALUE!</v>
      </c>
      <c r="I48" s="608" t="e">
        <v>#VALUE!</v>
      </c>
      <c r="J48" s="128"/>
      <c r="K48" s="203"/>
      <c r="L48" s="204"/>
      <c r="M48" s="257" t="s">
        <v>197</v>
      </c>
      <c r="N48" s="716">
        <v>6.2100000000000002E-2</v>
      </c>
      <c r="O48" s="243" t="b">
        <v>1</v>
      </c>
      <c r="R48" s="725" t="e">
        <v>#VALUE!</v>
      </c>
      <c r="S48" s="279" t="e" cm="1">
        <f t="array" ref="S48">_xll.d.Dates_Act365(R47,R48)</f>
        <v>#VALUE!</v>
      </c>
      <c r="T48" s="607" t="e">
        <v>#VALUE!</v>
      </c>
      <c r="U48" s="727" t="e">
        <f ca="1"/>
        <v>#VALUE!</v>
      </c>
      <c r="V48" s="740"/>
      <c r="W48" s="740"/>
      <c r="X48" s="740"/>
      <c r="Y48" s="740"/>
      <c r="Z48" s="740"/>
      <c r="AA48" s="203"/>
      <c r="AB48" s="204"/>
      <c r="AC48" s="777" t="s">
        <v>607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607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 t="e">
        <v>#VALUE!</v>
      </c>
      <c r="BO48" s="279" t="e" cm="1">
        <f t="array" ref="BO48">_xll.d.Dates_Act365(BN47,BN48)</f>
        <v>#VALUE!</v>
      </c>
      <c r="BP48" s="607" t="e"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K49" s="203"/>
      <c r="L49" s="204"/>
      <c r="M49" s="713" t="s">
        <v>588</v>
      </c>
      <c r="N49" s="716">
        <v>6.1800000000000001E-2</v>
      </c>
      <c r="O49" s="243" t="b">
        <v>1</v>
      </c>
      <c r="Q49" s="612"/>
      <c r="R49" s="725" t="e">
        <v>#VALUE!</v>
      </c>
      <c r="S49" s="279" t="e" cm="1">
        <f t="array" ref="S49">_xll.d.Dates_Act365(R48,R49)</f>
        <v>#VALUE!</v>
      </c>
      <c r="T49" s="607" t="e">
        <v>#VALUE!</v>
      </c>
      <c r="U49" s="727" t="e">
        <f ca="1"/>
        <v>#VALUE!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557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557</v>
      </c>
      <c r="AY49" s="295"/>
      <c r="AZ49" s="295"/>
      <c r="BA49" s="296"/>
      <c r="BG49" s="54"/>
      <c r="BH49" s="713" t="s">
        <v>588</v>
      </c>
      <c r="BI49" s="716">
        <v>3.0550000000000001E-2</v>
      </c>
      <c r="BJ49" s="243" t="b">
        <v>1</v>
      </c>
      <c r="BL49" s="54"/>
      <c r="BN49" s="725" t="e">
        <v>#VALUE!</v>
      </c>
      <c r="BO49" s="279" t="e" cm="1">
        <f t="array" ref="BO49">_xll.d.Dates_Act365(BN48,BN49)</f>
        <v>#VALUE!</v>
      </c>
      <c r="BP49" s="607" t="e"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294" t="s">
        <v>557</v>
      </c>
      <c r="H50" s="295"/>
      <c r="I50" s="295"/>
      <c r="J50" s="296"/>
      <c r="K50" s="203"/>
      <c r="L50" s="204"/>
      <c r="M50" s="713" t="s">
        <v>589</v>
      </c>
      <c r="N50" s="716">
        <v>6.2100000000000002E-2</v>
      </c>
      <c r="O50" s="243" t="b">
        <v>1</v>
      </c>
      <c r="R50" s="725" t="e">
        <v>#VALUE!</v>
      </c>
      <c r="S50" s="279" t="e" cm="1">
        <f t="array" ref="S50">_xll.d.Dates_Act365(R49,R50)</f>
        <v>#VALUE!</v>
      </c>
      <c r="T50" s="607" t="e">
        <v>#VALUE!</v>
      </c>
      <c r="U50" s="727" t="e">
        <f ca="1"/>
        <v>#VALUE!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589</v>
      </c>
      <c r="BI50" s="716">
        <v>3.1827000000000001E-2</v>
      </c>
      <c r="BJ50" s="243" t="b">
        <v>1</v>
      </c>
      <c r="BL50" s="54"/>
      <c r="BN50" s="725" t="e">
        <v>#VALUE!</v>
      </c>
      <c r="BO50" s="279" t="e" cm="1">
        <f t="array" ref="BO50">_xll.d.Dates_Act365(BN49,BN50)</f>
        <v>#VALUE!</v>
      </c>
      <c r="BP50" s="607" t="e"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590</v>
      </c>
      <c r="N51" s="716">
        <v>6.2600000000000003E-2</v>
      </c>
      <c r="O51" s="243" t="b">
        <v>1</v>
      </c>
      <c r="R51" s="725" t="e">
        <v>#VALUE!</v>
      </c>
      <c r="S51" s="279" t="e" cm="1">
        <f t="array" ref="S51">_xll.d.Dates_Act365(R50,R51)</f>
        <v>#VALUE!</v>
      </c>
      <c r="T51" s="607" t="e">
        <v>#VALUE!</v>
      </c>
      <c r="U51" s="727" t="e">
        <f ca="1"/>
        <v>#VALUE!</v>
      </c>
      <c r="V51" s="740"/>
      <c r="W51" s="740"/>
      <c r="X51" s="740"/>
      <c r="Y51" s="740"/>
      <c r="Z51" s="740"/>
      <c r="AA51" s="203"/>
      <c r="AB51" s="204"/>
      <c r="AC51" s="777" t="s">
        <v>593</v>
      </c>
      <c r="AD51" s="275">
        <v>6.9000000000000008E-4</v>
      </c>
      <c r="AE51" s="206" t="b">
        <v>1</v>
      </c>
      <c r="AF51" s="439"/>
      <c r="AH51" s="626" t="s">
        <v>49</v>
      </c>
      <c r="AI51" s="736" t="e">
        <f ca="1">SUMPRODUCT(AI37,AJ37,AK37)/SUMPRODUCT(AI37,AK37)</f>
        <v>#VALUE!</v>
      </c>
      <c r="AJ51" s="736">
        <f>AD51</f>
        <v>6.9000000000000008E-4</v>
      </c>
      <c r="AK51" s="195" t="str" cm="1">
        <f t="array" aca="1" ref="AK51" ca="1">_xll.d.TestUtils_Equal(AI51,AJ51,0.00001)</f>
        <v>Error</v>
      </c>
      <c r="AL51" s="775"/>
      <c r="AQ51" s="203"/>
      <c r="AR51" s="204"/>
      <c r="AS51" s="777" t="s">
        <v>593</v>
      </c>
      <c r="AT51" s="275">
        <v>1.7310000000000002E-2</v>
      </c>
      <c r="AU51" s="206" t="b">
        <v>1</v>
      </c>
      <c r="AX51" s="626" t="s">
        <v>49</v>
      </c>
      <c r="AY51" s="736" t="e">
        <f ca="1">SUMPRODUCT(AY37,AZ37,BA37)/SUMPRODUCT(AY37,BA37)</f>
        <v>#VALUE!</v>
      </c>
      <c r="AZ51" s="736">
        <f>AT51</f>
        <v>1.7310000000000002E-2</v>
      </c>
      <c r="BA51" s="195" t="str" cm="1">
        <f t="array" aca="1" ref="BA51" ca="1">_xll.d.TestUtils_Equal(AY51,AZ51,0.00001)</f>
        <v>Error</v>
      </c>
      <c r="BB51" s="775"/>
      <c r="BG51" s="54"/>
      <c r="BH51" s="713" t="s">
        <v>590</v>
      </c>
      <c r="BI51" s="716">
        <v>3.1489999999999997E-2</v>
      </c>
      <c r="BJ51" s="243" t="b">
        <v>1</v>
      </c>
      <c r="BL51" s="54"/>
      <c r="BN51" s="725" t="e">
        <v>#VALUE!</v>
      </c>
      <c r="BO51" s="279" t="e" cm="1">
        <f t="array" ref="BO51">_xll.d.Dates_Act365(BN50,BN51)</f>
        <v>#VALUE!</v>
      </c>
      <c r="BP51" s="607" t="e"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26" t="s">
        <v>50</v>
      </c>
      <c r="H52" s="194" t="e">
        <f>SUMPRODUCT(H37:H44,I37:I44,J37:J44)/SUMPRODUCT(H37:H44,J37:J44)</f>
        <v>#VALUE!</v>
      </c>
      <c r="I52" s="194">
        <f>C52</f>
        <v>0.1</v>
      </c>
      <c r="J52" s="195" t="str" cm="1">
        <f t="array" ref="J52">_xll.d.TestUtils_Equal(H52,I52,0.00001)</f>
        <v>Error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 t="e">
        <v>#VALUE!</v>
      </c>
      <c r="S52" s="279" t="e" cm="1">
        <f t="array" ref="S52">_xll.d.Dates_Act365(R51,R52)</f>
        <v>#VALUE!</v>
      </c>
      <c r="T52" s="607" t="e">
        <v>#VALUE!</v>
      </c>
      <c r="U52" s="727" t="e">
        <f ca="1"/>
        <v>#VALUE!</v>
      </c>
      <c r="V52" s="740"/>
      <c r="W52" s="740"/>
      <c r="X52" s="740"/>
      <c r="Y52" s="740"/>
      <c r="Z52" s="740"/>
      <c r="AA52" s="203"/>
      <c r="AB52" s="204"/>
      <c r="AC52" s="777" t="s">
        <v>596</v>
      </c>
      <c r="AD52" s="275">
        <v>7.9000000000000001E-4</v>
      </c>
      <c r="AE52" s="206" t="b">
        <v>1</v>
      </c>
      <c r="AF52" s="439"/>
      <c r="AH52" s="743" t="s">
        <v>50</v>
      </c>
      <c r="AI52" s="744" t="e">
        <f t="array" ref="AI52">SUMPRODUCT(AI37:AI38,AJ37:AJ38,AK37:AK38)/SUMPRODUCT(AI37:AI38,AK37:AK38)</f>
        <v>#VALUE!</v>
      </c>
      <c r="AJ52" s="744">
        <f>AD53</f>
        <v>8.3000000000000001E-4</v>
      </c>
      <c r="AK52" s="686" t="str" cm="1">
        <f t="array" ref="AK52">_xll.d.TestUtils_Equal(AI52,AJ52,0.00001)</f>
        <v>Error</v>
      </c>
      <c r="AL52" s="775"/>
      <c r="AQ52" s="203"/>
      <c r="AR52" s="204"/>
      <c r="AS52" s="777" t="s">
        <v>596</v>
      </c>
      <c r="AT52" s="275">
        <v>2.0879999999999999E-2</v>
      </c>
      <c r="AU52" s="206" t="b">
        <v>1</v>
      </c>
      <c r="AX52" s="743" t="s">
        <v>50</v>
      </c>
      <c r="AY52" s="744" t="e">
        <f t="array" ref="AY52">SUMPRODUCT(AY37:AY38,AZ37:AZ38,BA37:BA38)/SUMPRODUCT(AY37:AY38,BA37:BA38)</f>
        <v>#VALUE!</v>
      </c>
      <c r="AZ52" s="744">
        <f>AT53</f>
        <v>2.3050000000000001E-2</v>
      </c>
      <c r="BA52" s="686" t="str" cm="1">
        <f t="array" ref="BA52">_xll.d.TestUtils_Equal(AY52,AZ52,0.00001)</f>
        <v>Error</v>
      </c>
      <c r="BB52" s="775"/>
      <c r="BG52" s="54"/>
      <c r="BH52" s="714"/>
      <c r="BI52" s="717"/>
      <c r="BJ52" s="245"/>
      <c r="BL52" s="54"/>
      <c r="BN52" s="725" t="e">
        <v>#VALUE!</v>
      </c>
      <c r="BO52" s="279" t="e" cm="1">
        <f t="array" ref="BO52">_xll.d.Dates_Act365(BN51,BN52)</f>
        <v>#VALUE!</v>
      </c>
      <c r="BP52" s="607" t="e"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27" t="s">
        <v>54</v>
      </c>
      <c r="H53" s="628" t="e">
        <f>SUMPRODUCT(H37:H48,I37:I48,J37:J48)/SUMPRODUCT(H37:H48,J37:J48)</f>
        <v>#VALUE!</v>
      </c>
      <c r="I53" s="628">
        <f>C53</f>
        <v>0.1</v>
      </c>
      <c r="J53" s="198" t="str" cm="1">
        <f t="array" ref="J53">_xll.d.TestUtils_Equal(H53,I53,0.00001)</f>
        <v>Error</v>
      </c>
      <c r="K53" s="203"/>
      <c r="L53" s="204"/>
      <c r="M53" s="710"/>
      <c r="N53" s="711"/>
      <c r="O53" s="712"/>
      <c r="R53" s="725" t="e">
        <v>#VALUE!</v>
      </c>
      <c r="S53" s="279" t="e" cm="1">
        <f t="array" ref="S53">_xll.d.Dates_Act365(R52,R53)</f>
        <v>#VALUE!</v>
      </c>
      <c r="T53" s="607" t="e">
        <v>#VALUE!</v>
      </c>
      <c r="U53" s="727" t="e">
        <f ca="1"/>
        <v>#VALUE!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 t="e">
        <f>SUMPRODUCT(AI37:AI39,AJ37:AJ39,AK37:AK39)/SUMPRODUCT(AI37:AI39,AK37:AK39)</f>
        <v>#VALUE!</v>
      </c>
      <c r="AJ53" s="746">
        <f>AD54</f>
        <v>1.16E-3</v>
      </c>
      <c r="AK53" s="686" t="str" cm="1">
        <f t="array" ref="AK53">_xll.d.TestUtils_Equal(AI53,AJ53,0.00001)</f>
        <v>Error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 t="e">
        <f>SUMPRODUCT(AY37:AY39,AZ37:AZ39,BA37:BA39)/SUMPRODUCT(AY37:AY39,BA37:BA39)</f>
        <v>#VALUE!</v>
      </c>
      <c r="AZ53" s="746">
        <f>AT54</f>
        <v>2.3450000000000002E-2</v>
      </c>
      <c r="BA53" s="686" t="str" cm="1">
        <f t="array" ref="BA53">_xll.d.TestUtils_Equal(AY53,AZ53,0.00001)</f>
        <v>Error</v>
      </c>
      <c r="BB53" s="775"/>
      <c r="BG53" s="54"/>
      <c r="BH53" s="710"/>
      <c r="BI53" s="711"/>
      <c r="BJ53" s="712"/>
      <c r="BL53" s="54"/>
      <c r="BN53" s="725" t="e">
        <v>#VALUE!</v>
      </c>
      <c r="BO53" s="279" t="e" cm="1">
        <f t="array" ref="BO53">_xll.d.Dates_Act365(BN52,BN53)</f>
        <v>#VALUE!</v>
      </c>
      <c r="BP53" s="607" t="e"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K54" s="203"/>
      <c r="L54" s="204"/>
      <c r="M54" s="12" t="s">
        <v>40</v>
      </c>
      <c r="N54" s="27"/>
      <c r="O54" s="13"/>
      <c r="R54" s="725" t="e">
        <v>#VALUE!</v>
      </c>
      <c r="S54" s="279" t="e" cm="1">
        <f t="array" ref="S54">_xll.d.Dates_Act365(R53,R54)</f>
        <v>#VALUE!</v>
      </c>
      <c r="T54" s="607" t="e">
        <v>#VALUE!</v>
      </c>
      <c r="U54" s="727" t="e">
        <f ca="1"/>
        <v>#VALUE!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592</v>
      </c>
      <c r="AI54" s="744" t="e">
        <f>SUMPRODUCT(AI$37:AI40,AJ$37:AJ40,AK$37:AK40)/SUMPRODUCT(AI$37:AI40,AK$37:AK40)</f>
        <v>#VALUE!</v>
      </c>
      <c r="AJ54" s="744">
        <f>AD55</f>
        <v>1.6000000000000001E-3</v>
      </c>
      <c r="AK54" s="686" t="str" cm="1">
        <f t="array" ref="AK54">_xll.d.TestUtils_Equal(AI54,AJ54,0.00001)</f>
        <v>Error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592</v>
      </c>
      <c r="AY54" s="744" t="e">
        <f>SUMPRODUCT(AY$37:AY40,AZ$37:AZ40,BA$37:BA40)/SUMPRODUCT(AY$37:AY40,BA$37:BA40)</f>
        <v>#VALUE!</v>
      </c>
      <c r="AZ54" s="744">
        <f>AT55</f>
        <v>2.2850000000000002E-2</v>
      </c>
      <c r="BA54" s="686" t="str" cm="1">
        <f t="array" ref="BA54">_xll.d.TestUtils_Equal(AY54,AZ54,0.00001)</f>
        <v>Error</v>
      </c>
      <c r="BB54" s="775"/>
      <c r="BG54" s="54"/>
      <c r="BH54" s="12" t="s">
        <v>40</v>
      </c>
      <c r="BI54" s="27"/>
      <c r="BJ54" s="13"/>
      <c r="BL54" s="54"/>
      <c r="BN54" s="725" t="e">
        <v>#VALUE!</v>
      </c>
      <c r="BO54" s="279" t="e" cm="1">
        <f t="array" ref="BO54">_xll.d.Dates_Act365(BN53,BN54)</f>
        <v>#VALUE!</v>
      </c>
      <c r="BP54" s="607" t="e"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 t="e">
        <v>#VALUE!</v>
      </c>
      <c r="S55" s="279" t="e" cm="1">
        <f t="array" ref="S55">_xll.d.Dates_Act365(R54,R55)</f>
        <v>#VALUE!</v>
      </c>
      <c r="T55" s="607" t="e">
        <v>#VALUE!</v>
      </c>
      <c r="U55" s="727" t="e">
        <f ca="1"/>
        <v>#VALUE!</v>
      </c>
      <c r="V55" s="740"/>
      <c r="W55" s="740"/>
      <c r="X55" s="740"/>
      <c r="Y55" s="740"/>
      <c r="Z55" s="740"/>
      <c r="AA55" s="203"/>
      <c r="AB55" s="204"/>
      <c r="AC55" s="777" t="s">
        <v>592</v>
      </c>
      <c r="AD55" s="275">
        <v>1.6000000000000001E-3</v>
      </c>
      <c r="AE55" s="206" t="b">
        <v>1</v>
      </c>
      <c r="AF55" s="439"/>
      <c r="AH55" s="745" t="s">
        <v>599</v>
      </c>
      <c r="AI55" s="744" t="e">
        <f>SUMPRODUCT(AI$37:AI41,AJ$37:AJ41,AK$37:AK41)/SUMPRODUCT(AI$37:AI41,AK$37:AK41)</f>
        <v>#VALUE!</v>
      </c>
      <c r="AJ55" s="746">
        <f>AD56</f>
        <v>2.1299999999999999E-3</v>
      </c>
      <c r="AK55" s="686" t="str" cm="1">
        <f t="array" ref="AK55">_xll.d.TestUtils_Equal(AI55,AJ55,0.00001)</f>
        <v>Error</v>
      </c>
      <c r="AL55" s="775"/>
      <c r="AQ55" s="203"/>
      <c r="AR55" s="204"/>
      <c r="AS55" s="777" t="s">
        <v>592</v>
      </c>
      <c r="AT55" s="275">
        <v>2.2850000000000002E-2</v>
      </c>
      <c r="AU55" s="206" t="b">
        <v>1</v>
      </c>
      <c r="AX55" s="745" t="s">
        <v>599</v>
      </c>
      <c r="AY55" s="744" t="e">
        <f>SUMPRODUCT(AY$37:AY41,AZ$37:AZ41,BA$37:BA41)/SUMPRODUCT(AY$37:AY41,BA$37:BA41)</f>
        <v>#VALUE!</v>
      </c>
      <c r="AZ55" s="746">
        <f>AT56</f>
        <v>2.2099999999999998E-2</v>
      </c>
      <c r="BA55" s="686" t="str" cm="1">
        <f t="array" ref="BA55">_xll.d.TestUtils_Equal(AY55,AZ55,0.00001)</f>
        <v>Error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 t="e">
        <v>#VALUE!</v>
      </c>
      <c r="BO55" s="279" t="e" cm="1">
        <f t="array" ref="BO55">_xll.d.Dates_Act365(BN54,BN55)</f>
        <v>#VALUE!</v>
      </c>
      <c r="BP55" s="607" t="e"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 t="e">
        <v>#VALUE!</v>
      </c>
      <c r="S56" s="279" t="e" cm="1">
        <f t="array" ref="S56">_xll.d.Dates_Act365(R55,R56)</f>
        <v>#VALUE!</v>
      </c>
      <c r="T56" s="607" t="e">
        <v>#VALUE!</v>
      </c>
      <c r="U56" s="727" t="e">
        <f ca="1"/>
        <v>#VALUE!</v>
      </c>
      <c r="V56" s="740"/>
      <c r="W56" s="740"/>
      <c r="X56" s="740"/>
      <c r="Y56" s="740"/>
      <c r="Z56" s="740"/>
      <c r="AA56" s="203"/>
      <c r="AB56" s="204"/>
      <c r="AC56" s="777" t="s">
        <v>599</v>
      </c>
      <c r="AD56" s="275">
        <v>2.1299999999999999E-3</v>
      </c>
      <c r="AE56" s="206" t="b">
        <v>1</v>
      </c>
      <c r="AF56" s="439"/>
      <c r="AH56" s="627" t="s">
        <v>601</v>
      </c>
      <c r="AI56" s="737" t="e">
        <f>SUMPRODUCT(AI$37:AI43,AJ$37:AJ43,AK$37:AK43)/SUMPRODUCT(AI$37:AI43,AK$37:AK43)</f>
        <v>#VALUE!</v>
      </c>
      <c r="AJ56" s="737">
        <f>AD57</f>
        <v>3.14E-3</v>
      </c>
      <c r="AK56" s="198" t="str" cm="1">
        <f t="array" ref="AK56">_xll.d.TestUtils_Equal(AI56,AJ56,0.00001)</f>
        <v>Error</v>
      </c>
      <c r="AL56" s="775"/>
      <c r="AQ56" s="203"/>
      <c r="AR56" s="204"/>
      <c r="AS56" s="777" t="s">
        <v>599</v>
      </c>
      <c r="AT56" s="275">
        <v>2.2099999999999998E-2</v>
      </c>
      <c r="AU56" s="206" t="b">
        <v>1</v>
      </c>
      <c r="AX56" s="627" t="s">
        <v>601</v>
      </c>
      <c r="AY56" s="737" t="e">
        <f>SUMPRODUCT(AY$37:AY43,AZ$37:AZ43,BA$37:BA43)/SUMPRODUCT(AY$37:AY43,BA$37:BA43)</f>
        <v>#VALUE!</v>
      </c>
      <c r="AZ56" s="737">
        <f>AT57</f>
        <v>2.138E-2</v>
      </c>
      <c r="BA56" s="198" t="str" cm="1">
        <f t="array" ref="BA56">_xll.d.TestUtils_Equal(AY56,AZ56,0.00001)</f>
        <v>Error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 t="e">
        <v>#VALUE!</v>
      </c>
      <c r="BO56" s="279" t="e" cm="1">
        <f t="array" ref="BO56">_xll.d.Dates_Act365(BN55,BN56)</f>
        <v>#VALUE!</v>
      </c>
      <c r="BP56" s="607" t="e"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K57" s="203"/>
      <c r="L57" s="204"/>
      <c r="M57" s="713" t="s">
        <v>592</v>
      </c>
      <c r="N57" s="708">
        <v>6.5199999999999994E-2</v>
      </c>
      <c r="O57" s="221" t="b">
        <v>1</v>
      </c>
      <c r="R57" s="725" t="e">
        <v>#VALUE!</v>
      </c>
      <c r="S57" s="279" t="e" cm="1">
        <f t="array" ref="S57">_xll.d.Dates_Act365(R56,R57)</f>
        <v>#VALUE!</v>
      </c>
      <c r="T57" s="607" t="e">
        <v>#VALUE!</v>
      </c>
      <c r="U57" s="727" t="e">
        <f ca="1"/>
        <v>#VALUE!</v>
      </c>
      <c r="V57" s="740"/>
      <c r="W57" s="740"/>
      <c r="X57" s="740"/>
      <c r="Y57" s="740"/>
      <c r="Z57" s="740"/>
      <c r="AA57" s="203"/>
      <c r="AB57" s="204"/>
      <c r="AC57" s="777" t="s">
        <v>601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601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 t="e">
        <v>#VALUE!</v>
      </c>
      <c r="BO57" s="279" t="e" cm="1">
        <f t="array" ref="BO57">_xll.d.Dates_Act365(BN56,BN57)</f>
        <v>#VALUE!</v>
      </c>
      <c r="BP57" s="607" t="e"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K58" s="203"/>
      <c r="L58" s="204"/>
      <c r="M58" s="741" t="s">
        <v>599</v>
      </c>
      <c r="N58" s="708">
        <v>6.6600000000000006E-2</v>
      </c>
      <c r="O58" s="221" t="b">
        <v>1</v>
      </c>
      <c r="R58" s="725" t="e">
        <v>#VALUE!</v>
      </c>
      <c r="S58" s="279" t="e" cm="1">
        <f t="array" ref="S58">_xll.d.Dates_Act365(R57,R58)</f>
        <v>#VALUE!</v>
      </c>
      <c r="T58" s="607" t="e">
        <v>#VALUE!</v>
      </c>
      <c r="U58" s="727" t="e">
        <f ca="1"/>
        <v>#VALUE!</v>
      </c>
      <c r="V58" s="740"/>
      <c r="W58" s="740"/>
      <c r="X58" s="740"/>
      <c r="Y58" s="740"/>
      <c r="Z58" s="740"/>
      <c r="AA58" s="203"/>
      <c r="AB58" s="204"/>
      <c r="AC58" s="777" t="s">
        <v>608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608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592</v>
      </c>
      <c r="BI58" s="708">
        <v>2.5990000000000003E-2</v>
      </c>
      <c r="BJ58" s="221" t="b">
        <v>1</v>
      </c>
      <c r="BL58" s="54"/>
      <c r="BN58" s="725" t="e">
        <v>#VALUE!</v>
      </c>
      <c r="BO58" s="279" t="e" cm="1">
        <f t="array" ref="BO58">_xll.d.Dates_Act365(BN57,BN58)</f>
        <v>#VALUE!</v>
      </c>
      <c r="BP58" s="607" t="e"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>
      <c r="B59" s="4" t="s">
        <v>646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600</v>
      </c>
      <c r="N59" s="708">
        <v>6.83E-2</v>
      </c>
      <c r="O59" s="221" t="b">
        <v>1</v>
      </c>
      <c r="R59" s="725" t="e">
        <v>#VALUE!</v>
      </c>
      <c r="S59" s="279" t="e" cm="1">
        <f t="array" ref="S59">_xll.d.Dates_Act365(R58,R59)</f>
        <v>#VALUE!</v>
      </c>
      <c r="T59" s="607" t="e">
        <v>#VALUE!</v>
      </c>
      <c r="U59" s="727" t="e">
        <f ca="1"/>
        <v>#VALUE!</v>
      </c>
      <c r="V59" s="740"/>
      <c r="W59" s="740"/>
      <c r="X59" s="740"/>
      <c r="Y59" s="740"/>
      <c r="Z59" s="740"/>
      <c r="AA59" s="203"/>
      <c r="AB59" s="204"/>
      <c r="AC59" s="777" t="s">
        <v>609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609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599</v>
      </c>
      <c r="BI59" s="708">
        <v>2.5137E-2</v>
      </c>
      <c r="BJ59" s="221" t="b">
        <v>1</v>
      </c>
      <c r="BL59" s="54"/>
      <c r="BN59" s="725" t="e">
        <v>#VALUE!</v>
      </c>
      <c r="BO59" s="279" t="e" cm="1">
        <f t="array" ref="BO59">_xll.d.Dates_Act365(BN58,BN59)</f>
        <v>#VALUE!</v>
      </c>
      <c r="BP59" s="607" t="e"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I60" s="814"/>
      <c r="K60" s="203"/>
      <c r="L60" s="204"/>
      <c r="M60" s="741" t="s">
        <v>601</v>
      </c>
      <c r="N60" s="708">
        <v>6.9900000000000004E-2</v>
      </c>
      <c r="O60" s="221" t="b">
        <v>1</v>
      </c>
      <c r="R60" s="725" t="e">
        <v>#VALUE!</v>
      </c>
      <c r="S60" s="279" t="e" cm="1">
        <f t="array" ref="S60">_xll.d.Dates_Act365(R59,R60)</f>
        <v>#VALUE!</v>
      </c>
      <c r="T60" s="607" t="e">
        <v>#VALUE!</v>
      </c>
      <c r="U60" s="727" t="e">
        <f ca="1"/>
        <v>#VALUE!</v>
      </c>
      <c r="V60" s="740"/>
      <c r="W60" s="740"/>
      <c r="X60" s="740"/>
      <c r="Y60" s="740"/>
      <c r="Z60" s="740"/>
      <c r="AA60" s="203"/>
      <c r="AB60" s="204"/>
      <c r="AC60" s="777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610</v>
      </c>
      <c r="AT60" s="275">
        <v>2.0959999999999999E-2</v>
      </c>
      <c r="AU60" s="206" t="b">
        <v>1</v>
      </c>
      <c r="BG60" s="54"/>
      <c r="BH60" s="821" t="s">
        <v>600</v>
      </c>
      <c r="BI60" s="708">
        <v>2.4760000000000001E-2</v>
      </c>
      <c r="BJ60" s="221" t="b">
        <v>1</v>
      </c>
      <c r="BL60" s="54"/>
      <c r="BN60" s="725" t="e">
        <v>#VALUE!</v>
      </c>
      <c r="BO60" s="279" t="e" cm="1">
        <f t="array" ref="BO60">_xll.d.Dates_Act365(BN59,BN60)</f>
        <v>#VALUE!</v>
      </c>
      <c r="BP60" s="607" t="e"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602</v>
      </c>
      <c r="N61" s="720">
        <v>7.17E-2</v>
      </c>
      <c r="O61" s="219" t="b">
        <v>1</v>
      </c>
      <c r="R61" s="725" t="e">
        <v>#VALUE!</v>
      </c>
      <c r="S61" s="279" t="e" cm="1">
        <f t="array" ref="S61">_xll.d.Dates_Act365(R60,R61)</f>
        <v>#VALUE!</v>
      </c>
      <c r="T61" s="607" t="e">
        <v>#VALUE!</v>
      </c>
      <c r="U61" s="727" t="e">
        <f ca="1"/>
        <v>#VALUE!</v>
      </c>
      <c r="V61" s="740"/>
      <c r="W61" s="740"/>
      <c r="X61" s="740"/>
      <c r="Y61" s="740"/>
      <c r="Z61" s="740"/>
      <c r="AA61" s="203"/>
      <c r="AB61" s="204"/>
      <c r="AC61" s="777" t="s">
        <v>611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611</v>
      </c>
      <c r="AT61" s="275">
        <v>2.0830000000000001E-2</v>
      </c>
      <c r="AU61" s="206" t="b">
        <v>1</v>
      </c>
      <c r="BG61" s="54"/>
      <c r="BH61" s="821" t="s">
        <v>601</v>
      </c>
      <c r="BI61" s="708">
        <v>2.4512999999999997E-2</v>
      </c>
      <c r="BJ61" s="221" t="b">
        <v>1</v>
      </c>
      <c r="BL61" s="54"/>
      <c r="BN61" s="725" t="e">
        <v>#VALUE!</v>
      </c>
      <c r="BO61" s="279" t="e" cm="1">
        <f t="array" ref="BO61">_xll.d.Dates_Act365(BN60,BN61)</f>
        <v>#VALUE!</v>
      </c>
      <c r="BP61" s="607" t="e"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 t="e">
        <v>#VALUE!</v>
      </c>
      <c r="S62" s="279" t="e" cm="1">
        <f t="array" ref="S62">_xll.d.Dates_Act365(R61,R62)</f>
        <v>#VALUE!</v>
      </c>
      <c r="T62" s="607" t="e">
        <v>#VALUE!</v>
      </c>
      <c r="U62" s="727" t="e">
        <f ca="1"/>
        <v>#VALUE!</v>
      </c>
      <c r="V62" s="740"/>
      <c r="W62" s="740"/>
      <c r="X62" s="740"/>
      <c r="Y62" s="740"/>
      <c r="Z62" s="740"/>
      <c r="AA62" s="203"/>
      <c r="AB62" s="204"/>
      <c r="AC62" s="777" t="s">
        <v>612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612</v>
      </c>
      <c r="AT62" s="275">
        <v>2.0250000000000001E-2</v>
      </c>
      <c r="AU62" s="206" t="b">
        <v>1</v>
      </c>
      <c r="BG62" s="54"/>
      <c r="BH62" s="821" t="s">
        <v>602</v>
      </c>
      <c r="BI62" s="708">
        <v>2.4540000000000003E-2</v>
      </c>
      <c r="BJ62" s="221" t="b">
        <v>1</v>
      </c>
      <c r="BL62" s="54"/>
      <c r="BN62" s="725" t="e">
        <v>#VALUE!</v>
      </c>
      <c r="BO62" s="279" t="e" cm="1">
        <f t="array" ref="BO62">_xll.d.Dates_Act365(BN61,BN62)</f>
        <v>#VALUE!</v>
      </c>
      <c r="BP62" s="607" t="e"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 t="e">
        <v>#VALUE!</v>
      </c>
      <c r="S63" s="279" t="e" cm="1">
        <f t="array" ref="S63">_xll.d.Dates_Act365(R62,R63)</f>
        <v>#VALUE!</v>
      </c>
      <c r="T63" s="607" t="e">
        <v>#VALUE!</v>
      </c>
      <c r="U63" s="727" t="e">
        <f ca="1"/>
        <v>#VALUE!</v>
      </c>
      <c r="V63" s="740"/>
      <c r="W63" s="740"/>
      <c r="X63" s="740"/>
      <c r="Y63" s="740"/>
      <c r="Z63" s="740"/>
      <c r="AA63" s="203"/>
      <c r="AB63" s="204"/>
      <c r="AC63" s="778" t="s">
        <v>613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613</v>
      </c>
      <c r="AT63" s="276">
        <v>1.9550000000000001E-2</v>
      </c>
      <c r="AU63" s="207" t="b">
        <v>1</v>
      </c>
      <c r="BG63" s="54"/>
      <c r="BH63" s="821" t="s">
        <v>639</v>
      </c>
      <c r="BI63" s="708">
        <v>2.4089999999999997E-2</v>
      </c>
      <c r="BJ63" s="221" t="b">
        <v>1</v>
      </c>
      <c r="BK63" s="54"/>
      <c r="BL63" s="54"/>
      <c r="BN63" s="725" t="e">
        <v>#VALUE!</v>
      </c>
      <c r="BO63" s="279" t="e" cm="1">
        <f t="array" ref="BO63">_xll.d.Dates_Act365(BN62,BN63)</f>
        <v>#VALUE!</v>
      </c>
      <c r="BP63" s="607" t="e"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842" t="s">
        <v>3</v>
      </c>
      <c r="C64" s="843" t="s">
        <v>647</v>
      </c>
      <c r="D64" s="439"/>
      <c r="E64" s="439"/>
      <c r="I64" s="814"/>
      <c r="L64" s="204"/>
      <c r="R64" s="725" t="e">
        <v>#VALUE!</v>
      </c>
      <c r="S64" s="279" t="e" cm="1">
        <f t="array" ref="S64">_xll.d.Dates_Act365(R63,R64)</f>
        <v>#VALUE!</v>
      </c>
      <c r="T64" s="607" t="e">
        <v>#VALUE!</v>
      </c>
      <c r="U64" s="727" t="e">
        <f ca="1"/>
        <v>#VALUE!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608</v>
      </c>
      <c r="BI64" s="708">
        <v>2.3950999999999997E-2</v>
      </c>
      <c r="BJ64" s="221" t="b">
        <v>1</v>
      </c>
      <c r="BK64" s="54"/>
      <c r="BL64" s="54"/>
      <c r="BN64" s="725" t="e">
        <v>#VALUE!</v>
      </c>
      <c r="BO64" s="279" t="e" cm="1">
        <f t="array" ref="BO64">_xll.d.Dates_Act365(BN63,BN64)</f>
        <v>#VALUE!</v>
      </c>
      <c r="BP64" s="607" t="e"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844" t="s">
        <v>44</v>
      </c>
      <c r="C65" s="845" t="s">
        <v>648</v>
      </c>
      <c r="D65" s="439"/>
      <c r="E65" s="439"/>
      <c r="I65" s="814"/>
      <c r="L65" s="204"/>
      <c r="R65" s="725" t="e">
        <v>#VALUE!</v>
      </c>
      <c r="S65" s="279" t="e" cm="1">
        <f t="array" ref="S65">_xll.d.Dates_Act365(R64,R65)</f>
        <v>#VALUE!</v>
      </c>
      <c r="T65" s="607" t="e">
        <v>#VALUE!</v>
      </c>
      <c r="U65" s="727" t="e">
        <f ca="1"/>
        <v>#VALUE!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609</v>
      </c>
      <c r="BI65" s="708">
        <v>2.4050999999999999E-2</v>
      </c>
      <c r="BJ65" s="221" t="b">
        <v>1</v>
      </c>
      <c r="BK65" s="54"/>
      <c r="BL65" s="54"/>
      <c r="BN65" s="725" t="e">
        <v>#VALUE!</v>
      </c>
      <c r="BO65" s="279" t="e" cm="1">
        <f t="array" ref="BO65">_xll.d.Dates_Act365(BN64,BN65)</f>
        <v>#VALUE!</v>
      </c>
      <c r="BP65" s="607" t="e"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846" t="s">
        <v>31</v>
      </c>
      <c r="C66" s="847">
        <v>45016</v>
      </c>
      <c r="D66" s="439"/>
      <c r="E66" s="439"/>
      <c r="I66" s="814"/>
      <c r="L66" s="204"/>
      <c r="R66" s="725" t="e">
        <v>#VALUE!</v>
      </c>
      <c r="S66" s="279" t="e" cm="1">
        <f t="array" ref="S66">_xll.d.Dates_Act365(R65,R66)</f>
        <v>#VALUE!</v>
      </c>
      <c r="T66" s="607" t="e">
        <v>#VALUE!</v>
      </c>
      <c r="U66" s="727" t="e">
        <f ca="1"/>
        <v>#VALUE!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610</v>
      </c>
      <c r="BI66" s="708">
        <v>2.4262499999999999E-2</v>
      </c>
      <c r="BJ66" s="221" t="b">
        <v>1</v>
      </c>
      <c r="BK66" s="54"/>
      <c r="BL66" s="54"/>
      <c r="BN66" s="725" t="e">
        <v>#VALUE!</v>
      </c>
      <c r="BO66" s="279" t="e" cm="1">
        <f t="array" ref="BO66">_xll.d.Dates_Act365(BN65,BN66)</f>
        <v>#VALUE!</v>
      </c>
      <c r="BP66" s="607" t="e"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1"/>
      <c r="C67" s="813"/>
      <c r="D67" s="815"/>
      <c r="E67" s="775"/>
      <c r="I67" s="814"/>
      <c r="L67" s="204"/>
      <c r="R67" s="725" t="e">
        <v>#VALUE!</v>
      </c>
      <c r="S67" s="279" t="e" cm="1">
        <f t="array" ref="S67">_xll.d.Dates_Act365(R66,R67)</f>
        <v>#VALUE!</v>
      </c>
      <c r="T67" s="607" t="e">
        <v>#VALUE!</v>
      </c>
      <c r="U67" s="727" t="e">
        <f ca="1"/>
        <v>#VALUE!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611</v>
      </c>
      <c r="BI67" s="708">
        <v>2.3692999999999999E-2</v>
      </c>
      <c r="BJ67" s="221" t="b">
        <v>1</v>
      </c>
      <c r="BK67" s="54"/>
      <c r="BL67" s="54"/>
      <c r="BN67" s="725" t="e">
        <v>#VALUE!</v>
      </c>
      <c r="BO67" s="279" t="e" cm="1">
        <f t="array" ref="BO67">_xll.d.Dates_Act365(BN66,BN67)</f>
        <v>#VALUE!</v>
      </c>
      <c r="BP67" s="607" t="e"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56" t="s">
        <v>12</v>
      </c>
      <c r="C68" s="208" t="str" cm="1">
        <f t="array" ref="C68">_xll.d.Curve_Get(C64,C65,C66)</f>
        <v>@@MyZARSwapCurve::16:55:56</v>
      </c>
      <c r="D68" s="209"/>
      <c r="E68" s="775"/>
      <c r="I68" s="814"/>
      <c r="L68" s="204"/>
      <c r="R68" s="725" t="e">
        <v>#VALUE!</v>
      </c>
      <c r="S68" s="279" t="e" cm="1">
        <f t="array" ref="S68">_xll.d.Dates_Act365(R67,R68)</f>
        <v>#VALUE!</v>
      </c>
      <c r="T68" s="607" t="e">
        <v>#VALUE!</v>
      </c>
      <c r="U68" s="727" t="e">
        <f ca="1"/>
        <v>#VALUE!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612</v>
      </c>
      <c r="BI68" s="708">
        <v>2.3399999999999997E-2</v>
      </c>
      <c r="BJ68" s="221" t="b">
        <v>1</v>
      </c>
      <c r="BK68" s="54"/>
      <c r="BL68" s="54"/>
      <c r="BN68" s="725" t="e">
        <v>#VALUE!</v>
      </c>
      <c r="BO68" s="279" t="e" cm="1">
        <f t="array" ref="BO68">_xll.d.Dates_Act365(BN67,BN68)</f>
        <v>#VALUE!</v>
      </c>
      <c r="BP68" s="607" t="e"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612" t="s">
        <v>649</v>
      </c>
      <c r="C69" s="813"/>
      <c r="E69" s="775"/>
      <c r="I69" s="814"/>
      <c r="K69" s="439"/>
      <c r="L69" s="204"/>
      <c r="R69" s="725" t="e">
        <v>#VALUE!</v>
      </c>
      <c r="S69" s="279" t="e" cm="1">
        <f t="array" ref="S69">_xll.d.Dates_Act365(R68,R69)</f>
        <v>#VALUE!</v>
      </c>
      <c r="T69" s="607" t="e">
        <v>#VALUE!</v>
      </c>
      <c r="U69" s="727" t="e">
        <f ca="1"/>
        <v>#VALUE!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613</v>
      </c>
      <c r="BI69" s="708">
        <v>2.2423999999999999E-2</v>
      </c>
      <c r="BJ69" s="221" t="b">
        <v>1</v>
      </c>
      <c r="BK69" s="54"/>
      <c r="BL69" s="54"/>
      <c r="BN69" s="725" t="e">
        <v>#VALUE!</v>
      </c>
      <c r="BO69" s="279" t="e" cm="1">
        <f t="array" ref="BO69">_xll.d.Dates_Act365(BN68,BN69)</f>
        <v>#VALUE!</v>
      </c>
      <c r="BP69" s="607" t="e"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 t="e">
        <v>#VALUE!</v>
      </c>
      <c r="S70" s="279" t="e" cm="1">
        <f t="array" ref="S70">_xll.d.Dates_Act365(R69,R70)</f>
        <v>#VALUE!</v>
      </c>
      <c r="T70" s="607" t="e">
        <v>#VALUE!</v>
      </c>
      <c r="U70" s="727" t="e">
        <f ca="1"/>
        <v>#VALUE!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640</v>
      </c>
      <c r="BI70" s="720">
        <v>2.1080000000000002E-2</v>
      </c>
      <c r="BJ70" s="219" t="b">
        <v>1</v>
      </c>
      <c r="BK70" s="54"/>
      <c r="BL70" s="54"/>
      <c r="BN70" s="725" t="e">
        <v>#VALUE!</v>
      </c>
      <c r="BO70" s="279" t="e" cm="1">
        <f t="array" ref="BO70">_xll.d.Dates_Act365(BN69,BN70)</f>
        <v>#VALUE!</v>
      </c>
      <c r="BP70" s="607" t="e"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 t="e">
        <v>#VALUE!</v>
      </c>
      <c r="S71" s="279" t="e" cm="1">
        <f t="array" ref="S71">_xll.d.Dates_Act365(R70,R71)</f>
        <v>#VALUE!</v>
      </c>
      <c r="T71" s="607" t="e">
        <v>#VALUE!</v>
      </c>
      <c r="U71" s="727" t="e">
        <f ca="1"/>
        <v>#VALUE!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 t="e">
        <v>#VALUE!</v>
      </c>
      <c r="BO71" s="279" t="e" cm="1">
        <f t="array" ref="BO71">_xll.d.Dates_Act365(BN70,BN71)</f>
        <v>#VALUE!</v>
      </c>
      <c r="BP71" s="607" t="e"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 t="e">
        <v>#VALUE!</v>
      </c>
      <c r="S72" s="279" t="e" cm="1">
        <f t="array" ref="S72">_xll.d.Dates_Act365(R71,R72)</f>
        <v>#VALUE!</v>
      </c>
      <c r="T72" s="607" t="e">
        <v>#VALUE!</v>
      </c>
      <c r="U72" s="727" t="e">
        <f ca="1"/>
        <v>#VALUE!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 t="e">
        <v>#VALUE!</v>
      </c>
      <c r="BO72" s="640" t="e" cm="1">
        <f t="array" ref="BO72">_xll.d.Dates_Act365(BN71,BN72)</f>
        <v>#VALUE!</v>
      </c>
      <c r="BP72" s="729" t="e"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867">
        <f>EDATE(B72,1)</f>
        <v>45046</v>
      </c>
      <c r="C73" s="868">
        <f ca="1"/>
        <v>0.99360206292623832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 t="e">
        <v>#VALUE!</v>
      </c>
      <c r="S73" s="279" t="e" cm="1">
        <f t="array" ref="S73">_xll.d.Dates_Act365(R72,R73)</f>
        <v>#VALUE!</v>
      </c>
      <c r="T73" s="607" t="e">
        <v>#VALUE!</v>
      </c>
      <c r="U73" s="727" t="e">
        <f ca="1"/>
        <v>#VALUE!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867">
        <f t="shared" ref="B74:B84" si="1">EDATE(B73,1)</f>
        <v>45076</v>
      </c>
      <c r="C74" s="868">
        <f ca="1"/>
        <v>0.98715921592482847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 t="e">
        <v>#VALUE!</v>
      </c>
      <c r="S74" s="640" t="e" cm="1">
        <f t="array" ref="S74">_xll.d.Dates_Act365(R73,R74)</f>
        <v>#VALUE!</v>
      </c>
      <c r="T74" s="729" t="e">
        <v>#VALUE!</v>
      </c>
      <c r="U74" s="328" t="e">
        <f ca="1"/>
        <v>#VALUE!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867">
        <f t="shared" si="1"/>
        <v>45107</v>
      </c>
      <c r="C75" s="868">
        <f ca="1"/>
        <v>0.98054549384544809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867">
        <f t="shared" si="1"/>
        <v>45137</v>
      </c>
      <c r="C76" s="868">
        <f ca="1"/>
        <v>0.97404099755707096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67">
        <f t="shared" si="1"/>
        <v>45168</v>
      </c>
      <c r="C77" s="868">
        <f ca="1"/>
        <v>0.96736501063794622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557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ref="BQ77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67">
        <f t="shared" si="1"/>
        <v>45199</v>
      </c>
      <c r="C78" s="868">
        <f ca="1"/>
        <v>0.96073374854956706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>SUMPRODUCT(BO41:BO56,BP41:BP56,BQ41:BQ56)/SUMPRODUCT(BO41:BO56,BQ41:BQ56)</f>
        <v>#VALUE!</v>
      </c>
      <c r="BP78" s="744">
        <f t="shared" si="2"/>
        <v>0</v>
      </c>
      <c r="BQ78" s="686" t="str" cm="1">
        <f t="array" ref="BQ78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67">
        <f t="shared" si="1"/>
        <v>45229</v>
      </c>
      <c r="C79" s="868">
        <f ca="1"/>
        <v>0.95432992729212318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 t="e">
        <f>SUMPRODUCT(S43:S54,T43:T54,U43:U54)/SUMPRODUCT(S43:S54,U43:U54)</f>
        <v>#VALUE!</v>
      </c>
      <c r="T79" s="736">
        <f t="shared" ref="T79:T84" si="3">N56</f>
        <v>6.3899999999999998E-2</v>
      </c>
      <c r="U79" s="195" t="str" cm="1">
        <f t="array" ref="U79">_xll.d.TestUtils_Equal(S79,T79,0.00001)</f>
        <v>Error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>SUMPRODUCT(BO41:BO60,BP41:BP60,BQ41:BQ60)/SUMPRODUCT(BO41:BO60,BQ41:BQ60)</f>
        <v>#VALUE!</v>
      </c>
      <c r="BP79" s="746" t="str">
        <f t="shared" si="2"/>
        <v>Include</v>
      </c>
      <c r="BQ79" s="686" t="str" cm="1">
        <f t="array" ref="BQ79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867">
        <f t="shared" si="1"/>
        <v>45260</v>
      </c>
      <c r="C80" s="868">
        <f ca="1"/>
        <v>0.94775748497073764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592</v>
      </c>
      <c r="S80" s="744" t="e">
        <f>SUMPRODUCT(S43:S58,T43:T58,U43:U58)/SUMPRODUCT(S43:S58,U43:U58)</f>
        <v>#VALUE!</v>
      </c>
      <c r="T80" s="744">
        <f t="shared" si="3"/>
        <v>6.5199999999999994E-2</v>
      </c>
      <c r="U80" s="686" t="str" cm="1">
        <f t="array" ref="U80">_xll.d.TestUtils_Equal(S80,T80,0.00001)</f>
        <v>Error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>SUMPRODUCT(BO41:BO64,BP41:BP64,BQ41:BQ64)/SUMPRODUCT(BO41:BO64,BQ41:BQ64)</f>
        <v>#VALUE!</v>
      </c>
      <c r="BP80" s="744" t="b">
        <f t="shared" si="2"/>
        <v>1</v>
      </c>
      <c r="BQ80" s="686" t="str" cm="1">
        <f t="array" ref="BQ80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867">
        <f t="shared" si="1"/>
        <v>45290</v>
      </c>
      <c r="C81" s="868">
        <f ca="1"/>
        <v>0.94144380075975365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599</v>
      </c>
      <c r="S81" s="744" t="e">
        <f>SUMPRODUCT(S43:S62,T43:T62,U43:U62)/SUMPRODUCT(S43:S62,U43:U62)</f>
        <v>#VALUE!</v>
      </c>
      <c r="T81" s="746">
        <f t="shared" si="3"/>
        <v>6.6600000000000006E-2</v>
      </c>
      <c r="U81" s="686" t="str" cm="1">
        <f t="array" ref="U81">_xll.d.TestUtils_Equal(S81,T81,0.00001)</f>
        <v>Error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>SUMPRODUCT(BO41:BO68,BP41:BP68,BQ41:BQ68)/SUMPRODUCT(BO41:BO68,BQ41:BQ68)</f>
        <v>#VALUE!</v>
      </c>
      <c r="BP81" s="746" t="b">
        <f t="shared" si="2"/>
        <v>1</v>
      </c>
      <c r="BQ81" s="686" t="str" cm="1">
        <f t="array" ref="BQ8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867">
        <f t="shared" si="1"/>
        <v>45321</v>
      </c>
      <c r="C82" s="868">
        <f ca="1"/>
        <v>0.93507226945881949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600</v>
      </c>
      <c r="S82" s="744" t="e">
        <f>SUMPRODUCT(S43:S66,T43:T66,U43:U66)/SUMPRODUCT(S43:S66,U43:U66)</f>
        <v>#VALUE!</v>
      </c>
      <c r="T82" s="744">
        <f t="shared" si="3"/>
        <v>6.83E-2</v>
      </c>
      <c r="U82" s="686" t="str" cm="1">
        <f t="array" ref="U82">_xll.d.TestUtils_Equal(S82,T82,0.00001)</f>
        <v>Error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>SUMPRODUCT(BO41:BO72,BP41:BP72,BQ41:BQ72)/SUMPRODUCT(BO41:BO72,BQ41:BQ72)</f>
        <v>#VALUE!</v>
      </c>
      <c r="BP82" s="737" t="b">
        <f t="shared" si="2"/>
        <v>1</v>
      </c>
      <c r="BQ82" s="198" t="str" cm="1">
        <f t="array" ref="BQ82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867">
        <f t="shared" si="1"/>
        <v>45351</v>
      </c>
      <c r="C83" s="868">
        <f ca="1"/>
        <v>0.92894733177189004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601</v>
      </c>
      <c r="S83" s="744" t="e">
        <f>SUMPRODUCT(S43:S70,T43:T70,U43:U70)/SUMPRODUCT(S43:S70,U43:U70)</f>
        <v>#VALUE!</v>
      </c>
      <c r="T83" s="746">
        <f t="shared" si="3"/>
        <v>6.9900000000000004E-2</v>
      </c>
      <c r="U83" s="686" t="str" cm="1">
        <f t="array" ref="U83">_xll.d.TestUtils_Equal(S83,T83,0.00001)</f>
        <v>Error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71">
        <f t="shared" si="1"/>
        <v>45380</v>
      </c>
      <c r="C84" s="872">
        <f ca="1"/>
        <v>0.92307131168988987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602</v>
      </c>
      <c r="S84" s="737" t="e">
        <f>SUMPRODUCT(S43:S74,T43:T74,U43:U74)/SUMPRODUCT(S43:S74,U43:U74)</f>
        <v>#VALUE!</v>
      </c>
      <c r="T84" s="737">
        <f t="shared" si="3"/>
        <v>7.17E-2</v>
      </c>
      <c r="U84" s="198" t="str" cm="1">
        <f t="array" ref="U84">_xll.d.TestUtils_Equal(S84,T84,0.00001)</f>
        <v>Error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>
      <c r="B87" s="4" t="s">
        <v>642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C88" s="164"/>
      <c r="K88" s="439"/>
      <c r="L88" s="204"/>
      <c r="N88" s="815"/>
    </row>
    <row r="89" spans="2:86">
      <c r="B89" s="50" t="s">
        <v>108</v>
      </c>
      <c r="C89" s="164" t="str" cm="1">
        <f t="array" ref="C89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>
      <c r="B92" s="848" t="str" cm="1">
        <f t="array" ref="B92:D107">_xll.d.Curve_GetInstruments(D27)</f>
        <v>Deposits</v>
      </c>
      <c r="C92" s="849" t="str">
        <v/>
      </c>
      <c r="D92" s="855" t="str">
        <v/>
      </c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ref="H92">_xll.d.TestUtils_Equal(B92,E92)</f>
        <v>Ok</v>
      </c>
      <c r="I92" s="164" t="str" cm="1">
        <f t="array" ref="I92">_xll.d.TestUtils_Equal(C92,F92)</f>
        <v>Ok</v>
      </c>
      <c r="J92" s="164" t="str" cm="1">
        <f t="array" ref="J92">_xll.d.TestUtils_Equal(D92,G92)</f>
        <v>Ok</v>
      </c>
      <c r="K92" s="439"/>
      <c r="L92" s="204"/>
      <c r="N92" s="815"/>
    </row>
    <row r="93" spans="2:86">
      <c r="B93" s="77" t="str">
        <v>Tenors</v>
      </c>
      <c r="C93" s="54" t="str">
        <v>Rates</v>
      </c>
      <c r="D93" s="856" t="str"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ref="H93">_xll.d.TestUtils_Equal(B93,E93)</f>
        <v>Ok</v>
      </c>
      <c r="I93" s="164" t="str" cm="1">
        <f t="array" ref="I93">_xll.d.TestUtils_Equal(C93,F93)</f>
        <v>Ok</v>
      </c>
      <c r="J93" s="164" t="str" cm="1">
        <f t="array" ref="J93">_xll.d.TestUtils_Equal(D93,G93)</f>
        <v>Ok</v>
      </c>
      <c r="K93" s="439"/>
      <c r="L93" s="204"/>
      <c r="N93" s="815"/>
    </row>
    <row r="94" spans="2:86">
      <c r="B94" s="77" t="str">
        <v>1m</v>
      </c>
      <c r="C94" s="850">
        <v>0.1</v>
      </c>
      <c r="D94" s="856" t="b"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ref="H94">_xll.d.TestUtils_Equal(B94,E94)</f>
        <v>Ok</v>
      </c>
      <c r="I94" s="164" t="str" cm="1">
        <f t="array" ref="I94">_xll.d.TestUtils_Equal(C94,F94)</f>
        <v>Ok</v>
      </c>
      <c r="J94" s="164" t="str" cm="1">
        <f t="array" ref="J94">_xll.d.TestUtils_Equal(D94,G94)</f>
        <v>Ok</v>
      </c>
      <c r="K94" s="439"/>
      <c r="L94" s="204"/>
      <c r="N94" s="815"/>
    </row>
    <row r="95" spans="2:86">
      <c r="B95" s="77" t="str">
        <v>2m</v>
      </c>
      <c r="C95" s="850">
        <v>0.1</v>
      </c>
      <c r="D95" s="856" t="b"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ref="H95">_xll.d.TestUtils_Equal(B95,E95)</f>
        <v>Ok</v>
      </c>
      <c r="I95" s="164" t="str" cm="1">
        <f t="array" ref="I95">_xll.d.TestUtils_Equal(C95,F95)</f>
        <v>Ok</v>
      </c>
      <c r="J95" s="164" t="str" cm="1">
        <f t="array" ref="J95">_xll.d.TestUtils_Equal(D95,G95)</f>
        <v>Ok</v>
      </c>
      <c r="K95" s="439"/>
      <c r="L95" s="204"/>
      <c r="N95" s="815"/>
    </row>
    <row r="96" spans="2:86">
      <c r="B96" s="851" t="str">
        <v>3m</v>
      </c>
      <c r="C96" s="850">
        <v>0.1</v>
      </c>
      <c r="D96" s="856" t="b"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ref="H96">_xll.d.TestUtils_Equal(B96,E96)</f>
        <v>Ok</v>
      </c>
      <c r="I96" s="164" t="str" cm="1">
        <f t="array" ref="I96">_xll.d.TestUtils_Equal(C96,F96)</f>
        <v>Ok</v>
      </c>
      <c r="J96" s="164" t="str" cm="1">
        <f t="array" ref="J96">_xll.d.TestUtils_Equal(D96,G96)</f>
        <v>Ok</v>
      </c>
      <c r="K96" s="439"/>
      <c r="L96" s="204"/>
      <c r="N96" s="815"/>
    </row>
    <row r="97" spans="2:14">
      <c r="B97" s="77" t="str">
        <v/>
      </c>
      <c r="C97" s="54" t="str">
        <v/>
      </c>
      <c r="D97" s="856" t="str"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ref="H97">_xll.d.TestUtils_Equal(B97,E97)</f>
        <v>Ok</v>
      </c>
      <c r="I97" s="164" t="str" cm="1">
        <f t="array" ref="I97">_xll.d.TestUtils_Equal(C97,F97)</f>
        <v>Ok</v>
      </c>
      <c r="J97" s="164" t="str" cm="1">
        <f t="array" ref="J97">_xll.d.TestUtils_Equal(D97,G97)</f>
        <v>Ok</v>
      </c>
      <c r="K97" s="439"/>
      <c r="L97" s="204"/>
      <c r="N97" s="815"/>
    </row>
    <row r="98" spans="2:14">
      <c r="B98" s="77" t="str">
        <v>FRAs</v>
      </c>
      <c r="C98" s="54" t="str">
        <v/>
      </c>
      <c r="D98" s="856" t="str"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ref="H98">_xll.d.TestUtils_Equal(B98,E98)</f>
        <v>Ok</v>
      </c>
      <c r="I98" s="164" t="str" cm="1">
        <f t="array" ref="I98">_xll.d.TestUtils_Equal(C98,F98)</f>
        <v>Ok</v>
      </c>
      <c r="J98" s="164" t="str" cm="1">
        <f t="array" ref="J98">_xll.d.TestUtils_Equal(D98,G98)</f>
        <v>Ok</v>
      </c>
      <c r="K98" s="439"/>
      <c r="L98" s="204"/>
      <c r="N98" s="815"/>
    </row>
    <row r="99" spans="2:14">
      <c r="B99" s="851" t="str">
        <v>FraTenors</v>
      </c>
      <c r="C99" s="54" t="str">
        <v>Rates</v>
      </c>
      <c r="D99" s="856" t="str"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ref="H99">_xll.d.TestUtils_Equal(B99,E99)</f>
        <v>Ok</v>
      </c>
      <c r="I99" s="164" t="str" cm="1">
        <f t="array" ref="I99">_xll.d.TestUtils_Equal(C99,F99)</f>
        <v>Ok</v>
      </c>
      <c r="J99" s="164" t="str" cm="1">
        <f t="array" ref="J99">_xll.d.TestUtils_Equal(D99,G99)</f>
        <v>Ok</v>
      </c>
      <c r="K99" s="439"/>
      <c r="L99" s="204"/>
      <c r="N99" s="815"/>
    </row>
    <row r="100" spans="2:14">
      <c r="B100" s="77" t="str">
        <v>3x6</v>
      </c>
      <c r="C100" s="850">
        <v>0.1</v>
      </c>
      <c r="D100" s="856" t="b"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ref="H100">_xll.d.TestUtils_Equal(B100,E100)</f>
        <v>Ok</v>
      </c>
      <c r="I100" s="164" t="str" cm="1">
        <f t="array" ref="I100">_xll.d.TestUtils_Equal(C100,F100)</f>
        <v>Ok</v>
      </c>
      <c r="J100" s="164" t="str" cm="1">
        <f t="array" ref="J100">_xll.d.TestUtils_Equal(D100,G100)</f>
        <v>Ok</v>
      </c>
      <c r="K100" s="439"/>
      <c r="L100" s="204"/>
      <c r="N100" s="815"/>
    </row>
    <row r="101" spans="2:14">
      <c r="B101" s="77" t="str">
        <v>6x9</v>
      </c>
      <c r="C101" s="850">
        <v>0.1</v>
      </c>
      <c r="D101" s="856" t="b"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ref="H101">_xll.d.TestUtils_Equal(B101,E101)</f>
        <v>Ok</v>
      </c>
      <c r="I101" s="164" t="str" cm="1">
        <f t="array" ref="I101">_xll.d.TestUtils_Equal(C101,F101)</f>
        <v>Ok</v>
      </c>
      <c r="J101" s="164" t="str" cm="1">
        <f t="array" ref="J101">_xll.d.TestUtils_Equal(D101,G101)</f>
        <v>Ok</v>
      </c>
      <c r="K101" s="439"/>
      <c r="L101" s="204"/>
      <c r="N101" s="815"/>
    </row>
    <row r="102" spans="2:14">
      <c r="B102" s="851" t="str">
        <v>9x12</v>
      </c>
      <c r="C102" s="850">
        <v>0.1</v>
      </c>
      <c r="D102" s="856" t="b"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ref="H102">_xll.d.TestUtils_Equal(B102,E102)</f>
        <v>Ok</v>
      </c>
      <c r="I102" s="164" t="str" cm="1">
        <f t="array" ref="I102">_xll.d.TestUtils_Equal(C102,F102)</f>
        <v>Ok</v>
      </c>
      <c r="J102" s="164" t="str" cm="1">
        <f t="array" ref="J102">_xll.d.TestUtils_Equal(D102,G102)</f>
        <v>Ok</v>
      </c>
      <c r="K102" s="439"/>
      <c r="L102" s="204"/>
      <c r="N102" s="815"/>
    </row>
    <row r="103" spans="2:14">
      <c r="B103" s="77" t="str">
        <v/>
      </c>
      <c r="C103" s="54" t="str">
        <v/>
      </c>
      <c r="D103" s="856" t="str"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ref="H103">_xll.d.TestUtils_Equal(B103,E103)</f>
        <v>Ok</v>
      </c>
      <c r="I103" s="164" t="str" cm="1">
        <f t="array" ref="I103">_xll.d.TestUtils_Equal(C103,F103)</f>
        <v>Ok</v>
      </c>
      <c r="J103" s="164" t="str" cm="1">
        <f t="array" ref="J103">_xll.d.TestUtils_Equal(D103,G103)</f>
        <v>Ok</v>
      </c>
      <c r="K103" s="439"/>
      <c r="L103" s="204"/>
    </row>
    <row r="104" spans="2:14">
      <c r="B104" s="77" t="str">
        <v>Interest Rate Swaps</v>
      </c>
      <c r="C104" s="54" t="str">
        <v/>
      </c>
      <c r="D104" s="856" t="str"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ref="H104">_xll.d.TestUtils_Equal(B104,E104)</f>
        <v>Ok</v>
      </c>
      <c r="I104" s="164" t="str" cm="1">
        <f t="array" ref="I104">_xll.d.TestUtils_Equal(C104,F104)</f>
        <v>Ok</v>
      </c>
      <c r="J104" s="164" t="str" cm="1">
        <f t="array" ref="J104">_xll.d.TestUtils_Equal(D104,G104)</f>
        <v>Ok</v>
      </c>
      <c r="K104" s="439"/>
      <c r="L104" s="204"/>
    </row>
    <row r="105" spans="2:14">
      <c r="B105" s="77" t="str">
        <v>Tenors</v>
      </c>
      <c r="C105" s="54" t="str">
        <v>Rates</v>
      </c>
      <c r="D105" s="856" t="str"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9"/>
      <c r="L105" s="204"/>
    </row>
    <row r="106" spans="2:14">
      <c r="B106" s="852" t="str">
        <v>2y</v>
      </c>
      <c r="C106" s="850">
        <v>0.1</v>
      </c>
      <c r="D106" s="856" t="b"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9"/>
      <c r="L106" s="204"/>
    </row>
    <row r="107" spans="2:14">
      <c r="B107" s="79" t="str">
        <v>3y</v>
      </c>
      <c r="C107" s="853">
        <v>0.1</v>
      </c>
      <c r="D107" s="857" t="b">
        <v>1</v>
      </c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9"/>
      <c r="L107" s="204"/>
    </row>
    <row r="108" spans="2:14">
      <c r="K108" s="439"/>
      <c r="L108" s="204"/>
    </row>
    <row r="109" spans="2:14">
      <c r="K109" s="439"/>
      <c r="L109" s="439"/>
    </row>
    <row r="110" spans="2:14">
      <c r="K110" s="439"/>
      <c r="L110" s="439"/>
    </row>
    <row r="111" spans="2:14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>
      <c r="B112" s="875" t="str" cm="1">
        <f t="array" ref="B112:E142">_xll.d.Curve_GetInstruments(C68)</f>
        <v>Deposits</v>
      </c>
      <c r="C112" s="876" t="str">
        <v/>
      </c>
      <c r="D112" s="876" t="str">
        <v/>
      </c>
      <c r="E112" s="876" t="str">
        <v/>
      </c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ref="J112">_xll.d.TestUtils_Equal(B112,F112)</f>
        <v>Ok</v>
      </c>
      <c r="K112" s="164" t="str" cm="1">
        <f t="array" ref="K112">_xll.d.TestUtils_Equal(C112,G112)</f>
        <v>Ok</v>
      </c>
      <c r="L112" s="164" t="str" cm="1">
        <f t="array" ref="L112">_xll.d.TestUtils_Equal(D112,H112)</f>
        <v>Ok</v>
      </c>
      <c r="M112" s="164" t="str" cm="1">
        <f t="array" ref="M112">_xll.d.TestUtils_Equal(E112,I112)</f>
        <v>Ok</v>
      </c>
    </row>
    <row r="113" spans="2:13">
      <c r="B113" s="89" t="str">
        <v>Tenors</v>
      </c>
      <c r="C113" s="72" t="str">
        <v>RateIndex</v>
      </c>
      <c r="D113" s="72" t="str">
        <v>Rates</v>
      </c>
      <c r="E113" s="72" t="str"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ref="J113">_xll.d.TestUtils_Equal(B113,F113)</f>
        <v>Ok</v>
      </c>
      <c r="K113" s="164" t="str" cm="1">
        <f t="array" ref="K113">_xll.d.TestUtils_Equal(C113,G113)</f>
        <v>Ok</v>
      </c>
      <c r="L113" s="164" t="str" cm="1">
        <f t="array" ref="L113">_xll.d.TestUtils_Equal(D113,H113)</f>
        <v>Ok</v>
      </c>
      <c r="M113" s="164" t="str" cm="1">
        <f t="array" ref="M113">_xll.d.TestUtils_Equal(E113,I113)</f>
        <v>Ok</v>
      </c>
    </row>
    <row r="114" spans="2:13">
      <c r="B114" s="89" t="str">
        <v>1D</v>
      </c>
      <c r="C114" s="72" t="str">
        <v>JIBAR</v>
      </c>
      <c r="D114" s="72">
        <v>7.0699999999999999E-2</v>
      </c>
      <c r="E114" s="72" t="str">
        <v>TRUE</v>
      </c>
      <c r="F114" s="72" t="s">
        <v>653</v>
      </c>
      <c r="G114" s="72" t="s">
        <v>33</v>
      </c>
      <c r="H114" s="72">
        <v>7.0699999999999999E-2</v>
      </c>
      <c r="I114" s="90" t="s">
        <v>654</v>
      </c>
      <c r="J114" s="164" t="str" cm="1">
        <f t="array" ref="J114">_xll.d.TestUtils_Equal(B114,F114)</f>
        <v>Ok</v>
      </c>
      <c r="K114" s="164" t="str" cm="1">
        <f t="array" ref="K114">_xll.d.TestUtils_Equal(C114,G114)</f>
        <v>Ok</v>
      </c>
      <c r="L114" s="164" t="str" cm="1">
        <f t="array" ref="L114">_xll.d.TestUtils_Equal(D114,H114)</f>
        <v>Ok</v>
      </c>
      <c r="M114" s="164" t="str" cm="1">
        <f t="array" ref="M114">_xll.d.TestUtils_Equal(E114,I114)</f>
        <v>Ok</v>
      </c>
    </row>
    <row r="115" spans="2:13">
      <c r="B115" s="89" t="str">
        <v>1M</v>
      </c>
      <c r="C115" s="72" t="str">
        <v>JIBAR</v>
      </c>
      <c r="D115" s="72">
        <v>7.825E-2</v>
      </c>
      <c r="E115" s="72" t="str">
        <v>TRUE</v>
      </c>
      <c r="F115" s="72" t="s">
        <v>628</v>
      </c>
      <c r="G115" s="72" t="s">
        <v>33</v>
      </c>
      <c r="H115" s="72">
        <v>7.825E-2</v>
      </c>
      <c r="I115" s="90" t="s">
        <v>654</v>
      </c>
      <c r="J115" s="164" t="str" cm="1">
        <f t="array" ref="J115">_xll.d.TestUtils_Equal(B115,F115)</f>
        <v>Ok</v>
      </c>
      <c r="K115" s="164" t="str" cm="1">
        <f t="array" ref="K115">_xll.d.TestUtils_Equal(C115,G115)</f>
        <v>Ok</v>
      </c>
      <c r="L115" s="164" t="str" cm="1">
        <f t="array" ref="L115">_xll.d.TestUtils_Equal(D115,H115)</f>
        <v>Ok</v>
      </c>
      <c r="M115" s="164" t="str" cm="1">
        <f t="array" ref="M115">_xll.d.TestUtils_Equal(E115,I115)</f>
        <v>Ok</v>
      </c>
    </row>
    <row r="116" spans="2:13">
      <c r="B116" s="89" t="str">
        <v>3M</v>
      </c>
      <c r="C116" s="72" t="str">
        <v>JIBAR</v>
      </c>
      <c r="D116" s="72">
        <v>7.9579999999999998E-2</v>
      </c>
      <c r="E116" s="72" t="str">
        <v>TRUE</v>
      </c>
      <c r="F116" s="72" t="s">
        <v>632</v>
      </c>
      <c r="G116" s="72" t="s">
        <v>33</v>
      </c>
      <c r="H116" s="72">
        <v>7.9579999999999998E-2</v>
      </c>
      <c r="I116" s="90" t="s">
        <v>654</v>
      </c>
      <c r="J116" s="164" t="str" cm="1">
        <f t="array" ref="J116">_xll.d.TestUtils_Equal(B116,F116)</f>
        <v>Ok</v>
      </c>
      <c r="K116" s="164" t="str" cm="1">
        <f t="array" ref="K116">_xll.d.TestUtils_Equal(C116,G116)</f>
        <v>Ok</v>
      </c>
      <c r="L116" s="164" t="str" cm="1">
        <f t="array" ref="L116">_xll.d.TestUtils_Equal(D116,H116)</f>
        <v>Ok</v>
      </c>
      <c r="M116" s="164" t="str" cm="1">
        <f t="array" ref="M116">_xll.d.TestUtils_Equal(E116,I116)</f>
        <v>Ok</v>
      </c>
    </row>
    <row r="117" spans="2:13">
      <c r="B117" s="89" t="str">
        <v/>
      </c>
      <c r="C117" s="72" t="str">
        <v/>
      </c>
      <c r="D117" s="72" t="str">
        <v/>
      </c>
      <c r="E117" s="72" t="str">
        <v/>
      </c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ref="J117">_xll.d.TestUtils_Equal(B117,F117)</f>
        <v>Ok</v>
      </c>
      <c r="K117" s="164" t="str" cm="1">
        <f t="array" ref="K117">_xll.d.TestUtils_Equal(C117,G117)</f>
        <v>Ok</v>
      </c>
      <c r="L117" s="164" t="str" cm="1">
        <f t="array" ref="L117">_xll.d.TestUtils_Equal(D117,H117)</f>
        <v>Ok</v>
      </c>
      <c r="M117" s="164" t="str" cm="1">
        <f t="array" ref="M117">_xll.d.TestUtils_Equal(E117,I117)</f>
        <v>Ok</v>
      </c>
    </row>
    <row r="118" spans="2:13">
      <c r="B118" s="89" t="str">
        <v>FRAs</v>
      </c>
      <c r="C118" s="72" t="str">
        <v/>
      </c>
      <c r="D118" s="72" t="str">
        <v/>
      </c>
      <c r="E118" s="72" t="str">
        <v/>
      </c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ref="J118">_xll.d.TestUtils_Equal(B118,F118)</f>
        <v>Ok</v>
      </c>
      <c r="K118" s="164" t="str" cm="1">
        <f t="array" ref="K118">_xll.d.TestUtils_Equal(C118,G118)</f>
        <v>Ok</v>
      </c>
      <c r="L118" s="164" t="str" cm="1">
        <f t="array" ref="L118">_xll.d.TestUtils_Equal(D118,H118)</f>
        <v>Ok</v>
      </c>
      <c r="M118" s="164" t="str" cm="1">
        <f t="array" ref="M118">_xll.d.TestUtils_Equal(E118,I118)</f>
        <v>Ok</v>
      </c>
    </row>
    <row r="119" spans="2:13">
      <c r="B119" s="89" t="str">
        <v>FraTenors</v>
      </c>
      <c r="C119" s="72" t="str">
        <v>RateIndex</v>
      </c>
      <c r="D119" s="72" t="str">
        <v>Rates</v>
      </c>
      <c r="E119" s="72" t="str">
        <v>Include</v>
      </c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ref="J119">_xll.d.TestUtils_Equal(B119,F119)</f>
        <v>Ok</v>
      </c>
      <c r="K119" s="164" t="str" cm="1">
        <f t="array" ref="K119">_xll.d.TestUtils_Equal(C119,G119)</f>
        <v>Ok</v>
      </c>
      <c r="L119" s="164" t="str" cm="1">
        <f t="array" ref="L119">_xll.d.TestUtils_Equal(D119,H119)</f>
        <v>Ok</v>
      </c>
      <c r="M119" s="164" t="str" cm="1">
        <f t="array" ref="M119">_xll.d.TestUtils_Equal(E119,I119)</f>
        <v>Ok</v>
      </c>
    </row>
    <row r="120" spans="2:13">
      <c r="B120" s="89" t="str">
        <v>3x6</v>
      </c>
      <c r="C120" s="72" t="str">
        <v>JIBAR</v>
      </c>
      <c r="D120" s="72">
        <v>8.1799999999999998E-2</v>
      </c>
      <c r="E120" s="72" t="str">
        <v>TRUE</v>
      </c>
      <c r="F120" s="72" t="s">
        <v>195</v>
      </c>
      <c r="G120" s="72" t="s">
        <v>33</v>
      </c>
      <c r="H120" s="72">
        <v>8.1799999999999998E-2</v>
      </c>
      <c r="I120" s="90" t="s">
        <v>654</v>
      </c>
      <c r="J120" s="164" t="str" cm="1">
        <f t="array" ref="J120">_xll.d.TestUtils_Equal(B120,F120)</f>
        <v>Ok</v>
      </c>
      <c r="K120" s="164" t="str" cm="1">
        <f t="array" ref="K120">_xll.d.TestUtils_Equal(C120,G120)</f>
        <v>Ok</v>
      </c>
      <c r="L120" s="164" t="str" cm="1">
        <f t="array" ref="L120">_xll.d.TestUtils_Equal(D120,H120)</f>
        <v>Ok</v>
      </c>
      <c r="M120" s="164" t="str" cm="1">
        <f t="array" ref="M120">_xll.d.TestUtils_Equal(E120,I120)</f>
        <v>Ok</v>
      </c>
    </row>
    <row r="121" spans="2:13">
      <c r="B121" s="89" t="str">
        <v>6x9</v>
      </c>
      <c r="C121" s="72" t="str">
        <v>JIBAR</v>
      </c>
      <c r="D121" s="72">
        <v>8.2200000000000009E-2</v>
      </c>
      <c r="E121" s="72" t="str">
        <v>TRUE</v>
      </c>
      <c r="F121" s="72" t="s">
        <v>196</v>
      </c>
      <c r="G121" s="72" t="s">
        <v>33</v>
      </c>
      <c r="H121" s="72">
        <v>8.2200000000000009E-2</v>
      </c>
      <c r="I121" s="90" t="s">
        <v>654</v>
      </c>
      <c r="J121" s="164" t="str" cm="1">
        <f t="array" ref="J121">_xll.d.TestUtils_Equal(B121,F121)</f>
        <v>Ok</v>
      </c>
      <c r="K121" s="164" t="str" cm="1">
        <f t="array" ref="K121">_xll.d.TestUtils_Equal(C121,G121)</f>
        <v>Ok</v>
      </c>
      <c r="L121" s="164" t="str" cm="1">
        <f t="array" ref="L121">_xll.d.TestUtils_Equal(D121,H121)</f>
        <v>Ok</v>
      </c>
      <c r="M121" s="164" t="str" cm="1">
        <f t="array" ref="M121">_xll.d.TestUtils_Equal(E121,I121)</f>
        <v>Ok</v>
      </c>
    </row>
    <row r="122" spans="2:13">
      <c r="B122" s="89" t="str">
        <v>9x12</v>
      </c>
      <c r="C122" s="72" t="str">
        <v>JIBAR</v>
      </c>
      <c r="D122" s="72">
        <v>8.0749999999999988E-2</v>
      </c>
      <c r="E122" s="72" t="str">
        <v>TRUE</v>
      </c>
      <c r="F122" s="72" t="s">
        <v>197</v>
      </c>
      <c r="G122" s="72" t="s">
        <v>33</v>
      </c>
      <c r="H122" s="72">
        <v>8.0749999999999988E-2</v>
      </c>
      <c r="I122" s="90" t="s">
        <v>654</v>
      </c>
      <c r="J122" s="164" t="str" cm="1">
        <f t="array" ref="J122">_xll.d.TestUtils_Equal(B122,F122)</f>
        <v>Ok</v>
      </c>
      <c r="K122" s="164" t="str" cm="1">
        <f t="array" ref="K122">_xll.d.TestUtils_Equal(C122,G122)</f>
        <v>Ok</v>
      </c>
      <c r="L122" s="164" t="str" cm="1">
        <f t="array" ref="L122">_xll.d.TestUtils_Equal(D122,H122)</f>
        <v>Ok</v>
      </c>
      <c r="M122" s="164" t="str" cm="1">
        <f t="array" ref="M122">_xll.d.TestUtils_Equal(E122,I122)</f>
        <v>Ok</v>
      </c>
    </row>
    <row r="123" spans="2:13">
      <c r="B123" s="89" t="str">
        <v>12x15</v>
      </c>
      <c r="C123" s="72" t="str">
        <v>JIBAR</v>
      </c>
      <c r="D123" s="72">
        <v>7.8100000000000003E-2</v>
      </c>
      <c r="E123" s="72" t="str">
        <v>TRUE</v>
      </c>
      <c r="F123" s="72" t="s">
        <v>588</v>
      </c>
      <c r="G123" s="72" t="s">
        <v>33</v>
      </c>
      <c r="H123" s="72">
        <v>7.8100000000000003E-2</v>
      </c>
      <c r="I123" s="90" t="s">
        <v>654</v>
      </c>
      <c r="J123" s="164" t="str" cm="1">
        <f t="array" ref="J123">_xll.d.TestUtils_Equal(B123,F123)</f>
        <v>Ok</v>
      </c>
      <c r="K123" s="164" t="str" cm="1">
        <f t="array" ref="K123">_xll.d.TestUtils_Equal(C123,G123)</f>
        <v>Ok</v>
      </c>
      <c r="L123" s="164" t="str" cm="1">
        <f t="array" ref="L123">_xll.d.TestUtils_Equal(D123,H123)</f>
        <v>Ok</v>
      </c>
      <c r="M123" s="164" t="str" cm="1">
        <f t="array" ref="M123">_xll.d.TestUtils_Equal(E123,I123)</f>
        <v>Ok</v>
      </c>
    </row>
    <row r="124" spans="2:13">
      <c r="B124" s="89" t="str">
        <v>15x18</v>
      </c>
      <c r="C124" s="72" t="str">
        <v>JIBAR</v>
      </c>
      <c r="D124" s="72">
        <v>7.6649999999999996E-2</v>
      </c>
      <c r="E124" s="72" t="str">
        <v>TRUE</v>
      </c>
      <c r="F124" s="72" t="s">
        <v>589</v>
      </c>
      <c r="G124" s="72" t="s">
        <v>33</v>
      </c>
      <c r="H124" s="72">
        <v>7.6649999999999996E-2</v>
      </c>
      <c r="I124" s="90" t="s">
        <v>654</v>
      </c>
      <c r="J124" s="164" t="str" cm="1">
        <f t="array" ref="J124">_xll.d.TestUtils_Equal(B124,F124)</f>
        <v>Ok</v>
      </c>
      <c r="K124" s="164" t="str" cm="1">
        <f t="array" ref="K124">_xll.d.TestUtils_Equal(C124,G124)</f>
        <v>Ok</v>
      </c>
      <c r="L124" s="164" t="str" cm="1">
        <f t="array" ref="L124">_xll.d.TestUtils_Equal(D124,H124)</f>
        <v>Ok</v>
      </c>
      <c r="M124" s="164" t="str" cm="1">
        <f t="array" ref="M124">_xll.d.TestUtils_Equal(E124,I124)</f>
        <v>Ok</v>
      </c>
    </row>
    <row r="125" spans="2:13">
      <c r="B125" s="89" t="str">
        <v>18x21</v>
      </c>
      <c r="C125" s="72" t="str">
        <v>JIBAR</v>
      </c>
      <c r="D125" s="72">
        <v>7.5649999999999995E-2</v>
      </c>
      <c r="E125" s="72" t="str">
        <v>TRUE</v>
      </c>
      <c r="F125" s="72" t="s">
        <v>590</v>
      </c>
      <c r="G125" s="72" t="s">
        <v>33</v>
      </c>
      <c r="H125" s="72">
        <v>7.5649999999999995E-2</v>
      </c>
      <c r="I125" s="90" t="s">
        <v>654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>
      <c r="B126" s="89" t="str">
        <v>21x24</v>
      </c>
      <c r="C126" s="72" t="str">
        <v>JIBAR</v>
      </c>
      <c r="D126" s="72">
        <v>7.5199999999999989E-2</v>
      </c>
      <c r="E126" s="72" t="str">
        <v>TRUE</v>
      </c>
      <c r="F126" s="72" t="s">
        <v>591</v>
      </c>
      <c r="G126" s="72" t="s">
        <v>33</v>
      </c>
      <c r="H126" s="72">
        <v>7.5199999999999989E-2</v>
      </c>
      <c r="I126" s="90" t="s">
        <v>654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89" t="str">
        <v/>
      </c>
      <c r="C127" s="72" t="str">
        <v/>
      </c>
      <c r="D127" s="72" t="str">
        <v/>
      </c>
      <c r="E127" s="72" t="str">
        <v/>
      </c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89" t="str">
        <v>Interest Rate Swaps</v>
      </c>
      <c r="C128" s="72" t="str">
        <v/>
      </c>
      <c r="D128" s="72" t="str">
        <v/>
      </c>
      <c r="E128" s="72" t="str">
        <v/>
      </c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89" t="str">
        <v>Tenors</v>
      </c>
      <c r="C129" s="72" t="str">
        <v>RateIndex</v>
      </c>
      <c r="D129" s="72" t="str">
        <v>Rates</v>
      </c>
      <c r="E129" s="72" t="str"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89" t="str">
        <v>3Y</v>
      </c>
      <c r="C130" s="72" t="str">
        <v>JIBAR</v>
      </c>
      <c r="D130" s="72">
        <v>7.85E-2</v>
      </c>
      <c r="E130" s="72" t="str">
        <v>TRUE</v>
      </c>
      <c r="F130" s="72" t="s">
        <v>655</v>
      </c>
      <c r="G130" s="72" t="s">
        <v>33</v>
      </c>
      <c r="H130" s="72">
        <v>7.85E-2</v>
      </c>
      <c r="I130" s="90" t="s">
        <v>654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89" t="str">
        <v>4Y</v>
      </c>
      <c r="C131" s="72" t="str">
        <v>JIBAR</v>
      </c>
      <c r="D131" s="72">
        <v>7.9500000000000001E-2</v>
      </c>
      <c r="E131" s="72" t="str">
        <v>TRUE</v>
      </c>
      <c r="F131" s="72" t="s">
        <v>656</v>
      </c>
      <c r="G131" s="72" t="s">
        <v>33</v>
      </c>
      <c r="H131" s="72">
        <v>7.9500000000000001E-2</v>
      </c>
      <c r="I131" s="90" t="s">
        <v>654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89" t="str">
        <v>5Y</v>
      </c>
      <c r="C132" s="72" t="str">
        <v>JIBAR</v>
      </c>
      <c r="D132" s="72">
        <v>8.1199999999999994E-2</v>
      </c>
      <c r="E132" s="72" t="str">
        <v>TRUE</v>
      </c>
      <c r="F132" s="72" t="s">
        <v>657</v>
      </c>
      <c r="G132" s="72" t="s">
        <v>33</v>
      </c>
      <c r="H132" s="72">
        <v>8.1199999999999994E-2</v>
      </c>
      <c r="I132" s="90" t="s">
        <v>654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89" t="str">
        <v>6Y</v>
      </c>
      <c r="C133" s="72" t="str">
        <v>JIBAR</v>
      </c>
      <c r="D133" s="72">
        <v>8.3499999999999991E-2</v>
      </c>
      <c r="E133" s="72" t="str">
        <v>TRUE</v>
      </c>
      <c r="F133" s="72" t="s">
        <v>658</v>
      </c>
      <c r="G133" s="72" t="s">
        <v>33</v>
      </c>
      <c r="H133" s="72">
        <v>8.3499999999999991E-2</v>
      </c>
      <c r="I133" s="90" t="s">
        <v>654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89" t="str">
        <v>7Y</v>
      </c>
      <c r="C134" s="72" t="str">
        <v>JIBAR</v>
      </c>
      <c r="D134" s="72">
        <v>8.585000000000001E-2</v>
      </c>
      <c r="E134" s="72" t="str">
        <v>TRUE</v>
      </c>
      <c r="F134" s="72" t="s">
        <v>659</v>
      </c>
      <c r="G134" s="72" t="s">
        <v>33</v>
      </c>
      <c r="H134" s="72">
        <v>8.585000000000001E-2</v>
      </c>
      <c r="I134" s="90" t="s">
        <v>654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89" t="str">
        <v>8Y</v>
      </c>
      <c r="C135" s="72" t="str">
        <v>JIBAR</v>
      </c>
      <c r="D135" s="72">
        <v>8.7899999999999992E-2</v>
      </c>
      <c r="E135" s="72" t="str">
        <v>TRUE</v>
      </c>
      <c r="F135" s="72" t="s">
        <v>660</v>
      </c>
      <c r="G135" s="72" t="s">
        <v>33</v>
      </c>
      <c r="H135" s="72">
        <v>8.7899999999999992E-2</v>
      </c>
      <c r="I135" s="90" t="s">
        <v>654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89" t="str">
        <v>9Y</v>
      </c>
      <c r="C136" s="72" t="str">
        <v>JIBAR</v>
      </c>
      <c r="D136" s="72">
        <v>8.9499999999999996E-2</v>
      </c>
      <c r="E136" s="72" t="str">
        <v>TRUE</v>
      </c>
      <c r="F136" s="72" t="s">
        <v>661</v>
      </c>
      <c r="G136" s="72" t="s">
        <v>33</v>
      </c>
      <c r="H136" s="72">
        <v>8.9499999999999996E-2</v>
      </c>
      <c r="I136" s="90" t="s">
        <v>654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89" t="str">
        <v>10Y</v>
      </c>
      <c r="C137" s="72" t="str">
        <v>JIBAR</v>
      </c>
      <c r="D137" s="72">
        <v>9.06E-2</v>
      </c>
      <c r="E137" s="72" t="str">
        <v>TRUE</v>
      </c>
      <c r="F137" s="72" t="s">
        <v>662</v>
      </c>
      <c r="G137" s="72" t="s">
        <v>33</v>
      </c>
      <c r="H137" s="72">
        <v>9.06E-2</v>
      </c>
      <c r="I137" s="90" t="s">
        <v>654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89" t="str">
        <v>12Y</v>
      </c>
      <c r="C138" s="72" t="str">
        <v>JIBAR</v>
      </c>
      <c r="D138" s="72">
        <v>9.2600000000000002E-2</v>
      </c>
      <c r="E138" s="72" t="str">
        <v>TRUE</v>
      </c>
      <c r="F138" s="72" t="s">
        <v>663</v>
      </c>
      <c r="G138" s="72" t="s">
        <v>33</v>
      </c>
      <c r="H138" s="72">
        <v>9.2600000000000002E-2</v>
      </c>
      <c r="I138" s="90" t="s">
        <v>654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89" t="str">
        <v>15Y</v>
      </c>
      <c r="C139" s="72" t="str">
        <v>JIBAR</v>
      </c>
      <c r="D139" s="72">
        <v>9.3900000000000011E-2</v>
      </c>
      <c r="E139" s="72" t="str">
        <v>TRUE</v>
      </c>
      <c r="F139" s="72" t="s">
        <v>664</v>
      </c>
      <c r="G139" s="72" t="s">
        <v>33</v>
      </c>
      <c r="H139" s="72">
        <v>9.3900000000000011E-2</v>
      </c>
      <c r="I139" s="90" t="s">
        <v>654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89" t="str">
        <v>20Y</v>
      </c>
      <c r="C140" s="72" t="str">
        <v>JIBAR</v>
      </c>
      <c r="D140" s="72">
        <v>9.35E-2</v>
      </c>
      <c r="E140" s="72" t="str">
        <v>TRUE</v>
      </c>
      <c r="F140" s="72" t="s">
        <v>665</v>
      </c>
      <c r="G140" s="72" t="s">
        <v>33</v>
      </c>
      <c r="H140" s="72">
        <v>9.35E-2</v>
      </c>
      <c r="I140" s="90" t="s">
        <v>654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89" t="str">
        <v>25Y</v>
      </c>
      <c r="C141" s="72" t="str">
        <v>JIBAR</v>
      </c>
      <c r="D141" s="72">
        <v>9.2100000000000015E-2</v>
      </c>
      <c r="E141" s="72" t="str">
        <v>TRUE</v>
      </c>
      <c r="F141" s="72" t="s">
        <v>666</v>
      </c>
      <c r="G141" s="72" t="s">
        <v>33</v>
      </c>
      <c r="H141" s="72">
        <v>9.2100000000000015E-2</v>
      </c>
      <c r="I141" s="90" t="s">
        <v>654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878" t="str">
        <v>30Y</v>
      </c>
      <c r="C142" s="879" t="str">
        <v>JIBAR</v>
      </c>
      <c r="D142" s="879">
        <v>8.9700000000000002E-2</v>
      </c>
      <c r="E142" s="879" t="str">
        <v>TRUE</v>
      </c>
      <c r="F142" s="879" t="s">
        <v>667</v>
      </c>
      <c r="G142" s="879" t="s">
        <v>33</v>
      </c>
      <c r="H142" s="879">
        <v>8.9700000000000002E-2</v>
      </c>
      <c r="I142" s="880" t="s">
        <v>654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68" spans="4:4">
      <c r="D168" s="889"/>
    </row>
    <row r="169" spans="4:4">
      <c r="D169" s="889"/>
    </row>
    <row r="170" spans="4:4">
      <c r="D170" s="889"/>
    </row>
    <row r="171" spans="4:4">
      <c r="D171" s="889"/>
    </row>
    <row r="218" spans="2:2">
      <c r="B218" s="1">
        <v>45016</v>
      </c>
    </row>
    <row r="219" spans="2:2">
      <c r="B219" t="s">
        <v>648</v>
      </c>
    </row>
    <row r="221" spans="2:2">
      <c r="B221" t="str" cm="1">
        <f t="array" ref="B221">_xll.d.Curve_Get("MyZarCurve",B219,B218)</f>
        <v>@@MyZarCurve::16:55:53</v>
      </c>
    </row>
    <row r="225" spans="2:8">
      <c r="B225" s="8">
        <f>B218</f>
        <v>45016</v>
      </c>
      <c r="C225" cm="1">
        <f t="array" aca="1" ref="C225:C241" ca="1">_xll.d.Curve_GetDiscountFactors(B221,B225:B241)</f>
        <v>1</v>
      </c>
      <c r="E225" t="str" cm="1">
        <f t="array" ref="E225:H255">_xll.d.Curve_GetInstruments(B221)</f>
        <v>Deposits</v>
      </c>
      <c r="F225" t="str">
        <v/>
      </c>
      <c r="G225" t="str">
        <v/>
      </c>
      <c r="H225" t="str">
        <v/>
      </c>
    </row>
    <row r="226" spans="2:8">
      <c r="B226" s="8">
        <f>EDATE(B225,1)</f>
        <v>45046</v>
      </c>
      <c r="C226">
        <f ca="1"/>
        <v>0.99360206292623832</v>
      </c>
      <c r="E226" t="str">
        <v>Tenors</v>
      </c>
      <c r="F226" t="str">
        <v>RateIndex</v>
      </c>
      <c r="G226" t="str">
        <v>Rates</v>
      </c>
      <c r="H226" t="str">
        <v>Include</v>
      </c>
    </row>
    <row r="227" spans="2:8">
      <c r="B227" s="8">
        <f t="shared" ref="B227:B241" si="7">EDATE(B226,1)</f>
        <v>45076</v>
      </c>
      <c r="C227">
        <f ca="1"/>
        <v>0.98715921592482847</v>
      </c>
      <c r="E227" t="str">
        <v>1D</v>
      </c>
      <c r="F227" t="str">
        <v>JIBAR</v>
      </c>
      <c r="G227">
        <v>7.0699999999999999E-2</v>
      </c>
      <c r="H227" t="str">
        <v>TRUE</v>
      </c>
    </row>
    <row r="228" spans="2:8">
      <c r="B228" s="8">
        <f t="shared" si="7"/>
        <v>45107</v>
      </c>
      <c r="C228">
        <f ca="1"/>
        <v>0.98054549384544809</v>
      </c>
      <c r="E228" t="str">
        <v>1M</v>
      </c>
      <c r="F228" t="str">
        <v>JIBAR</v>
      </c>
      <c r="G228">
        <v>7.825E-2</v>
      </c>
      <c r="H228" t="str">
        <v>TRUE</v>
      </c>
    </row>
    <row r="229" spans="2:8">
      <c r="B229" s="8">
        <f t="shared" si="7"/>
        <v>45137</v>
      </c>
      <c r="C229">
        <f ca="1"/>
        <v>0.97404099755707096</v>
      </c>
      <c r="E229" t="str">
        <v>3M</v>
      </c>
      <c r="F229" t="str">
        <v>JIBAR</v>
      </c>
      <c r="G229">
        <v>7.9579999999999998E-2</v>
      </c>
      <c r="H229" t="str">
        <v>TRUE</v>
      </c>
    </row>
    <row r="230" spans="2:8">
      <c r="B230" s="8">
        <f t="shared" si="7"/>
        <v>45168</v>
      </c>
      <c r="C230">
        <f ca="1"/>
        <v>0.96736501063794622</v>
      </c>
      <c r="E230" t="str">
        <v/>
      </c>
      <c r="F230" t="str">
        <v/>
      </c>
      <c r="G230" t="str">
        <v/>
      </c>
      <c r="H230" t="str">
        <v/>
      </c>
    </row>
    <row r="231" spans="2:8">
      <c r="B231" s="8">
        <f t="shared" si="7"/>
        <v>45199</v>
      </c>
      <c r="C231">
        <f ca="1"/>
        <v>0.96073374854956706</v>
      </c>
      <c r="E231" t="str">
        <v>FRAs</v>
      </c>
      <c r="F231" t="str">
        <v/>
      </c>
      <c r="G231" t="str">
        <v/>
      </c>
      <c r="H231" t="str">
        <v/>
      </c>
    </row>
    <row r="232" spans="2:8">
      <c r="B232" s="8">
        <f t="shared" si="7"/>
        <v>45229</v>
      </c>
      <c r="C232">
        <f ca="1"/>
        <v>0.95432992729212318</v>
      </c>
      <c r="E232" t="str">
        <v>FraTenors</v>
      </c>
      <c r="F232" t="str">
        <v>RateIndex</v>
      </c>
      <c r="G232" t="str">
        <v>Rates</v>
      </c>
      <c r="H232" t="str">
        <v>Include</v>
      </c>
    </row>
    <row r="233" spans="2:8">
      <c r="B233" s="8">
        <f t="shared" si="7"/>
        <v>45260</v>
      </c>
      <c r="C233">
        <f ca="1"/>
        <v>0.94775748497073764</v>
      </c>
      <c r="E233" t="str">
        <v>3x6</v>
      </c>
      <c r="F233" t="str">
        <v>JIBAR</v>
      </c>
      <c r="G233">
        <v>8.1799999999999998E-2</v>
      </c>
      <c r="H233" t="str">
        <v>TRUE</v>
      </c>
    </row>
    <row r="234" spans="2:8">
      <c r="B234" s="8">
        <f t="shared" si="7"/>
        <v>45290</v>
      </c>
      <c r="C234">
        <f ca="1"/>
        <v>0.94144380075975365</v>
      </c>
      <c r="E234" t="str">
        <v>6x9</v>
      </c>
      <c r="F234" t="str">
        <v>JIBAR</v>
      </c>
      <c r="G234">
        <v>8.2200000000000009E-2</v>
      </c>
      <c r="H234" t="str">
        <v>TRUE</v>
      </c>
    </row>
    <row r="235" spans="2:8">
      <c r="B235" s="8">
        <f t="shared" si="7"/>
        <v>45321</v>
      </c>
      <c r="C235">
        <f ca="1"/>
        <v>0.93507226945881949</v>
      </c>
      <c r="E235" t="str">
        <v>9x12</v>
      </c>
      <c r="F235" t="str">
        <v>JIBAR</v>
      </c>
      <c r="G235">
        <v>8.0749999999999988E-2</v>
      </c>
      <c r="H235" t="str">
        <v>TRUE</v>
      </c>
    </row>
    <row r="236" spans="2:8">
      <c r="B236" s="8">
        <f t="shared" si="7"/>
        <v>45351</v>
      </c>
      <c r="C236">
        <f ca="1"/>
        <v>0.92894733177189004</v>
      </c>
      <c r="E236" t="str">
        <v>12x15</v>
      </c>
      <c r="F236" t="str">
        <v>JIBAR</v>
      </c>
      <c r="G236">
        <v>7.8100000000000003E-2</v>
      </c>
      <c r="H236" t="str">
        <v>TRUE</v>
      </c>
    </row>
    <row r="237" spans="2:8">
      <c r="B237" s="8">
        <f t="shared" si="7"/>
        <v>45380</v>
      </c>
      <c r="C237">
        <f ca="1"/>
        <v>0.92307131168988987</v>
      </c>
      <c r="E237" t="str">
        <v>15x18</v>
      </c>
      <c r="F237" t="str">
        <v>JIBAR</v>
      </c>
      <c r="G237">
        <v>7.6649999999999996E-2</v>
      </c>
      <c r="H237" t="str">
        <v>TRUE</v>
      </c>
    </row>
    <row r="238" spans="2:8">
      <c r="B238" s="8">
        <f t="shared" si="7"/>
        <v>45411</v>
      </c>
      <c r="C238">
        <f ca="1"/>
        <v>0.9170277977670056</v>
      </c>
      <c r="E238" t="str">
        <v>18x21</v>
      </c>
      <c r="F238" t="str">
        <v>JIBAR</v>
      </c>
      <c r="G238">
        <v>7.5649999999999995E-2</v>
      </c>
      <c r="H238" t="str">
        <v>TRUE</v>
      </c>
    </row>
    <row r="239" spans="2:8">
      <c r="B239" s="8">
        <f t="shared" si="7"/>
        <v>45441</v>
      </c>
      <c r="C239">
        <f ca="1"/>
        <v>0.9112169125432108</v>
      </c>
      <c r="E239" t="str">
        <v>21x24</v>
      </c>
      <c r="F239" t="str">
        <v>JIBAR</v>
      </c>
      <c r="G239">
        <v>7.5199999999999989E-2</v>
      </c>
      <c r="H239" t="str">
        <v>TRUE</v>
      </c>
    </row>
    <row r="240" spans="2:8">
      <c r="B240" s="8">
        <f t="shared" si="7"/>
        <v>45472</v>
      </c>
      <c r="C240">
        <f ca="1"/>
        <v>0.90525457782391716</v>
      </c>
      <c r="E240" t="str">
        <v/>
      </c>
      <c r="F240" t="str">
        <v/>
      </c>
      <c r="G240" t="str">
        <v/>
      </c>
      <c r="H240" t="str">
        <v/>
      </c>
    </row>
    <row r="241" spans="2:8">
      <c r="B241" s="8">
        <f t="shared" si="7"/>
        <v>45502</v>
      </c>
      <c r="C241">
        <f ca="1"/>
        <v>0.89962461352276468</v>
      </c>
      <c r="E241" t="str">
        <v>Interest Rate Swaps</v>
      </c>
      <c r="F241" t="str">
        <v/>
      </c>
      <c r="G241" t="str">
        <v/>
      </c>
      <c r="H241" t="str">
        <v/>
      </c>
    </row>
    <row r="242" spans="2:8">
      <c r="E242" t="str">
        <v>Tenors</v>
      </c>
      <c r="F242" t="str">
        <v>RateIndex</v>
      </c>
      <c r="G242" t="str">
        <v>Rates</v>
      </c>
      <c r="H242" t="str">
        <v>Include</v>
      </c>
    </row>
    <row r="243" spans="2:8">
      <c r="E243" t="str">
        <v>3Y</v>
      </c>
      <c r="F243" t="str">
        <v>JIBAR</v>
      </c>
      <c r="G243">
        <v>7.85E-2</v>
      </c>
      <c r="H243" t="str">
        <v>TRUE</v>
      </c>
    </row>
    <row r="244" spans="2:8">
      <c r="E244" t="str">
        <v>4Y</v>
      </c>
      <c r="F244" t="str">
        <v>JIBAR</v>
      </c>
      <c r="G244">
        <v>7.9500000000000001E-2</v>
      </c>
      <c r="H244" t="str">
        <v>TRUE</v>
      </c>
    </row>
    <row r="245" spans="2:8">
      <c r="E245" t="str">
        <v>5Y</v>
      </c>
      <c r="F245" t="str">
        <v>JIBAR</v>
      </c>
      <c r="G245">
        <v>8.1199999999999994E-2</v>
      </c>
      <c r="H245" t="str">
        <v>TRUE</v>
      </c>
    </row>
    <row r="246" spans="2:8">
      <c r="E246" t="str">
        <v>6Y</v>
      </c>
      <c r="F246" t="str">
        <v>JIBAR</v>
      </c>
      <c r="G246">
        <v>8.3499999999999991E-2</v>
      </c>
      <c r="H246" t="str">
        <v>TRUE</v>
      </c>
    </row>
    <row r="247" spans="2:8">
      <c r="E247" t="str">
        <v>7Y</v>
      </c>
      <c r="F247" t="str">
        <v>JIBAR</v>
      </c>
      <c r="G247">
        <v>8.585000000000001E-2</v>
      </c>
      <c r="H247" t="str">
        <v>TRUE</v>
      </c>
    </row>
    <row r="248" spans="2:8">
      <c r="E248" t="str">
        <v>8Y</v>
      </c>
      <c r="F248" t="str">
        <v>JIBAR</v>
      </c>
      <c r="G248">
        <v>8.7899999999999992E-2</v>
      </c>
      <c r="H248" t="str">
        <v>TRUE</v>
      </c>
    </row>
    <row r="249" spans="2:8">
      <c r="E249" t="str">
        <v>9Y</v>
      </c>
      <c r="F249" t="str">
        <v>JIBAR</v>
      </c>
      <c r="G249">
        <v>8.9499999999999996E-2</v>
      </c>
      <c r="H249" t="str">
        <v>TRUE</v>
      </c>
    </row>
    <row r="250" spans="2:8">
      <c r="E250" t="str">
        <v>10Y</v>
      </c>
      <c r="F250" t="str">
        <v>JIBAR</v>
      </c>
      <c r="G250">
        <v>9.06E-2</v>
      </c>
      <c r="H250" t="str">
        <v>TRUE</v>
      </c>
    </row>
    <row r="251" spans="2:8">
      <c r="E251" t="str">
        <v>12Y</v>
      </c>
      <c r="F251" t="str">
        <v>JIBAR</v>
      </c>
      <c r="G251">
        <v>9.2600000000000002E-2</v>
      </c>
      <c r="H251" t="str">
        <v>TRUE</v>
      </c>
    </row>
    <row r="252" spans="2:8">
      <c r="E252" t="str">
        <v>15Y</v>
      </c>
      <c r="F252" t="str">
        <v>JIBAR</v>
      </c>
      <c r="G252">
        <v>9.3900000000000011E-2</v>
      </c>
      <c r="H252" t="str">
        <v>TRUE</v>
      </c>
    </row>
    <row r="253" spans="2:8">
      <c r="E253" t="str">
        <v>20Y</v>
      </c>
      <c r="F253" t="str">
        <v>JIBAR</v>
      </c>
      <c r="G253">
        <v>9.35E-2</v>
      </c>
      <c r="H253" t="str">
        <v>TRUE</v>
      </c>
    </row>
    <row r="254" spans="2:8">
      <c r="E254" t="str">
        <v>25Y</v>
      </c>
      <c r="F254" t="str">
        <v>JIBAR</v>
      </c>
      <c r="G254">
        <v>9.2100000000000015E-2</v>
      </c>
      <c r="H254" t="str">
        <v>TRUE</v>
      </c>
    </row>
    <row r="255" spans="2:8">
      <c r="E255" t="str">
        <v>30Y</v>
      </c>
      <c r="F255" t="str">
        <v>JIBAR</v>
      </c>
      <c r="G255">
        <v>8.9700000000000002E-2</v>
      </c>
      <c r="H255" t="str">
        <v>TRUE</v>
      </c>
    </row>
    <row r="257" spans="2:10">
      <c r="B257" s="1">
        <v>45015</v>
      </c>
    </row>
    <row r="259" spans="2:10">
      <c r="B259" t="str" cm="1">
        <f t="array" ref="B259">_xll.d.Curve_Get("MyOIS","USD-OIS",B257)</f>
        <v>@@MyOIS::16:55:54</v>
      </c>
    </row>
    <row r="261" spans="2:10">
      <c r="B261" s="8">
        <v>45016</v>
      </c>
      <c r="C261" cm="1">
        <f t="array" aca="1" ref="C261:C277" ca="1">_xll.d.Curve_GetDiscountFactors(B259,B261:B277)</f>
        <v>0.99986585133167794</v>
      </c>
      <c r="G261" t="str" cm="1">
        <f t="array" ref="G261:J286">_xll.d.Curve_GetInstruments(B259)</f>
        <v>Deposits</v>
      </c>
      <c r="H261" t="str">
        <v/>
      </c>
      <c r="I261" t="str">
        <v/>
      </c>
      <c r="J261" t="str">
        <v/>
      </c>
    </row>
    <row r="262" spans="2:10">
      <c r="B262" s="8">
        <v>45046</v>
      </c>
      <c r="C262">
        <f ca="1"/>
        <v>0.99586661697567314</v>
      </c>
      <c r="G262" t="str">
        <v>Tenors</v>
      </c>
      <c r="H262" t="str">
        <v>RateIndex</v>
      </c>
      <c r="I262" t="str">
        <v>Rates</v>
      </c>
      <c r="J262" t="str">
        <v>Include</v>
      </c>
    </row>
    <row r="263" spans="2:10">
      <c r="B263" s="8">
        <v>45076</v>
      </c>
      <c r="C263">
        <f ca="1"/>
        <v>0.99177994466267483</v>
      </c>
      <c r="G263" t="str">
        <v>1D</v>
      </c>
      <c r="H263" t="str">
        <v>FEDFUND</v>
      </c>
      <c r="I263">
        <v>4.8300000000000003E-2</v>
      </c>
      <c r="J263" t="str">
        <v>TRUE</v>
      </c>
    </row>
    <row r="264" spans="2:10">
      <c r="B264" s="8">
        <v>45107</v>
      </c>
      <c r="C264">
        <f ca="1"/>
        <v>0.98757618558836535</v>
      </c>
      <c r="G264" t="str">
        <v/>
      </c>
      <c r="H264" t="str">
        <v/>
      </c>
      <c r="I264" t="str">
        <v/>
      </c>
      <c r="J264" t="str">
        <v/>
      </c>
    </row>
    <row r="265" spans="2:10">
      <c r="B265" s="8">
        <v>45137</v>
      </c>
      <c r="C265">
        <f ca="1"/>
        <v>0.98356173708807204</v>
      </c>
      <c r="G265" t="str">
        <v>OISs</v>
      </c>
      <c r="H265" t="str">
        <v/>
      </c>
      <c r="I265" t="str">
        <v/>
      </c>
      <c r="J265" t="str">
        <v/>
      </c>
    </row>
    <row r="266" spans="2:10">
      <c r="B266" s="8">
        <v>45168</v>
      </c>
      <c r="C266">
        <f ca="1"/>
        <v>0.97949853519223229</v>
      </c>
      <c r="G266" t="str">
        <v>Tenors</v>
      </c>
      <c r="H266" t="str">
        <v>Rates</v>
      </c>
      <c r="I266" t="str">
        <v>Include</v>
      </c>
      <c r="J266" t="str">
        <v/>
      </c>
    </row>
    <row r="267" spans="2:10">
      <c r="B267" s="8">
        <v>45199</v>
      </c>
      <c r="C267">
        <f ca="1"/>
        <v>0.97551810508568582</v>
      </c>
      <c r="G267" t="str">
        <v>1M</v>
      </c>
      <c r="H267">
        <v>4.8189999999999997E-2</v>
      </c>
      <c r="I267" t="str">
        <v>TRUE</v>
      </c>
      <c r="J267" t="str">
        <v/>
      </c>
    </row>
    <row r="268" spans="2:10">
      <c r="B268" s="8">
        <v>45229</v>
      </c>
      <c r="C268">
        <f ca="1"/>
        <v>0.97183645666990182</v>
      </c>
      <c r="G268" t="str">
        <v>2M</v>
      </c>
      <c r="H268">
        <v>4.9031000000000005E-2</v>
      </c>
      <c r="I268" t="str">
        <v>TRUE</v>
      </c>
      <c r="J268" t="str">
        <v/>
      </c>
    </row>
    <row r="269" spans="2:10">
      <c r="B269" s="8">
        <v>45260</v>
      </c>
      <c r="C269">
        <f ca="1"/>
        <v>0.9680629131698828</v>
      </c>
      <c r="G269" t="str">
        <v>3M</v>
      </c>
      <c r="H269">
        <v>4.9269999999999994E-2</v>
      </c>
      <c r="I269" t="str">
        <v>TRUE</v>
      </c>
      <c r="J269" t="str">
        <v/>
      </c>
    </row>
    <row r="270" spans="2:10">
      <c r="B270" s="8">
        <v>45290</v>
      </c>
      <c r="C270">
        <f ca="1"/>
        <v>0.9644250483952177</v>
      </c>
      <c r="G270" t="str">
        <v>4M</v>
      </c>
      <c r="H270">
        <v>4.9340000000000002E-2</v>
      </c>
      <c r="I270" t="str">
        <v>TRUE</v>
      </c>
      <c r="J270" t="str">
        <v/>
      </c>
    </row>
    <row r="271" spans="2:10">
      <c r="B271" s="8">
        <v>45321</v>
      </c>
      <c r="C271">
        <f ca="1"/>
        <v>0.96088064660111094</v>
      </c>
      <c r="G271" t="str">
        <v>5M</v>
      </c>
      <c r="H271">
        <v>4.9240000000000006E-2</v>
      </c>
      <c r="I271" t="str">
        <v>TRUE</v>
      </c>
      <c r="J271" t="str">
        <v/>
      </c>
    </row>
    <row r="272" spans="2:10">
      <c r="B272" s="8">
        <v>45351</v>
      </c>
      <c r="C272">
        <f ca="1"/>
        <v>0.95749161076178679</v>
      </c>
      <c r="G272" t="str">
        <v>6M</v>
      </c>
      <c r="H272">
        <v>4.9082999999999995E-2</v>
      </c>
      <c r="I272" t="str">
        <v>TRUE</v>
      </c>
      <c r="J272" t="str">
        <v/>
      </c>
    </row>
    <row r="273" spans="2:10">
      <c r="B273" s="8">
        <v>45380</v>
      </c>
      <c r="C273">
        <f ca="1"/>
        <v>0.95422690537586496</v>
      </c>
      <c r="G273" t="str">
        <v>9M</v>
      </c>
      <c r="H273">
        <v>4.8243999999999995E-2</v>
      </c>
      <c r="I273" t="str">
        <v>TRUE</v>
      </c>
      <c r="J273" t="str">
        <v/>
      </c>
    </row>
    <row r="274" spans="2:10">
      <c r="B274" s="8">
        <v>45411</v>
      </c>
      <c r="C274">
        <f ca="1"/>
        <v>0.95118137594055108</v>
      </c>
      <c r="G274" t="str">
        <v>1Y</v>
      </c>
      <c r="H274">
        <v>4.7237999999999995E-2</v>
      </c>
      <c r="I274" t="str">
        <v>TRUE</v>
      </c>
      <c r="J274" t="str">
        <v/>
      </c>
    </row>
    <row r="275" spans="2:10">
      <c r="B275" s="8">
        <v>45441</v>
      </c>
      <c r="C275">
        <f ca="1"/>
        <v>0.94832351851588392</v>
      </c>
      <c r="G275" t="str">
        <v>18M</v>
      </c>
      <c r="H275">
        <v>4.3619999999999999E-2</v>
      </c>
      <c r="I275" t="str">
        <v>TRUE</v>
      </c>
      <c r="J275" t="str">
        <v/>
      </c>
    </row>
    <row r="276" spans="2:10">
      <c r="B276" s="8">
        <v>45472</v>
      </c>
      <c r="C276">
        <f ca="1"/>
        <v>0.94537941950430571</v>
      </c>
      <c r="G276" t="str">
        <v>2Y</v>
      </c>
      <c r="H276">
        <v>4.1289999999999993E-2</v>
      </c>
      <c r="I276" t="str">
        <v>TRUE</v>
      </c>
      <c r="J276" t="str">
        <v/>
      </c>
    </row>
    <row r="277" spans="2:10">
      <c r="B277" s="8">
        <v>45502</v>
      </c>
      <c r="C277">
        <f ca="1"/>
        <v>0.94253899425892451</v>
      </c>
      <c r="G277" t="str">
        <v>3Y</v>
      </c>
      <c r="H277">
        <v>3.7400000000000003E-2</v>
      </c>
      <c r="I277" t="str">
        <v>TRUE</v>
      </c>
      <c r="J277" t="str">
        <v/>
      </c>
    </row>
    <row r="278" spans="2:10">
      <c r="G278" t="str">
        <v>4Y</v>
      </c>
      <c r="H278">
        <v>3.5499999999999997E-2</v>
      </c>
      <c r="I278" t="str">
        <v>TRUE</v>
      </c>
      <c r="J278" t="str">
        <v/>
      </c>
    </row>
    <row r="279" spans="2:10">
      <c r="G279" t="str">
        <v>5Y</v>
      </c>
      <c r="H279">
        <v>3.424E-2</v>
      </c>
      <c r="I279" t="str">
        <v>TRUE</v>
      </c>
      <c r="J279" t="str">
        <v/>
      </c>
    </row>
    <row r="280" spans="2:10">
      <c r="G280" t="str">
        <v>7Y</v>
      </c>
      <c r="H280">
        <v>3.2939999999999997E-2</v>
      </c>
      <c r="I280" t="str">
        <v>TRUE</v>
      </c>
      <c r="J280" t="str">
        <v/>
      </c>
    </row>
    <row r="281" spans="2:10">
      <c r="G281" t="str">
        <v>10Y</v>
      </c>
      <c r="H281">
        <v>3.2349999999999997E-2</v>
      </c>
      <c r="I281" t="str">
        <v>TRUE</v>
      </c>
      <c r="J281" t="str">
        <v/>
      </c>
    </row>
    <row r="282" spans="2:10">
      <c r="G282" t="str">
        <v>12Y</v>
      </c>
      <c r="H282">
        <v>3.2419999999999997E-2</v>
      </c>
      <c r="I282" t="str">
        <v>TRUE</v>
      </c>
      <c r="J282" t="str">
        <v/>
      </c>
    </row>
    <row r="283" spans="2:10">
      <c r="G283" t="str">
        <v>15Y</v>
      </c>
      <c r="H283">
        <v>3.2349999999999997E-2</v>
      </c>
      <c r="I283" t="str">
        <v>TRUE</v>
      </c>
      <c r="J283" t="str">
        <v/>
      </c>
    </row>
    <row r="284" spans="2:10">
      <c r="G284" t="str">
        <v>20Y</v>
      </c>
      <c r="H284">
        <v>3.1820000000000001E-2</v>
      </c>
      <c r="I284" t="str">
        <v>TRUE</v>
      </c>
      <c r="J284" t="str">
        <v/>
      </c>
    </row>
    <row r="285" spans="2:10">
      <c r="G285" t="str">
        <v>25Y</v>
      </c>
      <c r="H285">
        <v>3.0800000000000001E-2</v>
      </c>
      <c r="I285" t="str">
        <v>TRUE</v>
      </c>
      <c r="J285" t="str">
        <v/>
      </c>
    </row>
    <row r="286" spans="2:10">
      <c r="G286" t="str">
        <v>30Y</v>
      </c>
      <c r="H286">
        <v>2.9699999999999997E-2</v>
      </c>
      <c r="I286" t="str">
        <v>TRUE</v>
      </c>
      <c r="J286" t="str">
        <v/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15" zoomScaleNormal="115" workbookViewId="0">
      <selection activeCell="J12" sqref="J12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499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ref="AB17">_xll.d.TestUtils_Equal(V17,Y17)</f>
        <v>Ok</v>
      </c>
      <c r="AD17" s="123" t="s">
        <v>499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509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E27" s="439"/>
      <c r="F27" s="439"/>
      <c r="G27" s="439"/>
      <c r="H27" s="439"/>
      <c r="I27" s="439"/>
      <c r="J27" s="439"/>
      <c r="K27" s="439"/>
      <c r="L27" s="439"/>
    </row>
    <row r="42" spans="3:11">
      <c r="F42" s="495"/>
    </row>
    <row r="44" spans="3:11">
      <c r="C44" s="495"/>
      <c r="K44" s="439"/>
    </row>
    <row r="45" spans="3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58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8" t="s">
        <v>432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58" t="s">
        <v>432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5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9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59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5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9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59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5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9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59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5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9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59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6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60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60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Ok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>C197</f>
        <v>Ok</v>
      </c>
    </row>
    <row r="16" spans="2:23">
      <c r="B16" s="199" t="s">
        <v>171</v>
      </c>
      <c r="C16" s="164" t="str">
        <f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ref="C2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ref="C43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ref="C65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ref="C87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ref="C109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ref="C13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ref="C153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ref="C175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ref="C197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124</v>
      </c>
      <c r="C209" t="str">
        <v>Warning</v>
      </c>
    </row>
    <row r="210" spans="2:23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ref="C219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Ok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Ok</v>
      </c>
    </row>
    <row r="8" spans="2:56">
      <c r="B8" s="186" t="s">
        <v>93</v>
      </c>
      <c r="C8" s="164" t="str">
        <f ca="1">C48</f>
        <v>Ok</v>
      </c>
    </row>
    <row r="9" spans="2:56">
      <c r="B9" s="186" t="s">
        <v>94</v>
      </c>
      <c r="C9" s="164" t="str">
        <f ca="1">C72</f>
        <v>Ok</v>
      </c>
    </row>
    <row r="10" spans="2:56">
      <c r="B10" s="186" t="s">
        <v>97</v>
      </c>
      <c r="C10" s="164" t="str">
        <f ca="1">C108</f>
        <v>Ok</v>
      </c>
    </row>
    <row r="11" spans="2:56">
      <c r="B11" s="186" t="s">
        <v>100</v>
      </c>
      <c r="C11" s="164" t="str">
        <f ca="1">C144</f>
        <v>Ok</v>
      </c>
    </row>
    <row r="12" spans="2:56">
      <c r="B12" s="186" t="s">
        <v>102</v>
      </c>
      <c r="C12" s="164" t="str">
        <f ca="1">C166</f>
        <v>Ok</v>
      </c>
    </row>
    <row r="13" spans="2:56">
      <c r="B13" s="186" t="s">
        <v>144</v>
      </c>
      <c r="C13" s="164" t="str">
        <f ca="1">C186</f>
        <v>Ok</v>
      </c>
    </row>
    <row r="14" spans="2:56">
      <c r="B14" s="186" t="s">
        <v>149</v>
      </c>
      <c r="C14" s="164" t="str">
        <f ca="1">C203</f>
        <v>Ok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Ok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Ok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Ok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6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6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6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6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6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6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6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6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6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6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6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6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96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6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96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6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96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6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96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6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96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6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6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6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6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6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6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6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6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6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6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6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6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6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Ok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6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6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6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6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6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6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6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6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6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6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6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6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6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6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6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6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6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Ok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Ok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Ok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6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6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6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6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Ok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6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6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6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6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6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6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6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6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6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6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188</vt:i4>
      </vt:variant>
    </vt:vector>
  </HeadingPairs>
  <TitlesOfParts>
    <vt:vector size="21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2023-05-03T14:56:36Z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