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301F2BAB-FD83-4349-AEE1-B6EC93BA05D4}" xr6:coauthVersionLast="47" xr6:coauthVersionMax="47" xr10:uidLastSave="{00000000-0000-0000-0000-000000000000}"/>
  <bookViews>
    <workbookView xWindow="-20604" yWindow="3540" windowWidth="20712" windowHeight="11136" tabRatio="721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Interest Rate curves" sheetId="6" r:id="rId6"/>
    <sheet name="Curves" sheetId="1" r:id="rId7"/>
    <sheet name="SinlgeCurveBootstrapping" sheetId="3" r:id="rId8"/>
    <sheet name="MultiCurveBootstrapping" sheetId="4" r:id="rId9"/>
    <sheet name="HullWhite" sheetId="2" r:id="rId10"/>
    <sheet name="Fixed Income Instruments" sheetId="10" r:id="rId11"/>
    <sheet name="Interest Rate Swaps" sheetId="11" r:id="rId12"/>
    <sheet name="Other" sheetId="7" r:id="rId13"/>
    <sheet name="Test Utils" sheetId="9" r:id="rId14"/>
    <sheet name="Table Formatting" sheetId="5" r:id="rId15"/>
  </sheets>
  <definedNames>
    <definedName name="Curves.Title" localSheetId="2">Dates!$B$2</definedName>
    <definedName name="Curves.Title" localSheetId="3">Mathematics!$B$2</definedName>
    <definedName name="Curves.Title" localSheetId="4">Stats!$B$2</definedName>
    <definedName name="Curves.Title">Curves!$B$2</definedName>
    <definedName name="Logic.Title">'Test Utils'!$B$2</definedName>
    <definedName name="Summary.ResetTestsInAllSheets">Summary!$B$6:$C$6</definedName>
    <definedName name="Summary.RunTestsInAllSheets">Summary!$B$5:$C$5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Formatting'!$T$45:$AJ$49</definedName>
    <definedName name="TableFormatting.Test1.Output">'Table Formatting'!$AL$45:$BB$49</definedName>
    <definedName name="TableFormatting.Test1.ResetTest">'Table Formatting'!$B$39:$C$39</definedName>
    <definedName name="TableFormatting.Test1.Title">'Table Formatting'!$B$28</definedName>
    <definedName name="TableFormatting.Test2.Input">'Table Formatting'!$T$69:$AJ$73</definedName>
    <definedName name="TableFormatting.Test2.Output">'Table Formatting'!$AL$69:$BB$73</definedName>
    <definedName name="TableFormatting.Test2.ResetTest">'Table Formatting'!$B$63:$C$63</definedName>
    <definedName name="TableFormatting.Test2.Title">'Table Formatting'!$B$52</definedName>
    <definedName name="TableFormatting.Test3.Expected.PrimaryHeader">'Table Formatting'!$B$93</definedName>
    <definedName name="TableFormatting.Test3.Input">'Table Formatting'!$H$93:$L$109</definedName>
    <definedName name="TableFormatting.Test3.Output">'Table Formatting'!$N$93:$R$109</definedName>
    <definedName name="TableFormatting.Test3.Output.PrimaryHeader">'Table Formatting'!$N$93</definedName>
    <definedName name="TableFormatting.Test3.ResetTest">'Table Formatting'!$B$87:$C$87</definedName>
    <definedName name="TableFormatting.Test3.Title">'Table Formatting'!$B$76</definedName>
    <definedName name="TableFormatting.Test4.Input">'Table Formatting'!$H$129:$L$145</definedName>
    <definedName name="TableFormatting.Test4.Output">'Table Formatting'!$N$129:$R$145</definedName>
    <definedName name="TableFormatting.Test4.ResetTest">'Table Formatting'!$B$123:$C$123</definedName>
    <definedName name="TableFormatting.Test4.Title">'Table Formatting'!$B$112</definedName>
    <definedName name="TableFormatting.Test5.Input">'Table Formatting'!$E$163:$F$167</definedName>
    <definedName name="TableFormatting.Test5.Output">'Table Formatting'!$H$163:$I$167</definedName>
    <definedName name="TableFormatting.Test5.ResetTest">'Table Formatting'!$B$157:$C$157</definedName>
    <definedName name="TableFormatting.Test5.Title">'Table Formatting'!$B$148</definedName>
    <definedName name="TableFormatting.Test6.Input">'Table Formatting'!$E$183:$F$187</definedName>
    <definedName name="TableFormatting.Test6.Output">'Table Formatting'!$H$183:$I$187</definedName>
    <definedName name="TableFormatting.Test6.ResetTest">'Table Formatting'!$B$177:$C$177</definedName>
    <definedName name="TableFormatting.Test6.Title">'Table Formatting'!$B$170</definedName>
    <definedName name="TableFormatting.Test7.Expected.PrimaryHeader">'Table Formatting'!$B$203</definedName>
    <definedName name="TableFormatting.Test7.Input">'Table Formatting'!$H$203:$L$204</definedName>
    <definedName name="TableFormatting.Test7.Output">'Table Formatting'!$N$203:$R$204</definedName>
    <definedName name="TableFormatting.Test7.Output.PrimaryHeader">'Table Formatting'!$N$203:$N$204</definedName>
    <definedName name="TableFormatting.Test7.ResetTest">'Table Formatting'!$B$197:$C$197</definedName>
    <definedName name="TableFormatting.Test7.Title">'Table Formatting'!$B$190</definedName>
    <definedName name="TableFormatting.Test8.Expected.PrimaryHeader">'Table Formatting'!$B$225</definedName>
    <definedName name="TableFormatting.Test8.Input">'Table Formatting'!$H$223:$L$229</definedName>
    <definedName name="TableFormatting.Test8.Output">'Table Formatting'!$N$223:$R$229</definedName>
    <definedName name="TableFormatting.Test8.Output.PrimaryHeader">'Table Formatting'!$N$225</definedName>
    <definedName name="TableFormatting.Test8.ResetTest">'Table Formatting'!$B$217:$C$217</definedName>
    <definedName name="TableFormatting.Test8.Title">'Table Formatting'!$B$207</definedName>
    <definedName name="TableFormatting.Title">'Table Formatting'!$B$2</definedName>
  </definedNames>
  <calcPr calcId="191029" calcMode="manual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8" l="1"/>
  <c r="C10" i="8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9" i="14"/>
  <c r="T21" i="14"/>
  <c r="T20" i="14"/>
  <c r="O19" i="14"/>
  <c r="G19" i="14"/>
  <c r="R33" i="3"/>
  <c r="R34" i="3"/>
  <c r="R35" i="3"/>
  <c r="R36" i="3"/>
  <c r="R37" i="3"/>
  <c r="R38" i="3"/>
  <c r="R39" i="3"/>
  <c r="D24" i="3" a="1"/>
  <c r="E26" i="13" a="1"/>
  <c r="S156" i="13" a="1"/>
  <c r="S41" i="13" a="1"/>
  <c r="Z71" i="13" a="1"/>
  <c r="E35" i="9" a="1"/>
  <c r="L71" i="13" a="1"/>
  <c r="B187" i="13" a="1"/>
  <c r="E129" i="13" a="1"/>
  <c r="G137" i="13" s="1" a="1"/>
  <c r="L56" i="13" a="1"/>
  <c r="L156" i="13" a="1"/>
  <c r="G131" i="13" a="1"/>
  <c r="Z41" i="13" a="1"/>
  <c r="G135" i="13" a="1"/>
  <c r="L191" i="13" a="1"/>
  <c r="N189" i="13" a="1"/>
  <c r="M190" i="13" a="1"/>
  <c r="L190" i="13" a="1"/>
  <c r="B85" i="13" a="1"/>
  <c r="O118" i="13" a="1"/>
  <c r="M97" i="13" a="1"/>
  <c r="L116" i="13" a="1"/>
  <c r="L105" i="13" a="1"/>
  <c r="E56" i="13" a="1"/>
  <c r="L106" i="13" a="1"/>
  <c r="N100" i="13" a="1"/>
  <c r="M188" i="13" a="1"/>
  <c r="O96" i="13" a="1"/>
  <c r="Z56" i="13" a="1"/>
  <c r="L89" i="13" a="1"/>
  <c r="N90" i="13" a="1"/>
  <c r="O102" i="13" a="1"/>
  <c r="N109" i="13" a="1"/>
  <c r="O99" i="13" a="1"/>
  <c r="N116" i="13" a="1"/>
  <c r="M96" i="13" a="1"/>
  <c r="O112" i="13" a="1"/>
  <c r="L26" i="13" a="1"/>
  <c r="L96" i="13" a="1"/>
  <c r="Z156" i="13" a="1"/>
  <c r="S129" i="13" a="1"/>
  <c r="O88" i="13" a="1"/>
  <c r="O104" i="13" a="1"/>
  <c r="L91" i="13" a="1"/>
  <c r="M99" i="13" a="1"/>
  <c r="M115" i="13" a="1"/>
  <c r="N188" i="13" a="1"/>
  <c r="N97" i="13" a="1"/>
  <c r="O188" i="13" a="1"/>
  <c r="N87" i="13" a="1"/>
  <c r="N115" i="13" a="1"/>
  <c r="Z26" i="13" a="1"/>
  <c r="M191" i="13" a="1"/>
  <c r="O85" i="13" a="1"/>
  <c r="O101" i="13" a="1"/>
  <c r="L118" i="13" a="1"/>
  <c r="N191" i="13" a="1"/>
  <c r="N114" i="13" a="1"/>
  <c r="N98" i="13" a="1"/>
  <c r="M118" i="13" a="1"/>
  <c r="M94" i="13" a="1"/>
  <c r="O190" i="13" a="1"/>
  <c r="L129" i="13" a="1"/>
  <c r="O92" i="13" a="1"/>
  <c r="O108" i="13" a="1"/>
  <c r="M87" i="13" a="1"/>
  <c r="O187" i="13" a="1"/>
  <c r="N107" i="13" a="1"/>
  <c r="L99" i="13" a="1"/>
  <c r="O105" i="13" a="1"/>
  <c r="O89" i="13" a="1"/>
  <c r="N110" i="13" a="1"/>
  <c r="M110" i="13" a="1"/>
  <c r="E156" i="13" a="1"/>
  <c r="M112" i="13" a="1"/>
  <c r="S56" i="13" a="1"/>
  <c r="N92" i="13" a="1"/>
  <c r="M108" i="13" a="1"/>
  <c r="B172" i="13" a="1"/>
  <c r="M107" i="13" a="1"/>
  <c r="N99" i="13" a="1"/>
  <c r="M102" i="13" a="1"/>
  <c r="M86" i="13" a="1"/>
  <c r="E71" i="13" a="1"/>
  <c r="G133" i="13" a="1"/>
  <c r="O90" i="13" a="1"/>
  <c r="O106" i="13" a="1"/>
  <c r="L97" i="13" a="1"/>
  <c r="M85" i="13" a="1"/>
  <c r="M101" i="13" a="1"/>
  <c r="M117" i="13" a="1"/>
  <c r="N190" i="13" a="1"/>
  <c r="N103" i="13" a="1"/>
  <c r="I172" i="13" a="1"/>
  <c r="N91" i="13" a="1"/>
  <c r="L87" i="13" a="1"/>
  <c r="G134" i="13" a="1"/>
  <c r="I173" i="13" a="1"/>
  <c r="O87" i="13" a="1"/>
  <c r="O103" i="13" a="1"/>
  <c r="M189" i="13" a="1"/>
  <c r="L114" i="13" a="1"/>
  <c r="N112" i="13" a="1"/>
  <c r="N96" i="13" a="1"/>
  <c r="M114" i="13" a="1"/>
  <c r="M92" i="13" a="1"/>
  <c r="M187" i="13" a="1"/>
  <c r="L41" i="13" a="1"/>
  <c r="L103" i="13" a="1"/>
  <c r="M103" i="13" a="1"/>
  <c r="L86" i="13" a="1"/>
  <c r="G130" i="13" a="1"/>
  <c r="N93" i="13" a="1"/>
  <c r="M106" i="13" a="1"/>
  <c r="O107" i="13" a="1"/>
  <c r="L108" i="13" a="1"/>
  <c r="N94" i="13" a="1"/>
  <c r="M90" i="13" a="1"/>
  <c r="O191" i="13" a="1"/>
  <c r="N95" i="13" a="1"/>
  <c r="O113" i="13" a="1"/>
  <c r="O109" i="13" a="1"/>
  <c r="N108" i="13" a="1"/>
  <c r="M88" i="13" a="1"/>
  <c r="S26" i="13" a="1"/>
  <c r="M91" i="13" a="1"/>
  <c r="S71" i="13" a="1"/>
  <c r="O111" i="13" a="1"/>
  <c r="L188" i="13" a="1"/>
  <c r="G136" i="13" a="1"/>
  <c r="E41" i="13" a="1"/>
  <c r="O94" i="13" a="1"/>
  <c r="O110" i="13" a="1"/>
  <c r="L109" i="13" a="1"/>
  <c r="M89" i="13" a="1"/>
  <c r="M105" i="13" a="1"/>
  <c r="L92" i="13" a="1"/>
  <c r="H173" i="13" a="1"/>
  <c r="N111" i="13" a="1"/>
  <c r="L117" i="13" a="1"/>
  <c r="O91" i="13" a="1"/>
  <c r="L102" i="13" a="1"/>
  <c r="O189" i="13" a="1"/>
  <c r="L98" i="13" a="1"/>
  <c r="O93" i="13" a="1"/>
  <c r="M104" i="13" a="1"/>
  <c r="L189" i="13" a="1"/>
  <c r="N187" i="13" a="1"/>
  <c r="M98" i="13" a="1"/>
  <c r="N86" i="13" a="1"/>
  <c r="N102" i="13" a="1"/>
  <c r="N118" i="13" a="1"/>
  <c r="L95" i="13" a="1"/>
  <c r="L94" i="13" a="1"/>
  <c r="O97" i="13" a="1"/>
  <c r="L100" i="13" a="1"/>
  <c r="N105" i="13" a="1"/>
  <c r="L93" i="13" a="1"/>
  <c r="L110" i="13" a="1"/>
  <c r="M111" i="13" a="1"/>
  <c r="M95" i="13" a="1"/>
  <c r="O116" i="13" a="1"/>
  <c r="O100" i="13" a="1"/>
  <c r="N106" i="13" a="1"/>
  <c r="O117" i="13" a="1"/>
  <c r="N113" i="13" a="1"/>
  <c r="L115" i="13" a="1"/>
  <c r="L101" i="13" a="1"/>
  <c r="L107" i="13" a="1"/>
  <c r="L112" i="13" a="1"/>
  <c r="N85" i="13" a="1"/>
  <c r="N89" i="13" a="1"/>
  <c r="M113" i="13" a="1"/>
  <c r="O86" i="13" a="1"/>
  <c r="M100" i="13" a="1"/>
  <c r="N88" i="13" a="1"/>
  <c r="N104" i="13" a="1"/>
  <c r="L90" i="13" a="1"/>
  <c r="M116" i="13" a="1"/>
  <c r="O115" i="13" a="1"/>
  <c r="O95" i="13" a="1"/>
  <c r="L113" i="13" a="1"/>
  <c r="L88" i="13" a="1"/>
  <c r="L111" i="13" a="1"/>
  <c r="N101" i="13" a="1"/>
  <c r="N117" i="13" a="1"/>
  <c r="L104" i="13" a="1"/>
  <c r="M109" i="13" a="1"/>
  <c r="M93" i="13" a="1"/>
  <c r="O114" i="13" a="1"/>
  <c r="O98" i="13" a="1"/>
  <c r="H175" i="13" a="1"/>
  <c r="I175" i="13" a="1"/>
  <c r="I174" i="13" a="1"/>
  <c r="I176" i="13" a="1"/>
  <c r="H174" i="13" a="1"/>
  <c r="F19" i="14" a="1"/>
  <c r="AU19" i="14" a="1"/>
  <c r="AM19" i="14" a="1"/>
  <c r="AU31" i="14" a="1"/>
  <c r="AI31" i="14" a="1"/>
  <c r="BG31" i="14" a="1"/>
  <c r="N19" i="14" a="1"/>
  <c r="W19" i="14" a="1"/>
  <c r="W31" i="14" a="1"/>
  <c r="AE19" i="14" a="1"/>
  <c r="J31" i="14" a="1"/>
  <c r="BC19" i="14" a="1"/>
  <c r="X49" i="15" a="1"/>
  <c r="F20" i="15" a="1"/>
  <c r="T34" i="15" a="1"/>
  <c r="AC35" i="15" a="1"/>
  <c r="AC34" i="15" a="1"/>
  <c r="AC36" i="15" a="1"/>
  <c r="AB35" i="15" a="1"/>
  <c r="AD34" i="15" a="1"/>
  <c r="AD36" i="15" a="1"/>
  <c r="AJ20" i="15" a="1"/>
  <c r="AB36" i="15" a="1"/>
  <c r="AB20" i="15" a="1"/>
  <c r="T20" i="15" a="1"/>
  <c r="AD35" i="15" a="1"/>
  <c r="F34" i="15" a="1"/>
  <c r="M34" i="15" a="1"/>
  <c r="M35" i="15" a="1"/>
  <c r="L35" i="15" a="1"/>
  <c r="D49" i="15" a="1"/>
  <c r="M49" i="15" a="1"/>
  <c r="T99" i="5" a="1"/>
  <c r="U225" i="5" a="1"/>
  <c r="U227" i="5" a="1"/>
  <c r="V229" i="5" a="1"/>
  <c r="T105" i="5" a="1"/>
  <c r="X225" i="5" a="1"/>
  <c r="W223" i="5" a="1"/>
  <c r="T106" i="5" a="1"/>
  <c r="W224" i="5" a="1"/>
  <c r="X223" i="5" a="1"/>
  <c r="X228" i="5" a="1"/>
  <c r="V228" i="5" a="1"/>
  <c r="X227" i="5" a="1"/>
  <c r="T224" i="5" a="1"/>
  <c r="U226" i="5" a="1"/>
  <c r="T107" i="5" a="1"/>
  <c r="T102" i="5" a="1"/>
  <c r="V226" i="5" a="1"/>
  <c r="W225" i="5" a="1"/>
  <c r="U224" i="5" a="1"/>
  <c r="T108" i="5" a="1"/>
  <c r="T93" i="5" a="1"/>
  <c r="U223" i="5" a="1"/>
  <c r="T223" i="5" a="1"/>
  <c r="V223" i="5" a="1"/>
  <c r="X224" i="5" a="1"/>
  <c r="T101" i="5" a="1"/>
  <c r="X229" i="5" a="1"/>
  <c r="T228" i="5" a="1"/>
  <c r="X226" i="5" a="1"/>
  <c r="T227" i="5" a="1"/>
  <c r="T103" i="5" a="1"/>
  <c r="T226" i="5" a="1"/>
  <c r="T109" i="5" a="1"/>
  <c r="V225" i="5" a="1"/>
  <c r="T97" i="5" a="1"/>
  <c r="V224" i="5" a="1"/>
  <c r="V227" i="5" a="1"/>
  <c r="W226" i="5" a="1"/>
  <c r="U229" i="5" a="1"/>
  <c r="T94" i="5" a="1"/>
  <c r="T104" i="5" a="1"/>
  <c r="W228" i="5" a="1"/>
  <c r="W229" i="5" a="1"/>
  <c r="T229" i="5" a="1"/>
  <c r="W227" i="5" a="1"/>
  <c r="T225" i="5" a="1"/>
  <c r="U228" i="5" a="1"/>
  <c r="T100" i="5" a="1"/>
  <c r="T96" i="5" a="1"/>
  <c r="T95" i="5" a="1"/>
  <c r="T98" i="5" a="1"/>
  <c r="N49" i="15" l="1"/>
  <c r="Q50" i="15"/>
  <c r="O52" i="15"/>
  <c r="M54" i="15"/>
  <c r="P55" i="15"/>
  <c r="N57" i="15"/>
  <c r="Q58" i="15"/>
  <c r="O60" i="15"/>
  <c r="M62" i="15"/>
  <c r="P63" i="15"/>
  <c r="N65" i="15"/>
  <c r="O49" i="15"/>
  <c r="M51" i="15"/>
  <c r="P52" i="15"/>
  <c r="N54" i="15"/>
  <c r="Q55" i="15"/>
  <c r="O57" i="15"/>
  <c r="M59" i="15"/>
  <c r="P60" i="15"/>
  <c r="N62" i="15"/>
  <c r="Q63" i="15"/>
  <c r="O65" i="15"/>
  <c r="M67" i="15"/>
  <c r="P68" i="15"/>
  <c r="N70" i="15"/>
  <c r="Q71" i="15"/>
  <c r="O73" i="15"/>
  <c r="M75" i="15"/>
  <c r="P76" i="15"/>
  <c r="N78" i="15"/>
  <c r="Q79" i="15"/>
  <c r="O81" i="15"/>
  <c r="M83" i="15"/>
  <c r="P84" i="15"/>
  <c r="N86" i="15"/>
  <c r="Q87" i="15"/>
  <c r="P49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Q4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O83" i="15"/>
  <c r="M85" i="15"/>
  <c r="P86" i="15"/>
  <c r="N88" i="15"/>
  <c r="M50" i="15"/>
  <c r="P51" i="15"/>
  <c r="N53" i="15"/>
  <c r="Q54" i="15"/>
  <c r="O56" i="15"/>
  <c r="M58" i="15"/>
  <c r="P59" i="15"/>
  <c r="N61" i="15"/>
  <c r="Q62" i="15"/>
  <c r="O64" i="15"/>
  <c r="N50" i="15"/>
  <c r="Q51" i="15"/>
  <c r="O53" i="15"/>
  <c r="M55" i="15"/>
  <c r="P56" i="15"/>
  <c r="N58" i="15"/>
  <c r="Q59" i="15"/>
  <c r="O61" i="15"/>
  <c r="M63" i="15"/>
  <c r="P64" i="15"/>
  <c r="N66" i="15"/>
  <c r="Q67" i="15"/>
  <c r="O69" i="15"/>
  <c r="M71" i="15"/>
  <c r="P72" i="15"/>
  <c r="N74" i="15"/>
  <c r="Q75" i="15"/>
  <c r="O77" i="15"/>
  <c r="M79" i="15"/>
  <c r="P80" i="15"/>
  <c r="N82" i="15"/>
  <c r="Q83" i="15"/>
  <c r="O85" i="15"/>
  <c r="M87" i="15"/>
  <c r="P88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M49" i="15"/>
  <c r="Q61" i="15"/>
  <c r="O68" i="15"/>
  <c r="M73" i="15"/>
  <c r="N77" i="15"/>
  <c r="N81" i="15"/>
  <c r="O84" i="15"/>
  <c r="P87" i="15"/>
  <c r="M84" i="15"/>
  <c r="N52" i="15"/>
  <c r="M65" i="15"/>
  <c r="Q69" i="15"/>
  <c r="M74" i="15"/>
  <c r="M78" i="15"/>
  <c r="O82" i="15"/>
  <c r="P85" i="15"/>
  <c r="Q88" i="15"/>
  <c r="M57" i="15"/>
  <c r="P83" i="15"/>
  <c r="P71" i="15"/>
  <c r="Q53" i="15"/>
  <c r="M66" i="15"/>
  <c r="M70" i="15"/>
  <c r="P74" i="15"/>
  <c r="Q78" i="15"/>
  <c r="P82" i="15"/>
  <c r="Q85" i="15"/>
  <c r="Q66" i="15"/>
  <c r="O71" i="15"/>
  <c r="P75" i="15"/>
  <c r="P79" i="15"/>
  <c r="Q86" i="15"/>
  <c r="P58" i="15"/>
  <c r="O80" i="15"/>
  <c r="N87" i="15"/>
  <c r="O55" i="15"/>
  <c r="P66" i="15"/>
  <c r="Q70" i="15"/>
  <c r="Q74" i="15"/>
  <c r="O79" i="15"/>
  <c r="Q82" i="15"/>
  <c r="M86" i="15"/>
  <c r="P67" i="15"/>
  <c r="N60" i="15"/>
  <c r="N68" i="15"/>
  <c r="O72" i="15"/>
  <c r="O76" i="15"/>
  <c r="M81" i="15"/>
  <c r="N84" i="15"/>
  <c r="O87" i="15"/>
  <c r="P50" i="15"/>
  <c r="O63" i="15"/>
  <c r="N69" i="15"/>
  <c r="N73" i="15"/>
  <c r="Q77" i="15"/>
  <c r="M82" i="15"/>
  <c r="N85" i="15"/>
  <c r="O88" i="15"/>
  <c r="N76" i="15"/>
  <c r="Z88" i="15"/>
  <c r="AB86" i="15"/>
  <c r="Y85" i="15"/>
  <c r="AA83" i="15"/>
  <c r="X82" i="15"/>
  <c r="Z80" i="15"/>
  <c r="AB78" i="15"/>
  <c r="Y77" i="15"/>
  <c r="AA75" i="15"/>
  <c r="X74" i="15"/>
  <c r="Z72" i="15"/>
  <c r="AB70" i="15"/>
  <c r="Y69" i="15"/>
  <c r="AA67" i="15"/>
  <c r="X66" i="15"/>
  <c r="Z64" i="15"/>
  <c r="AB62" i="15"/>
  <c r="Y61" i="15"/>
  <c r="AA59" i="15"/>
  <c r="X58" i="15"/>
  <c r="Z56" i="15"/>
  <c r="AB54" i="15"/>
  <c r="Y53" i="15"/>
  <c r="AA51" i="15"/>
  <c r="X50" i="15"/>
  <c r="AA80" i="15"/>
  <c r="AB75" i="15"/>
  <c r="X71" i="15"/>
  <c r="AA64" i="15"/>
  <c r="AA56" i="15"/>
  <c r="Y88" i="15"/>
  <c r="AA86" i="15"/>
  <c r="X85" i="15"/>
  <c r="Z83" i="15"/>
  <c r="AB81" i="15"/>
  <c r="Y80" i="15"/>
  <c r="AA78" i="15"/>
  <c r="X77" i="15"/>
  <c r="Z75" i="15"/>
  <c r="AB73" i="15"/>
  <c r="Y72" i="15"/>
  <c r="AA70" i="15"/>
  <c r="X69" i="15"/>
  <c r="Z67" i="15"/>
  <c r="AB65" i="15"/>
  <c r="Y64" i="15"/>
  <c r="AA62" i="15"/>
  <c r="X61" i="15"/>
  <c r="Z59" i="15"/>
  <c r="AB57" i="15"/>
  <c r="Y56" i="15"/>
  <c r="AA54" i="15"/>
  <c r="X53" i="15"/>
  <c r="Z51" i="15"/>
  <c r="AB49" i="15"/>
  <c r="Y82" i="15"/>
  <c r="X63" i="15"/>
  <c r="AB51" i="15"/>
  <c r="X88" i="15"/>
  <c r="Z86" i="15"/>
  <c r="AB84" i="15"/>
  <c r="Y83" i="15"/>
  <c r="AA81" i="15"/>
  <c r="X80" i="15"/>
  <c r="Z78" i="15"/>
  <c r="AB76" i="15"/>
  <c r="Y75" i="15"/>
  <c r="AA73" i="15"/>
  <c r="X72" i="15"/>
  <c r="Z70" i="15"/>
  <c r="AB68" i="15"/>
  <c r="Y67" i="15"/>
  <c r="AA65" i="15"/>
  <c r="X64" i="15"/>
  <c r="Z62" i="15"/>
  <c r="AB60" i="15"/>
  <c r="Y59" i="15"/>
  <c r="AA57" i="15"/>
  <c r="X56" i="15"/>
  <c r="Z54" i="15"/>
  <c r="AB52" i="15"/>
  <c r="Y51" i="15"/>
  <c r="AA49" i="15"/>
  <c r="X79" i="15"/>
  <c r="Y66" i="15"/>
  <c r="X55" i="15"/>
  <c r="AB87" i="15"/>
  <c r="Y86" i="15"/>
  <c r="AA84" i="15"/>
  <c r="X83" i="15"/>
  <c r="Z81" i="15"/>
  <c r="AB79" i="15"/>
  <c r="Y78" i="15"/>
  <c r="AA76" i="15"/>
  <c r="X75" i="15"/>
  <c r="Z73" i="15"/>
  <c r="AB71" i="15"/>
  <c r="Y70" i="15"/>
  <c r="AA68" i="15"/>
  <c r="X67" i="15"/>
  <c r="Z65" i="15"/>
  <c r="AB63" i="15"/>
  <c r="Y62" i="15"/>
  <c r="AA60" i="15"/>
  <c r="X59" i="15"/>
  <c r="Z57" i="15"/>
  <c r="AB55" i="15"/>
  <c r="Y54" i="15"/>
  <c r="AA52" i="15"/>
  <c r="X51" i="15"/>
  <c r="Z49" i="15"/>
  <c r="Z85" i="15"/>
  <c r="Z77" i="15"/>
  <c r="Z69" i="15"/>
  <c r="AB59" i="15"/>
  <c r="AA87" i="15"/>
  <c r="X86" i="15"/>
  <c r="Z84" i="15"/>
  <c r="AB82" i="15"/>
  <c r="Y81" i="15"/>
  <c r="AA79" i="15"/>
  <c r="X78" i="15"/>
  <c r="Z76" i="15"/>
  <c r="AB74" i="15"/>
  <c r="Y73" i="15"/>
  <c r="AA71" i="15"/>
  <c r="X70" i="15"/>
  <c r="Z68" i="15"/>
  <c r="AB66" i="15"/>
  <c r="Y65" i="15"/>
  <c r="AA63" i="15"/>
  <c r="X62" i="15"/>
  <c r="Z60" i="15"/>
  <c r="AB58" i="15"/>
  <c r="Y57" i="15"/>
  <c r="AA55" i="15"/>
  <c r="X54" i="15"/>
  <c r="Z52" i="15"/>
  <c r="AB50" i="15"/>
  <c r="Y49" i="15"/>
  <c r="AB83" i="15"/>
  <c r="Y50" i="15"/>
  <c r="Z87" i="15"/>
  <c r="AB85" i="15"/>
  <c r="Y84" i="15"/>
  <c r="AA82" i="15"/>
  <c r="X81" i="15"/>
  <c r="Z79" i="15"/>
  <c r="AB77" i="15"/>
  <c r="Y76" i="15"/>
  <c r="AA74" i="15"/>
  <c r="X73" i="15"/>
  <c r="Z71" i="15"/>
  <c r="AB69" i="15"/>
  <c r="Y68" i="15"/>
  <c r="AA66" i="15"/>
  <c r="X65" i="15"/>
  <c r="Z63" i="15"/>
  <c r="AB61" i="15"/>
  <c r="Y60" i="15"/>
  <c r="AA58" i="15"/>
  <c r="X57" i="15"/>
  <c r="Z55" i="15"/>
  <c r="AB53" i="15"/>
  <c r="Y52" i="15"/>
  <c r="AA50" i="15"/>
  <c r="X49" i="15"/>
  <c r="X87" i="15"/>
  <c r="AA72" i="15"/>
  <c r="Z61" i="15"/>
  <c r="Z53" i="15"/>
  <c r="AB88" i="15"/>
  <c r="Y87" i="15"/>
  <c r="AA85" i="15"/>
  <c r="X84" i="15"/>
  <c r="Z82" i="15"/>
  <c r="AB80" i="15"/>
  <c r="Y79" i="15"/>
  <c r="AA77" i="15"/>
  <c r="X76" i="15"/>
  <c r="Z74" i="15"/>
  <c r="AB72" i="15"/>
  <c r="Y71" i="15"/>
  <c r="AA69" i="15"/>
  <c r="X68" i="15"/>
  <c r="Z66" i="15"/>
  <c r="AB64" i="15"/>
  <c r="Y63" i="15"/>
  <c r="AA61" i="15"/>
  <c r="X60" i="15"/>
  <c r="Z58" i="15"/>
  <c r="AB56" i="15"/>
  <c r="Y55" i="15"/>
  <c r="AA53" i="15"/>
  <c r="X52" i="15"/>
  <c r="Z50" i="15"/>
  <c r="AA88" i="15"/>
  <c r="Y74" i="15"/>
  <c r="AB67" i="15"/>
  <c r="Y58" i="15"/>
  <c r="F49" i="15"/>
  <c r="D51" i="15"/>
  <c r="G52" i="15"/>
  <c r="E54" i="15"/>
  <c r="H55" i="15"/>
  <c r="F57" i="15"/>
  <c r="D59" i="15"/>
  <c r="G60" i="15"/>
  <c r="E62" i="15"/>
  <c r="H63" i="15"/>
  <c r="F65" i="15"/>
  <c r="D67" i="15"/>
  <c r="G68" i="15"/>
  <c r="E70" i="15"/>
  <c r="H71" i="15"/>
  <c r="F73" i="15"/>
  <c r="D75" i="15"/>
  <c r="G76" i="15"/>
  <c r="E78" i="15"/>
  <c r="H79" i="15"/>
  <c r="F81" i="15"/>
  <c r="D83" i="15"/>
  <c r="G84" i="15"/>
  <c r="E86" i="15"/>
  <c r="H87" i="15"/>
  <c r="G49" i="15"/>
  <c r="E51" i="15"/>
  <c r="H52" i="15"/>
  <c r="F54" i="15"/>
  <c r="D56" i="15"/>
  <c r="G57" i="15"/>
  <c r="E59" i="15"/>
  <c r="H60" i="15"/>
  <c r="H49" i="15"/>
  <c r="D50" i="15"/>
  <c r="G51" i="15"/>
  <c r="E53" i="15"/>
  <c r="H54" i="15"/>
  <c r="F56" i="15"/>
  <c r="D58" i="15"/>
  <c r="G59" i="15"/>
  <c r="E61" i="15"/>
  <c r="H62" i="15"/>
  <c r="F64" i="15"/>
  <c r="D66" i="15"/>
  <c r="G67" i="15"/>
  <c r="E69" i="15"/>
  <c r="H70" i="15"/>
  <c r="F72" i="15"/>
  <c r="D74" i="15"/>
  <c r="G75" i="15"/>
  <c r="E77" i="15"/>
  <c r="H78" i="15"/>
  <c r="F80" i="15"/>
  <c r="D82" i="15"/>
  <c r="G83" i="15"/>
  <c r="E85" i="15"/>
  <c r="H86" i="15"/>
  <c r="F88" i="15"/>
  <c r="G64" i="15"/>
  <c r="D71" i="15"/>
  <c r="E74" i="15"/>
  <c r="F77" i="15"/>
  <c r="G80" i="15"/>
  <c r="E82" i="15"/>
  <c r="F85" i="15"/>
  <c r="D87" i="15"/>
  <c r="E50" i="15"/>
  <c r="H51" i="15"/>
  <c r="F53" i="15"/>
  <c r="D55" i="15"/>
  <c r="G56" i="15"/>
  <c r="E58" i="15"/>
  <c r="H59" i="15"/>
  <c r="F61" i="15"/>
  <c r="D63" i="15"/>
  <c r="E66" i="15"/>
  <c r="H67" i="15"/>
  <c r="F69" i="15"/>
  <c r="G72" i="15"/>
  <c r="H75" i="15"/>
  <c r="D79" i="15"/>
  <c r="H83" i="15"/>
  <c r="G88" i="15"/>
  <c r="F50" i="15"/>
  <c r="D52" i="15"/>
  <c r="G53" i="15"/>
  <c r="E55" i="15"/>
  <c r="H56" i="15"/>
  <c r="F58" i="15"/>
  <c r="D60" i="15"/>
  <c r="G61" i="15"/>
  <c r="E63" i="15"/>
  <c r="H64" i="15"/>
  <c r="F66" i="15"/>
  <c r="D68" i="15"/>
  <c r="G69" i="15"/>
  <c r="E71" i="15"/>
  <c r="H72" i="15"/>
  <c r="F74" i="15"/>
  <c r="D76" i="15"/>
  <c r="G77" i="15"/>
  <c r="E79" i="15"/>
  <c r="H80" i="15"/>
  <c r="F82" i="15"/>
  <c r="D84" i="15"/>
  <c r="G85" i="15"/>
  <c r="E87" i="15"/>
  <c r="H88" i="15"/>
  <c r="D49" i="15"/>
  <c r="G50" i="15"/>
  <c r="H53" i="15"/>
  <c r="D57" i="15"/>
  <c r="G58" i="15"/>
  <c r="H61" i="15"/>
  <c r="D65" i="15"/>
  <c r="G66" i="15"/>
  <c r="H69" i="15"/>
  <c r="D73" i="15"/>
  <c r="G74" i="15"/>
  <c r="H77" i="15"/>
  <c r="F79" i="15"/>
  <c r="G82" i="15"/>
  <c r="E84" i="15"/>
  <c r="F87" i="15"/>
  <c r="E52" i="15"/>
  <c r="F55" i="15"/>
  <c r="E60" i="15"/>
  <c r="F63" i="15"/>
  <c r="E68" i="15"/>
  <c r="F71" i="15"/>
  <c r="E76" i="15"/>
  <c r="D81" i="15"/>
  <c r="H85" i="15"/>
  <c r="E49" i="15"/>
  <c r="H50" i="15"/>
  <c r="F52" i="15"/>
  <c r="D54" i="15"/>
  <c r="G55" i="15"/>
  <c r="E57" i="15"/>
  <c r="H58" i="15"/>
  <c r="F60" i="15"/>
  <c r="D62" i="15"/>
  <c r="G63" i="15"/>
  <c r="E65" i="15"/>
  <c r="H66" i="15"/>
  <c r="F68" i="15"/>
  <c r="D70" i="15"/>
  <c r="G71" i="15"/>
  <c r="E73" i="15"/>
  <c r="H74" i="15"/>
  <c r="F76" i="15"/>
  <c r="D78" i="15"/>
  <c r="G79" i="15"/>
  <c r="E81" i="15"/>
  <c r="H82" i="15"/>
  <c r="F84" i="15"/>
  <c r="D86" i="15"/>
  <c r="G87" i="15"/>
  <c r="G62" i="15"/>
  <c r="E88" i="15"/>
  <c r="G54" i="15"/>
  <c r="E64" i="15"/>
  <c r="G70" i="15"/>
  <c r="D77" i="15"/>
  <c r="F83" i="15"/>
  <c r="H57" i="15"/>
  <c r="E72" i="15"/>
  <c r="G78" i="15"/>
  <c r="F59" i="15"/>
  <c r="G73" i="15"/>
  <c r="D80" i="15"/>
  <c r="D61" i="15"/>
  <c r="H73" i="15"/>
  <c r="G86" i="15"/>
  <c r="E56" i="15"/>
  <c r="G65" i="15"/>
  <c r="D72" i="15"/>
  <c r="F78" i="15"/>
  <c r="H84" i="15"/>
  <c r="H65" i="15"/>
  <c r="D85" i="15"/>
  <c r="E67" i="15"/>
  <c r="F86" i="15"/>
  <c r="F67" i="15"/>
  <c r="E80" i="15"/>
  <c r="F62" i="15"/>
  <c r="H68" i="15"/>
  <c r="E75" i="15"/>
  <c r="G81" i="15"/>
  <c r="D88" i="15"/>
  <c r="F51" i="15"/>
  <c r="D69" i="15"/>
  <c r="F75" i="15"/>
  <c r="H81" i="15"/>
  <c r="D53" i="15"/>
  <c r="D64" i="15"/>
  <c r="F70" i="15"/>
  <c r="H76" i="15"/>
  <c r="E83" i="15"/>
  <c r="AC35" i="15"/>
  <c r="AD34" i="15"/>
  <c r="AD35" i="15"/>
  <c r="AB36" i="15"/>
  <c r="AC36" i="15"/>
  <c r="AD36" i="15"/>
  <c r="AB35" i="15"/>
  <c r="AC34" i="15"/>
  <c r="T34" i="15"/>
  <c r="F34" i="15"/>
  <c r="L35" i="15"/>
  <c r="M35" i="15"/>
  <c r="M34" i="15"/>
  <c r="AB20" i="15"/>
  <c r="AJ20" i="15"/>
  <c r="T20" i="15"/>
  <c r="G22" i="15"/>
  <c r="F22" i="15"/>
  <c r="F20" i="15"/>
  <c r="H22" i="15"/>
  <c r="G20" i="15"/>
  <c r="H20" i="15"/>
  <c r="F21" i="15"/>
  <c r="G21" i="15"/>
  <c r="H21" i="15"/>
  <c r="AU31" i="14"/>
  <c r="BG31" i="14"/>
  <c r="AI31" i="14"/>
  <c r="W31" i="14"/>
  <c r="J31" i="14"/>
  <c r="N19" i="14"/>
  <c r="BC19" i="14"/>
  <c r="AU19" i="14"/>
  <c r="AM19" i="14"/>
  <c r="AE19" i="14"/>
  <c r="W19" i="14"/>
  <c r="F19" i="14"/>
  <c r="E26" i="13"/>
  <c r="Z156" i="13"/>
  <c r="E35" i="9"/>
  <c r="L190" i="13"/>
  <c r="L189" i="13"/>
  <c r="L188" i="13"/>
  <c r="O189" i="13"/>
  <c r="O191" i="13"/>
  <c r="M187" i="13"/>
  <c r="O190" i="13"/>
  <c r="M188" i="13"/>
  <c r="M190" i="13"/>
  <c r="N187" i="13"/>
  <c r="M86" i="13"/>
  <c r="M88" i="13"/>
  <c r="M90" i="13"/>
  <c r="M92" i="13"/>
  <c r="M94" i="13"/>
  <c r="M96" i="13"/>
  <c r="M98" i="13"/>
  <c r="M100" i="13"/>
  <c r="M104" i="13"/>
  <c r="M108" i="13"/>
  <c r="M110" i="13"/>
  <c r="M114" i="13"/>
  <c r="M118" i="13"/>
  <c r="L101" i="13"/>
  <c r="N86" i="13"/>
  <c r="N88" i="13"/>
  <c r="N90" i="13"/>
  <c r="N92" i="13"/>
  <c r="N94" i="13"/>
  <c r="N96" i="13"/>
  <c r="N98" i="13"/>
  <c r="N100" i="13"/>
  <c r="N102" i="13"/>
  <c r="N104" i="13"/>
  <c r="N106" i="13"/>
  <c r="N108" i="13"/>
  <c r="N110" i="13"/>
  <c r="N112" i="13"/>
  <c r="N114" i="13"/>
  <c r="N116" i="13"/>
  <c r="N118" i="13"/>
  <c r="L90" i="13"/>
  <c r="L96" i="13"/>
  <c r="L102" i="13"/>
  <c r="L108" i="13"/>
  <c r="L114" i="13"/>
  <c r="N191" i="13"/>
  <c r="L107" i="13"/>
  <c r="L95" i="13"/>
  <c r="M116" i="13"/>
  <c r="M102" i="13"/>
  <c r="H175" i="13"/>
  <c r="M189" i="13"/>
  <c r="L118" i="13"/>
  <c r="L106" i="13"/>
  <c r="L94" i="13"/>
  <c r="O115" i="13"/>
  <c r="O111" i="13"/>
  <c r="O109" i="13"/>
  <c r="O107" i="13"/>
  <c r="O103" i="13"/>
  <c r="O101" i="13"/>
  <c r="O99" i="13"/>
  <c r="O97" i="13"/>
  <c r="O95" i="13"/>
  <c r="O93" i="13"/>
  <c r="O91" i="13"/>
  <c r="O89" i="13"/>
  <c r="O87" i="13"/>
  <c r="O85" i="13"/>
  <c r="I174" i="13"/>
  <c r="N189" i="13"/>
  <c r="L113" i="13"/>
  <c r="L89" i="13"/>
  <c r="M112" i="13"/>
  <c r="M106" i="13"/>
  <c r="I173" i="13"/>
  <c r="M191" i="13"/>
  <c r="L112" i="13"/>
  <c r="L100" i="13"/>
  <c r="L88" i="13"/>
  <c r="O117" i="13"/>
  <c r="O113" i="13"/>
  <c r="O105" i="13"/>
  <c r="L191" i="13"/>
  <c r="L111" i="13"/>
  <c r="L117" i="13"/>
  <c r="L99" i="13"/>
  <c r="L87" i="13"/>
  <c r="N115" i="13"/>
  <c r="N109" i="13"/>
  <c r="N105" i="13"/>
  <c r="N101" i="13"/>
  <c r="N99" i="13"/>
  <c r="N95" i="13"/>
  <c r="N93" i="13"/>
  <c r="N91" i="13"/>
  <c r="N87" i="13"/>
  <c r="N85" i="13"/>
  <c r="E159" i="13"/>
  <c r="E160" i="13"/>
  <c r="E156" i="13"/>
  <c r="E157" i="13"/>
  <c r="E158" i="13"/>
  <c r="I172" i="13"/>
  <c r="O188" i="13"/>
  <c r="L105" i="13"/>
  <c r="L93" i="13"/>
  <c r="N117" i="13"/>
  <c r="N113" i="13"/>
  <c r="N111" i="13"/>
  <c r="N107" i="13"/>
  <c r="N103" i="13"/>
  <c r="N97" i="13"/>
  <c r="N89" i="13"/>
  <c r="H173" i="13"/>
  <c r="O187" i="13"/>
  <c r="N190" i="13"/>
  <c r="N188" i="13"/>
  <c r="L116" i="13"/>
  <c r="L110" i="13"/>
  <c r="L104" i="13"/>
  <c r="L98" i="13"/>
  <c r="L92" i="13"/>
  <c r="L86" i="13"/>
  <c r="M117" i="13"/>
  <c r="M115" i="13"/>
  <c r="M113" i="13"/>
  <c r="M111" i="13"/>
  <c r="M109" i="13"/>
  <c r="M107" i="13"/>
  <c r="M105" i="13"/>
  <c r="M103" i="13"/>
  <c r="M101" i="13"/>
  <c r="M99" i="13"/>
  <c r="M97" i="13"/>
  <c r="M95" i="13"/>
  <c r="M93" i="13"/>
  <c r="M91" i="13"/>
  <c r="M89" i="13"/>
  <c r="M87" i="13"/>
  <c r="M85" i="13"/>
  <c r="I176" i="13"/>
  <c r="L115" i="13"/>
  <c r="L109" i="13"/>
  <c r="L103" i="13"/>
  <c r="L97" i="13"/>
  <c r="L91" i="13"/>
  <c r="O118" i="13"/>
  <c r="O116" i="13"/>
  <c r="O114" i="13"/>
  <c r="O112" i="13"/>
  <c r="O110" i="13"/>
  <c r="O108" i="13"/>
  <c r="O106" i="13"/>
  <c r="O104" i="13"/>
  <c r="O102" i="13"/>
  <c r="O100" i="13"/>
  <c r="O98" i="13"/>
  <c r="O96" i="13"/>
  <c r="O94" i="13"/>
  <c r="O92" i="13"/>
  <c r="O90" i="13"/>
  <c r="O88" i="13"/>
  <c r="O86" i="13"/>
  <c r="L157" i="13"/>
  <c r="L156" i="13"/>
  <c r="L158" i="13"/>
  <c r="L159" i="13"/>
  <c r="L160" i="13"/>
  <c r="I175" i="13"/>
  <c r="B85" i="13"/>
  <c r="H174" i="13"/>
  <c r="S156" i="13"/>
  <c r="S157" i="13"/>
  <c r="S158" i="13"/>
  <c r="S159" i="13"/>
  <c r="S160" i="13"/>
  <c r="B172" i="13"/>
  <c r="B187" i="13"/>
  <c r="L71" i="13"/>
  <c r="Z71" i="13"/>
  <c r="S129" i="13"/>
  <c r="S71" i="13"/>
  <c r="E71" i="13"/>
  <c r="S41" i="13"/>
  <c r="E56" i="13"/>
  <c r="E41" i="13"/>
  <c r="L56" i="13"/>
  <c r="S56" i="13"/>
  <c r="L129" i="13"/>
  <c r="Z41" i="13"/>
  <c r="L41" i="13"/>
  <c r="Z56" i="13"/>
  <c r="G137" i="13"/>
  <c r="G131" i="13"/>
  <c r="G136" i="13"/>
  <c r="G130" i="13"/>
  <c r="G135" i="13"/>
  <c r="G134" i="13"/>
  <c r="G133" i="13"/>
  <c r="E129" i="13"/>
  <c r="Z26" i="13"/>
  <c r="S26" i="13"/>
  <c r="L26" i="13"/>
  <c r="T96" i="5"/>
  <c r="T97" i="5"/>
  <c r="T103" i="5"/>
  <c r="T109" i="5"/>
  <c r="T98" i="5"/>
  <c r="T104" i="5"/>
  <c r="T108" i="5"/>
  <c r="T99" i="5"/>
  <c r="T100" i="5"/>
  <c r="T106" i="5"/>
  <c r="T102" i="5"/>
  <c r="T105" i="5"/>
  <c r="T94" i="5"/>
  <c r="T95" i="5"/>
  <c r="T101" i="5"/>
  <c r="T107" i="5"/>
  <c r="T93" i="5"/>
  <c r="T223" i="5"/>
  <c r="T224" i="5"/>
  <c r="W228" i="5"/>
  <c r="V227" i="5"/>
  <c r="U226" i="5"/>
  <c r="T225" i="5"/>
  <c r="T229" i="5"/>
  <c r="U224" i="5"/>
  <c r="V228" i="5"/>
  <c r="U227" i="5"/>
  <c r="T226" i="5"/>
  <c r="X228" i="5"/>
  <c r="U223" i="5"/>
  <c r="V224" i="5"/>
  <c r="U228" i="5"/>
  <c r="T227" i="5"/>
  <c r="X225" i="5"/>
  <c r="X229" i="5"/>
  <c r="V223" i="5"/>
  <c r="W224" i="5"/>
  <c r="T228" i="5"/>
  <c r="X226" i="5"/>
  <c r="W225" i="5"/>
  <c r="W229" i="5"/>
  <c r="W223" i="5"/>
  <c r="X224" i="5"/>
  <c r="X227" i="5"/>
  <c r="W226" i="5"/>
  <c r="V225" i="5"/>
  <c r="V229" i="5"/>
  <c r="X223" i="5"/>
  <c r="W227" i="5"/>
  <c r="V226" i="5"/>
  <c r="U225" i="5"/>
  <c r="U229" i="5"/>
  <c r="D24" i="3"/>
  <c r="R32" i="3"/>
  <c r="R31" i="3"/>
  <c r="R30" i="3"/>
  <c r="R29" i="3"/>
  <c r="R28" i="3"/>
  <c r="R27" i="3"/>
  <c r="R26" i="3"/>
  <c r="R25" i="3"/>
  <c r="R24" i="3"/>
  <c r="S49" i="3"/>
  <c r="S48" i="3"/>
  <c r="S47" i="3"/>
  <c r="R23" i="3"/>
  <c r="O24" i="3" a="1"/>
  <c r="H176" i="13" a="1"/>
  <c r="N146" i="13" a="1"/>
  <c r="G160" i="13" a="1"/>
  <c r="U41" i="13" a="1"/>
  <c r="U56" i="13" a="1"/>
  <c r="N143" i="13" a="1"/>
  <c r="G71" i="13" a="1"/>
  <c r="N156" i="13" a="1"/>
  <c r="G129" i="13" a="1"/>
  <c r="AB156" i="13" a="1"/>
  <c r="N41" i="13" a="1"/>
  <c r="N141" i="13" a="1"/>
  <c r="G156" i="13" a="1"/>
  <c r="N134" i="13" a="1"/>
  <c r="G41" i="13" a="1"/>
  <c r="AB26" i="13" a="1"/>
  <c r="U160" i="13" a="1"/>
  <c r="N136" i="13" a="1"/>
  <c r="G132" i="13" a="1"/>
  <c r="N71" i="13" a="1"/>
  <c r="U129" i="13" a="1"/>
  <c r="N56" i="13" a="1"/>
  <c r="G157" i="13" a="1"/>
  <c r="G158" i="13" a="1"/>
  <c r="N157" i="13" a="1"/>
  <c r="AB56" i="13" a="1"/>
  <c r="N139" i="13" a="1"/>
  <c r="G56" i="13" a="1"/>
  <c r="U159" i="13" a="1"/>
  <c r="U71" i="13" a="1"/>
  <c r="N144" i="13" a="1"/>
  <c r="N132" i="13" a="1"/>
  <c r="G159" i="13" a="1"/>
  <c r="U156" i="13" a="1"/>
  <c r="U157" i="13" a="1"/>
  <c r="N131" i="13" a="1"/>
  <c r="N137" i="13" a="1"/>
  <c r="N160" i="13" a="1"/>
  <c r="U26" i="13" a="1"/>
  <c r="N159" i="13" a="1"/>
  <c r="L85" i="13" a="1"/>
  <c r="N129" i="13" a="1"/>
  <c r="G26" i="13" a="1"/>
  <c r="AB41" i="13" a="1"/>
  <c r="N138" i="13" a="1"/>
  <c r="H172" i="13" a="1"/>
  <c r="N135" i="13" a="1"/>
  <c r="N158" i="13" a="1"/>
  <c r="AB71" i="13" a="1"/>
  <c r="L187" i="13" a="1"/>
  <c r="N145" i="13" a="1"/>
  <c r="N130" i="13" a="1"/>
  <c r="U158" i="13" a="1"/>
  <c r="N140" i="13" a="1"/>
  <c r="N142" i="13" a="1"/>
  <c r="N26" i="13" a="1"/>
  <c r="N133" i="13" a="1"/>
  <c r="AW31" i="14" a="1"/>
  <c r="AW19" i="14" a="1"/>
  <c r="AK31" i="14" a="1"/>
  <c r="AO19" i="14" a="1"/>
  <c r="Y31" i="14" a="1"/>
  <c r="H19" i="14" a="1"/>
  <c r="BE19" i="14" a="1"/>
  <c r="P19" i="14" a="1"/>
  <c r="BI31" i="14" a="1"/>
  <c r="L31" i="14" a="1"/>
  <c r="Y19" i="14" a="1"/>
  <c r="AG19" i="14" a="1"/>
  <c r="AE49" i="15" a="1"/>
  <c r="N22" i="15" a="1"/>
  <c r="AB34" i="15" a="1"/>
  <c r="M22" i="15" a="1"/>
  <c r="M21" i="15" a="1"/>
  <c r="N20" i="15" a="1"/>
  <c r="L34" i="15" a="1"/>
  <c r="M20" i="15" a="1"/>
  <c r="N21" i="15" a="1"/>
  <c r="AL20" i="15" a="1"/>
  <c r="AD20" i="15" a="1"/>
  <c r="L20" i="15" a="1"/>
  <c r="L22" i="15" a="1"/>
  <c r="V20" i="15" a="1"/>
  <c r="L21" i="15" a="1"/>
  <c r="C209" i="5" a="1"/>
  <c r="AE49" i="15" l="1"/>
  <c r="K49" i="15"/>
  <c r="J49" i="15"/>
  <c r="T49" i="15"/>
  <c r="S49" i="15"/>
  <c r="AB34" i="15"/>
  <c r="L34" i="15"/>
  <c r="AL20" i="15"/>
  <c r="V20" i="15"/>
  <c r="AD20" i="15"/>
  <c r="M21" i="15"/>
  <c r="N20" i="15"/>
  <c r="M20" i="15"/>
  <c r="L21" i="15"/>
  <c r="N22" i="15"/>
  <c r="L22" i="15"/>
  <c r="M22" i="15"/>
  <c r="L20" i="15"/>
  <c r="N21" i="15"/>
  <c r="BI31" i="14"/>
  <c r="AW31" i="14"/>
  <c r="AK31" i="14"/>
  <c r="Y31" i="14"/>
  <c r="L31" i="14"/>
  <c r="BE19" i="14"/>
  <c r="AW19" i="14"/>
  <c r="AO19" i="14"/>
  <c r="AG19" i="14"/>
  <c r="Y19" i="14"/>
  <c r="P19" i="14"/>
  <c r="H19" i="14"/>
  <c r="AB156" i="13"/>
  <c r="H176" i="13"/>
  <c r="N160" i="13"/>
  <c r="U160" i="13"/>
  <c r="N156" i="13"/>
  <c r="N158" i="13"/>
  <c r="U159" i="13"/>
  <c r="N157" i="13"/>
  <c r="U158" i="13"/>
  <c r="U157" i="13"/>
  <c r="G158" i="13"/>
  <c r="U156" i="13"/>
  <c r="G157" i="13"/>
  <c r="G156" i="13"/>
  <c r="G160" i="13"/>
  <c r="L85" i="13"/>
  <c r="G159" i="13"/>
  <c r="L187" i="13"/>
  <c r="N159" i="13"/>
  <c r="U71" i="13"/>
  <c r="U129" i="13"/>
  <c r="N71" i="13"/>
  <c r="H172" i="13"/>
  <c r="AB71" i="13"/>
  <c r="G132" i="13"/>
  <c r="G71" i="13"/>
  <c r="G56" i="13"/>
  <c r="N41" i="13"/>
  <c r="N56" i="13"/>
  <c r="U41" i="13"/>
  <c r="AB56" i="13"/>
  <c r="AB41" i="13"/>
  <c r="U56" i="13"/>
  <c r="G41" i="13"/>
  <c r="N140" i="13"/>
  <c r="N135" i="13"/>
  <c r="N143" i="13"/>
  <c r="G129" i="13"/>
  <c r="N137" i="13"/>
  <c r="N141" i="13"/>
  <c r="N142" i="13"/>
  <c r="N145" i="13"/>
  <c r="N139" i="13"/>
  <c r="N129" i="13"/>
  <c r="N144" i="13"/>
  <c r="N133" i="13"/>
  <c r="N138" i="13"/>
  <c r="N132" i="13"/>
  <c r="N146" i="13"/>
  <c r="N131" i="13"/>
  <c r="N136" i="13"/>
  <c r="N130" i="13"/>
  <c r="AB26" i="13"/>
  <c r="N134" i="13"/>
  <c r="N26" i="13"/>
  <c r="G26" i="13"/>
  <c r="U26" i="13"/>
  <c r="C209" i="5"/>
  <c r="C14" i="5" s="1"/>
  <c r="O24" i="3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T26" i="3" a="1"/>
  <c r="T36" i="3" a="1"/>
  <c r="T28" i="3" a="1"/>
  <c r="T34" i="3" a="1"/>
  <c r="T39" i="3" a="1"/>
  <c r="T33" i="3" a="1"/>
  <c r="T30" i="3" a="1"/>
  <c r="T35" i="3" a="1"/>
  <c r="T27" i="3" a="1"/>
  <c r="T24" i="3" a="1"/>
  <c r="T25" i="3" a="1"/>
  <c r="T23" i="3" a="1"/>
  <c r="T29" i="3" a="1"/>
  <c r="T38" i="3" a="1"/>
  <c r="T32" i="3" a="1"/>
  <c r="T37" i="3" a="1"/>
  <c r="T31" i="3" a="1"/>
  <c r="C21" i="13" a="1"/>
  <c r="C51" i="13" a="1"/>
  <c r="C151" i="13" a="1"/>
  <c r="C66" i="13" a="1"/>
  <c r="C36" i="13" a="1"/>
  <c r="C80" i="13" a="1"/>
  <c r="C182" i="13" a="1"/>
  <c r="C124" i="13" a="1"/>
  <c r="C167" i="13" a="1"/>
  <c r="C26" i="14" a="1"/>
  <c r="C14" i="14" a="1"/>
  <c r="C15" i="15" a="1"/>
  <c r="C28" i="15" a="1"/>
  <c r="J51" i="15" a="1"/>
  <c r="K51" i="15" a="1"/>
  <c r="T51" i="15" a="1"/>
  <c r="S51" i="15" a="1"/>
  <c r="K51" i="15" l="1"/>
  <c r="T51" i="15"/>
  <c r="J51" i="15"/>
  <c r="S51" i="15"/>
  <c r="C28" i="15"/>
  <c r="D9" i="15" s="1"/>
  <c r="C15" i="15"/>
  <c r="D8" i="15" s="1"/>
  <c r="C26" i="14"/>
  <c r="C14" i="14"/>
  <c r="D8" i="14" s="1"/>
  <c r="D9" i="14"/>
  <c r="C151" i="13"/>
  <c r="D14" i="13" s="1"/>
  <c r="C182" i="13"/>
  <c r="D16" i="13" s="1"/>
  <c r="C80" i="13"/>
  <c r="D12" i="13" s="1"/>
  <c r="C167" i="13"/>
  <c r="D15" i="13" s="1"/>
  <c r="C124" i="13"/>
  <c r="D13" i="13" s="1"/>
  <c r="C66" i="13"/>
  <c r="D11" i="13" s="1"/>
  <c r="C51" i="13"/>
  <c r="D10" i="13" s="1"/>
  <c r="C36" i="13"/>
  <c r="D9" i="13" s="1"/>
  <c r="C21" i="13"/>
  <c r="D8" i="13" s="1"/>
  <c r="T29" i="3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U37" i="3" a="1"/>
  <c r="U32" i="3" a="1"/>
  <c r="U24" i="3" a="1"/>
  <c r="U25" i="3" a="1"/>
  <c r="U33" i="3" a="1"/>
  <c r="U34" i="3" a="1"/>
  <c r="U35" i="3" a="1"/>
  <c r="U36" i="3" a="1"/>
  <c r="U30" i="3" a="1"/>
  <c r="U31" i="3" a="1"/>
  <c r="U38" i="3" a="1"/>
  <c r="U39" i="3" a="1"/>
  <c r="C4" i="13" a="1"/>
  <c r="C4" i="14" a="1"/>
  <c r="C4" i="15" a="1"/>
  <c r="C44" i="15" a="1"/>
  <c r="C44" i="15" l="1"/>
  <c r="D10" i="15" s="1"/>
  <c r="C4" i="15"/>
  <c r="C4" i="14"/>
  <c r="C4" i="13"/>
  <c r="C9" i="8" s="1"/>
  <c r="U32" i="3"/>
  <c r="U37" i="3"/>
  <c r="U31" i="3"/>
  <c r="U30" i="3"/>
  <c r="U36" i="3"/>
  <c r="U35" i="3"/>
  <c r="U34" i="3"/>
  <c r="U39" i="3"/>
  <c r="U33" i="3"/>
  <c r="U38" i="3"/>
  <c r="U25" i="3"/>
  <c r="U24" i="3"/>
  <c r="B13" i="3" l="1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G38" i="1"/>
  <c r="F25" i="1"/>
  <c r="G25" i="1" s="1"/>
  <c r="F39" i="1"/>
  <c r="G39" i="1" s="1"/>
  <c r="F24" i="1"/>
  <c r="G24" i="1" s="1"/>
  <c r="F23" i="1"/>
  <c r="G23" i="1" s="1"/>
  <c r="F22" i="1"/>
  <c r="G22" i="1" s="1"/>
  <c r="F21" i="1"/>
  <c r="J21" i="1" s="1"/>
  <c r="G30" i="1"/>
  <c r="G36" i="1"/>
  <c r="G34" i="1"/>
  <c r="G32" i="1"/>
  <c r="F37" i="1"/>
  <c r="G37" i="1" s="1"/>
  <c r="F35" i="1"/>
  <c r="G35" i="1" s="1"/>
  <c r="F33" i="1"/>
  <c r="G33" i="1" s="1"/>
  <c r="F31" i="1"/>
  <c r="F29" i="1"/>
  <c r="I10" i="4"/>
  <c r="I15" i="4" s="1"/>
  <c r="G23" i="3"/>
  <c r="G25" i="3" s="1"/>
  <c r="C62" i="2"/>
  <c r="E64" i="2"/>
  <c r="E120" i="9" a="1"/>
  <c r="E186" i="9" a="1"/>
  <c r="C32" i="9" a="1"/>
  <c r="D5" i="4" a="1"/>
  <c r="AJ21" i="3" a="1"/>
  <c r="J54" i="9" a="1"/>
  <c r="C120" i="9" a="1"/>
  <c r="E98" i="9" a="1"/>
  <c r="E164" i="9" a="1"/>
  <c r="I230" i="9" a="1"/>
  <c r="C54" i="9" a="1"/>
  <c r="C142" i="9" a="1"/>
  <c r="AU21" i="3" a="1"/>
  <c r="O120" i="9" a="1"/>
  <c r="E76" i="9" a="1"/>
  <c r="J186" i="9" a="1"/>
  <c r="C98" i="9" a="1"/>
  <c r="C230" i="9" a="1"/>
  <c r="E142" i="9" a="1"/>
  <c r="O230" i="9" a="1"/>
  <c r="Z21" i="3" a="1"/>
  <c r="J142" i="9" a="1"/>
  <c r="O76" i="9" a="1"/>
  <c r="J98" i="9" a="1"/>
  <c r="O186" i="9" a="1"/>
  <c r="I27" i="11" a="1"/>
  <c r="U230" i="9" a="1"/>
  <c r="F230" i="9" a="1"/>
  <c r="R230" i="9" a="1"/>
  <c r="O208" i="9" a="1"/>
  <c r="J120" i="9" a="1"/>
  <c r="J164" i="9" a="1"/>
  <c r="E54" i="9" a="1"/>
  <c r="E208" i="9" a="1"/>
  <c r="C76" i="9" a="1"/>
  <c r="C16" i="1" a="1"/>
  <c r="C208" i="9" a="1"/>
  <c r="O98" i="9" a="1"/>
  <c r="J208" i="9" a="1"/>
  <c r="O54" i="9" a="1"/>
  <c r="C6" i="2" a="1"/>
  <c r="I22" i="11" a="1"/>
  <c r="C186" i="9" a="1"/>
  <c r="J32" i="9" a="1"/>
  <c r="D4" i="4" a="1"/>
  <c r="O142" i="9" a="1"/>
  <c r="J76" i="9" a="1"/>
  <c r="O164" i="9" a="1"/>
  <c r="O32" i="9" a="1"/>
  <c r="U23" i="3" a="1"/>
  <c r="C164" i="9" a="1"/>
  <c r="L230" i="9" a="1"/>
  <c r="BT72" i="5" a="1"/>
  <c r="W129" i="5" a="1"/>
  <c r="BO49" i="5" a="1"/>
  <c r="V105" i="5" a="1"/>
  <c r="BM47" i="5" a="1"/>
  <c r="W145" i="5" a="1"/>
  <c r="W97" i="5" a="1"/>
  <c r="U132" i="5" a="1"/>
  <c r="BO47" i="5" a="1"/>
  <c r="BS72" i="5" a="1"/>
  <c r="BF73" i="5" a="1"/>
  <c r="BP48" i="5" a="1"/>
  <c r="U108" i="5" a="1"/>
  <c r="BN73" i="5" a="1"/>
  <c r="W141" i="5" a="1"/>
  <c r="BS46" i="5" a="1"/>
  <c r="W131" i="5" a="1"/>
  <c r="BM46" i="5" a="1"/>
  <c r="L187" i="5" a="1"/>
  <c r="BK46" i="5" a="1"/>
  <c r="BS47" i="5" a="1"/>
  <c r="X203" i="5" a="1"/>
  <c r="BT47" i="5" a="1"/>
  <c r="T143" i="5" a="1"/>
  <c r="BQ47" i="5" a="1"/>
  <c r="V101" i="5" a="1"/>
  <c r="K185" i="5" a="1"/>
  <c r="BR47" i="5" a="1"/>
  <c r="BI70" i="5" a="1"/>
  <c r="BI49" i="5" a="1"/>
  <c r="V133" i="5" a="1"/>
  <c r="T135" i="5" a="1"/>
  <c r="V137" i="5" a="1"/>
  <c r="T203" i="5" a="1"/>
  <c r="BM70" i="5" a="1"/>
  <c r="BQ71" i="5" a="1"/>
  <c r="X97" i="5" a="1"/>
  <c r="BI45" i="5" a="1"/>
  <c r="U130" i="5" a="1"/>
  <c r="BK45" i="5" a="1"/>
  <c r="BM49" i="5" a="1"/>
  <c r="BE70" i="5" a="1"/>
  <c r="BF49" i="5" a="1"/>
  <c r="BH48" i="5" a="1"/>
  <c r="BG73" i="5" a="1"/>
  <c r="BQ46" i="5" a="1"/>
  <c r="X98" i="5" a="1"/>
  <c r="T141" i="5" a="1"/>
  <c r="BN70" i="5" a="1"/>
  <c r="BO69" i="5" a="1"/>
  <c r="BE48" i="5" a="1"/>
  <c r="W98" i="5" a="1"/>
  <c r="X109" i="5" a="1"/>
  <c r="BH72" i="5" a="1"/>
  <c r="BI46" i="5" a="1"/>
  <c r="BT45" i="5" a="1"/>
  <c r="V132" i="5" a="1"/>
  <c r="BL73" i="5" a="1"/>
  <c r="BK73" i="5" a="1"/>
  <c r="V109" i="5" a="1"/>
  <c r="BD69" i="5" a="1"/>
  <c r="W109" i="5" a="1"/>
  <c r="U99" i="5" a="1"/>
  <c r="X144" i="5" a="1"/>
  <c r="BQ72" i="5" a="1"/>
  <c r="U100" i="5" a="1"/>
  <c r="U135" i="5" a="1"/>
  <c r="X143" i="5" a="1"/>
  <c r="BO48" i="5" a="1"/>
  <c r="BD72" i="5" a="1"/>
  <c r="V139" i="5" a="1"/>
  <c r="BR70" i="5" a="1"/>
  <c r="BN47" i="5" a="1"/>
  <c r="L163" i="5" a="1"/>
  <c r="U102" i="5" a="1"/>
  <c r="V141" i="5" a="1"/>
  <c r="X99" i="5" a="1"/>
  <c r="BG45" i="5" a="1"/>
  <c r="BE73" i="5" a="1"/>
  <c r="X94" i="5" a="1"/>
  <c r="BK47" i="5" a="1"/>
  <c r="BH71" i="5" a="1"/>
  <c r="BD49" i="5" a="1"/>
  <c r="BG72" i="5" a="1"/>
  <c r="BH69" i="5" a="1"/>
  <c r="X95" i="5" a="1"/>
  <c r="U96" i="5" a="1"/>
  <c r="V138" i="5" a="1"/>
  <c r="W203" i="5" a="1"/>
  <c r="BO45" i="5" a="1"/>
  <c r="BL48" i="5" a="1"/>
  <c r="BP72" i="5" a="1"/>
  <c r="BT71" i="5" a="1"/>
  <c r="X139" i="5" a="1"/>
  <c r="K183" i="5" a="1"/>
  <c r="X102" i="5" a="1"/>
  <c r="W138" i="5" a="1"/>
  <c r="BH45" i="5" a="1"/>
  <c r="BK49" i="5" a="1"/>
  <c r="V104" i="5" a="1"/>
  <c r="BT69" i="5" a="1"/>
  <c r="W96" i="5" a="1"/>
  <c r="U134" i="5" a="1"/>
  <c r="U106" i="5" a="1"/>
  <c r="T131" i="5" a="1"/>
  <c r="X100" i="5" a="1"/>
  <c r="BJ48" i="5" a="1"/>
  <c r="W139" i="5" a="1"/>
  <c r="U94" i="5" a="1"/>
  <c r="BK72" i="5" a="1"/>
  <c r="U133" i="5" a="1"/>
  <c r="BP46" i="5" a="1"/>
  <c r="T133" i="5" a="1"/>
  <c r="BO46" i="5" a="1"/>
  <c r="BE47" i="5" a="1"/>
  <c r="BJ49" i="5" a="1"/>
  <c r="BS48" i="5" a="1"/>
  <c r="BO73" i="5" a="1"/>
  <c r="V140" i="5" a="1"/>
  <c r="W103" i="5" a="1"/>
  <c r="V129" i="5" a="1"/>
  <c r="X130" i="5" a="1"/>
  <c r="V145" i="5" a="1"/>
  <c r="W100" i="5" a="1"/>
  <c r="K163" i="5" a="1"/>
  <c r="X132" i="5" a="1"/>
  <c r="BE71" i="5" a="1"/>
  <c r="W107" i="5" a="1"/>
  <c r="W106" i="5" a="1"/>
  <c r="V93" i="5" a="1"/>
  <c r="BG48" i="5" a="1"/>
  <c r="BF72" i="5" a="1"/>
  <c r="U145" i="5" a="1"/>
  <c r="U131" i="5" a="1"/>
  <c r="BF71" i="5" a="1"/>
  <c r="X134" i="5" a="1"/>
  <c r="V131" i="5" a="1"/>
  <c r="BT70" i="5" a="1"/>
  <c r="W144" i="5" a="1"/>
  <c r="T136" i="5" a="1"/>
  <c r="W95" i="5" a="1"/>
  <c r="T130" i="5" a="1"/>
  <c r="BH49" i="5" a="1"/>
  <c r="L165" i="5" a="1"/>
  <c r="BD48" i="5" a="1"/>
  <c r="BS73" i="5" a="1"/>
  <c r="K187" i="5" a="1"/>
  <c r="BR72" i="5" a="1"/>
  <c r="V135" i="5" a="1"/>
  <c r="BT73" i="5" a="1"/>
  <c r="BN71" i="5" a="1"/>
  <c r="BK69" i="5" a="1"/>
  <c r="W142" i="5" a="1"/>
  <c r="X108" i="5" a="1"/>
  <c r="BT48" i="5" a="1"/>
  <c r="BD71" i="5" a="1"/>
  <c r="U137" i="5" a="1"/>
  <c r="T204" i="5" a="1"/>
  <c r="BM45" i="5" a="1"/>
  <c r="BR73" i="5" a="1"/>
  <c r="V103" i="5" a="1"/>
  <c r="W132" i="5" a="1"/>
  <c r="BN46" i="5" a="1"/>
  <c r="BO71" i="5" a="1"/>
  <c r="BF48" i="5" a="1"/>
  <c r="W104" i="5" a="1"/>
  <c r="U203" i="5" a="1"/>
  <c r="W140" i="5" a="1"/>
  <c r="L167" i="5" a="1"/>
  <c r="X96" i="5" a="1"/>
  <c r="BP47" i="5" a="1"/>
  <c r="U101" i="5" a="1"/>
  <c r="V130" i="5" a="1"/>
  <c r="BP49" i="5" a="1"/>
  <c r="V97" i="5" a="1"/>
  <c r="W133" i="5" a="1"/>
  <c r="V98" i="5" a="1"/>
  <c r="BJ71" i="5" a="1"/>
  <c r="BD70" i="5" a="1"/>
  <c r="W99" i="5" a="1"/>
  <c r="BD46" i="5" a="1"/>
  <c r="K167" i="5" a="1"/>
  <c r="BS70" i="5" a="1"/>
  <c r="V107" i="5" a="1"/>
  <c r="BL71" i="5" a="1"/>
  <c r="L184" i="5" a="1"/>
  <c r="BM72" i="5" a="1"/>
  <c r="BM73" i="5" a="1"/>
  <c r="BM71" i="5" a="1"/>
  <c r="X105" i="5" a="1"/>
  <c r="X103" i="5" a="1"/>
  <c r="U136" i="5" a="1"/>
  <c r="U129" i="5" a="1"/>
  <c r="BM69" i="5" a="1"/>
  <c r="BE72" i="5" a="1"/>
  <c r="W94" i="5" a="1"/>
  <c r="W143" i="5" a="1"/>
  <c r="BQ48" i="5" a="1"/>
  <c r="V96" i="5" a="1"/>
  <c r="T137" i="5" a="1"/>
  <c r="K166" i="5" a="1"/>
  <c r="BG47" i="5" a="1"/>
  <c r="BF45" i="5" a="1"/>
  <c r="U97" i="5" a="1"/>
  <c r="BR69" i="5" a="1"/>
  <c r="BL46" i="5" a="1"/>
  <c r="X104" i="5" a="1"/>
  <c r="BP73" i="5" a="1"/>
  <c r="V99" i="5" a="1"/>
  <c r="T138" i="5" a="1"/>
  <c r="BH73" i="5" a="1"/>
  <c r="BQ49" i="5" a="1"/>
  <c r="BQ73" i="5" a="1"/>
  <c r="BS45" i="5" a="1"/>
  <c r="BG70" i="5" a="1"/>
  <c r="X137" i="5" a="1"/>
  <c r="BS69" i="5" a="1"/>
  <c r="U142" i="5" a="1"/>
  <c r="BI47" i="5" a="1"/>
  <c r="T142" i="5" a="1"/>
  <c r="L185" i="5" a="1"/>
  <c r="X131" i="5" a="1"/>
  <c r="BN72" i="5" a="1"/>
  <c r="BH70" i="5" a="1"/>
  <c r="BR45" i="5" a="1"/>
  <c r="W108" i="5" a="1"/>
  <c r="BJ72" i="5" a="1"/>
  <c r="L164" i="5" a="1"/>
  <c r="BQ69" i="5" a="1"/>
  <c r="U95" i="5" a="1"/>
  <c r="X135" i="5" a="1"/>
  <c r="X101" i="5" a="1"/>
  <c r="V143" i="5" a="1"/>
  <c r="V106" i="5" a="1"/>
  <c r="X142" i="5" a="1"/>
  <c r="X129" i="5" a="1"/>
  <c r="BN69" i="5" a="1"/>
  <c r="BD47" i="5" a="1"/>
  <c r="U140" i="5" a="1"/>
  <c r="V203" i="5" a="1"/>
  <c r="L186" i="5" a="1"/>
  <c r="BE69" i="5" a="1"/>
  <c r="T144" i="5" a="1"/>
  <c r="V100" i="5" a="1"/>
  <c r="W137" i="5" a="1"/>
  <c r="V102" i="5" a="1"/>
  <c r="X138" i="5" a="1"/>
  <c r="U98" i="5" a="1"/>
  <c r="BJ45" i="5" a="1"/>
  <c r="BL47" i="5" a="1"/>
  <c r="BH47" i="5" a="1"/>
  <c r="U204" i="5" a="1"/>
  <c r="BR48" i="5" a="1"/>
  <c r="K164" i="5" a="1"/>
  <c r="BL69" i="5" a="1"/>
  <c r="W135" i="5" a="1"/>
  <c r="BI48" i="5" a="1"/>
  <c r="V144" i="5" a="1"/>
  <c r="W204" i="5" a="1"/>
  <c r="BQ45" i="5" a="1"/>
  <c r="BI73" i="5" a="1"/>
  <c r="BL45" i="5" a="1"/>
  <c r="BJ46" i="5" a="1"/>
  <c r="T134" i="5" a="1"/>
  <c r="K186" i="5" a="1"/>
  <c r="V108" i="5" a="1"/>
  <c r="X107" i="5" a="1"/>
  <c r="BG49" i="5" a="1"/>
  <c r="X93" i="5" a="1"/>
  <c r="BG71" i="5" a="1"/>
  <c r="U109" i="5" a="1"/>
  <c r="BT49" i="5" a="1"/>
  <c r="K184" i="5" a="1"/>
  <c r="BE49" i="5" a="1"/>
  <c r="BJ70" i="5" a="1"/>
  <c r="X141" i="5" a="1"/>
  <c r="V142" i="5" a="1"/>
  <c r="BO72" i="5" a="1"/>
  <c r="U107" i="5" a="1"/>
  <c r="BR49" i="5" a="1"/>
  <c r="U143" i="5" a="1"/>
  <c r="BJ73" i="5" a="1"/>
  <c r="X133" i="5" a="1"/>
  <c r="BK48" i="5" a="1"/>
  <c r="BP71" i="5" a="1"/>
  <c r="BF70" i="5" a="1"/>
  <c r="BN49" i="5" a="1"/>
  <c r="BI72" i="5" a="1"/>
  <c r="T139" i="5" a="1"/>
  <c r="W105" i="5" a="1"/>
  <c r="U93" i="5" a="1"/>
  <c r="BS49" i="5" a="1"/>
  <c r="BS71" i="5" a="1"/>
  <c r="U144" i="5" a="1"/>
  <c r="BD45" i="5" a="1"/>
  <c r="BN45" i="5" a="1"/>
  <c r="W101" i="5" a="1"/>
  <c r="X106" i="5" a="1"/>
  <c r="BG69" i="5" a="1"/>
  <c r="W134" i="5" a="1"/>
  <c r="T129" i="5" a="1"/>
  <c r="BN48" i="5" a="1"/>
  <c r="BO70" i="5" a="1"/>
  <c r="BE46" i="5" a="1"/>
  <c r="BL49" i="5" a="1"/>
  <c r="BI69" i="5" a="1"/>
  <c r="BK70" i="5" a="1"/>
  <c r="X145" i="5" a="1"/>
  <c r="BF69" i="5" a="1"/>
  <c r="T140" i="5" a="1"/>
  <c r="W130" i="5" a="1"/>
  <c r="BI71" i="5" a="1"/>
  <c r="BL72" i="5" a="1"/>
  <c r="U103" i="5" a="1"/>
  <c r="X136" i="5" a="1"/>
  <c r="BL70" i="5" a="1"/>
  <c r="BK71" i="5" a="1"/>
  <c r="BP69" i="5" a="1"/>
  <c r="BJ47" i="5" a="1"/>
  <c r="BJ69" i="5" a="1"/>
  <c r="X140" i="5" a="1"/>
  <c r="V134" i="5" a="1"/>
  <c r="W136" i="5" a="1"/>
  <c r="BE45" i="5" a="1"/>
  <c r="X204" i="5" a="1"/>
  <c r="V94" i="5" a="1"/>
  <c r="BP70" i="5" a="1"/>
  <c r="BF47" i="5" a="1"/>
  <c r="V204" i="5" a="1"/>
  <c r="BF46" i="5" a="1"/>
  <c r="U104" i="5" a="1"/>
  <c r="L166" i="5" a="1"/>
  <c r="W93" i="5" a="1"/>
  <c r="U141" i="5" a="1"/>
  <c r="BT46" i="5" a="1"/>
  <c r="T145" i="5" a="1"/>
  <c r="V95" i="5" a="1"/>
  <c r="BP45" i="5" a="1"/>
  <c r="U139" i="5" a="1"/>
  <c r="L183" i="5" a="1"/>
  <c r="BR46" i="5" a="1"/>
  <c r="BM48" i="5" a="1"/>
  <c r="U138" i="5" a="1"/>
  <c r="BQ70" i="5" a="1"/>
  <c r="V136" i="5" a="1"/>
  <c r="BG46" i="5" a="1"/>
  <c r="BR71" i="5" a="1"/>
  <c r="K165" i="5" a="1"/>
  <c r="U105" i="5" a="1"/>
  <c r="BH46" i="5" a="1"/>
  <c r="T132" i="5" a="1"/>
  <c r="BD73" i="5" a="1"/>
  <c r="W102" i="5" a="1"/>
  <c r="I27" i="11" l="1"/>
  <c r="I22" i="11"/>
  <c r="C16" i="1"/>
  <c r="C6" i="2"/>
  <c r="U23" i="3"/>
  <c r="Z21" i="3"/>
  <c r="G25" i="11"/>
  <c r="G23" i="11"/>
  <c r="G24" i="11"/>
  <c r="G26" i="11"/>
  <c r="H25" i="3"/>
  <c r="AU21" i="3"/>
  <c r="AJ21" i="3"/>
  <c r="D4" i="4"/>
  <c r="BJ46" i="5"/>
  <c r="BM69" i="5"/>
  <c r="BK45" i="5"/>
  <c r="BE49" i="5"/>
  <c r="BF70" i="5"/>
  <c r="BR73" i="5"/>
  <c r="V99" i="5"/>
  <c r="V102" i="5"/>
  <c r="K187" i="5"/>
  <c r="BE72" i="5"/>
  <c r="BN72" i="5"/>
  <c r="BH73" i="5"/>
  <c r="BS73" i="5"/>
  <c r="W109" i="5"/>
  <c r="T132" i="5"/>
  <c r="T138" i="5"/>
  <c r="BL45" i="5"/>
  <c r="BD46" i="5"/>
  <c r="BM46" i="5"/>
  <c r="BE47" i="5"/>
  <c r="BN47" i="5"/>
  <c r="BF48" i="5"/>
  <c r="BO48" i="5"/>
  <c r="BG49" i="5"/>
  <c r="BP49" i="5"/>
  <c r="BG69" i="5"/>
  <c r="BP69" i="5"/>
  <c r="BI70" i="5"/>
  <c r="BR70" i="5"/>
  <c r="BL71" i="5"/>
  <c r="BF72" i="5"/>
  <c r="W94" i="5"/>
  <c r="W106" i="5"/>
  <c r="W203" i="5"/>
  <c r="BD45" i="5"/>
  <c r="BE46" i="5"/>
  <c r="BF47" i="5"/>
  <c r="BG48" i="5"/>
  <c r="BH49" i="5"/>
  <c r="BH69" i="5"/>
  <c r="BJ70" i="5"/>
  <c r="BQ72" i="5"/>
  <c r="BI73" i="5"/>
  <c r="BT73" i="5"/>
  <c r="X94" i="5"/>
  <c r="U139" i="5"/>
  <c r="BR45" i="5"/>
  <c r="BM49" i="5"/>
  <c r="BL47" i="5"/>
  <c r="BS71" i="5"/>
  <c r="BT46" i="5"/>
  <c r="BO49" i="5"/>
  <c r="BK71" i="5"/>
  <c r="BE45" i="5"/>
  <c r="BN46" i="5"/>
  <c r="BO47" i="5"/>
  <c r="BI49" i="5"/>
  <c r="BI69" i="5"/>
  <c r="BD71" i="5"/>
  <c r="BR72" i="5"/>
  <c r="W103" i="5"/>
  <c r="V140" i="5"/>
  <c r="BK70" i="5"/>
  <c r="BE71" i="5"/>
  <c r="BL73" i="5"/>
  <c r="W97" i="5"/>
  <c r="W100" i="5"/>
  <c r="U107" i="5"/>
  <c r="W129" i="5"/>
  <c r="U133" i="5"/>
  <c r="W141" i="5"/>
  <c r="BS46" i="5"/>
  <c r="BJ71" i="5"/>
  <c r="BS45" i="5"/>
  <c r="BE69" i="5"/>
  <c r="BF46" i="5"/>
  <c r="BH48" i="5"/>
  <c r="BM71" i="5"/>
  <c r="BF45" i="5"/>
  <c r="BO45" i="5"/>
  <c r="BG46" i="5"/>
  <c r="BP46" i="5"/>
  <c r="BH47" i="5"/>
  <c r="BQ47" i="5"/>
  <c r="BI48" i="5"/>
  <c r="BR48" i="5"/>
  <c r="BJ49" i="5"/>
  <c r="BS49" i="5"/>
  <c r="BJ69" i="5"/>
  <c r="BS69" i="5"/>
  <c r="BP71" i="5"/>
  <c r="BH72" i="5"/>
  <c r="BS72" i="5"/>
  <c r="BM73" i="5"/>
  <c r="X142" i="5"/>
  <c r="BT47" i="5"/>
  <c r="BM48" i="5"/>
  <c r="BD48" i="5"/>
  <c r="BO69" i="5"/>
  <c r="V96" i="5"/>
  <c r="BM45" i="5"/>
  <c r="BG47" i="5"/>
  <c r="BP48" i="5"/>
  <c r="BQ49" i="5"/>
  <c r="BQ69" i="5"/>
  <c r="BG72" i="5"/>
  <c r="BP45" i="5"/>
  <c r="BQ46" i="5"/>
  <c r="BR47" i="5"/>
  <c r="BS48" i="5"/>
  <c r="BT49" i="5"/>
  <c r="BT69" i="5"/>
  <c r="BL70" i="5"/>
  <c r="BF71" i="5"/>
  <c r="BQ71" i="5"/>
  <c r="V93" i="5"/>
  <c r="U95" i="5"/>
  <c r="U98" i="5"/>
  <c r="V134" i="5"/>
  <c r="T144" i="5"/>
  <c r="BG45" i="5"/>
  <c r="BQ45" i="5"/>
  <c r="BH46" i="5"/>
  <c r="BR46" i="5"/>
  <c r="BI47" i="5"/>
  <c r="BS47" i="5"/>
  <c r="BJ48" i="5"/>
  <c r="BT48" i="5"/>
  <c r="BK49" i="5"/>
  <c r="BK69" i="5"/>
  <c r="BD70" i="5"/>
  <c r="BK72" i="5"/>
  <c r="BT72" i="5"/>
  <c r="BN73" i="5"/>
  <c r="W93" i="5"/>
  <c r="U101" i="5"/>
  <c r="X104" i="5"/>
  <c r="U145" i="5"/>
  <c r="BI45" i="5"/>
  <c r="BD49" i="5"/>
  <c r="BJ45" i="5"/>
  <c r="BN69" i="5"/>
  <c r="BN48" i="5"/>
  <c r="BQ70" i="5"/>
  <c r="BO70" i="5"/>
  <c r="BG71" i="5"/>
  <c r="BR71" i="5"/>
  <c r="BL72" i="5"/>
  <c r="X95" i="5"/>
  <c r="V108" i="5"/>
  <c r="X130" i="5"/>
  <c r="W135" i="5"/>
  <c r="L163" i="5"/>
  <c r="BK47" i="5"/>
  <c r="BD69" i="5"/>
  <c r="BE70" i="5"/>
  <c r="BP70" i="5"/>
  <c r="BF73" i="5"/>
  <c r="BO73" i="5"/>
  <c r="X93" i="5"/>
  <c r="X98" i="5"/>
  <c r="L166" i="5"/>
  <c r="BL48" i="5"/>
  <c r="BK46" i="5"/>
  <c r="BM72" i="5"/>
  <c r="BG73" i="5"/>
  <c r="X136" i="5"/>
  <c r="K184" i="5"/>
  <c r="BN49" i="5"/>
  <c r="BL46" i="5"/>
  <c r="BM47" i="5"/>
  <c r="BT45" i="5"/>
  <c r="BO46" i="5"/>
  <c r="BJ47" i="5"/>
  <c r="BE48" i="5"/>
  <c r="BF49" i="5"/>
  <c r="BR49" i="5"/>
  <c r="BL69" i="5"/>
  <c r="BG70" i="5"/>
  <c r="BH71" i="5"/>
  <c r="BT71" i="5"/>
  <c r="BO72" i="5"/>
  <c r="BD73" i="5"/>
  <c r="BP73" i="5"/>
  <c r="U94" i="5"/>
  <c r="V95" i="5"/>
  <c r="X97" i="5"/>
  <c r="U100" i="5"/>
  <c r="V101" i="5"/>
  <c r="W102" i="5"/>
  <c r="X103" i="5"/>
  <c r="U106" i="5"/>
  <c r="V107" i="5"/>
  <c r="W108" i="5"/>
  <c r="X129" i="5"/>
  <c r="T131" i="5"/>
  <c r="U132" i="5"/>
  <c r="V133" i="5"/>
  <c r="W134" i="5"/>
  <c r="X135" i="5"/>
  <c r="T137" i="5"/>
  <c r="U138" i="5"/>
  <c r="V139" i="5"/>
  <c r="W140" i="5"/>
  <c r="X141" i="5"/>
  <c r="T143" i="5"/>
  <c r="U144" i="5"/>
  <c r="V145" i="5"/>
  <c r="K164" i="5"/>
  <c r="K167" i="5"/>
  <c r="L184" i="5"/>
  <c r="L187" i="5"/>
  <c r="X203" i="5"/>
  <c r="BH45" i="5"/>
  <c r="BN45" i="5"/>
  <c r="BI46" i="5"/>
  <c r="BD47" i="5"/>
  <c r="BP47" i="5"/>
  <c r="BK48" i="5"/>
  <c r="BQ48" i="5"/>
  <c r="BL49" i="5"/>
  <c r="BF69" i="5"/>
  <c r="BR69" i="5"/>
  <c r="BM70" i="5"/>
  <c r="BS70" i="5"/>
  <c r="BN71" i="5"/>
  <c r="BI72" i="5"/>
  <c r="BJ73" i="5"/>
  <c r="W96" i="5"/>
  <c r="X109" i="5"/>
  <c r="BN70" i="5"/>
  <c r="BI71" i="5"/>
  <c r="BJ72" i="5"/>
  <c r="BE73" i="5"/>
  <c r="BQ73" i="5"/>
  <c r="V94" i="5"/>
  <c r="X96" i="5"/>
  <c r="U99" i="5"/>
  <c r="W101" i="5"/>
  <c r="U105" i="5"/>
  <c r="W107" i="5"/>
  <c r="U131" i="5"/>
  <c r="V132" i="5"/>
  <c r="X134" i="5"/>
  <c r="T136" i="5"/>
  <c r="U137" i="5"/>
  <c r="V138" i="5"/>
  <c r="W139" i="5"/>
  <c r="X140" i="5"/>
  <c r="U143" i="5"/>
  <c r="V144" i="5"/>
  <c r="W145" i="5"/>
  <c r="L164" i="5"/>
  <c r="L167" i="5"/>
  <c r="K185" i="5"/>
  <c r="T204" i="5"/>
  <c r="BH70" i="5"/>
  <c r="BT70" i="5"/>
  <c r="BO71" i="5"/>
  <c r="BD72" i="5"/>
  <c r="BP72" i="5"/>
  <c r="BK73" i="5"/>
  <c r="U93" i="5"/>
  <c r="W95" i="5"/>
  <c r="V100" i="5"/>
  <c r="X102" i="5"/>
  <c r="V106" i="5"/>
  <c r="X108" i="5"/>
  <c r="T130" i="5"/>
  <c r="W133" i="5"/>
  <c r="T142" i="5"/>
  <c r="X101" i="5"/>
  <c r="U104" i="5"/>
  <c r="V105" i="5"/>
  <c r="X107" i="5"/>
  <c r="T129" i="5"/>
  <c r="U130" i="5"/>
  <c r="V131" i="5"/>
  <c r="W132" i="5"/>
  <c r="X133" i="5"/>
  <c r="T135" i="5"/>
  <c r="U136" i="5"/>
  <c r="V137" i="5"/>
  <c r="W138" i="5"/>
  <c r="X139" i="5"/>
  <c r="T141" i="5"/>
  <c r="U142" i="5"/>
  <c r="V143" i="5"/>
  <c r="W144" i="5"/>
  <c r="X145" i="5"/>
  <c r="K165" i="5"/>
  <c r="L185" i="5"/>
  <c r="T203" i="5"/>
  <c r="U204" i="5"/>
  <c r="U97" i="5"/>
  <c r="V98" i="5"/>
  <c r="W99" i="5"/>
  <c r="X100" i="5"/>
  <c r="U103" i="5"/>
  <c r="V104" i="5"/>
  <c r="W105" i="5"/>
  <c r="X106" i="5"/>
  <c r="U109" i="5"/>
  <c r="U129" i="5"/>
  <c r="V130" i="5"/>
  <c r="W131" i="5"/>
  <c r="X132" i="5"/>
  <c r="T134" i="5"/>
  <c r="U135" i="5"/>
  <c r="V136" i="5"/>
  <c r="W137" i="5"/>
  <c r="X138" i="5"/>
  <c r="T140" i="5"/>
  <c r="U141" i="5"/>
  <c r="V142" i="5"/>
  <c r="W143" i="5"/>
  <c r="X144" i="5"/>
  <c r="L165" i="5"/>
  <c r="K183" i="5"/>
  <c r="K186" i="5"/>
  <c r="U203" i="5"/>
  <c r="V204" i="5"/>
  <c r="U96" i="5"/>
  <c r="V97" i="5"/>
  <c r="W98" i="5"/>
  <c r="X99" i="5"/>
  <c r="U102" i="5"/>
  <c r="V103" i="5"/>
  <c r="W104" i="5"/>
  <c r="X105" i="5"/>
  <c r="U108" i="5"/>
  <c r="V109" i="5"/>
  <c r="V129" i="5"/>
  <c r="W130" i="5"/>
  <c r="X131" i="5"/>
  <c r="T133" i="5"/>
  <c r="U134" i="5"/>
  <c r="V135" i="5"/>
  <c r="W136" i="5"/>
  <c r="X137" i="5"/>
  <c r="T139" i="5"/>
  <c r="U140" i="5"/>
  <c r="V141" i="5"/>
  <c r="W142" i="5"/>
  <c r="X143" i="5"/>
  <c r="T145" i="5"/>
  <c r="K163" i="5"/>
  <c r="K166" i="5"/>
  <c r="L183" i="5"/>
  <c r="L186" i="5"/>
  <c r="V203" i="5"/>
  <c r="W204" i="5"/>
  <c r="X204" i="5"/>
  <c r="R230" i="9"/>
  <c r="U230" i="9"/>
  <c r="O230" i="9"/>
  <c r="L230" i="9"/>
  <c r="I233" i="9"/>
  <c r="I230" i="9"/>
  <c r="I232" i="9"/>
  <c r="I231" i="9"/>
  <c r="C230" i="9"/>
  <c r="F230" i="9"/>
  <c r="J23" i="1"/>
  <c r="M21" i="1"/>
  <c r="G21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M25" i="1"/>
  <c r="J22" i="1"/>
  <c r="M24" i="1"/>
  <c r="M23" i="1"/>
  <c r="M22" i="1"/>
  <c r="J24" i="1"/>
  <c r="J25" i="1"/>
  <c r="G31" i="1"/>
  <c r="I12" i="4"/>
  <c r="J12" i="4" s="1"/>
  <c r="I14" i="4"/>
  <c r="J14" i="4" s="1"/>
  <c r="J15" i="4" s="1"/>
  <c r="D5" i="4"/>
  <c r="I11" i="4"/>
  <c r="J11" i="4" s="1"/>
  <c r="I13" i="4"/>
  <c r="J13" i="4" s="1"/>
  <c r="G26" i="3"/>
  <c r="H26" i="3" s="1"/>
  <c r="G27" i="3"/>
  <c r="G24" i="3"/>
  <c r="H24" i="3" s="1"/>
  <c r="G28" i="3"/>
  <c r="E62" i="2"/>
  <c r="K12" i="4" a="1"/>
  <c r="D64" i="2" a="1"/>
  <c r="K11" i="4" a="1"/>
  <c r="K13" i="4" a="1"/>
  <c r="D62" i="2" a="1"/>
  <c r="K14" i="4" a="1"/>
  <c r="K10" i="4" a="1"/>
  <c r="K15" i="4" a="1"/>
  <c r="F93" i="9" a="1"/>
  <c r="P93" i="9" a="1"/>
  <c r="U225" i="9" a="1"/>
  <c r="K21" i="1" a="1"/>
  <c r="P137" i="9" a="1"/>
  <c r="F203" i="9" a="1"/>
  <c r="K93" i="9" a="1"/>
  <c r="K49" i="9" a="1"/>
  <c r="C49" i="9" a="1"/>
  <c r="K24" i="1" a="1"/>
  <c r="I28" i="3" a="1"/>
  <c r="H36" i="1" a="1"/>
  <c r="N22" i="1" a="1"/>
  <c r="H17" i="2" a="1"/>
  <c r="H38" i="1" a="1"/>
  <c r="I25" i="11" a="1"/>
  <c r="F27" i="9" a="1"/>
  <c r="Q19" i="1" a="1"/>
  <c r="C225" i="9" a="1"/>
  <c r="K22" i="1" a="1"/>
  <c r="P181" i="9" a="1"/>
  <c r="O225" i="9" a="1"/>
  <c r="I25" i="3" a="1"/>
  <c r="N24" i="1" a="1"/>
  <c r="C181" i="9" a="1"/>
  <c r="L225" i="9" a="1"/>
  <c r="H34" i="1" a="1"/>
  <c r="R225" i="9" a="1"/>
  <c r="K115" i="9" a="1"/>
  <c r="N25" i="1" a="1"/>
  <c r="H32" i="1" a="1"/>
  <c r="C159" i="9" a="1"/>
  <c r="F49" i="9" a="1"/>
  <c r="I26" i="3" a="1"/>
  <c r="K137" i="9" a="1"/>
  <c r="I27" i="3" a="1"/>
  <c r="C71" i="9" a="1"/>
  <c r="F115" i="9" a="1"/>
  <c r="H30" i="1" a="1"/>
  <c r="K23" i="1" a="1"/>
  <c r="C27" i="9" a="1"/>
  <c r="I23" i="11" a="1"/>
  <c r="C137" i="9" a="1"/>
  <c r="I26" i="11" a="1"/>
  <c r="N23" i="1" a="1"/>
  <c r="K25" i="1" a="1"/>
  <c r="F181" i="9" a="1"/>
  <c r="I23" i="3" a="1"/>
  <c r="F159" i="9" a="1"/>
  <c r="I225" i="9" a="1"/>
  <c r="I24" i="11" a="1"/>
  <c r="P159" i="9" a="1"/>
  <c r="H21" i="1" a="1"/>
  <c r="H37" i="1" a="1"/>
  <c r="K159" i="9" a="1"/>
  <c r="H39" i="1" a="1"/>
  <c r="I24" i="3" a="1"/>
  <c r="H35" i="1" a="1"/>
  <c r="H33" i="1" a="1"/>
  <c r="C93" i="9" a="1"/>
  <c r="F71" i="9" a="1"/>
  <c r="P115" i="9" a="1"/>
  <c r="H29" i="1" a="1"/>
  <c r="F137" i="9" a="1"/>
  <c r="P27" i="9" a="1"/>
  <c r="H31" i="1" a="1"/>
  <c r="C115" i="9" a="1"/>
  <c r="K27" i="9" a="1"/>
  <c r="P49" i="9" a="1"/>
  <c r="F225" i="9" a="1"/>
  <c r="J22" i="11" a="1"/>
  <c r="C203" i="9" a="1"/>
  <c r="P71" i="9" a="1"/>
  <c r="K203" i="9" a="1"/>
  <c r="P203" i="9" a="1"/>
  <c r="K71" i="9" a="1"/>
  <c r="K181" i="9" a="1"/>
  <c r="N21" i="1" a="1"/>
  <c r="C78" i="5" a="1"/>
  <c r="C114" i="5" a="1"/>
  <c r="C150" i="5" a="1"/>
  <c r="C172" i="5" a="1"/>
  <c r="C54" i="5" a="1"/>
  <c r="C192" i="5" a="1"/>
  <c r="C30" i="5" a="1"/>
  <c r="H27" i="3" l="1"/>
  <c r="I23" i="11"/>
  <c r="I25" i="11"/>
  <c r="J22" i="11"/>
  <c r="I26" i="11"/>
  <c r="I24" i="11"/>
  <c r="H23" i="11"/>
  <c r="H25" i="11"/>
  <c r="H26" i="11" s="1"/>
  <c r="H24" i="11"/>
  <c r="H28" i="3"/>
  <c r="I28" i="3"/>
  <c r="I27" i="3"/>
  <c r="I26" i="3"/>
  <c r="I25" i="3"/>
  <c r="I24" i="3"/>
  <c r="I23" i="3"/>
  <c r="K25" i="1"/>
  <c r="K24" i="1"/>
  <c r="K23" i="1"/>
  <c r="K22" i="1"/>
  <c r="K21" i="1"/>
  <c r="H24" i="1"/>
  <c r="H25" i="1"/>
  <c r="H21" i="1"/>
  <c r="H23" i="1"/>
  <c r="H22" i="1"/>
  <c r="F225" i="9"/>
  <c r="C114" i="5"/>
  <c r="C10" i="5" s="1"/>
  <c r="C30" i="5"/>
  <c r="C7" i="5" s="1"/>
  <c r="C172" i="5"/>
  <c r="C12" i="5" s="1"/>
  <c r="I225" i="9"/>
  <c r="C78" i="5"/>
  <c r="C9" i="5" s="1"/>
  <c r="L225" i="9"/>
  <c r="O225" i="9"/>
  <c r="C192" i="5"/>
  <c r="C13" i="5" s="1"/>
  <c r="C150" i="5"/>
  <c r="C11" i="5" s="1"/>
  <c r="C54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37" i="1"/>
  <c r="H39" i="1"/>
  <c r="H38" i="1"/>
  <c r="H33" i="1"/>
  <c r="H31" i="1"/>
  <c r="H34" i="1"/>
  <c r="H29" i="1"/>
  <c r="H32" i="1"/>
  <c r="H35" i="1"/>
  <c r="H36" i="1"/>
  <c r="H30" i="1"/>
  <c r="Q19" i="1"/>
  <c r="N25" i="1"/>
  <c r="N24" i="1"/>
  <c r="N23" i="1"/>
  <c r="N22" i="1"/>
  <c r="N21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G21" i="2" a="1"/>
  <c r="I36" i="1" a="1"/>
  <c r="J25" i="11" a="1"/>
  <c r="S19" i="1" a="1"/>
  <c r="C175" i="9" a="1"/>
  <c r="J23" i="3" a="1"/>
  <c r="C21" i="9" a="1"/>
  <c r="C109" i="9" a="1"/>
  <c r="L22" i="1" a="1"/>
  <c r="U28" i="3" a="1"/>
  <c r="O24" i="1" a="1"/>
  <c r="L24" i="1" a="1"/>
  <c r="I24" i="1" a="1"/>
  <c r="U26" i="3" a="1"/>
  <c r="I32" i="1" a="1"/>
  <c r="C65" i="9" a="1"/>
  <c r="J24" i="3" a="1"/>
  <c r="L25" i="1" a="1"/>
  <c r="I30" i="1" a="1"/>
  <c r="I33" i="1" a="1"/>
  <c r="J27" i="3" a="1"/>
  <c r="O25" i="1" a="1"/>
  <c r="J23" i="11" a="1"/>
  <c r="I34" i="1" a="1"/>
  <c r="U29" i="3" a="1"/>
  <c r="I29" i="1" a="1"/>
  <c r="C131" i="9" a="1"/>
  <c r="I38" i="1" a="1"/>
  <c r="C197" i="9" a="1"/>
  <c r="J24" i="11" a="1"/>
  <c r="J28" i="3" a="1"/>
  <c r="L21" i="1" a="1"/>
  <c r="C219" i="9" a="1"/>
  <c r="I39" i="1" a="1"/>
  <c r="J26" i="11" a="1"/>
  <c r="J26" i="3" a="1"/>
  <c r="I25" i="1" a="1"/>
  <c r="O22" i="1" a="1"/>
  <c r="I23" i="1" a="1"/>
  <c r="C153" i="9" a="1"/>
  <c r="J25" i="3" a="1"/>
  <c r="I22" i="1" a="1"/>
  <c r="C87" i="9" a="1"/>
  <c r="O23" i="1" a="1"/>
  <c r="U27" i="3" a="1"/>
  <c r="I31" i="1" a="1"/>
  <c r="L23" i="1" a="1"/>
  <c r="C43" i="9" a="1"/>
  <c r="I21" i="1" a="1"/>
  <c r="I37" i="1" a="1"/>
  <c r="I35" i="1" a="1"/>
  <c r="O21" i="1" a="1"/>
  <c r="C4" i="5" a="1"/>
  <c r="C4" i="5" l="1"/>
  <c r="C22" i="8" s="1"/>
  <c r="J26" i="1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I30" i="1"/>
  <c r="I36" i="1"/>
  <c r="I22" i="1"/>
  <c r="I38" i="1"/>
  <c r="I32" i="1"/>
  <c r="I21" i="1"/>
  <c r="I25" i="1"/>
  <c r="O23" i="1"/>
  <c r="I34" i="1"/>
  <c r="I24" i="1"/>
  <c r="I35" i="1"/>
  <c r="I23" i="1"/>
  <c r="O21" i="1"/>
  <c r="O22" i="1"/>
  <c r="I29" i="1"/>
  <c r="O24" i="1"/>
  <c r="I31" i="1"/>
  <c r="L21" i="1"/>
  <c r="O25" i="1"/>
  <c r="I33" i="1"/>
  <c r="L22" i="1"/>
  <c r="L23" i="1"/>
  <c r="I39" i="1"/>
  <c r="L24" i="1"/>
  <c r="S19" i="1"/>
  <c r="I37" i="1"/>
  <c r="L25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N21" i="3" a="1"/>
  <c r="C4" i="9" a="1"/>
  <c r="G16" i="1" a="1"/>
  <c r="J27" i="11" a="1"/>
  <c r="C21" i="3" a="1"/>
  <c r="N21" i="3" l="1"/>
  <c r="J27" i="11"/>
  <c r="D13" i="3"/>
  <c r="C21" i="3"/>
  <c r="G16" i="1"/>
  <c r="C12" i="1" s="1"/>
  <c r="C4" i="9"/>
  <c r="C21" i="8" s="1"/>
  <c r="C58" i="2"/>
  <c r="C20" i="11" a="1"/>
  <c r="C20" i="11" l="1"/>
  <c r="D10" i="11" s="1"/>
  <c r="D10" i="3"/>
  <c r="C6" i="3" a="1"/>
  <c r="C6" i="11" a="1"/>
  <c r="C6" i="11" l="1"/>
  <c r="C6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<sst xmlns="http://schemas.openxmlformats.org/spreadsheetml/2006/main" count="2228" uniqueCount="438">
  <si>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</si>
  <si>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</si>
  <si>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</si>
  <si>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</si>
  <si>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</si>
  <si>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</si>
  <si>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</si>
  <si>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</si>
  <si>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</si>
  <si>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</si>
  <si>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</si>
  <si>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</si>
  <si>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</si>
  <si>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</si>
  <si>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</si>
  <si>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</si>
  <si>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</si>
  <si>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</si>
  <si>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</si>
  <si>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</si>
  <si>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</si>
  <si>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</si>
  <si>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</si>
  <si>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</si>
  <si>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</si>
  <si>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</si>
  <si>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</si>
  <si>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</si>
  <si>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</si>
  <si>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</si>
  <si>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</si>
  <si>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</si>
  <si>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</si>
  <si>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</si>
  <si>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</si>
  <si>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</si>
  <si>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</si>
  <si>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</si>
  <si>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</si>
  <si>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</si>
  <si>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</si>
  <si>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</si>
  <si>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</si>
  <si>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</si>
  <si>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</si>
  <si>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</si>
  <si>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</si>
  <si>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</si>
  <si>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</si>
  <si>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</si>
  <si>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</si>
  <si>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</si>
  <si>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</si>
  <si>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</si>
  <si>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</si>
  <si>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</si>
  <si>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</si>
  <si>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</si>
  <si>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</si>
  <si>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</si>
  <si>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</si>
  <si>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</si>
  <si>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</si>
  <si>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</si>
  <si>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</si>
  <si>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</si>
  <si>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</si>
  <si>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</si>
  <si>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</si>
  <si>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</si>
  <si>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</si>
  <si>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</si>
  <si>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</si>
  <si>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</si>
  <si>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</si>
  <si>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</si>
  <si>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</si>
  <si>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</si>
  <si>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</si>
  <si>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</si>
  <si>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White rows are anchor dates, light grey rows are interpolated dates.</t>
    </r>
  </si>
  <si>
    <t>NACC</t>
  </si>
  <si>
    <t>NACM</t>
  </si>
  <si>
    <t>NACQ</t>
  </si>
  <si>
    <t>Zero Rates</t>
  </si>
  <si>
    <t>#ERROR: Invalid compounding convention 'NACP'.</t>
  </si>
  <si>
    <t>Actual</t>
  </si>
  <si>
    <t>Expected</t>
  </si>
  <si>
    <t>Check</t>
  </si>
  <si>
    <t>loglinear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</si>
  <si>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</si>
  <si>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</si>
  <si>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</si>
  <si>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</si>
  <si>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</si>
  <si>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</si>
  <si>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</si>
  <si>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</si>
  <si>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</si>
  <si>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</si>
  <si>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</si>
  <si>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</si>
  <si>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</si>
  <si>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</si>
  <si>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</si>
  <si>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</si>
  <si>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</si>
  <si>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</si>
  <si>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To Do: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</si>
  <si>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</si>
  <si>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</si>
  <si>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</si>
  <si>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</si>
  <si>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</si>
  <si>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</si>
  <si>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</si>
  <si>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</si>
  <si>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</si>
  <si>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</si>
  <si>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</si>
  <si>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</si>
  <si>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</si>
  <si>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Reset Alll Sheet Tests</t>
  </si>
  <si>
    <t>Run Alll Sheet Tests</t>
  </si>
  <si>
    <t>Macros</t>
  </si>
  <si>
    <t>Add auto format to context menu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</si>
  <si>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</si>
  <si>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</si>
  <si>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</si>
  <si>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</si>
  <si>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</si>
  <si>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</si>
  <si>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</si>
  <si>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Format colum and row headers.</t>
  </si>
  <si>
    <t>Summary</t>
  </si>
  <si>
    <t>Other</t>
  </si>
  <si>
    <t>Test Result</t>
  </si>
  <si>
    <t>Test Checks</t>
  </si>
  <si>
    <t>Logic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</si>
  <si>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</si>
  <si>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</si>
  <si>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</si>
  <si>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</si>
  <si>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</si>
  <si>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</si>
  <si>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</si>
  <si>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</si>
  <si>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</si>
  <si>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</si>
  <si>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</si>
  <si>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</si>
  <si>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</si>
  <si>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</si>
  <si>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</si>
  <si>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</si>
  <si>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</si>
  <si>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</si>
  <si>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</si>
  <si>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</si>
  <si>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</si>
  <si>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</si>
  <si>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</si>
  <si>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</si>
  <si>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</si>
  <si>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</si>
  <si>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</si>
  <si>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</si>
  <si>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</si>
  <si>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</si>
  <si>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</si>
  <si>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</si>
  <si>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</si>
  <si>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</si>
  <si>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Add cell styles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</si>
  <si>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</si>
  <si>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</si>
  <si>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</si>
  <si>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</si>
  <si>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</si>
  <si>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</si>
  <si>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</si>
  <si>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</si>
  <si>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</si>
  <si>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</si>
  <si>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Change code from horizontal and vertical to something more logical.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</si>
  <si>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</si>
  <si>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</si>
  <si>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</si>
  <si>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</si>
  <si>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</si>
  <si>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</si>
  <si>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</si>
  <si>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</si>
  <si>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</si>
  <si>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</si>
  <si>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</si>
  <si>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</si>
  <si>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</si>
  <si>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</si>
  <si>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</si>
  <si>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</si>
  <si>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</si>
  <si>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</si>
  <si>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</si>
  <si>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</si>
  <si>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</si>
  <si>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</si>
  <si>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</si>
  <si>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</si>
  <si>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</si>
  <si>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</si>
  <si>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</si>
  <si>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</si>
  <si>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</si>
  <si>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</si>
  <si>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</si>
  <si>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</si>
  <si>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</si>
  <si>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</si>
  <si>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</si>
  <si>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</si>
  <si>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</si>
  <si>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</si>
  <si>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</si>
  <si>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</si>
  <si>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</si>
  <si>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</si>
  <si>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</si>
  <si>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</si>
  <si>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</si>
  <si>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</si>
  <si>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</si>
  <si>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</si>
  <si>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</si>
  <si>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</si>
  <si>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</si>
  <si>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</si>
  <si>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</si>
  <si>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</si>
  <si>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</si>
  <si>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</si>
  <si>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</si>
  <si>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</si>
  <si>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</si>
  <si>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</si>
  <si>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</si>
  <si>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</si>
  <si>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</si>
  <si>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</si>
  <si>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</si>
  <si>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</si>
  <si>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</si>
  <si>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</si>
  <si>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</si>
  <si>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</si>
  <si>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</si>
  <si>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</si>
  <si>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</si>
  <si>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Compounded</t>
  </si>
  <si>
    <t>Vol Surface</t>
  </si>
  <si>
    <t>Moneyness</t>
  </si>
  <si>
    <t>Column Header</t>
  </si>
  <si>
    <t>Here we test apply formatting where there are both column and row headers.</t>
  </si>
  <si>
    <t>-</t>
  </si>
  <si>
    <t>d.Date_AddTenorToDate</t>
  </si>
  <si>
    <t>d.Date_FolDay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</si>
  <si>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</si>
  <si>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</si>
  <si>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</si>
  <si>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</si>
  <si>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</si>
  <si>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</si>
  <si>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d.Date_ModFolDay</t>
  </si>
  <si>
    <t>d.Date_PrevDay</t>
  </si>
  <si>
    <t>USD,ZAR</t>
  </si>
  <si>
    <t>d.Date_GetListOfHolidays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</si>
  <si>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</si>
  <si>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</si>
  <si>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</si>
  <si>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</si>
  <si>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</si>
  <si>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</si>
  <si>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</si>
  <si>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</si>
  <si>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</si>
  <si>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</si>
  <si>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#∂Excel Error: Unknown business day convention: ASD</t>
  </si>
  <si>
    <t>Interest Rate Curves</t>
  </si>
  <si>
    <t>Utilities</t>
  </si>
  <si>
    <t>d.Date_GetAvailableBusinessDayConventions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</si>
  <si>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</si>
  <si>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</si>
  <si>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</si>
  <si>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</si>
  <si>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</si>
  <si>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</si>
  <si>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</si>
  <si>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</si>
  <si>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</si>
  <si>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</si>
  <si>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d.Date_GetAvailableDayCountConventions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</si>
  <si>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</si>
  <si>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</si>
  <si>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</si>
  <si>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</si>
  <si>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</si>
  <si>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</si>
  <si>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</si>
  <si>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</si>
  <si>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</si>
  <si>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</si>
  <si>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</si>
  <si>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</si>
  <si>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</si>
  <si>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</si>
  <si>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</si>
  <si>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</si>
  <si>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</si>
  <si>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</si>
  <si>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</si>
  <si>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</si>
  <si>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</si>
  <si>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</si>
  <si>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</si>
  <si>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</si>
  <si>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</si>
  <si>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</si>
  <si>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</si>
  <si>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</si>
  <si>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</si>
  <si>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</si>
  <si>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</si>
  <si>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</si>
  <si>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</si>
  <si>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</si>
  <si>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</si>
  <si>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</si>
  <si>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</si>
  <si>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</si>
  <si>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</si>
  <si>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</si>
  <si>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</si>
  <si>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</si>
  <si>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</si>
  <si>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</si>
  <si>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</si>
  <si>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</si>
  <si>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</si>
  <si>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</si>
  <si>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</si>
  <si>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</si>
  <si>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</si>
  <si>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</si>
  <si>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</si>
  <si>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</si>
  <si>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</si>
  <si>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</si>
  <si>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</si>
  <si>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</si>
  <si>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</si>
  <si>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</si>
  <si>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</si>
  <si>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</si>
  <si>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</si>
  <si>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</si>
  <si>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</si>
  <si>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</si>
  <si>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</si>
  <si>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</si>
  <si>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</si>
  <si>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</si>
  <si>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</si>
  <si>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</si>
  <si>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</si>
  <si>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</si>
  <si>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</si>
  <si>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</si>
  <si>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d.Date_GetListOfCalendars</t>
  </si>
  <si>
    <t>d.Date_GenerateSchedule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</si>
  <si>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</si>
  <si>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</si>
  <si>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</si>
  <si>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</si>
  <si>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</si>
  <si>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</si>
  <si>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</si>
  <si>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</si>
  <si>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</si>
  <si>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</si>
  <si>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</si>
  <si>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</si>
  <si>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</si>
  <si>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</si>
  <si>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</si>
  <si>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</si>
  <si>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</si>
  <si>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</si>
  <si>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</si>
  <si>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#∂Excel Error: Row dimensions do not match or there is more than one column in x or y.</t>
  </si>
  <si>
    <t>Test 5: Invalid Row Dimensions</t>
  </si>
  <si>
    <t>Test 5: Invalid Interpolation Method</t>
  </si>
  <si>
    <t>#∂Excel Error: Invalid method of interpolation specified.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</si>
  <si>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</si>
  <si>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</si>
  <si>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</si>
  <si>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</si>
  <si>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</si>
  <si>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</si>
  <si>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</si>
  <si>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</si>
  <si>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</si>
  <si>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</si>
  <si>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</si>
  <si>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Test 6: Invalid Columns</t>
  </si>
  <si>
    <t>Test 7: Invalid Interpolation Method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</si>
  <si>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</si>
  <si>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</si>
  <si>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</si>
  <si>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</si>
  <si>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</si>
  <si>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</si>
  <si>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#∂Excel Error: Matrix supplied is not square.</t>
  </si>
  <si>
    <t>Test 2: Non-Square Matrix</t>
  </si>
  <si>
    <t>#∂Excel Error: Matrix supplied is not symmetric.</t>
  </si>
  <si>
    <t>#∂Excel Error: Matrix supplied is not positive-definite.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</si>
  <si>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</si>
  <si>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</si>
  <si>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</si>
  <si>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</si>
  <si>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</si>
  <si>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</si>
  <si>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</si>
  <si>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</si>
  <si>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</si>
  <si>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</si>
  <si>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Test 3: Invalid Seed</t>
  </si>
  <si>
    <t>Not a Number</t>
  </si>
  <si>
    <t>#∂Excel Error: Invalid seed specified.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</si>
</sst>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  <numFmt numFmtId="176" formatCode="#,##0.00000000"/>
    <numFmt numFmtId="177" formatCode="0.00000000000"/>
    <numFmt numFmtId="178" formatCode="0.000000000000"/>
    <numFmt numFmtId="179" formatCode="#,##0.00000000000"/>
  </numFmts>
  <fonts count="44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sz val="12"/>
      <name val="Calibri Light"/>
      <family val="2"/>
      <scheme val="min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1"/>
      <color rgb="FFFF0000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u/>
      <sz val="10"/>
      <color theme="10"/>
      <name val="Calibri Light"/>
      <family val="2"/>
      <scheme val="minor"/>
    </font>
    <font>
      <b/>
      <sz val="10"/>
      <color theme="0"/>
      <name val="Calibri Light"/>
      <family val="2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  <font>
      <strike/>
      <sz val="11"/>
      <color rgb="FFFF0000"/>
      <name val="Calibri Light"/>
      <family val="2"/>
      <scheme val="minor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b/>
      <u/>
      <sz val="10"/>
      <color theme="8"/>
      <name val="Calibri Light"/>
      <family val="2"/>
      <scheme val="minor"/>
    </font>
    <font>
      <u/>
      <sz val="10"/>
      <color theme="8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37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hair">
        <color theme="1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15" fillId="0" borderId="1" applyNumberFormat="0" applyFill="0" applyAlignment="0" applyProtection="0"/>
    <xf numFmtId="0" fontId="35" fillId="0" borderId="91" applyNumberFormat="0" applyFill="0" applyAlignment="0" applyProtection="0"/>
    <xf numFmtId="0" fontId="36" fillId="0" borderId="92" applyNumberFormat="0" applyFill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</cellStyleXfs>
  <cellXfs count="493">
    <xf numFmtId="0" fontId="0" fillId="0" borderId="0" xfId="0"/>
    <xf numFmtId="14" fontId="0" fillId="0" borderId="0" xfId="0" applyNumberFormat="1"/>
    <xf numFmtId="0" fontId="15" fillId="0" borderId="1" xfId="1"/>
    <xf numFmtId="0" fontId="35" fillId="0" borderId="91" xfId="2"/>
    <xf numFmtId="0" fontId="36" fillId="0" borderId="92" xfId="3"/>
    <xf numFmtId="164" fontId="0" fillId="0" borderId="0" xfId="0" applyNumberFormat="1"/>
    <xf numFmtId="165" fontId="0" fillId="0" borderId="0" xfId="0" applyNumberFormat="1"/>
    <xf numFmtId="0" fontId="16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18" fillId="3" borderId="4" xfId="0" applyFont="1" applyFill="1" applyBorder="1" applyAlignment="1">
      <alignment horizontal="centerContinuous" vertical="center"/>
    </xf>
    <xf numFmtId="0" fontId="18" fillId="3" borderId="5" xfId="0" applyFont="1" applyFill="1" applyBorder="1" applyAlignment="1">
      <alignment horizontal="centerContinuous" vertical="center"/>
    </xf>
    <xf numFmtId="4" fontId="17" fillId="0" borderId="9" xfId="0" applyNumberFormat="1" applyFont="1" applyBorder="1" applyAlignment="1">
      <alignment horizontal="right" vertical="center"/>
    </xf>
    <xf numFmtId="4" fontId="17" fillId="0" borderId="11" xfId="0" applyNumberFormat="1" applyFont="1" applyBorder="1" applyAlignment="1">
      <alignment horizontal="right" vertical="center"/>
    </xf>
    <xf numFmtId="4" fontId="17" fillId="0" borderId="13" xfId="0" applyNumberFormat="1" applyFont="1" applyBorder="1" applyAlignment="1">
      <alignment horizontal="right" vertical="center"/>
    </xf>
    <xf numFmtId="166" fontId="17" fillId="0" borderId="9" xfId="0" applyNumberFormat="1" applyFont="1" applyBorder="1" applyAlignment="1">
      <alignment horizontal="right" vertical="center"/>
    </xf>
    <xf numFmtId="166" fontId="17" fillId="0" borderId="11" xfId="0" applyNumberFormat="1" applyFont="1" applyBorder="1" applyAlignment="1">
      <alignment horizontal="right" vertical="center"/>
    </xf>
    <xf numFmtId="166" fontId="17" fillId="0" borderId="13" xfId="0" applyNumberFormat="1" applyFont="1" applyBorder="1" applyAlignment="1">
      <alignment horizontal="right" vertical="center"/>
    </xf>
    <xf numFmtId="167" fontId="17" fillId="0" borderId="10" xfId="0" applyNumberFormat="1" applyFont="1" applyBorder="1" applyAlignment="1">
      <alignment horizontal="right" vertical="center"/>
    </xf>
    <xf numFmtId="167" fontId="17" fillId="0" borderId="12" xfId="0" applyNumberFormat="1" applyFont="1" applyBorder="1" applyAlignment="1">
      <alignment horizontal="right" vertical="center"/>
    </xf>
    <xf numFmtId="167" fontId="17" fillId="0" borderId="14" xfId="0" applyNumberFormat="1" applyFont="1" applyBorder="1" applyAlignment="1">
      <alignment horizontal="right" vertical="center"/>
    </xf>
    <xf numFmtId="0" fontId="18" fillId="3" borderId="7" xfId="0" applyFont="1" applyFill="1" applyBorder="1" applyAlignment="1">
      <alignment horizontal="centerContinuous" vertical="center"/>
    </xf>
    <xf numFmtId="0" fontId="18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18" fillId="3" borderId="6" xfId="0" applyFont="1" applyFill="1" applyBorder="1" applyAlignment="1">
      <alignment horizontal="centerContinuous" vertical="center"/>
    </xf>
    <xf numFmtId="4" fontId="17" fillId="0" borderId="15" xfId="0" applyNumberFormat="1" applyFont="1" applyBorder="1" applyAlignment="1">
      <alignment horizontal="right" vertical="center"/>
    </xf>
    <xf numFmtId="4" fontId="17" fillId="0" borderId="16" xfId="0" applyNumberFormat="1" applyFont="1" applyBorder="1" applyAlignment="1">
      <alignment horizontal="right" vertical="center"/>
    </xf>
    <xf numFmtId="4" fontId="17" fillId="0" borderId="17" xfId="0" applyNumberFormat="1" applyFont="1" applyBorder="1" applyAlignment="1">
      <alignment horizontal="right" vertical="center"/>
    </xf>
    <xf numFmtId="10" fontId="17" fillId="0" borderId="15" xfId="0" applyNumberFormat="1" applyFont="1" applyBorder="1" applyAlignment="1">
      <alignment horizontal="right" vertical="center"/>
    </xf>
    <xf numFmtId="10" fontId="17" fillId="0" borderId="16" xfId="0" applyNumberFormat="1" applyFont="1" applyBorder="1" applyAlignment="1">
      <alignment horizontal="right" vertical="center"/>
    </xf>
    <xf numFmtId="10" fontId="17" fillId="0" borderId="17" xfId="0" applyNumberFormat="1" applyFont="1" applyBorder="1" applyAlignment="1">
      <alignment horizontal="right" vertical="center"/>
    </xf>
    <xf numFmtId="10" fontId="17" fillId="0" borderId="10" xfId="0" applyNumberFormat="1" applyFont="1" applyBorder="1" applyAlignment="1">
      <alignment horizontal="right" vertical="center"/>
    </xf>
    <xf numFmtId="10" fontId="17" fillId="0" borderId="12" xfId="0" applyNumberFormat="1" applyFont="1" applyBorder="1" applyAlignment="1">
      <alignment horizontal="right" vertical="center"/>
    </xf>
    <xf numFmtId="10" fontId="17" fillId="0" borderId="14" xfId="0" applyNumberFormat="1" applyFont="1" applyBorder="1" applyAlignment="1">
      <alignment horizontal="right" vertical="center"/>
    </xf>
    <xf numFmtId="0" fontId="18" fillId="3" borderId="18" xfId="0" applyFont="1" applyFill="1" applyBorder="1" applyAlignment="1">
      <alignment horizontal="centerContinuous" vertical="center"/>
    </xf>
    <xf numFmtId="0" fontId="18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18" fillId="3" borderId="0" xfId="0" applyFont="1" applyFill="1" applyBorder="1" applyAlignment="1">
      <alignment horizontal="centerContinuous" vertical="center"/>
    </xf>
    <xf numFmtId="0" fontId="17" fillId="0" borderId="0" xfId="0" applyFont="1"/>
    <xf numFmtId="0" fontId="18" fillId="4" borderId="20" xfId="0" applyFont="1" applyFill="1" applyBorder="1" applyAlignment="1">
      <alignment horizontal="center" vertical="center"/>
    </xf>
    <xf numFmtId="0" fontId="18" fillId="4" borderId="21" xfId="0" applyFont="1" applyFill="1" applyBorder="1" applyAlignment="1">
      <alignment horizontal="center" vertical="center"/>
    </xf>
    <xf numFmtId="0" fontId="18" fillId="4" borderId="22" xfId="0" applyFont="1" applyFill="1" applyBorder="1" applyAlignment="1">
      <alignment horizontal="center" vertical="center"/>
    </xf>
    <xf numFmtId="166" fontId="17" fillId="0" borderId="0" xfId="0" applyNumberFormat="1" applyFont="1"/>
    <xf numFmtId="0" fontId="19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17" fillId="0" borderId="0" xfId="0" applyNumberFormat="1" applyFont="1" applyAlignment="1">
      <alignment horizontal="right"/>
    </xf>
    <xf numFmtId="0" fontId="17" fillId="0" borderId="0" xfId="0" applyFont="1" applyFill="1" applyBorder="1"/>
    <xf numFmtId="167" fontId="17" fillId="0" borderId="15" xfId="0" applyNumberFormat="1" applyFont="1" applyBorder="1" applyAlignment="1">
      <alignment horizontal="right" vertical="center"/>
    </xf>
    <xf numFmtId="167" fontId="17" fillId="0" borderId="16" xfId="0" applyNumberFormat="1" applyFont="1" applyBorder="1" applyAlignment="1">
      <alignment horizontal="right" vertical="center"/>
    </xf>
    <xf numFmtId="0" fontId="18" fillId="3" borderId="27" xfId="0" applyFont="1" applyFill="1" applyBorder="1" applyAlignment="1">
      <alignment horizontal="centerContinuous" vertical="center"/>
    </xf>
    <xf numFmtId="0" fontId="18" fillId="3" borderId="28" xfId="0" applyFont="1" applyFill="1" applyBorder="1" applyAlignment="1">
      <alignment horizontal="centerContinuous" vertical="center"/>
    </xf>
    <xf numFmtId="0" fontId="18" fillId="4" borderId="29" xfId="0" applyFont="1" applyFill="1" applyBorder="1" applyAlignment="1">
      <alignment horizontal="center" vertical="center"/>
    </xf>
    <xf numFmtId="0" fontId="18" fillId="4" borderId="30" xfId="0" applyFont="1" applyFill="1" applyBorder="1" applyAlignment="1">
      <alignment horizontal="center" vertical="center"/>
    </xf>
    <xf numFmtId="4" fontId="17" fillId="0" borderId="0" xfId="0" applyNumberFormat="1" applyFont="1"/>
    <xf numFmtId="0" fontId="18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0" fillId="0" borderId="3" xfId="0" applyFont="1" applyBorder="1" applyAlignment="1">
      <alignment horizontal="centerContinuous"/>
    </xf>
    <xf numFmtId="0" fontId="19" fillId="2" borderId="0" xfId="0" applyFont="1" applyFill="1" applyAlignment="1">
      <alignment horizontal="centerContinuous" vertical="center"/>
    </xf>
    <xf numFmtId="0" fontId="21" fillId="0" borderId="32" xfId="2" applyFont="1" applyBorder="1"/>
    <xf numFmtId="0" fontId="35" fillId="0" borderId="32" xfId="2" applyBorder="1"/>
    <xf numFmtId="0" fontId="23" fillId="0" borderId="0" xfId="0" applyFont="1"/>
    <xf numFmtId="0" fontId="24" fillId="0" borderId="0" xfId="0" applyFont="1"/>
    <xf numFmtId="4" fontId="17" fillId="0" borderId="10" xfId="0" applyNumberFormat="1" applyFont="1" applyBorder="1" applyAlignment="1">
      <alignment horizontal="right" vertical="center"/>
    </xf>
    <xf numFmtId="4" fontId="17" fillId="0" borderId="12" xfId="0" applyNumberFormat="1" applyFont="1" applyBorder="1" applyAlignment="1">
      <alignment horizontal="right" vertical="center"/>
    </xf>
    <xf numFmtId="4" fontId="17" fillId="0" borderId="14" xfId="0" applyNumberFormat="1" applyFont="1" applyBorder="1" applyAlignment="1">
      <alignment horizontal="right" vertical="center"/>
    </xf>
    <xf numFmtId="0" fontId="18" fillId="4" borderId="33" xfId="0" applyFont="1" applyFill="1" applyBorder="1" applyAlignment="1">
      <alignment horizontal="center" vertical="center"/>
    </xf>
    <xf numFmtId="0" fontId="18" fillId="4" borderId="34" xfId="0" applyFont="1" applyFill="1" applyBorder="1" applyAlignment="1">
      <alignment horizontal="center" vertical="center"/>
    </xf>
    <xf numFmtId="0" fontId="18" fillId="4" borderId="35" xfId="0" applyFont="1" applyFill="1" applyBorder="1" applyAlignment="1">
      <alignment horizontal="center" vertical="center"/>
    </xf>
    <xf numFmtId="0" fontId="0" fillId="0" borderId="25" xfId="0" applyBorder="1"/>
    <xf numFmtId="0" fontId="15" fillId="0" borderId="1" xfId="1" applyFont="1"/>
    <xf numFmtId="0" fontId="27" fillId="0" borderId="25" xfId="0" applyFont="1" applyBorder="1"/>
    <xf numFmtId="9" fontId="17" fillId="0" borderId="39" xfId="0" applyNumberFormat="1" applyFont="1" applyBorder="1" applyAlignment="1">
      <alignment horizontal="right"/>
    </xf>
    <xf numFmtId="9" fontId="17" fillId="0" borderId="41" xfId="0" applyNumberFormat="1" applyFont="1" applyBorder="1" applyAlignment="1">
      <alignment horizontal="right"/>
    </xf>
    <xf numFmtId="166" fontId="17" fillId="0" borderId="36" xfId="0" applyNumberFormat="1" applyFont="1" applyBorder="1"/>
    <xf numFmtId="166" fontId="17" fillId="0" borderId="38" xfId="0" applyNumberFormat="1" applyFont="1" applyBorder="1"/>
    <xf numFmtId="0" fontId="28" fillId="0" borderId="0" xfId="0" applyFont="1"/>
    <xf numFmtId="0" fontId="25" fillId="0" borderId="0" xfId="0" applyFont="1"/>
    <xf numFmtId="166" fontId="17" fillId="0" borderId="42" xfId="0" applyNumberFormat="1" applyFont="1" applyBorder="1"/>
    <xf numFmtId="166" fontId="17" fillId="0" borderId="43" xfId="0" applyNumberFormat="1" applyFont="1" applyBorder="1"/>
    <xf numFmtId="0" fontId="0" fillId="0" borderId="43" xfId="0" applyBorder="1"/>
    <xf numFmtId="9" fontId="17" fillId="0" borderId="43" xfId="0" applyNumberFormat="1" applyFont="1" applyBorder="1" applyAlignment="1">
      <alignment horizontal="right"/>
    </xf>
    <xf numFmtId="9" fontId="17" fillId="0" borderId="44" xfId="0" applyNumberFormat="1" applyFont="1" applyBorder="1" applyAlignment="1">
      <alignment horizontal="right"/>
    </xf>
    <xf numFmtId="0" fontId="29" fillId="5" borderId="0" xfId="0" applyFont="1" applyFill="1" applyBorder="1" applyAlignment="1">
      <alignment horizontal="left" vertical="center"/>
    </xf>
    <xf numFmtId="0" fontId="24" fillId="0" borderId="27" xfId="0" applyFont="1" applyBorder="1"/>
    <xf numFmtId="0" fontId="0" fillId="0" borderId="28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24" fillId="0" borderId="49" xfId="0" applyFont="1" applyBorder="1"/>
    <xf numFmtId="0" fontId="0" fillId="0" borderId="50" xfId="0" applyBorder="1"/>
    <xf numFmtId="4" fontId="29" fillId="5" borderId="0" xfId="0" applyNumberFormat="1" applyFont="1" applyFill="1" applyBorder="1" applyAlignment="1">
      <alignment horizontal="left" vertical="center"/>
    </xf>
    <xf numFmtId="0" fontId="18" fillId="4" borderId="51" xfId="0" applyFont="1" applyFill="1" applyBorder="1" applyAlignment="1">
      <alignment horizontal="center" vertical="center"/>
    </xf>
    <xf numFmtId="0" fontId="18" fillId="4" borderId="52" xfId="0" applyFont="1" applyFill="1" applyBorder="1" applyAlignment="1">
      <alignment horizontal="center" vertical="center"/>
    </xf>
    <xf numFmtId="0" fontId="18" fillId="4" borderId="53" xfId="0" applyFont="1" applyFill="1" applyBorder="1" applyAlignment="1">
      <alignment horizontal="center" vertical="center"/>
    </xf>
    <xf numFmtId="166" fontId="17" fillId="0" borderId="37" xfId="0" applyNumberFormat="1" applyFont="1" applyBorder="1"/>
    <xf numFmtId="166" fontId="17" fillId="0" borderId="39" xfId="0" applyNumberFormat="1" applyFont="1" applyBorder="1"/>
    <xf numFmtId="0" fontId="0" fillId="0" borderId="38" xfId="0" applyBorder="1"/>
    <xf numFmtId="0" fontId="0" fillId="0" borderId="39" xfId="0" applyBorder="1"/>
    <xf numFmtId="9" fontId="17" fillId="0" borderId="38" xfId="0" applyNumberFormat="1" applyFont="1" applyBorder="1" applyAlignment="1">
      <alignment horizontal="right"/>
    </xf>
    <xf numFmtId="9" fontId="17" fillId="0" borderId="40" xfId="0" applyNumberFormat="1" applyFont="1" applyBorder="1" applyAlignment="1">
      <alignment horizontal="right"/>
    </xf>
    <xf numFmtId="170" fontId="30" fillId="0" borderId="15" xfId="0" applyNumberFormat="1" applyFont="1" applyBorder="1" applyAlignment="1">
      <alignment horizontal="right" vertical="center"/>
    </xf>
    <xf numFmtId="170" fontId="30" fillId="0" borderId="16" xfId="0" applyNumberFormat="1" applyFont="1" applyBorder="1" applyAlignment="1">
      <alignment horizontal="right" vertical="center"/>
    </xf>
    <xf numFmtId="170" fontId="30" fillId="0" borderId="17" xfId="0" applyNumberFormat="1" applyFont="1" applyBorder="1" applyAlignment="1">
      <alignment horizontal="right" vertical="center"/>
    </xf>
    <xf numFmtId="171" fontId="30" fillId="0" borderId="15" xfId="0" applyNumberFormat="1" applyFont="1" applyBorder="1" applyAlignment="1">
      <alignment horizontal="right" vertical="center"/>
    </xf>
    <xf numFmtId="171" fontId="30" fillId="0" borderId="16" xfId="0" applyNumberFormat="1" applyFont="1" applyBorder="1" applyAlignment="1">
      <alignment horizontal="right" vertical="center"/>
    </xf>
    <xf numFmtId="171" fontId="30" fillId="0" borderId="17" xfId="0" applyNumberFormat="1" applyFont="1" applyBorder="1" applyAlignment="1">
      <alignment horizontal="right" vertical="center"/>
    </xf>
    <xf numFmtId="172" fontId="30" fillId="0" borderId="15" xfId="0" applyNumberFormat="1" applyFont="1" applyBorder="1" applyAlignment="1">
      <alignment horizontal="right" vertical="center"/>
    </xf>
    <xf numFmtId="172" fontId="30" fillId="0" borderId="16" xfId="0" applyNumberFormat="1" applyFont="1" applyBorder="1" applyAlignment="1">
      <alignment horizontal="right" vertical="center"/>
    </xf>
    <xf numFmtId="172" fontId="30" fillId="0" borderId="17" xfId="0" applyNumberFormat="1" applyFont="1" applyBorder="1" applyAlignment="1">
      <alignment horizontal="right" vertical="center"/>
    </xf>
    <xf numFmtId="173" fontId="30" fillId="0" borderId="15" xfId="0" applyNumberFormat="1" applyFont="1" applyBorder="1" applyAlignment="1">
      <alignment horizontal="right" vertical="center"/>
    </xf>
    <xf numFmtId="173" fontId="30" fillId="0" borderId="16" xfId="0" applyNumberFormat="1" applyFont="1" applyBorder="1" applyAlignment="1">
      <alignment horizontal="right" vertical="center"/>
    </xf>
    <xf numFmtId="173" fontId="30" fillId="0" borderId="17" xfId="0" applyNumberFormat="1" applyFont="1" applyBorder="1" applyAlignment="1">
      <alignment horizontal="right" vertical="center"/>
    </xf>
    <xf numFmtId="10" fontId="14" fillId="0" borderId="15" xfId="0" applyNumberFormat="1" applyFont="1" applyBorder="1" applyAlignment="1">
      <alignment horizontal="right" vertical="center"/>
    </xf>
    <xf numFmtId="10" fontId="14" fillId="0" borderId="16" xfId="0" applyNumberFormat="1" applyFont="1" applyBorder="1" applyAlignment="1">
      <alignment horizontal="right" vertical="center"/>
    </xf>
    <xf numFmtId="10" fontId="14" fillId="0" borderId="17" xfId="0" applyNumberFormat="1" applyFont="1" applyBorder="1" applyAlignment="1">
      <alignment horizontal="right" vertical="center"/>
    </xf>
    <xf numFmtId="10" fontId="14" fillId="0" borderId="10" xfId="0" applyNumberFormat="1" applyFont="1" applyBorder="1" applyAlignment="1">
      <alignment horizontal="right" vertical="center"/>
    </xf>
    <xf numFmtId="10" fontId="14" fillId="0" borderId="12" xfId="0" applyNumberFormat="1" applyFont="1" applyBorder="1" applyAlignment="1">
      <alignment horizontal="right" vertical="center"/>
    </xf>
    <xf numFmtId="10" fontId="14" fillId="0" borderId="14" xfId="0" applyNumberFormat="1" applyFont="1" applyBorder="1" applyAlignment="1">
      <alignment horizontal="right" vertical="center"/>
    </xf>
    <xf numFmtId="166" fontId="14" fillId="0" borderId="9" xfId="0" applyNumberFormat="1" applyFont="1" applyBorder="1" applyAlignment="1">
      <alignment horizontal="right" vertical="center"/>
    </xf>
    <xf numFmtId="166" fontId="14" fillId="0" borderId="11" xfId="0" applyNumberFormat="1" applyFont="1" applyBorder="1" applyAlignment="1">
      <alignment horizontal="right" vertical="center"/>
    </xf>
    <xf numFmtId="166" fontId="14" fillId="0" borderId="13" xfId="0" applyNumberFormat="1" applyFont="1" applyBorder="1" applyAlignment="1">
      <alignment horizontal="right" vertical="center"/>
    </xf>
    <xf numFmtId="166" fontId="14" fillId="0" borderId="15" xfId="0" applyNumberFormat="1" applyFont="1" applyBorder="1" applyAlignment="1">
      <alignment horizontal="right" vertical="center"/>
    </xf>
    <xf numFmtId="166" fontId="14" fillId="0" borderId="16" xfId="0" applyNumberFormat="1" applyFont="1" applyBorder="1" applyAlignment="1">
      <alignment horizontal="right" vertical="center"/>
    </xf>
    <xf numFmtId="166" fontId="14" fillId="0" borderId="17" xfId="0" applyNumberFormat="1" applyFont="1" applyBorder="1" applyAlignment="1">
      <alignment horizontal="right" vertical="center"/>
    </xf>
    <xf numFmtId="4" fontId="29" fillId="5" borderId="0" xfId="0" applyNumberFormat="1" applyFont="1" applyFill="1" applyBorder="1" applyAlignment="1">
      <alignment vertical="center"/>
    </xf>
    <xf numFmtId="3" fontId="29" fillId="5" borderId="0" xfId="0" applyNumberFormat="1" applyFont="1" applyFill="1" applyBorder="1" applyAlignment="1">
      <alignment vertical="center"/>
    </xf>
    <xf numFmtId="0" fontId="31" fillId="4" borderId="33" xfId="0" applyFont="1" applyFill="1" applyBorder="1" applyAlignment="1">
      <alignment horizontal="center" vertical="center"/>
    </xf>
    <xf numFmtId="0" fontId="31" fillId="4" borderId="35" xfId="0" applyFont="1" applyFill="1" applyBorder="1" applyAlignment="1">
      <alignment horizontal="center" vertical="center"/>
    </xf>
    <xf numFmtId="0" fontId="31" fillId="3" borderId="4" xfId="0" applyFont="1" applyFill="1" applyBorder="1" applyAlignment="1">
      <alignment horizontal="centerContinuous" vertical="center"/>
    </xf>
    <xf numFmtId="0" fontId="31" fillId="3" borderId="5" xfId="0" applyFont="1" applyFill="1" applyBorder="1" applyAlignment="1">
      <alignment horizontal="centerContinuous" vertical="center"/>
    </xf>
    <xf numFmtId="4" fontId="30" fillId="0" borderId="9" xfId="0" applyNumberFormat="1" applyFont="1" applyBorder="1" applyAlignment="1">
      <alignment horizontal="center" vertical="center"/>
    </xf>
    <xf numFmtId="4" fontId="30" fillId="0" borderId="10" xfId="0" applyNumberFormat="1" applyFont="1" applyBorder="1" applyAlignment="1">
      <alignment horizontal="center" vertical="center"/>
    </xf>
    <xf numFmtId="4" fontId="30" fillId="0" borderId="11" xfId="0" applyNumberFormat="1" applyFont="1" applyBorder="1" applyAlignment="1">
      <alignment horizontal="center" vertical="center"/>
    </xf>
    <xf numFmtId="4" fontId="30" fillId="0" borderId="12" xfId="0" applyNumberFormat="1" applyFont="1" applyBorder="1" applyAlignment="1">
      <alignment horizontal="center" vertical="center"/>
    </xf>
    <xf numFmtId="4" fontId="30" fillId="0" borderId="13" xfId="0" applyNumberFormat="1" applyFont="1" applyBorder="1" applyAlignment="1">
      <alignment horizontal="center" vertical="center"/>
    </xf>
    <xf numFmtId="4" fontId="30" fillId="0" borderId="14" xfId="0" applyNumberFormat="1" applyFont="1" applyBorder="1" applyAlignment="1">
      <alignment horizontal="center" vertical="center"/>
    </xf>
    <xf numFmtId="0" fontId="42" fillId="0" borderId="47" xfId="4" applyBorder="1" applyAlignment="1">
      <alignment horizontal="centerContinuous" vertical="center"/>
    </xf>
    <xf numFmtId="0" fontId="42" fillId="0" borderId="48" xfId="4" applyBorder="1" applyAlignment="1">
      <alignment horizontal="centerContinuous" vertical="center"/>
    </xf>
    <xf numFmtId="0" fontId="42" fillId="0" borderId="50" xfId="4" applyBorder="1" applyAlignment="1">
      <alignment horizontal="centerContinuous" vertical="center"/>
    </xf>
    <xf numFmtId="0" fontId="42" fillId="0" borderId="49" xfId="4" applyFill="1" applyBorder="1" applyAlignment="1">
      <alignment horizontal="centerContinuous"/>
    </xf>
    <xf numFmtId="0" fontId="42" fillId="0" borderId="50" xfId="4" applyFill="1" applyBorder="1" applyAlignment="1">
      <alignment horizontal="centerContinuous"/>
    </xf>
    <xf numFmtId="0" fontId="18" fillId="3" borderId="54" xfId="0" applyFont="1" applyFill="1" applyBorder="1" applyAlignment="1">
      <alignment horizontal="centerContinuous" vertical="center"/>
    </xf>
    <xf numFmtId="0" fontId="32" fillId="0" borderId="49" xfId="4" applyFont="1" applyFill="1" applyBorder="1" applyAlignment="1">
      <alignment horizontal="centerContinuous" vertical="center"/>
    </xf>
    <xf numFmtId="0" fontId="32" fillId="0" borderId="50" xfId="4" applyFont="1" applyFill="1" applyBorder="1" applyAlignment="1">
      <alignment horizontal="centerContinuous" vertical="center"/>
    </xf>
    <xf numFmtId="4" fontId="32" fillId="0" borderId="55" xfId="4" applyNumberFormat="1" applyFont="1" applyBorder="1" applyAlignment="1">
      <alignment horizontal="centerContinuous" vertical="center"/>
    </xf>
    <xf numFmtId="4" fontId="26" fillId="5" borderId="0" xfId="0" applyNumberFormat="1" applyFont="1" applyFill="1" applyBorder="1" applyAlignment="1">
      <alignment horizontal="left" vertical="center"/>
    </xf>
    <xf numFmtId="4" fontId="29" fillId="5" borderId="0" xfId="0" applyNumberFormat="1" applyFont="1" applyFill="1" applyBorder="1" applyAlignment="1">
      <alignment horizontal="left" vertical="center"/>
    </xf>
    <xf numFmtId="4" fontId="18" fillId="3" borderId="5" xfId="0" applyNumberFormat="1" applyFont="1" applyFill="1" applyBorder="1" applyAlignment="1">
      <alignment horizontal="centerContinuous" vertical="center"/>
    </xf>
    <xf numFmtId="4" fontId="18" fillId="4" borderId="35" xfId="0" applyNumberFormat="1" applyFont="1" applyFill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4" fontId="13" fillId="0" borderId="10" xfId="0" applyNumberFormat="1" applyFont="1" applyBorder="1" applyAlignment="1">
      <alignment horizontal="center" vertical="center"/>
    </xf>
    <xf numFmtId="4" fontId="13" fillId="0" borderId="11" xfId="0" applyNumberFormat="1" applyFont="1" applyBorder="1" applyAlignment="1">
      <alignment horizontal="center" vertical="center"/>
    </xf>
    <xf numFmtId="4" fontId="13" fillId="0" borderId="12" xfId="0" applyNumberFormat="1" applyFont="1" applyBorder="1" applyAlignment="1">
      <alignment horizontal="center" vertical="center"/>
    </xf>
    <xf numFmtId="4" fontId="13" fillId="0" borderId="13" xfId="0" applyNumberFormat="1" applyFont="1" applyBorder="1" applyAlignment="1">
      <alignment horizontal="center" vertical="center"/>
    </xf>
    <xf numFmtId="4" fontId="13" fillId="0" borderId="14" xfId="0" applyNumberFormat="1" applyFont="1" applyBorder="1" applyAlignment="1">
      <alignment horizontal="center" vertical="center"/>
    </xf>
    <xf numFmtId="15" fontId="0" fillId="0" borderId="0" xfId="0" applyNumberFormat="1"/>
    <xf numFmtId="0" fontId="24" fillId="0" borderId="47" xfId="0" applyFont="1" applyBorder="1"/>
    <xf numFmtId="0" fontId="0" fillId="0" borderId="50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6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50" xfId="0" applyBorder="1" applyAlignment="1">
      <alignment horizontal="right"/>
    </xf>
    <xf numFmtId="0" fontId="0" fillId="0" borderId="48" xfId="0" applyBorder="1" applyAlignment="1">
      <alignment horizontal="right"/>
    </xf>
    <xf numFmtId="170" fontId="29" fillId="5" borderId="16" xfId="0" applyNumberFormat="1" applyFont="1" applyFill="1" applyBorder="1" applyAlignment="1">
      <alignment horizontal="right" vertical="center"/>
    </xf>
    <xf numFmtId="171" fontId="29" fillId="5" borderId="16" xfId="0" applyNumberFormat="1" applyFont="1" applyFill="1" applyBorder="1" applyAlignment="1">
      <alignment horizontal="right" vertical="center"/>
    </xf>
    <xf numFmtId="172" fontId="29" fillId="5" borderId="16" xfId="0" applyNumberFormat="1" applyFont="1" applyFill="1" applyBorder="1" applyAlignment="1">
      <alignment horizontal="right" vertical="center"/>
    </xf>
    <xf numFmtId="173" fontId="29" fillId="5" borderId="16" xfId="0" applyNumberFormat="1" applyFont="1" applyFill="1" applyBorder="1" applyAlignment="1">
      <alignment horizontal="right" vertical="center"/>
    </xf>
    <xf numFmtId="10" fontId="29" fillId="5" borderId="16" xfId="0" applyNumberFormat="1" applyFont="1" applyFill="1" applyBorder="1" applyAlignment="1">
      <alignment horizontal="right" vertical="center"/>
    </xf>
    <xf numFmtId="10" fontId="29" fillId="5" borderId="17" xfId="0" applyNumberFormat="1" applyFont="1" applyFill="1" applyBorder="1" applyAlignment="1">
      <alignment horizontal="right" vertical="center"/>
    </xf>
    <xf numFmtId="10" fontId="29" fillId="5" borderId="12" xfId="0" applyNumberFormat="1" applyFont="1" applyFill="1" applyBorder="1" applyAlignment="1">
      <alignment horizontal="right" vertical="center"/>
    </xf>
    <xf numFmtId="10" fontId="29" fillId="5" borderId="14" xfId="0" applyNumberFormat="1" applyFont="1" applyFill="1" applyBorder="1" applyAlignment="1">
      <alignment horizontal="right" vertical="center"/>
    </xf>
    <xf numFmtId="166" fontId="29" fillId="5" borderId="9" xfId="0" applyNumberFormat="1" applyFont="1" applyFill="1" applyBorder="1" applyAlignment="1">
      <alignment horizontal="right" vertical="center"/>
    </xf>
    <xf numFmtId="166" fontId="29" fillId="5" borderId="11" xfId="0" applyNumberFormat="1" applyFont="1" applyFill="1" applyBorder="1" applyAlignment="1">
      <alignment horizontal="right" vertical="center"/>
    </xf>
    <xf numFmtId="166" fontId="29" fillId="5" borderId="15" xfId="0" applyNumberFormat="1" applyFont="1" applyFill="1" applyBorder="1" applyAlignment="1">
      <alignment horizontal="right" vertical="center"/>
    </xf>
    <xf numFmtId="166" fontId="29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1" fillId="4" borderId="57" xfId="0" applyNumberFormat="1" applyFont="1" applyFill="1" applyBorder="1" applyAlignment="1">
      <alignment horizontal="center" vertical="center"/>
    </xf>
    <xf numFmtId="4" fontId="31" fillId="4" borderId="58" xfId="0" applyNumberFormat="1" applyFont="1" applyFill="1" applyBorder="1" applyAlignment="1">
      <alignment horizontal="center" vertical="center"/>
    </xf>
    <xf numFmtId="4" fontId="31" fillId="4" borderId="59" xfId="0" applyNumberFormat="1" applyFont="1" applyFill="1" applyBorder="1" applyAlignment="1">
      <alignment horizontal="center" vertical="center"/>
    </xf>
    <xf numFmtId="170" fontId="29" fillId="5" borderId="11" xfId="0" applyNumberFormat="1" applyFont="1" applyFill="1" applyBorder="1" applyAlignment="1">
      <alignment horizontal="right" vertical="center"/>
    </xf>
    <xf numFmtId="170" fontId="29" fillId="5" borderId="12" xfId="0" applyNumberFormat="1" applyFont="1" applyFill="1" applyBorder="1" applyAlignment="1">
      <alignment horizontal="right" vertical="center"/>
    </xf>
    <xf numFmtId="171" fontId="29" fillId="5" borderId="11" xfId="0" applyNumberFormat="1" applyFont="1" applyFill="1" applyBorder="1" applyAlignment="1">
      <alignment horizontal="right" vertical="center"/>
    </xf>
    <xf numFmtId="171" fontId="29" fillId="5" borderId="12" xfId="0" applyNumberFormat="1" applyFont="1" applyFill="1" applyBorder="1" applyAlignment="1">
      <alignment horizontal="right" vertical="center"/>
    </xf>
    <xf numFmtId="172" fontId="29" fillId="5" borderId="11" xfId="0" applyNumberFormat="1" applyFont="1" applyFill="1" applyBorder="1" applyAlignment="1">
      <alignment horizontal="right" vertical="center"/>
    </xf>
    <xf numFmtId="172" fontId="29" fillId="5" borderId="12" xfId="0" applyNumberFormat="1" applyFont="1" applyFill="1" applyBorder="1" applyAlignment="1">
      <alignment horizontal="right" vertical="center"/>
    </xf>
    <xf numFmtId="173" fontId="29" fillId="5" borderId="11" xfId="0" applyNumberFormat="1" applyFont="1" applyFill="1" applyBorder="1" applyAlignment="1">
      <alignment horizontal="right" vertical="center"/>
    </xf>
    <xf numFmtId="173" fontId="29" fillId="5" borderId="12" xfId="0" applyNumberFormat="1" applyFont="1" applyFill="1" applyBorder="1" applyAlignment="1">
      <alignment horizontal="right" vertical="center"/>
    </xf>
    <xf numFmtId="10" fontId="29" fillId="5" borderId="11" xfId="0" applyNumberFormat="1" applyFont="1" applyFill="1" applyBorder="1" applyAlignment="1">
      <alignment horizontal="right" vertical="center"/>
    </xf>
    <xf numFmtId="10" fontId="29" fillId="5" borderId="13" xfId="0" applyNumberFormat="1" applyFont="1" applyFill="1" applyBorder="1" applyAlignment="1">
      <alignment horizontal="right" vertical="center"/>
    </xf>
    <xf numFmtId="166" fontId="29" fillId="5" borderId="10" xfId="0" applyNumberFormat="1" applyFont="1" applyFill="1" applyBorder="1" applyAlignment="1">
      <alignment horizontal="right" vertical="center"/>
    </xf>
    <xf numFmtId="166" fontId="29" fillId="5" borderId="12" xfId="0" applyNumberFormat="1" applyFont="1" applyFill="1" applyBorder="1" applyAlignment="1">
      <alignment horizontal="right" vertical="center"/>
    </xf>
    <xf numFmtId="0" fontId="24" fillId="0" borderId="0" xfId="0" applyFont="1" applyAlignment="1">
      <alignment horizontal="center"/>
    </xf>
    <xf numFmtId="0" fontId="24" fillId="0" borderId="0" xfId="0" applyFont="1" applyAlignment="1">
      <alignment horizontal="center" vertical="center"/>
    </xf>
    <xf numFmtId="166" fontId="17" fillId="6" borderId="11" xfId="0" applyNumberFormat="1" applyFont="1" applyFill="1" applyBorder="1" applyAlignment="1">
      <alignment horizontal="right" vertical="center"/>
    </xf>
    <xf numFmtId="167" fontId="17" fillId="6" borderId="16" xfId="0" applyNumberFormat="1" applyFont="1" applyFill="1" applyBorder="1" applyAlignment="1">
      <alignment horizontal="right" vertical="center"/>
    </xf>
    <xf numFmtId="167" fontId="17" fillId="0" borderId="15" xfId="0" applyNumberFormat="1" applyFont="1" applyBorder="1" applyAlignment="1">
      <alignment horizontal="center" vertical="center"/>
    </xf>
    <xf numFmtId="0" fontId="18" fillId="4" borderId="34" xfId="0" applyFont="1" applyFill="1" applyBorder="1" applyAlignment="1">
      <alignment horizontal="centerContinuous" vertical="center"/>
    </xf>
    <xf numFmtId="0" fontId="18" fillId="4" borderId="35" xfId="0" applyFont="1" applyFill="1" applyBorder="1" applyAlignment="1">
      <alignment horizontal="centerContinuous" vertical="center"/>
    </xf>
    <xf numFmtId="167" fontId="17" fillId="0" borderId="60" xfId="0" applyNumberFormat="1" applyFont="1" applyBorder="1" applyAlignment="1">
      <alignment horizontal="center" vertical="center"/>
    </xf>
    <xf numFmtId="0" fontId="18" fillId="4" borderId="33" xfId="0" applyFont="1" applyFill="1" applyBorder="1" applyAlignment="1">
      <alignment horizontal="centerContinuous" vertical="center"/>
    </xf>
    <xf numFmtId="0" fontId="18" fillId="4" borderId="4" xfId="0" applyFont="1" applyFill="1" applyBorder="1" applyAlignment="1">
      <alignment horizontal="center" vertical="center"/>
    </xf>
    <xf numFmtId="4" fontId="33" fillId="7" borderId="49" xfId="0" applyNumberFormat="1" applyFont="1" applyFill="1" applyBorder="1" applyAlignment="1">
      <alignment horizontal="center" vertical="center"/>
    </xf>
    <xf numFmtId="4" fontId="33" fillId="7" borderId="61" xfId="0" applyNumberFormat="1" applyFont="1" applyFill="1" applyBorder="1" applyAlignment="1">
      <alignment horizontal="center" vertical="center"/>
    </xf>
    <xf numFmtId="4" fontId="33" fillId="7" borderId="62" xfId="0" applyNumberFormat="1" applyFont="1" applyFill="1" applyBorder="1" applyAlignment="1">
      <alignment horizontal="center" vertical="center"/>
    </xf>
    <xf numFmtId="4" fontId="33" fillId="7" borderId="63" xfId="0" applyNumberFormat="1" applyFont="1" applyFill="1" applyBorder="1" applyAlignment="1">
      <alignment horizontal="center" vertical="center"/>
    </xf>
    <xf numFmtId="169" fontId="17" fillId="0" borderId="60" xfId="0" applyNumberFormat="1" applyFont="1" applyBorder="1" applyAlignment="1">
      <alignment horizontal="right" vertical="center"/>
    </xf>
    <xf numFmtId="169" fontId="17" fillId="0" borderId="16" xfId="0" applyNumberFormat="1" applyFont="1" applyBorder="1" applyAlignment="1">
      <alignment horizontal="right" vertical="center"/>
    </xf>
    <xf numFmtId="169" fontId="17" fillId="0" borderId="17" xfId="0" applyNumberFormat="1" applyFon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" fontId="18" fillId="4" borderId="20" xfId="0" applyNumberFormat="1" applyFont="1" applyFill="1" applyBorder="1" applyAlignment="1">
      <alignment horizontal="center" vertical="center"/>
    </xf>
    <xf numFmtId="4" fontId="18" fillId="4" borderId="21" xfId="0" applyNumberFormat="1" applyFont="1" applyFill="1" applyBorder="1" applyAlignment="1">
      <alignment horizontal="center" vertical="center"/>
    </xf>
    <xf numFmtId="4" fontId="18" fillId="4" borderId="22" xfId="0" applyNumberFormat="1" applyFont="1" applyFill="1" applyBorder="1" applyAlignment="1">
      <alignment horizontal="center" vertical="center"/>
    </xf>
    <xf numFmtId="0" fontId="42" fillId="0" borderId="0" xfId="4" applyAlignment="1">
      <alignment horizontal="center"/>
    </xf>
    <xf numFmtId="0" fontId="42" fillId="8" borderId="0" xfId="4" applyFill="1" applyBorder="1" applyAlignment="1">
      <alignment horizontal="centerContinuous" vertical="center"/>
    </xf>
    <xf numFmtId="0" fontId="18" fillId="3" borderId="64" xfId="0" applyFont="1" applyFill="1" applyBorder="1" applyAlignment="1">
      <alignment horizontal="centerContinuous" vertical="center"/>
    </xf>
    <xf numFmtId="0" fontId="34" fillId="3" borderId="65" xfId="0" applyFont="1" applyFill="1" applyBorder="1" applyAlignment="1">
      <alignment horizontal="center" vertical="center"/>
    </xf>
    <xf numFmtId="0" fontId="18" fillId="3" borderId="66" xfId="0" applyFont="1" applyFill="1" applyBorder="1" applyAlignment="1">
      <alignment horizontal="centerContinuous" vertical="center"/>
    </xf>
    <xf numFmtId="0" fontId="18" fillId="3" borderId="50" xfId="0" applyFont="1" applyFill="1" applyBorder="1" applyAlignment="1">
      <alignment horizontal="centerContinuous" vertical="center"/>
    </xf>
    <xf numFmtId="4" fontId="30" fillId="0" borderId="17" xfId="0" applyNumberFormat="1" applyFont="1" applyBorder="1" applyAlignment="1">
      <alignment horizontal="center" vertical="center"/>
    </xf>
    <xf numFmtId="0" fontId="31" fillId="3" borderId="6" xfId="0" applyFont="1" applyFill="1" applyBorder="1" applyAlignment="1">
      <alignment horizontal="centerContinuous" vertical="center"/>
    </xf>
    <xf numFmtId="4" fontId="29" fillId="5" borderId="9" xfId="0" applyNumberFormat="1" applyFont="1" applyFill="1" applyBorder="1" applyAlignment="1">
      <alignment horizontal="center" vertical="center"/>
    </xf>
    <xf numFmtId="4" fontId="29" fillId="5" borderId="15" xfId="0" applyNumberFormat="1" applyFont="1" applyFill="1" applyBorder="1" applyAlignment="1">
      <alignment horizontal="center" vertical="center"/>
    </xf>
    <xf numFmtId="4" fontId="29" fillId="5" borderId="10" xfId="0" applyNumberFormat="1" applyFont="1" applyFill="1" applyBorder="1" applyAlignment="1">
      <alignment horizontal="center" vertical="center"/>
    </xf>
    <xf numFmtId="4" fontId="29" fillId="5" borderId="13" xfId="0" applyNumberFormat="1" applyFont="1" applyFill="1" applyBorder="1" applyAlignment="1">
      <alignment horizontal="center" vertical="center"/>
    </xf>
    <xf numFmtId="4" fontId="29" fillId="5" borderId="17" xfId="0" applyNumberFormat="1" applyFont="1" applyFill="1" applyBorder="1" applyAlignment="1">
      <alignment horizontal="center" vertical="center"/>
    </xf>
    <xf numFmtId="4" fontId="29" fillId="5" borderId="14" xfId="0" applyNumberFormat="1" applyFont="1" applyFill="1" applyBorder="1" applyAlignment="1">
      <alignment horizontal="center" vertical="center"/>
    </xf>
    <xf numFmtId="0" fontId="37" fillId="0" borderId="0" xfId="0" applyFont="1" applyFill="1" applyBorder="1" applyAlignment="1">
      <alignment horizontal="centerContinuous" vertical="center"/>
    </xf>
    <xf numFmtId="0" fontId="34" fillId="3" borderId="18" xfId="0" applyFont="1" applyFill="1" applyBorder="1" applyAlignment="1">
      <alignment horizontal="centerContinuous" vertical="center"/>
    </xf>
    <xf numFmtId="0" fontId="34" fillId="3" borderId="19" xfId="0" applyFont="1" applyFill="1" applyBorder="1" applyAlignment="1">
      <alignment horizontal="centerContinuous" vertical="center"/>
    </xf>
    <xf numFmtId="0" fontId="42" fillId="0" borderId="0" xfId="4" applyAlignment="1">
      <alignment horizontal="centerContinuous"/>
    </xf>
    <xf numFmtId="0" fontId="0" fillId="0" borderId="67" xfId="0" applyBorder="1"/>
    <xf numFmtId="0" fontId="0" fillId="0" borderId="68" xfId="0" applyBorder="1"/>
    <xf numFmtId="166" fontId="12" fillId="0" borderId="9" xfId="0" applyNumberFormat="1" applyFont="1" applyBorder="1" applyAlignment="1">
      <alignment horizontal="right" vertical="center"/>
    </xf>
    <xf numFmtId="166" fontId="12" fillId="0" borderId="11" xfId="0" applyNumberFormat="1" applyFont="1" applyBorder="1" applyAlignment="1">
      <alignment horizontal="right" vertical="center"/>
    </xf>
    <xf numFmtId="4" fontId="12" fillId="0" borderId="10" xfId="0" applyNumberFormat="1" applyFont="1" applyBorder="1" applyAlignment="1">
      <alignment horizontal="center" vertical="center"/>
    </xf>
    <xf numFmtId="4" fontId="12" fillId="0" borderId="12" xfId="0" applyNumberFormat="1" applyFont="1" applyBorder="1" applyAlignment="1">
      <alignment horizontal="center" vertical="center"/>
    </xf>
    <xf numFmtId="4" fontId="12" fillId="0" borderId="14" xfId="0" applyNumberFormat="1" applyFont="1" applyBorder="1" applyAlignment="1">
      <alignment horizontal="center" vertical="center"/>
    </xf>
    <xf numFmtId="166" fontId="12" fillId="0" borderId="13" xfId="0" applyNumberFormat="1" applyFont="1" applyBorder="1" applyAlignment="1">
      <alignment horizontal="right" vertical="center"/>
    </xf>
    <xf numFmtId="0" fontId="20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1" fillId="0" borderId="0" xfId="0" applyFont="1"/>
    <xf numFmtId="0" fontId="10" fillId="0" borderId="0" xfId="0" applyFont="1"/>
    <xf numFmtId="166" fontId="10" fillId="0" borderId="0" xfId="0" applyNumberFormat="1" applyFont="1" applyAlignment="1">
      <alignment horizontal="right"/>
    </xf>
    <xf numFmtId="166" fontId="9" fillId="0" borderId="0" xfId="0" applyNumberFormat="1" applyFont="1" applyAlignment="1">
      <alignment horizontal="right"/>
    </xf>
    <xf numFmtId="0" fontId="8" fillId="0" borderId="0" xfId="0" applyFont="1"/>
    <xf numFmtId="166" fontId="8" fillId="0" borderId="0" xfId="0" applyNumberFormat="1" applyFont="1" applyAlignment="1">
      <alignment horizontal="right"/>
    </xf>
    <xf numFmtId="4" fontId="7" fillId="0" borderId="9" xfId="0" applyNumberFormat="1" applyFont="1" applyBorder="1" applyAlignment="1">
      <alignment horizontal="center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3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66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10" fontId="7" fillId="0" borderId="15" xfId="0" applyNumberFormat="1" applyFont="1" applyBorder="1" applyAlignment="1">
      <alignment horizontal="right" vertical="center"/>
    </xf>
    <xf numFmtId="10" fontId="7" fillId="0" borderId="16" xfId="0" applyNumberFormat="1" applyFont="1" applyBorder="1" applyAlignment="1">
      <alignment horizontal="right" vertical="center"/>
    </xf>
    <xf numFmtId="10" fontId="7" fillId="0" borderId="17" xfId="0" applyNumberFormat="1" applyFont="1" applyBorder="1" applyAlignment="1">
      <alignment horizontal="right" vertical="center"/>
    </xf>
    <xf numFmtId="4" fontId="7" fillId="0" borderId="20" xfId="0" applyNumberFormat="1" applyFont="1" applyBorder="1" applyAlignment="1">
      <alignment horizontal="center" vertical="center"/>
    </xf>
    <xf numFmtId="4" fontId="7" fillId="0" borderId="22" xfId="0" applyNumberFormat="1" applyFont="1" applyBorder="1" applyAlignment="1">
      <alignment horizontal="center" vertical="center"/>
    </xf>
    <xf numFmtId="10" fontId="7" fillId="0" borderId="21" xfId="0" applyNumberFormat="1" applyFont="1" applyBorder="1" applyAlignment="1">
      <alignment horizontal="right" vertical="center"/>
    </xf>
    <xf numFmtId="166" fontId="7" fillId="0" borderId="9" xfId="0" applyNumberFormat="1" applyFont="1" applyBorder="1" applyAlignment="1">
      <alignment horizontal="right" vertical="center"/>
    </xf>
    <xf numFmtId="166" fontId="7" fillId="0" borderId="11" xfId="0" applyNumberFormat="1" applyFont="1" applyBorder="1" applyAlignment="1">
      <alignment horizontal="right" vertical="center"/>
    </xf>
    <xf numFmtId="166" fontId="7" fillId="0" borderId="13" xfId="0" applyNumberFormat="1" applyFont="1" applyBorder="1" applyAlignment="1">
      <alignment horizontal="right" vertical="center"/>
    </xf>
    <xf numFmtId="0" fontId="31" fillId="3" borderId="4" xfId="2" applyFont="1" applyFill="1" applyBorder="1" applyAlignment="1">
      <alignment horizontal="centerContinuous" vertical="center"/>
    </xf>
    <xf numFmtId="0" fontId="31" fillId="3" borderId="6" xfId="2" applyFont="1" applyFill="1" applyBorder="1" applyAlignment="1">
      <alignment horizontal="centerContinuous" vertical="center"/>
    </xf>
    <xf numFmtId="0" fontId="31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18" fillId="4" borderId="69" xfId="0" applyFont="1" applyFill="1" applyBorder="1" applyAlignment="1">
      <alignment horizontal="centerContinuous" vertical="center"/>
    </xf>
    <xf numFmtId="0" fontId="18" fillId="4" borderId="70" xfId="0" applyFont="1" applyFill="1" applyBorder="1" applyAlignment="1">
      <alignment horizontal="centerContinuous" vertical="center"/>
    </xf>
    <xf numFmtId="0" fontId="18" fillId="4" borderId="71" xfId="0" applyFont="1" applyFill="1" applyBorder="1" applyAlignment="1">
      <alignment horizontal="centerContinuous" vertical="center"/>
    </xf>
    <xf numFmtId="167" fontId="7" fillId="0" borderId="15" xfId="0" applyNumberFormat="1" applyFont="1" applyBorder="1" applyAlignment="1">
      <alignment horizontal="center" vertical="center"/>
    </xf>
    <xf numFmtId="167" fontId="7" fillId="0" borderId="16" xfId="0" applyNumberFormat="1" applyFont="1" applyBorder="1" applyAlignment="1">
      <alignment horizontal="center" vertical="center"/>
    </xf>
    <xf numFmtId="167" fontId="7" fillId="0" borderId="17" xfId="0" applyNumberFormat="1" applyFont="1" applyBorder="1" applyAlignment="1">
      <alignment horizontal="center" vertical="center"/>
    </xf>
    <xf numFmtId="166" fontId="7" fillId="0" borderId="12" xfId="0" applyNumberFormat="1" applyFont="1" applyBorder="1" applyAlignment="1">
      <alignment horizontal="center" vertical="center"/>
    </xf>
    <xf numFmtId="175" fontId="0" fillId="0" borderId="0" xfId="0" applyNumberFormat="1"/>
    <xf numFmtId="10" fontId="6" fillId="0" borderId="16" xfId="0" applyNumberFormat="1" applyFont="1" applyBorder="1" applyAlignment="1">
      <alignment horizontal="right" vertical="center"/>
    </xf>
    <xf numFmtId="4" fontId="6" fillId="0" borderId="12" xfId="0" applyNumberFormat="1" applyFont="1" applyBorder="1" applyAlignment="1">
      <alignment horizontal="center" vertical="center"/>
    </xf>
    <xf numFmtId="10" fontId="6" fillId="0" borderId="17" xfId="0" applyNumberFormat="1" applyFont="1" applyBorder="1" applyAlignment="1">
      <alignment horizontal="right" vertical="center"/>
    </xf>
    <xf numFmtId="4" fontId="6" fillId="0" borderId="14" xfId="0" applyNumberFormat="1" applyFont="1" applyBorder="1" applyAlignment="1">
      <alignment horizontal="center" vertical="center"/>
    </xf>
    <xf numFmtId="4" fontId="6" fillId="0" borderId="10" xfId="0" applyNumberFormat="1" applyFont="1" applyBorder="1" applyAlignment="1">
      <alignment horizontal="center" vertical="center"/>
    </xf>
    <xf numFmtId="10" fontId="6" fillId="0" borderId="15" xfId="0" applyNumberFormat="1" applyFont="1" applyBorder="1" applyAlignment="1">
      <alignment horizontal="right" vertical="center"/>
    </xf>
    <xf numFmtId="4" fontId="7" fillId="0" borderId="72" xfId="0" applyNumberFormat="1" applyFont="1" applyBorder="1" applyAlignment="1">
      <alignment horizontal="center" vertical="center"/>
    </xf>
    <xf numFmtId="10" fontId="7" fillId="0" borderId="73" xfId="0" applyNumberFormat="1" applyFont="1" applyBorder="1" applyAlignment="1">
      <alignment horizontal="right" vertical="center"/>
    </xf>
    <xf numFmtId="4" fontId="7" fillId="0" borderId="74" xfId="0" applyNumberFormat="1" applyFont="1" applyBorder="1" applyAlignment="1">
      <alignment horizontal="center" vertical="center"/>
    </xf>
    <xf numFmtId="4" fontId="7" fillId="0" borderId="75" xfId="0" applyNumberFormat="1" applyFont="1" applyBorder="1" applyAlignment="1">
      <alignment horizontal="center" vertical="center"/>
    </xf>
    <xf numFmtId="4" fontId="7" fillId="0" borderId="76" xfId="0" applyNumberFormat="1" applyFont="1" applyBorder="1" applyAlignment="1">
      <alignment horizontal="center" vertical="center"/>
    </xf>
    <xf numFmtId="4" fontId="7" fillId="0" borderId="77" xfId="0" applyNumberFormat="1" applyFont="1" applyBorder="1" applyAlignment="1">
      <alignment horizontal="center" vertical="center"/>
    </xf>
    <xf numFmtId="10" fontId="7" fillId="0" borderId="78" xfId="0" applyNumberFormat="1" applyFont="1" applyBorder="1" applyAlignment="1">
      <alignment horizontal="right" vertical="center"/>
    </xf>
    <xf numFmtId="4" fontId="7" fillId="0" borderId="79" xfId="0" applyNumberFormat="1" applyFont="1" applyBorder="1" applyAlignment="1">
      <alignment horizontal="center" vertical="center"/>
    </xf>
    <xf numFmtId="0" fontId="38" fillId="0" borderId="0" xfId="0" applyFont="1"/>
    <xf numFmtId="4" fontId="5" fillId="0" borderId="9" xfId="0" applyNumberFormat="1" applyFont="1" applyBorder="1" applyAlignment="1">
      <alignment horizontal="center" vertical="center"/>
    </xf>
    <xf numFmtId="4" fontId="5" fillId="0" borderId="11" xfId="0" applyNumberFormat="1" applyFont="1" applyBorder="1" applyAlignment="1">
      <alignment horizontal="center" vertical="center"/>
    </xf>
    <xf numFmtId="4" fontId="5" fillId="0" borderId="13" xfId="0" applyNumberFormat="1" applyFont="1" applyBorder="1" applyAlignment="1">
      <alignment horizontal="center" vertical="center"/>
    </xf>
    <xf numFmtId="4" fontId="4" fillId="0" borderId="9" xfId="0" applyNumberFormat="1" applyFont="1" applyBorder="1" applyAlignment="1">
      <alignment horizontal="center" vertical="center"/>
    </xf>
    <xf numFmtId="4" fontId="4" fillId="0" borderId="11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0" fontId="20" fillId="0" borderId="3" xfId="0" quotePrefix="1" applyFont="1" applyBorder="1" applyAlignment="1">
      <alignment horizontal="centerContinuous" vertical="center"/>
    </xf>
    <xf numFmtId="4" fontId="4" fillId="0" borderId="14" xfId="0" applyNumberFormat="1" applyFont="1" applyBorder="1" applyAlignment="1">
      <alignment horizontal="center" vertical="center"/>
    </xf>
    <xf numFmtId="4" fontId="4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3" fillId="0" borderId="9" xfId="0" applyNumberFormat="1" applyFont="1" applyBorder="1" applyAlignment="1">
      <alignment horizontal="right" vertical="center"/>
    </xf>
    <xf numFmtId="166" fontId="3" fillId="0" borderId="11" xfId="0" applyNumberFormat="1" applyFont="1" applyBorder="1" applyAlignment="1">
      <alignment horizontal="right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4" fontId="3" fillId="0" borderId="14" xfId="0" applyNumberFormat="1" applyFont="1" applyBorder="1" applyAlignment="1">
      <alignment horizontal="center" vertical="center"/>
    </xf>
    <xf numFmtId="174" fontId="42" fillId="0" borderId="0" xfId="4" applyNumberFormat="1"/>
    <xf numFmtId="4" fontId="2" fillId="0" borderId="11" xfId="0" applyNumberFormat="1" applyFont="1" applyBorder="1" applyAlignment="1">
      <alignment horizontal="center" vertical="center"/>
    </xf>
    <xf numFmtId="4" fontId="2" fillId="0" borderId="13" xfId="0" applyNumberFormat="1" applyFont="1" applyBorder="1" applyAlignment="1">
      <alignment horizontal="center" vertical="center"/>
    </xf>
    <xf numFmtId="4" fontId="2" fillId="0" borderId="9" xfId="0" applyNumberFormat="1" applyFont="1" applyBorder="1" applyAlignment="1">
      <alignment horizontal="center" vertical="center"/>
    </xf>
    <xf numFmtId="4" fontId="2" fillId="0" borderId="12" xfId="0" applyNumberFormat="1" applyFont="1" applyBorder="1" applyAlignment="1">
      <alignment horizontal="center" vertical="center"/>
    </xf>
    <xf numFmtId="15" fontId="2" fillId="0" borderId="10" xfId="0" applyNumberFormat="1" applyFont="1" applyBorder="1" applyAlignment="1">
      <alignment horizontal="center" vertical="center"/>
    </xf>
    <xf numFmtId="176" fontId="3" fillId="0" borderId="15" xfId="0" applyNumberFormat="1" applyFont="1" applyBorder="1" applyAlignment="1">
      <alignment horizontal="center" vertical="center"/>
    </xf>
    <xf numFmtId="176" fontId="3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69" fontId="12" fillId="0" borderId="15" xfId="0" applyNumberFormat="1" applyFont="1" applyBorder="1" applyAlignment="1">
      <alignment horizontal="right" vertical="center"/>
    </xf>
    <xf numFmtId="169" fontId="12" fillId="0" borderId="16" xfId="0" applyNumberFormat="1" applyFont="1" applyBorder="1" applyAlignment="1">
      <alignment horizontal="right" vertical="center"/>
    </xf>
    <xf numFmtId="169" fontId="12" fillId="0" borderId="17" xfId="0" applyNumberFormat="1" applyFont="1" applyBorder="1" applyAlignment="1">
      <alignment horizontal="right" vertical="center"/>
    </xf>
    <xf numFmtId="178" fontId="0" fillId="0" borderId="0" xfId="0" applyNumberFormat="1"/>
    <xf numFmtId="179" fontId="3" fillId="0" borderId="15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9" fontId="0" fillId="0" borderId="0" xfId="0" applyNumberFormat="1"/>
    <xf numFmtId="0" fontId="18" fillId="4" borderId="0" xfId="0" applyFont="1" applyFill="1" applyBorder="1" applyAlignment="1">
      <alignment horizontal="center" vertical="center"/>
    </xf>
    <xf numFmtId="4" fontId="30" fillId="0" borderId="16" xfId="0" applyNumberFormat="1" applyFont="1" applyBorder="1" applyAlignment="1">
      <alignment horizontal="center" vertical="center"/>
    </xf>
    <xf numFmtId="4" fontId="30" fillId="0" borderId="60" xfId="0" applyNumberFormat="1" applyFont="1" applyBorder="1" applyAlignment="1">
      <alignment horizontal="center" vertical="center"/>
    </xf>
    <xf numFmtId="4" fontId="30" fillId="0" borderId="83" xfId="0" applyNumberFormat="1" applyFont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0" fontId="31" fillId="4" borderId="21" xfId="0" applyFont="1" applyFill="1" applyBorder="1" applyAlignment="1">
      <alignment horizontal="center" vertical="center"/>
    </xf>
    <xf numFmtId="0" fontId="31" fillId="4" borderId="22" xfId="0" applyFont="1" applyFill="1" applyBorder="1" applyAlignment="1">
      <alignment horizontal="center" vertical="center"/>
    </xf>
    <xf numFmtId="4" fontId="30" fillId="0" borderId="84" xfId="0" applyNumberFormat="1" applyFont="1" applyBorder="1" applyAlignment="1">
      <alignment horizontal="center" vertical="center"/>
    </xf>
    <xf numFmtId="4" fontId="30" fillId="0" borderId="85" xfId="0" applyNumberFormat="1" applyFont="1" applyBorder="1" applyAlignment="1">
      <alignment horizontal="center" vertical="center"/>
    </xf>
    <xf numFmtId="4" fontId="30" fillId="0" borderId="86" xfId="0" applyNumberFormat="1" applyFont="1" applyBorder="1" applyAlignment="1">
      <alignment horizontal="center" vertical="center"/>
    </xf>
    <xf numFmtId="0" fontId="31" fillId="4" borderId="80" xfId="0" applyFont="1" applyFill="1" applyBorder="1" applyAlignment="1">
      <alignment horizontal="center" vertical="center"/>
    </xf>
    <xf numFmtId="0" fontId="31" fillId="4" borderId="81" xfId="0" applyFont="1" applyFill="1" applyBorder="1" applyAlignment="1">
      <alignment horizontal="center" vertical="center"/>
    </xf>
    <xf numFmtId="0" fontId="31" fillId="4" borderId="82" xfId="0" applyFont="1" applyFill="1" applyBorder="1" applyAlignment="1">
      <alignment horizontal="center" vertical="center"/>
    </xf>
    <xf numFmtId="0" fontId="31" fillId="4" borderId="34" xfId="0" applyFont="1" applyFill="1" applyBorder="1" applyAlignment="1">
      <alignment horizontal="center" vertical="center"/>
    </xf>
    <xf numFmtId="170" fontId="29" fillId="5" borderId="15" xfId="0" applyNumberFormat="1" applyFont="1" applyFill="1" applyBorder="1" applyAlignment="1">
      <alignment horizontal="right" vertical="center"/>
    </xf>
    <xf numFmtId="170" fontId="29" fillId="5" borderId="17" xfId="0" applyNumberFormat="1" applyFont="1" applyFill="1" applyBorder="1" applyAlignment="1">
      <alignment horizontal="right" vertical="center"/>
    </xf>
    <xf numFmtId="171" fontId="29" fillId="5" borderId="15" xfId="0" applyNumberFormat="1" applyFont="1" applyFill="1" applyBorder="1" applyAlignment="1">
      <alignment horizontal="right" vertical="center"/>
    </xf>
    <xf numFmtId="171" fontId="29" fillId="5" borderId="17" xfId="0" applyNumberFormat="1" applyFont="1" applyFill="1" applyBorder="1" applyAlignment="1">
      <alignment horizontal="right" vertical="center"/>
    </xf>
    <xf numFmtId="172" fontId="29" fillId="5" borderId="15" xfId="0" applyNumberFormat="1" applyFont="1" applyFill="1" applyBorder="1" applyAlignment="1">
      <alignment horizontal="right" vertical="center"/>
    </xf>
    <xf numFmtId="172" fontId="29" fillId="5" borderId="17" xfId="0" applyNumberFormat="1" applyFont="1" applyFill="1" applyBorder="1" applyAlignment="1">
      <alignment horizontal="right" vertical="center"/>
    </xf>
    <xf numFmtId="173" fontId="29" fillId="5" borderId="15" xfId="0" applyNumberFormat="1" applyFont="1" applyFill="1" applyBorder="1" applyAlignment="1">
      <alignment horizontal="right" vertical="center"/>
    </xf>
    <xf numFmtId="173" fontId="29" fillId="5" borderId="17" xfId="0" applyNumberFormat="1" applyFont="1" applyFill="1" applyBorder="1" applyAlignment="1">
      <alignment horizontal="right" vertical="center"/>
    </xf>
    <xf numFmtId="10" fontId="29" fillId="5" borderId="15" xfId="0" applyNumberFormat="1" applyFont="1" applyFill="1" applyBorder="1" applyAlignment="1">
      <alignment horizontal="right" vertical="center"/>
    </xf>
    <xf numFmtId="10" fontId="29" fillId="5" borderId="10" xfId="0" applyNumberFormat="1" applyFont="1" applyFill="1" applyBorder="1" applyAlignment="1">
      <alignment horizontal="right" vertical="center"/>
    </xf>
    <xf numFmtId="166" fontId="29" fillId="5" borderId="13" xfId="0" applyNumberFormat="1" applyFont="1" applyFill="1" applyBorder="1" applyAlignment="1">
      <alignment horizontal="right" vertical="center"/>
    </xf>
    <xf numFmtId="166" fontId="29" fillId="5" borderId="17" xfId="0" applyNumberFormat="1" applyFont="1" applyFill="1" applyBorder="1" applyAlignment="1">
      <alignment horizontal="right" vertical="center"/>
    </xf>
    <xf numFmtId="0" fontId="39" fillId="0" borderId="0" xfId="0" applyFont="1"/>
    <xf numFmtId="4" fontId="29" fillId="5" borderId="16" xfId="0" applyNumberFormat="1" applyFont="1" applyFill="1" applyBorder="1" applyAlignment="1">
      <alignment horizontal="center" vertical="center"/>
    </xf>
    <xf numFmtId="4" fontId="29" fillId="5" borderId="12" xfId="0" applyNumberFormat="1" applyFont="1" applyFill="1" applyBorder="1" applyAlignment="1">
      <alignment horizontal="center" vertical="center"/>
    </xf>
    <xf numFmtId="4" fontId="31" fillId="4" borderId="80" xfId="0" applyNumberFormat="1" applyFont="1" applyFill="1" applyBorder="1" applyAlignment="1">
      <alignment horizontal="center" vertical="center"/>
    </xf>
    <xf numFmtId="4" fontId="31" fillId="4" borderId="81" xfId="0" applyNumberFormat="1" applyFont="1" applyFill="1" applyBorder="1" applyAlignment="1">
      <alignment horizontal="center" vertical="center"/>
    </xf>
    <xf numFmtId="4" fontId="31" fillId="4" borderId="82" xfId="0" applyNumberFormat="1" applyFont="1" applyFill="1" applyBorder="1" applyAlignment="1">
      <alignment horizontal="center" vertical="center"/>
    </xf>
    <xf numFmtId="4" fontId="29" fillId="5" borderId="60" xfId="0" applyNumberFormat="1" applyFont="1" applyFill="1" applyBorder="1" applyAlignment="1">
      <alignment horizontal="center" vertical="center"/>
    </xf>
    <xf numFmtId="4" fontId="29" fillId="5" borderId="83" xfId="0" applyNumberFormat="1" applyFont="1" applyFill="1" applyBorder="1" applyAlignment="1">
      <alignment horizontal="center" vertical="center"/>
    </xf>
    <xf numFmtId="4" fontId="29" fillId="5" borderId="85" xfId="0" applyNumberFormat="1" applyFont="1" applyFill="1" applyBorder="1" applyAlignment="1">
      <alignment horizontal="center" vertical="center"/>
    </xf>
    <xf numFmtId="4" fontId="29" fillId="5" borderId="86" xfId="0" applyNumberFormat="1" applyFont="1" applyFill="1" applyBorder="1" applyAlignment="1">
      <alignment horizontal="center" vertical="center"/>
    </xf>
    <xf numFmtId="4" fontId="29" fillId="5" borderId="0" xfId="0" quotePrefix="1" applyNumberFormat="1" applyFont="1" applyFill="1" applyBorder="1" applyAlignment="1">
      <alignment horizontal="left" vertical="center"/>
    </xf>
    <xf numFmtId="4" fontId="31" fillId="3" borderId="4" xfId="0" applyNumberFormat="1" applyFont="1" applyFill="1" applyBorder="1" applyAlignment="1">
      <alignment horizontal="centerContinuous" vertical="center"/>
    </xf>
    <xf numFmtId="4" fontId="31" fillId="3" borderId="6" xfId="0" applyNumberFormat="1" applyFont="1" applyFill="1" applyBorder="1" applyAlignment="1">
      <alignment horizontal="centerContinuous" vertical="center"/>
    </xf>
    <xf numFmtId="4" fontId="31" fillId="3" borderId="5" xfId="0" applyNumberFormat="1" applyFont="1" applyFill="1" applyBorder="1" applyAlignment="1">
      <alignment horizontal="centerContinuous" vertical="center"/>
    </xf>
    <xf numFmtId="4" fontId="31" fillId="4" borderId="20" xfId="0" applyNumberFormat="1" applyFont="1" applyFill="1" applyBorder="1" applyAlignment="1">
      <alignment horizontal="center" vertical="center"/>
    </xf>
    <xf numFmtId="4" fontId="31" fillId="4" borderId="21" xfId="0" applyNumberFormat="1" applyFont="1" applyFill="1" applyBorder="1" applyAlignment="1">
      <alignment horizontal="center" vertical="center"/>
    </xf>
    <xf numFmtId="4" fontId="31" fillId="4" borderId="22" xfId="0" applyNumberFormat="1" applyFont="1" applyFill="1" applyBorder="1" applyAlignment="1">
      <alignment horizontal="center" vertical="center"/>
    </xf>
    <xf numFmtId="4" fontId="29" fillId="5" borderId="84" xfId="0" applyNumberFormat="1" applyFont="1" applyFill="1" applyBorder="1" applyAlignment="1">
      <alignment horizontal="center" vertical="center"/>
    </xf>
    <xf numFmtId="0" fontId="30" fillId="0" borderId="0" xfId="0" applyFont="1"/>
    <xf numFmtId="166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 vertical="center"/>
    </xf>
    <xf numFmtId="166" fontId="30" fillId="0" borderId="10" xfId="0" applyNumberFormat="1" applyFont="1" applyBorder="1" applyAlignment="1">
      <alignment horizontal="center" vertical="center"/>
    </xf>
    <xf numFmtId="0" fontId="18" fillId="4" borderId="87" xfId="0" applyFont="1" applyFill="1" applyBorder="1" applyAlignment="1">
      <alignment horizontal="center" vertical="center"/>
    </xf>
    <xf numFmtId="4" fontId="30" fillId="0" borderId="69" xfId="0" applyNumberFormat="1" applyFont="1" applyBorder="1" applyAlignment="1">
      <alignment horizontal="center" vertical="center"/>
    </xf>
    <xf numFmtId="166" fontId="30" fillId="0" borderId="71" xfId="0" applyNumberFormat="1" applyFont="1" applyBorder="1" applyAlignment="1">
      <alignment horizontal="center" vertical="center"/>
    </xf>
    <xf numFmtId="0" fontId="40" fillId="0" borderId="1" xfId="1" applyFont="1"/>
    <xf numFmtId="0" fontId="41" fillId="0" borderId="91" xfId="2" applyFont="1"/>
    <xf numFmtId="0" fontId="41" fillId="0" borderId="92" xfId="3" applyFont="1"/>
    <xf numFmtId="166" fontId="30" fillId="0" borderId="49" xfId="0" applyNumberFormat="1" applyFont="1" applyBorder="1" applyAlignment="1">
      <alignment horizontal="center"/>
    </xf>
    <xf numFmtId="166" fontId="30" fillId="0" borderId="90" xfId="0" applyNumberFormat="1" applyFont="1" applyBorder="1" applyAlignment="1">
      <alignment horizontal="center"/>
    </xf>
    <xf numFmtId="0" fontId="30" fillId="0" borderId="50" xfId="0" applyFont="1" applyBorder="1" applyAlignment="1">
      <alignment horizontal="center" vertical="center"/>
    </xf>
    <xf numFmtId="166" fontId="1" fillId="0" borderId="88" xfId="0" applyNumberFormat="1" applyFont="1" applyBorder="1" applyAlignment="1">
      <alignment horizontal="center" vertical="center"/>
    </xf>
    <xf numFmtId="166" fontId="1" fillId="0" borderId="89" xfId="0" applyNumberFormat="1" applyFont="1" applyBorder="1" applyAlignment="1">
      <alignment horizontal="center" vertical="center"/>
    </xf>
    <xf numFmtId="166" fontId="30" fillId="0" borderId="12" xfId="0" applyNumberFormat="1" applyFont="1" applyBorder="1" applyAlignment="1">
      <alignment horizontal="center" vertical="center"/>
    </xf>
    <xf numFmtId="166" fontId="30" fillId="0" borderId="9" xfId="0" applyNumberFormat="1" applyFont="1" applyBorder="1" applyAlignment="1">
      <alignment horizontal="center" vertical="center"/>
    </xf>
    <xf numFmtId="166" fontId="30" fillId="0" borderId="15" xfId="0" applyNumberFormat="1" applyFont="1" applyBorder="1" applyAlignment="1">
      <alignment horizontal="center" vertical="center"/>
    </xf>
    <xf numFmtId="166" fontId="30" fillId="0" borderId="11" xfId="0" applyNumberFormat="1" applyFont="1" applyBorder="1" applyAlignment="1">
      <alignment horizontal="center" vertical="center"/>
    </xf>
    <xf numFmtId="166" fontId="30" fillId="0" borderId="16" xfId="0" applyNumberFormat="1" applyFont="1" applyBorder="1" applyAlignment="1">
      <alignment horizontal="center" vertical="center"/>
    </xf>
    <xf numFmtId="166" fontId="30" fillId="0" borderId="13" xfId="0" applyNumberFormat="1" applyFont="1" applyBorder="1" applyAlignment="1">
      <alignment horizontal="center" vertical="center"/>
    </xf>
    <xf numFmtId="166" fontId="30" fillId="0" borderId="17" xfId="0" applyNumberFormat="1" applyFont="1" applyBorder="1" applyAlignment="1">
      <alignment horizontal="center" vertical="center"/>
    </xf>
    <xf numFmtId="0" fontId="30" fillId="0" borderId="0" xfId="0" applyFont="1" applyAlignment="1">
      <alignment horizontal="centerContinuous"/>
    </xf>
    <xf numFmtId="4" fontId="30" fillId="0" borderId="15" xfId="0" applyNumberFormat="1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166" fontId="30" fillId="0" borderId="69" xfId="0" applyNumberFormat="1" applyFont="1" applyBorder="1" applyAlignment="1">
      <alignment horizontal="center" vertical="center"/>
    </xf>
    <xf numFmtId="4" fontId="31" fillId="4" borderId="33" xfId="0" applyNumberFormat="1" applyFont="1" applyFill="1" applyBorder="1" applyAlignment="1">
      <alignment horizontal="center" vertical="center"/>
    </xf>
    <xf numFmtId="166" fontId="31" fillId="4" borderId="34" xfId="0" applyNumberFormat="1" applyFont="1" applyFill="1" applyBorder="1" applyAlignment="1">
      <alignment horizontal="center" vertical="center"/>
    </xf>
    <xf numFmtId="4" fontId="30" fillId="0" borderId="93" xfId="0" applyNumberFormat="1" applyFont="1" applyBorder="1" applyAlignment="1">
      <alignment horizontal="center" vertical="center"/>
    </xf>
    <xf numFmtId="2" fontId="30" fillId="0" borderId="49" xfId="0" applyNumberFormat="1" applyFont="1" applyBorder="1" applyAlignment="1">
      <alignment horizontal="center"/>
    </xf>
    <xf numFmtId="2" fontId="30" fillId="0" borderId="90" xfId="0" applyNumberFormat="1" applyFont="1" applyBorder="1" applyAlignment="1">
      <alignment horizontal="center"/>
    </xf>
    <xf numFmtId="4" fontId="30" fillId="0" borderId="94" xfId="0" applyNumberFormat="1" applyFont="1" applyBorder="1" applyAlignment="1">
      <alignment horizontal="center" vertical="center"/>
    </xf>
    <xf numFmtId="4" fontId="30" fillId="0" borderId="79" xfId="0" applyNumberFormat="1" applyFont="1" applyBorder="1" applyAlignment="1">
      <alignment horizontal="center" vertical="center"/>
    </xf>
    <xf numFmtId="4" fontId="30" fillId="0" borderId="96" xfId="0" applyNumberFormat="1" applyFont="1" applyBorder="1" applyAlignment="1">
      <alignment horizontal="center" vertical="center"/>
    </xf>
    <xf numFmtId="4" fontId="30" fillId="0" borderId="95" xfId="0" applyNumberFormat="1" applyFont="1" applyBorder="1" applyAlignment="1">
      <alignment horizontal="center" vertical="center"/>
    </xf>
    <xf numFmtId="2" fontId="34" fillId="4" borderId="57" xfId="0" applyNumberFormat="1" applyFont="1" applyFill="1" applyBorder="1" applyAlignment="1">
      <alignment horizontal="center" vertical="center"/>
    </xf>
    <xf numFmtId="0" fontId="31" fillId="3" borderId="18" xfId="0" applyFont="1" applyFill="1" applyBorder="1" applyAlignment="1">
      <alignment horizontal="centerContinuous" vertical="center"/>
    </xf>
    <xf numFmtId="0" fontId="34" fillId="3" borderId="97" xfId="0" applyFont="1" applyFill="1" applyBorder="1" applyAlignment="1">
      <alignment horizontal="centerContinuous" vertical="center"/>
    </xf>
    <xf numFmtId="0" fontId="34" fillId="3" borderId="56" xfId="0" applyFont="1" applyFill="1" applyBorder="1" applyAlignment="1">
      <alignment horizontal="centerContinuous" vertical="center"/>
    </xf>
    <xf numFmtId="0" fontId="34" fillId="3" borderId="7" xfId="0" applyFont="1" applyFill="1" applyBorder="1" applyAlignment="1">
      <alignment horizontal="centerContinuous" vertical="center"/>
    </xf>
    <xf numFmtId="0" fontId="34" fillId="3" borderId="4" xfId="0" applyFont="1" applyFill="1" applyBorder="1" applyAlignment="1">
      <alignment horizontal="centerContinuous" vertical="center"/>
    </xf>
    <xf numFmtId="0" fontId="34" fillId="3" borderId="5" xfId="0" applyFont="1" applyFill="1" applyBorder="1" applyAlignment="1">
      <alignment horizontal="centerContinuous" vertical="center"/>
    </xf>
    <xf numFmtId="4" fontId="30" fillId="0" borderId="22" xfId="0" applyNumberFormat="1" applyFont="1" applyBorder="1" applyAlignment="1">
      <alignment horizontal="center" vertical="center"/>
    </xf>
    <xf numFmtId="0" fontId="34" fillId="3" borderId="6" xfId="0" applyFont="1" applyFill="1" applyBorder="1" applyAlignment="1">
      <alignment horizontal="centerContinuous" vertical="center"/>
    </xf>
    <xf numFmtId="0" fontId="31" fillId="3" borderId="8" xfId="0" applyFont="1" applyFill="1" applyBorder="1" applyAlignment="1">
      <alignment horizontal="centerContinuous" vertical="center"/>
    </xf>
    <xf numFmtId="0" fontId="31" fillId="3" borderId="0" xfId="0" applyFont="1" applyFill="1" applyBorder="1" applyAlignment="1">
      <alignment horizontal="centerContinuous" vertical="center"/>
    </xf>
    <xf numFmtId="0" fontId="31" fillId="4" borderId="98" xfId="0" applyFont="1" applyFill="1" applyBorder="1" applyAlignment="1">
      <alignment horizontal="center" vertical="center"/>
    </xf>
    <xf numFmtId="4" fontId="30" fillId="0" borderId="99" xfId="0" applyNumberFormat="1" applyFont="1" applyBorder="1" applyAlignment="1">
      <alignment horizontal="center" vertical="center"/>
    </xf>
    <xf numFmtId="2" fontId="34" fillId="4" borderId="33" xfId="0" applyNumberFormat="1" applyFont="1" applyFill="1" applyBorder="1" applyAlignment="1">
      <alignment horizontal="center" vertical="center"/>
    </xf>
    <xf numFmtId="2" fontId="34" fillId="4" borderId="34" xfId="0" applyNumberFormat="1" applyFont="1" applyFill="1" applyBorder="1" applyAlignment="1">
      <alignment horizontal="center" vertical="center"/>
    </xf>
    <xf numFmtId="2" fontId="34" fillId="4" borderId="35" xfId="0" applyNumberFormat="1" applyFont="1" applyFill="1" applyBorder="1" applyAlignment="1">
      <alignment horizontal="center" vertical="center"/>
    </xf>
    <xf numFmtId="2" fontId="30" fillId="0" borderId="36" xfId="0" applyNumberFormat="1" applyFont="1" applyBorder="1" applyAlignment="1">
      <alignment horizontal="center"/>
    </xf>
    <xf numFmtId="2" fontId="30" fillId="0" borderId="42" xfId="0" applyNumberFormat="1" applyFon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7" xfId="0" applyNumberFormat="1" applyBorder="1" applyAlignment="1">
      <alignment horizontal="center"/>
    </xf>
    <xf numFmtId="2" fontId="34" fillId="4" borderId="56" xfId="0" applyNumberFormat="1" applyFont="1" applyFill="1" applyBorder="1" applyAlignment="1">
      <alignment horizontal="center" vertical="center"/>
    </xf>
    <xf numFmtId="2" fontId="0" fillId="0" borderId="100" xfId="0" applyNumberFormat="1" applyBorder="1" applyAlignment="1">
      <alignment horizontal="center"/>
    </xf>
    <xf numFmtId="2" fontId="0" fillId="0" borderId="101" xfId="0" applyNumberFormat="1" applyBorder="1" applyAlignment="1">
      <alignment horizontal="center"/>
    </xf>
    <xf numFmtId="2" fontId="0" fillId="0" borderId="102" xfId="0" applyNumberFormat="1" applyBorder="1" applyAlignment="1">
      <alignment horizontal="center"/>
    </xf>
    <xf numFmtId="2" fontId="34" fillId="4" borderId="103" xfId="0" applyNumberFormat="1" applyFont="1" applyFill="1" applyBorder="1" applyAlignment="1">
      <alignment horizontal="center" vertical="center"/>
    </xf>
    <xf numFmtId="2" fontId="0" fillId="0" borderId="38" xfId="0" applyNumberFormat="1" applyBorder="1" applyAlignment="1">
      <alignment horizontal="center"/>
    </xf>
    <xf numFmtId="2" fontId="0" fillId="0" borderId="43" xfId="0" applyNumberFormat="1" applyBorder="1" applyAlignment="1">
      <alignment horizontal="center"/>
    </xf>
    <xf numFmtId="2" fontId="0" fillId="0" borderId="39" xfId="0" applyNumberFormat="1" applyBorder="1" applyAlignment="1">
      <alignment horizontal="center"/>
    </xf>
    <xf numFmtId="2" fontId="34" fillId="4" borderId="104" xfId="0" applyNumberFormat="1" applyFont="1" applyFill="1" applyBorder="1" applyAlignment="1">
      <alignment horizontal="center" vertical="center"/>
    </xf>
    <xf numFmtId="4" fontId="30" fillId="0" borderId="105" xfId="0" applyNumberFormat="1" applyFont="1" applyBorder="1" applyAlignment="1">
      <alignment horizontal="center" vertical="center"/>
    </xf>
    <xf numFmtId="4" fontId="31" fillId="4" borderId="20" xfId="0" applyNumberFormat="1" applyFont="1" applyFill="1" applyBorder="1" applyAlignment="1">
      <alignment horizontal="centerContinuous" vertical="center"/>
    </xf>
    <xf numFmtId="4" fontId="31" fillId="4" borderId="21" xfId="0" applyNumberFormat="1" applyFont="1" applyFill="1" applyBorder="1" applyAlignment="1">
      <alignment horizontal="centerContinuous" vertical="center"/>
    </xf>
    <xf numFmtId="4" fontId="31" fillId="4" borderId="22" xfId="0" applyNumberFormat="1" applyFont="1" applyFill="1" applyBorder="1" applyAlignment="1">
      <alignment horizontal="centerContinuous" vertical="center"/>
    </xf>
    <xf numFmtId="4" fontId="30" fillId="0" borderId="106" xfId="0" applyNumberFormat="1" applyFont="1" applyBorder="1" applyAlignment="1">
      <alignment horizontal="center" vertical="center"/>
    </xf>
    <xf numFmtId="4" fontId="30" fillId="0" borderId="107" xfId="0" applyNumberFormat="1" applyFont="1" applyBorder="1" applyAlignment="1">
      <alignment horizontal="center" vertical="center"/>
    </xf>
    <xf numFmtId="4" fontId="30" fillId="0" borderId="108" xfId="0" applyNumberFormat="1" applyFont="1" applyBorder="1" applyAlignment="1">
      <alignment horizontal="center" vertical="center"/>
    </xf>
    <xf numFmtId="4" fontId="30" fillId="0" borderId="109" xfId="0" applyNumberFormat="1" applyFont="1" applyBorder="1" applyAlignment="1">
      <alignment horizontal="center" vertical="center"/>
    </xf>
    <xf numFmtId="4" fontId="30" fillId="0" borderId="110" xfId="0" applyNumberFormat="1" applyFont="1" applyBorder="1" applyAlignment="1">
      <alignment horizontal="center" vertical="center"/>
    </xf>
    <xf numFmtId="4" fontId="30" fillId="0" borderId="111" xfId="0" applyNumberFormat="1" applyFont="1" applyBorder="1" applyAlignment="1">
      <alignment horizontal="center" vertical="center"/>
    </xf>
    <xf numFmtId="4" fontId="30" fillId="0" borderId="112" xfId="0" applyNumberFormat="1" applyFont="1" applyBorder="1" applyAlignment="1">
      <alignment horizontal="center" vertical="center"/>
    </xf>
    <xf numFmtId="0" fontId="34" fillId="4" borderId="33" xfId="0" applyFont="1" applyFill="1" applyBorder="1" applyAlignment="1">
      <alignment horizontal="center" vertical="center"/>
    </xf>
    <xf numFmtId="0" fontId="34" fillId="4" borderId="35" xfId="0" applyFont="1" applyFill="1" applyBorder="1" applyAlignment="1">
      <alignment horizontal="center" vertical="center"/>
    </xf>
    <xf numFmtId="4" fontId="30" fillId="0" borderId="72" xfId="0" applyNumberFormat="1" applyFont="1" applyBorder="1" applyAlignment="1">
      <alignment horizontal="center" vertical="center"/>
    </xf>
    <xf numFmtId="4" fontId="30" fillId="0" borderId="74" xfId="0" applyNumberFormat="1" applyFont="1" applyBorder="1" applyAlignment="1">
      <alignment horizontal="center" vertical="center"/>
    </xf>
    <xf numFmtId="4" fontId="30" fillId="0" borderId="115" xfId="0" applyNumberFormat="1" applyFont="1" applyBorder="1" applyAlignment="1">
      <alignment horizontal="center" vertical="center"/>
    </xf>
    <xf numFmtId="4" fontId="30" fillId="0" borderId="116" xfId="0" applyNumberFormat="1" applyFont="1" applyBorder="1" applyAlignment="1">
      <alignment horizontal="center" vertical="center"/>
    </xf>
    <xf numFmtId="4" fontId="30" fillId="0" borderId="117" xfId="0" applyNumberFormat="1" applyFont="1" applyBorder="1" applyAlignment="1">
      <alignment horizontal="center" vertical="center"/>
    </xf>
    <xf numFmtId="4" fontId="30" fillId="0" borderId="118" xfId="0" applyNumberFormat="1" applyFont="1" applyBorder="1" applyAlignment="1">
      <alignment horizontal="center" vertical="center"/>
    </xf>
    <xf numFmtId="4" fontId="30" fillId="0" borderId="119" xfId="0" applyNumberFormat="1" applyFont="1" applyBorder="1" applyAlignment="1">
      <alignment horizontal="center" vertical="center"/>
    </xf>
    <xf numFmtId="4" fontId="30" fillId="0" borderId="120" xfId="0" applyNumberFormat="1" applyFont="1" applyBorder="1" applyAlignment="1">
      <alignment horizontal="center" vertical="center"/>
    </xf>
    <xf numFmtId="4" fontId="30" fillId="0" borderId="121" xfId="0" applyNumberFormat="1" applyFont="1" applyBorder="1" applyAlignment="1">
      <alignment horizontal="center" vertical="center"/>
    </xf>
    <xf numFmtId="4" fontId="31" fillId="4" borderId="122" xfId="0" applyNumberFormat="1" applyFont="1" applyFill="1" applyBorder="1" applyAlignment="1">
      <alignment horizontal="center" vertical="center"/>
    </xf>
    <xf numFmtId="4" fontId="31" fillId="4" borderId="114" xfId="0" applyNumberFormat="1" applyFont="1" applyFill="1" applyBorder="1" applyAlignment="1">
      <alignment horizontal="center" vertical="center"/>
    </xf>
    <xf numFmtId="4" fontId="31" fillId="4" borderId="99" xfId="0" applyNumberFormat="1" applyFont="1" applyFill="1" applyBorder="1" applyAlignment="1">
      <alignment horizontal="center" vertical="center"/>
    </xf>
    <xf numFmtId="4" fontId="31" fillId="4" borderId="123" xfId="0" applyNumberFormat="1" applyFont="1" applyFill="1" applyBorder="1" applyAlignment="1">
      <alignment horizontal="center" vertical="center"/>
    </xf>
    <xf numFmtId="4" fontId="31" fillId="4" borderId="65" xfId="0" applyNumberFormat="1" applyFont="1" applyFill="1" applyBorder="1" applyAlignment="1">
      <alignment horizontal="center" vertical="center"/>
    </xf>
    <xf numFmtId="4" fontId="30" fillId="0" borderId="124" xfId="0" applyNumberFormat="1" applyFont="1" applyBorder="1" applyAlignment="1">
      <alignment horizontal="center" vertical="center"/>
    </xf>
    <xf numFmtId="4" fontId="30" fillId="0" borderId="125" xfId="0" applyNumberFormat="1" applyFont="1" applyBorder="1" applyAlignment="1">
      <alignment horizontal="center" vertical="center"/>
    </xf>
    <xf numFmtId="4" fontId="30" fillId="0" borderId="48" xfId="0" applyNumberFormat="1" applyFont="1" applyBorder="1" applyAlignment="1">
      <alignment horizontal="center" vertical="center"/>
    </xf>
    <xf numFmtId="4" fontId="30" fillId="0" borderId="126" xfId="0" applyNumberFormat="1" applyFont="1" applyBorder="1" applyAlignment="1">
      <alignment horizontal="center" vertical="center"/>
    </xf>
    <xf numFmtId="4" fontId="30" fillId="0" borderId="127" xfId="0" applyNumberFormat="1" applyFont="1" applyBorder="1" applyAlignment="1">
      <alignment horizontal="center" vertical="center"/>
    </xf>
    <xf numFmtId="4" fontId="30" fillId="0" borderId="128" xfId="0" applyNumberFormat="1" applyFont="1" applyBorder="1" applyAlignment="1">
      <alignment horizontal="center" vertical="center"/>
    </xf>
    <xf numFmtId="0" fontId="34" fillId="4" borderId="5" xfId="0" applyFont="1" applyFill="1" applyBorder="1" applyAlignment="1">
      <alignment horizontal="center" vertical="center"/>
    </xf>
    <xf numFmtId="0" fontId="34" fillId="4" borderId="129" xfId="0" applyFont="1" applyFill="1" applyBorder="1" applyAlignment="1">
      <alignment horizontal="center" vertical="center"/>
    </xf>
    <xf numFmtId="4" fontId="31" fillId="4" borderId="19" xfId="0" applyNumberFormat="1" applyFont="1" applyFill="1" applyBorder="1" applyAlignment="1">
      <alignment horizontal="center" vertical="center"/>
    </xf>
    <xf numFmtId="4" fontId="30" fillId="0" borderId="113" xfId="0" applyNumberFormat="1" applyFont="1" applyBorder="1" applyAlignment="1">
      <alignment horizontal="center" vertical="center"/>
    </xf>
    <xf numFmtId="4" fontId="31" fillId="4" borderId="130" xfId="0" applyNumberFormat="1" applyFont="1" applyFill="1" applyBorder="1" applyAlignment="1">
      <alignment horizontal="center" vertical="center"/>
    </xf>
    <xf numFmtId="4" fontId="30" fillId="0" borderId="132" xfId="0" applyNumberFormat="1" applyFont="1" applyBorder="1" applyAlignment="1">
      <alignment horizontal="center" vertical="center"/>
    </xf>
    <xf numFmtId="4" fontId="30" fillId="0" borderId="131" xfId="0" applyNumberFormat="1" applyFont="1" applyBorder="1" applyAlignment="1">
      <alignment horizontal="center" vertical="center"/>
    </xf>
    <xf numFmtId="4" fontId="30" fillId="0" borderId="133" xfId="0" applyNumberFormat="1" applyFont="1" applyBorder="1" applyAlignment="1">
      <alignment horizontal="center" vertical="center"/>
    </xf>
    <xf numFmtId="4" fontId="30" fillId="0" borderId="135" xfId="0" applyNumberFormat="1" applyFont="1" applyBorder="1" applyAlignment="1">
      <alignment horizontal="center" vertical="center"/>
    </xf>
    <xf numFmtId="4" fontId="30" fillId="0" borderId="134" xfId="0" applyNumberFormat="1" applyFont="1" applyBorder="1" applyAlignment="1">
      <alignment horizontal="center" vertical="center"/>
    </xf>
    <xf numFmtId="4" fontId="30" fillId="0" borderId="136" xfId="0" applyNumberFormat="1" applyFont="1" applyBorder="1" applyAlignment="1">
      <alignment horizontal="center" vertical="center"/>
    </xf>
    <xf numFmtId="0" fontId="31" fillId="3" borderId="54" xfId="0" applyFont="1" applyFill="1" applyBorder="1" applyAlignment="1">
      <alignment horizontal="centerContinuous" vertical="center"/>
    </xf>
    <xf numFmtId="0" fontId="31" fillId="4" borderId="54" xfId="0" applyFont="1" applyFill="1" applyBorder="1" applyAlignment="1">
      <alignment horizontal="center" vertical="center"/>
    </xf>
    <xf numFmtId="4" fontId="30" fillId="0" borderId="65" xfId="0" applyNumberFormat="1" applyFont="1" applyBorder="1" applyAlignment="1">
      <alignment horizontal="center" vertical="center"/>
    </xf>
    <xf numFmtId="4" fontId="30" fillId="0" borderId="20" xfId="0" applyNumberFormat="1" applyFont="1" applyBorder="1" applyAlignment="1">
      <alignment horizontal="center" vertical="center"/>
    </xf>
    <xf numFmtId="4" fontId="31" fillId="3" borderId="4" xfId="0" applyNumberFormat="1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6" xfId="0" applyBorder="1" applyAlignment="1">
      <alignment horizontal="center" vertical="center" textRotation="90"/>
    </xf>
    <xf numFmtId="0" fontId="18" fillId="3" borderId="28" xfId="0" applyFont="1" applyFill="1" applyBorder="1" applyAlignment="1">
      <alignment horizontal="center" vertical="distributed" textRotation="90"/>
    </xf>
    <xf numFmtId="0" fontId="0" fillId="0" borderId="46" xfId="0" applyBorder="1" applyAlignment="1">
      <alignment horizontal="center" vertical="distributed"/>
    </xf>
    <xf numFmtId="3" fontId="30" fillId="0" borderId="65" xfId="0" applyNumberFormat="1" applyFont="1" applyBorder="1" applyAlignment="1">
      <alignment horizontal="center" vertical="center"/>
    </xf>
  </cellXfs>
  <cellStyles count="6"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</cellStyles>
  <dxfs count="396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E27"/>
  <sheetViews>
    <sheetView showGridLines="0" tabSelected="1" workbookViewId="0"/>
  </sheetViews>
  <sheetFormatPr defaultRowHeight="14.4" x14ac:dyDescent="0.3"/>
  <cols>
    <col min="1" max="1" width="3.77734375" customWidth="1"/>
    <col min="2" max="2" width="21.44140625" bestFit="1" customWidth="1"/>
  </cols>
  <sheetData>
    <row r="2" spans="2:3" ht="25.8" x14ac:dyDescent="0.5">
      <c r="B2" s="2" t="s">
        <v>134</v>
      </c>
      <c r="C2" s="2"/>
    </row>
    <row r="4" spans="2:3" x14ac:dyDescent="0.3">
      <c r="B4" s="239" t="s">
        <v>124</v>
      </c>
      <c r="C4" s="240"/>
    </row>
    <row r="5" spans="2:3" x14ac:dyDescent="0.3">
      <c r="B5" s="241" t="s">
        <v>186</v>
      </c>
      <c r="C5" s="241"/>
    </row>
    <row r="6" spans="2:3" x14ac:dyDescent="0.3">
      <c r="B6" s="241" t="s">
        <v>187</v>
      </c>
      <c r="C6" s="241"/>
    </row>
    <row r="8" spans="2:3" ht="18" x14ac:dyDescent="0.35">
      <c r="B8" s="3" t="s">
        <v>288</v>
      </c>
      <c r="C8" s="3"/>
    </row>
    <row r="9" spans="2:3" x14ac:dyDescent="0.3">
      <c r="B9" s="224" t="s">
        <v>0</v>
      </c>
      <c r="C9" s="185" t="str">
        <f>Dates!C4</f>
        <v>OK</v>
      </c>
    </row>
    <row r="10" spans="2:3" x14ac:dyDescent="0.3">
      <c r="B10" s="224" t="s">
        <v>388</v>
      </c>
      <c r="C10" s="185" t="str">
        <f>Mathematics!C4</f>
        <v>OK</v>
      </c>
    </row>
    <row r="11" spans="2:3" x14ac:dyDescent="0.3">
      <c r="B11" s="224" t="s">
        <v>415</v>
      </c>
      <c r="C11" s="185" t="str">
        <f>Stats!C4</f>
        <v>OK</v>
      </c>
    </row>
    <row r="14" spans="2:3" ht="18" x14ac:dyDescent="0.35">
      <c r="B14" s="3" t="s">
        <v>287</v>
      </c>
      <c r="C14" s="3"/>
    </row>
    <row r="15" spans="2:3" x14ac:dyDescent="0.3">
      <c r="B15" s="224" t="s">
        <v>1</v>
      </c>
    </row>
    <row r="16" spans="2:3" x14ac:dyDescent="0.3">
      <c r="B16" t="s">
        <v>22</v>
      </c>
    </row>
    <row r="20" spans="2:5" ht="18" x14ac:dyDescent="0.35">
      <c r="B20" s="3" t="s">
        <v>135</v>
      </c>
      <c r="C20" s="3"/>
    </row>
    <row r="21" spans="2:5" x14ac:dyDescent="0.3">
      <c r="B21" s="224" t="s">
        <v>138</v>
      </c>
      <c r="C21" s="185" t="str">
        <f>'Test Utils'!C4</f>
        <v>OK</v>
      </c>
    </row>
    <row r="22" spans="2:5" x14ac:dyDescent="0.3">
      <c r="B22" s="224" t="s">
        <v>90</v>
      </c>
      <c r="C22" s="185" t="str">
        <f ca="1">'Table Formatting'!C4</f>
        <v>OK</v>
      </c>
    </row>
    <row r="27" spans="2:5" x14ac:dyDescent="0.3">
      <c r="E27" s="185"/>
    </row>
  </sheetData>
  <conditionalFormatting sqref="C21">
    <cfRule type="cellIs" dxfId="395" priority="7" stopIfTrue="1" operator="equal">
      <formula>"OK"</formula>
    </cfRule>
    <cfRule type="cellIs" dxfId="394" priority="8" stopIfTrue="1" operator="equal">
      <formula>"ERROR"</formula>
    </cfRule>
  </conditionalFormatting>
  <conditionalFormatting sqref="C22">
    <cfRule type="cellIs" dxfId="393" priority="9" stopIfTrue="1" operator="equal">
      <formula>"OK"</formula>
    </cfRule>
    <cfRule type="cellIs" dxfId="392" priority="10" stopIfTrue="1" operator="equal">
      <formula>"ERROR"</formula>
    </cfRule>
  </conditionalFormatting>
  <conditionalFormatting sqref="C9">
    <cfRule type="cellIs" dxfId="391" priority="11" stopIfTrue="1" operator="equal">
      <formula>"ERROR"</formula>
    </cfRule>
    <cfRule type="cellIs" dxfId="390" priority="12" stopIfTrue="1" operator="equal">
      <formula>"OK"</formula>
    </cfRule>
    <cfRule type="cellIs" dxfId="389" priority="13" stopIfTrue="1" operator="equal">
      <formula>"WARNING"</formula>
    </cfRule>
  </conditionalFormatting>
  <conditionalFormatting sqref="C10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C11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15" location="Curves.Title" display="Curves" xr:uid="{55B00831-142E-4799-B620-B8B79F221D3E}"/>
    <hyperlink ref="B22" location="TableFormatting.Title" display="Table Formatting" xr:uid="{36F5A4C0-4058-4EAB-B9F0-3120B1D828EB}"/>
    <hyperlink ref="B21" location="Logic.Title" display="Logic" xr:uid="{4452807D-B6BF-4ED4-B910-965E05209AC7}"/>
    <hyperlink ref="B5:C5" location="Summary.RunTestsInAllSheets" display="Run Tests in All Sheets" xr:uid="{7E1216C1-1362-48AD-AE0A-14787F111170}"/>
    <hyperlink ref="B6:C6" location="Summary.ResetTestsInAllSheets" display="Reset Tests in All Sheets" xr:uid="{B022C234-599C-4C0D-97E0-30EE93D3111C}"/>
    <hyperlink ref="B9" location="Dates!A1" display="Dates" xr:uid="{1C6E0862-C178-4103-8DF3-D79D9F618623}"/>
    <hyperlink ref="B10" location="Mathematics!A1" display="Mathematics!A1" xr:uid="{82EDFA2E-E168-47CE-85FC-32CEA1424EFE}"/>
    <hyperlink ref="B11" location="Stats!A1" display="Stats!A1" xr:uid="{E66F4C27-E756-48AF-8864-A9B0F349D836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Sheet12">
    <tabColor theme="1"/>
  </sheetPr>
  <dimension ref="B2"/>
  <sheetViews>
    <sheetView showGridLines="0" workbookViewId="0"/>
  </sheetViews>
  <sheetFormatPr defaultRowHeight="14.4" x14ac:dyDescent="0.3"/>
  <cols>
    <col min="1" max="1" width="3.77734375" customWidth="1"/>
  </cols>
  <sheetData>
    <row r="2" spans="2:2" x14ac:dyDescent="0.3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Sheet13">
    <tabColor theme="4" tint="-0.499984740745262"/>
  </sheetPr>
  <dimension ref="B2:AB191"/>
  <sheetViews>
    <sheetView showGridLines="0" zoomScaleNormal="100" workbookViewId="0"/>
  </sheetViews>
  <sheetFormatPr defaultColWidth="9" defaultRowHeight="13.8" x14ac:dyDescent="0.3"/>
  <cols>
    <col min="1" max="1" width="3.77734375" style="375" customWidth="1"/>
    <col min="2" max="2" width="18" style="375" customWidth="1"/>
    <col min="3" max="3" width="14.21875" style="375" customWidth="1"/>
    <col min="4" max="4" width="11.33203125" style="375" customWidth="1"/>
    <col min="5" max="5" width="10.77734375" style="375" customWidth="1"/>
    <col min="6" max="6" width="13.88671875" style="375" bestFit="1" customWidth="1"/>
    <col min="7" max="7" width="12.33203125" style="375" customWidth="1"/>
    <col min="8" max="8" width="11.6640625" style="375" customWidth="1"/>
    <col min="9" max="9" width="17.6640625" style="375" customWidth="1"/>
    <col min="10" max="10" width="8.88671875" style="375" bestFit="1" customWidth="1"/>
    <col min="11" max="11" width="9.6640625" style="375" customWidth="1"/>
    <col min="12" max="12" width="12.6640625" style="375" customWidth="1"/>
    <col min="13" max="13" width="13.88671875" style="375" bestFit="1" customWidth="1"/>
    <col min="14" max="14" width="9.33203125" style="375" customWidth="1"/>
    <col min="15" max="15" width="10" style="375" customWidth="1"/>
    <col min="16" max="16" width="16" style="375" customWidth="1"/>
    <col min="17" max="17" width="8.88671875" style="375" bestFit="1" customWidth="1"/>
    <col min="18" max="18" width="10.6640625" style="375" customWidth="1"/>
    <col min="19" max="19" width="36" style="375" bestFit="1" customWidth="1"/>
    <col min="20" max="20" width="30.21875" style="375" customWidth="1"/>
    <col min="21" max="22" width="9" style="375"/>
    <col min="23" max="23" width="20.44140625" style="375" customWidth="1"/>
    <col min="24" max="25" width="9" style="375"/>
    <col min="26" max="27" width="37.109375" style="375" bestFit="1" customWidth="1"/>
    <col min="28" max="16384" width="9" style="375"/>
  </cols>
  <sheetData>
    <row r="2" spans="2:28" ht="25.8" x14ac:dyDescent="0.5">
      <c r="B2" s="2" t="s">
        <v>0</v>
      </c>
      <c r="C2" s="382"/>
      <c r="D2" s="382"/>
      <c r="E2" s="382"/>
      <c r="F2" s="382"/>
      <c r="G2" s="382"/>
      <c r="H2" s="382"/>
      <c r="I2" s="382"/>
      <c r="J2" s="382"/>
      <c r="K2" s="382"/>
      <c r="L2" s="382"/>
      <c r="M2" s="382"/>
      <c r="N2" s="382"/>
      <c r="O2" s="382"/>
      <c r="P2" s="382"/>
      <c r="Q2" s="382"/>
      <c r="R2" s="382"/>
      <c r="S2" s="382"/>
      <c r="T2" s="382"/>
      <c r="U2" s="382"/>
      <c r="V2" s="382"/>
      <c r="W2" s="382"/>
      <c r="X2" s="382"/>
      <c r="Y2" s="382"/>
      <c r="Z2" s="382"/>
      <c r="AA2" s="382"/>
      <c r="AB2" s="382"/>
    </row>
    <row r="4" spans="2:28" x14ac:dyDescent="0.3">
      <c r="B4" s="59" t="s">
        <v>170</v>
      </c>
      <c r="C4" s="377" t="str" cm="1">
        <f t="array" ref="C4">_xll.d.TestUtils_And(D8:D16)</f>
        <v>OK</v>
      </c>
    </row>
    <row r="7" spans="2:28" x14ac:dyDescent="0.3">
      <c r="B7" s="228" t="s">
        <v>247</v>
      </c>
      <c r="C7" s="228"/>
      <c r="D7" s="229" t="s">
        <v>11</v>
      </c>
    </row>
    <row r="8" spans="2:28" x14ac:dyDescent="0.3">
      <c r="B8" s="238" t="s">
        <v>265</v>
      </c>
      <c r="C8" s="397"/>
      <c r="D8" s="377" t="str">
        <f>C21</f>
        <v>OK</v>
      </c>
    </row>
    <row r="9" spans="2:28" x14ac:dyDescent="0.3">
      <c r="B9" s="238" t="s">
        <v>272</v>
      </c>
      <c r="C9" s="397"/>
      <c r="D9" s="377" t="str">
        <f>C36</f>
        <v>OK</v>
      </c>
    </row>
    <row r="10" spans="2:28" x14ac:dyDescent="0.3">
      <c r="B10" s="238" t="s">
        <v>273</v>
      </c>
      <c r="C10" s="397"/>
      <c r="D10" s="377" t="str">
        <f>C51</f>
        <v>OK</v>
      </c>
    </row>
    <row r="11" spans="2:28" x14ac:dyDescent="0.3">
      <c r="B11" s="238" t="s">
        <v>264</v>
      </c>
      <c r="C11" s="397"/>
      <c r="D11" s="377" t="str">
        <f>C66</f>
        <v>OK</v>
      </c>
    </row>
    <row r="12" spans="2:28" x14ac:dyDescent="0.3">
      <c r="B12" s="238" t="s">
        <v>377</v>
      </c>
      <c r="C12" s="397"/>
      <c r="D12" s="377" t="str">
        <f>C80</f>
        <v>OK</v>
      </c>
    </row>
    <row r="13" spans="2:28" x14ac:dyDescent="0.3">
      <c r="B13" s="238" t="s">
        <v>275</v>
      </c>
      <c r="C13" s="397"/>
      <c r="D13" s="377" t="str">
        <f>C124</f>
        <v>OK</v>
      </c>
    </row>
    <row r="14" spans="2:28" x14ac:dyDescent="0.3">
      <c r="B14" s="238" t="s">
        <v>378</v>
      </c>
      <c r="C14" s="397"/>
      <c r="D14" s="377" t="str">
        <f>C151</f>
        <v>OK</v>
      </c>
    </row>
    <row r="15" spans="2:28" x14ac:dyDescent="0.3">
      <c r="B15" s="238" t="s">
        <v>289</v>
      </c>
      <c r="C15" s="397"/>
      <c r="D15" s="377" t="str">
        <f>C167</f>
        <v>OK</v>
      </c>
    </row>
    <row r="16" spans="2:28" x14ac:dyDescent="0.3">
      <c r="B16" s="238" t="s">
        <v>300</v>
      </c>
      <c r="C16" s="397"/>
      <c r="D16" s="377" t="str">
        <f>C182</f>
        <v>OK</v>
      </c>
    </row>
    <row r="19" spans="2:28" ht="18" x14ac:dyDescent="0.35">
      <c r="B19" s="3" t="s">
        <v>265</v>
      </c>
      <c r="C19" s="383"/>
      <c r="D19" s="383"/>
      <c r="E19" s="383"/>
      <c r="F19" s="383"/>
      <c r="G19" s="383"/>
      <c r="H19" s="383"/>
      <c r="I19" s="383"/>
      <c r="J19" s="383"/>
      <c r="K19" s="383"/>
      <c r="L19" s="383"/>
      <c r="M19" s="383"/>
      <c r="N19" s="383"/>
      <c r="O19" s="383"/>
      <c r="P19" s="383"/>
      <c r="Q19" s="383"/>
      <c r="R19" s="383"/>
      <c r="S19" s="383"/>
      <c r="T19" s="383"/>
      <c r="U19" s="383"/>
      <c r="V19" s="383"/>
      <c r="W19" s="383"/>
      <c r="X19" s="383"/>
      <c r="Y19" s="383"/>
      <c r="Z19" s="383"/>
      <c r="AA19" s="383"/>
      <c r="AB19" s="383"/>
    </row>
    <row r="21" spans="2:28" x14ac:dyDescent="0.3">
      <c r="B21" s="59" t="s">
        <v>170</v>
      </c>
      <c r="C21" s="377" t="str" cm="1">
        <f t="array" ref="C21">_xll.d.TestUtils_And(G26,N26,U26,AB26)</f>
        <v>OK</v>
      </c>
    </row>
    <row r="22" spans="2:28" x14ac:dyDescent="0.3">
      <c r="G22" s="376"/>
    </row>
    <row r="23" spans="2:28" ht="15.6" x14ac:dyDescent="0.3">
      <c r="B23" s="4" t="s">
        <v>268</v>
      </c>
      <c r="C23" s="384"/>
      <c r="D23" s="384"/>
      <c r="E23" s="384"/>
      <c r="F23" s="384"/>
      <c r="G23" s="384"/>
      <c r="I23" s="4" t="s">
        <v>270</v>
      </c>
      <c r="J23" s="4"/>
      <c r="K23" s="384"/>
      <c r="L23" s="384"/>
      <c r="M23" s="384"/>
      <c r="N23" s="384"/>
      <c r="P23" s="4" t="s">
        <v>271</v>
      </c>
      <c r="Q23" s="384"/>
      <c r="R23" s="384"/>
      <c r="S23" s="384"/>
      <c r="T23" s="384"/>
      <c r="U23" s="384"/>
      <c r="W23" s="4" t="s">
        <v>280</v>
      </c>
      <c r="X23" s="384"/>
      <c r="Y23" s="384"/>
      <c r="Z23" s="384"/>
      <c r="AA23" s="384"/>
      <c r="AB23" s="384"/>
    </row>
    <row r="24" spans="2:28" x14ac:dyDescent="0.3">
      <c r="G24" s="376"/>
    </row>
    <row r="25" spans="2:28" x14ac:dyDescent="0.3">
      <c r="B25" s="138" t="s">
        <v>267</v>
      </c>
      <c r="C25" s="139"/>
      <c r="E25" s="138" t="s">
        <v>144</v>
      </c>
      <c r="F25" s="138" t="s">
        <v>269</v>
      </c>
      <c r="G25" s="138" t="s">
        <v>88</v>
      </c>
      <c r="I25" s="138" t="s">
        <v>267</v>
      </c>
      <c r="J25" s="139"/>
      <c r="L25" s="138" t="s">
        <v>144</v>
      </c>
      <c r="M25" s="138" t="s">
        <v>269</v>
      </c>
      <c r="N25" s="138" t="s">
        <v>88</v>
      </c>
      <c r="P25" s="138" t="s">
        <v>267</v>
      </c>
      <c r="Q25" s="139"/>
      <c r="S25" s="138" t="s">
        <v>144</v>
      </c>
      <c r="T25" s="138" t="s">
        <v>269</v>
      </c>
      <c r="U25" s="138" t="s">
        <v>88</v>
      </c>
      <c r="W25" s="138" t="s">
        <v>267</v>
      </c>
      <c r="X25" s="139"/>
      <c r="Z25" s="138" t="s">
        <v>144</v>
      </c>
      <c r="AA25" s="138" t="s">
        <v>269</v>
      </c>
      <c r="AB25" s="138" t="s">
        <v>88</v>
      </c>
    </row>
    <row r="26" spans="2:28" x14ac:dyDescent="0.3">
      <c r="B26" s="380" t="s">
        <v>35</v>
      </c>
      <c r="C26" s="381">
        <v>44742</v>
      </c>
      <c r="E26" s="385" cm="1">
        <f t="array" ref="E26">_xll.d.Date_FolDay(C26,B28:B30)</f>
        <v>44743</v>
      </c>
      <c r="F26" s="386">
        <v>44743</v>
      </c>
      <c r="G26" s="387" t="str" cm="1">
        <f t="array" ref="G26">_xll.d.TestUtils_Equal(E26,F26)</f>
        <v>OK</v>
      </c>
      <c r="I26" s="140" t="s">
        <v>35</v>
      </c>
      <c r="J26" s="378">
        <v>44728</v>
      </c>
      <c r="L26" s="385" cm="1">
        <f t="array" ref="L26">_xll.d.Date_FolDay(J26,J27)</f>
        <v>44729</v>
      </c>
      <c r="M26" s="386">
        <v>44729</v>
      </c>
      <c r="N26" s="387" t="str" cm="1">
        <f t="array" ref="N26">_xll.d.TestUtils_Equal(L26,M26)</f>
        <v>OK</v>
      </c>
      <c r="P26" s="140" t="s">
        <v>35</v>
      </c>
      <c r="Q26" s="378">
        <v>44746</v>
      </c>
      <c r="S26" s="385" cm="1">
        <f t="array" ref="S26">_xll.d.Date_FolDay(Q26,Q27)</f>
        <v>44747</v>
      </c>
      <c r="T26" s="386">
        <v>44747</v>
      </c>
      <c r="U26" s="387" t="str" cm="1">
        <f t="array" ref="U26">_xll.d.TestUtils_Equal(S26,T26)</f>
        <v>OK</v>
      </c>
      <c r="W26" s="140" t="s">
        <v>35</v>
      </c>
      <c r="X26" s="378">
        <v>44746</v>
      </c>
      <c r="Z26" s="385" t="str" cm="1">
        <f t="array" ref="Z26">_xll.d.Date_FolDay(X26,X27)</f>
        <v>#∂Excel Error: Unknown calendar: WRE</v>
      </c>
      <c r="AA26" s="386" t="s">
        <v>282</v>
      </c>
      <c r="AB26" s="387" t="str" cm="1">
        <f t="array" ref="AB26">_xll.d.TestUtils_Equal(Z26,AA26)</f>
        <v>OK</v>
      </c>
    </row>
    <row r="27" spans="2:28" x14ac:dyDescent="0.3">
      <c r="G27" s="376"/>
      <c r="I27" s="144" t="s">
        <v>253</v>
      </c>
      <c r="J27" s="145" t="s">
        <v>71</v>
      </c>
      <c r="P27" s="144" t="s">
        <v>253</v>
      </c>
      <c r="Q27" s="145" t="s">
        <v>274</v>
      </c>
      <c r="W27" s="144" t="s">
        <v>253</v>
      </c>
      <c r="X27" s="145" t="s">
        <v>281</v>
      </c>
    </row>
    <row r="28" spans="2:28" x14ac:dyDescent="0.3">
      <c r="B28" s="379" t="s">
        <v>266</v>
      </c>
      <c r="G28" s="376"/>
    </row>
    <row r="29" spans="2:28" x14ac:dyDescent="0.3">
      <c r="B29" s="388">
        <v>44742</v>
      </c>
    </row>
    <row r="30" spans="2:28" x14ac:dyDescent="0.3">
      <c r="B30" s="389">
        <v>44920</v>
      </c>
      <c r="G30" s="376"/>
    </row>
    <row r="31" spans="2:28" x14ac:dyDescent="0.3">
      <c r="G31" s="376"/>
    </row>
    <row r="32" spans="2:28" x14ac:dyDescent="0.3">
      <c r="G32" s="376"/>
    </row>
    <row r="33" spans="2:28" x14ac:dyDescent="0.3">
      <c r="G33" s="376"/>
    </row>
    <row r="34" spans="2:28" ht="18" x14ac:dyDescent="0.35">
      <c r="B34" s="3" t="s">
        <v>272</v>
      </c>
      <c r="C34" s="383"/>
      <c r="D34" s="383"/>
      <c r="E34" s="383"/>
      <c r="F34" s="383"/>
      <c r="G34" s="383"/>
      <c r="H34" s="383"/>
      <c r="I34" s="383"/>
      <c r="J34" s="383"/>
      <c r="K34" s="383"/>
      <c r="L34" s="383"/>
      <c r="M34" s="383"/>
      <c r="N34" s="383"/>
      <c r="O34" s="383"/>
      <c r="P34" s="383"/>
      <c r="Q34" s="383"/>
      <c r="R34" s="383"/>
      <c r="S34" s="383"/>
      <c r="T34" s="383"/>
      <c r="U34" s="383"/>
      <c r="V34" s="383"/>
      <c r="W34" s="383"/>
      <c r="X34" s="383"/>
      <c r="Y34" s="383"/>
      <c r="Z34" s="383"/>
      <c r="AA34" s="383"/>
      <c r="AB34" s="383"/>
    </row>
    <row r="36" spans="2:28" x14ac:dyDescent="0.3">
      <c r="B36" s="59" t="s">
        <v>170</v>
      </c>
      <c r="C36" s="377" t="str" cm="1">
        <f t="array" ref="C36">_xll.d.TestUtils_And(G41,N41,U41,AB41)</f>
        <v>OK</v>
      </c>
    </row>
    <row r="38" spans="2:28" ht="15.6" x14ac:dyDescent="0.3">
      <c r="B38" s="4" t="s">
        <v>268</v>
      </c>
      <c r="C38" s="384"/>
      <c r="D38" s="384"/>
      <c r="E38" s="384"/>
      <c r="F38" s="384"/>
      <c r="G38" s="384"/>
      <c r="I38" s="4" t="s">
        <v>270</v>
      </c>
      <c r="J38" s="4"/>
      <c r="K38" s="384"/>
      <c r="L38" s="384"/>
      <c r="M38" s="384"/>
      <c r="N38" s="384"/>
      <c r="P38" s="4" t="s">
        <v>271</v>
      </c>
      <c r="Q38" s="384"/>
      <c r="R38" s="384"/>
      <c r="S38" s="384"/>
      <c r="T38" s="384"/>
      <c r="U38" s="384"/>
      <c r="W38" s="4" t="s">
        <v>280</v>
      </c>
      <c r="X38" s="384"/>
      <c r="Y38" s="384"/>
      <c r="Z38" s="384"/>
      <c r="AA38" s="384"/>
      <c r="AB38" s="384"/>
    </row>
    <row r="39" spans="2:28" x14ac:dyDescent="0.3">
      <c r="G39" s="376"/>
    </row>
    <row r="40" spans="2:28" x14ac:dyDescent="0.3">
      <c r="B40" s="138" t="s">
        <v>267</v>
      </c>
      <c r="C40" s="139"/>
      <c r="E40" s="138" t="s">
        <v>144</v>
      </c>
      <c r="F40" s="138" t="s">
        <v>269</v>
      </c>
      <c r="G40" s="138" t="s">
        <v>88</v>
      </c>
      <c r="I40" s="138" t="s">
        <v>267</v>
      </c>
      <c r="J40" s="139"/>
      <c r="L40" s="138" t="s">
        <v>144</v>
      </c>
      <c r="M40" s="138" t="s">
        <v>269</v>
      </c>
      <c r="N40" s="138" t="s">
        <v>88</v>
      </c>
      <c r="P40" s="138" t="s">
        <v>267</v>
      </c>
      <c r="Q40" s="139"/>
      <c r="S40" s="138" t="s">
        <v>144</v>
      </c>
      <c r="T40" s="138" t="s">
        <v>269</v>
      </c>
      <c r="U40" s="138" t="s">
        <v>88</v>
      </c>
      <c r="W40" s="138" t="s">
        <v>267</v>
      </c>
      <c r="X40" s="139"/>
      <c r="Z40" s="138" t="s">
        <v>144</v>
      </c>
      <c r="AA40" s="138" t="s">
        <v>269</v>
      </c>
      <c r="AB40" s="138" t="s">
        <v>88</v>
      </c>
    </row>
    <row r="41" spans="2:28" x14ac:dyDescent="0.3">
      <c r="B41" s="380" t="s">
        <v>35</v>
      </c>
      <c r="C41" s="381">
        <v>44742</v>
      </c>
      <c r="E41" s="385" cm="1">
        <f t="array" ref="E41">_xll.d.Date_ModFolDay(C41,B43:B45)</f>
        <v>44741</v>
      </c>
      <c r="F41" s="386">
        <v>44741</v>
      </c>
      <c r="G41" s="387" t="str" cm="1">
        <f t="array" ref="G41">_xll.d.TestUtils_Equal(E41,F41)</f>
        <v>OK</v>
      </c>
      <c r="I41" s="140" t="s">
        <v>35</v>
      </c>
      <c r="J41" s="378">
        <v>44728</v>
      </c>
      <c r="L41" s="385" cm="1">
        <f t="array" ref="L41">_xll.d.Date_ModFolDay(J41,J42)</f>
        <v>44729</v>
      </c>
      <c r="M41" s="386">
        <v>44729</v>
      </c>
      <c r="N41" s="387" t="str" cm="1">
        <f t="array" ref="N41">_xll.d.TestUtils_Equal(L41,M41)</f>
        <v>OK</v>
      </c>
      <c r="P41" s="140" t="s">
        <v>35</v>
      </c>
      <c r="Q41" s="378">
        <v>44746</v>
      </c>
      <c r="S41" s="385" cm="1">
        <f t="array" ref="S41">_xll.d.Date_ModFolDay(Q41,Q42)</f>
        <v>44747</v>
      </c>
      <c r="T41" s="386">
        <v>44747</v>
      </c>
      <c r="U41" s="387" t="str" cm="1">
        <f t="array" ref="U41">_xll.d.TestUtils_Equal(S41,T41)</f>
        <v>OK</v>
      </c>
      <c r="W41" s="140" t="s">
        <v>35</v>
      </c>
      <c r="X41" s="378">
        <v>44746</v>
      </c>
      <c r="Z41" s="385" t="str" cm="1">
        <f t="array" ref="Z41">_xll.d.Date_ModFolDay(X41,X42)</f>
        <v>#∂Excel Error: Unknown calendar: WRE</v>
      </c>
      <c r="AA41" s="386" t="s">
        <v>282</v>
      </c>
      <c r="AB41" s="387" t="str" cm="1">
        <f t="array" ref="AB41">_xll.d.TestUtils_Equal(Z41,AA41)</f>
        <v>OK</v>
      </c>
    </row>
    <row r="42" spans="2:28" x14ac:dyDescent="0.3">
      <c r="G42" s="376"/>
      <c r="I42" s="144" t="s">
        <v>253</v>
      </c>
      <c r="J42" s="145" t="s">
        <v>71</v>
      </c>
      <c r="P42" s="144" t="s">
        <v>253</v>
      </c>
      <c r="Q42" s="145" t="s">
        <v>274</v>
      </c>
      <c r="W42" s="144" t="s">
        <v>253</v>
      </c>
      <c r="X42" s="145" t="s">
        <v>281</v>
      </c>
    </row>
    <row r="43" spans="2:28" x14ac:dyDescent="0.3">
      <c r="B43" s="379" t="s">
        <v>266</v>
      </c>
      <c r="G43" s="376"/>
    </row>
    <row r="44" spans="2:28" x14ac:dyDescent="0.3">
      <c r="B44" s="388">
        <v>44742</v>
      </c>
    </row>
    <row r="45" spans="2:28" x14ac:dyDescent="0.3">
      <c r="B45" s="389">
        <v>44920</v>
      </c>
      <c r="G45" s="376"/>
    </row>
    <row r="46" spans="2:28" x14ac:dyDescent="0.3">
      <c r="G46" s="376"/>
    </row>
    <row r="47" spans="2:28" x14ac:dyDescent="0.3">
      <c r="G47" s="376"/>
    </row>
    <row r="48" spans="2:28" x14ac:dyDescent="0.3">
      <c r="G48" s="376"/>
    </row>
    <row r="49" spans="2:28" ht="18" x14ac:dyDescent="0.35">
      <c r="B49" s="3" t="s">
        <v>273</v>
      </c>
      <c r="C49" s="383"/>
      <c r="D49" s="383"/>
      <c r="E49" s="383"/>
      <c r="F49" s="383"/>
      <c r="G49" s="383"/>
      <c r="H49" s="383"/>
      <c r="I49" s="383"/>
      <c r="J49" s="383"/>
      <c r="K49" s="383"/>
      <c r="L49" s="383"/>
      <c r="M49" s="383"/>
      <c r="N49" s="383"/>
      <c r="O49" s="383"/>
      <c r="P49" s="383"/>
      <c r="Q49" s="383"/>
      <c r="R49" s="383"/>
      <c r="S49" s="383"/>
      <c r="T49" s="383"/>
      <c r="U49" s="383"/>
      <c r="V49" s="383"/>
      <c r="W49" s="383"/>
      <c r="X49" s="383"/>
      <c r="Y49" s="383"/>
      <c r="Z49" s="383"/>
      <c r="AA49" s="383"/>
      <c r="AB49" s="383"/>
    </row>
    <row r="51" spans="2:28" x14ac:dyDescent="0.3">
      <c r="B51" s="59" t="s">
        <v>170</v>
      </c>
      <c r="C51" s="377" t="str" cm="1">
        <f t="array" ref="C51">_xll.d.TestUtils_And(G56,N56,U56,AB56)</f>
        <v>OK</v>
      </c>
    </row>
    <row r="52" spans="2:28" x14ac:dyDescent="0.3">
      <c r="G52" s="376"/>
    </row>
    <row r="53" spans="2:28" ht="15.6" x14ac:dyDescent="0.3">
      <c r="B53" s="4" t="s">
        <v>268</v>
      </c>
      <c r="C53" s="384"/>
      <c r="D53" s="384"/>
      <c r="E53" s="384"/>
      <c r="F53" s="384"/>
      <c r="G53" s="384"/>
      <c r="I53" s="4" t="s">
        <v>270</v>
      </c>
      <c r="J53" s="4"/>
      <c r="K53" s="384"/>
      <c r="L53" s="384"/>
      <c r="M53" s="384"/>
      <c r="N53" s="384"/>
      <c r="P53" s="4" t="s">
        <v>271</v>
      </c>
      <c r="Q53" s="384"/>
      <c r="R53" s="384"/>
      <c r="S53" s="384"/>
      <c r="T53" s="384"/>
      <c r="U53" s="384"/>
      <c r="W53" s="4" t="s">
        <v>280</v>
      </c>
      <c r="X53" s="384"/>
      <c r="Y53" s="384"/>
      <c r="Z53" s="384"/>
      <c r="AA53" s="384"/>
      <c r="AB53" s="384"/>
    </row>
    <row r="54" spans="2:28" x14ac:dyDescent="0.3">
      <c r="G54" s="376"/>
    </row>
    <row r="55" spans="2:28" x14ac:dyDescent="0.3">
      <c r="B55" s="138" t="s">
        <v>267</v>
      </c>
      <c r="C55" s="139"/>
      <c r="E55" s="138" t="s">
        <v>144</v>
      </c>
      <c r="F55" s="138" t="s">
        <v>269</v>
      </c>
      <c r="G55" s="138" t="s">
        <v>88</v>
      </c>
      <c r="I55" s="138" t="s">
        <v>267</v>
      </c>
      <c r="J55" s="139"/>
      <c r="L55" s="138" t="s">
        <v>144</v>
      </c>
      <c r="M55" s="138" t="s">
        <v>269</v>
      </c>
      <c r="N55" s="138" t="s">
        <v>88</v>
      </c>
      <c r="P55" s="138" t="s">
        <v>267</v>
      </c>
      <c r="Q55" s="139"/>
      <c r="S55" s="138" t="s">
        <v>144</v>
      </c>
      <c r="T55" s="138" t="s">
        <v>269</v>
      </c>
      <c r="U55" s="138" t="s">
        <v>88</v>
      </c>
      <c r="W55" s="138" t="s">
        <v>267</v>
      </c>
      <c r="X55" s="139"/>
      <c r="Z55" s="138" t="s">
        <v>144</v>
      </c>
      <c r="AA55" s="138" t="s">
        <v>269</v>
      </c>
      <c r="AB55" s="138" t="s">
        <v>88</v>
      </c>
    </row>
    <row r="56" spans="2:28" x14ac:dyDescent="0.3">
      <c r="B56" s="380" t="s">
        <v>35</v>
      </c>
      <c r="C56" s="381">
        <v>44742</v>
      </c>
      <c r="E56" s="385" cm="1">
        <f t="array" ref="E56">_xll.d.Date_PrevDay(C56,B58:B60)</f>
        <v>44741</v>
      </c>
      <c r="F56" s="386">
        <v>44741</v>
      </c>
      <c r="G56" s="387" t="str" cm="1">
        <f t="array" ref="G56">_xll.d.TestUtils_Equal(E56,F56)</f>
        <v>OK</v>
      </c>
      <c r="I56" s="140" t="s">
        <v>35</v>
      </c>
      <c r="J56" s="378">
        <v>44728</v>
      </c>
      <c r="L56" s="385" cm="1">
        <f t="array" ref="L56">_xll.d.Date_PrevDay(J56,J57)</f>
        <v>44727</v>
      </c>
      <c r="M56" s="386">
        <v>44727</v>
      </c>
      <c r="N56" s="387" t="str" cm="1">
        <f t="array" ref="N56">_xll.d.TestUtils_Equal(L56,M56)</f>
        <v>OK</v>
      </c>
      <c r="P56" s="140" t="s">
        <v>35</v>
      </c>
      <c r="Q56" s="378">
        <v>44746</v>
      </c>
      <c r="S56" s="385" cm="1">
        <f t="array" ref="S56">_xll.d.Date_PrevDay(Q56,Q57)</f>
        <v>44743</v>
      </c>
      <c r="T56" s="386">
        <v>44743</v>
      </c>
      <c r="U56" s="387" t="str" cm="1">
        <f t="array" ref="U56">_xll.d.TestUtils_Equal(S56,T56)</f>
        <v>OK</v>
      </c>
      <c r="W56" s="140" t="s">
        <v>35</v>
      </c>
      <c r="X56" s="378">
        <v>44746</v>
      </c>
      <c r="Z56" s="385" t="str" cm="1">
        <f t="array" ref="Z56">_xll.d.Date_PrevDay(X56,X57)</f>
        <v>#∂Excel Error: Unknown calendar: WRE</v>
      </c>
      <c r="AA56" s="386" t="s">
        <v>282</v>
      </c>
      <c r="AB56" s="387" t="str" cm="1">
        <f t="array" ref="AB56">_xll.d.TestUtils_Equal(Z56,AA56)</f>
        <v>OK</v>
      </c>
    </row>
    <row r="57" spans="2:28" x14ac:dyDescent="0.3">
      <c r="G57" s="376"/>
      <c r="I57" s="144" t="s">
        <v>253</v>
      </c>
      <c r="J57" s="145" t="s">
        <v>71</v>
      </c>
      <c r="P57" s="144" t="s">
        <v>253</v>
      </c>
      <c r="Q57" s="145" t="s">
        <v>274</v>
      </c>
      <c r="W57" s="144" t="s">
        <v>253</v>
      </c>
      <c r="X57" s="145" t="s">
        <v>281</v>
      </c>
    </row>
    <row r="58" spans="2:28" x14ac:dyDescent="0.3">
      <c r="B58" s="379" t="s">
        <v>266</v>
      </c>
      <c r="G58" s="376"/>
    </row>
    <row r="59" spans="2:28" x14ac:dyDescent="0.3">
      <c r="B59" s="388">
        <v>44742</v>
      </c>
    </row>
    <row r="60" spans="2:28" x14ac:dyDescent="0.3">
      <c r="B60" s="389">
        <v>44920</v>
      </c>
      <c r="G60" s="376"/>
    </row>
    <row r="61" spans="2:28" x14ac:dyDescent="0.3">
      <c r="G61" s="376"/>
    </row>
    <row r="62" spans="2:28" x14ac:dyDescent="0.3">
      <c r="G62" s="376"/>
    </row>
    <row r="63" spans="2:28" x14ac:dyDescent="0.3">
      <c r="G63" s="376"/>
    </row>
    <row r="64" spans="2:28" ht="18" x14ac:dyDescent="0.35">
      <c r="B64" s="3" t="s">
        <v>264</v>
      </c>
      <c r="C64" s="383"/>
      <c r="D64" s="383"/>
      <c r="E64" s="383"/>
      <c r="F64" s="383"/>
      <c r="G64" s="383"/>
      <c r="H64" s="383"/>
      <c r="I64" s="383"/>
      <c r="J64" s="383"/>
      <c r="K64" s="383"/>
      <c r="L64" s="383"/>
      <c r="M64" s="383"/>
      <c r="N64" s="383"/>
      <c r="O64" s="383"/>
      <c r="P64" s="383"/>
      <c r="Q64" s="383"/>
      <c r="R64" s="383"/>
      <c r="S64" s="383"/>
      <c r="T64" s="383"/>
      <c r="U64" s="383"/>
      <c r="V64" s="383"/>
      <c r="W64" s="383"/>
      <c r="X64" s="383"/>
      <c r="Y64" s="383"/>
      <c r="Z64" s="383"/>
      <c r="AA64" s="383"/>
      <c r="AB64" s="383"/>
    </row>
    <row r="66" spans="2:28" x14ac:dyDescent="0.3">
      <c r="B66" s="59" t="s">
        <v>170</v>
      </c>
      <c r="C66" s="377" t="str" cm="1">
        <f t="array" ref="C66">_xll.d.TestUtils_And(G71,N71,U71,AB71)</f>
        <v>OK</v>
      </c>
    </row>
    <row r="68" spans="2:28" ht="15.6" x14ac:dyDescent="0.3">
      <c r="B68" s="4" t="s">
        <v>278</v>
      </c>
      <c r="C68" s="384"/>
      <c r="D68" s="384"/>
      <c r="E68" s="384"/>
      <c r="F68" s="384"/>
      <c r="G68" s="384"/>
      <c r="I68" s="4" t="s">
        <v>279</v>
      </c>
      <c r="J68" s="384"/>
      <c r="K68" s="384"/>
      <c r="L68" s="384"/>
      <c r="M68" s="384"/>
      <c r="N68" s="384"/>
      <c r="P68" s="4" t="s">
        <v>283</v>
      </c>
      <c r="Q68" s="384"/>
      <c r="R68" s="384"/>
      <c r="S68" s="384"/>
      <c r="T68" s="384"/>
      <c r="U68" s="384"/>
      <c r="W68" s="4" t="s">
        <v>284</v>
      </c>
      <c r="X68" s="384"/>
      <c r="Y68" s="384"/>
      <c r="Z68" s="384"/>
      <c r="AA68" s="384"/>
      <c r="AB68" s="384"/>
    </row>
    <row r="70" spans="2:28" x14ac:dyDescent="0.3">
      <c r="B70" s="138" t="s">
        <v>267</v>
      </c>
      <c r="C70" s="139"/>
      <c r="E70" s="12" t="s">
        <v>144</v>
      </c>
      <c r="F70" s="27" t="s">
        <v>269</v>
      </c>
      <c r="G70" s="139" t="s">
        <v>88</v>
      </c>
      <c r="I70" s="138" t="s">
        <v>267</v>
      </c>
      <c r="J70" s="139"/>
      <c r="L70" s="12" t="s">
        <v>144</v>
      </c>
      <c r="M70" s="27" t="s">
        <v>269</v>
      </c>
      <c r="N70" s="139" t="s">
        <v>88</v>
      </c>
      <c r="P70" s="138" t="s">
        <v>267</v>
      </c>
      <c r="Q70" s="139"/>
      <c r="S70" s="12" t="s">
        <v>144</v>
      </c>
      <c r="T70" s="27" t="s">
        <v>269</v>
      </c>
      <c r="U70" s="139" t="s">
        <v>88</v>
      </c>
      <c r="W70" s="138" t="s">
        <v>267</v>
      </c>
      <c r="X70" s="139"/>
      <c r="Z70" s="12" t="s">
        <v>144</v>
      </c>
      <c r="AA70" s="27" t="s">
        <v>269</v>
      </c>
      <c r="AB70" s="139" t="s">
        <v>88</v>
      </c>
    </row>
    <row r="71" spans="2:28" x14ac:dyDescent="0.3">
      <c r="B71" s="140" t="s">
        <v>35</v>
      </c>
      <c r="C71" s="378">
        <v>44562</v>
      </c>
      <c r="E71" s="385" cm="1">
        <f t="array" ref="E71">_xll.d.Date_AddTenorToDate(C71,C72,C73,C74)</f>
        <v>44652</v>
      </c>
      <c r="F71" s="386">
        <v>44652</v>
      </c>
      <c r="G71" s="387" t="str" cm="1">
        <f t="array" ref="G71">_xll.d.TestUtils_Equal(E71,F71)</f>
        <v>OK</v>
      </c>
      <c r="I71" s="140" t="s">
        <v>35</v>
      </c>
      <c r="J71" s="378">
        <v>44562</v>
      </c>
      <c r="L71" s="385" cm="1">
        <f t="array" ref="L71">_xll.d.Date_AddTenorToDate(J71,J72,J73,J74)</f>
        <v>44652</v>
      </c>
      <c r="M71" s="386">
        <v>44652</v>
      </c>
      <c r="N71" s="387" t="str" cm="1">
        <f t="array" ref="N71">_xll.d.TestUtils_Equal(L71,M71)</f>
        <v>OK</v>
      </c>
      <c r="P71" s="140" t="s">
        <v>35</v>
      </c>
      <c r="Q71" s="378">
        <v>44562</v>
      </c>
      <c r="S71" s="385" t="str" cm="1">
        <f t="array" ref="S71">_xll.d.Date_AddTenorToDate(Q71,Q72,Q73,Q74)</f>
        <v>#∂Excel Error: Unknown calendar: WRE</v>
      </c>
      <c r="T71" s="386" t="s">
        <v>282</v>
      </c>
      <c r="U71" s="387" t="str" cm="1">
        <f t="array" ref="U71">_xll.d.TestUtils_Equal(S71,T71)</f>
        <v>OK</v>
      </c>
      <c r="W71" s="140" t="s">
        <v>35</v>
      </c>
      <c r="X71" s="378">
        <v>44562</v>
      </c>
      <c r="Z71" s="385" t="str" cm="1">
        <f t="array" ref="Z71">_xll.d.Date_AddTenorToDate(X71,X72,X73,X74)</f>
        <v>#∂Excel Error: Unknown business day convention: ASD</v>
      </c>
      <c r="AA71" s="386" t="s">
        <v>286</v>
      </c>
      <c r="AB71" s="387" t="str" cm="1">
        <f t="array" ref="AB71">_xll.d.TestUtils_Equal(Z71,AA71)</f>
        <v>OK</v>
      </c>
    </row>
    <row r="72" spans="2:28" x14ac:dyDescent="0.3">
      <c r="B72" s="142" t="s">
        <v>24</v>
      </c>
      <c r="C72" s="390" t="s">
        <v>26</v>
      </c>
      <c r="I72" s="142" t="s">
        <v>24</v>
      </c>
      <c r="J72" s="390" t="s">
        <v>26</v>
      </c>
      <c r="P72" s="142" t="s">
        <v>24</v>
      </c>
      <c r="Q72" s="390" t="s">
        <v>26</v>
      </c>
      <c r="W72" s="142" t="s">
        <v>24</v>
      </c>
      <c r="X72" s="390" t="s">
        <v>26</v>
      </c>
    </row>
    <row r="73" spans="2:28" x14ac:dyDescent="0.3">
      <c r="B73" s="142" t="s">
        <v>253</v>
      </c>
      <c r="C73" s="390" t="s">
        <v>71</v>
      </c>
      <c r="I73" s="142" t="s">
        <v>253</v>
      </c>
      <c r="J73" s="390" t="s">
        <v>274</v>
      </c>
      <c r="P73" s="142" t="s">
        <v>253</v>
      </c>
      <c r="Q73" s="390" t="s">
        <v>281</v>
      </c>
      <c r="W73" s="142" t="s">
        <v>253</v>
      </c>
      <c r="X73" s="390" t="s">
        <v>274</v>
      </c>
    </row>
    <row r="74" spans="2:28" x14ac:dyDescent="0.3">
      <c r="B74" s="144" t="s">
        <v>254</v>
      </c>
      <c r="C74" s="145" t="s">
        <v>255</v>
      </c>
      <c r="I74" s="144" t="s">
        <v>254</v>
      </c>
      <c r="J74" s="145" t="s">
        <v>255</v>
      </c>
      <c r="P74" s="144" t="s">
        <v>254</v>
      </c>
      <c r="Q74" s="145" t="s">
        <v>255</v>
      </c>
      <c r="W74" s="144" t="s">
        <v>254</v>
      </c>
      <c r="X74" s="145" t="s">
        <v>285</v>
      </c>
    </row>
    <row r="75" spans="2:28" x14ac:dyDescent="0.3">
      <c r="B75" s="238"/>
    </row>
    <row r="76" spans="2:28" x14ac:dyDescent="0.3">
      <c r="B76" s="238"/>
    </row>
    <row r="78" spans="2:28" ht="18" x14ac:dyDescent="0.35">
      <c r="B78" s="3" t="s">
        <v>377</v>
      </c>
      <c r="C78" s="383"/>
      <c r="D78" s="383"/>
      <c r="E78" s="383"/>
      <c r="F78" s="383"/>
      <c r="G78" s="383"/>
      <c r="H78" s="383"/>
      <c r="I78" s="383"/>
      <c r="J78" s="383"/>
      <c r="K78" s="383"/>
      <c r="L78" s="383"/>
      <c r="M78" s="383"/>
      <c r="N78" s="383"/>
      <c r="O78" s="383"/>
      <c r="P78" s="383"/>
      <c r="Q78" s="383"/>
      <c r="R78" s="383"/>
      <c r="S78" s="383"/>
      <c r="T78" s="383"/>
      <c r="U78" s="383"/>
      <c r="V78" s="383"/>
      <c r="W78" s="383"/>
      <c r="X78" s="383"/>
      <c r="Y78" s="383"/>
      <c r="Z78" s="383"/>
      <c r="AA78" s="383"/>
      <c r="AB78" s="383"/>
    </row>
    <row r="80" spans="2:28" x14ac:dyDescent="0.3">
      <c r="B80" s="59" t="s">
        <v>170</v>
      </c>
      <c r="C80" s="377" t="str" cm="1">
        <f t="array" ref="C80">_xll.d.TestUtils_And(L85:O118)</f>
        <v>OK</v>
      </c>
    </row>
    <row r="82" spans="2:15" ht="15.6" x14ac:dyDescent="0.3">
      <c r="B82" s="4" t="s">
        <v>115</v>
      </c>
      <c r="C82" s="384"/>
      <c r="D82" s="384"/>
      <c r="E82" s="384"/>
      <c r="F82" s="384"/>
      <c r="G82" s="384"/>
      <c r="H82" s="384"/>
      <c r="I82" s="384"/>
    </row>
    <row r="84" spans="2:15" x14ac:dyDescent="0.3">
      <c r="B84" s="138" t="s">
        <v>144</v>
      </c>
      <c r="C84" s="231"/>
      <c r="D84" s="231"/>
      <c r="E84" s="139"/>
      <c r="G84" s="138" t="s">
        <v>269</v>
      </c>
      <c r="H84" s="231"/>
      <c r="I84" s="231"/>
      <c r="J84" s="139"/>
      <c r="L84" s="138" t="s">
        <v>225</v>
      </c>
      <c r="M84" s="231"/>
      <c r="N84" s="231"/>
      <c r="O84" s="139"/>
    </row>
    <row r="85" spans="2:15" x14ac:dyDescent="0.3">
      <c r="B85" s="136" t="str" cm="1">
        <f t="array" ref="B85:E118">_xll.d.Date_GetListOfCalendars()</f>
        <v>Variant 1</v>
      </c>
      <c r="C85" s="344" t="str">
        <v>Variant 2</v>
      </c>
      <c r="D85" s="344" t="str">
        <v>Variant 3</v>
      </c>
      <c r="E85" s="137" t="str">
        <v>Variant 4</v>
      </c>
      <c r="G85" s="136" t="s">
        <v>290</v>
      </c>
      <c r="H85" s="344" t="s">
        <v>291</v>
      </c>
      <c r="I85" s="344" t="s">
        <v>301</v>
      </c>
      <c r="J85" s="137" t="s">
        <v>302</v>
      </c>
      <c r="L85" s="377" t="str" cm="1">
        <f t="array" ref="L85">_xll.d.TestUtils_Equal(B85,G85)</f>
        <v>OK</v>
      </c>
      <c r="M85" s="377" t="str" cm="1">
        <f t="array" ref="M85">_xll.d.TestUtils_Equal(C85,H85)</f>
        <v>OK</v>
      </c>
      <c r="N85" s="377" t="str" cm="1">
        <f t="array" ref="N85">_xll.d.TestUtils_Equal(D85,I85)</f>
        <v>OK</v>
      </c>
      <c r="O85" s="377" t="str" cm="1">
        <f t="array" ref="O85">_xll.d.TestUtils_Equal(E85,J85)</f>
        <v>OK</v>
      </c>
    </row>
    <row r="86" spans="2:15" x14ac:dyDescent="0.3">
      <c r="B86" s="140" t="str">
        <v>ARS</v>
      </c>
      <c r="C86" s="398" t="str">
        <v>Argentina</v>
      </c>
      <c r="D86" s="398" t="str">
        <v/>
      </c>
      <c r="E86" s="141" t="str">
        <v/>
      </c>
      <c r="G86" s="140" t="s">
        <v>313</v>
      </c>
      <c r="H86" s="398" t="s">
        <v>314</v>
      </c>
      <c r="I86" s="398" t="s">
        <v>305</v>
      </c>
      <c r="J86" s="141" t="s">
        <v>305</v>
      </c>
      <c r="L86" s="377" t="str" cm="1">
        <f t="array" ref="L86">_xll.d.TestUtils_Equal(B86,G86)</f>
        <v>OK</v>
      </c>
      <c r="M86" s="377" t="str" cm="1">
        <f t="array" ref="M86">_xll.d.TestUtils_Equal(C86,H86)</f>
        <v>OK</v>
      </c>
      <c r="N86" s="377" t="str" cm="1">
        <f t="array" ref="N86">_xll.d.TestUtils_Equal(D86,I86)</f>
        <v>OK</v>
      </c>
      <c r="O86" s="377" t="str" cm="1">
        <f t="array" ref="O86">_xll.d.TestUtils_Equal(E86,J86)</f>
        <v>OK</v>
      </c>
    </row>
    <row r="87" spans="2:15" x14ac:dyDescent="0.3">
      <c r="B87" s="142" t="str">
        <v>AUD</v>
      </c>
      <c r="C87" s="332" t="str">
        <v>Australia</v>
      </c>
      <c r="D87" s="332" t="str">
        <v/>
      </c>
      <c r="E87" s="143" t="str">
        <v/>
      </c>
      <c r="G87" s="142" t="s">
        <v>315</v>
      </c>
      <c r="H87" s="332" t="s">
        <v>316</v>
      </c>
      <c r="I87" s="332" t="s">
        <v>305</v>
      </c>
      <c r="J87" s="143" t="s">
        <v>305</v>
      </c>
      <c r="L87" s="377" t="str" cm="1">
        <f t="array" ref="L87">_xll.d.TestUtils_Equal(B87,G87)</f>
        <v>OK</v>
      </c>
      <c r="M87" s="377" t="str" cm="1">
        <f t="array" ref="M87">_xll.d.TestUtils_Equal(C87,H87)</f>
        <v>OK</v>
      </c>
      <c r="N87" s="377" t="str" cm="1">
        <f t="array" ref="N87">_xll.d.TestUtils_Equal(D87,I87)</f>
        <v>OK</v>
      </c>
      <c r="O87" s="377" t="str" cm="1">
        <f t="array" ref="O87">_xll.d.TestUtils_Equal(E87,J87)</f>
        <v>OK</v>
      </c>
    </row>
    <row r="88" spans="2:15" x14ac:dyDescent="0.3">
      <c r="B88" s="142" t="str">
        <v>BWP</v>
      </c>
      <c r="C88" s="332" t="str">
        <v>Botswana</v>
      </c>
      <c r="D88" s="332" t="str">
        <v/>
      </c>
      <c r="E88" s="143" t="str">
        <v/>
      </c>
      <c r="G88" s="142" t="s">
        <v>317</v>
      </c>
      <c r="H88" s="332" t="s">
        <v>318</v>
      </c>
      <c r="I88" s="332" t="s">
        <v>305</v>
      </c>
      <c r="J88" s="143" t="s">
        <v>305</v>
      </c>
      <c r="L88" s="377" t="str" cm="1">
        <f t="array" ref="L88">_xll.d.TestUtils_Equal(B88,G88)</f>
        <v>OK</v>
      </c>
      <c r="M88" s="377" t="str" cm="1">
        <f t="array" ref="M88">_xll.d.TestUtils_Equal(C88,H88)</f>
        <v>OK</v>
      </c>
      <c r="N88" s="377" t="str" cm="1">
        <f t="array" ref="N88">_xll.d.TestUtils_Equal(D88,I88)</f>
        <v>OK</v>
      </c>
      <c r="O88" s="377" t="str" cm="1">
        <f t="array" ref="O88">_xll.d.TestUtils_Equal(E88,J88)</f>
        <v>OK</v>
      </c>
    </row>
    <row r="89" spans="2:15" x14ac:dyDescent="0.3">
      <c r="B89" s="142" t="str">
        <v>BRL</v>
      </c>
      <c r="C89" s="332" t="str">
        <v>Brazil</v>
      </c>
      <c r="D89" s="332" t="str">
        <v/>
      </c>
      <c r="E89" s="143" t="str">
        <v/>
      </c>
      <c r="G89" s="142" t="s">
        <v>319</v>
      </c>
      <c r="H89" s="332" t="s">
        <v>320</v>
      </c>
      <c r="I89" s="332" t="s">
        <v>305</v>
      </c>
      <c r="J89" s="143" t="s">
        <v>305</v>
      </c>
      <c r="L89" s="377" t="str" cm="1">
        <f t="array" ref="L89">_xll.d.TestUtils_Equal(B89,G89)</f>
        <v>OK</v>
      </c>
      <c r="M89" s="377" t="str" cm="1">
        <f t="array" ref="M89">_xll.d.TestUtils_Equal(C89,H89)</f>
        <v>OK</v>
      </c>
      <c r="N89" s="377" t="str" cm="1">
        <f t="array" ref="N89">_xll.d.TestUtils_Equal(D89,I89)</f>
        <v>OK</v>
      </c>
      <c r="O89" s="377" t="str" cm="1">
        <f t="array" ref="O89">_xll.d.TestUtils_Equal(E89,J89)</f>
        <v>OK</v>
      </c>
    </row>
    <row r="90" spans="2:15" x14ac:dyDescent="0.3">
      <c r="B90" s="142" t="str">
        <v>CAD</v>
      </c>
      <c r="C90" s="332" t="str">
        <v>Canada</v>
      </c>
      <c r="D90" s="332" t="str">
        <v/>
      </c>
      <c r="E90" s="143" t="str">
        <v/>
      </c>
      <c r="G90" s="142" t="s">
        <v>321</v>
      </c>
      <c r="H90" s="332" t="s">
        <v>322</v>
      </c>
      <c r="I90" s="332" t="s">
        <v>305</v>
      </c>
      <c r="J90" s="143" t="s">
        <v>305</v>
      </c>
      <c r="L90" s="377" t="str" cm="1">
        <f t="array" ref="L90">_xll.d.TestUtils_Equal(B90,G90)</f>
        <v>OK</v>
      </c>
      <c r="M90" s="377" t="str" cm="1">
        <f t="array" ref="M90">_xll.d.TestUtils_Equal(C90,H90)</f>
        <v>OK</v>
      </c>
      <c r="N90" s="377" t="str" cm="1">
        <f t="array" ref="N90">_xll.d.TestUtils_Equal(D90,I90)</f>
        <v>OK</v>
      </c>
      <c r="O90" s="377" t="str" cm="1">
        <f t="array" ref="O90">_xll.d.TestUtils_Equal(E90,J90)</f>
        <v>OK</v>
      </c>
    </row>
    <row r="91" spans="2:15" x14ac:dyDescent="0.3">
      <c r="B91" s="142" t="str">
        <v>CHF</v>
      </c>
      <c r="C91" s="332" t="str">
        <v>Switzerland</v>
      </c>
      <c r="D91" s="332" t="str">
        <v/>
      </c>
      <c r="E91" s="143" t="str">
        <v/>
      </c>
      <c r="G91" s="142" t="s">
        <v>323</v>
      </c>
      <c r="H91" s="332" t="s">
        <v>324</v>
      </c>
      <c r="I91" s="332" t="s">
        <v>305</v>
      </c>
      <c r="J91" s="143" t="s">
        <v>305</v>
      </c>
      <c r="L91" s="377" t="str" cm="1">
        <f t="array" ref="L91">_xll.d.TestUtils_Equal(B91,G91)</f>
        <v>OK</v>
      </c>
      <c r="M91" s="377" t="str" cm="1">
        <f t="array" ref="M91">_xll.d.TestUtils_Equal(C91,H91)</f>
        <v>OK</v>
      </c>
      <c r="N91" s="377" t="str" cm="1">
        <f t="array" ref="N91">_xll.d.TestUtils_Equal(D91,I91)</f>
        <v>OK</v>
      </c>
      <c r="O91" s="377" t="str" cm="1">
        <f t="array" ref="O91">_xll.d.TestUtils_Equal(E91,J91)</f>
        <v>OK</v>
      </c>
    </row>
    <row r="92" spans="2:15" x14ac:dyDescent="0.3">
      <c r="B92" s="142" t="str">
        <v>CNH</v>
      </c>
      <c r="C92" s="332" t="str">
        <v>China</v>
      </c>
      <c r="D92" s="332" t="str">
        <v/>
      </c>
      <c r="E92" s="143" t="str">
        <v/>
      </c>
      <c r="G92" s="142" t="s">
        <v>325</v>
      </c>
      <c r="H92" s="332" t="s">
        <v>326</v>
      </c>
      <c r="I92" s="332" t="s">
        <v>305</v>
      </c>
      <c r="J92" s="143" t="s">
        <v>305</v>
      </c>
      <c r="L92" s="377" t="str" cm="1">
        <f t="array" ref="L92">_xll.d.TestUtils_Equal(B92,G92)</f>
        <v>OK</v>
      </c>
      <c r="M92" s="377" t="str" cm="1">
        <f t="array" ref="M92">_xll.d.TestUtils_Equal(C92,H92)</f>
        <v>OK</v>
      </c>
      <c r="N92" s="377" t="str" cm="1">
        <f t="array" ref="N92">_xll.d.TestUtils_Equal(D92,I92)</f>
        <v>OK</v>
      </c>
      <c r="O92" s="377" t="str" cm="1">
        <f t="array" ref="O92">_xll.d.TestUtils_Equal(E92,J92)</f>
        <v>OK</v>
      </c>
    </row>
    <row r="93" spans="2:15" x14ac:dyDescent="0.3">
      <c r="B93" s="142" t="str">
        <v>CZK</v>
      </c>
      <c r="C93" s="332" t="str">
        <v>Czech Republic</v>
      </c>
      <c r="D93" s="332" t="str">
        <v/>
      </c>
      <c r="E93" s="143" t="str">
        <v/>
      </c>
      <c r="G93" s="142" t="s">
        <v>327</v>
      </c>
      <c r="H93" s="332" t="s">
        <v>328</v>
      </c>
      <c r="I93" s="332" t="s">
        <v>305</v>
      </c>
      <c r="J93" s="143" t="s">
        <v>305</v>
      </c>
      <c r="L93" s="377" t="str" cm="1">
        <f t="array" ref="L93">_xll.d.TestUtils_Equal(B93,G93)</f>
        <v>OK</v>
      </c>
      <c r="M93" s="377" t="str" cm="1">
        <f t="array" ref="M93">_xll.d.TestUtils_Equal(C93,H93)</f>
        <v>OK</v>
      </c>
      <c r="N93" s="377" t="str" cm="1">
        <f t="array" ref="N93">_xll.d.TestUtils_Equal(D93,I93)</f>
        <v>OK</v>
      </c>
      <c r="O93" s="377" t="str" cm="1">
        <f t="array" ref="O93">_xll.d.TestUtils_Equal(E93,J93)</f>
        <v>OK</v>
      </c>
    </row>
    <row r="94" spans="2:15" x14ac:dyDescent="0.3">
      <c r="B94" s="142" t="str">
        <v>DKK</v>
      </c>
      <c r="C94" s="332" t="str">
        <v>Denmark</v>
      </c>
      <c r="D94" s="332" t="str">
        <v/>
      </c>
      <c r="E94" s="143" t="str">
        <v/>
      </c>
      <c r="G94" s="142" t="s">
        <v>329</v>
      </c>
      <c r="H94" s="332" t="s">
        <v>330</v>
      </c>
      <c r="I94" s="332" t="s">
        <v>305</v>
      </c>
      <c r="J94" s="143" t="s">
        <v>305</v>
      </c>
      <c r="L94" s="377" t="str" cm="1">
        <f t="array" ref="L94">_xll.d.TestUtils_Equal(B94,G94)</f>
        <v>OK</v>
      </c>
      <c r="M94" s="377" t="str" cm="1">
        <f t="array" ref="M94">_xll.d.TestUtils_Equal(C94,H94)</f>
        <v>OK</v>
      </c>
      <c r="N94" s="377" t="str" cm="1">
        <f t="array" ref="N94">_xll.d.TestUtils_Equal(D94,I94)</f>
        <v>OK</v>
      </c>
      <c r="O94" s="377" t="str" cm="1">
        <f t="array" ref="O94">_xll.d.TestUtils_Equal(E94,J94)</f>
        <v>OK</v>
      </c>
    </row>
    <row r="95" spans="2:15" x14ac:dyDescent="0.3">
      <c r="B95" s="142" t="str">
        <v>EUR</v>
      </c>
      <c r="C95" s="332" t="str">
        <v>Euro</v>
      </c>
      <c r="D95" s="332" t="str">
        <v/>
      </c>
      <c r="E95" s="143" t="str">
        <v/>
      </c>
      <c r="G95" s="142" t="s">
        <v>331</v>
      </c>
      <c r="H95" s="332" t="s">
        <v>332</v>
      </c>
      <c r="I95" s="332" t="s">
        <v>305</v>
      </c>
      <c r="J95" s="143" t="s">
        <v>305</v>
      </c>
      <c r="L95" s="377" t="str" cm="1">
        <f t="array" ref="L95">_xll.d.TestUtils_Equal(B95,G95)</f>
        <v>OK</v>
      </c>
      <c r="M95" s="377" t="str" cm="1">
        <f t="array" ref="M95">_xll.d.TestUtils_Equal(C95,H95)</f>
        <v>OK</v>
      </c>
      <c r="N95" s="377" t="str" cm="1">
        <f t="array" ref="N95">_xll.d.TestUtils_Equal(D95,I95)</f>
        <v>OK</v>
      </c>
      <c r="O95" s="377" t="str" cm="1">
        <f t="array" ref="O95">_xll.d.TestUtils_Equal(E95,J95)</f>
        <v>OK</v>
      </c>
    </row>
    <row r="96" spans="2:15" x14ac:dyDescent="0.3">
      <c r="B96" s="142" t="str">
        <v>GBP</v>
      </c>
      <c r="C96" s="332" t="str">
        <v>Great Britain</v>
      </c>
      <c r="D96" s="332" t="str">
        <v/>
      </c>
      <c r="E96" s="143" t="str">
        <v/>
      </c>
      <c r="G96" s="142" t="s">
        <v>333</v>
      </c>
      <c r="H96" s="332" t="s">
        <v>334</v>
      </c>
      <c r="I96" s="332" t="s">
        <v>305</v>
      </c>
      <c r="J96" s="143" t="s">
        <v>305</v>
      </c>
      <c r="L96" s="377" t="str" cm="1">
        <f t="array" ref="L96">_xll.d.TestUtils_Equal(B96,G96)</f>
        <v>OK</v>
      </c>
      <c r="M96" s="377" t="str" cm="1">
        <f t="array" ref="M96">_xll.d.TestUtils_Equal(C96,H96)</f>
        <v>OK</v>
      </c>
      <c r="N96" s="377" t="str" cm="1">
        <f t="array" ref="N96">_xll.d.TestUtils_Equal(D96,I96)</f>
        <v>OK</v>
      </c>
      <c r="O96" s="377" t="str" cm="1">
        <f t="array" ref="O96">_xll.d.TestUtils_Equal(E96,J96)</f>
        <v>OK</v>
      </c>
    </row>
    <row r="97" spans="2:15" x14ac:dyDescent="0.3">
      <c r="B97" s="142" t="str">
        <v>Germany</v>
      </c>
      <c r="C97" s="332" t="str">
        <v/>
      </c>
      <c r="D97" s="332" t="str">
        <v/>
      </c>
      <c r="E97" s="143" t="str">
        <v/>
      </c>
      <c r="G97" s="142" t="s">
        <v>335</v>
      </c>
      <c r="H97" s="332" t="s">
        <v>305</v>
      </c>
      <c r="I97" s="332" t="s">
        <v>305</v>
      </c>
      <c r="J97" s="143" t="s">
        <v>305</v>
      </c>
      <c r="L97" s="377" t="str" cm="1">
        <f t="array" ref="L97">_xll.d.TestUtils_Equal(B97,G97)</f>
        <v>OK</v>
      </c>
      <c r="M97" s="377" t="str" cm="1">
        <f t="array" ref="M97">_xll.d.TestUtils_Equal(C97,H97)</f>
        <v>OK</v>
      </c>
      <c r="N97" s="377" t="str" cm="1">
        <f t="array" ref="N97">_xll.d.TestUtils_Equal(D97,I97)</f>
        <v>OK</v>
      </c>
      <c r="O97" s="377" t="str" cm="1">
        <f t="array" ref="O97">_xll.d.TestUtils_Equal(E97,J97)</f>
        <v>OK</v>
      </c>
    </row>
    <row r="98" spans="2:15" x14ac:dyDescent="0.3">
      <c r="B98" s="142" t="str">
        <v>HUF</v>
      </c>
      <c r="C98" s="332" t="str">
        <v>Hungary</v>
      </c>
      <c r="D98" s="332" t="str">
        <v/>
      </c>
      <c r="E98" s="143" t="str">
        <v/>
      </c>
      <c r="G98" s="142" t="s">
        <v>336</v>
      </c>
      <c r="H98" s="332" t="s">
        <v>337</v>
      </c>
      <c r="I98" s="332" t="s">
        <v>305</v>
      </c>
      <c r="J98" s="143" t="s">
        <v>305</v>
      </c>
      <c r="L98" s="377" t="str" cm="1">
        <f t="array" ref="L98">_xll.d.TestUtils_Equal(B98,G98)</f>
        <v>OK</v>
      </c>
      <c r="M98" s="377" t="str" cm="1">
        <f t="array" ref="M98">_xll.d.TestUtils_Equal(C98,H98)</f>
        <v>OK</v>
      </c>
      <c r="N98" s="377" t="str" cm="1">
        <f t="array" ref="N98">_xll.d.TestUtils_Equal(D98,I98)</f>
        <v>OK</v>
      </c>
      <c r="O98" s="377" t="str" cm="1">
        <f t="array" ref="O98">_xll.d.TestUtils_Equal(E98,J98)</f>
        <v>OK</v>
      </c>
    </row>
    <row r="99" spans="2:15" x14ac:dyDescent="0.3">
      <c r="B99" s="142" t="str">
        <v>INR</v>
      </c>
      <c r="C99" s="332" t="str">
        <v>India</v>
      </c>
      <c r="D99" s="332" t="str">
        <v/>
      </c>
      <c r="E99" s="143" t="str">
        <v/>
      </c>
      <c r="G99" s="142" t="s">
        <v>338</v>
      </c>
      <c r="H99" s="332" t="s">
        <v>339</v>
      </c>
      <c r="I99" s="332" t="s">
        <v>305</v>
      </c>
      <c r="J99" s="143" t="s">
        <v>305</v>
      </c>
      <c r="L99" s="377" t="str" cm="1">
        <f t="array" ref="L99">_xll.d.TestUtils_Equal(B99,G99)</f>
        <v>OK</v>
      </c>
      <c r="M99" s="377" t="str" cm="1">
        <f t="array" ref="M99">_xll.d.TestUtils_Equal(C99,H99)</f>
        <v>OK</v>
      </c>
      <c r="N99" s="377" t="str" cm="1">
        <f t="array" ref="N99">_xll.d.TestUtils_Equal(D99,I99)</f>
        <v>OK</v>
      </c>
      <c r="O99" s="377" t="str" cm="1">
        <f t="array" ref="O99">_xll.d.TestUtils_Equal(E99,J99)</f>
        <v>OK</v>
      </c>
    </row>
    <row r="100" spans="2:15" x14ac:dyDescent="0.3">
      <c r="B100" s="142" t="str">
        <v>ILS</v>
      </c>
      <c r="C100" s="332" t="str">
        <v>Israel</v>
      </c>
      <c r="D100" s="332" t="str">
        <v/>
      </c>
      <c r="E100" s="143" t="str">
        <v/>
      </c>
      <c r="G100" s="142" t="s">
        <v>340</v>
      </c>
      <c r="H100" s="332" t="s">
        <v>341</v>
      </c>
      <c r="I100" s="332" t="s">
        <v>305</v>
      </c>
      <c r="J100" s="143" t="s">
        <v>305</v>
      </c>
      <c r="L100" s="377" t="str" cm="1">
        <f t="array" ref="L100">_xll.d.TestUtils_Equal(B100,G100)</f>
        <v>OK</v>
      </c>
      <c r="M100" s="377" t="str" cm="1">
        <f t="array" ref="M100">_xll.d.TestUtils_Equal(C100,H100)</f>
        <v>OK</v>
      </c>
      <c r="N100" s="377" t="str" cm="1">
        <f t="array" ref="N100">_xll.d.TestUtils_Equal(D100,I100)</f>
        <v>OK</v>
      </c>
      <c r="O100" s="377" t="str" cm="1">
        <f t="array" ref="O100">_xll.d.TestUtils_Equal(E100,J100)</f>
        <v>OK</v>
      </c>
    </row>
    <row r="101" spans="2:15" x14ac:dyDescent="0.3">
      <c r="B101" s="142" t="str">
        <v>Italy</v>
      </c>
      <c r="C101" s="332" t="str">
        <v/>
      </c>
      <c r="D101" s="332" t="str">
        <v/>
      </c>
      <c r="E101" s="143" t="str">
        <v/>
      </c>
      <c r="G101" s="142" t="s">
        <v>342</v>
      </c>
      <c r="H101" s="332" t="s">
        <v>305</v>
      </c>
      <c r="I101" s="332" t="s">
        <v>305</v>
      </c>
      <c r="J101" s="143" t="s">
        <v>305</v>
      </c>
      <c r="L101" s="377" t="str" cm="1">
        <f t="array" ref="L101">_xll.d.TestUtils_Equal(B101,G101)</f>
        <v>OK</v>
      </c>
      <c r="M101" s="377" t="str" cm="1">
        <f t="array" ref="M101">_xll.d.TestUtils_Equal(C101,H101)</f>
        <v>OK</v>
      </c>
      <c r="N101" s="377" t="str" cm="1">
        <f t="array" ref="N101">_xll.d.TestUtils_Equal(D101,I101)</f>
        <v>OK</v>
      </c>
      <c r="O101" s="377" t="str" cm="1">
        <f t="array" ref="O101">_xll.d.TestUtils_Equal(E101,J101)</f>
        <v>OK</v>
      </c>
    </row>
    <row r="102" spans="2:15" x14ac:dyDescent="0.3">
      <c r="B102" s="142" t="str">
        <v>JPY</v>
      </c>
      <c r="C102" s="332" t="str">
        <v>Japan</v>
      </c>
      <c r="D102" s="332" t="str">
        <v/>
      </c>
      <c r="E102" s="143" t="str">
        <v/>
      </c>
      <c r="G102" s="142" t="s">
        <v>343</v>
      </c>
      <c r="H102" s="332" t="s">
        <v>344</v>
      </c>
      <c r="I102" s="332" t="s">
        <v>305</v>
      </c>
      <c r="J102" s="143" t="s">
        <v>305</v>
      </c>
      <c r="L102" s="377" t="str" cm="1">
        <f t="array" ref="L102">_xll.d.TestUtils_Equal(B102,G102)</f>
        <v>OK</v>
      </c>
      <c r="M102" s="377" t="str" cm="1">
        <f t="array" ref="M102">_xll.d.TestUtils_Equal(C102,H102)</f>
        <v>OK</v>
      </c>
      <c r="N102" s="377" t="str" cm="1">
        <f t="array" ref="N102">_xll.d.TestUtils_Equal(D102,I102)</f>
        <v>OK</v>
      </c>
      <c r="O102" s="377" t="str" cm="1">
        <f t="array" ref="O102">_xll.d.TestUtils_Equal(E102,J102)</f>
        <v>OK</v>
      </c>
    </row>
    <row r="103" spans="2:15" x14ac:dyDescent="0.3">
      <c r="B103" s="142" t="str">
        <v>KRW</v>
      </c>
      <c r="C103" s="332" t="str">
        <v>South Korea</v>
      </c>
      <c r="D103" s="332" t="str">
        <v/>
      </c>
      <c r="E103" s="143" t="str">
        <v/>
      </c>
      <c r="G103" s="142" t="s">
        <v>345</v>
      </c>
      <c r="H103" s="332" t="s">
        <v>346</v>
      </c>
      <c r="I103" s="332" t="s">
        <v>305</v>
      </c>
      <c r="J103" s="143" t="s">
        <v>305</v>
      </c>
      <c r="L103" s="377" t="str" cm="1">
        <f t="array" ref="L103">_xll.d.TestUtils_Equal(B103,G103)</f>
        <v>OK</v>
      </c>
      <c r="M103" s="377" t="str" cm="1">
        <f t="array" ref="M103">_xll.d.TestUtils_Equal(C103,H103)</f>
        <v>OK</v>
      </c>
      <c r="N103" s="377" t="str" cm="1">
        <f t="array" ref="N103">_xll.d.TestUtils_Equal(D103,I103)</f>
        <v>OK</v>
      </c>
      <c r="O103" s="377" t="str" cm="1">
        <f t="array" ref="O103">_xll.d.TestUtils_Equal(E103,J103)</f>
        <v>OK</v>
      </c>
    </row>
    <row r="104" spans="2:15" x14ac:dyDescent="0.3">
      <c r="B104" s="142" t="str">
        <v>MXN</v>
      </c>
      <c r="C104" s="332" t="str">
        <v>Mexico</v>
      </c>
      <c r="D104" s="332" t="str">
        <v/>
      </c>
      <c r="E104" s="143" t="str">
        <v/>
      </c>
      <c r="G104" s="142" t="s">
        <v>347</v>
      </c>
      <c r="H104" s="332" t="s">
        <v>348</v>
      </c>
      <c r="I104" s="332" t="s">
        <v>305</v>
      </c>
      <c r="J104" s="143" t="s">
        <v>305</v>
      </c>
      <c r="L104" s="377" t="str" cm="1">
        <f t="array" ref="L104">_xll.d.TestUtils_Equal(B104,G104)</f>
        <v>OK</v>
      </c>
      <c r="M104" s="377" t="str" cm="1">
        <f t="array" ref="M104">_xll.d.TestUtils_Equal(C104,H104)</f>
        <v>OK</v>
      </c>
      <c r="N104" s="377" t="str" cm="1">
        <f t="array" ref="N104">_xll.d.TestUtils_Equal(D104,I104)</f>
        <v>OK</v>
      </c>
      <c r="O104" s="377" t="str" cm="1">
        <f t="array" ref="O104">_xll.d.TestUtils_Equal(E104,J104)</f>
        <v>OK</v>
      </c>
    </row>
    <row r="105" spans="2:15" x14ac:dyDescent="0.3">
      <c r="B105" s="142" t="str">
        <v>NOK</v>
      </c>
      <c r="C105" s="332" t="str">
        <v>Norway</v>
      </c>
      <c r="D105" s="332" t="str">
        <v/>
      </c>
      <c r="E105" s="143" t="str">
        <v/>
      </c>
      <c r="G105" s="142" t="s">
        <v>349</v>
      </c>
      <c r="H105" s="332" t="s">
        <v>350</v>
      </c>
      <c r="I105" s="332" t="s">
        <v>305</v>
      </c>
      <c r="J105" s="143" t="s">
        <v>305</v>
      </c>
      <c r="L105" s="377" t="str" cm="1">
        <f t="array" ref="L105">_xll.d.TestUtils_Equal(B105,G105)</f>
        <v>OK</v>
      </c>
      <c r="M105" s="377" t="str" cm="1">
        <f t="array" ref="M105">_xll.d.TestUtils_Equal(C105,H105)</f>
        <v>OK</v>
      </c>
      <c r="N105" s="377" t="str" cm="1">
        <f t="array" ref="N105">_xll.d.TestUtils_Equal(D105,I105)</f>
        <v>OK</v>
      </c>
      <c r="O105" s="377" t="str" cm="1">
        <f t="array" ref="O105">_xll.d.TestUtils_Equal(E105,J105)</f>
        <v>OK</v>
      </c>
    </row>
    <row r="106" spans="2:15" x14ac:dyDescent="0.3">
      <c r="B106" s="142" t="str">
        <v>NZD</v>
      </c>
      <c r="C106" s="332" t="str">
        <v>New Zealand</v>
      </c>
      <c r="D106" s="332" t="str">
        <v/>
      </c>
      <c r="E106" s="143" t="str">
        <v/>
      </c>
      <c r="G106" s="142" t="s">
        <v>351</v>
      </c>
      <c r="H106" s="332" t="s">
        <v>352</v>
      </c>
      <c r="I106" s="332" t="s">
        <v>305</v>
      </c>
      <c r="J106" s="143" t="s">
        <v>305</v>
      </c>
      <c r="L106" s="377" t="str" cm="1">
        <f t="array" ref="L106">_xll.d.TestUtils_Equal(B106,G106)</f>
        <v>OK</v>
      </c>
      <c r="M106" s="377" t="str" cm="1">
        <f t="array" ref="M106">_xll.d.TestUtils_Equal(C106,H106)</f>
        <v>OK</v>
      </c>
      <c r="N106" s="377" t="str" cm="1">
        <f t="array" ref="N106">_xll.d.TestUtils_Equal(D106,I106)</f>
        <v>OK</v>
      </c>
      <c r="O106" s="377" t="str" cm="1">
        <f t="array" ref="O106">_xll.d.TestUtils_Equal(E106,J106)</f>
        <v>OK</v>
      </c>
    </row>
    <row r="107" spans="2:15" x14ac:dyDescent="0.3">
      <c r="B107" s="142" t="str">
        <v>PLN</v>
      </c>
      <c r="C107" s="332" t="str">
        <v>Poland</v>
      </c>
      <c r="D107" s="332" t="str">
        <v/>
      </c>
      <c r="E107" s="143" t="str">
        <v/>
      </c>
      <c r="G107" s="142" t="s">
        <v>353</v>
      </c>
      <c r="H107" s="332" t="s">
        <v>354</v>
      </c>
      <c r="I107" s="332" t="s">
        <v>305</v>
      </c>
      <c r="J107" s="143" t="s">
        <v>305</v>
      </c>
      <c r="L107" s="377" t="str" cm="1">
        <f t="array" ref="L107">_xll.d.TestUtils_Equal(B107,G107)</f>
        <v>OK</v>
      </c>
      <c r="M107" s="377" t="str" cm="1">
        <f t="array" ref="M107">_xll.d.TestUtils_Equal(C107,H107)</f>
        <v>OK</v>
      </c>
      <c r="N107" s="377" t="str" cm="1">
        <f t="array" ref="N107">_xll.d.TestUtils_Equal(D107,I107)</f>
        <v>OK</v>
      </c>
      <c r="O107" s="377" t="str" cm="1">
        <f t="array" ref="O107">_xll.d.TestUtils_Equal(E107,J107)</f>
        <v>OK</v>
      </c>
    </row>
    <row r="108" spans="2:15" x14ac:dyDescent="0.3">
      <c r="B108" s="142" t="str">
        <v>RON</v>
      </c>
      <c r="C108" s="332" t="str">
        <v>Romania</v>
      </c>
      <c r="D108" s="332" t="str">
        <v/>
      </c>
      <c r="E108" s="143" t="str">
        <v/>
      </c>
      <c r="G108" s="142" t="s">
        <v>355</v>
      </c>
      <c r="H108" s="332" t="s">
        <v>356</v>
      </c>
      <c r="I108" s="332" t="s">
        <v>305</v>
      </c>
      <c r="J108" s="143" t="s">
        <v>305</v>
      </c>
      <c r="L108" s="377" t="str" cm="1">
        <f t="array" ref="L108">_xll.d.TestUtils_Equal(B108,G108)</f>
        <v>OK</v>
      </c>
      <c r="M108" s="377" t="str" cm="1">
        <f t="array" ref="M108">_xll.d.TestUtils_Equal(C108,H108)</f>
        <v>OK</v>
      </c>
      <c r="N108" s="377" t="str" cm="1">
        <f t="array" ref="N108">_xll.d.TestUtils_Equal(D108,I108)</f>
        <v>OK</v>
      </c>
      <c r="O108" s="377" t="str" cm="1">
        <f t="array" ref="O108">_xll.d.TestUtils_Equal(E108,J108)</f>
        <v>OK</v>
      </c>
    </row>
    <row r="109" spans="2:15" x14ac:dyDescent="0.3">
      <c r="B109" s="142" t="str">
        <v>RUB</v>
      </c>
      <c r="C109" s="332" t="str">
        <v>Russia</v>
      </c>
      <c r="D109" s="332" t="str">
        <v/>
      </c>
      <c r="E109" s="143" t="str">
        <v/>
      </c>
      <c r="G109" s="142" t="s">
        <v>357</v>
      </c>
      <c r="H109" s="332" t="s">
        <v>358</v>
      </c>
      <c r="I109" s="332" t="s">
        <v>305</v>
      </c>
      <c r="J109" s="143" t="s">
        <v>305</v>
      </c>
      <c r="L109" s="377" t="str" cm="1">
        <f t="array" ref="L109">_xll.d.TestUtils_Equal(B109,G109)</f>
        <v>OK</v>
      </c>
      <c r="M109" s="377" t="str" cm="1">
        <f t="array" ref="M109">_xll.d.TestUtils_Equal(C109,H109)</f>
        <v>OK</v>
      </c>
      <c r="N109" s="377" t="str" cm="1">
        <f t="array" ref="N109">_xll.d.TestUtils_Equal(D109,I109)</f>
        <v>OK</v>
      </c>
      <c r="O109" s="377" t="str" cm="1">
        <f t="array" ref="O109">_xll.d.TestUtils_Equal(E109,J109)</f>
        <v>OK</v>
      </c>
    </row>
    <row r="110" spans="2:15" x14ac:dyDescent="0.3">
      <c r="B110" s="142" t="str">
        <v>SGD</v>
      </c>
      <c r="C110" s="332" t="str">
        <v>Singapore</v>
      </c>
      <c r="D110" s="332" t="str">
        <v/>
      </c>
      <c r="E110" s="143" t="str">
        <v/>
      </c>
      <c r="G110" s="142" t="s">
        <v>359</v>
      </c>
      <c r="H110" s="332" t="s">
        <v>360</v>
      </c>
      <c r="I110" s="332" t="s">
        <v>305</v>
      </c>
      <c r="J110" s="143" t="s">
        <v>305</v>
      </c>
      <c r="L110" s="377" t="str" cm="1">
        <f t="array" ref="L110">_xll.d.TestUtils_Equal(B110,G110)</f>
        <v>OK</v>
      </c>
      <c r="M110" s="377" t="str" cm="1">
        <f t="array" ref="M110">_xll.d.TestUtils_Equal(C110,H110)</f>
        <v>OK</v>
      </c>
      <c r="N110" s="377" t="str" cm="1">
        <f t="array" ref="N110">_xll.d.TestUtils_Equal(D110,I110)</f>
        <v>OK</v>
      </c>
      <c r="O110" s="377" t="str" cm="1">
        <f t="array" ref="O110">_xll.d.TestUtils_Equal(E110,J110)</f>
        <v>OK</v>
      </c>
    </row>
    <row r="111" spans="2:15" x14ac:dyDescent="0.3">
      <c r="B111" s="142" t="str">
        <v>SKK</v>
      </c>
      <c r="C111" s="332" t="str">
        <v>Sweden</v>
      </c>
      <c r="D111" s="332" t="str">
        <v/>
      </c>
      <c r="E111" s="143" t="str">
        <v/>
      </c>
      <c r="G111" s="142" t="s">
        <v>361</v>
      </c>
      <c r="H111" s="332" t="s">
        <v>362</v>
      </c>
      <c r="I111" s="332" t="s">
        <v>305</v>
      </c>
      <c r="J111" s="143" t="s">
        <v>305</v>
      </c>
      <c r="L111" s="377" t="str" cm="1">
        <f t="array" ref="L111">_xll.d.TestUtils_Equal(B111,G111)</f>
        <v>OK</v>
      </c>
      <c r="M111" s="377" t="str" cm="1">
        <f t="array" ref="M111">_xll.d.TestUtils_Equal(C111,H111)</f>
        <v>OK</v>
      </c>
      <c r="N111" s="377" t="str" cm="1">
        <f t="array" ref="N111">_xll.d.TestUtils_Equal(D111,I111)</f>
        <v>OK</v>
      </c>
      <c r="O111" s="377" t="str" cm="1">
        <f t="array" ref="O111">_xll.d.TestUtils_Equal(E111,J111)</f>
        <v>OK</v>
      </c>
    </row>
    <row r="112" spans="2:15" x14ac:dyDescent="0.3">
      <c r="B112" s="142" t="str">
        <v>SLOVAKIA</v>
      </c>
      <c r="C112" s="332" t="str">
        <v/>
      </c>
      <c r="D112" s="332" t="str">
        <v/>
      </c>
      <c r="E112" s="143" t="str">
        <v/>
      </c>
      <c r="G112" s="142" t="s">
        <v>363</v>
      </c>
      <c r="H112" s="332" t="s">
        <v>305</v>
      </c>
      <c r="I112" s="332" t="s">
        <v>305</v>
      </c>
      <c r="J112" s="143" t="s">
        <v>305</v>
      </c>
      <c r="L112" s="377" t="str" cm="1">
        <f t="array" ref="L112">_xll.d.TestUtils_Equal(B112,G112)</f>
        <v>OK</v>
      </c>
      <c r="M112" s="377" t="str" cm="1">
        <f t="array" ref="M112">_xll.d.TestUtils_Equal(C112,H112)</f>
        <v>OK</v>
      </c>
      <c r="N112" s="377" t="str" cm="1">
        <f t="array" ref="N112">_xll.d.TestUtils_Equal(D112,I112)</f>
        <v>OK</v>
      </c>
      <c r="O112" s="377" t="str" cm="1">
        <f t="array" ref="O112">_xll.d.TestUtils_Equal(E112,J112)</f>
        <v>OK</v>
      </c>
    </row>
    <row r="113" spans="2:28" x14ac:dyDescent="0.3">
      <c r="B113" s="142" t="str">
        <v>THB</v>
      </c>
      <c r="C113" s="332" t="str">
        <v>Thailand</v>
      </c>
      <c r="D113" s="332" t="str">
        <v/>
      </c>
      <c r="E113" s="143" t="str">
        <v/>
      </c>
      <c r="G113" s="142" t="s">
        <v>364</v>
      </c>
      <c r="H113" s="332" t="s">
        <v>365</v>
      </c>
      <c r="I113" s="332" t="s">
        <v>305</v>
      </c>
      <c r="J113" s="143" t="s">
        <v>305</v>
      </c>
      <c r="L113" s="377" t="str" cm="1">
        <f t="array" ref="L113">_xll.d.TestUtils_Equal(B113,G113)</f>
        <v>OK</v>
      </c>
      <c r="M113" s="377" t="str" cm="1">
        <f t="array" ref="M113">_xll.d.TestUtils_Equal(C113,H113)</f>
        <v>OK</v>
      </c>
      <c r="N113" s="377" t="str" cm="1">
        <f t="array" ref="N113">_xll.d.TestUtils_Equal(D113,I113)</f>
        <v>OK</v>
      </c>
      <c r="O113" s="377" t="str" cm="1">
        <f t="array" ref="O113">_xll.d.TestUtils_Equal(E113,J113)</f>
        <v>OK</v>
      </c>
    </row>
    <row r="114" spans="2:28" x14ac:dyDescent="0.3">
      <c r="B114" s="142" t="str">
        <v>TRY</v>
      </c>
      <c r="C114" s="332" t="str">
        <v>Turkey</v>
      </c>
      <c r="D114" s="332" t="str">
        <v/>
      </c>
      <c r="E114" s="143" t="str">
        <v/>
      </c>
      <c r="G114" s="142" t="s">
        <v>366</v>
      </c>
      <c r="H114" s="332" t="s">
        <v>367</v>
      </c>
      <c r="I114" s="332" t="s">
        <v>305</v>
      </c>
      <c r="J114" s="143" t="s">
        <v>305</v>
      </c>
      <c r="L114" s="377" t="str" cm="1">
        <f t="array" ref="L114">_xll.d.TestUtils_Equal(B114,G114)</f>
        <v>OK</v>
      </c>
      <c r="M114" s="377" t="str" cm="1">
        <f t="array" ref="M114">_xll.d.TestUtils_Equal(C114,H114)</f>
        <v>OK</v>
      </c>
      <c r="N114" s="377" t="str" cm="1">
        <f t="array" ref="N114">_xll.d.TestUtils_Equal(D114,I114)</f>
        <v>OK</v>
      </c>
      <c r="O114" s="377" t="str" cm="1">
        <f t="array" ref="O114">_xll.d.TestUtils_Equal(E114,J114)</f>
        <v>OK</v>
      </c>
    </row>
    <row r="115" spans="2:28" x14ac:dyDescent="0.3">
      <c r="B115" s="142" t="str">
        <v>TWD</v>
      </c>
      <c r="C115" s="332" t="str">
        <v>Taiwan</v>
      </c>
      <c r="D115" s="332" t="str">
        <v/>
      </c>
      <c r="E115" s="143" t="str">
        <v/>
      </c>
      <c r="G115" s="142" t="s">
        <v>368</v>
      </c>
      <c r="H115" s="332" t="s">
        <v>369</v>
      </c>
      <c r="I115" s="332" t="s">
        <v>305</v>
      </c>
      <c r="J115" s="143" t="s">
        <v>305</v>
      </c>
      <c r="L115" s="377" t="str" cm="1">
        <f t="array" ref="L115">_xll.d.TestUtils_Equal(B115,G115)</f>
        <v>OK</v>
      </c>
      <c r="M115" s="377" t="str" cm="1">
        <f t="array" ref="M115">_xll.d.TestUtils_Equal(C115,H115)</f>
        <v>OK</v>
      </c>
      <c r="N115" s="377" t="str" cm="1">
        <f t="array" ref="N115">_xll.d.TestUtils_Equal(D115,I115)</f>
        <v>OK</v>
      </c>
      <c r="O115" s="377" t="str" cm="1">
        <f t="array" ref="O115">_xll.d.TestUtils_Equal(E115,J115)</f>
        <v>OK</v>
      </c>
    </row>
    <row r="116" spans="2:28" x14ac:dyDescent="0.3">
      <c r="B116" s="142" t="str">
        <v>UAH</v>
      </c>
      <c r="C116" s="332" t="str">
        <v>Ukraine</v>
      </c>
      <c r="D116" s="332" t="str">
        <v/>
      </c>
      <c r="E116" s="143" t="str">
        <v/>
      </c>
      <c r="G116" s="142" t="s">
        <v>370</v>
      </c>
      <c r="H116" s="332" t="s">
        <v>371</v>
      </c>
      <c r="I116" s="332" t="s">
        <v>305</v>
      </c>
      <c r="J116" s="143" t="s">
        <v>305</v>
      </c>
      <c r="L116" s="377" t="str" cm="1">
        <f t="array" ref="L116">_xll.d.TestUtils_Equal(B116,G116)</f>
        <v>OK</v>
      </c>
      <c r="M116" s="377" t="str" cm="1">
        <f t="array" ref="M116">_xll.d.TestUtils_Equal(C116,H116)</f>
        <v>OK</v>
      </c>
      <c r="N116" s="377" t="str" cm="1">
        <f t="array" ref="N116">_xll.d.TestUtils_Equal(D116,I116)</f>
        <v>OK</v>
      </c>
      <c r="O116" s="377" t="str" cm="1">
        <f t="array" ref="O116">_xll.d.TestUtils_Equal(E116,J116)</f>
        <v>OK</v>
      </c>
    </row>
    <row r="117" spans="2:28" x14ac:dyDescent="0.3">
      <c r="B117" s="142" t="str">
        <v>USD</v>
      </c>
      <c r="C117" s="332" t="str">
        <v>USA</v>
      </c>
      <c r="D117" s="332" t="str">
        <v>United States</v>
      </c>
      <c r="E117" s="143" t="str">
        <v>United States of America</v>
      </c>
      <c r="G117" s="142" t="s">
        <v>372</v>
      </c>
      <c r="H117" s="332" t="s">
        <v>373</v>
      </c>
      <c r="I117" s="332" t="s">
        <v>374</v>
      </c>
      <c r="J117" s="143" t="s">
        <v>375</v>
      </c>
      <c r="L117" s="377" t="str" cm="1">
        <f t="array" ref="L117">_xll.d.TestUtils_Equal(B117,G117)</f>
        <v>OK</v>
      </c>
      <c r="M117" s="377" t="str" cm="1">
        <f t="array" ref="M117">_xll.d.TestUtils_Equal(C117,H117)</f>
        <v>OK</v>
      </c>
      <c r="N117" s="377" t="str" cm="1">
        <f t="array" ref="N117">_xll.d.TestUtils_Equal(D117,I117)</f>
        <v>OK</v>
      </c>
      <c r="O117" s="377" t="str" cm="1">
        <f t="array" ref="O117">_xll.d.TestUtils_Equal(E117,J117)</f>
        <v>OK</v>
      </c>
    </row>
    <row r="118" spans="2:28" x14ac:dyDescent="0.3">
      <c r="B118" s="144" t="str">
        <v>ZAR</v>
      </c>
      <c r="C118" s="230" t="str">
        <v>South Africa</v>
      </c>
      <c r="D118" s="230" t="str">
        <v/>
      </c>
      <c r="E118" s="145" t="str">
        <v/>
      </c>
      <c r="G118" s="144" t="s">
        <v>71</v>
      </c>
      <c r="H118" s="230" t="s">
        <v>376</v>
      </c>
      <c r="I118" s="230" t="s">
        <v>305</v>
      </c>
      <c r="J118" s="145" t="s">
        <v>305</v>
      </c>
      <c r="L118" s="377" t="str" cm="1">
        <f t="array" ref="L118">_xll.d.TestUtils_Equal(B118,G118)</f>
        <v>OK</v>
      </c>
      <c r="M118" s="377" t="str" cm="1">
        <f t="array" ref="M118">_xll.d.TestUtils_Equal(C118,H118)</f>
        <v>OK</v>
      </c>
      <c r="N118" s="377" t="str" cm="1">
        <f t="array" ref="N118">_xll.d.TestUtils_Equal(D118,I118)</f>
        <v>OK</v>
      </c>
      <c r="O118" s="377" t="str" cm="1">
        <f t="array" ref="O118">_xll.d.TestUtils_Equal(E118,J118)</f>
        <v>OK</v>
      </c>
    </row>
    <row r="122" spans="2:28" ht="18" x14ac:dyDescent="0.35">
      <c r="B122" s="3" t="s">
        <v>275</v>
      </c>
      <c r="C122" s="383"/>
      <c r="D122" s="383"/>
      <c r="E122" s="383"/>
      <c r="F122" s="383"/>
      <c r="G122" s="383"/>
      <c r="H122" s="383"/>
      <c r="I122" s="383"/>
      <c r="J122" s="383"/>
      <c r="K122" s="383"/>
      <c r="L122" s="383"/>
      <c r="M122" s="383"/>
      <c r="N122" s="383"/>
      <c r="O122" s="383"/>
      <c r="P122" s="383"/>
      <c r="Q122" s="383"/>
      <c r="R122" s="383"/>
      <c r="S122" s="383"/>
      <c r="T122" s="383"/>
      <c r="U122" s="383"/>
      <c r="V122" s="383"/>
      <c r="W122" s="383"/>
      <c r="X122" s="383"/>
      <c r="Y122" s="383"/>
      <c r="Z122" s="383"/>
      <c r="AA122" s="383"/>
      <c r="AB122" s="383"/>
    </row>
    <row r="124" spans="2:28" x14ac:dyDescent="0.3">
      <c r="B124" s="59" t="s">
        <v>170</v>
      </c>
      <c r="C124" s="377" t="str" cm="1">
        <f t="array" ref="C124">_xll.d.TestUtils_And(G129:G137,N129:N146,U129)</f>
        <v>OK</v>
      </c>
    </row>
    <row r="126" spans="2:28" ht="15.6" x14ac:dyDescent="0.3">
      <c r="B126" s="4" t="s">
        <v>278</v>
      </c>
      <c r="C126" s="384"/>
      <c r="D126" s="384"/>
      <c r="E126" s="384"/>
      <c r="F126" s="384"/>
      <c r="G126" s="384"/>
      <c r="I126" s="4" t="s">
        <v>279</v>
      </c>
      <c r="J126" s="384"/>
      <c r="K126" s="384"/>
      <c r="L126" s="384"/>
      <c r="M126" s="384"/>
      <c r="N126" s="384"/>
      <c r="P126" s="4" t="s">
        <v>283</v>
      </c>
      <c r="Q126" s="384"/>
      <c r="R126" s="384"/>
      <c r="S126" s="384"/>
      <c r="T126" s="384"/>
      <c r="U126" s="384"/>
    </row>
    <row r="127" spans="2:28" x14ac:dyDescent="0.3">
      <c r="G127" s="376"/>
      <c r="N127" s="376"/>
    </row>
    <row r="128" spans="2:28" x14ac:dyDescent="0.3">
      <c r="B128" s="138" t="s">
        <v>267</v>
      </c>
      <c r="C128" s="139"/>
      <c r="E128" s="12" t="s">
        <v>144</v>
      </c>
      <c r="F128" s="27" t="s">
        <v>269</v>
      </c>
      <c r="G128" s="139" t="s">
        <v>88</v>
      </c>
      <c r="I128" s="138" t="s">
        <v>267</v>
      </c>
      <c r="J128" s="139"/>
      <c r="L128" s="12" t="s">
        <v>144</v>
      </c>
      <c r="M128" s="27" t="s">
        <v>269</v>
      </c>
      <c r="N128" s="139" t="s">
        <v>88</v>
      </c>
      <c r="P128" s="138" t="s">
        <v>267</v>
      </c>
      <c r="Q128" s="139"/>
      <c r="S128" s="12" t="s">
        <v>144</v>
      </c>
      <c r="T128" s="27" t="s">
        <v>269</v>
      </c>
      <c r="U128" s="139" t="s">
        <v>88</v>
      </c>
    </row>
    <row r="129" spans="2:21" x14ac:dyDescent="0.3">
      <c r="B129" s="140" t="s">
        <v>276</v>
      </c>
      <c r="C129" s="378">
        <v>44562</v>
      </c>
      <c r="E129" s="391" cm="1">
        <f t="array" ref="E129:E137">_xll.d.Date_GetListOfHolidays(C129,C130,C131)</f>
        <v>44641</v>
      </c>
      <c r="F129" s="392">
        <v>44641</v>
      </c>
      <c r="G129" s="141" t="str" cm="1">
        <f t="array" ref="G129">_xll.d.TestUtils_Equal(E129,F129)</f>
        <v>OK</v>
      </c>
      <c r="I129" s="140" t="s">
        <v>276</v>
      </c>
      <c r="J129" s="378">
        <v>44562</v>
      </c>
      <c r="L129" s="391" cm="1">
        <f t="array" ref="L129:L146">_xll.d.Date_GetListOfHolidays(J129,J130,J131)</f>
        <v>44578</v>
      </c>
      <c r="M129" s="392">
        <v>44578</v>
      </c>
      <c r="N129" s="141" t="str" cm="1">
        <f t="array" ref="N129">_xll.d.TestUtils_Equal(L129,M129)</f>
        <v>OK</v>
      </c>
      <c r="P129" s="140" t="s">
        <v>276</v>
      </c>
      <c r="Q129" s="378">
        <v>44562</v>
      </c>
      <c r="S129" s="385" t="str" cm="1">
        <f t="array" ref="S129">_xll.d.Date_GetListOfHolidays(Q129,Q130,Q131)</f>
        <v>#∂Excel Error: Unknown calendar: WRE</v>
      </c>
      <c r="T129" s="386" t="s">
        <v>282</v>
      </c>
      <c r="U129" s="387" t="str" cm="1">
        <f t="array" ref="U129">_xll.d.TestUtils_Equal(S129,T129)</f>
        <v>OK</v>
      </c>
    </row>
    <row r="130" spans="2:21" x14ac:dyDescent="0.3">
      <c r="B130" s="142" t="s">
        <v>277</v>
      </c>
      <c r="C130" s="390">
        <v>44926</v>
      </c>
      <c r="E130" s="393">
        <v>44666</v>
      </c>
      <c r="F130" s="394">
        <v>44666</v>
      </c>
      <c r="G130" s="143" t="str" cm="1">
        <f t="array" ref="G130">_xll.d.TestUtils_Equal(E130,F130)</f>
        <v>OK</v>
      </c>
      <c r="I130" s="142" t="s">
        <v>277</v>
      </c>
      <c r="J130" s="390">
        <v>44926</v>
      </c>
      <c r="L130" s="393">
        <v>44613</v>
      </c>
      <c r="M130" s="394">
        <v>44613</v>
      </c>
      <c r="N130" s="143" t="str" cm="1">
        <f t="array" ref="N130">_xll.d.TestUtils_Equal(L130,M130)</f>
        <v>OK</v>
      </c>
      <c r="P130" s="142" t="s">
        <v>277</v>
      </c>
      <c r="Q130" s="390">
        <v>44926</v>
      </c>
    </row>
    <row r="131" spans="2:21" x14ac:dyDescent="0.3">
      <c r="B131" s="144" t="s">
        <v>253</v>
      </c>
      <c r="C131" s="145" t="s">
        <v>71</v>
      </c>
      <c r="E131" s="393">
        <v>44669</v>
      </c>
      <c r="F131" s="394">
        <v>44669</v>
      </c>
      <c r="G131" s="143" t="str" cm="1">
        <f t="array" ref="G131">_xll.d.TestUtils_Equal(E131,F131)</f>
        <v>OK</v>
      </c>
      <c r="I131" s="144" t="s">
        <v>253</v>
      </c>
      <c r="J131" s="145" t="s">
        <v>274</v>
      </c>
      <c r="L131" s="393">
        <v>44641</v>
      </c>
      <c r="M131" s="394">
        <v>44641</v>
      </c>
      <c r="N131" s="143" t="str" cm="1">
        <f t="array" ref="N131">_xll.d.TestUtils_Equal(L131,M131)</f>
        <v>OK</v>
      </c>
      <c r="P131" s="144" t="s">
        <v>253</v>
      </c>
      <c r="Q131" s="145" t="s">
        <v>281</v>
      </c>
    </row>
    <row r="132" spans="2:21" x14ac:dyDescent="0.3">
      <c r="E132" s="393">
        <v>44678</v>
      </c>
      <c r="F132" s="394">
        <v>44678</v>
      </c>
      <c r="G132" s="143" t="str" cm="1">
        <f t="array" ref="G132">_xll.d.TestUtils_Equal(E132,F132)</f>
        <v>OK</v>
      </c>
      <c r="L132" s="393">
        <v>44666</v>
      </c>
      <c r="M132" s="394">
        <v>44666</v>
      </c>
      <c r="N132" s="143" t="str" cm="1">
        <f t="array" ref="N132">_xll.d.TestUtils_Equal(L132,M132)</f>
        <v>OK</v>
      </c>
    </row>
    <row r="133" spans="2:21" x14ac:dyDescent="0.3">
      <c r="E133" s="393">
        <v>44683</v>
      </c>
      <c r="F133" s="394">
        <v>44683</v>
      </c>
      <c r="G133" s="143" t="str" cm="1">
        <f t="array" ref="G133">_xll.d.TestUtils_Equal(E133,F133)</f>
        <v>OK</v>
      </c>
      <c r="L133" s="393">
        <v>44669</v>
      </c>
      <c r="M133" s="394">
        <v>44669</v>
      </c>
      <c r="N133" s="143" t="str" cm="1">
        <f t="array" ref="N133">_xll.d.TestUtils_Equal(L133,M133)</f>
        <v>OK</v>
      </c>
    </row>
    <row r="134" spans="2:21" x14ac:dyDescent="0.3">
      <c r="E134" s="393">
        <v>44728</v>
      </c>
      <c r="F134" s="394">
        <v>44728</v>
      </c>
      <c r="G134" s="143" t="str" cm="1">
        <f t="array" ref="G134">_xll.d.TestUtils_Equal(E134,F134)</f>
        <v>OK</v>
      </c>
      <c r="L134" s="393">
        <v>44678</v>
      </c>
      <c r="M134" s="394">
        <v>44678</v>
      </c>
      <c r="N134" s="143" t="str" cm="1">
        <f t="array" ref="N134">_xll.d.TestUtils_Equal(L134,M134)</f>
        <v>OK</v>
      </c>
    </row>
    <row r="135" spans="2:21" x14ac:dyDescent="0.3">
      <c r="E135" s="393">
        <v>44782</v>
      </c>
      <c r="F135" s="394">
        <v>44782</v>
      </c>
      <c r="G135" s="143" t="str" cm="1">
        <f t="array" ref="G135">_xll.d.TestUtils_Equal(E135,F135)</f>
        <v>OK</v>
      </c>
      <c r="L135" s="393">
        <v>44683</v>
      </c>
      <c r="M135" s="394">
        <v>44683</v>
      </c>
      <c r="N135" s="143" t="str" cm="1">
        <f t="array" ref="N135">_xll.d.TestUtils_Equal(L135,M135)</f>
        <v>OK</v>
      </c>
    </row>
    <row r="136" spans="2:21" x14ac:dyDescent="0.3">
      <c r="E136" s="393">
        <v>44911</v>
      </c>
      <c r="F136" s="394">
        <v>44911</v>
      </c>
      <c r="G136" s="143" t="str" cm="1">
        <f t="array" ref="G136">_xll.d.TestUtils_Equal(E136,F136)</f>
        <v>OK</v>
      </c>
      <c r="L136" s="393">
        <v>44711</v>
      </c>
      <c r="M136" s="394">
        <v>44711</v>
      </c>
      <c r="N136" s="143" t="str" cm="1">
        <f t="array" ref="N136">_xll.d.TestUtils_Equal(L136,M136)</f>
        <v>OK</v>
      </c>
    </row>
    <row r="137" spans="2:21" x14ac:dyDescent="0.3">
      <c r="E137" s="395">
        <v>44921</v>
      </c>
      <c r="F137" s="396">
        <v>44921</v>
      </c>
      <c r="G137" s="145" t="str" cm="1">
        <f t="array" ref="G137">_xll.d.TestUtils_Equal(E137,F137)</f>
        <v>OK</v>
      </c>
      <c r="L137" s="393">
        <v>44728</v>
      </c>
      <c r="M137" s="394">
        <v>44728</v>
      </c>
      <c r="N137" s="143" t="str" cm="1">
        <f t="array" ref="N137">_xll.d.TestUtils_Equal(L137,M137)</f>
        <v>OK</v>
      </c>
    </row>
    <row r="138" spans="2:21" x14ac:dyDescent="0.3">
      <c r="G138" s="376"/>
      <c r="L138" s="393">
        <v>44732</v>
      </c>
      <c r="M138" s="394">
        <v>44732</v>
      </c>
      <c r="N138" s="143" t="str" cm="1">
        <f t="array" ref="N138">_xll.d.TestUtils_Equal(L138,M138)</f>
        <v>OK</v>
      </c>
    </row>
    <row r="139" spans="2:21" x14ac:dyDescent="0.3">
      <c r="G139" s="376"/>
      <c r="L139" s="393">
        <v>44746</v>
      </c>
      <c r="M139" s="394">
        <v>44746</v>
      </c>
      <c r="N139" s="143" t="str" cm="1">
        <f t="array" ref="N139">_xll.d.TestUtils_Equal(L139,M139)</f>
        <v>OK</v>
      </c>
    </row>
    <row r="140" spans="2:21" x14ac:dyDescent="0.3">
      <c r="G140" s="376"/>
      <c r="L140" s="393">
        <v>44782</v>
      </c>
      <c r="M140" s="394">
        <v>44782</v>
      </c>
      <c r="N140" s="143" t="str" cm="1">
        <f t="array" ref="N140">_xll.d.TestUtils_Equal(L140,M140)</f>
        <v>OK</v>
      </c>
    </row>
    <row r="141" spans="2:21" x14ac:dyDescent="0.3">
      <c r="G141" s="376"/>
      <c r="L141" s="393">
        <v>44809</v>
      </c>
      <c r="M141" s="394">
        <v>44809</v>
      </c>
      <c r="N141" s="143" t="str" cm="1">
        <f t="array" ref="N141">_xll.d.TestUtils_Equal(L141,M141)</f>
        <v>OK</v>
      </c>
    </row>
    <row r="142" spans="2:21" x14ac:dyDescent="0.3">
      <c r="G142" s="376"/>
      <c r="L142" s="393">
        <v>44844</v>
      </c>
      <c r="M142" s="394">
        <v>44844</v>
      </c>
      <c r="N142" s="143" t="str" cm="1">
        <f t="array" ref="N142">_xll.d.TestUtils_Equal(L142,M142)</f>
        <v>OK</v>
      </c>
    </row>
    <row r="143" spans="2:21" x14ac:dyDescent="0.3">
      <c r="G143" s="376"/>
      <c r="L143" s="393">
        <v>44876</v>
      </c>
      <c r="M143" s="394">
        <v>44876</v>
      </c>
      <c r="N143" s="143" t="str" cm="1">
        <f t="array" ref="N143">_xll.d.TestUtils_Equal(L143,M143)</f>
        <v>OK</v>
      </c>
    </row>
    <row r="144" spans="2:21" x14ac:dyDescent="0.3">
      <c r="G144" s="376"/>
      <c r="L144" s="393">
        <v>44889</v>
      </c>
      <c r="M144" s="394">
        <v>44889</v>
      </c>
      <c r="N144" s="143" t="str" cm="1">
        <f t="array" ref="N144">_xll.d.TestUtils_Equal(L144,M144)</f>
        <v>OK</v>
      </c>
    </row>
    <row r="145" spans="2:28" x14ac:dyDescent="0.3">
      <c r="G145" s="376"/>
      <c r="L145" s="393">
        <v>44911</v>
      </c>
      <c r="M145" s="394">
        <v>44911</v>
      </c>
      <c r="N145" s="143" t="str" cm="1">
        <f t="array" ref="N145">_xll.d.TestUtils_Equal(L145,M145)</f>
        <v>OK</v>
      </c>
    </row>
    <row r="146" spans="2:28" x14ac:dyDescent="0.3">
      <c r="G146" s="376"/>
      <c r="L146" s="395">
        <v>44921</v>
      </c>
      <c r="M146" s="396">
        <v>44921</v>
      </c>
      <c r="N146" s="145" t="str" cm="1">
        <f t="array" ref="N146">_xll.d.TestUtils_Equal(L146,M146)</f>
        <v>OK</v>
      </c>
    </row>
    <row r="149" spans="2:28" ht="18" x14ac:dyDescent="0.35">
      <c r="B149" s="3" t="s">
        <v>378</v>
      </c>
      <c r="C149" s="383"/>
      <c r="D149" s="383"/>
      <c r="E149" s="383"/>
      <c r="F149" s="383"/>
      <c r="G149" s="383"/>
      <c r="H149" s="383"/>
      <c r="I149" s="383"/>
      <c r="J149" s="383"/>
      <c r="K149" s="383"/>
      <c r="L149" s="383"/>
      <c r="M149" s="383"/>
      <c r="N149" s="383"/>
      <c r="O149" s="383"/>
      <c r="P149" s="383"/>
      <c r="Q149" s="383"/>
      <c r="R149" s="383"/>
      <c r="S149" s="383"/>
      <c r="T149" s="383"/>
      <c r="U149" s="383"/>
    </row>
    <row r="151" spans="2:28" x14ac:dyDescent="0.3">
      <c r="B151" s="59" t="s">
        <v>170</v>
      </c>
      <c r="C151" s="377" t="str" cm="1">
        <f t="array" ref="C151">_xll.d.TestUtils_And(G156:G160,N156:N160,U156:U160)</f>
        <v>OK</v>
      </c>
    </row>
    <row r="153" spans="2:28" ht="15.6" x14ac:dyDescent="0.3">
      <c r="B153" s="4" t="s">
        <v>383</v>
      </c>
      <c r="C153" s="384"/>
      <c r="D153" s="384"/>
      <c r="E153" s="384"/>
      <c r="F153" s="384"/>
      <c r="G153" s="384"/>
      <c r="I153" s="4" t="s">
        <v>385</v>
      </c>
      <c r="J153" s="384"/>
      <c r="K153" s="384"/>
      <c r="L153" s="384"/>
      <c r="M153" s="384"/>
      <c r="N153" s="384"/>
      <c r="P153" s="4" t="s">
        <v>386</v>
      </c>
      <c r="Q153" s="384"/>
      <c r="R153" s="384"/>
      <c r="S153" s="384"/>
      <c r="T153" s="384"/>
      <c r="U153" s="384"/>
      <c r="W153" s="4" t="s">
        <v>283</v>
      </c>
      <c r="X153" s="384"/>
      <c r="Y153" s="384"/>
      <c r="Z153" s="384"/>
      <c r="AA153" s="384"/>
      <c r="AB153" s="384"/>
    </row>
    <row r="155" spans="2:28" x14ac:dyDescent="0.3">
      <c r="B155" s="138" t="s">
        <v>267</v>
      </c>
      <c r="C155" s="139"/>
      <c r="E155" s="138" t="s">
        <v>144</v>
      </c>
      <c r="F155" s="139" t="s">
        <v>269</v>
      </c>
      <c r="G155" s="139" t="s">
        <v>88</v>
      </c>
      <c r="I155" s="138" t="s">
        <v>267</v>
      </c>
      <c r="J155" s="139"/>
      <c r="L155" s="138" t="s">
        <v>144</v>
      </c>
      <c r="M155" s="139" t="s">
        <v>269</v>
      </c>
      <c r="N155" s="139" t="s">
        <v>88</v>
      </c>
      <c r="P155" s="138" t="s">
        <v>267</v>
      </c>
      <c r="Q155" s="139"/>
      <c r="S155" s="138" t="s">
        <v>144</v>
      </c>
      <c r="T155" s="139" t="s">
        <v>269</v>
      </c>
      <c r="U155" s="139" t="s">
        <v>88</v>
      </c>
      <c r="W155" s="138" t="s">
        <v>267</v>
      </c>
      <c r="X155" s="139"/>
      <c r="Z155" s="138" t="s">
        <v>144</v>
      </c>
      <c r="AA155" s="139" t="s">
        <v>269</v>
      </c>
      <c r="AB155" s="139" t="s">
        <v>88</v>
      </c>
    </row>
    <row r="156" spans="2:28" x14ac:dyDescent="0.3">
      <c r="B156" s="140" t="s">
        <v>276</v>
      </c>
      <c r="C156" s="378">
        <v>44743</v>
      </c>
      <c r="E156" s="391">
        <f t="array" ref="E156:E160">_xll.d.Date_GenerateSchedule(C156,C157,C158,C159,C160,C161)</f>
        <v>44743</v>
      </c>
      <c r="F156" s="378">
        <v>44743</v>
      </c>
      <c r="G156" s="377" t="str" cm="1">
        <f t="array" ref="G156">_xll.d.TestUtils_Equal(E156,F156)</f>
        <v>OK</v>
      </c>
      <c r="I156" s="140" t="s">
        <v>276</v>
      </c>
      <c r="J156" s="378">
        <v>44743</v>
      </c>
      <c r="L156" s="391">
        <f t="array" ref="L156:L160">_xll.d.Date_GenerateSchedule(J156,J157,J158,J159,J160,J161)</f>
        <v>44743</v>
      </c>
      <c r="M156" s="378">
        <v>44743</v>
      </c>
      <c r="N156" s="377" t="str" cm="1">
        <f t="array" ref="N156">_xll.d.TestUtils_Equal(L156,M156)</f>
        <v>OK</v>
      </c>
      <c r="P156" s="140" t="s">
        <v>276</v>
      </c>
      <c r="Q156" s="378">
        <v>44743</v>
      </c>
      <c r="S156" s="391">
        <f t="array" ref="S156:S160">_xll.d.Date_GenerateSchedule(Q156,Q157,Q158,Q159,Q160,Q161)</f>
        <v>44743</v>
      </c>
      <c r="T156" s="378">
        <v>44743</v>
      </c>
      <c r="U156" s="377" t="str" cm="1">
        <f t="array" ref="U156">_xll.d.TestUtils_Equal(S156,T156)</f>
        <v>OK</v>
      </c>
      <c r="W156" s="140" t="s">
        <v>276</v>
      </c>
      <c r="X156" s="378">
        <v>44743</v>
      </c>
      <c r="Z156" s="400" t="str" cm="1">
        <f t="array" ref="Z156">_xll.d.Date_GenerateSchedule(X156,X157,X158,X159,X160,X161)</f>
        <v>#∂Excel Error: Unknown calendar: WRE</v>
      </c>
      <c r="AA156" s="381" t="s">
        <v>282</v>
      </c>
      <c r="AB156" s="377" t="str" cm="1">
        <f t="array" ref="AB156">_xll.d.TestUtils_Equal(Z156,AA156)</f>
        <v>OK</v>
      </c>
    </row>
    <row r="157" spans="2:28" x14ac:dyDescent="0.3">
      <c r="B157" s="142" t="s">
        <v>277</v>
      </c>
      <c r="C157" s="390">
        <v>45108</v>
      </c>
      <c r="E157" s="393">
        <v>44837</v>
      </c>
      <c r="F157" s="390">
        <v>44837</v>
      </c>
      <c r="G157" s="377" t="str" cm="1">
        <f t="array" ref="G157">_xll.d.TestUtils_Equal(E157,F157)</f>
        <v>OK</v>
      </c>
      <c r="I157" s="142" t="s">
        <v>277</v>
      </c>
      <c r="J157" s="390">
        <v>45108</v>
      </c>
      <c r="L157" s="393">
        <v>44837</v>
      </c>
      <c r="M157" s="390">
        <v>44837</v>
      </c>
      <c r="N157" s="377" t="str" cm="1">
        <f t="array" ref="N157">_xll.d.TestUtils_Equal(L157,M157)</f>
        <v>OK</v>
      </c>
      <c r="P157" s="142" t="s">
        <v>277</v>
      </c>
      <c r="Q157" s="390">
        <v>45108</v>
      </c>
      <c r="S157" s="393">
        <v>44824</v>
      </c>
      <c r="T157" s="390">
        <v>44824</v>
      </c>
      <c r="U157" s="377" t="str" cm="1">
        <f t="array" ref="U157">_xll.d.TestUtils_Equal(S157,T157)</f>
        <v>OK</v>
      </c>
      <c r="W157" s="142" t="s">
        <v>277</v>
      </c>
      <c r="X157" s="390">
        <v>45108</v>
      </c>
    </row>
    <row r="158" spans="2:28" x14ac:dyDescent="0.3">
      <c r="B158" s="142" t="s">
        <v>379</v>
      </c>
      <c r="C158" s="143" t="s">
        <v>26</v>
      </c>
      <c r="E158" s="393">
        <v>44929</v>
      </c>
      <c r="F158" s="390">
        <v>44929</v>
      </c>
      <c r="G158" s="377" t="str" cm="1">
        <f t="array" ref="G158">_xll.d.TestUtils_Equal(E158,F158)</f>
        <v>OK</v>
      </c>
      <c r="I158" s="142" t="s">
        <v>379</v>
      </c>
      <c r="J158" s="143" t="s">
        <v>26</v>
      </c>
      <c r="L158" s="393">
        <v>44929</v>
      </c>
      <c r="M158" s="390">
        <v>44929</v>
      </c>
      <c r="N158" s="377" t="str" cm="1">
        <f t="array" ref="N158">_xll.d.TestUtils_Equal(L158,M158)</f>
        <v>OK</v>
      </c>
      <c r="P158" s="142" t="s">
        <v>379</v>
      </c>
      <c r="Q158" s="143" t="s">
        <v>26</v>
      </c>
      <c r="S158" s="393">
        <v>44915</v>
      </c>
      <c r="T158" s="390">
        <v>44915</v>
      </c>
      <c r="U158" s="377" t="str" cm="1">
        <f t="array" ref="U158">_xll.d.TestUtils_Equal(S158,T158)</f>
        <v>OK</v>
      </c>
      <c r="W158" s="142" t="s">
        <v>379</v>
      </c>
      <c r="X158" s="143" t="s">
        <v>26</v>
      </c>
    </row>
    <row r="159" spans="2:28" x14ac:dyDescent="0.3">
      <c r="B159" s="142" t="s">
        <v>380</v>
      </c>
      <c r="C159" s="143" t="s">
        <v>274</v>
      </c>
      <c r="E159" s="393">
        <v>45019</v>
      </c>
      <c r="F159" s="390">
        <v>45019</v>
      </c>
      <c r="G159" s="377" t="str" cm="1">
        <f t="array" ref="G159">_xll.d.TestUtils_Equal(E159,F159)</f>
        <v>OK</v>
      </c>
      <c r="I159" s="142" t="s">
        <v>380</v>
      </c>
      <c r="J159" s="143" t="s">
        <v>274</v>
      </c>
      <c r="L159" s="393">
        <v>45019</v>
      </c>
      <c r="M159" s="390">
        <v>45019</v>
      </c>
      <c r="N159" s="377" t="str" cm="1">
        <f t="array" ref="N159">_xll.d.TestUtils_Equal(L159,M159)</f>
        <v>OK</v>
      </c>
      <c r="P159" s="142" t="s">
        <v>380</v>
      </c>
      <c r="Q159" s="143" t="s">
        <v>274</v>
      </c>
      <c r="S159" s="393">
        <v>45005</v>
      </c>
      <c r="T159" s="390">
        <v>45005</v>
      </c>
      <c r="U159" s="377" t="str" cm="1">
        <f t="array" ref="U159">_xll.d.TestUtils_Equal(S159,T159)</f>
        <v>OK</v>
      </c>
      <c r="W159" s="142" t="s">
        <v>380</v>
      </c>
      <c r="X159" s="143" t="s">
        <v>281</v>
      </c>
    </row>
    <row r="160" spans="2:28" x14ac:dyDescent="0.3">
      <c r="B160" s="142" t="s">
        <v>254</v>
      </c>
      <c r="C160" s="143" t="s">
        <v>255</v>
      </c>
      <c r="E160" s="395">
        <v>45110</v>
      </c>
      <c r="F160" s="399">
        <v>45110</v>
      </c>
      <c r="G160" s="377" t="str" cm="1">
        <f t="array" ref="G160">_xll.d.TestUtils_Equal(E160,F160)</f>
        <v>OK</v>
      </c>
      <c r="I160" s="142" t="s">
        <v>254</v>
      </c>
      <c r="J160" s="143" t="s">
        <v>255</v>
      </c>
      <c r="L160" s="395">
        <v>45110</v>
      </c>
      <c r="M160" s="399">
        <v>45110</v>
      </c>
      <c r="N160" s="377" t="str" cm="1">
        <f t="array" ref="N160">_xll.d.TestUtils_Equal(L160,M160)</f>
        <v>OK</v>
      </c>
      <c r="P160" s="142" t="s">
        <v>254</v>
      </c>
      <c r="Q160" s="143" t="s">
        <v>255</v>
      </c>
      <c r="S160" s="395">
        <v>45097</v>
      </c>
      <c r="T160" s="399">
        <v>45097</v>
      </c>
      <c r="U160" s="377" t="str" cm="1">
        <f t="array" ref="U160">_xll.d.TestUtils_Equal(S160,T160)</f>
        <v>OK</v>
      </c>
      <c r="W160" s="142" t="s">
        <v>254</v>
      </c>
      <c r="X160" s="143" t="s">
        <v>255</v>
      </c>
    </row>
    <row r="161" spans="2:24" x14ac:dyDescent="0.3">
      <c r="B161" s="144" t="s">
        <v>381</v>
      </c>
      <c r="C161" s="145" t="s">
        <v>382</v>
      </c>
      <c r="I161" s="144" t="s">
        <v>381</v>
      </c>
      <c r="J161" s="145" t="s">
        <v>384</v>
      </c>
      <c r="P161" s="144" t="s">
        <v>381</v>
      </c>
      <c r="Q161" s="145" t="s">
        <v>387</v>
      </c>
      <c r="W161" s="144" t="s">
        <v>381</v>
      </c>
      <c r="X161" s="145" t="s">
        <v>387</v>
      </c>
    </row>
    <row r="165" spans="2:24" ht="18" x14ac:dyDescent="0.35">
      <c r="B165" s="3" t="s">
        <v>289</v>
      </c>
      <c r="C165" s="383"/>
      <c r="D165" s="383"/>
      <c r="E165" s="383"/>
      <c r="F165" s="383"/>
      <c r="G165" s="383"/>
      <c r="H165" s="383"/>
      <c r="I165" s="383"/>
      <c r="J165" s="383"/>
      <c r="K165" s="383"/>
      <c r="L165" s="383"/>
      <c r="M165" s="383"/>
      <c r="N165" s="383"/>
      <c r="O165" s="383"/>
      <c r="P165" s="383"/>
      <c r="Q165" s="383"/>
      <c r="R165" s="383"/>
      <c r="S165" s="383"/>
      <c r="T165" s="383"/>
      <c r="U165" s="383"/>
    </row>
    <row r="167" spans="2:24" x14ac:dyDescent="0.3">
      <c r="B167" s="59" t="s">
        <v>170</v>
      </c>
      <c r="C167" s="377" t="str" cm="1">
        <f t="array" ref="C167">_xll.d.TestUtils_And(H172:I176)</f>
        <v>OK</v>
      </c>
    </row>
    <row r="169" spans="2:24" ht="15.6" x14ac:dyDescent="0.3">
      <c r="B169" s="4" t="s">
        <v>115</v>
      </c>
      <c r="C169" s="384"/>
      <c r="D169" s="384"/>
      <c r="E169" s="384"/>
      <c r="F169" s="384"/>
      <c r="G169" s="384"/>
      <c r="H169" s="384"/>
      <c r="I169" s="384"/>
    </row>
    <row r="171" spans="2:24" x14ac:dyDescent="0.3">
      <c r="B171" s="138" t="s">
        <v>144</v>
      </c>
      <c r="C171" s="139"/>
      <c r="E171" s="138" t="s">
        <v>269</v>
      </c>
      <c r="F171" s="139"/>
      <c r="H171" s="138" t="s">
        <v>88</v>
      </c>
      <c r="I171" s="139"/>
    </row>
    <row r="172" spans="2:24" x14ac:dyDescent="0.3">
      <c r="B172" s="136" t="str" cm="1">
        <f t="array" ref="B172:C176">_xll.d.Date_GetAvailableBusinessDayConventions()</f>
        <v>Variant 1</v>
      </c>
      <c r="C172" s="137" t="str">
        <v>Variant 2</v>
      </c>
      <c r="E172" s="136" t="s">
        <v>290</v>
      </c>
      <c r="F172" s="137" t="s">
        <v>291</v>
      </c>
      <c r="H172" s="377" t="str" cm="1">
        <f t="array" ref="H172">_xll.d.TestUtils_Equal(B172,E172)</f>
        <v>OK</v>
      </c>
      <c r="I172" s="377" t="str" cm="1">
        <f t="array" ref="I172">_xll.d.TestUtils_Equal(C172,F172)</f>
        <v>OK</v>
      </c>
    </row>
    <row r="173" spans="2:24" x14ac:dyDescent="0.3">
      <c r="B173" s="140" t="str">
        <v>Fol</v>
      </c>
      <c r="C173" s="141" t="str">
        <v>Following</v>
      </c>
      <c r="E173" s="140" t="s">
        <v>292</v>
      </c>
      <c r="F173" s="141" t="s">
        <v>293</v>
      </c>
      <c r="H173" s="377" t="str" cm="1">
        <f t="array" ref="H173">_xll.d.TestUtils_Equal(B173,E173)</f>
        <v>OK</v>
      </c>
      <c r="I173" s="377" t="str" cm="1">
        <f t="array" ref="I173">_xll.d.TestUtils_Equal(C173,F173)</f>
        <v>OK</v>
      </c>
    </row>
    <row r="174" spans="2:24" x14ac:dyDescent="0.3">
      <c r="B174" s="142" t="str">
        <v>ModFol</v>
      </c>
      <c r="C174" s="143" t="str">
        <v>ModifiedFollowing</v>
      </c>
      <c r="E174" s="142" t="s">
        <v>294</v>
      </c>
      <c r="F174" s="143" t="s">
        <v>295</v>
      </c>
      <c r="H174" s="377" t="str" cm="1">
        <f t="array" ref="H174">_xll.d.TestUtils_Equal(B174,E174)</f>
        <v>OK</v>
      </c>
      <c r="I174" s="377" t="str" cm="1">
        <f t="array" ref="I174">_xll.d.TestUtils_Equal(C174,F174)</f>
        <v>OK</v>
      </c>
    </row>
    <row r="175" spans="2:24" x14ac:dyDescent="0.3">
      <c r="B175" s="142" t="str">
        <v>ModPrec</v>
      </c>
      <c r="C175" s="143" t="str">
        <v>ModPreceding</v>
      </c>
      <c r="E175" s="142" t="s">
        <v>296</v>
      </c>
      <c r="F175" s="143" t="s">
        <v>297</v>
      </c>
      <c r="H175" s="377" t="str" cm="1">
        <f t="array" ref="H175">_xll.d.TestUtils_Equal(B175,E175)</f>
        <v>OK</v>
      </c>
      <c r="I175" s="377" t="str" cm="1">
        <f t="array" ref="I175">_xll.d.TestUtils_Equal(C175,F175)</f>
        <v>OK</v>
      </c>
    </row>
    <row r="176" spans="2:24" x14ac:dyDescent="0.3">
      <c r="B176" s="144" t="str">
        <v>Prec</v>
      </c>
      <c r="C176" s="145" t="str">
        <v>Preceding</v>
      </c>
      <c r="E176" s="144" t="s">
        <v>298</v>
      </c>
      <c r="F176" s="145" t="s">
        <v>299</v>
      </c>
      <c r="H176" s="377" t="str" cm="1">
        <f t="array" ref="H176">_xll.d.TestUtils_Equal(B176,E176)</f>
        <v>OK</v>
      </c>
      <c r="I176" s="377" t="str" cm="1">
        <f t="array" ref="I176">_xll.d.TestUtils_Equal(C176,F176)</f>
        <v>OK</v>
      </c>
    </row>
    <row r="180" spans="2:21" ht="18" x14ac:dyDescent="0.35">
      <c r="B180" s="3" t="s">
        <v>300</v>
      </c>
      <c r="C180" s="383"/>
      <c r="D180" s="383"/>
      <c r="E180" s="383"/>
      <c r="F180" s="383"/>
      <c r="G180" s="383"/>
      <c r="H180" s="383"/>
      <c r="I180" s="383"/>
      <c r="J180" s="383"/>
      <c r="K180" s="383"/>
      <c r="L180" s="383"/>
      <c r="M180" s="383"/>
      <c r="N180" s="383"/>
      <c r="O180" s="383"/>
      <c r="P180" s="383"/>
      <c r="Q180" s="383"/>
      <c r="R180" s="383"/>
      <c r="S180" s="383"/>
      <c r="T180" s="383"/>
      <c r="U180" s="383"/>
    </row>
    <row r="182" spans="2:21" x14ac:dyDescent="0.3">
      <c r="B182" s="59" t="s">
        <v>170</v>
      </c>
      <c r="C182" s="377" t="str" cm="1">
        <f t="array" ref="C182">_xll.d.TestUtils_And(L187:O191)</f>
        <v>OK</v>
      </c>
    </row>
    <row r="184" spans="2:21" ht="15.6" x14ac:dyDescent="0.3">
      <c r="B184" s="4" t="s">
        <v>115</v>
      </c>
      <c r="C184" s="384"/>
      <c r="D184" s="384"/>
      <c r="E184" s="384"/>
      <c r="F184" s="384"/>
      <c r="G184" s="384"/>
      <c r="H184" s="384"/>
      <c r="I184" s="384"/>
    </row>
    <row r="186" spans="2:21" x14ac:dyDescent="0.3">
      <c r="B186" s="138" t="s">
        <v>144</v>
      </c>
      <c r="C186" s="231"/>
      <c r="D186" s="231"/>
      <c r="E186" s="139"/>
      <c r="G186" s="138" t="s">
        <v>144</v>
      </c>
      <c r="H186" s="231"/>
      <c r="I186" s="231"/>
      <c r="J186" s="139"/>
      <c r="L186" s="138" t="s">
        <v>88</v>
      </c>
      <c r="M186" s="139"/>
      <c r="N186" s="139"/>
      <c r="O186" s="139"/>
    </row>
    <row r="187" spans="2:21" x14ac:dyDescent="0.3">
      <c r="B187" s="136" t="str" cm="1">
        <f t="array" ref="B187:E191">_xll.d.Date_GetAvailableDayCountConventions()</f>
        <v>Variant 1</v>
      </c>
      <c r="C187" s="344" t="str">
        <v>Variant 2</v>
      </c>
      <c r="D187" s="344" t="str">
        <v>Variant 3</v>
      </c>
      <c r="E187" s="137" t="str">
        <v>Variant 4</v>
      </c>
      <c r="G187" s="136" t="s">
        <v>290</v>
      </c>
      <c r="H187" s="344" t="s">
        <v>291</v>
      </c>
      <c r="I187" s="344" t="s">
        <v>301</v>
      </c>
      <c r="J187" s="137" t="s">
        <v>302</v>
      </c>
      <c r="L187" s="377" t="str" cm="1">
        <f t="array" ref="L187">_xll.d.TestUtils_Equal(B187,G187)</f>
        <v>OK</v>
      </c>
      <c r="M187" s="377" t="str" cm="1">
        <f t="array" ref="M187">_xll.d.TestUtils_Equal(C187,H187)</f>
        <v>OK</v>
      </c>
      <c r="N187" s="377" t="str" cm="1">
        <f t="array" ref="N187">_xll.d.TestUtils_Equal(D187,I187)</f>
        <v>OK</v>
      </c>
      <c r="O187" s="377" t="str" cm="1">
        <f t="array" ref="O187">_xll.d.TestUtils_Equal(E187,J187)</f>
        <v>OK</v>
      </c>
    </row>
    <row r="188" spans="2:21" x14ac:dyDescent="0.3">
      <c r="B188" s="140" t="str">
        <v>Act360</v>
      </c>
      <c r="C188" s="398" t="str">
        <v>Actual360</v>
      </c>
      <c r="D188" s="398" t="str">
        <v/>
      </c>
      <c r="E188" s="141" t="str">
        <v/>
      </c>
      <c r="G188" s="140" t="s">
        <v>303</v>
      </c>
      <c r="H188" s="398" t="s">
        <v>304</v>
      </c>
      <c r="I188" s="398" t="s">
        <v>305</v>
      </c>
      <c r="J188" s="141" t="s">
        <v>305</v>
      </c>
      <c r="L188" s="377" t="str" cm="1">
        <f t="array" ref="L188">_xll.d.TestUtils_Equal(B188,G188)</f>
        <v>OK</v>
      </c>
      <c r="M188" s="377" t="str" cm="1">
        <f t="array" ref="M188">_xll.d.TestUtils_Equal(C188,H188)</f>
        <v>OK</v>
      </c>
      <c r="N188" s="377" t="str" cm="1">
        <f t="array" ref="N188">_xll.d.TestUtils_Equal(D188,I188)</f>
        <v>OK</v>
      </c>
      <c r="O188" s="377" t="str" cm="1">
        <f t="array" ref="O188">_xll.d.TestUtils_Equal(E188,J188)</f>
        <v>OK</v>
      </c>
    </row>
    <row r="189" spans="2:21" x14ac:dyDescent="0.3">
      <c r="B189" s="142" t="str">
        <v>Act365</v>
      </c>
      <c r="C189" s="332" t="str">
        <v>Act365F</v>
      </c>
      <c r="D189" s="332" t="str">
        <v>Actual365</v>
      </c>
      <c r="E189" s="143" t="str">
        <v>Actual365F</v>
      </c>
      <c r="G189" s="142" t="s">
        <v>306</v>
      </c>
      <c r="H189" s="332" t="s">
        <v>307</v>
      </c>
      <c r="I189" s="332" t="s">
        <v>73</v>
      </c>
      <c r="J189" s="143" t="s">
        <v>308</v>
      </c>
      <c r="L189" s="377" t="str" cm="1">
        <f t="array" ref="L189">_xll.d.TestUtils_Equal(B189,G189)</f>
        <v>OK</v>
      </c>
      <c r="M189" s="377" t="str" cm="1">
        <f t="array" ref="M189">_xll.d.TestUtils_Equal(C189,H189)</f>
        <v>OK</v>
      </c>
      <c r="N189" s="377" t="str" cm="1">
        <f t="array" ref="N189">_xll.d.TestUtils_Equal(D189,I189)</f>
        <v>OK</v>
      </c>
      <c r="O189" s="377" t="str" cm="1">
        <f t="array" ref="O189">_xll.d.TestUtils_Equal(E189,J189)</f>
        <v>OK</v>
      </c>
    </row>
    <row r="190" spans="2:21" x14ac:dyDescent="0.3">
      <c r="B190" s="142" t="str">
        <v>ActAct</v>
      </c>
      <c r="C190" s="332" t="str">
        <v>ActualActual</v>
      </c>
      <c r="D190" s="332" t="str">
        <v/>
      </c>
      <c r="E190" s="143" t="str">
        <v/>
      </c>
      <c r="G190" s="142" t="s">
        <v>309</v>
      </c>
      <c r="H190" s="332" t="s">
        <v>310</v>
      </c>
      <c r="I190" s="332" t="s">
        <v>305</v>
      </c>
      <c r="J190" s="143" t="s">
        <v>305</v>
      </c>
      <c r="L190" s="377" t="str" cm="1">
        <f t="array" ref="L190">_xll.d.TestUtils_Equal(B190,G190)</f>
        <v>OK</v>
      </c>
      <c r="M190" s="377" t="str" cm="1">
        <f t="array" ref="M190">_xll.d.TestUtils_Equal(C190,H190)</f>
        <v>OK</v>
      </c>
      <c r="N190" s="377" t="str" cm="1">
        <f t="array" ref="N190">_xll.d.TestUtils_Equal(D190,I190)</f>
        <v>OK</v>
      </c>
      <c r="O190" s="377" t="str" cm="1">
        <f t="array" ref="O190">_xll.d.TestUtils_Equal(E190,J190)</f>
        <v>OK</v>
      </c>
    </row>
    <row r="191" spans="2:21" x14ac:dyDescent="0.3">
      <c r="B191" s="144" t="str">
        <v>Bus252</v>
      </c>
      <c r="C191" s="230" t="str">
        <v>Business252</v>
      </c>
      <c r="D191" s="230" t="str">
        <v/>
      </c>
      <c r="E191" s="145" t="str">
        <v/>
      </c>
      <c r="G191" s="144" t="s">
        <v>311</v>
      </c>
      <c r="H191" s="230" t="s">
        <v>312</v>
      </c>
      <c r="I191" s="230" t="s">
        <v>305</v>
      </c>
      <c r="J191" s="145" t="s">
        <v>305</v>
      </c>
      <c r="L191" s="377" t="str" cm="1">
        <f t="array" ref="L191">_xll.d.TestUtils_Equal(B191,G191)</f>
        <v>OK</v>
      </c>
      <c r="M191" s="377" t="str" cm="1">
        <f t="array" ref="M191">_xll.d.TestUtils_Equal(C191,H191)</f>
        <v>OK</v>
      </c>
      <c r="N191" s="377" t="str" cm="1">
        <f t="array" ref="N191">_xll.d.TestUtils_Equal(D191,I191)</f>
        <v>OK</v>
      </c>
      <c r="O191" s="377" t="str" cm="1">
        <f t="array" ref="O191">_xll.d.TestUtils_Equal(E191,J191)</f>
        <v>OK</v>
      </c>
    </row>
  </sheetData>
  <conditionalFormatting sqref="D8:D14">
    <cfRule type="cellIs" dxfId="388" priority="123" stopIfTrue="1" operator="equal">
      <formula>"ERROR"</formula>
    </cfRule>
    <cfRule type="cellIs" dxfId="387" priority="124" stopIfTrue="1" operator="equal">
      <formula>"OK"</formula>
    </cfRule>
    <cfRule type="cellIs" dxfId="386" priority="125" stopIfTrue="1" operator="equal">
      <formula>"WARNING"</formula>
    </cfRule>
  </conditionalFormatting>
  <conditionalFormatting sqref="C4">
    <cfRule type="cellIs" dxfId="385" priority="97" stopIfTrue="1" operator="equal">
      <formula>"ERROR"</formula>
    </cfRule>
    <cfRule type="cellIs" dxfId="384" priority="98" stopIfTrue="1" operator="equal">
      <formula>"OK"</formula>
    </cfRule>
    <cfRule type="cellIs" dxfId="383" priority="99" stopIfTrue="1" operator="equal">
      <formula>"WARNING"</formula>
    </cfRule>
  </conditionalFormatting>
  <conditionalFormatting sqref="C21">
    <cfRule type="cellIs" dxfId="382" priority="91" stopIfTrue="1" operator="equal">
      <formula>"ERROR"</formula>
    </cfRule>
  </conditionalFormatting>
  <conditionalFormatting sqref="C21">
    <cfRule type="cellIs" dxfId="381" priority="92" stopIfTrue="1" operator="equal">
      <formula>"OK"</formula>
    </cfRule>
  </conditionalFormatting>
  <conditionalFormatting sqref="C21">
    <cfRule type="cellIs" dxfId="380" priority="93" stopIfTrue="1" operator="equal">
      <formula>"WARNING"</formula>
    </cfRule>
  </conditionalFormatting>
  <conditionalFormatting sqref="G26">
    <cfRule type="cellIs" dxfId="379" priority="126" stopIfTrue="1" operator="equal">
      <formula>"ERROR"</formula>
    </cfRule>
    <cfRule type="cellIs" dxfId="378" priority="127" stopIfTrue="1" operator="equal">
      <formula>"OK"</formula>
    </cfRule>
    <cfRule type="cellIs" dxfId="377" priority="128" stopIfTrue="1" operator="equal">
      <formula>"WARNING"</formula>
    </cfRule>
  </conditionalFormatting>
  <conditionalFormatting sqref="N26">
    <cfRule type="cellIs" dxfId="376" priority="88" stopIfTrue="1" operator="equal">
      <formula>"ERROR"</formula>
    </cfRule>
    <cfRule type="cellIs" dxfId="375" priority="89" stopIfTrue="1" operator="equal">
      <formula>"OK"</formula>
    </cfRule>
    <cfRule type="cellIs" dxfId="374" priority="90" stopIfTrue="1" operator="equal">
      <formula>"WARNING"</formula>
    </cfRule>
  </conditionalFormatting>
  <conditionalFormatting sqref="U26">
    <cfRule type="cellIs" dxfId="373" priority="85" stopIfTrue="1" operator="equal">
      <formula>"ERROR"</formula>
    </cfRule>
    <cfRule type="cellIs" dxfId="372" priority="86" stopIfTrue="1" operator="equal">
      <formula>"OK"</formula>
    </cfRule>
    <cfRule type="cellIs" dxfId="371" priority="87" stopIfTrue="1" operator="equal">
      <formula>"WARNING"</formula>
    </cfRule>
  </conditionalFormatting>
  <conditionalFormatting sqref="G129:G137">
    <cfRule type="cellIs" dxfId="370" priority="129" stopIfTrue="1" operator="equal">
      <formula>"ERROR"</formula>
    </cfRule>
    <cfRule type="cellIs" dxfId="369" priority="130" stopIfTrue="1" operator="equal">
      <formula>"OK"</formula>
    </cfRule>
    <cfRule type="cellIs" dxfId="368" priority="131" stopIfTrue="1" operator="equal">
      <formula>"WARNING"</formula>
    </cfRule>
  </conditionalFormatting>
  <conditionalFormatting sqref="C124">
    <cfRule type="cellIs" dxfId="367" priority="82" stopIfTrue="1" operator="equal">
      <formula>"ERROR"</formula>
    </cfRule>
  </conditionalFormatting>
  <conditionalFormatting sqref="C124">
    <cfRule type="cellIs" dxfId="366" priority="83" stopIfTrue="1" operator="equal">
      <formula>"OK"</formula>
    </cfRule>
  </conditionalFormatting>
  <conditionalFormatting sqref="C124">
    <cfRule type="cellIs" dxfId="365" priority="84" stopIfTrue="1" operator="equal">
      <formula>"WARNING"</formula>
    </cfRule>
  </conditionalFormatting>
  <conditionalFormatting sqref="N129:N146">
    <cfRule type="cellIs" dxfId="364" priority="79" stopIfTrue="1" operator="equal">
      <formula>"ERROR"</formula>
    </cfRule>
    <cfRule type="cellIs" dxfId="363" priority="80" stopIfTrue="1" operator="equal">
      <formula>"OK"</formula>
    </cfRule>
    <cfRule type="cellIs" dxfId="362" priority="81" stopIfTrue="1" operator="equal">
      <formula>"WARNING"</formula>
    </cfRule>
  </conditionalFormatting>
  <conditionalFormatting sqref="AB26">
    <cfRule type="cellIs" dxfId="361" priority="76" stopIfTrue="1" operator="equal">
      <formula>"ERROR"</formula>
    </cfRule>
    <cfRule type="cellIs" dxfId="360" priority="77" stopIfTrue="1" operator="equal">
      <formula>"OK"</formula>
    </cfRule>
    <cfRule type="cellIs" dxfId="359" priority="78" stopIfTrue="1" operator="equal">
      <formula>"WARNING"</formula>
    </cfRule>
  </conditionalFormatting>
  <conditionalFormatting sqref="C36">
    <cfRule type="cellIs" dxfId="358" priority="70" stopIfTrue="1" operator="equal">
      <formula>"ERROR"</formula>
    </cfRule>
  </conditionalFormatting>
  <conditionalFormatting sqref="C36">
    <cfRule type="cellIs" dxfId="357" priority="71" stopIfTrue="1" operator="equal">
      <formula>"OK"</formula>
    </cfRule>
  </conditionalFormatting>
  <conditionalFormatting sqref="C36">
    <cfRule type="cellIs" dxfId="356" priority="72" stopIfTrue="1" operator="equal">
      <formula>"WARNING"</formula>
    </cfRule>
  </conditionalFormatting>
  <conditionalFormatting sqref="G41">
    <cfRule type="cellIs" dxfId="355" priority="73" stopIfTrue="1" operator="equal">
      <formula>"ERROR"</formula>
    </cfRule>
    <cfRule type="cellIs" dxfId="354" priority="74" stopIfTrue="1" operator="equal">
      <formula>"OK"</formula>
    </cfRule>
    <cfRule type="cellIs" dxfId="353" priority="75" stopIfTrue="1" operator="equal">
      <formula>"WARNING"</formula>
    </cfRule>
  </conditionalFormatting>
  <conditionalFormatting sqref="N41">
    <cfRule type="cellIs" dxfId="352" priority="67" stopIfTrue="1" operator="equal">
      <formula>"ERROR"</formula>
    </cfRule>
    <cfRule type="cellIs" dxfId="351" priority="68" stopIfTrue="1" operator="equal">
      <formula>"OK"</formula>
    </cfRule>
    <cfRule type="cellIs" dxfId="350" priority="69" stopIfTrue="1" operator="equal">
      <formula>"WARNING"</formula>
    </cfRule>
  </conditionalFormatting>
  <conditionalFormatting sqref="U41">
    <cfRule type="cellIs" dxfId="349" priority="64" stopIfTrue="1" operator="equal">
      <formula>"ERROR"</formula>
    </cfRule>
    <cfRule type="cellIs" dxfId="348" priority="65" stopIfTrue="1" operator="equal">
      <formula>"OK"</formula>
    </cfRule>
    <cfRule type="cellIs" dxfId="347" priority="66" stopIfTrue="1" operator="equal">
      <formula>"WARNING"</formula>
    </cfRule>
  </conditionalFormatting>
  <conditionalFormatting sqref="AB41">
    <cfRule type="cellIs" dxfId="346" priority="61" stopIfTrue="1" operator="equal">
      <formula>"ERROR"</formula>
    </cfRule>
    <cfRule type="cellIs" dxfId="345" priority="62" stopIfTrue="1" operator="equal">
      <formula>"OK"</formula>
    </cfRule>
    <cfRule type="cellIs" dxfId="344" priority="63" stopIfTrue="1" operator="equal">
      <formula>"WARNING"</formula>
    </cfRule>
  </conditionalFormatting>
  <conditionalFormatting sqref="C51">
    <cfRule type="cellIs" dxfId="343" priority="55" stopIfTrue="1" operator="equal">
      <formula>"ERROR"</formula>
    </cfRule>
  </conditionalFormatting>
  <conditionalFormatting sqref="C51">
    <cfRule type="cellIs" dxfId="342" priority="56" stopIfTrue="1" operator="equal">
      <formula>"OK"</formula>
    </cfRule>
  </conditionalFormatting>
  <conditionalFormatting sqref="C51">
    <cfRule type="cellIs" dxfId="341" priority="57" stopIfTrue="1" operator="equal">
      <formula>"WARNING"</formula>
    </cfRule>
  </conditionalFormatting>
  <conditionalFormatting sqref="G56">
    <cfRule type="cellIs" dxfId="340" priority="58" stopIfTrue="1" operator="equal">
      <formula>"ERROR"</formula>
    </cfRule>
    <cfRule type="cellIs" dxfId="339" priority="59" stopIfTrue="1" operator="equal">
      <formula>"OK"</formula>
    </cfRule>
    <cfRule type="cellIs" dxfId="338" priority="60" stopIfTrue="1" operator="equal">
      <formula>"WARNING"</formula>
    </cfRule>
  </conditionalFormatting>
  <conditionalFormatting sqref="N56">
    <cfRule type="cellIs" dxfId="337" priority="52" stopIfTrue="1" operator="equal">
      <formula>"ERROR"</formula>
    </cfRule>
    <cfRule type="cellIs" dxfId="336" priority="53" stopIfTrue="1" operator="equal">
      <formula>"OK"</formula>
    </cfRule>
    <cfRule type="cellIs" dxfId="335" priority="54" stopIfTrue="1" operator="equal">
      <formula>"WARNING"</formula>
    </cfRule>
  </conditionalFormatting>
  <conditionalFormatting sqref="U56">
    <cfRule type="cellIs" dxfId="334" priority="49" stopIfTrue="1" operator="equal">
      <formula>"ERROR"</formula>
    </cfRule>
    <cfRule type="cellIs" dxfId="333" priority="50" stopIfTrue="1" operator="equal">
      <formula>"OK"</formula>
    </cfRule>
    <cfRule type="cellIs" dxfId="332" priority="51" stopIfTrue="1" operator="equal">
      <formula>"WARNING"</formula>
    </cfRule>
  </conditionalFormatting>
  <conditionalFormatting sqref="AB56">
    <cfRule type="cellIs" dxfId="331" priority="46" stopIfTrue="1" operator="equal">
      <formula>"ERROR"</formula>
    </cfRule>
    <cfRule type="cellIs" dxfId="330" priority="47" stopIfTrue="1" operator="equal">
      <formula>"OK"</formula>
    </cfRule>
    <cfRule type="cellIs" dxfId="329" priority="48" stopIfTrue="1" operator="equal">
      <formula>"WARNING"</formula>
    </cfRule>
  </conditionalFormatting>
  <conditionalFormatting sqref="G71">
    <cfRule type="cellIs" dxfId="328" priority="40" stopIfTrue="1" operator="equal">
      <formula>"ERROR"</formula>
    </cfRule>
    <cfRule type="cellIs" dxfId="327" priority="41" stopIfTrue="1" operator="equal">
      <formula>"OK"</formula>
    </cfRule>
    <cfRule type="cellIs" dxfId="326" priority="42" stopIfTrue="1" operator="equal">
      <formula>"WARNING"</formula>
    </cfRule>
  </conditionalFormatting>
  <conditionalFormatting sqref="C66">
    <cfRule type="cellIs" dxfId="325" priority="37" stopIfTrue="1" operator="equal">
      <formula>"ERROR"</formula>
    </cfRule>
  </conditionalFormatting>
  <conditionalFormatting sqref="C66">
    <cfRule type="cellIs" dxfId="324" priority="38" stopIfTrue="1" operator="equal">
      <formula>"OK"</formula>
    </cfRule>
  </conditionalFormatting>
  <conditionalFormatting sqref="C66">
    <cfRule type="cellIs" dxfId="323" priority="39" stopIfTrue="1" operator="equal">
      <formula>"WARNING"</formula>
    </cfRule>
  </conditionalFormatting>
  <conditionalFormatting sqref="N71">
    <cfRule type="cellIs" dxfId="322" priority="34" stopIfTrue="1" operator="equal">
      <formula>"ERROR"</formula>
    </cfRule>
    <cfRule type="cellIs" dxfId="321" priority="35" stopIfTrue="1" operator="equal">
      <formula>"OK"</formula>
    </cfRule>
    <cfRule type="cellIs" dxfId="320" priority="36" stopIfTrue="1" operator="equal">
      <formula>"WARNING"</formula>
    </cfRule>
  </conditionalFormatting>
  <conditionalFormatting sqref="U71">
    <cfRule type="cellIs" dxfId="319" priority="31" stopIfTrue="1" operator="equal">
      <formula>"ERROR"</formula>
    </cfRule>
    <cfRule type="cellIs" dxfId="318" priority="32" stopIfTrue="1" operator="equal">
      <formula>"OK"</formula>
    </cfRule>
    <cfRule type="cellIs" dxfId="317" priority="33" stopIfTrue="1" operator="equal">
      <formula>"WARNING"</formula>
    </cfRule>
  </conditionalFormatting>
  <conditionalFormatting sqref="AB71">
    <cfRule type="cellIs" dxfId="316" priority="28" stopIfTrue="1" operator="equal">
      <formula>"ERROR"</formula>
    </cfRule>
    <cfRule type="cellIs" dxfId="315" priority="29" stopIfTrue="1" operator="equal">
      <formula>"OK"</formula>
    </cfRule>
    <cfRule type="cellIs" dxfId="314" priority="30" stopIfTrue="1" operator="equal">
      <formula>"WARNING"</formula>
    </cfRule>
  </conditionalFormatting>
  <conditionalFormatting sqref="U129">
    <cfRule type="cellIs" dxfId="313" priority="25" stopIfTrue="1" operator="equal">
      <formula>"ERROR"</formula>
    </cfRule>
    <cfRule type="cellIs" dxfId="312" priority="26" stopIfTrue="1" operator="equal">
      <formula>"OK"</formula>
    </cfRule>
    <cfRule type="cellIs" dxfId="311" priority="27" stopIfTrue="1" operator="equal">
      <formula>"WARNING"</formula>
    </cfRule>
  </conditionalFormatting>
  <conditionalFormatting sqref="C167">
    <cfRule type="cellIs" dxfId="310" priority="22" stopIfTrue="1" operator="equal">
      <formula>"ERROR"</formula>
    </cfRule>
  </conditionalFormatting>
  <conditionalFormatting sqref="C167">
    <cfRule type="cellIs" dxfId="309" priority="23" stopIfTrue="1" operator="equal">
      <formula>"OK"</formula>
    </cfRule>
  </conditionalFormatting>
  <conditionalFormatting sqref="C167">
    <cfRule type="cellIs" dxfId="308" priority="24" stopIfTrue="1" operator="equal">
      <formula>"WARNING"</formula>
    </cfRule>
  </conditionalFormatting>
  <conditionalFormatting sqref="H172:I176">
    <cfRule type="cellIs" dxfId="307" priority="132" stopIfTrue="1" operator="equal">
      <formula>"ERROR"</formula>
    </cfRule>
  </conditionalFormatting>
  <conditionalFormatting sqref="H172:I176">
    <cfRule type="cellIs" dxfId="306" priority="133" stopIfTrue="1" operator="equal">
      <formula>"OK"</formula>
    </cfRule>
  </conditionalFormatting>
  <conditionalFormatting sqref="H172:I176">
    <cfRule type="cellIs" dxfId="305" priority="134" stopIfTrue="1" operator="equal">
      <formula>"WARNING"</formula>
    </cfRule>
  </conditionalFormatting>
  <conditionalFormatting sqref="D13:D14">
    <cfRule type="cellIs" dxfId="304" priority="135" stopIfTrue="1" operator="equal">
      <formula>"ERROR"</formula>
    </cfRule>
    <cfRule type="cellIs" dxfId="303" priority="136" stopIfTrue="1" operator="equal">
      <formula>"OK"</formula>
    </cfRule>
    <cfRule type="cellIs" dxfId="302" priority="137" stopIfTrue="1" operator="equal">
      <formula>"WARNING"</formula>
    </cfRule>
  </conditionalFormatting>
  <conditionalFormatting sqref="D15:D16">
    <cfRule type="cellIs" dxfId="301" priority="138" stopIfTrue="1" operator="equal">
      <formula>"ERROR"</formula>
    </cfRule>
    <cfRule type="cellIs" dxfId="300" priority="139" stopIfTrue="1" operator="equal">
      <formula>"OK"</formula>
    </cfRule>
    <cfRule type="cellIs" dxfId="299" priority="140" stopIfTrue="1" operator="equal">
      <formula>"WARNING"</formula>
    </cfRule>
  </conditionalFormatting>
  <conditionalFormatting sqref="C182">
    <cfRule type="cellIs" dxfId="298" priority="16" stopIfTrue="1" operator="equal">
      <formula>"ERROR"</formula>
    </cfRule>
  </conditionalFormatting>
  <conditionalFormatting sqref="C182">
    <cfRule type="cellIs" dxfId="297" priority="17" stopIfTrue="1" operator="equal">
      <formula>"OK"</formula>
    </cfRule>
  </conditionalFormatting>
  <conditionalFormatting sqref="C182">
    <cfRule type="cellIs" dxfId="296" priority="18" stopIfTrue="1" operator="equal">
      <formula>"WARNING"</formula>
    </cfRule>
  </conditionalFormatting>
  <conditionalFormatting sqref="L187:O191">
    <cfRule type="cellIs" dxfId="295" priority="19" stopIfTrue="1" operator="equal">
      <formula>"ERROR"</formula>
    </cfRule>
  </conditionalFormatting>
  <conditionalFormatting sqref="L187:O191">
    <cfRule type="cellIs" dxfId="294" priority="20" stopIfTrue="1" operator="equal">
      <formula>"OK"</formula>
    </cfRule>
  </conditionalFormatting>
  <conditionalFormatting sqref="L187:O191">
    <cfRule type="cellIs" dxfId="293" priority="21" stopIfTrue="1" operator="equal">
      <formula>"WARNING"</formula>
    </cfRule>
  </conditionalFormatting>
  <conditionalFormatting sqref="C80">
    <cfRule type="cellIs" dxfId="292" priority="13" stopIfTrue="1" operator="equal">
      <formula>"ERROR"</formula>
    </cfRule>
  </conditionalFormatting>
  <conditionalFormatting sqref="C80">
    <cfRule type="cellIs" dxfId="291" priority="14" stopIfTrue="1" operator="equal">
      <formula>"OK"</formula>
    </cfRule>
  </conditionalFormatting>
  <conditionalFormatting sqref="C80">
    <cfRule type="cellIs" dxfId="290" priority="15" stopIfTrue="1" operator="equal">
      <formula>"WARNING"</formula>
    </cfRule>
  </conditionalFormatting>
  <conditionalFormatting sqref="L85:O118">
    <cfRule type="cellIs" dxfId="289" priority="141" stopIfTrue="1" operator="equal">
      <formula>"ERROR"</formula>
    </cfRule>
  </conditionalFormatting>
  <conditionalFormatting sqref="L85:O118">
    <cfRule type="cellIs" dxfId="288" priority="142" stopIfTrue="1" operator="equal">
      <formula>"OK"</formula>
    </cfRule>
  </conditionalFormatting>
  <conditionalFormatting sqref="L85:O118">
    <cfRule type="cellIs" dxfId="287" priority="143" stopIfTrue="1" operator="equal">
      <formula>"WARNING"</formula>
    </cfRule>
  </conditionalFormatting>
  <conditionalFormatting sqref="C151">
    <cfRule type="cellIs" dxfId="286" priority="10" stopIfTrue="1" operator="equal">
      <formula>"ERROR"</formula>
    </cfRule>
  </conditionalFormatting>
  <conditionalFormatting sqref="C151">
    <cfRule type="cellIs" dxfId="285" priority="11" stopIfTrue="1" operator="equal">
      <formula>"OK"</formula>
    </cfRule>
  </conditionalFormatting>
  <conditionalFormatting sqref="C151">
    <cfRule type="cellIs" dxfId="284" priority="12" stopIfTrue="1" operator="equal">
      <formula>"WARNING"</formula>
    </cfRule>
  </conditionalFormatting>
  <conditionalFormatting sqref="G156:G160">
    <cfRule type="cellIs" dxfId="283" priority="144" stopIfTrue="1" operator="equal">
      <formula>"ERROR"</formula>
    </cfRule>
  </conditionalFormatting>
  <conditionalFormatting sqref="G156:G160">
    <cfRule type="cellIs" dxfId="282" priority="145" stopIfTrue="1" operator="equal">
      <formula>"OK"</formula>
    </cfRule>
  </conditionalFormatting>
  <conditionalFormatting sqref="G156:G160">
    <cfRule type="cellIs" dxfId="281" priority="146" stopIfTrue="1" operator="equal">
      <formula>"WARNING"</formula>
    </cfRule>
  </conditionalFormatting>
  <conditionalFormatting sqref="N156:N160">
    <cfRule type="cellIs" dxfId="280" priority="7" stopIfTrue="1" operator="equal">
      <formula>"ERROR"</formula>
    </cfRule>
  </conditionalFormatting>
  <conditionalFormatting sqref="N156:N160">
    <cfRule type="cellIs" dxfId="279" priority="8" stopIfTrue="1" operator="equal">
      <formula>"OK"</formula>
    </cfRule>
  </conditionalFormatting>
  <conditionalFormatting sqref="N156:N160">
    <cfRule type="cellIs" dxfId="278" priority="9" stopIfTrue="1" operator="equal">
      <formula>"WARNING"</formula>
    </cfRule>
  </conditionalFormatting>
  <conditionalFormatting sqref="U156:U160">
    <cfRule type="cellIs" dxfId="277" priority="4" stopIfTrue="1" operator="equal">
      <formula>"ERROR"</formula>
    </cfRule>
  </conditionalFormatting>
  <conditionalFormatting sqref="U156:U160">
    <cfRule type="cellIs" dxfId="276" priority="5" stopIfTrue="1" operator="equal">
      <formula>"OK"</formula>
    </cfRule>
  </conditionalFormatting>
  <conditionalFormatting sqref="U156:U160">
    <cfRule type="cellIs" dxfId="275" priority="6" stopIfTrue="1" operator="equal">
      <formula>"WARNING"</formula>
    </cfRule>
  </conditionalFormatting>
  <conditionalFormatting sqref="AB156">
    <cfRule type="cellIs" dxfId="274" priority="1" stopIfTrue="1" operator="equal">
      <formula>"ERROR"</formula>
    </cfRule>
  </conditionalFormatting>
  <conditionalFormatting sqref="AB156">
    <cfRule type="cellIs" dxfId="273" priority="2" stopIfTrue="1" operator="equal">
      <formula>"OK"</formula>
    </cfRule>
  </conditionalFormatting>
  <conditionalFormatting sqref="AB156">
    <cfRule type="cellIs" dxfId="272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Sheet14">
    <tabColor theme="4" tint="-0.499984740745262"/>
  </sheetPr>
  <dimension ref="A2:BI37"/>
  <sheetViews>
    <sheetView showGridLines="0" zoomScaleNormal="100" workbookViewId="0"/>
  </sheetViews>
  <sheetFormatPr defaultColWidth="14.77734375" defaultRowHeight="14.4" x14ac:dyDescent="0.3"/>
  <cols>
    <col min="1" max="1" width="3.77734375" customWidth="1"/>
    <col min="39" max="40" width="70" bestFit="1" customWidth="1"/>
    <col min="47" max="48" width="70" bestFit="1" customWidth="1"/>
    <col min="55" max="56" width="44.44140625" bestFit="1" customWidth="1"/>
    <col min="59" max="60" width="44.44140625" bestFit="1" customWidth="1"/>
  </cols>
  <sheetData>
    <row r="2" spans="1:61" ht="25.8" x14ac:dyDescent="0.5">
      <c r="B2" s="2" t="s">
        <v>388</v>
      </c>
      <c r="C2" s="382"/>
      <c r="D2" s="382"/>
      <c r="E2" s="382"/>
      <c r="F2" s="382"/>
      <c r="G2" s="382"/>
      <c r="H2" s="382"/>
      <c r="I2" s="382"/>
      <c r="J2" s="382"/>
      <c r="K2" s="382"/>
      <c r="L2" s="382"/>
      <c r="M2" s="382"/>
      <c r="N2" s="382"/>
      <c r="O2" s="382"/>
      <c r="P2" s="382"/>
      <c r="Q2" s="382"/>
      <c r="R2" s="382"/>
      <c r="S2" s="382"/>
      <c r="T2" s="382"/>
      <c r="U2" s="382"/>
      <c r="V2" s="382"/>
      <c r="W2" s="382"/>
      <c r="X2" s="382"/>
      <c r="Y2" s="382"/>
      <c r="Z2" s="382"/>
      <c r="AA2" s="382"/>
      <c r="AB2" s="382"/>
      <c r="AC2" s="382"/>
      <c r="AD2" s="382"/>
      <c r="AE2" s="382"/>
      <c r="AF2" s="382"/>
      <c r="AG2" s="382"/>
      <c r="AH2" s="382"/>
      <c r="AI2" s="382"/>
      <c r="AJ2" s="382"/>
      <c r="AK2" s="382"/>
      <c r="AL2" s="382"/>
      <c r="AM2" s="382"/>
      <c r="AN2" s="382"/>
      <c r="AO2" s="382"/>
      <c r="AP2" s="382"/>
      <c r="AQ2" s="382"/>
      <c r="AR2" s="382"/>
      <c r="AS2" s="382"/>
      <c r="AT2" s="382"/>
      <c r="AU2" s="382"/>
      <c r="AV2" s="382"/>
      <c r="AW2" s="382"/>
      <c r="AX2" s="382"/>
      <c r="AY2" s="382"/>
      <c r="AZ2" s="382"/>
      <c r="BA2" s="382"/>
      <c r="BB2" s="382"/>
      <c r="BC2" s="382"/>
      <c r="BD2" s="382"/>
      <c r="BE2" s="382"/>
      <c r="BF2" s="382"/>
      <c r="BG2" s="382"/>
      <c r="BH2" s="382"/>
      <c r="BI2" s="382"/>
    </row>
    <row r="4" spans="1:61" x14ac:dyDescent="0.3">
      <c r="B4" s="59" t="s">
        <v>170</v>
      </c>
      <c r="C4" s="377" t="str" cm="1">
        <f t="array" ref="C4">_xll.d.TestUtils_And(D8:D9)</f>
        <v>OK</v>
      </c>
      <c r="D4" s="375"/>
      <c r="E4" s="375"/>
      <c r="F4" s="375"/>
      <c r="G4" s="375"/>
      <c r="H4" s="375"/>
      <c r="I4" s="375"/>
      <c r="J4" s="375"/>
      <c r="K4" s="375"/>
      <c r="L4" s="375"/>
      <c r="M4" s="375"/>
      <c r="N4" s="375"/>
      <c r="O4" s="375"/>
      <c r="P4" s="375"/>
      <c r="Q4" s="375"/>
      <c r="R4" s="375"/>
      <c r="S4" s="375"/>
      <c r="T4" s="375"/>
      <c r="U4" s="375"/>
      <c r="V4" s="375"/>
      <c r="W4" s="375"/>
      <c r="X4" s="375"/>
      <c r="Y4" s="375"/>
      <c r="Z4" s="375"/>
      <c r="AA4" s="375"/>
      <c r="AB4" s="375"/>
      <c r="AC4" s="375"/>
    </row>
    <row r="7" spans="1:61" x14ac:dyDescent="0.3">
      <c r="B7" s="228" t="s">
        <v>247</v>
      </c>
      <c r="C7" s="228"/>
      <c r="D7" s="229" t="s">
        <v>11</v>
      </c>
      <c r="E7" s="375"/>
      <c r="F7" s="375"/>
      <c r="G7" s="375"/>
      <c r="H7" s="375"/>
      <c r="I7" s="375"/>
      <c r="J7" s="375"/>
      <c r="K7" s="375"/>
      <c r="L7" s="375"/>
      <c r="M7" s="375"/>
      <c r="N7" s="375"/>
      <c r="O7" s="375"/>
      <c r="P7" s="375"/>
      <c r="Q7" s="375"/>
      <c r="R7" s="375"/>
      <c r="S7" s="375"/>
      <c r="T7" s="375"/>
      <c r="U7" s="375"/>
      <c r="V7" s="375"/>
      <c r="W7" s="375"/>
      <c r="X7" s="375"/>
      <c r="Y7" s="375"/>
      <c r="Z7" s="375"/>
      <c r="AA7" s="375"/>
      <c r="AB7" s="375"/>
      <c r="AC7" s="375"/>
    </row>
    <row r="8" spans="1:61" x14ac:dyDescent="0.3">
      <c r="B8" s="238" t="s">
        <v>389</v>
      </c>
      <c r="C8" s="397"/>
      <c r="D8" s="377" t="str">
        <f>C14</f>
        <v>OK</v>
      </c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</row>
    <row r="9" spans="1:61" x14ac:dyDescent="0.3">
      <c r="B9" s="238" t="s">
        <v>407</v>
      </c>
      <c r="C9" s="397"/>
      <c r="D9" s="377" t="str">
        <f>C26</f>
        <v>OK</v>
      </c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</row>
    <row r="12" spans="1:61" s="375" customFormat="1" ht="18" x14ac:dyDescent="0.35">
      <c r="A12"/>
      <c r="B12" s="3" t="s">
        <v>389</v>
      </c>
      <c r="C12" s="383"/>
      <c r="D12" s="383"/>
      <c r="E12" s="383"/>
      <c r="F12" s="383"/>
      <c r="G12" s="383"/>
      <c r="H12" s="383"/>
      <c r="I12" s="383"/>
      <c r="J12" s="383"/>
      <c r="K12" s="383"/>
      <c r="L12" s="383"/>
      <c r="M12" s="383"/>
      <c r="N12" s="383"/>
      <c r="O12" s="383"/>
      <c r="P12" s="383"/>
      <c r="Q12" s="383"/>
      <c r="R12" s="383"/>
      <c r="S12" s="383"/>
      <c r="T12" s="383"/>
      <c r="U12" s="383"/>
      <c r="V12" s="383"/>
      <c r="W12" s="383"/>
      <c r="X12" s="383"/>
      <c r="Y12" s="383"/>
      <c r="Z12" s="383"/>
      <c r="AA12" s="383"/>
      <c r="AB12" s="383"/>
      <c r="AC12" s="383"/>
      <c r="AD12" s="383"/>
      <c r="AE12" s="383"/>
      <c r="AF12" s="383"/>
      <c r="AG12" s="383"/>
      <c r="AH12" s="383"/>
      <c r="AI12" s="383"/>
      <c r="AJ12" s="383"/>
      <c r="AK12" s="383"/>
      <c r="AL12" s="383"/>
      <c r="AM12" s="383"/>
      <c r="AN12" s="383"/>
      <c r="AO12" s="383"/>
      <c r="AP12" s="383"/>
      <c r="AQ12" s="383"/>
      <c r="AR12" s="383"/>
      <c r="AS12" s="383"/>
      <c r="AT12" s="383"/>
      <c r="AU12" s="383"/>
      <c r="AV12" s="383"/>
      <c r="AW12" s="383"/>
      <c r="AX12" s="383"/>
      <c r="AY12" s="383"/>
      <c r="AZ12" s="383"/>
      <c r="BA12" s="383"/>
      <c r="BB12" s="383"/>
      <c r="BC12" s="383"/>
      <c r="BD12" s="383"/>
      <c r="BE12" s="383"/>
      <c r="BF12" s="383"/>
      <c r="BG12" s="383"/>
      <c r="BH12" s="383"/>
      <c r="BI12" s="383"/>
    </row>
    <row r="14" spans="1:61" x14ac:dyDescent="0.3">
      <c r="B14" s="59" t="s">
        <v>170</v>
      </c>
      <c r="C14" s="377" t="str" cm="1">
        <f t="array" ref="C14">_xll.d.TestUtils_And(H19,P19,Y19,AG19,AO19,AW19,BE19)</f>
        <v>OK</v>
      </c>
      <c r="D14" s="375"/>
      <c r="E14" s="375"/>
      <c r="F14" s="375"/>
      <c r="G14" s="375"/>
    </row>
    <row r="15" spans="1:61" x14ac:dyDescent="0.3">
      <c r="B15" s="375"/>
      <c r="C15" s="375"/>
      <c r="D15" s="375"/>
      <c r="E15" s="375"/>
      <c r="F15" s="375"/>
      <c r="G15" s="376"/>
    </row>
    <row r="16" spans="1:61" ht="15.6" x14ac:dyDescent="0.3">
      <c r="B16" s="4" t="s">
        <v>390</v>
      </c>
      <c r="C16" s="384"/>
      <c r="D16" s="384"/>
      <c r="E16" s="384"/>
      <c r="F16" s="384"/>
      <c r="G16" s="384"/>
      <c r="H16" s="384"/>
      <c r="J16" s="4" t="s">
        <v>394</v>
      </c>
      <c r="K16" s="384"/>
      <c r="L16" s="384"/>
      <c r="M16" s="384"/>
      <c r="N16" s="384"/>
      <c r="O16" s="384"/>
      <c r="P16" s="384"/>
      <c r="R16" s="4" t="s">
        <v>396</v>
      </c>
      <c r="S16" s="384"/>
      <c r="T16" s="384"/>
      <c r="U16" s="384"/>
      <c r="V16" s="384"/>
      <c r="W16" s="384"/>
      <c r="X16" s="384"/>
      <c r="Y16" s="384"/>
      <c r="AA16" s="4" t="s">
        <v>397</v>
      </c>
      <c r="AB16" s="384"/>
      <c r="AC16" s="384"/>
      <c r="AD16" s="384"/>
      <c r="AE16" s="384"/>
      <c r="AF16" s="384"/>
      <c r="AG16" s="384"/>
      <c r="AI16" s="4" t="s">
        <v>399</v>
      </c>
      <c r="AJ16" s="384"/>
      <c r="AK16" s="384"/>
      <c r="AL16" s="384"/>
      <c r="AM16" s="384"/>
      <c r="AN16" s="384"/>
      <c r="AO16" s="384"/>
      <c r="AQ16" s="4" t="s">
        <v>413</v>
      </c>
      <c r="AR16" s="384"/>
      <c r="AS16" s="384"/>
      <c r="AT16" s="384"/>
      <c r="AU16" s="384"/>
      <c r="AV16" s="384"/>
      <c r="AW16" s="384"/>
      <c r="AY16" s="4" t="s">
        <v>414</v>
      </c>
      <c r="AZ16" s="384"/>
      <c r="BA16" s="384"/>
      <c r="BB16" s="384"/>
      <c r="BC16" s="384"/>
      <c r="BD16" s="384"/>
      <c r="BE16" s="384"/>
    </row>
    <row r="17" spans="1:61" x14ac:dyDescent="0.3">
      <c r="B17" s="375"/>
      <c r="C17" s="375"/>
      <c r="D17" s="375"/>
      <c r="E17" s="375"/>
      <c r="F17" s="375"/>
      <c r="G17" s="376"/>
      <c r="J17" s="375"/>
      <c r="K17" s="375"/>
      <c r="L17" s="375"/>
      <c r="M17" s="375"/>
      <c r="N17" s="375"/>
      <c r="O17" s="376"/>
      <c r="R17" s="375"/>
      <c r="S17" s="375"/>
      <c r="T17" s="375"/>
      <c r="U17" s="375"/>
      <c r="V17" s="375"/>
      <c r="W17" s="375"/>
      <c r="X17" s="376"/>
      <c r="AA17" s="375"/>
      <c r="AB17" s="375"/>
      <c r="AC17" s="375"/>
      <c r="AD17" s="375"/>
      <c r="AE17" s="375"/>
      <c r="AF17" s="376"/>
      <c r="AI17" s="375"/>
      <c r="AJ17" s="375"/>
      <c r="AK17" s="375"/>
      <c r="AL17" s="375"/>
      <c r="AM17" s="375"/>
      <c r="AN17" s="376"/>
      <c r="AQ17" s="375"/>
      <c r="AR17" s="375"/>
      <c r="AS17" s="375"/>
      <c r="AT17" s="375"/>
      <c r="AU17" s="375"/>
      <c r="AV17" s="376"/>
      <c r="AY17" s="375"/>
      <c r="AZ17" s="375"/>
      <c r="BA17" s="375"/>
      <c r="BB17" s="375"/>
      <c r="BC17" s="375"/>
      <c r="BD17" s="376"/>
    </row>
    <row r="18" spans="1:61" x14ac:dyDescent="0.3">
      <c r="B18" s="138" t="s">
        <v>267</v>
      </c>
      <c r="C18" s="231"/>
      <c r="D18" s="139"/>
      <c r="F18" s="138" t="s">
        <v>144</v>
      </c>
      <c r="G18" s="138" t="s">
        <v>269</v>
      </c>
      <c r="H18" s="138" t="s">
        <v>88</v>
      </c>
      <c r="J18" s="138" t="s">
        <v>267</v>
      </c>
      <c r="K18" s="231"/>
      <c r="L18" s="139"/>
      <c r="N18" s="138" t="s">
        <v>144</v>
      </c>
      <c r="O18" s="138" t="s">
        <v>269</v>
      </c>
      <c r="P18" s="138" t="s">
        <v>88</v>
      </c>
      <c r="R18" s="138" t="s">
        <v>267</v>
      </c>
      <c r="S18" s="231"/>
      <c r="T18" s="231"/>
      <c r="U18" s="139"/>
      <c r="W18" s="138" t="s">
        <v>144</v>
      </c>
      <c r="X18" s="138" t="s">
        <v>269</v>
      </c>
      <c r="Y18" s="138" t="s">
        <v>88</v>
      </c>
      <c r="AA18" s="138" t="s">
        <v>267</v>
      </c>
      <c r="AB18" s="231"/>
      <c r="AC18" s="139"/>
      <c r="AE18" s="138" t="s">
        <v>144</v>
      </c>
      <c r="AF18" s="138" t="s">
        <v>269</v>
      </c>
      <c r="AG18" s="138" t="s">
        <v>88</v>
      </c>
      <c r="AI18" s="138" t="s">
        <v>267</v>
      </c>
      <c r="AJ18" s="231"/>
      <c r="AK18" s="139"/>
      <c r="AM18" s="138" t="s">
        <v>144</v>
      </c>
      <c r="AN18" s="138" t="s">
        <v>269</v>
      </c>
      <c r="AO18" s="138" t="s">
        <v>88</v>
      </c>
      <c r="AQ18" s="138" t="s">
        <v>267</v>
      </c>
      <c r="AR18" s="231"/>
      <c r="AS18" s="139"/>
      <c r="AU18" s="138" t="s">
        <v>144</v>
      </c>
      <c r="AV18" s="138" t="s">
        <v>269</v>
      </c>
      <c r="AW18" s="138" t="s">
        <v>88</v>
      </c>
      <c r="AY18" s="138" t="s">
        <v>267</v>
      </c>
      <c r="AZ18" s="231"/>
      <c r="BA18" s="139"/>
      <c r="BC18" s="138" t="s">
        <v>144</v>
      </c>
      <c r="BD18" s="138" t="s">
        <v>269</v>
      </c>
      <c r="BE18" s="138" t="s">
        <v>88</v>
      </c>
    </row>
    <row r="19" spans="1:61" x14ac:dyDescent="0.3">
      <c r="B19" s="401" t="s">
        <v>391</v>
      </c>
      <c r="C19" s="402" t="s">
        <v>392</v>
      </c>
      <c r="D19" s="137" t="s">
        <v>393</v>
      </c>
      <c r="F19" s="404" cm="1">
        <f t="array" ref="F19">_xll.d.Math_Interpolate(B20:B21,C20:C21,D20,"linear")</f>
        <v>7.5000000000000011E-2</v>
      </c>
      <c r="G19" s="405">
        <f>(C21-C20)/(B21-B20)*(D20-B20)+C20</f>
        <v>7.5000000000000011E-2</v>
      </c>
      <c r="H19" s="387" t="str" cm="1">
        <f t="array" ref="H19">_xll.d.TestUtils_Equal(F19,G19)</f>
        <v>OK</v>
      </c>
      <c r="J19" s="401" t="s">
        <v>391</v>
      </c>
      <c r="K19" s="402" t="s">
        <v>392</v>
      </c>
      <c r="L19" s="137" t="s">
        <v>393</v>
      </c>
      <c r="N19" s="404" cm="1">
        <f t="array" ref="N19">_xll.d.Math_Interpolate(J20:J21,K20:K21,L20,"exponential")</f>
        <v>7.0710673928260803E-2</v>
      </c>
      <c r="O19" s="405">
        <f>EXP((LN(K21/K20))/(J21-J20)*(L20-J20)+LN(K20))</f>
        <v>7.0710678118654766E-2</v>
      </c>
      <c r="P19" s="387" t="str" cm="1">
        <f t="array" ref="P19">_xll.d.TestUtils_Equal(N19,O19)</f>
        <v>OK</v>
      </c>
      <c r="R19" s="401" t="s">
        <v>391</v>
      </c>
      <c r="S19" s="402" t="s">
        <v>392</v>
      </c>
      <c r="T19" s="402" t="s">
        <v>395</v>
      </c>
      <c r="U19" s="137" t="s">
        <v>393</v>
      </c>
      <c r="W19" s="404" cm="1">
        <f t="array" ref="W19">_xll.d.Math_Interpolate(R20:R21,T20:T21,U20,"exponential")-EXP(_xll.d.Math_Interpolate(R20:R21,S20:S21,U20,"linear"))</f>
        <v>4.6350475901846266E-8</v>
      </c>
      <c r="X19" s="405">
        <v>0</v>
      </c>
      <c r="Y19" s="387" t="str" cm="1">
        <f t="array" ref="Y19">_xll.d.TestUtils_Equal(W19,X19)</f>
        <v>OK</v>
      </c>
      <c r="AA19" s="401" t="s">
        <v>391</v>
      </c>
      <c r="AB19" s="402" t="s">
        <v>392</v>
      </c>
      <c r="AC19" s="137" t="s">
        <v>393</v>
      </c>
      <c r="AE19" s="404" cm="1">
        <f t="array" ref="AE19">_xll.d.Math_Interpolate(AA20:AA21,AB20:AB21,AC20,"flat")</f>
        <v>0.05</v>
      </c>
      <c r="AF19" s="405">
        <f>IF(AC20&lt;AA21,AB20,AB21)</f>
        <v>0.05</v>
      </c>
      <c r="AG19" s="387" t="str" cm="1">
        <f t="array" ref="AG19">_xll.d.TestUtils_Equal(AE19,AF19)</f>
        <v>OK</v>
      </c>
      <c r="AI19" s="401" t="s">
        <v>391</v>
      </c>
      <c r="AJ19" s="402" t="s">
        <v>392</v>
      </c>
      <c r="AK19" s="137" t="s">
        <v>393</v>
      </c>
      <c r="AM19" s="404" t="str" cm="1">
        <f t="array" ref="AM19">_xll.d.Math_Interpolate(AI20,AJ20:AJ21,AK20,"linear")</f>
        <v>#∂Excel Error: Row dimensions do not match or there is more than one column in x or y.</v>
      </c>
      <c r="AN19" s="405" t="s">
        <v>398</v>
      </c>
      <c r="AO19" s="387" t="str" cm="1">
        <f t="array" ref="AO19">_xll.d.TestUtils_Equal(AM19,AN19)</f>
        <v>OK</v>
      </c>
      <c r="AQ19" s="401" t="s">
        <v>391</v>
      </c>
      <c r="AR19" s="402" t="s">
        <v>392</v>
      </c>
      <c r="AS19" s="137" t="s">
        <v>393</v>
      </c>
      <c r="AU19" s="404" t="str" cm="1">
        <f t="array" ref="AU19">_xll.d.Math_Interpolate(AQ20:AR21,AR20:AR21,AS20,"linear")</f>
        <v>#∂Excel Error: Row dimensions do not match or there is more than one column in x or y.</v>
      </c>
      <c r="AV19" s="405" t="s">
        <v>398</v>
      </c>
      <c r="AW19" s="387" t="str" cm="1">
        <f t="array" ref="AW19">_xll.d.TestUtils_Equal(AU19,AV19)</f>
        <v>OK</v>
      </c>
      <c r="AY19" s="401" t="s">
        <v>391</v>
      </c>
      <c r="AZ19" s="402" t="s">
        <v>392</v>
      </c>
      <c r="BA19" s="137" t="s">
        <v>393</v>
      </c>
      <c r="BC19" s="404" t="str" cm="1">
        <f t="array" ref="BC19">_xll.d.Math_Interpolate(AY20:AY21,AZ20:AZ21,BA20,"magic")</f>
        <v>#∂Excel Error: Invalid method of interpolation specified.</v>
      </c>
      <c r="BD19" s="405" t="s">
        <v>401</v>
      </c>
      <c r="BE19" s="387" t="str" cm="1">
        <f t="array" ref="BE19">_xll.d.TestUtils_Equal(BC19,BD19)</f>
        <v>OK</v>
      </c>
    </row>
    <row r="20" spans="1:61" x14ac:dyDescent="0.3">
      <c r="B20" s="140">
        <v>1</v>
      </c>
      <c r="C20" s="398">
        <v>0.05</v>
      </c>
      <c r="D20" s="403">
        <v>1.5</v>
      </c>
      <c r="E20" s="375"/>
      <c r="F20" s="375"/>
      <c r="G20" s="376"/>
      <c r="J20" s="140">
        <v>1</v>
      </c>
      <c r="K20" s="398">
        <v>0.05</v>
      </c>
      <c r="L20" s="403">
        <v>1.5</v>
      </c>
      <c r="M20" s="375"/>
      <c r="N20" s="375"/>
      <c r="O20" s="376"/>
      <c r="R20" s="140">
        <v>1</v>
      </c>
      <c r="S20" s="398">
        <v>0.05</v>
      </c>
      <c r="T20" s="398">
        <f>EXP(S20)</f>
        <v>1.0512710963760241</v>
      </c>
      <c r="U20" s="403">
        <v>1.5</v>
      </c>
      <c r="V20" s="375"/>
      <c r="W20" s="375"/>
      <c r="X20" s="376"/>
      <c r="AA20" s="140">
        <v>1</v>
      </c>
      <c r="AB20" s="398">
        <v>0.05</v>
      </c>
      <c r="AC20" s="403">
        <v>1.5</v>
      </c>
      <c r="AD20" s="375"/>
      <c r="AE20" s="375"/>
      <c r="AF20" s="376"/>
      <c r="AI20" s="140">
        <v>1</v>
      </c>
      <c r="AJ20" s="398">
        <v>0.05</v>
      </c>
      <c r="AK20" s="403">
        <v>1.5</v>
      </c>
      <c r="AL20" s="375"/>
      <c r="AM20" s="375"/>
      <c r="AN20" s="376"/>
      <c r="AQ20" s="140">
        <v>1</v>
      </c>
      <c r="AR20" s="398">
        <v>0.05</v>
      </c>
      <c r="AS20" s="403">
        <v>1.5</v>
      </c>
      <c r="AT20" s="375"/>
      <c r="AU20" s="375"/>
      <c r="AV20" s="376"/>
      <c r="AY20" s="140">
        <v>1</v>
      </c>
      <c r="AZ20" s="398">
        <v>0.05</v>
      </c>
      <c r="BA20" s="403">
        <v>1.5</v>
      </c>
      <c r="BB20" s="375"/>
      <c r="BC20" s="375"/>
      <c r="BD20" s="376"/>
    </row>
    <row r="21" spans="1:61" x14ac:dyDescent="0.3">
      <c r="B21" s="406">
        <v>2</v>
      </c>
      <c r="C21" s="407">
        <v>0.1</v>
      </c>
      <c r="E21" s="375"/>
      <c r="F21" s="375"/>
      <c r="G21" s="376"/>
      <c r="J21" s="406">
        <v>2</v>
      </c>
      <c r="K21" s="407">
        <v>0.1</v>
      </c>
      <c r="M21" s="375"/>
      <c r="N21" s="375"/>
      <c r="O21" s="376"/>
      <c r="R21" s="406">
        <v>2</v>
      </c>
      <c r="S21" s="409">
        <v>0.1</v>
      </c>
      <c r="T21" s="408">
        <f>EXP(S21)</f>
        <v>1.1051709180756477</v>
      </c>
      <c r="V21" s="375"/>
      <c r="W21" s="375"/>
      <c r="X21" s="376"/>
      <c r="AA21" s="406">
        <v>2</v>
      </c>
      <c r="AB21" s="407">
        <v>0.1</v>
      </c>
      <c r="AD21" s="375"/>
      <c r="AE21" s="375"/>
      <c r="AF21" s="376"/>
      <c r="AI21" s="406">
        <v>2</v>
      </c>
      <c r="AJ21" s="407">
        <v>0.1</v>
      </c>
      <c r="AL21" s="375"/>
      <c r="AM21" s="375"/>
      <c r="AN21" s="376"/>
      <c r="AQ21" s="406">
        <v>2</v>
      </c>
      <c r="AR21" s="407">
        <v>0.1</v>
      </c>
      <c r="AT21" s="375"/>
      <c r="AU21" s="375"/>
      <c r="AV21" s="376"/>
      <c r="AY21" s="406">
        <v>2</v>
      </c>
      <c r="AZ21" s="407">
        <v>0.1</v>
      </c>
      <c r="BB21" s="375"/>
      <c r="BC21" s="375"/>
      <c r="BD21" s="376"/>
    </row>
    <row r="22" spans="1:61" x14ac:dyDescent="0.3">
      <c r="B22" s="375"/>
      <c r="C22" s="375"/>
      <c r="D22" s="375"/>
      <c r="E22" s="375"/>
      <c r="F22" s="375"/>
      <c r="G22" s="376"/>
    </row>
    <row r="23" spans="1:61" x14ac:dyDescent="0.3">
      <c r="B23" s="375"/>
      <c r="C23" s="375"/>
      <c r="D23" s="375"/>
      <c r="E23" s="375"/>
      <c r="F23" s="375"/>
      <c r="G23" s="376"/>
    </row>
    <row r="24" spans="1:61" s="375" customFormat="1" ht="18" x14ac:dyDescent="0.35">
      <c r="A24"/>
      <c r="B24" s="3" t="s">
        <v>407</v>
      </c>
      <c r="C24" s="383"/>
      <c r="D24" s="383"/>
      <c r="E24" s="383"/>
      <c r="F24" s="383"/>
      <c r="G24" s="383"/>
      <c r="H24" s="383"/>
      <c r="I24" s="383"/>
      <c r="J24" s="383"/>
      <c r="K24" s="383"/>
      <c r="L24" s="383"/>
      <c r="M24" s="383"/>
      <c r="N24" s="383"/>
      <c r="O24" s="383"/>
      <c r="P24" s="383"/>
      <c r="Q24" s="383"/>
      <c r="R24" s="383"/>
      <c r="S24" s="383"/>
      <c r="T24" s="383"/>
      <c r="U24" s="383"/>
      <c r="V24" s="383"/>
      <c r="W24" s="383"/>
      <c r="X24" s="383"/>
      <c r="Y24" s="383"/>
      <c r="Z24" s="383"/>
      <c r="AA24" s="383"/>
      <c r="AB24" s="383"/>
      <c r="AC24" s="383"/>
      <c r="AD24" s="383"/>
      <c r="AE24" s="383"/>
      <c r="AF24" s="383"/>
      <c r="AG24" s="383"/>
      <c r="AH24" s="383"/>
      <c r="AI24" s="383"/>
      <c r="AJ24" s="383"/>
      <c r="AK24" s="383"/>
      <c r="AL24" s="383"/>
      <c r="AM24" s="383"/>
      <c r="AN24" s="383"/>
      <c r="AO24" s="383"/>
      <c r="AP24" s="383"/>
      <c r="AQ24" s="383"/>
      <c r="AR24" s="383"/>
      <c r="AS24" s="383"/>
      <c r="AT24" s="383"/>
      <c r="AU24" s="383"/>
      <c r="AV24" s="383"/>
      <c r="AW24" s="383"/>
      <c r="AX24" s="383"/>
      <c r="AY24" s="383"/>
      <c r="AZ24" s="383"/>
      <c r="BA24" s="383"/>
      <c r="BB24" s="383"/>
      <c r="BC24" s="383"/>
      <c r="BD24" s="383"/>
      <c r="BE24" s="383"/>
      <c r="BF24" s="383"/>
      <c r="BG24" s="383"/>
      <c r="BH24" s="383"/>
      <c r="BI24" s="383"/>
    </row>
    <row r="26" spans="1:61" s="375" customFormat="1" x14ac:dyDescent="0.3">
      <c r="A26"/>
      <c r="B26" s="59" t="s">
        <v>170</v>
      </c>
      <c r="C26" s="377" t="str" cm="1">
        <f t="array" ref="C26">_xll.d.TestUtils_And(L31,Y31,AK31,AW31,BI31)</f>
        <v>OK</v>
      </c>
    </row>
    <row r="28" spans="1:61" ht="15.6" x14ac:dyDescent="0.3">
      <c r="B28" s="4" t="s">
        <v>408</v>
      </c>
      <c r="C28" s="384"/>
      <c r="D28" s="384"/>
      <c r="E28" s="384"/>
      <c r="F28" s="384"/>
      <c r="G28" s="384"/>
      <c r="H28" s="384"/>
      <c r="I28" s="384"/>
      <c r="J28" s="384"/>
      <c r="K28" s="384"/>
      <c r="L28" s="384"/>
      <c r="N28" s="4" t="s">
        <v>409</v>
      </c>
      <c r="O28" s="384"/>
      <c r="P28" s="384"/>
      <c r="Q28" s="384"/>
      <c r="R28" s="384"/>
      <c r="S28" s="384"/>
      <c r="T28" s="384"/>
      <c r="U28" s="384"/>
      <c r="V28" s="384"/>
      <c r="W28" s="384"/>
      <c r="X28" s="384"/>
      <c r="Y28" s="384"/>
      <c r="AA28" s="4" t="s">
        <v>410</v>
      </c>
      <c r="AB28" s="384"/>
      <c r="AC28" s="384"/>
      <c r="AD28" s="384"/>
      <c r="AE28" s="384"/>
      <c r="AF28" s="384"/>
      <c r="AG28" s="384"/>
      <c r="AH28" s="384"/>
      <c r="AI28" s="384"/>
      <c r="AJ28" s="384"/>
      <c r="AK28" s="384"/>
      <c r="AM28" s="4" t="s">
        <v>411</v>
      </c>
      <c r="AN28" s="384"/>
      <c r="AO28" s="384"/>
      <c r="AP28" s="384"/>
      <c r="AQ28" s="384"/>
      <c r="AR28" s="384"/>
      <c r="AS28" s="384"/>
      <c r="AT28" s="384"/>
      <c r="AU28" s="384"/>
      <c r="AV28" s="384"/>
      <c r="AW28" s="384"/>
      <c r="AY28" s="4" t="s">
        <v>400</v>
      </c>
      <c r="AZ28" s="384"/>
      <c r="BA28" s="384"/>
      <c r="BB28" s="384"/>
      <c r="BC28" s="384"/>
      <c r="BD28" s="384"/>
      <c r="BE28" s="384"/>
      <c r="BF28" s="384"/>
      <c r="BG28" s="384"/>
      <c r="BH28" s="384"/>
      <c r="BI28" s="384"/>
    </row>
    <row r="29" spans="1:61" x14ac:dyDescent="0.3">
      <c r="B29" s="375"/>
      <c r="C29" s="375"/>
      <c r="D29" s="375"/>
      <c r="E29" s="375"/>
      <c r="F29" s="375"/>
      <c r="G29" s="376"/>
      <c r="N29" s="375"/>
      <c r="O29" s="375"/>
      <c r="P29" s="375"/>
      <c r="Q29" s="375"/>
      <c r="R29" s="375"/>
      <c r="S29" s="376"/>
      <c r="AA29" s="375"/>
      <c r="AB29" s="375"/>
      <c r="AC29" s="375"/>
      <c r="AD29" s="375"/>
      <c r="AE29" s="375"/>
      <c r="AF29" s="376"/>
      <c r="AM29" s="375"/>
      <c r="AN29" s="375"/>
      <c r="AO29" s="375"/>
      <c r="AP29" s="375"/>
      <c r="AQ29" s="375"/>
      <c r="AR29" s="376"/>
      <c r="AY29" s="375"/>
      <c r="AZ29" s="375"/>
      <c r="BA29" s="375"/>
      <c r="BB29" s="375"/>
      <c r="BC29" s="375"/>
      <c r="BD29" s="376"/>
    </row>
    <row r="30" spans="1:61" x14ac:dyDescent="0.3">
      <c r="A30" s="156"/>
      <c r="B30" s="411" t="s">
        <v>267</v>
      </c>
      <c r="C30" s="231"/>
      <c r="D30" s="231"/>
      <c r="E30" s="418"/>
      <c r="F30" s="418"/>
      <c r="G30" s="412"/>
      <c r="H30" s="240"/>
      <c r="J30" s="138" t="s">
        <v>144</v>
      </c>
      <c r="K30" s="138" t="s">
        <v>269</v>
      </c>
      <c r="L30" s="138" t="s">
        <v>88</v>
      </c>
      <c r="N30" s="411" t="s">
        <v>267</v>
      </c>
      <c r="O30" s="231"/>
      <c r="P30" s="231"/>
      <c r="Q30" s="418"/>
      <c r="R30" s="418"/>
      <c r="S30" s="412"/>
      <c r="T30" s="240"/>
      <c r="W30" s="138" t="s">
        <v>144</v>
      </c>
      <c r="X30" s="138" t="s">
        <v>269</v>
      </c>
      <c r="Y30" s="138" t="s">
        <v>88</v>
      </c>
      <c r="AA30" s="411" t="s">
        <v>267</v>
      </c>
      <c r="AB30" s="231"/>
      <c r="AC30" s="231"/>
      <c r="AD30" s="418"/>
      <c r="AE30" s="418"/>
      <c r="AF30" s="412"/>
      <c r="AG30" s="240"/>
      <c r="AI30" s="138" t="s">
        <v>144</v>
      </c>
      <c r="AJ30" s="138" t="s">
        <v>269</v>
      </c>
      <c r="AK30" s="138" t="s">
        <v>88</v>
      </c>
      <c r="AM30" s="411" t="s">
        <v>267</v>
      </c>
      <c r="AN30" s="231"/>
      <c r="AO30" s="231"/>
      <c r="AP30" s="418"/>
      <c r="AQ30" s="418"/>
      <c r="AR30" s="412"/>
      <c r="AS30" s="240"/>
      <c r="AU30" s="138" t="s">
        <v>144</v>
      </c>
      <c r="AV30" s="138" t="s">
        <v>269</v>
      </c>
      <c r="AW30" s="138" t="s">
        <v>88</v>
      </c>
      <c r="AY30" s="411" t="s">
        <v>267</v>
      </c>
      <c r="AZ30" s="231"/>
      <c r="BA30" s="231"/>
      <c r="BB30" s="418"/>
      <c r="BC30" s="418"/>
      <c r="BD30" s="412"/>
      <c r="BE30" s="240"/>
      <c r="BG30" s="138" t="s">
        <v>144</v>
      </c>
      <c r="BH30" s="138" t="s">
        <v>269</v>
      </c>
      <c r="BI30" s="138" t="s">
        <v>88</v>
      </c>
    </row>
    <row r="31" spans="1:61" x14ac:dyDescent="0.3">
      <c r="A31" s="156"/>
      <c r="B31" s="413"/>
      <c r="C31" s="415" t="s">
        <v>405</v>
      </c>
      <c r="D31" s="418"/>
      <c r="E31" s="418"/>
      <c r="F31" s="416"/>
      <c r="G31" s="420" t="s">
        <v>406</v>
      </c>
      <c r="H31" s="419"/>
      <c r="J31" s="404" cm="1">
        <f t="array" ref="J31">_xll.d.Math_Interpolate2D(B32:F37,G33,H33,"linear")</f>
        <v>9.5</v>
      </c>
      <c r="K31" s="405">
        <v>9.5</v>
      </c>
      <c r="L31" s="387" t="str" cm="1">
        <f t="array" ref="L31">_xll.d.TestUtils_Equal(J31,K31)</f>
        <v>OK</v>
      </c>
      <c r="N31" s="413"/>
      <c r="O31" s="415" t="s">
        <v>405</v>
      </c>
      <c r="P31" s="418"/>
      <c r="Q31" s="418"/>
      <c r="R31" s="416"/>
      <c r="S31" s="420" t="s">
        <v>406</v>
      </c>
      <c r="T31" s="419"/>
      <c r="W31" s="404" cm="1">
        <f t="array" ref="W31">_xll.d.Math_Interpolate2D(N32:R37,S33,T33,"exponential")</f>
        <v>9.272364616394043</v>
      </c>
      <c r="X31" s="405">
        <v>9.272364616394043</v>
      </c>
      <c r="Y31" s="387" t="str" cm="1">
        <f t="array" ref="Y31">_xll.d.TestUtils_Equal(W31,X31)</f>
        <v>OK</v>
      </c>
      <c r="AA31" s="413"/>
      <c r="AB31" s="415" t="s">
        <v>405</v>
      </c>
      <c r="AC31" s="418"/>
      <c r="AD31" s="418"/>
      <c r="AE31" s="416"/>
      <c r="AF31" s="420" t="s">
        <v>406</v>
      </c>
      <c r="AG31" s="419"/>
      <c r="AI31" s="404" cm="1">
        <f t="array" ref="AI31">_xll.d.Math_Interpolate2D(AA32:AE37,AF33,AG33,"flat")</f>
        <v>7</v>
      </c>
      <c r="AJ31" s="405">
        <v>7</v>
      </c>
      <c r="AK31" s="387" t="str" cm="1">
        <f t="array" ref="AK31">_xll.d.TestUtils_Equal(AI31,AJ31)</f>
        <v>OK</v>
      </c>
      <c r="AM31" s="413"/>
      <c r="AN31" s="415" t="s">
        <v>405</v>
      </c>
      <c r="AO31" s="418"/>
      <c r="AP31" s="418"/>
      <c r="AQ31" s="416"/>
      <c r="AR31" s="420" t="s">
        <v>406</v>
      </c>
      <c r="AS31" s="419"/>
      <c r="AU31" s="404" t="str" cm="1">
        <f t="array" ref="AU31">_xll.d.Math_Interpolate2D(AM32:AQ37,AR33,AS33,"linear")</f>
        <v>#∂Excel Error: Extrapolation not supported.</v>
      </c>
      <c r="AV31" s="405" t="s">
        <v>412</v>
      </c>
      <c r="AW31" s="387" t="str" cm="1">
        <f t="array" ref="AW31">_xll.d.TestUtils_Equal(AU31,AV31)</f>
        <v>OK</v>
      </c>
      <c r="AY31" s="413"/>
      <c r="AZ31" s="415" t="s">
        <v>405</v>
      </c>
      <c r="BA31" s="418"/>
      <c r="BB31" s="418"/>
      <c r="BC31" s="416"/>
      <c r="BD31" s="420" t="s">
        <v>406</v>
      </c>
      <c r="BE31" s="419"/>
      <c r="BG31" s="404" t="str" cm="1">
        <f t="array" ref="BG31">_xll.d.Math_Interpolate2D(AY32:BC37,BD33,BE33,"magic")</f>
        <v>#∂Excel Error: Invalid method of interpolation specified.</v>
      </c>
      <c r="BH31" s="405" t="s">
        <v>401</v>
      </c>
      <c r="BI31" s="387" t="str" cm="1">
        <f t="array" ref="BI31">_xll.d.TestUtils_Equal(BG31,BH31)</f>
        <v>OK</v>
      </c>
    </row>
    <row r="32" spans="1:61" x14ac:dyDescent="0.3">
      <c r="A32" s="156"/>
      <c r="B32" s="414" t="s">
        <v>404</v>
      </c>
      <c r="C32" s="423">
        <v>0</v>
      </c>
      <c r="D32" s="424">
        <v>1</v>
      </c>
      <c r="E32" s="424">
        <v>2</v>
      </c>
      <c r="F32" s="425">
        <v>3</v>
      </c>
      <c r="G32" s="421" t="s">
        <v>403</v>
      </c>
      <c r="H32" s="137" t="s">
        <v>402</v>
      </c>
      <c r="N32" s="414" t="s">
        <v>404</v>
      </c>
      <c r="O32" s="423">
        <v>0</v>
      </c>
      <c r="P32" s="424">
        <v>1</v>
      </c>
      <c r="Q32" s="424">
        <v>2</v>
      </c>
      <c r="R32" s="425">
        <v>3</v>
      </c>
      <c r="S32" s="421" t="s">
        <v>403</v>
      </c>
      <c r="T32" s="137" t="s">
        <v>402</v>
      </c>
      <c r="AA32" s="414" t="s">
        <v>404</v>
      </c>
      <c r="AB32" s="423">
        <v>0</v>
      </c>
      <c r="AC32" s="424">
        <v>1</v>
      </c>
      <c r="AD32" s="424">
        <v>2</v>
      </c>
      <c r="AE32" s="425">
        <v>3</v>
      </c>
      <c r="AF32" s="421" t="s">
        <v>403</v>
      </c>
      <c r="AG32" s="137" t="s">
        <v>402</v>
      </c>
      <c r="AM32" s="414" t="s">
        <v>404</v>
      </c>
      <c r="AN32" s="423">
        <v>0</v>
      </c>
      <c r="AO32" s="424">
        <v>1</v>
      </c>
      <c r="AP32" s="424">
        <v>2</v>
      </c>
      <c r="AQ32" s="425">
        <v>3</v>
      </c>
      <c r="AR32" s="421" t="s">
        <v>403</v>
      </c>
      <c r="AS32" s="137" t="s">
        <v>402</v>
      </c>
      <c r="AY32" s="414" t="s">
        <v>404</v>
      </c>
      <c r="AZ32" s="423">
        <v>0</v>
      </c>
      <c r="BA32" s="424">
        <v>1</v>
      </c>
      <c r="BB32" s="424">
        <v>2</v>
      </c>
      <c r="BC32" s="425">
        <v>3</v>
      </c>
      <c r="BD32" s="421" t="s">
        <v>403</v>
      </c>
      <c r="BE32" s="137" t="s">
        <v>402</v>
      </c>
    </row>
    <row r="33" spans="2:57" x14ac:dyDescent="0.3">
      <c r="B33" s="410">
        <v>0</v>
      </c>
      <c r="C33" s="426">
        <v>1</v>
      </c>
      <c r="D33" s="427">
        <v>2</v>
      </c>
      <c r="E33" s="428">
        <v>3</v>
      </c>
      <c r="F33" s="429">
        <v>4</v>
      </c>
      <c r="G33" s="422">
        <v>2.5</v>
      </c>
      <c r="H33" s="417">
        <v>1.5</v>
      </c>
      <c r="N33" s="410">
        <v>0</v>
      </c>
      <c r="O33" s="426">
        <v>1</v>
      </c>
      <c r="P33" s="427">
        <v>2</v>
      </c>
      <c r="Q33" s="428">
        <v>3</v>
      </c>
      <c r="R33" s="429">
        <v>4</v>
      </c>
      <c r="S33" s="422">
        <v>2.5</v>
      </c>
      <c r="T33" s="417">
        <v>1.5</v>
      </c>
      <c r="AA33" s="410">
        <v>0</v>
      </c>
      <c r="AB33" s="426">
        <v>1</v>
      </c>
      <c r="AC33" s="427">
        <v>2</v>
      </c>
      <c r="AD33" s="428">
        <v>3</v>
      </c>
      <c r="AE33" s="429">
        <v>4</v>
      </c>
      <c r="AF33" s="422">
        <v>2.5</v>
      </c>
      <c r="AG33" s="417">
        <v>1.5</v>
      </c>
      <c r="AM33" s="410">
        <v>0</v>
      </c>
      <c r="AN33" s="426">
        <v>1</v>
      </c>
      <c r="AO33" s="427">
        <v>2</v>
      </c>
      <c r="AP33" s="428">
        <v>3</v>
      </c>
      <c r="AQ33" s="429">
        <v>4</v>
      </c>
      <c r="AR33" s="422">
        <v>5</v>
      </c>
      <c r="AS33" s="417">
        <v>5</v>
      </c>
      <c r="AY33" s="410">
        <v>0</v>
      </c>
      <c r="AZ33" s="426">
        <v>1</v>
      </c>
      <c r="BA33" s="427">
        <v>2</v>
      </c>
      <c r="BB33" s="428">
        <v>3</v>
      </c>
      <c r="BC33" s="429">
        <v>4</v>
      </c>
      <c r="BD33" s="422">
        <v>2.5</v>
      </c>
      <c r="BE33" s="417">
        <v>1.5</v>
      </c>
    </row>
    <row r="34" spans="2:57" x14ac:dyDescent="0.3">
      <c r="B34" s="434">
        <v>1</v>
      </c>
      <c r="C34" s="435">
        <v>5</v>
      </c>
      <c r="D34" s="436">
        <v>6</v>
      </c>
      <c r="E34" s="436">
        <v>7</v>
      </c>
      <c r="F34" s="437">
        <v>8</v>
      </c>
      <c r="N34" s="434">
        <v>1</v>
      </c>
      <c r="O34" s="435">
        <v>5</v>
      </c>
      <c r="P34" s="436">
        <v>6</v>
      </c>
      <c r="Q34" s="436">
        <v>7</v>
      </c>
      <c r="R34" s="437">
        <v>8</v>
      </c>
      <c r="AA34" s="434">
        <v>1</v>
      </c>
      <c r="AB34" s="435">
        <v>5</v>
      </c>
      <c r="AC34" s="436">
        <v>6</v>
      </c>
      <c r="AD34" s="436">
        <v>7</v>
      </c>
      <c r="AE34" s="437">
        <v>8</v>
      </c>
      <c r="AM34" s="434">
        <v>1</v>
      </c>
      <c r="AN34" s="435">
        <v>5</v>
      </c>
      <c r="AO34" s="436">
        <v>6</v>
      </c>
      <c r="AP34" s="436">
        <v>7</v>
      </c>
      <c r="AQ34" s="437">
        <v>8</v>
      </c>
      <c r="AY34" s="434">
        <v>1</v>
      </c>
      <c r="AZ34" s="435">
        <v>5</v>
      </c>
      <c r="BA34" s="436">
        <v>6</v>
      </c>
      <c r="BB34" s="436">
        <v>7</v>
      </c>
      <c r="BC34" s="437">
        <v>8</v>
      </c>
    </row>
    <row r="35" spans="2:57" x14ac:dyDescent="0.3">
      <c r="B35" s="438">
        <v>2</v>
      </c>
      <c r="C35" s="435">
        <v>9</v>
      </c>
      <c r="D35" s="436">
        <v>10</v>
      </c>
      <c r="E35" s="436">
        <v>11</v>
      </c>
      <c r="F35" s="437">
        <v>12</v>
      </c>
      <c r="N35" s="438">
        <v>2</v>
      </c>
      <c r="O35" s="435">
        <v>9</v>
      </c>
      <c r="P35" s="436">
        <v>10</v>
      </c>
      <c r="Q35" s="436">
        <v>11</v>
      </c>
      <c r="R35" s="437">
        <v>12</v>
      </c>
      <c r="AA35" s="438">
        <v>2</v>
      </c>
      <c r="AB35" s="435">
        <v>9</v>
      </c>
      <c r="AC35" s="436">
        <v>10</v>
      </c>
      <c r="AD35" s="436">
        <v>11</v>
      </c>
      <c r="AE35" s="437">
        <v>12</v>
      </c>
      <c r="AM35" s="438">
        <v>2</v>
      </c>
      <c r="AN35" s="435">
        <v>9</v>
      </c>
      <c r="AO35" s="436">
        <v>10</v>
      </c>
      <c r="AP35" s="436">
        <v>11</v>
      </c>
      <c r="AQ35" s="437">
        <v>12</v>
      </c>
      <c r="AY35" s="438">
        <v>2</v>
      </c>
      <c r="AZ35" s="435">
        <v>9</v>
      </c>
      <c r="BA35" s="436">
        <v>10</v>
      </c>
      <c r="BB35" s="436">
        <v>11</v>
      </c>
      <c r="BC35" s="437">
        <v>12</v>
      </c>
    </row>
    <row r="36" spans="2:57" x14ac:dyDescent="0.3">
      <c r="B36" s="438">
        <v>3</v>
      </c>
      <c r="C36" s="435">
        <v>13</v>
      </c>
      <c r="D36" s="436">
        <v>14</v>
      </c>
      <c r="E36" s="436">
        <v>15</v>
      </c>
      <c r="F36" s="437">
        <v>16</v>
      </c>
      <c r="N36" s="438">
        <v>3</v>
      </c>
      <c r="O36" s="435">
        <v>13</v>
      </c>
      <c r="P36" s="436">
        <v>14</v>
      </c>
      <c r="Q36" s="436">
        <v>15</v>
      </c>
      <c r="R36" s="437">
        <v>16</v>
      </c>
      <c r="AA36" s="438">
        <v>3</v>
      </c>
      <c r="AB36" s="435">
        <v>13</v>
      </c>
      <c r="AC36" s="436">
        <v>14</v>
      </c>
      <c r="AD36" s="436">
        <v>15</v>
      </c>
      <c r="AE36" s="437">
        <v>16</v>
      </c>
      <c r="AM36" s="438">
        <v>3</v>
      </c>
      <c r="AN36" s="435">
        <v>13</v>
      </c>
      <c r="AO36" s="436">
        <v>14</v>
      </c>
      <c r="AP36" s="436">
        <v>15</v>
      </c>
      <c r="AQ36" s="437">
        <v>16</v>
      </c>
      <c r="AY36" s="438">
        <v>3</v>
      </c>
      <c r="AZ36" s="435">
        <v>13</v>
      </c>
      <c r="BA36" s="436">
        <v>14</v>
      </c>
      <c r="BB36" s="436">
        <v>15</v>
      </c>
      <c r="BC36" s="437">
        <v>16</v>
      </c>
    </row>
    <row r="37" spans="2:57" x14ac:dyDescent="0.3">
      <c r="B37" s="430">
        <v>4</v>
      </c>
      <c r="C37" s="431">
        <v>17</v>
      </c>
      <c r="D37" s="432">
        <v>18</v>
      </c>
      <c r="E37" s="432">
        <v>19</v>
      </c>
      <c r="F37" s="433">
        <v>20</v>
      </c>
      <c r="N37" s="430">
        <v>4</v>
      </c>
      <c r="O37" s="431">
        <v>17</v>
      </c>
      <c r="P37" s="432">
        <v>18</v>
      </c>
      <c r="Q37" s="432">
        <v>19</v>
      </c>
      <c r="R37" s="433">
        <v>20</v>
      </c>
      <c r="AA37" s="430">
        <v>4</v>
      </c>
      <c r="AB37" s="431">
        <v>17</v>
      </c>
      <c r="AC37" s="432">
        <v>18</v>
      </c>
      <c r="AD37" s="432">
        <v>19</v>
      </c>
      <c r="AE37" s="433">
        <v>20</v>
      </c>
      <c r="AM37" s="430">
        <v>4</v>
      </c>
      <c r="AN37" s="431">
        <v>17</v>
      </c>
      <c r="AO37" s="432">
        <v>18</v>
      </c>
      <c r="AP37" s="432">
        <v>19</v>
      </c>
      <c r="AQ37" s="433">
        <v>20</v>
      </c>
      <c r="AY37" s="430">
        <v>4</v>
      </c>
      <c r="AZ37" s="431">
        <v>17</v>
      </c>
      <c r="BA37" s="432">
        <v>18</v>
      </c>
      <c r="BB37" s="432">
        <v>19</v>
      </c>
      <c r="BC37" s="433">
        <v>20</v>
      </c>
    </row>
  </sheetData>
  <conditionalFormatting sqref="D8:D9">
    <cfRule type="cellIs" dxfId="271" priority="130" stopIfTrue="1" operator="equal">
      <formula>"ERROR"</formula>
    </cfRule>
    <cfRule type="cellIs" dxfId="270" priority="131" stopIfTrue="1" operator="equal">
      <formula>"OK"</formula>
    </cfRule>
    <cfRule type="cellIs" dxfId="269" priority="132" stopIfTrue="1" operator="equal">
      <formula>"WARNING"</formula>
    </cfRule>
  </conditionalFormatting>
  <conditionalFormatting sqref="C4">
    <cfRule type="cellIs" dxfId="268" priority="127" stopIfTrue="1" operator="equal">
      <formula>"ERROR"</formula>
    </cfRule>
    <cfRule type="cellIs" dxfId="267" priority="128" stopIfTrue="1" operator="equal">
      <formula>"OK"</formula>
    </cfRule>
    <cfRule type="cellIs" dxfId="266" priority="129" stopIfTrue="1" operator="equal">
      <formula>"WARNING"</formula>
    </cfRule>
  </conditionalFormatting>
  <conditionalFormatting sqref="C14">
    <cfRule type="cellIs" dxfId="265" priority="124" stopIfTrue="1" operator="equal">
      <formula>"ERROR"</formula>
    </cfRule>
  </conditionalFormatting>
  <conditionalFormatting sqref="C14">
    <cfRule type="cellIs" dxfId="264" priority="125" stopIfTrue="1" operator="equal">
      <formula>"OK"</formula>
    </cfRule>
  </conditionalFormatting>
  <conditionalFormatting sqref="C14">
    <cfRule type="cellIs" dxfId="263" priority="126" stopIfTrue="1" operator="equal">
      <formula>"WARNING"</formula>
    </cfRule>
  </conditionalFormatting>
  <conditionalFormatting sqref="H19">
    <cfRule type="cellIs" dxfId="262" priority="133" stopIfTrue="1" operator="equal">
      <formula>"ERROR"</formula>
    </cfRule>
    <cfRule type="cellIs" dxfId="261" priority="134" stopIfTrue="1" operator="equal">
      <formula>"OK"</formula>
    </cfRule>
    <cfRule type="cellIs" dxfId="260" priority="135" stopIfTrue="1" operator="equal">
      <formula>"WARNING"</formula>
    </cfRule>
  </conditionalFormatting>
  <conditionalFormatting sqref="C26">
    <cfRule type="cellIs" dxfId="259" priority="103" stopIfTrue="1" operator="equal">
      <formula>"ERROR"</formula>
    </cfRule>
  </conditionalFormatting>
  <conditionalFormatting sqref="C26">
    <cfRule type="cellIs" dxfId="258" priority="104" stopIfTrue="1" operator="equal">
      <formula>"OK"</formula>
    </cfRule>
  </conditionalFormatting>
  <conditionalFormatting sqref="C26">
    <cfRule type="cellIs" dxfId="257" priority="105" stopIfTrue="1" operator="equal">
      <formula>"WARNING"</formula>
    </cfRule>
  </conditionalFormatting>
  <conditionalFormatting sqref="P19">
    <cfRule type="cellIs" dxfId="256" priority="34" stopIfTrue="1" operator="equal">
      <formula>"ERROR"</formula>
    </cfRule>
    <cfRule type="cellIs" dxfId="255" priority="35" stopIfTrue="1" operator="equal">
      <formula>"OK"</formula>
    </cfRule>
    <cfRule type="cellIs" dxfId="254" priority="36" stopIfTrue="1" operator="equal">
      <formula>"WARNING"</formula>
    </cfRule>
  </conditionalFormatting>
  <conditionalFormatting sqref="Y19">
    <cfRule type="cellIs" dxfId="253" priority="31" stopIfTrue="1" operator="equal">
      <formula>"ERROR"</formula>
    </cfRule>
    <cfRule type="cellIs" dxfId="252" priority="32" stopIfTrue="1" operator="equal">
      <formula>"OK"</formula>
    </cfRule>
    <cfRule type="cellIs" dxfId="251" priority="33" stopIfTrue="1" operator="equal">
      <formula>"WARNING"</formula>
    </cfRule>
  </conditionalFormatting>
  <conditionalFormatting sqref="AG19">
    <cfRule type="cellIs" dxfId="250" priority="28" stopIfTrue="1" operator="equal">
      <formula>"ERROR"</formula>
    </cfRule>
    <cfRule type="cellIs" dxfId="249" priority="29" stopIfTrue="1" operator="equal">
      <formula>"OK"</formula>
    </cfRule>
    <cfRule type="cellIs" dxfId="248" priority="30" stopIfTrue="1" operator="equal">
      <formula>"WARNING"</formula>
    </cfRule>
  </conditionalFormatting>
  <conditionalFormatting sqref="AO19">
    <cfRule type="cellIs" dxfId="247" priority="25" stopIfTrue="1" operator="equal">
      <formula>"ERROR"</formula>
    </cfRule>
    <cfRule type="cellIs" dxfId="246" priority="26" stopIfTrue="1" operator="equal">
      <formula>"OK"</formula>
    </cfRule>
    <cfRule type="cellIs" dxfId="245" priority="27" stopIfTrue="1" operator="equal">
      <formula>"WARNING"</formula>
    </cfRule>
  </conditionalFormatting>
  <conditionalFormatting sqref="AW19">
    <cfRule type="cellIs" dxfId="244" priority="22" stopIfTrue="1" operator="equal">
      <formula>"ERROR"</formula>
    </cfRule>
    <cfRule type="cellIs" dxfId="243" priority="23" stopIfTrue="1" operator="equal">
      <formula>"OK"</formula>
    </cfRule>
    <cfRule type="cellIs" dxfId="242" priority="24" stopIfTrue="1" operator="equal">
      <formula>"WARNING"</formula>
    </cfRule>
  </conditionalFormatting>
  <conditionalFormatting sqref="BE19">
    <cfRule type="cellIs" dxfId="241" priority="19" stopIfTrue="1" operator="equal">
      <formula>"ERROR"</formula>
    </cfRule>
    <cfRule type="cellIs" dxfId="240" priority="20" stopIfTrue="1" operator="equal">
      <formula>"OK"</formula>
    </cfRule>
    <cfRule type="cellIs" dxfId="239" priority="21" stopIfTrue="1" operator="equal">
      <formula>"WARNING"</formula>
    </cfRule>
  </conditionalFormatting>
  <conditionalFormatting sqref="L31">
    <cfRule type="cellIs" dxfId="238" priority="13" stopIfTrue="1" operator="equal">
      <formula>"ERROR"</formula>
    </cfRule>
    <cfRule type="cellIs" dxfId="237" priority="14" stopIfTrue="1" operator="equal">
      <formula>"OK"</formula>
    </cfRule>
    <cfRule type="cellIs" dxfId="236" priority="15" stopIfTrue="1" operator="equal">
      <formula>"WARNING"</formula>
    </cfRule>
  </conditionalFormatting>
  <conditionalFormatting sqref="Y31">
    <cfRule type="cellIs" dxfId="235" priority="10" stopIfTrue="1" operator="equal">
      <formula>"ERROR"</formula>
    </cfRule>
    <cfRule type="cellIs" dxfId="234" priority="11" stopIfTrue="1" operator="equal">
      <formula>"OK"</formula>
    </cfRule>
    <cfRule type="cellIs" dxfId="233" priority="12" stopIfTrue="1" operator="equal">
      <formula>"WARNING"</formula>
    </cfRule>
  </conditionalFormatting>
  <conditionalFormatting sqref="AK31">
    <cfRule type="cellIs" dxfId="232" priority="7" stopIfTrue="1" operator="equal">
      <formula>"ERROR"</formula>
    </cfRule>
    <cfRule type="cellIs" dxfId="231" priority="8" stopIfTrue="1" operator="equal">
      <formula>"OK"</formula>
    </cfRule>
    <cfRule type="cellIs" dxfId="230" priority="9" stopIfTrue="1" operator="equal">
      <formula>"WARNING"</formula>
    </cfRule>
  </conditionalFormatting>
  <conditionalFormatting sqref="AW31">
    <cfRule type="cellIs" dxfId="229" priority="4" stopIfTrue="1" operator="equal">
      <formula>"ERROR"</formula>
    </cfRule>
    <cfRule type="cellIs" dxfId="228" priority="5" stopIfTrue="1" operator="equal">
      <formula>"OK"</formula>
    </cfRule>
    <cfRule type="cellIs" dxfId="227" priority="6" stopIfTrue="1" operator="equal">
      <formula>"WARNING"</formula>
    </cfRule>
  </conditionalFormatting>
  <conditionalFormatting sqref="BI31">
    <cfRule type="cellIs" dxfId="226" priority="1" stopIfTrue="1" operator="equal">
      <formula>"ERROR"</formula>
    </cfRule>
    <cfRule type="cellIs" dxfId="225" priority="2" stopIfTrue="1" operator="equal">
      <formula>"OK"</formula>
    </cfRule>
    <cfRule type="cellIs" dxfId="224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heet15">
    <tabColor theme="4" tint="-0.499984740745262"/>
  </sheetPr>
  <dimension ref="A2:AL88"/>
  <sheetViews>
    <sheetView showGridLines="0" zoomScaleNormal="100" workbookViewId="0"/>
  </sheetViews>
  <sheetFormatPr defaultColWidth="14.77734375" defaultRowHeight="14.4" x14ac:dyDescent="0.3"/>
  <cols>
    <col min="1" max="1" width="3.77734375" customWidth="1"/>
    <col min="20" max="21" width="35.44140625" bestFit="1" customWidth="1"/>
    <col min="24" max="24" width="31.6640625" bestFit="1" customWidth="1"/>
    <col min="25" max="27" width="29" bestFit="1" customWidth="1"/>
    <col min="28" max="29" width="38.33203125" bestFit="1" customWidth="1"/>
    <col min="30" max="30" width="29" bestFit="1" customWidth="1"/>
    <col min="31" max="31" width="14.77734375" customWidth="1"/>
    <col min="33" max="33" width="14.77734375" customWidth="1"/>
    <col min="36" max="37" width="42.88671875" bestFit="1" customWidth="1"/>
  </cols>
  <sheetData>
    <row r="2" spans="1:38" ht="25.8" x14ac:dyDescent="0.5">
      <c r="B2" s="2" t="s">
        <v>415</v>
      </c>
      <c r="C2" s="382"/>
      <c r="D2" s="382"/>
      <c r="E2" s="382"/>
      <c r="F2" s="382"/>
      <c r="G2" s="382"/>
      <c r="H2" s="382"/>
      <c r="I2" s="382"/>
      <c r="J2" s="382"/>
      <c r="K2" s="382"/>
      <c r="L2" s="382"/>
      <c r="M2" s="382"/>
      <c r="N2" s="382"/>
      <c r="O2" s="382"/>
      <c r="P2" s="382"/>
      <c r="Q2" s="382"/>
      <c r="R2" s="382"/>
      <c r="S2" s="382"/>
      <c r="T2" s="382"/>
      <c r="U2" s="382"/>
      <c r="V2" s="382"/>
      <c r="W2" s="382"/>
      <c r="X2" s="382"/>
      <c r="Y2" s="382"/>
      <c r="Z2" s="382"/>
      <c r="AA2" s="382"/>
      <c r="AB2" s="382"/>
      <c r="AC2" s="382"/>
      <c r="AD2" s="382"/>
      <c r="AE2" s="382"/>
      <c r="AF2" s="382"/>
      <c r="AG2" s="382"/>
      <c r="AH2" s="382"/>
      <c r="AI2" s="382"/>
      <c r="AJ2" s="382"/>
      <c r="AK2" s="382"/>
      <c r="AL2" s="382"/>
    </row>
    <row r="4" spans="1:38" x14ac:dyDescent="0.3">
      <c r="B4" s="59" t="s">
        <v>170</v>
      </c>
      <c r="C4" s="377" t="str" cm="1">
        <f t="array" ref="C4">_xll.d.TestUtils_And(D8:D9)</f>
        <v>OK</v>
      </c>
      <c r="D4" s="375"/>
      <c r="E4" s="375"/>
      <c r="F4" s="375"/>
      <c r="G4" s="375"/>
      <c r="H4" s="375"/>
      <c r="I4" s="375"/>
      <c r="J4" s="375"/>
      <c r="K4" s="375"/>
      <c r="L4" s="375"/>
      <c r="M4" s="375"/>
      <c r="N4" s="375"/>
      <c r="O4" s="375"/>
      <c r="P4" s="375"/>
      <c r="Q4" s="375"/>
      <c r="R4" s="375"/>
      <c r="S4" s="375"/>
      <c r="T4" s="375"/>
      <c r="U4" s="375"/>
      <c r="V4" s="375"/>
      <c r="W4" s="375"/>
      <c r="X4" s="375"/>
      <c r="Y4" s="375"/>
      <c r="Z4" s="375"/>
      <c r="AA4" s="375"/>
      <c r="AB4" s="375"/>
      <c r="AC4" s="375"/>
    </row>
    <row r="7" spans="1:38" x14ac:dyDescent="0.3">
      <c r="B7" s="228" t="s">
        <v>247</v>
      </c>
      <c r="C7" s="228"/>
      <c r="D7" s="229" t="s">
        <v>11</v>
      </c>
      <c r="E7" s="375"/>
      <c r="F7" s="375"/>
      <c r="G7" s="375"/>
      <c r="H7" s="375"/>
      <c r="I7" s="375"/>
      <c r="J7" s="375"/>
      <c r="K7" s="375"/>
      <c r="L7" s="375"/>
      <c r="M7" s="375"/>
      <c r="N7" s="375"/>
      <c r="O7" s="375"/>
      <c r="P7" s="375"/>
      <c r="Q7" s="375"/>
      <c r="R7" s="375"/>
      <c r="S7" s="375"/>
      <c r="T7" s="375"/>
      <c r="U7" s="375"/>
      <c r="V7" s="375"/>
      <c r="W7" s="375"/>
      <c r="X7" s="375"/>
      <c r="Y7" s="375"/>
      <c r="Z7" s="375"/>
      <c r="AA7" s="375"/>
      <c r="AB7" s="375"/>
      <c r="AC7" s="375"/>
    </row>
    <row r="8" spans="1:38" x14ac:dyDescent="0.3">
      <c r="B8" s="238" t="s">
        <v>416</v>
      </c>
      <c r="C8" s="397"/>
      <c r="D8" s="377" t="str">
        <f>C15</f>
        <v>OK</v>
      </c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</row>
    <row r="9" spans="1:38" x14ac:dyDescent="0.3">
      <c r="B9" s="238" t="s">
        <v>417</v>
      </c>
      <c r="C9" s="397"/>
      <c r="D9" s="377" t="str">
        <f>C28</f>
        <v>OK</v>
      </c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</row>
    <row r="10" spans="1:38" x14ac:dyDescent="0.3">
      <c r="B10" s="238" t="s">
        <v>418</v>
      </c>
      <c r="C10" s="397"/>
      <c r="D10" s="377" t="str">
        <f ca="1">C44</f>
        <v>ERROR</v>
      </c>
      <c r="E10" s="375"/>
      <c r="F10" s="375"/>
      <c r="G10" s="375"/>
      <c r="H10" s="375"/>
      <c r="I10" s="375"/>
      <c r="J10" s="375"/>
      <c r="K10" s="375"/>
      <c r="L10" s="375"/>
      <c r="M10" s="375"/>
      <c r="N10" s="375"/>
      <c r="O10" s="375"/>
      <c r="P10" s="375"/>
      <c r="Q10" s="375"/>
      <c r="R10" s="375"/>
      <c r="S10" s="375"/>
      <c r="T10" s="375"/>
      <c r="U10" s="375"/>
      <c r="V10" s="375"/>
      <c r="W10" s="375"/>
      <c r="X10" s="375"/>
      <c r="Y10" s="375"/>
      <c r="Z10" s="375"/>
      <c r="AA10" s="375"/>
      <c r="AB10" s="375"/>
      <c r="AC10" s="375"/>
    </row>
    <row r="13" spans="1:38" s="375" customFormat="1" ht="18" x14ac:dyDescent="0.35">
      <c r="A13"/>
      <c r="B13" s="3" t="s">
        <v>416</v>
      </c>
      <c r="C13" s="383"/>
      <c r="D13" s="383"/>
      <c r="E13" s="383"/>
      <c r="F13" s="383"/>
      <c r="G13" s="383"/>
      <c r="H13" s="383"/>
      <c r="I13" s="383"/>
      <c r="J13" s="383"/>
      <c r="K13" s="383"/>
      <c r="L13" s="383"/>
      <c r="M13" s="383"/>
      <c r="N13" s="383"/>
      <c r="O13" s="383"/>
      <c r="P13" s="383"/>
      <c r="Q13" s="383"/>
      <c r="R13" s="383"/>
      <c r="S13" s="383"/>
      <c r="T13" s="383"/>
      <c r="U13" s="383"/>
      <c r="V13" s="383"/>
      <c r="W13" s="383"/>
      <c r="X13" s="383"/>
      <c r="Y13" s="383"/>
      <c r="Z13" s="383"/>
      <c r="AA13" s="383"/>
      <c r="AB13" s="383"/>
      <c r="AC13" s="383"/>
      <c r="AD13" s="383"/>
      <c r="AE13" s="383"/>
      <c r="AF13" s="383"/>
      <c r="AG13" s="383"/>
      <c r="AH13" s="383"/>
      <c r="AI13" s="383"/>
      <c r="AJ13" s="383"/>
      <c r="AK13" s="383"/>
      <c r="AL13" s="383"/>
    </row>
    <row r="15" spans="1:38" x14ac:dyDescent="0.3">
      <c r="B15" s="59" t="s">
        <v>170</v>
      </c>
      <c r="C15" s="377" t="str" cm="1">
        <f t="array" ref="C15">_xll.d.TestUtils_And(L20:N22,V20,AD20,AL20)</f>
        <v>OK</v>
      </c>
      <c r="D15" s="375"/>
      <c r="E15" s="375"/>
      <c r="F15" s="375"/>
      <c r="G15" s="375"/>
      <c r="H15" s="375"/>
      <c r="I15" s="375"/>
      <c r="J15" s="375"/>
      <c r="K15" s="375"/>
    </row>
    <row r="16" spans="1:38" x14ac:dyDescent="0.3">
      <c r="B16" s="375"/>
      <c r="C16" s="375"/>
      <c r="D16" s="375"/>
      <c r="E16" s="375"/>
      <c r="F16" s="375"/>
      <c r="G16" s="375"/>
      <c r="H16" s="375"/>
      <c r="I16" s="376"/>
      <c r="J16" s="376"/>
      <c r="K16" s="376"/>
    </row>
    <row r="17" spans="2:38" ht="15.6" x14ac:dyDescent="0.3">
      <c r="B17" s="4" t="s">
        <v>419</v>
      </c>
      <c r="C17" s="384"/>
      <c r="D17" s="384"/>
      <c r="E17" s="384"/>
      <c r="F17" s="384"/>
      <c r="G17" s="384"/>
      <c r="H17" s="384"/>
      <c r="I17" s="384"/>
      <c r="J17" s="384"/>
      <c r="K17" s="384"/>
      <c r="L17" s="384"/>
      <c r="M17" s="384"/>
      <c r="N17" s="384"/>
      <c r="P17" s="4" t="s">
        <v>422</v>
      </c>
      <c r="Q17" s="384"/>
      <c r="R17" s="384"/>
      <c r="S17" s="384"/>
      <c r="T17" s="384"/>
      <c r="U17" s="384"/>
      <c r="V17" s="384"/>
      <c r="X17" s="4" t="s">
        <v>425</v>
      </c>
      <c r="Y17" s="384"/>
      <c r="Z17" s="384"/>
      <c r="AA17" s="384"/>
      <c r="AB17" s="384"/>
      <c r="AC17" s="384"/>
      <c r="AD17" s="384"/>
      <c r="AF17" s="4" t="s">
        <v>426</v>
      </c>
      <c r="AG17" s="384"/>
      <c r="AH17" s="384"/>
      <c r="AI17" s="384"/>
      <c r="AJ17" s="384"/>
      <c r="AK17" s="384"/>
      <c r="AL17" s="384"/>
    </row>
    <row r="18" spans="2:38" x14ac:dyDescent="0.3">
      <c r="B18" s="375"/>
      <c r="C18" s="375"/>
      <c r="D18" s="375"/>
      <c r="E18" s="375"/>
      <c r="F18" s="375"/>
      <c r="G18" s="375"/>
      <c r="H18" s="375"/>
      <c r="I18" s="376"/>
      <c r="J18" s="376"/>
      <c r="K18" s="376"/>
      <c r="P18" s="375"/>
      <c r="Q18" s="375"/>
      <c r="R18" s="375"/>
      <c r="S18" s="375"/>
      <c r="T18" s="375"/>
      <c r="U18" s="376"/>
      <c r="X18" s="375"/>
      <c r="Y18" s="375"/>
      <c r="Z18" s="375"/>
      <c r="AA18" s="375"/>
      <c r="AB18" s="375"/>
      <c r="AC18" s="376"/>
      <c r="AF18" s="375"/>
      <c r="AG18" s="375"/>
      <c r="AH18" s="375"/>
      <c r="AI18" s="375"/>
      <c r="AJ18" s="375"/>
      <c r="AK18" s="376"/>
    </row>
    <row r="19" spans="2:38" x14ac:dyDescent="0.3">
      <c r="B19" s="138" t="s">
        <v>267</v>
      </c>
      <c r="C19" s="231"/>
      <c r="D19" s="139"/>
      <c r="F19" s="138" t="s">
        <v>144</v>
      </c>
      <c r="G19" s="138"/>
      <c r="H19" s="138"/>
      <c r="I19" s="138" t="s">
        <v>269</v>
      </c>
      <c r="J19" s="138"/>
      <c r="K19" s="138"/>
      <c r="L19" s="138" t="s">
        <v>88</v>
      </c>
      <c r="M19" s="420"/>
      <c r="N19" s="420"/>
      <c r="P19" s="138" t="s">
        <v>267</v>
      </c>
      <c r="Q19" s="231"/>
      <c r="R19" s="139"/>
      <c r="T19" s="138" t="s">
        <v>144</v>
      </c>
      <c r="U19" s="138" t="s">
        <v>269</v>
      </c>
      <c r="V19" s="138" t="s">
        <v>88</v>
      </c>
      <c r="X19" s="138" t="s">
        <v>267</v>
      </c>
      <c r="Y19" s="231"/>
      <c r="Z19" s="139"/>
      <c r="AB19" s="138" t="s">
        <v>144</v>
      </c>
      <c r="AC19" s="138" t="s">
        <v>269</v>
      </c>
      <c r="AD19" s="138" t="s">
        <v>88</v>
      </c>
      <c r="AF19" s="138" t="s">
        <v>267</v>
      </c>
      <c r="AG19" s="231"/>
      <c r="AH19" s="139"/>
      <c r="AJ19" s="138" t="s">
        <v>144</v>
      </c>
      <c r="AK19" s="138" t="s">
        <v>269</v>
      </c>
      <c r="AL19" s="138" t="s">
        <v>88</v>
      </c>
    </row>
    <row r="20" spans="2:38" x14ac:dyDescent="0.3">
      <c r="B20" s="440" t="s">
        <v>420</v>
      </c>
      <c r="C20" s="441"/>
      <c r="D20" s="442"/>
      <c r="F20" s="439">
        <f t="array" ref="F20:H22">_xll.d.Stats_Cholesky(B21:D23)</f>
        <v>1</v>
      </c>
      <c r="G20" s="333">
        <v>0</v>
      </c>
      <c r="H20" s="334">
        <v>0</v>
      </c>
      <c r="I20" s="439">
        <v>1</v>
      </c>
      <c r="J20" s="333">
        <v>0</v>
      </c>
      <c r="K20" s="334">
        <v>0</v>
      </c>
      <c r="L20" s="387" t="str" cm="1">
        <f t="array" ref="L20">_xll.d.TestUtils_Equal(F20,I20)</f>
        <v>OK</v>
      </c>
      <c r="M20" s="387" t="str" cm="1">
        <f t="array" ref="M20">_xll.d.TestUtils_Equal(G20,J20)</f>
        <v>OK</v>
      </c>
      <c r="N20" s="387" t="str" cm="1">
        <f t="array" ref="N20">_xll.d.TestUtils_Equal(H20,K20)</f>
        <v>OK</v>
      </c>
      <c r="P20" s="440" t="s">
        <v>420</v>
      </c>
      <c r="Q20" s="441"/>
      <c r="R20" s="442"/>
      <c r="T20" s="449" t="str" cm="1">
        <f t="array" ref="T20">_xll.d.Stats_Cholesky(P21:R22)</f>
        <v>#∂Excel Error: Matrix supplied is not square.</v>
      </c>
      <c r="U20" s="449" t="s">
        <v>421</v>
      </c>
      <c r="V20" s="387" t="str" cm="1">
        <f t="array" ref="V20">_xll.d.TestUtils_Equal(T20,U20)</f>
        <v>OK</v>
      </c>
      <c r="X20" s="440" t="s">
        <v>420</v>
      </c>
      <c r="Y20" s="441"/>
      <c r="Z20" s="442"/>
      <c r="AB20" s="449" t="str" cm="1">
        <f t="array" ref="AB20">_xll.d.Stats_Cholesky(X21:Z23)</f>
        <v>#∂Excel Error: Matrix supplied is not symmetric.</v>
      </c>
      <c r="AC20" s="449" t="s">
        <v>423</v>
      </c>
      <c r="AD20" s="387" t="str" cm="1">
        <f t="array" ref="AD20">_xll.d.TestUtils_Equal(AB20,AC20)</f>
        <v>OK</v>
      </c>
      <c r="AF20" s="440" t="s">
        <v>420</v>
      </c>
      <c r="AG20" s="441"/>
      <c r="AH20" s="442"/>
      <c r="AJ20" s="449" t="str" cm="1">
        <f t="array" ref="AJ20">_xll.d.Stats_Cholesky(AF21:AH23)</f>
        <v>#∂Excel Error: Matrix supplied is not positive-definite.</v>
      </c>
      <c r="AK20" s="449" t="s">
        <v>424</v>
      </c>
      <c r="AL20" s="387" t="str" cm="1">
        <f t="array" ref="AL20">_xll.d.TestUtils_Equal(AJ20,AK20)</f>
        <v>OK</v>
      </c>
    </row>
    <row r="21" spans="2:38" x14ac:dyDescent="0.3">
      <c r="B21" s="439">
        <v>1</v>
      </c>
      <c r="C21" s="333">
        <v>0.75</v>
      </c>
      <c r="D21" s="334">
        <v>0.5</v>
      </c>
      <c r="E21" s="375"/>
      <c r="F21" s="446">
        <v>0.75</v>
      </c>
      <c r="G21" s="447">
        <v>0.66143782776614768</v>
      </c>
      <c r="H21" s="448">
        <v>0</v>
      </c>
      <c r="I21" s="446">
        <v>0.75</v>
      </c>
      <c r="J21" s="447">
        <v>0.66143782776614768</v>
      </c>
      <c r="K21" s="448">
        <v>0</v>
      </c>
      <c r="L21" s="387" t="str" cm="1">
        <f t="array" ref="L21">_xll.d.TestUtils_Equal(F21,I21)</f>
        <v>OK</v>
      </c>
      <c r="M21" s="387" t="str" cm="1">
        <f t="array" ref="M21">_xll.d.TestUtils_Equal(G21,J21)</f>
        <v>OK</v>
      </c>
      <c r="N21" s="387" t="str" cm="1">
        <f t="array" ref="N21">_xll.d.TestUtils_Equal(H21,K21)</f>
        <v>OK</v>
      </c>
      <c r="P21" s="439">
        <v>1</v>
      </c>
      <c r="Q21" s="333">
        <v>0.75</v>
      </c>
      <c r="R21" s="334">
        <v>0.5</v>
      </c>
      <c r="S21" s="375"/>
      <c r="X21" s="439">
        <v>1</v>
      </c>
      <c r="Y21" s="333">
        <v>0.75</v>
      </c>
      <c r="Z21" s="334">
        <v>10</v>
      </c>
      <c r="AA21" s="375"/>
      <c r="AF21" s="439">
        <v>1</v>
      </c>
      <c r="AG21" s="333">
        <v>2</v>
      </c>
      <c r="AH21" s="334">
        <v>3</v>
      </c>
      <c r="AI21" s="375"/>
    </row>
    <row r="22" spans="2:38" x14ac:dyDescent="0.3">
      <c r="B22" s="446">
        <v>0.75</v>
      </c>
      <c r="C22" s="447">
        <v>1</v>
      </c>
      <c r="D22" s="448">
        <v>0.75</v>
      </c>
      <c r="E22" s="375"/>
      <c r="F22" s="443">
        <v>0.5</v>
      </c>
      <c r="G22" s="444">
        <v>0.56694670951384085</v>
      </c>
      <c r="H22" s="445">
        <v>0.65465367070797709</v>
      </c>
      <c r="I22" s="443">
        <v>0.5</v>
      </c>
      <c r="J22" s="444">
        <v>0.56694670951384085</v>
      </c>
      <c r="K22" s="445">
        <v>0.65465367070797709</v>
      </c>
      <c r="L22" s="387" t="str" cm="1">
        <f t="array" ref="L22">_xll.d.TestUtils_Equal(F22,I22)</f>
        <v>OK</v>
      </c>
      <c r="M22" s="387" t="str" cm="1">
        <f t="array" ref="M22">_xll.d.TestUtils_Equal(G22,J22)</f>
        <v>OK</v>
      </c>
      <c r="N22" s="387" t="str" cm="1">
        <f t="array" ref="N22">_xll.d.TestUtils_Equal(H22,K22)</f>
        <v>OK</v>
      </c>
      <c r="P22" s="443">
        <v>0.75</v>
      </c>
      <c r="Q22" s="444">
        <v>1</v>
      </c>
      <c r="R22" s="445">
        <v>0.75</v>
      </c>
      <c r="S22" s="375"/>
      <c r="X22" s="446">
        <v>0.75</v>
      </c>
      <c r="Y22" s="447">
        <v>1</v>
      </c>
      <c r="Z22" s="448">
        <v>0.75</v>
      </c>
      <c r="AA22" s="375"/>
      <c r="AF22" s="446">
        <v>2</v>
      </c>
      <c r="AG22" s="447">
        <v>3</v>
      </c>
      <c r="AH22" s="448">
        <v>4</v>
      </c>
      <c r="AI22" s="375"/>
    </row>
    <row r="23" spans="2:38" x14ac:dyDescent="0.3">
      <c r="B23" s="443">
        <v>0.5</v>
      </c>
      <c r="C23" s="444">
        <v>0.75</v>
      </c>
      <c r="D23" s="445">
        <v>1</v>
      </c>
      <c r="X23" s="443">
        <v>0.5</v>
      </c>
      <c r="Y23" s="444">
        <v>0.75</v>
      </c>
      <c r="Z23" s="445">
        <v>1</v>
      </c>
      <c r="AF23" s="443">
        <v>3</v>
      </c>
      <c r="AG23" s="444">
        <v>4</v>
      </c>
      <c r="AH23" s="445">
        <v>5</v>
      </c>
    </row>
    <row r="26" spans="2:38" ht="18" x14ac:dyDescent="0.35">
      <c r="B26" s="3" t="s">
        <v>417</v>
      </c>
      <c r="C26" s="383"/>
      <c r="D26" s="383"/>
      <c r="E26" s="383"/>
      <c r="F26" s="383"/>
      <c r="G26" s="383"/>
      <c r="H26" s="383"/>
      <c r="I26" s="383"/>
      <c r="J26" s="383"/>
      <c r="K26" s="383"/>
      <c r="L26" s="383"/>
      <c r="M26" s="383"/>
      <c r="N26" s="383"/>
      <c r="O26" s="383"/>
      <c r="P26" s="383"/>
      <c r="Q26" s="383"/>
      <c r="R26" s="383"/>
      <c r="S26" s="383"/>
      <c r="T26" s="383"/>
      <c r="U26" s="383"/>
      <c r="V26" s="383"/>
      <c r="W26" s="383"/>
      <c r="X26" s="383"/>
      <c r="Y26" s="383"/>
      <c r="Z26" s="383"/>
      <c r="AA26" s="383"/>
      <c r="AB26" s="383"/>
      <c r="AC26" s="383"/>
      <c r="AD26" s="383"/>
      <c r="AE26" s="383"/>
      <c r="AF26" s="383"/>
      <c r="AG26" s="383"/>
      <c r="AH26" s="383"/>
      <c r="AI26" s="383"/>
      <c r="AJ26" s="383"/>
      <c r="AK26" s="383"/>
      <c r="AL26" s="383"/>
    </row>
    <row r="28" spans="2:38" x14ac:dyDescent="0.3">
      <c r="B28" s="59" t="s">
        <v>170</v>
      </c>
      <c r="C28" s="377" t="str" cm="1">
        <f t="array" ref="C28">_xll.d.TestUtils_And(L34:M35,AB34:AD36)</f>
        <v>OK</v>
      </c>
      <c r="D28" s="375"/>
      <c r="E28" s="375"/>
      <c r="F28" s="375"/>
      <c r="G28" s="375"/>
      <c r="H28" s="375"/>
      <c r="I28" s="375"/>
      <c r="J28" s="375"/>
      <c r="K28" s="375"/>
    </row>
    <row r="29" spans="2:38" x14ac:dyDescent="0.3">
      <c r="B29" s="375"/>
      <c r="C29" s="375"/>
      <c r="D29" s="375"/>
      <c r="E29" s="375"/>
      <c r="F29" s="375"/>
      <c r="G29" s="375"/>
      <c r="H29" s="375"/>
      <c r="I29" s="376"/>
      <c r="J29" s="376"/>
      <c r="K29" s="376"/>
    </row>
    <row r="30" spans="2:38" ht="15.6" x14ac:dyDescent="0.3">
      <c r="B30" s="4" t="s">
        <v>427</v>
      </c>
      <c r="C30" s="384"/>
      <c r="D30" s="384"/>
      <c r="E30" s="384"/>
      <c r="F30" s="384"/>
      <c r="G30" s="384"/>
      <c r="H30" s="384"/>
      <c r="I30" s="384"/>
      <c r="J30" s="384"/>
      <c r="K30" s="384"/>
      <c r="L30" s="384"/>
      <c r="M30" s="384"/>
      <c r="O30" s="4" t="s">
        <v>429</v>
      </c>
      <c r="P30" s="384"/>
      <c r="Q30" s="384"/>
      <c r="R30" s="384"/>
      <c r="S30" s="384"/>
      <c r="T30" s="384"/>
      <c r="U30" s="384"/>
      <c r="V30" s="384"/>
      <c r="W30" s="384"/>
      <c r="X30" s="384"/>
      <c r="Y30" s="384"/>
      <c r="Z30" s="384"/>
    </row>
    <row r="31" spans="2:38" x14ac:dyDescent="0.3">
      <c r="B31" s="375"/>
      <c r="C31" s="375"/>
      <c r="D31" s="375"/>
      <c r="E31" s="375"/>
      <c r="F31" s="375"/>
      <c r="G31" s="375"/>
      <c r="H31" s="375"/>
      <c r="I31" s="376"/>
      <c r="J31" s="376"/>
      <c r="K31" s="376"/>
      <c r="O31" s="375"/>
      <c r="P31" s="375"/>
      <c r="Q31" s="375"/>
      <c r="R31" s="375"/>
      <c r="S31" s="375"/>
      <c r="T31" s="375"/>
      <c r="U31" s="375"/>
      <c r="V31" s="376"/>
      <c r="W31" s="376"/>
      <c r="X31" s="376"/>
    </row>
    <row r="32" spans="2:38" x14ac:dyDescent="0.3">
      <c r="B32" s="138" t="s">
        <v>267</v>
      </c>
      <c r="C32" s="231"/>
      <c r="E32" s="138" t="s">
        <v>144</v>
      </c>
      <c r="F32" s="138"/>
      <c r="G32" s="138"/>
      <c r="H32" s="138" t="s">
        <v>269</v>
      </c>
      <c r="I32" s="138"/>
      <c r="J32" s="138"/>
      <c r="K32" s="138" t="s">
        <v>88</v>
      </c>
      <c r="L32" s="420"/>
      <c r="M32" s="420"/>
      <c r="O32" s="138" t="s">
        <v>267</v>
      </c>
      <c r="P32" s="231"/>
      <c r="Q32" s="420"/>
      <c r="S32" s="138" t="s">
        <v>144</v>
      </c>
      <c r="T32" s="138"/>
      <c r="U32" s="138"/>
      <c r="V32" s="138"/>
      <c r="W32" s="138" t="s">
        <v>269</v>
      </c>
      <c r="X32" s="138"/>
      <c r="Y32" s="138"/>
      <c r="Z32" s="138"/>
      <c r="AA32" s="138" t="s">
        <v>88</v>
      </c>
      <c r="AB32" s="420"/>
      <c r="AC32" s="420"/>
      <c r="AD32" s="420"/>
    </row>
    <row r="33" spans="2:38" x14ac:dyDescent="0.3">
      <c r="B33" s="450" t="s">
        <v>403</v>
      </c>
      <c r="C33" s="451" t="s">
        <v>402</v>
      </c>
      <c r="E33" s="465"/>
      <c r="F33" s="463" t="s">
        <v>403</v>
      </c>
      <c r="G33" s="373" t="s">
        <v>402</v>
      </c>
      <c r="H33" s="465"/>
      <c r="I33" s="463" t="s">
        <v>403</v>
      </c>
      <c r="J33" s="373" t="s">
        <v>402</v>
      </c>
      <c r="K33" s="465"/>
      <c r="L33" s="463" t="s">
        <v>403</v>
      </c>
      <c r="M33" s="373" t="s">
        <v>402</v>
      </c>
      <c r="O33" s="450" t="s">
        <v>403</v>
      </c>
      <c r="P33" s="473" t="s">
        <v>402</v>
      </c>
      <c r="Q33" s="472" t="s">
        <v>428</v>
      </c>
      <c r="S33" s="465"/>
      <c r="T33" s="463" t="s">
        <v>403</v>
      </c>
      <c r="U33" s="476" t="s">
        <v>402</v>
      </c>
      <c r="V33" s="474" t="s">
        <v>428</v>
      </c>
      <c r="W33" s="465"/>
      <c r="X33" s="463" t="s">
        <v>403</v>
      </c>
      <c r="Y33" s="476" t="s">
        <v>402</v>
      </c>
      <c r="Z33" s="474" t="s">
        <v>428</v>
      </c>
      <c r="AA33" s="465"/>
      <c r="AB33" s="463" t="s">
        <v>403</v>
      </c>
      <c r="AC33" s="476" t="s">
        <v>402</v>
      </c>
      <c r="AD33" s="474" t="s">
        <v>428</v>
      </c>
    </row>
    <row r="34" spans="2:38" x14ac:dyDescent="0.3">
      <c r="B34" s="452">
        <v>1</v>
      </c>
      <c r="C34" s="453">
        <v>0.5</v>
      </c>
      <c r="D34" s="375"/>
      <c r="E34" s="464" t="s">
        <v>403</v>
      </c>
      <c r="F34" s="459" cm="1">
        <f t="array" ref="F34:G35">_xll.d.Stats_CorrelationMatrix(B34:C39)</f>
        <v>1</v>
      </c>
      <c r="G34" s="458">
        <v>0.9855793842654561</v>
      </c>
      <c r="H34" s="464" t="s">
        <v>403</v>
      </c>
      <c r="I34" s="459">
        <f>CORREL(B34:B39,B34:B39)</f>
        <v>1</v>
      </c>
      <c r="J34" s="458">
        <f>CORREL(B34:B39,C34:C39)</f>
        <v>0.98557938426545633</v>
      </c>
      <c r="K34" s="464" t="s">
        <v>403</v>
      </c>
      <c r="L34" s="387" t="str" cm="1">
        <f t="array" ref="L34">_xll.d.TestUtils_Equal(F34,I34)</f>
        <v>OK</v>
      </c>
      <c r="M34" s="387" t="str" cm="1">
        <f t="array" ref="M34">_xll.d.TestUtils_Equal(G34,J34)</f>
        <v>OK</v>
      </c>
      <c r="O34" s="452">
        <v>1</v>
      </c>
      <c r="P34" s="469">
        <v>0.5</v>
      </c>
      <c r="Q34" s="466">
        <v>6.5</v>
      </c>
      <c r="R34" s="375"/>
      <c r="S34" s="464" t="s">
        <v>403</v>
      </c>
      <c r="T34" s="459" cm="1">
        <f t="array" ref="T34:V36">_xll.d.Stats_CorrelationMatrix(O34:Q39)</f>
        <v>1</v>
      </c>
      <c r="U34" s="478">
        <v>0.9855793842654561</v>
      </c>
      <c r="V34" s="477">
        <v>-0.96679334300694564</v>
      </c>
      <c r="W34" s="464" t="s">
        <v>403</v>
      </c>
      <c r="X34" s="459">
        <f>CORREL($O$34:$O$39,O$34:O$39)</f>
        <v>1</v>
      </c>
      <c r="Y34" s="478">
        <f t="shared" ref="Y34:Z34" si="0">CORREL($O$34:$O$39,P$34:P$39)</f>
        <v>0.98557938426545633</v>
      </c>
      <c r="Z34" s="477">
        <f t="shared" si="0"/>
        <v>-0.96679334300694575</v>
      </c>
      <c r="AA34" s="464" t="s">
        <v>403</v>
      </c>
      <c r="AB34" s="387" t="str" cm="1">
        <f t="array" ref="AB34">_xll.d.TestUtils_Equal(T34,X34)</f>
        <v>OK</v>
      </c>
      <c r="AC34" s="387" t="str" cm="1">
        <f t="array" ref="AC34">_xll.d.TestUtils_Equal(U34,Y34)</f>
        <v>OK</v>
      </c>
      <c r="AD34" s="387" t="str" cm="1">
        <f t="array" ref="AD34">_xll.d.TestUtils_Equal(V34,Z34)</f>
        <v>OK</v>
      </c>
    </row>
    <row r="35" spans="2:38" x14ac:dyDescent="0.3">
      <c r="B35" s="454">
        <v>2</v>
      </c>
      <c r="C35" s="455">
        <v>2.2000000000000002</v>
      </c>
      <c r="D35" s="375"/>
      <c r="E35" s="362" t="s">
        <v>402</v>
      </c>
      <c r="F35" s="460">
        <v>0.9855793842654561</v>
      </c>
      <c r="G35" s="445">
        <v>1</v>
      </c>
      <c r="H35" s="362" t="s">
        <v>402</v>
      </c>
      <c r="I35" s="460">
        <f>CORREL(B34:B39,C34:C39)</f>
        <v>0.98557938426545633</v>
      </c>
      <c r="J35" s="445">
        <f>CORREL(C34:C39,C34:C39)</f>
        <v>1.0000000000000002</v>
      </c>
      <c r="K35" s="362" t="s">
        <v>402</v>
      </c>
      <c r="L35" s="387" t="str" cm="1">
        <f t="array" ref="L35">_xll.d.TestUtils_Equal(F35,I35)</f>
        <v>OK</v>
      </c>
      <c r="M35" s="387" t="str" cm="1">
        <f t="array" ref="M35">_xll.d.TestUtils_Equal(G35,J35)</f>
        <v>OK</v>
      </c>
      <c r="O35" s="454">
        <v>2</v>
      </c>
      <c r="P35" s="470">
        <v>2.2000000000000002</v>
      </c>
      <c r="Q35" s="467">
        <v>5.2</v>
      </c>
      <c r="R35" s="375"/>
      <c r="S35" s="461" t="s">
        <v>402</v>
      </c>
      <c r="T35" s="479">
        <v>0.9855793842654561</v>
      </c>
      <c r="U35" s="481">
        <v>1</v>
      </c>
      <c r="V35" s="482">
        <v>-0.9461544177169412</v>
      </c>
      <c r="W35" s="461" t="s">
        <v>402</v>
      </c>
      <c r="X35" s="479">
        <f>CORREL(O$34:O$39,$P$34:$P$39)</f>
        <v>0.98557938426545633</v>
      </c>
      <c r="Y35" s="481">
        <f t="shared" ref="Y35:Z35" si="1">CORREL(P$34:P$39,$P$34:$P$39)</f>
        <v>1.0000000000000002</v>
      </c>
      <c r="Z35" s="482">
        <f t="shared" si="1"/>
        <v>-0.94615441771694131</v>
      </c>
      <c r="AA35" s="461" t="s">
        <v>402</v>
      </c>
      <c r="AB35" s="387" t="str" cm="1">
        <f t="array" ref="AB35">_xll.d.TestUtils_Equal(T35,X35)</f>
        <v>OK</v>
      </c>
      <c r="AC35" s="387" t="str" cm="1">
        <f t="array" ref="AC35">_xll.d.TestUtils_Equal(U35,Y35)</f>
        <v>OK</v>
      </c>
      <c r="AD35" s="387" t="str" cm="1">
        <f t="array" ref="AD35">_xll.d.TestUtils_Equal(V35,Z35)</f>
        <v>OK</v>
      </c>
    </row>
    <row r="36" spans="2:38" x14ac:dyDescent="0.3">
      <c r="B36" s="454">
        <v>3</v>
      </c>
      <c r="C36" s="455">
        <v>2.9</v>
      </c>
      <c r="O36" s="454">
        <v>3</v>
      </c>
      <c r="P36" s="470">
        <v>2.9</v>
      </c>
      <c r="Q36" s="467">
        <v>4.9000000000000004</v>
      </c>
      <c r="S36" s="462" t="s">
        <v>428</v>
      </c>
      <c r="T36" s="460">
        <v>-0.96679334300694564</v>
      </c>
      <c r="U36" s="480">
        <v>-0.9461544177169412</v>
      </c>
      <c r="V36" s="475">
        <v>1</v>
      </c>
      <c r="W36" s="462" t="s">
        <v>428</v>
      </c>
      <c r="X36" s="460">
        <f>CORREL(O$34:O$39,$Q$34:$Q$39)</f>
        <v>-0.96679334300694575</v>
      </c>
      <c r="Y36" s="480">
        <f t="shared" ref="Y36:Z36" si="2">CORREL(P$34:P$39,$Q$34:$Q$39)</f>
        <v>-0.94615441771694131</v>
      </c>
      <c r="Z36" s="475">
        <f t="shared" si="2"/>
        <v>0.99999999999999978</v>
      </c>
      <c r="AA36" s="462" t="s">
        <v>428</v>
      </c>
      <c r="AB36" s="387" t="str" cm="1">
        <f t="array" ref="AB36">_xll.d.TestUtils_Equal(T36,X36)</f>
        <v>OK</v>
      </c>
      <c r="AC36" s="387" t="str" cm="1">
        <f t="array" ref="AC36">_xll.d.TestUtils_Equal(U36,Y36)</f>
        <v>OK</v>
      </c>
      <c r="AD36" s="387" t="str" cm="1">
        <f t="array" ref="AD36">_xll.d.TestUtils_Equal(V36,Z36)</f>
        <v>OK</v>
      </c>
    </row>
    <row r="37" spans="2:38" x14ac:dyDescent="0.3">
      <c r="B37" s="454">
        <v>4</v>
      </c>
      <c r="C37" s="455">
        <v>4.2</v>
      </c>
      <c r="O37" s="454">
        <v>4</v>
      </c>
      <c r="P37" s="470">
        <v>4.2</v>
      </c>
      <c r="Q37" s="467">
        <v>4</v>
      </c>
    </row>
    <row r="38" spans="2:38" x14ac:dyDescent="0.3">
      <c r="B38" s="454">
        <v>5</v>
      </c>
      <c r="C38" s="455">
        <v>5</v>
      </c>
      <c r="O38" s="454">
        <v>5</v>
      </c>
      <c r="P38" s="470">
        <v>5</v>
      </c>
      <c r="Q38" s="467">
        <v>3.8</v>
      </c>
    </row>
    <row r="39" spans="2:38" x14ac:dyDescent="0.3">
      <c r="B39" s="456">
        <v>6</v>
      </c>
      <c r="C39" s="457">
        <v>5.5</v>
      </c>
      <c r="O39" s="456">
        <v>6</v>
      </c>
      <c r="P39" s="471">
        <v>5.5</v>
      </c>
      <c r="Q39" s="468">
        <v>1.9</v>
      </c>
    </row>
    <row r="42" spans="2:38" ht="18" x14ac:dyDescent="0.35">
      <c r="B42" s="3" t="s">
        <v>418</v>
      </c>
      <c r="C42" s="383"/>
      <c r="D42" s="383"/>
      <c r="E42" s="383"/>
      <c r="F42" s="383"/>
      <c r="G42" s="383"/>
      <c r="H42" s="383"/>
      <c r="I42" s="383"/>
      <c r="J42" s="383"/>
      <c r="K42" s="383"/>
      <c r="L42" s="383"/>
      <c r="M42" s="383"/>
      <c r="N42" s="383"/>
      <c r="O42" s="383"/>
      <c r="P42" s="383"/>
      <c r="Q42" s="383"/>
      <c r="R42" s="383"/>
      <c r="S42" s="383"/>
      <c r="T42" s="383"/>
      <c r="U42" s="383"/>
      <c r="V42" s="383"/>
      <c r="W42" s="383"/>
      <c r="X42" s="383"/>
      <c r="Y42" s="383"/>
      <c r="Z42" s="383"/>
      <c r="AA42" s="383"/>
      <c r="AB42" s="383"/>
      <c r="AC42" s="383"/>
      <c r="AD42" s="383"/>
      <c r="AE42" s="383"/>
      <c r="AF42" s="383"/>
      <c r="AG42" s="383"/>
      <c r="AH42" s="383"/>
      <c r="AI42" s="383"/>
      <c r="AJ42" s="383"/>
      <c r="AK42" s="383"/>
      <c r="AL42" s="383"/>
    </row>
    <row r="44" spans="2:38" x14ac:dyDescent="0.3">
      <c r="B44" s="59" t="s">
        <v>170</v>
      </c>
      <c r="C44" s="377" t="str" cm="1">
        <f t="array" aca="1" ref="C44" ca="1">_xll.d.TestUtils_And(J51:K51,S51:T51,AE49)</f>
        <v>ERROR</v>
      </c>
      <c r="D44" s="375"/>
      <c r="E44" s="375"/>
      <c r="F44" s="375"/>
      <c r="G44" s="375"/>
      <c r="H44" s="375"/>
      <c r="I44" s="375"/>
      <c r="J44" s="375"/>
      <c r="K44" s="375"/>
    </row>
    <row r="45" spans="2:38" x14ac:dyDescent="0.3">
      <c r="B45" s="375"/>
      <c r="C45" s="375"/>
      <c r="D45" s="375"/>
      <c r="E45" s="375"/>
      <c r="F45" s="375"/>
      <c r="G45" s="375"/>
      <c r="H45" s="375"/>
      <c r="I45" s="376"/>
      <c r="J45" s="376"/>
      <c r="K45" s="376"/>
    </row>
    <row r="46" spans="2:38" ht="15.6" x14ac:dyDescent="0.3">
      <c r="B46" s="4" t="s">
        <v>433</v>
      </c>
      <c r="C46" s="384"/>
      <c r="D46" s="384"/>
      <c r="E46" s="384"/>
      <c r="F46" s="384"/>
      <c r="G46" s="384"/>
      <c r="H46" s="384"/>
      <c r="I46" s="384"/>
      <c r="J46" s="384"/>
      <c r="K46" s="384"/>
      <c r="M46" s="4" t="s">
        <v>434</v>
      </c>
      <c r="N46" s="384"/>
      <c r="O46" s="384"/>
      <c r="P46" s="384"/>
      <c r="Q46" s="384"/>
      <c r="R46" s="384"/>
      <c r="S46" s="384"/>
      <c r="T46" s="384"/>
      <c r="V46" s="4" t="s">
        <v>435</v>
      </c>
      <c r="W46" s="384"/>
      <c r="X46" s="384"/>
      <c r="Y46" s="384"/>
      <c r="Z46" s="384"/>
      <c r="AA46" s="384"/>
      <c r="AB46" s="384"/>
      <c r="AC46" s="384"/>
      <c r="AD46" s="384"/>
      <c r="AE46" s="384"/>
    </row>
    <row r="48" spans="2:38" x14ac:dyDescent="0.3">
      <c r="B48" s="483" t="s">
        <v>267</v>
      </c>
      <c r="D48" s="138" t="s">
        <v>144</v>
      </c>
      <c r="E48" s="231"/>
      <c r="F48" s="231"/>
      <c r="G48" s="231"/>
      <c r="H48" s="139"/>
      <c r="J48" s="138" t="s">
        <v>431</v>
      </c>
      <c r="K48" s="139" t="s">
        <v>432</v>
      </c>
      <c r="M48" s="138" t="s">
        <v>144</v>
      </c>
      <c r="N48" s="231"/>
      <c r="O48" s="231"/>
      <c r="P48" s="231"/>
      <c r="Q48" s="139"/>
      <c r="S48" s="138" t="s">
        <v>431</v>
      </c>
      <c r="T48" s="139" t="s">
        <v>432</v>
      </c>
      <c r="V48" s="483" t="s">
        <v>267</v>
      </c>
      <c r="X48" s="138" t="s">
        <v>144</v>
      </c>
      <c r="Y48" s="231"/>
      <c r="Z48" s="231"/>
      <c r="AA48" s="231"/>
      <c r="AB48" s="139"/>
      <c r="AD48" s="138" t="s">
        <v>269</v>
      </c>
      <c r="AE48" s="138" t="s">
        <v>88</v>
      </c>
    </row>
    <row r="49" spans="2:31" x14ac:dyDescent="0.3">
      <c r="B49" s="484" t="s">
        <v>430</v>
      </c>
      <c r="D49" s="140">
        <f t="array" aca="1" ref="D49:H88" ca="1">_xll.d.Stats_NormalRandomNumbers(B50)</f>
        <v>-0.63711590014289476</v>
      </c>
      <c r="E49" s="398">
        <f ca="1"/>
        <v>0.70685522048944815</v>
      </c>
      <c r="F49" s="398">
        <f ca="1"/>
        <v>-0.31907668375768672</v>
      </c>
      <c r="G49" s="398">
        <f ca="1"/>
        <v>-0.40991003456258013</v>
      </c>
      <c r="H49" s="141">
        <f ca="1"/>
        <v>0.59461000541069997</v>
      </c>
      <c r="J49" s="486">
        <f ca="1">AVERAGE(D49:H88)</f>
        <v>9.2097931892436341E-2</v>
      </c>
      <c r="K49" s="417">
        <f ca="1">_xlfn.STDEV.S(D49:H88)</f>
        <v>0.96390177576967329</v>
      </c>
      <c r="M49" s="140">
        <f t="array" aca="1" ref="M49:Q88" ca="1">_xll.d.Stats_NormalRandomNumbers()</f>
        <v>-0.61729785052205788</v>
      </c>
      <c r="N49" s="398">
        <f ca="1"/>
        <v>5.4321654021511227E-2</v>
      </c>
      <c r="O49" s="398">
        <f ca="1"/>
        <v>9.1294532480108215E-2</v>
      </c>
      <c r="P49" s="398">
        <f ca="1"/>
        <v>-1.0147440966292958</v>
      </c>
      <c r="Q49" s="141">
        <f ca="1"/>
        <v>-0.15533406791797816</v>
      </c>
      <c r="S49" s="486">
        <f ca="1">AVERAGE(M49:Q88)</f>
        <v>-4.5871470894853616E-3</v>
      </c>
      <c r="T49" s="417">
        <f ca="1">_xlfn.STDEV.S(M49:Q88)</f>
        <v>0.8853854070429622</v>
      </c>
      <c r="V49" s="484" t="s">
        <v>430</v>
      </c>
      <c r="X49" s="140" t="str">
        <f t="array" ref="X49:AB88">_xll.d.Stats_NormalRandomNumbers(V50)</f>
        <v>#∂Excel Error: Invalid seed specified.</v>
      </c>
      <c r="Y49" s="398" t="str">
        <v>#∂Excel Error: Invalid seed specified.</v>
      </c>
      <c r="Z49" s="398" t="str">
        <v>#∂Excel Error: Invalid seed specified.</v>
      </c>
      <c r="AA49" s="398" t="str">
        <v>#∂Excel Error: Invalid seed specified.</v>
      </c>
      <c r="AB49" s="141" t="str">
        <v>#∂Excel Error: Invalid seed specified.</v>
      </c>
      <c r="AD49" s="449" t="s">
        <v>437</v>
      </c>
      <c r="AE49" s="387" t="str" cm="1">
        <f t="array" ref="AE49">_xll.d.TestUtils_Equal(X49,AD49)</f>
        <v>OK</v>
      </c>
    </row>
    <row r="50" spans="2:31" x14ac:dyDescent="0.3">
      <c r="B50" s="492">
        <v>1337</v>
      </c>
      <c r="D50" s="142">
        <f ca="1"/>
        <v>0.15231246463563991</v>
      </c>
      <c r="E50" s="332">
        <f ca="1"/>
        <v>-0.33198021492010854</v>
      </c>
      <c r="F50" s="332">
        <f ca="1"/>
        <v>0.33468800840166441</v>
      </c>
      <c r="G50" s="332">
        <f ca="1"/>
        <v>2.1988514227094039E-2</v>
      </c>
      <c r="H50" s="143">
        <f ca="1"/>
        <v>-1.570800215687598</v>
      </c>
      <c r="J50" s="138" t="s">
        <v>88</v>
      </c>
      <c r="K50" s="138"/>
      <c r="M50" s="142">
        <f ca="1"/>
        <v>-0.3065428996529958</v>
      </c>
      <c r="N50" s="332">
        <f ca="1"/>
        <v>0.34363682454990702</v>
      </c>
      <c r="O50" s="332">
        <f ca="1"/>
        <v>0.63440807276107802</v>
      </c>
      <c r="P50" s="332">
        <f ca="1"/>
        <v>-0.17748645542210909</v>
      </c>
      <c r="Q50" s="143">
        <f ca="1"/>
        <v>1.0864537782378108</v>
      </c>
      <c r="S50" s="138" t="s">
        <v>88</v>
      </c>
      <c r="T50" s="138"/>
      <c r="V50" s="485" t="s">
        <v>436</v>
      </c>
      <c r="X50" s="142" t="str">
        <v>#∂Excel Error: Invalid seed specified.</v>
      </c>
      <c r="Y50" s="332" t="str">
        <v>#∂Excel Error: Invalid seed specified.</v>
      </c>
      <c r="Z50" s="332" t="str">
        <v>#∂Excel Error: Invalid seed specified.</v>
      </c>
      <c r="AA50" s="332" t="str">
        <v>#∂Excel Error: Invalid seed specified.</v>
      </c>
      <c r="AB50" s="143" t="str">
        <v>#∂Excel Error: Invalid seed specified.</v>
      </c>
    </row>
    <row r="51" spans="2:31" x14ac:dyDescent="0.3">
      <c r="D51" s="142">
        <f ca="1"/>
        <v>-0.9998813019474484</v>
      </c>
      <c r="E51" s="332">
        <f ca="1"/>
        <v>-0.88600131746401845</v>
      </c>
      <c r="F51" s="332">
        <f ca="1"/>
        <v>0.50499676151927686</v>
      </c>
      <c r="G51" s="332">
        <f ca="1"/>
        <v>0.59135175634258896</v>
      </c>
      <c r="H51" s="143">
        <f ca="1"/>
        <v>0.81695537082956271</v>
      </c>
      <c r="J51" s="387" t="str" cm="1">
        <f t="array" aca="1" ref="J51" ca="1">_xll.d.TestUtils_Equal(ABS(J49-0)&lt;0.1,TRUE)</f>
        <v>OK</v>
      </c>
      <c r="K51" s="387" t="str" cm="1">
        <f t="array" aca="1" ref="K51" ca="1">_xll.d.TestUtils_Equal(ABS(K49-1)&lt;0.1,TRUE)</f>
        <v>OK</v>
      </c>
      <c r="M51" s="142">
        <f ca="1"/>
        <v>0.51983035763010699</v>
      </c>
      <c r="N51" s="332">
        <f ca="1"/>
        <v>0.87092701861717736</v>
      </c>
      <c r="O51" s="332">
        <f ca="1"/>
        <v>-0.64181318499977336</v>
      </c>
      <c r="P51" s="332">
        <f ca="1"/>
        <v>-0.69800325290657284</v>
      </c>
      <c r="Q51" s="143">
        <f ca="1"/>
        <v>0.62759390455649422</v>
      </c>
      <c r="S51" s="387" t="str" cm="1">
        <f t="array" aca="1" ref="S51" ca="1">_xll.d.TestUtils_Equal(ABS(S49-0)&lt;0.1,TRUE)</f>
        <v>OK</v>
      </c>
      <c r="T51" s="387" t="str" cm="1">
        <f t="array" aca="1" ref="T51" ca="1">_xll.d.TestUtils_Equal(ABS(T49-1)&lt;0.1,TRUE)</f>
        <v>ERROR</v>
      </c>
      <c r="X51" s="142" t="str">
        <v>#∂Excel Error: Invalid seed specified.</v>
      </c>
      <c r="Y51" s="332" t="str">
        <v>#∂Excel Error: Invalid seed specified.</v>
      </c>
      <c r="Z51" s="332" t="str">
        <v>#∂Excel Error: Invalid seed specified.</v>
      </c>
      <c r="AA51" s="332" t="str">
        <v>#∂Excel Error: Invalid seed specified.</v>
      </c>
      <c r="AB51" s="143" t="str">
        <v>#∂Excel Error: Invalid seed specified.</v>
      </c>
    </row>
    <row r="52" spans="2:31" x14ac:dyDescent="0.3">
      <c r="D52" s="142">
        <f ca="1"/>
        <v>-0.79747485963926357</v>
      </c>
      <c r="E52" s="332">
        <f ca="1"/>
        <v>-6.1108551057670997E-2</v>
      </c>
      <c r="F52" s="332">
        <f ca="1"/>
        <v>0.863608628387463</v>
      </c>
      <c r="G52" s="332">
        <f ca="1"/>
        <v>-1.0507271193416956</v>
      </c>
      <c r="H52" s="143">
        <f ca="1"/>
        <v>0.4991414877992304</v>
      </c>
      <c r="M52" s="142">
        <f ca="1"/>
        <v>0.78412926378327108</v>
      </c>
      <c r="N52" s="332">
        <f ca="1"/>
        <v>0.9054166456444579</v>
      </c>
      <c r="O52" s="332">
        <f ca="1"/>
        <v>1.8968657091988075</v>
      </c>
      <c r="P52" s="332">
        <f ca="1"/>
        <v>1.0181450020498117</v>
      </c>
      <c r="Q52" s="143">
        <f ca="1"/>
        <v>0.89227160434663777</v>
      </c>
      <c r="X52" s="142" t="str">
        <v>#∂Excel Error: Invalid seed specified.</v>
      </c>
      <c r="Y52" s="332" t="str">
        <v>#∂Excel Error: Invalid seed specified.</v>
      </c>
      <c r="Z52" s="332" t="str">
        <v>#∂Excel Error: Invalid seed specified.</v>
      </c>
      <c r="AA52" s="332" t="str">
        <v>#∂Excel Error: Invalid seed specified.</v>
      </c>
      <c r="AB52" s="143" t="str">
        <v>#∂Excel Error: Invalid seed specified.</v>
      </c>
    </row>
    <row r="53" spans="2:31" x14ac:dyDescent="0.3">
      <c r="D53" s="142">
        <f ca="1"/>
        <v>-0.5884160994078016</v>
      </c>
      <c r="E53" s="332">
        <f ca="1"/>
        <v>-0.55874715130596764</v>
      </c>
      <c r="F53" s="332">
        <f ca="1"/>
        <v>-2.7587630599172877</v>
      </c>
      <c r="G53" s="332">
        <f ca="1"/>
        <v>-2.2939473468112239</v>
      </c>
      <c r="H53" s="143">
        <f ca="1"/>
        <v>-0.38120894845031827</v>
      </c>
      <c r="M53" s="142">
        <f ca="1"/>
        <v>1.2637699085549354</v>
      </c>
      <c r="N53" s="332">
        <f ca="1"/>
        <v>0.32697715436793157</v>
      </c>
      <c r="O53" s="332">
        <f ca="1"/>
        <v>-1.1014437413065643</v>
      </c>
      <c r="P53" s="332">
        <f ca="1"/>
        <v>6.2875618211047438E-2</v>
      </c>
      <c r="Q53" s="143">
        <f ca="1"/>
        <v>1.0609976690255849</v>
      </c>
      <c r="X53" s="142" t="str">
        <v>#∂Excel Error: Invalid seed specified.</v>
      </c>
      <c r="Y53" s="332" t="str">
        <v>#∂Excel Error: Invalid seed specified.</v>
      </c>
      <c r="Z53" s="332" t="str">
        <v>#∂Excel Error: Invalid seed specified.</v>
      </c>
      <c r="AA53" s="332" t="str">
        <v>#∂Excel Error: Invalid seed specified.</v>
      </c>
      <c r="AB53" s="143" t="str">
        <v>#∂Excel Error: Invalid seed specified.</v>
      </c>
    </row>
    <row r="54" spans="2:31" x14ac:dyDescent="0.3">
      <c r="D54" s="142">
        <f ca="1"/>
        <v>0.10819798524690837</v>
      </c>
      <c r="E54" s="332">
        <f ca="1"/>
        <v>1.0965073943909254</v>
      </c>
      <c r="F54" s="332">
        <f ca="1"/>
        <v>0.46240265761130123</v>
      </c>
      <c r="G54" s="332">
        <f ca="1"/>
        <v>0.48984251587331651</v>
      </c>
      <c r="H54" s="143">
        <f ca="1"/>
        <v>-2.25076658419695</v>
      </c>
      <c r="M54" s="142">
        <f ca="1"/>
        <v>8.0563396138524521E-2</v>
      </c>
      <c r="N54" s="332">
        <f ca="1"/>
        <v>0.24778812105056591</v>
      </c>
      <c r="O54" s="332">
        <f ca="1"/>
        <v>0.86366973521730905</v>
      </c>
      <c r="P54" s="332">
        <f ca="1"/>
        <v>1.9038693818680601</v>
      </c>
      <c r="Q54" s="143">
        <f ca="1"/>
        <v>1.5914058217297451</v>
      </c>
      <c r="X54" s="142" t="str">
        <v>#∂Excel Error: Invalid seed specified.</v>
      </c>
      <c r="Y54" s="332" t="str">
        <v>#∂Excel Error: Invalid seed specified.</v>
      </c>
      <c r="Z54" s="332" t="str">
        <v>#∂Excel Error: Invalid seed specified.</v>
      </c>
      <c r="AA54" s="332" t="str">
        <v>#∂Excel Error: Invalid seed specified.</v>
      </c>
      <c r="AB54" s="143" t="str">
        <v>#∂Excel Error: Invalid seed specified.</v>
      </c>
    </row>
    <row r="55" spans="2:31" x14ac:dyDescent="0.3">
      <c r="D55" s="142">
        <f ca="1"/>
        <v>-0.10215483425175563</v>
      </c>
      <c r="E55" s="332">
        <f ca="1"/>
        <v>0.44051757578957157</v>
      </c>
      <c r="F55" s="332">
        <f ca="1"/>
        <v>-0.33389589259671326</v>
      </c>
      <c r="G55" s="332">
        <f ca="1"/>
        <v>0.70615194140562998</v>
      </c>
      <c r="H55" s="143">
        <f ca="1"/>
        <v>1.3386245087251876</v>
      </c>
      <c r="M55" s="142">
        <f ca="1"/>
        <v>0.28219968574948906</v>
      </c>
      <c r="N55" s="332">
        <f ca="1"/>
        <v>0.67283799629923657</v>
      </c>
      <c r="O55" s="332">
        <f ca="1"/>
        <v>-0.89740653869834808</v>
      </c>
      <c r="P55" s="332">
        <f ca="1"/>
        <v>0.89692847033929446</v>
      </c>
      <c r="Q55" s="143">
        <f ca="1"/>
        <v>-0.70586525675648382</v>
      </c>
      <c r="X55" s="142" t="str">
        <v>#∂Excel Error: Invalid seed specified.</v>
      </c>
      <c r="Y55" s="332" t="str">
        <v>#∂Excel Error: Invalid seed specified.</v>
      </c>
      <c r="Z55" s="332" t="str">
        <v>#∂Excel Error: Invalid seed specified.</v>
      </c>
      <c r="AA55" s="332" t="str">
        <v>#∂Excel Error: Invalid seed specified.</v>
      </c>
      <c r="AB55" s="143" t="str">
        <v>#∂Excel Error: Invalid seed specified.</v>
      </c>
    </row>
    <row r="56" spans="2:31" x14ac:dyDescent="0.3">
      <c r="D56" s="142">
        <f ca="1"/>
        <v>-1.8253861328037648</v>
      </c>
      <c r="E56" s="332">
        <f ca="1"/>
        <v>-0.24037216180075424</v>
      </c>
      <c r="F56" s="332">
        <f ca="1"/>
        <v>1.028058069270616</v>
      </c>
      <c r="G56" s="332">
        <f ca="1"/>
        <v>1.2259167836294167</v>
      </c>
      <c r="H56" s="143">
        <f ca="1"/>
        <v>-0.33280389867021648</v>
      </c>
      <c r="M56" s="142">
        <f ca="1"/>
        <v>0.74770655748788728</v>
      </c>
      <c r="N56" s="332">
        <f ca="1"/>
        <v>0.23819819606855061</v>
      </c>
      <c r="O56" s="332">
        <f ca="1"/>
        <v>-0.27704469242475005</v>
      </c>
      <c r="P56" s="332">
        <f ca="1"/>
        <v>0.41511667831622667</v>
      </c>
      <c r="Q56" s="143">
        <f ca="1"/>
        <v>-0.23721953585088162</v>
      </c>
      <c r="X56" s="142" t="str">
        <v>#∂Excel Error: Invalid seed specified.</v>
      </c>
      <c r="Y56" s="332" t="str">
        <v>#∂Excel Error: Invalid seed specified.</v>
      </c>
      <c r="Z56" s="332" t="str">
        <v>#∂Excel Error: Invalid seed specified.</v>
      </c>
      <c r="AA56" s="332" t="str">
        <v>#∂Excel Error: Invalid seed specified.</v>
      </c>
      <c r="AB56" s="143" t="str">
        <v>#∂Excel Error: Invalid seed specified.</v>
      </c>
    </row>
    <row r="57" spans="2:31" x14ac:dyDescent="0.3">
      <c r="D57" s="142">
        <f ca="1"/>
        <v>-0.46490277119672319</v>
      </c>
      <c r="E57" s="332">
        <f ca="1"/>
        <v>-8.8166823894022877E-4</v>
      </c>
      <c r="F57" s="332">
        <f ca="1"/>
        <v>-1.5659571515789519</v>
      </c>
      <c r="G57" s="332">
        <f ca="1"/>
        <v>0.44378998344608472</v>
      </c>
      <c r="H57" s="143">
        <f ca="1"/>
        <v>0.56184004420843314</v>
      </c>
      <c r="M57" s="142">
        <f ca="1"/>
        <v>-0.79155566573843084</v>
      </c>
      <c r="N57" s="332">
        <f ca="1"/>
        <v>-0.63104980615602602</v>
      </c>
      <c r="O57" s="332">
        <f ca="1"/>
        <v>-0.17488864189626105</v>
      </c>
      <c r="P57" s="332">
        <f ca="1"/>
        <v>-0.28567414949649589</v>
      </c>
      <c r="Q57" s="143">
        <f ca="1"/>
        <v>-1.0024071056025321</v>
      </c>
      <c r="X57" s="142" t="str">
        <v>#∂Excel Error: Invalid seed specified.</v>
      </c>
      <c r="Y57" s="332" t="str">
        <v>#∂Excel Error: Invalid seed specified.</v>
      </c>
      <c r="Z57" s="332" t="str">
        <v>#∂Excel Error: Invalid seed specified.</v>
      </c>
      <c r="AA57" s="332" t="str">
        <v>#∂Excel Error: Invalid seed specified.</v>
      </c>
      <c r="AB57" s="143" t="str">
        <v>#∂Excel Error: Invalid seed specified.</v>
      </c>
    </row>
    <row r="58" spans="2:31" x14ac:dyDescent="0.3">
      <c r="D58" s="142">
        <f ca="1"/>
        <v>-0.72121450340504112</v>
      </c>
      <c r="E58" s="332">
        <f ca="1"/>
        <v>-0.14969739262215401</v>
      </c>
      <c r="F58" s="332">
        <f ca="1"/>
        <v>0.70609350471998489</v>
      </c>
      <c r="G58" s="332">
        <f ca="1"/>
        <v>9.6224928363146583E-2</v>
      </c>
      <c r="H58" s="143">
        <f ca="1"/>
        <v>0.2296039222600787</v>
      </c>
      <c r="M58" s="142">
        <f ca="1"/>
        <v>0.17354714438441032</v>
      </c>
      <c r="N58" s="332">
        <f ca="1"/>
        <v>0.51730489188602446</v>
      </c>
      <c r="O58" s="332">
        <f ca="1"/>
        <v>0.38233712749697929</v>
      </c>
      <c r="P58" s="332">
        <f ca="1"/>
        <v>0.12629269121415443</v>
      </c>
      <c r="Q58" s="143">
        <f ca="1"/>
        <v>-0.20799466877927611</v>
      </c>
      <c r="X58" s="142" t="str">
        <v>#∂Excel Error: Invalid seed specified.</v>
      </c>
      <c r="Y58" s="332" t="str">
        <v>#∂Excel Error: Invalid seed specified.</v>
      </c>
      <c r="Z58" s="332" t="str">
        <v>#∂Excel Error: Invalid seed specified.</v>
      </c>
      <c r="AA58" s="332" t="str">
        <v>#∂Excel Error: Invalid seed specified.</v>
      </c>
      <c r="AB58" s="143" t="str">
        <v>#∂Excel Error: Invalid seed specified.</v>
      </c>
    </row>
    <row r="59" spans="2:31" x14ac:dyDescent="0.3">
      <c r="D59" s="142">
        <f ca="1"/>
        <v>4.6120309846438508E-2</v>
      </c>
      <c r="E59" s="332">
        <f ca="1"/>
        <v>-0.92083350795883689</v>
      </c>
      <c r="F59" s="332">
        <f ca="1"/>
        <v>0.80411972151375544</v>
      </c>
      <c r="G59" s="332">
        <f ca="1"/>
        <v>-0.8762556877814629</v>
      </c>
      <c r="H59" s="143">
        <f ca="1"/>
        <v>1.2660233063563722</v>
      </c>
      <c r="M59" s="142">
        <f ca="1"/>
        <v>-0.81846000273983088</v>
      </c>
      <c r="N59" s="332">
        <f ca="1"/>
        <v>-1.4063418049480616</v>
      </c>
      <c r="O59" s="332">
        <f ca="1"/>
        <v>-0.32877746997784818</v>
      </c>
      <c r="P59" s="332">
        <f ca="1"/>
        <v>1.3250181922562019</v>
      </c>
      <c r="Q59" s="143">
        <f ca="1"/>
        <v>0.46572558379781143</v>
      </c>
      <c r="X59" s="142" t="str">
        <v>#∂Excel Error: Invalid seed specified.</v>
      </c>
      <c r="Y59" s="332" t="str">
        <v>#∂Excel Error: Invalid seed specified.</v>
      </c>
      <c r="Z59" s="332" t="str">
        <v>#∂Excel Error: Invalid seed specified.</v>
      </c>
      <c r="AA59" s="332" t="str">
        <v>#∂Excel Error: Invalid seed specified.</v>
      </c>
      <c r="AB59" s="143" t="str">
        <v>#∂Excel Error: Invalid seed specified.</v>
      </c>
    </row>
    <row r="60" spans="2:31" x14ac:dyDescent="0.3">
      <c r="D60" s="142">
        <f ca="1"/>
        <v>0.23298387080043784</v>
      </c>
      <c r="E60" s="332">
        <f ca="1"/>
        <v>-1.0764899712107359</v>
      </c>
      <c r="F60" s="332">
        <f ca="1"/>
        <v>1.7547755576057253</v>
      </c>
      <c r="G60" s="332">
        <f ca="1"/>
        <v>0.72810708935373014</v>
      </c>
      <c r="H60" s="143">
        <f ca="1"/>
        <v>-4.9122462980273743E-2</v>
      </c>
      <c r="M60" s="142">
        <f ca="1"/>
        <v>-1.3532346097350461</v>
      </c>
      <c r="N60" s="332">
        <f ca="1"/>
        <v>0.15254207823020227</v>
      </c>
      <c r="O60" s="332">
        <f ca="1"/>
        <v>0.39810251674042274</v>
      </c>
      <c r="P60" s="332">
        <f ca="1"/>
        <v>-0.23060290480620538</v>
      </c>
      <c r="Q60" s="143">
        <f ca="1"/>
        <v>0.53431173351880679</v>
      </c>
      <c r="X60" s="142" t="str">
        <v>#∂Excel Error: Invalid seed specified.</v>
      </c>
      <c r="Y60" s="332" t="str">
        <v>#∂Excel Error: Invalid seed specified.</v>
      </c>
      <c r="Z60" s="332" t="str">
        <v>#∂Excel Error: Invalid seed specified.</v>
      </c>
      <c r="AA60" s="332" t="str">
        <v>#∂Excel Error: Invalid seed specified.</v>
      </c>
      <c r="AB60" s="143" t="str">
        <v>#∂Excel Error: Invalid seed specified.</v>
      </c>
    </row>
    <row r="61" spans="2:31" x14ac:dyDescent="0.3">
      <c r="D61" s="142">
        <f ca="1"/>
        <v>-0.63736695093064755</v>
      </c>
      <c r="E61" s="332">
        <f ca="1"/>
        <v>-0.21947173866600425</v>
      </c>
      <c r="F61" s="332">
        <f ca="1"/>
        <v>-0.3859436116857301</v>
      </c>
      <c r="G61" s="332">
        <f ca="1"/>
        <v>0.43017177828252023</v>
      </c>
      <c r="H61" s="143">
        <f ca="1"/>
        <v>-0.20136053851420513</v>
      </c>
      <c r="M61" s="142">
        <f ca="1"/>
        <v>-1.554031888773727</v>
      </c>
      <c r="N61" s="332">
        <f ca="1"/>
        <v>-1.0474144460287238</v>
      </c>
      <c r="O61" s="332">
        <f ca="1"/>
        <v>-0.76021591154571166</v>
      </c>
      <c r="P61" s="332">
        <f ca="1"/>
        <v>0.17729253256908303</v>
      </c>
      <c r="Q61" s="143">
        <f ca="1"/>
        <v>1.2716529296901979</v>
      </c>
      <c r="X61" s="142" t="str">
        <v>#∂Excel Error: Invalid seed specified.</v>
      </c>
      <c r="Y61" s="332" t="str">
        <v>#∂Excel Error: Invalid seed specified.</v>
      </c>
      <c r="Z61" s="332" t="str">
        <v>#∂Excel Error: Invalid seed specified.</v>
      </c>
      <c r="AA61" s="332" t="str">
        <v>#∂Excel Error: Invalid seed specified.</v>
      </c>
      <c r="AB61" s="143" t="str">
        <v>#∂Excel Error: Invalid seed specified.</v>
      </c>
    </row>
    <row r="62" spans="2:31" x14ac:dyDescent="0.3">
      <c r="D62" s="142">
        <f ca="1"/>
        <v>-0.42607435867377447</v>
      </c>
      <c r="E62" s="332">
        <f ca="1"/>
        <v>0.91605467339775526</v>
      </c>
      <c r="F62" s="332">
        <f ca="1"/>
        <v>-1.6169891726572032</v>
      </c>
      <c r="G62" s="332">
        <f ca="1"/>
        <v>-9.9853780857881491E-2</v>
      </c>
      <c r="H62" s="143">
        <f ca="1"/>
        <v>-0.83075713527444417</v>
      </c>
      <c r="M62" s="142">
        <f ca="1"/>
        <v>-7.0841548109583333E-2</v>
      </c>
      <c r="N62" s="332">
        <f ca="1"/>
        <v>-1.029314157418155</v>
      </c>
      <c r="O62" s="332">
        <f ca="1"/>
        <v>-0.23564362100273395</v>
      </c>
      <c r="P62" s="332">
        <f ca="1"/>
        <v>-2.082696893390048</v>
      </c>
      <c r="Q62" s="143">
        <f ca="1"/>
        <v>7.0679204012947111E-2</v>
      </c>
      <c r="X62" s="142" t="str">
        <v>#∂Excel Error: Invalid seed specified.</v>
      </c>
      <c r="Y62" s="332" t="str">
        <v>#∂Excel Error: Invalid seed specified.</v>
      </c>
      <c r="Z62" s="332" t="str">
        <v>#∂Excel Error: Invalid seed specified.</v>
      </c>
      <c r="AA62" s="332" t="str">
        <v>#∂Excel Error: Invalid seed specified.</v>
      </c>
      <c r="AB62" s="143" t="str">
        <v>#∂Excel Error: Invalid seed specified.</v>
      </c>
    </row>
    <row r="63" spans="2:31" x14ac:dyDescent="0.3">
      <c r="D63" s="142">
        <f ca="1"/>
        <v>1.9788808392213517</v>
      </c>
      <c r="E63" s="332">
        <f ca="1"/>
        <v>-0.8444992802006771</v>
      </c>
      <c r="F63" s="332">
        <f ca="1"/>
        <v>0.53167290579956916</v>
      </c>
      <c r="G63" s="332">
        <f ca="1"/>
        <v>1.3476990609315769</v>
      </c>
      <c r="H63" s="143">
        <f ca="1"/>
        <v>-8.1515249102279419E-2</v>
      </c>
      <c r="M63" s="142">
        <f ca="1"/>
        <v>2.5667651319326867</v>
      </c>
      <c r="N63" s="332">
        <f ca="1"/>
        <v>1.1217924922921445</v>
      </c>
      <c r="O63" s="332">
        <f ca="1"/>
        <v>-0.35626554038082131</v>
      </c>
      <c r="P63" s="332">
        <f ca="1"/>
        <v>0.19889540984757495</v>
      </c>
      <c r="Q63" s="143">
        <f ca="1"/>
        <v>0.44601076136556234</v>
      </c>
      <c r="X63" s="142" t="str">
        <v>#∂Excel Error: Invalid seed specified.</v>
      </c>
      <c r="Y63" s="332" t="str">
        <v>#∂Excel Error: Invalid seed specified.</v>
      </c>
      <c r="Z63" s="332" t="str">
        <v>#∂Excel Error: Invalid seed specified.</v>
      </c>
      <c r="AA63" s="332" t="str">
        <v>#∂Excel Error: Invalid seed specified.</v>
      </c>
      <c r="AB63" s="143" t="str">
        <v>#∂Excel Error: Invalid seed specified.</v>
      </c>
    </row>
    <row r="64" spans="2:31" x14ac:dyDescent="0.3">
      <c r="D64" s="142">
        <f ca="1"/>
        <v>-0.61135617247427165</v>
      </c>
      <c r="E64" s="332">
        <f ca="1"/>
        <v>1.2682963768981825</v>
      </c>
      <c r="F64" s="332">
        <f ca="1"/>
        <v>6.5443228707294687E-2</v>
      </c>
      <c r="G64" s="332">
        <f ca="1"/>
        <v>0.43254942321321643</v>
      </c>
      <c r="H64" s="143">
        <f ca="1"/>
        <v>0.42060061179352987</v>
      </c>
      <c r="M64" s="142">
        <f ca="1"/>
        <v>-0.75464763652508182</v>
      </c>
      <c r="N64" s="332">
        <f ca="1"/>
        <v>0.63209511398170426</v>
      </c>
      <c r="O64" s="332">
        <f ca="1"/>
        <v>-2.0645497013867904</v>
      </c>
      <c r="P64" s="332">
        <f ca="1"/>
        <v>-0.71057228773624836</v>
      </c>
      <c r="Q64" s="143">
        <f ca="1"/>
        <v>-0.9311821009185357</v>
      </c>
      <c r="X64" s="142" t="str">
        <v>#∂Excel Error: Invalid seed specified.</v>
      </c>
      <c r="Y64" s="332" t="str">
        <v>#∂Excel Error: Invalid seed specified.</v>
      </c>
      <c r="Z64" s="332" t="str">
        <v>#∂Excel Error: Invalid seed specified.</v>
      </c>
      <c r="AA64" s="332" t="str">
        <v>#∂Excel Error: Invalid seed specified.</v>
      </c>
      <c r="AB64" s="143" t="str">
        <v>#∂Excel Error: Invalid seed specified.</v>
      </c>
    </row>
    <row r="65" spans="4:28" x14ac:dyDescent="0.3">
      <c r="D65" s="142">
        <f ca="1"/>
        <v>0.62134768002507634</v>
      </c>
      <c r="E65" s="332">
        <f ca="1"/>
        <v>7.9542410013188777E-2</v>
      </c>
      <c r="F65" s="332">
        <f ca="1"/>
        <v>-2.1987215358931604E-2</v>
      </c>
      <c r="G65" s="332">
        <f ca="1"/>
        <v>-0.98579270828865395</v>
      </c>
      <c r="H65" s="143">
        <f ca="1"/>
        <v>1.3042580425018544</v>
      </c>
      <c r="M65" s="142">
        <f ca="1"/>
        <v>-0.49269463092040305</v>
      </c>
      <c r="N65" s="332">
        <f ca="1"/>
        <v>-1.3710876459748893</v>
      </c>
      <c r="O65" s="332">
        <f ca="1"/>
        <v>-0.87719344344755401</v>
      </c>
      <c r="P65" s="332">
        <f ca="1"/>
        <v>-0.21655054699486775</v>
      </c>
      <c r="Q65" s="143">
        <f ca="1"/>
        <v>-0.28842702805747539</v>
      </c>
      <c r="X65" s="142" t="str">
        <v>#∂Excel Error: Invalid seed specified.</v>
      </c>
      <c r="Y65" s="332" t="str">
        <v>#∂Excel Error: Invalid seed specified.</v>
      </c>
      <c r="Z65" s="332" t="str">
        <v>#∂Excel Error: Invalid seed specified.</v>
      </c>
      <c r="AA65" s="332" t="str">
        <v>#∂Excel Error: Invalid seed specified.</v>
      </c>
      <c r="AB65" s="143" t="str">
        <v>#∂Excel Error: Invalid seed specified.</v>
      </c>
    </row>
    <row r="66" spans="4:28" x14ac:dyDescent="0.3">
      <c r="D66" s="142">
        <f ca="1"/>
        <v>-0.50308335820540317</v>
      </c>
      <c r="E66" s="332">
        <f ca="1"/>
        <v>1.4640300463756799</v>
      </c>
      <c r="F66" s="332">
        <f ca="1"/>
        <v>0.46256721575986759</v>
      </c>
      <c r="G66" s="332">
        <f ca="1"/>
        <v>0.13757711286725449</v>
      </c>
      <c r="H66" s="143">
        <f ca="1"/>
        <v>1.903663328597879</v>
      </c>
      <c r="M66" s="142">
        <f ca="1"/>
        <v>0.45933835914352578</v>
      </c>
      <c r="N66" s="332">
        <f ca="1"/>
        <v>0.39676644646342918</v>
      </c>
      <c r="O66" s="332">
        <f ca="1"/>
        <v>0.82867539602180751</v>
      </c>
      <c r="P66" s="332">
        <f ca="1"/>
        <v>0.43459275963356231</v>
      </c>
      <c r="Q66" s="143">
        <f ca="1"/>
        <v>0.16842202350455987</v>
      </c>
      <c r="X66" s="142" t="str">
        <v>#∂Excel Error: Invalid seed specified.</v>
      </c>
      <c r="Y66" s="332" t="str">
        <v>#∂Excel Error: Invalid seed specified.</v>
      </c>
      <c r="Z66" s="332" t="str">
        <v>#∂Excel Error: Invalid seed specified.</v>
      </c>
      <c r="AA66" s="332" t="str">
        <v>#∂Excel Error: Invalid seed specified.</v>
      </c>
      <c r="AB66" s="143" t="str">
        <v>#∂Excel Error: Invalid seed specified.</v>
      </c>
    </row>
    <row r="67" spans="4:28" x14ac:dyDescent="0.3">
      <c r="D67" s="142">
        <f ca="1"/>
        <v>-1.198947290104817</v>
      </c>
      <c r="E67" s="332">
        <f ca="1"/>
        <v>0.96357590104857871</v>
      </c>
      <c r="F67" s="332">
        <f ca="1"/>
        <v>1.9247923185797389</v>
      </c>
      <c r="G67" s="332">
        <f ca="1"/>
        <v>1.3443248184039669</v>
      </c>
      <c r="H67" s="143">
        <f ca="1"/>
        <v>0.34126673979749322</v>
      </c>
      <c r="M67" s="142">
        <f ca="1"/>
        <v>0.46731288124863135</v>
      </c>
      <c r="N67" s="332">
        <f ca="1"/>
        <v>1.0391601923219416</v>
      </c>
      <c r="O67" s="332">
        <f ca="1"/>
        <v>-1.3582075105556286</v>
      </c>
      <c r="P67" s="332">
        <f ca="1"/>
        <v>-2.0586352850055207</v>
      </c>
      <c r="Q67" s="143">
        <f ca="1"/>
        <v>-0.38283288475671073</v>
      </c>
      <c r="X67" s="142" t="str">
        <v>#∂Excel Error: Invalid seed specified.</v>
      </c>
      <c r="Y67" s="332" t="str">
        <v>#∂Excel Error: Invalid seed specified.</v>
      </c>
      <c r="Z67" s="332" t="str">
        <v>#∂Excel Error: Invalid seed specified.</v>
      </c>
      <c r="AA67" s="332" t="str">
        <v>#∂Excel Error: Invalid seed specified.</v>
      </c>
      <c r="AB67" s="143" t="str">
        <v>#∂Excel Error: Invalid seed specified.</v>
      </c>
    </row>
    <row r="68" spans="4:28" x14ac:dyDescent="0.3">
      <c r="D68" s="142">
        <f ca="1"/>
        <v>0.85011456561901899</v>
      </c>
      <c r="E68" s="332">
        <f ca="1"/>
        <v>0.30429192596407545</v>
      </c>
      <c r="F68" s="332">
        <f ca="1"/>
        <v>0.67152742633508133</v>
      </c>
      <c r="G68" s="332">
        <f ca="1"/>
        <v>0.80782203516718254</v>
      </c>
      <c r="H68" s="143">
        <f ca="1"/>
        <v>-8.2646524328612386E-2</v>
      </c>
      <c r="M68" s="142">
        <f ca="1"/>
        <v>0.86892415630649844</v>
      </c>
      <c r="N68" s="332">
        <f ca="1"/>
        <v>0.26948655329035087</v>
      </c>
      <c r="O68" s="332">
        <f ca="1"/>
        <v>0.41432336023827493</v>
      </c>
      <c r="P68" s="332">
        <f ca="1"/>
        <v>0.91673123845183613</v>
      </c>
      <c r="Q68" s="143">
        <f ca="1"/>
        <v>-1.4393521008047814</v>
      </c>
      <c r="X68" s="142" t="str">
        <v>#∂Excel Error: Invalid seed specified.</v>
      </c>
      <c r="Y68" s="332" t="str">
        <v>#∂Excel Error: Invalid seed specified.</v>
      </c>
      <c r="Z68" s="332" t="str">
        <v>#∂Excel Error: Invalid seed specified.</v>
      </c>
      <c r="AA68" s="332" t="str">
        <v>#∂Excel Error: Invalid seed specified.</v>
      </c>
      <c r="AB68" s="143" t="str">
        <v>#∂Excel Error: Invalid seed specified.</v>
      </c>
    </row>
    <row r="69" spans="4:28" x14ac:dyDescent="0.3">
      <c r="D69" s="142">
        <f ca="1"/>
        <v>-0.28904080804777654</v>
      </c>
      <c r="E69" s="332">
        <f ca="1"/>
        <v>-0.89553364635263466</v>
      </c>
      <c r="F69" s="332">
        <f ca="1"/>
        <v>0.9780203880833418</v>
      </c>
      <c r="G69" s="332">
        <f ca="1"/>
        <v>-0.45554694662875511</v>
      </c>
      <c r="H69" s="143">
        <f ca="1"/>
        <v>8.2384361896065766E-2</v>
      </c>
      <c r="M69" s="142">
        <f ca="1"/>
        <v>-0.5123850190406527</v>
      </c>
      <c r="N69" s="332">
        <f ca="1"/>
        <v>-1.084620878695622</v>
      </c>
      <c r="O69" s="332">
        <f ca="1"/>
        <v>-0.31588035868042291</v>
      </c>
      <c r="P69" s="332">
        <f ca="1"/>
        <v>0.97465414249728854</v>
      </c>
      <c r="Q69" s="143">
        <f ca="1"/>
        <v>-1.3326846223979005</v>
      </c>
      <c r="X69" s="142" t="str">
        <v>#∂Excel Error: Invalid seed specified.</v>
      </c>
      <c r="Y69" s="332" t="str">
        <v>#∂Excel Error: Invalid seed specified.</v>
      </c>
      <c r="Z69" s="332" t="str">
        <v>#∂Excel Error: Invalid seed specified.</v>
      </c>
      <c r="AA69" s="332" t="str">
        <v>#∂Excel Error: Invalid seed specified.</v>
      </c>
      <c r="AB69" s="143" t="str">
        <v>#∂Excel Error: Invalid seed specified.</v>
      </c>
    </row>
    <row r="70" spans="4:28" x14ac:dyDescent="0.3">
      <c r="D70" s="142">
        <f ca="1"/>
        <v>-1.3097052116291188</v>
      </c>
      <c r="E70" s="332">
        <f ca="1"/>
        <v>1.7215300670511962</v>
      </c>
      <c r="F70" s="332">
        <f ca="1"/>
        <v>9.7776697591451453E-2</v>
      </c>
      <c r="G70" s="332">
        <f ca="1"/>
        <v>1.1490936456210052</v>
      </c>
      <c r="H70" s="143">
        <f ca="1"/>
        <v>-2.069075586550726</v>
      </c>
      <c r="M70" s="142">
        <f ca="1"/>
        <v>1.2537656753780686</v>
      </c>
      <c r="N70" s="332">
        <f ca="1"/>
        <v>-1.6120845934804742</v>
      </c>
      <c r="O70" s="332">
        <f ca="1"/>
        <v>0.884081214851552</v>
      </c>
      <c r="P70" s="332">
        <f ca="1"/>
        <v>-0.50876267992064383</v>
      </c>
      <c r="Q70" s="143">
        <f ca="1"/>
        <v>-0.36829419694929155</v>
      </c>
      <c r="X70" s="142" t="str">
        <v>#∂Excel Error: Invalid seed specified.</v>
      </c>
      <c r="Y70" s="332" t="str">
        <v>#∂Excel Error: Invalid seed specified.</v>
      </c>
      <c r="Z70" s="332" t="str">
        <v>#∂Excel Error: Invalid seed specified.</v>
      </c>
      <c r="AA70" s="332" t="str">
        <v>#∂Excel Error: Invalid seed specified.</v>
      </c>
      <c r="AB70" s="143" t="str">
        <v>#∂Excel Error: Invalid seed specified.</v>
      </c>
    </row>
    <row r="71" spans="4:28" x14ac:dyDescent="0.3">
      <c r="D71" s="142">
        <f ca="1"/>
        <v>0.32788629545256831</v>
      </c>
      <c r="E71" s="332">
        <f ca="1"/>
        <v>1.720830635000675</v>
      </c>
      <c r="F71" s="332">
        <f ca="1"/>
        <v>0.27993766822148569</v>
      </c>
      <c r="G71" s="332">
        <f ca="1"/>
        <v>0.52525898259965065</v>
      </c>
      <c r="H71" s="143">
        <f ca="1"/>
        <v>-0.71433261283908289</v>
      </c>
      <c r="M71" s="142">
        <f ca="1"/>
        <v>-0.63121601792976656</v>
      </c>
      <c r="N71" s="332">
        <f ca="1"/>
        <v>0.81193881314487559</v>
      </c>
      <c r="O71" s="332">
        <f ca="1"/>
        <v>0.74112094746685397</v>
      </c>
      <c r="P71" s="332">
        <f ca="1"/>
        <v>-0.86272512771828425</v>
      </c>
      <c r="Q71" s="143">
        <f ca="1"/>
        <v>0.46040251110383057</v>
      </c>
      <c r="X71" s="142" t="str">
        <v>#∂Excel Error: Invalid seed specified.</v>
      </c>
      <c r="Y71" s="332" t="str">
        <v>#∂Excel Error: Invalid seed specified.</v>
      </c>
      <c r="Z71" s="332" t="str">
        <v>#∂Excel Error: Invalid seed specified.</v>
      </c>
      <c r="AA71" s="332" t="str">
        <v>#∂Excel Error: Invalid seed specified.</v>
      </c>
      <c r="AB71" s="143" t="str">
        <v>#∂Excel Error: Invalid seed specified.</v>
      </c>
    </row>
    <row r="72" spans="4:28" x14ac:dyDescent="0.3">
      <c r="D72" s="142">
        <f ca="1"/>
        <v>-0.35007770185857218</v>
      </c>
      <c r="E72" s="332">
        <f ca="1"/>
        <v>1.1800027393927328</v>
      </c>
      <c r="F72" s="332">
        <f ca="1"/>
        <v>-0.62779716766341387</v>
      </c>
      <c r="G72" s="332">
        <f ca="1"/>
        <v>1.0849418236383948</v>
      </c>
      <c r="H72" s="143">
        <f ca="1"/>
        <v>-0.6285170754115107</v>
      </c>
      <c r="M72" s="142">
        <f ca="1"/>
        <v>0.25325453810427395</v>
      </c>
      <c r="N72" s="332">
        <f ca="1"/>
        <v>-0.40613637558521126</v>
      </c>
      <c r="O72" s="332">
        <f ca="1"/>
        <v>-0.2235008195872655</v>
      </c>
      <c r="P72" s="332">
        <f ca="1"/>
        <v>0.56209714666583011</v>
      </c>
      <c r="Q72" s="143">
        <f ca="1"/>
        <v>0.21375695105277454</v>
      </c>
      <c r="X72" s="142" t="str">
        <v>#∂Excel Error: Invalid seed specified.</v>
      </c>
      <c r="Y72" s="332" t="str">
        <v>#∂Excel Error: Invalid seed specified.</v>
      </c>
      <c r="Z72" s="332" t="str">
        <v>#∂Excel Error: Invalid seed specified.</v>
      </c>
      <c r="AA72" s="332" t="str">
        <v>#∂Excel Error: Invalid seed specified.</v>
      </c>
      <c r="AB72" s="143" t="str">
        <v>#∂Excel Error: Invalid seed specified.</v>
      </c>
    </row>
    <row r="73" spans="4:28" x14ac:dyDescent="0.3">
      <c r="D73" s="142">
        <f ca="1"/>
        <v>-1.1500680545803554</v>
      </c>
      <c r="E73" s="332">
        <f ca="1"/>
        <v>-0.18806037521523697</v>
      </c>
      <c r="F73" s="332">
        <f ca="1"/>
        <v>0.16243660080584485</v>
      </c>
      <c r="G73" s="332">
        <f ca="1"/>
        <v>-0.62663170461412543</v>
      </c>
      <c r="H73" s="143">
        <f ca="1"/>
        <v>1.6118611296858081</v>
      </c>
      <c r="M73" s="142">
        <f ca="1"/>
        <v>-1.2563317625680039</v>
      </c>
      <c r="N73" s="332">
        <f ca="1"/>
        <v>-0.31475001293178578</v>
      </c>
      <c r="O73" s="332">
        <f ca="1"/>
        <v>1.6002668598670809E-2</v>
      </c>
      <c r="P73" s="332">
        <f ca="1"/>
        <v>-0.42026541826006492</v>
      </c>
      <c r="Q73" s="143">
        <f ca="1"/>
        <v>-0.36008420383722323</v>
      </c>
      <c r="X73" s="142" t="str">
        <v>#∂Excel Error: Invalid seed specified.</v>
      </c>
      <c r="Y73" s="332" t="str">
        <v>#∂Excel Error: Invalid seed specified.</v>
      </c>
      <c r="Z73" s="332" t="str">
        <v>#∂Excel Error: Invalid seed specified.</v>
      </c>
      <c r="AA73" s="332" t="str">
        <v>#∂Excel Error: Invalid seed specified.</v>
      </c>
      <c r="AB73" s="143" t="str">
        <v>#∂Excel Error: Invalid seed specified.</v>
      </c>
    </row>
    <row r="74" spans="4:28" x14ac:dyDescent="0.3">
      <c r="D74" s="142">
        <f ca="1"/>
        <v>0.64691193539250558</v>
      </c>
      <c r="E74" s="332">
        <f ca="1"/>
        <v>0.89115808668949248</v>
      </c>
      <c r="F74" s="332">
        <f ca="1"/>
        <v>0.9860723619258096</v>
      </c>
      <c r="G74" s="332">
        <f ca="1"/>
        <v>-0.506742454491937</v>
      </c>
      <c r="H74" s="143">
        <f ca="1"/>
        <v>7.2347348245717744E-2</v>
      </c>
      <c r="M74" s="142">
        <f ca="1"/>
        <v>0.20293247659072372</v>
      </c>
      <c r="N74" s="332">
        <f ca="1"/>
        <v>1.6770825215495644</v>
      </c>
      <c r="O74" s="332">
        <f ca="1"/>
        <v>0.60731989424948718</v>
      </c>
      <c r="P74" s="332">
        <f ca="1"/>
        <v>1.3675307692792833</v>
      </c>
      <c r="Q74" s="143">
        <f ca="1"/>
        <v>-0.73338030325145132</v>
      </c>
      <c r="X74" s="142" t="str">
        <v>#∂Excel Error: Invalid seed specified.</v>
      </c>
      <c r="Y74" s="332" t="str">
        <v>#∂Excel Error: Invalid seed specified.</v>
      </c>
      <c r="Z74" s="332" t="str">
        <v>#∂Excel Error: Invalid seed specified.</v>
      </c>
      <c r="AA74" s="332" t="str">
        <v>#∂Excel Error: Invalid seed specified.</v>
      </c>
      <c r="AB74" s="143" t="str">
        <v>#∂Excel Error: Invalid seed specified.</v>
      </c>
    </row>
    <row r="75" spans="4:28" x14ac:dyDescent="0.3">
      <c r="D75" s="142">
        <f ca="1"/>
        <v>2.1332675037689501</v>
      </c>
      <c r="E75" s="332">
        <f ca="1"/>
        <v>1.0044329379325341E-2</v>
      </c>
      <c r="F75" s="332">
        <f ca="1"/>
        <v>2.7930281231195897</v>
      </c>
      <c r="G75" s="332">
        <f ca="1"/>
        <v>4.7540172641717976E-2</v>
      </c>
      <c r="H75" s="143">
        <f ca="1"/>
        <v>0.14952454772362248</v>
      </c>
      <c r="M75" s="142">
        <f ca="1"/>
        <v>-1.3321490754174354</v>
      </c>
      <c r="N75" s="332">
        <f ca="1"/>
        <v>1.1860863243783277</v>
      </c>
      <c r="O75" s="332">
        <f ca="1"/>
        <v>0.97988906790957397</v>
      </c>
      <c r="P75" s="332">
        <f ca="1"/>
        <v>-0.80473315889965391</v>
      </c>
      <c r="Q75" s="143">
        <f ca="1"/>
        <v>0.1406185443963022</v>
      </c>
      <c r="X75" s="142" t="str">
        <v>#∂Excel Error: Invalid seed specified.</v>
      </c>
      <c r="Y75" s="332" t="str">
        <v>#∂Excel Error: Invalid seed specified.</v>
      </c>
      <c r="Z75" s="332" t="str">
        <v>#∂Excel Error: Invalid seed specified.</v>
      </c>
      <c r="AA75" s="332" t="str">
        <v>#∂Excel Error: Invalid seed specified.</v>
      </c>
      <c r="AB75" s="143" t="str">
        <v>#∂Excel Error: Invalid seed specified.</v>
      </c>
    </row>
    <row r="76" spans="4:28" x14ac:dyDescent="0.3">
      <c r="D76" s="142">
        <f ca="1"/>
        <v>-0.99466901445455624</v>
      </c>
      <c r="E76" s="332">
        <f ca="1"/>
        <v>0.50225278398034379</v>
      </c>
      <c r="F76" s="332">
        <f ca="1"/>
        <v>0.62792680297973469</v>
      </c>
      <c r="G76" s="332">
        <f ca="1"/>
        <v>2.0691183604794094</v>
      </c>
      <c r="H76" s="143">
        <f ca="1"/>
        <v>-1.04703872441546</v>
      </c>
      <c r="M76" s="142">
        <f ca="1"/>
        <v>0.88892219344065093</v>
      </c>
      <c r="N76" s="332">
        <f ca="1"/>
        <v>-1.6426420284686274</v>
      </c>
      <c r="O76" s="332">
        <f ca="1"/>
        <v>-1.3460412315565178</v>
      </c>
      <c r="P76" s="332">
        <f ca="1"/>
        <v>0.33474430060135302</v>
      </c>
      <c r="Q76" s="143">
        <f ca="1"/>
        <v>0.46421836435655878</v>
      </c>
      <c r="X76" s="142" t="str">
        <v>#∂Excel Error: Invalid seed specified.</v>
      </c>
      <c r="Y76" s="332" t="str">
        <v>#∂Excel Error: Invalid seed specified.</v>
      </c>
      <c r="Z76" s="332" t="str">
        <v>#∂Excel Error: Invalid seed specified.</v>
      </c>
      <c r="AA76" s="332" t="str">
        <v>#∂Excel Error: Invalid seed specified.</v>
      </c>
      <c r="AB76" s="143" t="str">
        <v>#∂Excel Error: Invalid seed specified.</v>
      </c>
    </row>
    <row r="77" spans="4:28" x14ac:dyDescent="0.3">
      <c r="D77" s="142">
        <f ca="1"/>
        <v>-0.14279798956905393</v>
      </c>
      <c r="E77" s="332">
        <f ca="1"/>
        <v>2.6249780866021383E-2</v>
      </c>
      <c r="F77" s="332">
        <f ca="1"/>
        <v>-0.65969703489988807</v>
      </c>
      <c r="G77" s="332">
        <f ca="1"/>
        <v>-0.925057575262345</v>
      </c>
      <c r="H77" s="143">
        <f ca="1"/>
        <v>0.69780853400880927</v>
      </c>
      <c r="M77" s="142">
        <f ca="1"/>
        <v>-0.3285404976503345</v>
      </c>
      <c r="N77" s="332">
        <f ca="1"/>
        <v>-0.17604019067536242</v>
      </c>
      <c r="O77" s="332">
        <f ca="1"/>
        <v>0.92425928886554842</v>
      </c>
      <c r="P77" s="332">
        <f ca="1"/>
        <v>1.4301524602554427</v>
      </c>
      <c r="Q77" s="143">
        <f ca="1"/>
        <v>-0.66505663925689062</v>
      </c>
      <c r="X77" s="142" t="str">
        <v>#∂Excel Error: Invalid seed specified.</v>
      </c>
      <c r="Y77" s="332" t="str">
        <v>#∂Excel Error: Invalid seed specified.</v>
      </c>
      <c r="Z77" s="332" t="str">
        <v>#∂Excel Error: Invalid seed specified.</v>
      </c>
      <c r="AA77" s="332" t="str">
        <v>#∂Excel Error: Invalid seed specified.</v>
      </c>
      <c r="AB77" s="143" t="str">
        <v>#∂Excel Error: Invalid seed specified.</v>
      </c>
    </row>
    <row r="78" spans="4:28" x14ac:dyDescent="0.3">
      <c r="D78" s="142">
        <f ca="1"/>
        <v>1.092291704880513</v>
      </c>
      <c r="E78" s="332">
        <f ca="1"/>
        <v>0.50433622145908918</v>
      </c>
      <c r="F78" s="332">
        <f ca="1"/>
        <v>1.0826951457065646</v>
      </c>
      <c r="G78" s="332">
        <f ca="1"/>
        <v>0.59345089881883117</v>
      </c>
      <c r="H78" s="143">
        <f ca="1"/>
        <v>1.1610661581658341E-2</v>
      </c>
      <c r="M78" s="142">
        <f ca="1"/>
        <v>0.28136248701747407</v>
      </c>
      <c r="N78" s="332">
        <f ca="1"/>
        <v>0.40207309932654683</v>
      </c>
      <c r="O78" s="332">
        <f ca="1"/>
        <v>1.1234403849264734</v>
      </c>
      <c r="P78" s="332">
        <f ca="1"/>
        <v>-0.14943457292883039</v>
      </c>
      <c r="Q78" s="143">
        <f ca="1"/>
        <v>1.2525240307668744</v>
      </c>
      <c r="X78" s="142" t="str">
        <v>#∂Excel Error: Invalid seed specified.</v>
      </c>
      <c r="Y78" s="332" t="str">
        <v>#∂Excel Error: Invalid seed specified.</v>
      </c>
      <c r="Z78" s="332" t="str">
        <v>#∂Excel Error: Invalid seed specified.</v>
      </c>
      <c r="AA78" s="332" t="str">
        <v>#∂Excel Error: Invalid seed specified.</v>
      </c>
      <c r="AB78" s="143" t="str">
        <v>#∂Excel Error: Invalid seed specified.</v>
      </c>
    </row>
    <row r="79" spans="4:28" x14ac:dyDescent="0.3">
      <c r="D79" s="142">
        <f ca="1"/>
        <v>0.80488972711453355</v>
      </c>
      <c r="E79" s="332">
        <f ca="1"/>
        <v>-2.1496502133888749</v>
      </c>
      <c r="F79" s="332">
        <f ca="1"/>
        <v>-2.1868193390200261</v>
      </c>
      <c r="G79" s="332">
        <f ca="1"/>
        <v>-8.0685653261843113E-2</v>
      </c>
      <c r="H79" s="143">
        <f ca="1"/>
        <v>-0.71874440154847874</v>
      </c>
      <c r="M79" s="142">
        <f ca="1"/>
        <v>-1.2757178564415526</v>
      </c>
      <c r="N79" s="332">
        <f ca="1"/>
        <v>0.16501652481695198</v>
      </c>
      <c r="O79" s="332">
        <f ca="1"/>
        <v>-0.24478191557554602</v>
      </c>
      <c r="P79" s="332">
        <f ca="1"/>
        <v>-0.83472899651012455</v>
      </c>
      <c r="Q79" s="143">
        <f ca="1"/>
        <v>0.55654286236311745</v>
      </c>
      <c r="X79" s="142" t="str">
        <v>#∂Excel Error: Invalid seed specified.</v>
      </c>
      <c r="Y79" s="332" t="str">
        <v>#∂Excel Error: Invalid seed specified.</v>
      </c>
      <c r="Z79" s="332" t="str">
        <v>#∂Excel Error: Invalid seed specified.</v>
      </c>
      <c r="AA79" s="332" t="str">
        <v>#∂Excel Error: Invalid seed specified.</v>
      </c>
      <c r="AB79" s="143" t="str">
        <v>#∂Excel Error: Invalid seed specified.</v>
      </c>
    </row>
    <row r="80" spans="4:28" x14ac:dyDescent="0.3">
      <c r="D80" s="142">
        <f ca="1"/>
        <v>0.80605770412109401</v>
      </c>
      <c r="E80" s="332">
        <f ca="1"/>
        <v>0.98500956747093471</v>
      </c>
      <c r="F80" s="332">
        <f ca="1"/>
        <v>-0.51374156559767825</v>
      </c>
      <c r="G80" s="332">
        <f ca="1"/>
        <v>-0.10210221862083954</v>
      </c>
      <c r="H80" s="143">
        <f ca="1"/>
        <v>-0.52081378098183195</v>
      </c>
      <c r="M80" s="142">
        <f ca="1"/>
        <v>-0.46953186423836363</v>
      </c>
      <c r="N80" s="332">
        <f ca="1"/>
        <v>-0.97824510452064517</v>
      </c>
      <c r="O80" s="332">
        <f ca="1"/>
        <v>-0.67356147692786128</v>
      </c>
      <c r="P80" s="332">
        <f ca="1"/>
        <v>-1.4221784819626033</v>
      </c>
      <c r="Q80" s="143">
        <f ca="1"/>
        <v>0.32015094298729374</v>
      </c>
      <c r="X80" s="142" t="str">
        <v>#∂Excel Error: Invalid seed specified.</v>
      </c>
      <c r="Y80" s="332" t="str">
        <v>#∂Excel Error: Invalid seed specified.</v>
      </c>
      <c r="Z80" s="332" t="str">
        <v>#∂Excel Error: Invalid seed specified.</v>
      </c>
      <c r="AA80" s="332" t="str">
        <v>#∂Excel Error: Invalid seed specified.</v>
      </c>
      <c r="AB80" s="143" t="str">
        <v>#∂Excel Error: Invalid seed specified.</v>
      </c>
    </row>
    <row r="81" spans="4:28" x14ac:dyDescent="0.3">
      <c r="D81" s="142">
        <f ca="1"/>
        <v>0.82079536005409337</v>
      </c>
      <c r="E81" s="332">
        <f ca="1"/>
        <v>0.61793246371250865</v>
      </c>
      <c r="F81" s="332">
        <f ca="1"/>
        <v>-1.3466588678274796</v>
      </c>
      <c r="G81" s="332">
        <f ca="1"/>
        <v>-0.12827791600451344</v>
      </c>
      <c r="H81" s="143">
        <f ca="1"/>
        <v>-0.17698844504820233</v>
      </c>
      <c r="M81" s="142">
        <f ca="1"/>
        <v>-0.86149526526875897</v>
      </c>
      <c r="N81" s="332">
        <f ca="1"/>
        <v>-0.60130783256804654</v>
      </c>
      <c r="O81" s="332">
        <f ca="1"/>
        <v>-0.7592372010806725</v>
      </c>
      <c r="P81" s="332">
        <f ca="1"/>
        <v>1.1925423459716029</v>
      </c>
      <c r="Q81" s="143">
        <f ca="1"/>
        <v>0.40200127522466045</v>
      </c>
      <c r="X81" s="142" t="str">
        <v>#∂Excel Error: Invalid seed specified.</v>
      </c>
      <c r="Y81" s="332" t="str">
        <v>#∂Excel Error: Invalid seed specified.</v>
      </c>
      <c r="Z81" s="332" t="str">
        <v>#∂Excel Error: Invalid seed specified.</v>
      </c>
      <c r="AA81" s="332" t="str">
        <v>#∂Excel Error: Invalid seed specified.</v>
      </c>
      <c r="AB81" s="143" t="str">
        <v>#∂Excel Error: Invalid seed specified.</v>
      </c>
    </row>
    <row r="82" spans="4:28" x14ac:dyDescent="0.3">
      <c r="D82" s="142">
        <f ca="1"/>
        <v>-2.5528312879719279</v>
      </c>
      <c r="E82" s="332">
        <f ca="1"/>
        <v>0.29691031563146875</v>
      </c>
      <c r="F82" s="332">
        <f ca="1"/>
        <v>0.27808394980380907</v>
      </c>
      <c r="G82" s="332">
        <f ca="1"/>
        <v>0.44539774631615076</v>
      </c>
      <c r="H82" s="143">
        <f ca="1"/>
        <v>-0.31079358334370855</v>
      </c>
      <c r="M82" s="142">
        <f ca="1"/>
        <v>-0.99033120171297906</v>
      </c>
      <c r="N82" s="332">
        <f ca="1"/>
        <v>0.9126936180425872</v>
      </c>
      <c r="O82" s="332">
        <f ca="1"/>
        <v>-1.4855001720500662</v>
      </c>
      <c r="P82" s="332">
        <f ca="1"/>
        <v>-9.7125078394841594E-2</v>
      </c>
      <c r="Q82" s="143">
        <f ca="1"/>
        <v>0.68909360866647951</v>
      </c>
      <c r="X82" s="142" t="str">
        <v>#∂Excel Error: Invalid seed specified.</v>
      </c>
      <c r="Y82" s="332" t="str">
        <v>#∂Excel Error: Invalid seed specified.</v>
      </c>
      <c r="Z82" s="332" t="str">
        <v>#∂Excel Error: Invalid seed specified.</v>
      </c>
      <c r="AA82" s="332" t="str">
        <v>#∂Excel Error: Invalid seed specified.</v>
      </c>
      <c r="AB82" s="143" t="str">
        <v>#∂Excel Error: Invalid seed specified.</v>
      </c>
    </row>
    <row r="83" spans="4:28" x14ac:dyDescent="0.3">
      <c r="D83" s="142">
        <f ca="1"/>
        <v>-0.35508869593067621</v>
      </c>
      <c r="E83" s="332">
        <f ca="1"/>
        <v>2.473226548926343</v>
      </c>
      <c r="F83" s="332">
        <f ca="1"/>
        <v>1.5462889736876682</v>
      </c>
      <c r="G83" s="332">
        <f ca="1"/>
        <v>-0.26354671448282113</v>
      </c>
      <c r="H83" s="143">
        <f ca="1"/>
        <v>-0.26861340529971534</v>
      </c>
      <c r="M83" s="142">
        <f ca="1"/>
        <v>-1.5509934406828561</v>
      </c>
      <c r="N83" s="332">
        <f ca="1"/>
        <v>-1.0069814040185534</v>
      </c>
      <c r="O83" s="332">
        <f ca="1"/>
        <v>-0.398682134677593</v>
      </c>
      <c r="P83" s="332">
        <f ca="1"/>
        <v>1.6608763311708408</v>
      </c>
      <c r="Q83" s="143">
        <f ca="1"/>
        <v>-8.0818237975814902E-2</v>
      </c>
      <c r="X83" s="142" t="str">
        <v>#∂Excel Error: Invalid seed specified.</v>
      </c>
      <c r="Y83" s="332" t="str">
        <v>#∂Excel Error: Invalid seed specified.</v>
      </c>
      <c r="Z83" s="332" t="str">
        <v>#∂Excel Error: Invalid seed specified.</v>
      </c>
      <c r="AA83" s="332" t="str">
        <v>#∂Excel Error: Invalid seed specified.</v>
      </c>
      <c r="AB83" s="143" t="str">
        <v>#∂Excel Error: Invalid seed specified.</v>
      </c>
    </row>
    <row r="84" spans="4:28" x14ac:dyDescent="0.3">
      <c r="D84" s="142">
        <f ca="1"/>
        <v>-9.1431096942242635E-2</v>
      </c>
      <c r="E84" s="332">
        <f ca="1"/>
        <v>0.42641284474781083</v>
      </c>
      <c r="F84" s="332">
        <f ca="1"/>
        <v>-0.5923458699002222</v>
      </c>
      <c r="G84" s="332">
        <f ca="1"/>
        <v>1.2013235212028235</v>
      </c>
      <c r="H84" s="143">
        <f ca="1"/>
        <v>2.3611673657222285</v>
      </c>
      <c r="M84" s="142">
        <f ca="1"/>
        <v>-1.4832058740881664</v>
      </c>
      <c r="N84" s="332">
        <f ca="1"/>
        <v>1.7767333260166502</v>
      </c>
      <c r="O84" s="332">
        <f ca="1"/>
        <v>-0.98879728124497102</v>
      </c>
      <c r="P84" s="332">
        <f ca="1"/>
        <v>-6.7616398798621566E-2</v>
      </c>
      <c r="Q84" s="143">
        <f ca="1"/>
        <v>-0.20326051983594287</v>
      </c>
      <c r="X84" s="142" t="str">
        <v>#∂Excel Error: Invalid seed specified.</v>
      </c>
      <c r="Y84" s="332" t="str">
        <v>#∂Excel Error: Invalid seed specified.</v>
      </c>
      <c r="Z84" s="332" t="str">
        <v>#∂Excel Error: Invalid seed specified.</v>
      </c>
      <c r="AA84" s="332" t="str">
        <v>#∂Excel Error: Invalid seed specified.</v>
      </c>
      <c r="AB84" s="143" t="str">
        <v>#∂Excel Error: Invalid seed specified.</v>
      </c>
    </row>
    <row r="85" spans="4:28" x14ac:dyDescent="0.3">
      <c r="D85" s="142">
        <f ca="1"/>
        <v>-0.21187073507578053</v>
      </c>
      <c r="E85" s="332">
        <f ca="1"/>
        <v>-0.98270009982047668</v>
      </c>
      <c r="F85" s="332">
        <f ca="1"/>
        <v>1.9342596462199904</v>
      </c>
      <c r="G85" s="332">
        <f ca="1"/>
        <v>0.81312021724325545</v>
      </c>
      <c r="H85" s="143">
        <f ca="1"/>
        <v>2.6847701181165196E-2</v>
      </c>
      <c r="M85" s="142">
        <f ca="1"/>
        <v>1.1055914603217745</v>
      </c>
      <c r="N85" s="332">
        <f ca="1"/>
        <v>-0.1205192051726366</v>
      </c>
      <c r="O85" s="332">
        <f ca="1"/>
        <v>-0.75521981943416761</v>
      </c>
      <c r="P85" s="332">
        <f ca="1"/>
        <v>-0.72310780188581647</v>
      </c>
      <c r="Q85" s="143">
        <f ca="1"/>
        <v>-0.37565235264666941</v>
      </c>
      <c r="X85" s="142" t="str">
        <v>#∂Excel Error: Invalid seed specified.</v>
      </c>
      <c r="Y85" s="332" t="str">
        <v>#∂Excel Error: Invalid seed specified.</v>
      </c>
      <c r="Z85" s="332" t="str">
        <v>#∂Excel Error: Invalid seed specified.</v>
      </c>
      <c r="AA85" s="332" t="str">
        <v>#∂Excel Error: Invalid seed specified.</v>
      </c>
      <c r="AB85" s="143" t="str">
        <v>#∂Excel Error: Invalid seed specified.</v>
      </c>
    </row>
    <row r="86" spans="4:28" x14ac:dyDescent="0.3">
      <c r="D86" s="142">
        <f ca="1"/>
        <v>-0.30267530359008576</v>
      </c>
      <c r="E86" s="332">
        <f ca="1"/>
        <v>-0.10619811325803392</v>
      </c>
      <c r="F86" s="332">
        <f ca="1"/>
        <v>1.1920352851635663</v>
      </c>
      <c r="G86" s="332">
        <f ca="1"/>
        <v>-4.2323241996771725E-2</v>
      </c>
      <c r="H86" s="143">
        <f ca="1"/>
        <v>0.82332740776042657</v>
      </c>
      <c r="M86" s="142">
        <f ca="1"/>
        <v>1.0485803681401893</v>
      </c>
      <c r="N86" s="332">
        <f ca="1"/>
        <v>0.64076764883644932</v>
      </c>
      <c r="O86" s="332">
        <f ca="1"/>
        <v>0.63472772982137404</v>
      </c>
      <c r="P86" s="332">
        <f ca="1"/>
        <v>-0.33799791084373404</v>
      </c>
      <c r="Q86" s="143">
        <f ca="1"/>
        <v>-0.2248951312723278</v>
      </c>
      <c r="X86" s="142" t="str">
        <v>#∂Excel Error: Invalid seed specified.</v>
      </c>
      <c r="Y86" s="332" t="str">
        <v>#∂Excel Error: Invalid seed specified.</v>
      </c>
      <c r="Z86" s="332" t="str">
        <v>#∂Excel Error: Invalid seed specified.</v>
      </c>
      <c r="AA86" s="332" t="str">
        <v>#∂Excel Error: Invalid seed specified.</v>
      </c>
      <c r="AB86" s="143" t="str">
        <v>#∂Excel Error: Invalid seed specified.</v>
      </c>
    </row>
    <row r="87" spans="4:28" x14ac:dyDescent="0.3">
      <c r="D87" s="142">
        <f ca="1"/>
        <v>0.21279899182954726</v>
      </c>
      <c r="E87" s="332">
        <f ca="1"/>
        <v>-1.1424438777784323</v>
      </c>
      <c r="F87" s="332">
        <f ca="1"/>
        <v>-2.1354251794755204E-2</v>
      </c>
      <c r="G87" s="332">
        <f ca="1"/>
        <v>-1.6548896512828936E-2</v>
      </c>
      <c r="H87" s="143">
        <f ca="1"/>
        <v>-1.1483938988369959</v>
      </c>
      <c r="M87" s="142">
        <f ca="1"/>
        <v>1.1994483827254203</v>
      </c>
      <c r="N87" s="332">
        <f ca="1"/>
        <v>-0.31620725915175851</v>
      </c>
      <c r="O87" s="332">
        <f ca="1"/>
        <v>8.7095588921778419E-2</v>
      </c>
      <c r="P87" s="332">
        <f ca="1"/>
        <v>-1.8972061687304596</v>
      </c>
      <c r="Q87" s="143">
        <f ca="1"/>
        <v>1.5591474071328626</v>
      </c>
      <c r="X87" s="142" t="str">
        <v>#∂Excel Error: Invalid seed specified.</v>
      </c>
      <c r="Y87" s="332" t="str">
        <v>#∂Excel Error: Invalid seed specified.</v>
      </c>
      <c r="Z87" s="332" t="str">
        <v>#∂Excel Error: Invalid seed specified.</v>
      </c>
      <c r="AA87" s="332" t="str">
        <v>#∂Excel Error: Invalid seed specified.</v>
      </c>
      <c r="AB87" s="143" t="str">
        <v>#∂Excel Error: Invalid seed specified.</v>
      </c>
    </row>
    <row r="88" spans="4:28" x14ac:dyDescent="0.3">
      <c r="D88" s="144">
        <f ca="1"/>
        <v>5.1409210374823731E-2</v>
      </c>
      <c r="E88" s="230">
        <f ca="1"/>
        <v>-0.21243260074195636</v>
      </c>
      <c r="F88" s="230">
        <f ca="1"/>
        <v>-0.55942050834103574</v>
      </c>
      <c r="G88" s="230">
        <f ca="1"/>
        <v>-0.21798606731311601</v>
      </c>
      <c r="H88" s="145">
        <f ca="1"/>
        <v>-0.77437601649928833</v>
      </c>
      <c r="M88" s="144">
        <f ca="1"/>
        <v>0.93943549074314414</v>
      </c>
      <c r="N88" s="230">
        <f ca="1"/>
        <v>2.2721039815301974E-2</v>
      </c>
      <c r="O88" s="230">
        <f ca="1"/>
        <v>0.23506378377652676</v>
      </c>
      <c r="P88" s="230">
        <f ca="1"/>
        <v>-4.589296537154848E-2</v>
      </c>
      <c r="Q88" s="145">
        <f ca="1"/>
        <v>9.7893721160057637E-2</v>
      </c>
      <c r="X88" s="144" t="str">
        <v>#∂Excel Error: Invalid seed specified.</v>
      </c>
      <c r="Y88" s="230" t="str">
        <v>#∂Excel Error: Invalid seed specified.</v>
      </c>
      <c r="Z88" s="230" t="str">
        <v>#∂Excel Error: Invalid seed specified.</v>
      </c>
      <c r="AA88" s="230" t="str">
        <v>#∂Excel Error: Invalid seed specified.</v>
      </c>
      <c r="AB88" s="145" t="str">
        <v>#∂Excel Error: Invalid seed specified.</v>
      </c>
    </row>
  </sheetData>
  <conditionalFormatting sqref="D8:D9">
    <cfRule type="cellIs" dxfId="223" priority="88" stopIfTrue="1" operator="equal">
      <formula>"ERROR"</formula>
    </cfRule>
    <cfRule type="cellIs" dxfId="222" priority="89" stopIfTrue="1" operator="equal">
      <formula>"OK"</formula>
    </cfRule>
    <cfRule type="cellIs" dxfId="221" priority="90" stopIfTrue="1" operator="equal">
      <formula>"WARNING"</formula>
    </cfRule>
  </conditionalFormatting>
  <conditionalFormatting sqref="C4">
    <cfRule type="cellIs" dxfId="220" priority="85" stopIfTrue="1" operator="equal">
      <formula>"ERROR"</formula>
    </cfRule>
    <cfRule type="cellIs" dxfId="219" priority="86" stopIfTrue="1" operator="equal">
      <formula>"OK"</formula>
    </cfRule>
    <cfRule type="cellIs" dxfId="218" priority="87" stopIfTrue="1" operator="equal">
      <formula>"WARNING"</formula>
    </cfRule>
  </conditionalFormatting>
  <conditionalFormatting sqref="C15">
    <cfRule type="cellIs" dxfId="217" priority="82" stopIfTrue="1" operator="equal">
      <formula>"ERROR"</formula>
    </cfRule>
  </conditionalFormatting>
  <conditionalFormatting sqref="C15">
    <cfRule type="cellIs" dxfId="216" priority="83" stopIfTrue="1" operator="equal">
      <formula>"OK"</formula>
    </cfRule>
  </conditionalFormatting>
  <conditionalFormatting sqref="C15">
    <cfRule type="cellIs" dxfId="215" priority="84" stopIfTrue="1" operator="equal">
      <formula>"WARNING"</formula>
    </cfRule>
  </conditionalFormatting>
  <conditionalFormatting sqref="L20:N22">
    <cfRule type="cellIs" dxfId="214" priority="91" stopIfTrue="1" operator="equal">
      <formula>"ERROR"</formula>
    </cfRule>
    <cfRule type="cellIs" dxfId="213" priority="92" stopIfTrue="1" operator="equal">
      <formula>"OK"</formula>
    </cfRule>
    <cfRule type="cellIs" dxfId="212" priority="93" stopIfTrue="1" operator="equal">
      <formula>"WARNING"</formula>
    </cfRule>
  </conditionalFormatting>
  <conditionalFormatting sqref="D10">
    <cfRule type="cellIs" dxfId="211" priority="43" stopIfTrue="1" operator="equal">
      <formula>"ERROR"</formula>
    </cfRule>
    <cfRule type="cellIs" dxfId="210" priority="44" stopIfTrue="1" operator="equal">
      <formula>"OK"</formula>
    </cfRule>
    <cfRule type="cellIs" dxfId="209" priority="45" stopIfTrue="1" operator="equal">
      <formula>"WARNING"</formula>
    </cfRule>
  </conditionalFormatting>
  <conditionalFormatting sqref="V20">
    <cfRule type="cellIs" dxfId="208" priority="40" stopIfTrue="1" operator="equal">
      <formula>"ERROR"</formula>
    </cfRule>
    <cfRule type="cellIs" dxfId="207" priority="41" stopIfTrue="1" operator="equal">
      <formula>"OK"</formula>
    </cfRule>
    <cfRule type="cellIs" dxfId="206" priority="42" stopIfTrue="1" operator="equal">
      <formula>"WARNING"</formula>
    </cfRule>
  </conditionalFormatting>
  <conditionalFormatting sqref="AD20">
    <cfRule type="cellIs" dxfId="205" priority="37" stopIfTrue="1" operator="equal">
      <formula>"ERROR"</formula>
    </cfRule>
    <cfRule type="cellIs" dxfId="204" priority="38" stopIfTrue="1" operator="equal">
      <formula>"OK"</formula>
    </cfRule>
    <cfRule type="cellIs" dxfId="203" priority="39" stopIfTrue="1" operator="equal">
      <formula>"WARNING"</formula>
    </cfRule>
  </conditionalFormatting>
  <conditionalFormatting sqref="AL20">
    <cfRule type="cellIs" dxfId="202" priority="34" stopIfTrue="1" operator="equal">
      <formula>"ERROR"</formula>
    </cfRule>
    <cfRule type="cellIs" dxfId="201" priority="35" stopIfTrue="1" operator="equal">
      <formula>"OK"</formula>
    </cfRule>
    <cfRule type="cellIs" dxfId="200" priority="36" stopIfTrue="1" operator="equal">
      <formula>"WARNING"</formula>
    </cfRule>
  </conditionalFormatting>
  <conditionalFormatting sqref="C28">
    <cfRule type="cellIs" dxfId="199" priority="28" stopIfTrue="1" operator="equal">
      <formula>"ERROR"</formula>
    </cfRule>
  </conditionalFormatting>
  <conditionalFormatting sqref="C28">
    <cfRule type="cellIs" dxfId="198" priority="29" stopIfTrue="1" operator="equal">
      <formula>"OK"</formula>
    </cfRule>
  </conditionalFormatting>
  <conditionalFormatting sqref="C28">
    <cfRule type="cellIs" dxfId="197" priority="30" stopIfTrue="1" operator="equal">
      <formula>"WARNING"</formula>
    </cfRule>
  </conditionalFormatting>
  <conditionalFormatting sqref="L34:M35">
    <cfRule type="cellIs" dxfId="196" priority="31" stopIfTrue="1" operator="equal">
      <formula>"ERROR"</formula>
    </cfRule>
    <cfRule type="cellIs" dxfId="195" priority="32" stopIfTrue="1" operator="equal">
      <formula>"OK"</formula>
    </cfRule>
    <cfRule type="cellIs" dxfId="194" priority="33" stopIfTrue="1" operator="equal">
      <formula>"WARNING"</formula>
    </cfRule>
  </conditionalFormatting>
  <conditionalFormatting sqref="AB34:AD36">
    <cfRule type="cellIs" dxfId="193" priority="16" stopIfTrue="1" operator="equal">
      <formula>"ERROR"</formula>
    </cfRule>
    <cfRule type="cellIs" dxfId="192" priority="17" stopIfTrue="1" operator="equal">
      <formula>"OK"</formula>
    </cfRule>
    <cfRule type="cellIs" dxfId="191" priority="18" stopIfTrue="1" operator="equal">
      <formula>"WARNING"</formula>
    </cfRule>
  </conditionalFormatting>
  <conditionalFormatting sqref="C44">
    <cfRule type="cellIs" dxfId="190" priority="13" stopIfTrue="1" operator="equal">
      <formula>"ERROR"</formula>
    </cfRule>
  </conditionalFormatting>
  <conditionalFormatting sqref="C44">
    <cfRule type="cellIs" dxfId="189" priority="14" stopIfTrue="1" operator="equal">
      <formula>"OK"</formula>
    </cfRule>
  </conditionalFormatting>
  <conditionalFormatting sqref="C44">
    <cfRule type="cellIs" dxfId="188" priority="15" stopIfTrue="1" operator="equal">
      <formula>"WARNING"</formula>
    </cfRule>
  </conditionalFormatting>
  <conditionalFormatting sqref="J51:K51">
    <cfRule type="cellIs" dxfId="187" priority="10" stopIfTrue="1" operator="equal">
      <formula>"ERROR"</formula>
    </cfRule>
    <cfRule type="cellIs" dxfId="186" priority="11" stopIfTrue="1" operator="equal">
      <formula>"OK"</formula>
    </cfRule>
    <cfRule type="cellIs" dxfId="185" priority="12" stopIfTrue="1" operator="equal">
      <formula>"WARNING"</formula>
    </cfRule>
  </conditionalFormatting>
  <conditionalFormatting sqref="S51:T51">
    <cfRule type="cellIs" dxfId="184" priority="7" stopIfTrue="1" operator="equal">
      <formula>"ERROR"</formula>
    </cfRule>
    <cfRule type="cellIs" dxfId="183" priority="8" stopIfTrue="1" operator="equal">
      <formula>"OK"</formula>
    </cfRule>
    <cfRule type="cellIs" dxfId="182" priority="9" stopIfTrue="1" operator="equal">
      <formula>"WARNING"</formula>
    </cfRule>
  </conditionalFormatting>
  <conditionalFormatting sqref="AE49">
    <cfRule type="cellIs" dxfId="181" priority="1" stopIfTrue="1" operator="equal">
      <formula>"ERROR"</formula>
    </cfRule>
    <cfRule type="cellIs" dxfId="180" priority="2" stopIfTrue="1" operator="equal">
      <formula>"OK"</formula>
    </cfRule>
    <cfRule type="cellIs" dxfId="179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/>
  </sheetViews>
  <sheetFormatPr defaultRowHeight="14.4" x14ac:dyDescent="0.3"/>
  <cols>
    <col min="1" max="1" width="3.77734375" customWidth="1"/>
  </cols>
  <sheetData>
    <row r="2" spans="2:2" x14ac:dyDescent="0.3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2:V49"/>
  <sheetViews>
    <sheetView showGridLines="0" zoomScaleNormal="100" workbookViewId="0"/>
  </sheetViews>
  <sheetFormatPr defaultRowHeight="14.4" x14ac:dyDescent="0.3"/>
  <cols>
    <col min="1" max="1" width="3.77734375" customWidth="1"/>
    <col min="2" max="2" width="17.33203125" customWidth="1"/>
    <col min="3" max="3" width="14.21875" customWidth="1"/>
    <col min="4" max="4" width="11.33203125" customWidth="1"/>
    <col min="5" max="6" width="10.77734375" customWidth="1"/>
    <col min="7" max="7" width="23.88671875" customWidth="1"/>
    <col min="8" max="8" width="22.88671875" customWidth="1"/>
    <col min="9" max="9" width="10" customWidth="1"/>
    <col min="10" max="10" width="17.88671875" customWidth="1"/>
    <col min="11" max="11" width="16.88671875" customWidth="1"/>
    <col min="12" max="12" width="10" customWidth="1"/>
    <col min="13" max="13" width="18" customWidth="1"/>
    <col min="14" max="14" width="16.88671875" customWidth="1"/>
    <col min="15" max="15" width="10" customWidth="1"/>
    <col min="17" max="17" width="44.88671875" customWidth="1"/>
    <col min="18" max="18" width="45.77734375" customWidth="1"/>
  </cols>
  <sheetData>
    <row r="2" spans="2:22" ht="25.8" x14ac:dyDescent="0.5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4" spans="2:22" x14ac:dyDescent="0.3">
      <c r="B4" s="59" t="s">
        <v>170</v>
      </c>
    </row>
    <row r="10" spans="2:22" ht="18" x14ac:dyDescent="0.35">
      <c r="B10" s="3" t="s">
        <v>4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2" spans="2:22" x14ac:dyDescent="0.3">
      <c r="B12" s="66" t="s">
        <v>115</v>
      </c>
      <c r="C12" s="185" t="str">
        <f>G16</f>
        <v>OK</v>
      </c>
    </row>
    <row r="14" spans="2:22" ht="18" x14ac:dyDescent="0.35">
      <c r="B14" s="67" t="s">
        <v>75</v>
      </c>
      <c r="C14" s="68"/>
      <c r="D14" s="68"/>
      <c r="F14" s="67" t="s">
        <v>115</v>
      </c>
      <c r="G14" s="68"/>
      <c r="H14" s="68"/>
      <c r="I14" s="68"/>
      <c r="J14" s="68"/>
      <c r="K14" s="68"/>
      <c r="L14" s="68"/>
      <c r="M14" s="68"/>
      <c r="N14" s="68"/>
      <c r="O14" s="68"/>
      <c r="Q14" s="67" t="s">
        <v>117</v>
      </c>
      <c r="R14" s="68"/>
      <c r="S14" s="68"/>
      <c r="T14" s="68"/>
      <c r="U14" s="68"/>
      <c r="V14" s="68"/>
    </row>
    <row r="16" spans="2:22" x14ac:dyDescent="0.3">
      <c r="B16" s="66" t="s">
        <v>3</v>
      </c>
      <c r="C16" s="65" t="str" cm="1">
        <f t="array" ref="C16">_xll.d.Curve_Create("ExampleCurve",B19:C22,B26:B31,C26:C31)</f>
        <v>@@ExampleCurve::11:19:18</v>
      </c>
      <c r="D16" s="26"/>
      <c r="F16" s="59" t="s">
        <v>136</v>
      </c>
      <c r="G16" s="185" t="str" cm="1">
        <f t="array" ref="G16">_xll.d.TestUtils_And(I29:I39)</f>
        <v>OK</v>
      </c>
    </row>
    <row r="17" spans="2:19" x14ac:dyDescent="0.3">
      <c r="Q17" s="27" t="s">
        <v>169</v>
      </c>
      <c r="R17" s="27"/>
      <c r="S17" s="27"/>
    </row>
    <row r="18" spans="2:19" x14ac:dyDescent="0.3">
      <c r="B18" s="12" t="s">
        <v>61</v>
      </c>
      <c r="C18" s="157"/>
      <c r="F18" s="12" t="s">
        <v>84</v>
      </c>
      <c r="G18" s="27"/>
      <c r="H18" s="27"/>
      <c r="I18" s="27"/>
      <c r="J18" s="27"/>
      <c r="K18" s="27"/>
      <c r="L18" s="27"/>
      <c r="M18" s="27"/>
      <c r="N18" s="27"/>
      <c r="O18" s="13"/>
      <c r="Q18" s="221" t="s">
        <v>86</v>
      </c>
      <c r="R18" s="222" t="s">
        <v>87</v>
      </c>
      <c r="S18" s="223" t="s">
        <v>88</v>
      </c>
    </row>
    <row r="19" spans="2:19" x14ac:dyDescent="0.3">
      <c r="B19" s="74" t="s">
        <v>32</v>
      </c>
      <c r="C19" s="158" t="s">
        <v>33</v>
      </c>
      <c r="F19" s="211"/>
      <c r="G19" s="210" t="s">
        <v>81</v>
      </c>
      <c r="H19" s="207"/>
      <c r="I19" s="208"/>
      <c r="J19" s="210" t="s">
        <v>82</v>
      </c>
      <c r="K19" s="207"/>
      <c r="L19" s="208"/>
      <c r="M19" s="210" t="s">
        <v>83</v>
      </c>
      <c r="N19" s="207"/>
      <c r="O19" s="208"/>
      <c r="Q19" s="219" t="str" cm="1">
        <f t="array" ref="Q19">_xll.d.Curve_GetZeroRates($C$16,$F21,"NACP")</f>
        <v>#ERROR: Invalid compounding convention 'NACP'.</v>
      </c>
      <c r="R19" s="220" t="s">
        <v>85</v>
      </c>
      <c r="S19" s="206" t="str" cm="1">
        <f t="array" ref="S19">_xll.d.TestUtils_Equal(Q19,R19)</f>
        <v>OK</v>
      </c>
    </row>
    <row r="20" spans="2:19" x14ac:dyDescent="0.3">
      <c r="B20" s="159" t="s">
        <v>74</v>
      </c>
      <c r="C20" s="160" t="s">
        <v>71</v>
      </c>
      <c r="F20" s="212" t="s">
        <v>35</v>
      </c>
      <c r="G20" s="213" t="s">
        <v>76</v>
      </c>
      <c r="H20" s="214" t="s">
        <v>77</v>
      </c>
      <c r="I20" s="215" t="s">
        <v>88</v>
      </c>
      <c r="J20" s="213" t="s">
        <v>76</v>
      </c>
      <c r="K20" s="214" t="s">
        <v>77</v>
      </c>
      <c r="L20" s="215" t="s">
        <v>88</v>
      </c>
      <c r="M20" s="213" t="s">
        <v>76</v>
      </c>
      <c r="N20" s="214" t="s">
        <v>77</v>
      </c>
      <c r="O20" s="215" t="s">
        <v>88</v>
      </c>
    </row>
    <row r="21" spans="2:19" x14ac:dyDescent="0.3">
      <c r="B21" s="161" t="s">
        <v>72</v>
      </c>
      <c r="C21" s="162" t="s">
        <v>73</v>
      </c>
      <c r="E21" s="165"/>
      <c r="F21" s="18">
        <f>B27</f>
        <v>44593</v>
      </c>
      <c r="G21" s="216">
        <f>-LN(C27)/YEARFRAC($B$26,F21,3)</f>
        <v>0.11833459956542031</v>
      </c>
      <c r="H21" s="216">
        <f t="array" ref="H21:H25">_xll.d.Curve_GetZeroRates($C$16,F21:F25)</f>
        <v>0.11833459956542096</v>
      </c>
      <c r="I21" s="209" t="str" cm="1">
        <f t="array" ref="I21">_xll.d.TestUtils_Equal(G21,H21)</f>
        <v>OK</v>
      </c>
      <c r="J21" s="216">
        <f>12*($C27^(-1/(12*YEARFRAC($B$26,$F21,3)))-1)</f>
        <v>0.11891998374379664</v>
      </c>
      <c r="K21" s="216">
        <f t="array" ref="K21">_xll.d.Curve_GetZeroRates($C$16,$F21,"NACM")</f>
        <v>0.11891998374379664</v>
      </c>
      <c r="L21" s="209" t="str" cm="1">
        <f t="array" ref="L21">_xll.d.TestUtils_Equal(J21,K21)</f>
        <v>OK</v>
      </c>
      <c r="M21" s="216">
        <f>4*($C27^(-1/(4*YEARFRAC($B$26,$F21,3)))-1)</f>
        <v>0.12010237358908604</v>
      </c>
      <c r="N21" s="216" cm="1">
        <f t="array" ref="N21">_xll.d.Curve_GetZeroRates($C$16,$F21,"NACQ")</f>
        <v>0.12010237358908693</v>
      </c>
      <c r="O21" s="209" t="str" cm="1">
        <f t="array" ref="O21">_xll.d.TestUtils_Equal(M21,N21)</f>
        <v>OK</v>
      </c>
    </row>
    <row r="22" spans="2:19" x14ac:dyDescent="0.3">
      <c r="B22" s="163" t="s">
        <v>54</v>
      </c>
      <c r="C22" s="164" t="s">
        <v>89</v>
      </c>
      <c r="F22" s="18">
        <f>B28</f>
        <v>44621</v>
      </c>
      <c r="G22" s="217">
        <f>-LN(C28)/YEARFRAC($B$26,F22,3)</f>
        <v>0.12498285035414584</v>
      </c>
      <c r="H22" s="217">
        <v>0.12498285035414587</v>
      </c>
      <c r="I22" s="206" t="str" cm="1">
        <f t="array" ref="I22">_xll.d.TestUtils_Equal(G22,H22)</f>
        <v>OK</v>
      </c>
      <c r="J22" s="217">
        <f>12*($C28^(-1/(12*YEARFRAC($B$26,$F22,3)))-1)</f>
        <v>0.12563597891789247</v>
      </c>
      <c r="K22" s="217" cm="1">
        <f t="array" ref="K22">_xll.d.Curve_GetZeroRates($C$16,$F22,"NACM")</f>
        <v>0.1256359789178898</v>
      </c>
      <c r="L22" s="206" t="str" cm="1">
        <f t="array" ref="L22">_xll.d.TestUtils_Equal(J22,K22)</f>
        <v>OK</v>
      </c>
      <c r="M22" s="217">
        <f>4*($C28^(-1/(4*YEARFRAC($B$26,$F22,3)))-1)</f>
        <v>0.12695593600029031</v>
      </c>
      <c r="N22" s="217" cm="1">
        <f t="array" ref="N22">_xll.d.Curve_GetZeroRates($C$16,$F22,"NACQ")</f>
        <v>0.12695593600029031</v>
      </c>
      <c r="O22" s="206" t="str" cm="1">
        <f t="array" ref="O22">_xll.d.TestUtils_Equal(M22,N22)</f>
        <v>OK</v>
      </c>
    </row>
    <row r="23" spans="2:19" x14ac:dyDescent="0.3">
      <c r="F23" s="18">
        <f>B29</f>
        <v>44652</v>
      </c>
      <c r="G23" s="217">
        <f>-LN(C29)/YEARFRAC($B$26,F23,3)</f>
        <v>0.12352900813242923</v>
      </c>
      <c r="H23" s="217">
        <v>0.12352900813242955</v>
      </c>
      <c r="I23" s="206" t="str" cm="1">
        <f t="array" ref="I23">_xll.d.TestUtils_Equal(G23,H23)</f>
        <v>OK</v>
      </c>
      <c r="J23" s="217">
        <f>12*($C29^(-1/(12*YEARFRAC($B$26,$F23,3)))-1)</f>
        <v>0.12416700444279183</v>
      </c>
      <c r="K23" s="217" cm="1">
        <f t="array" ref="K23">_xll.d.Curve_GetZeroRates($C$16,$F23,"NACM")</f>
        <v>0.12416700444279183</v>
      </c>
      <c r="L23" s="206" t="str" cm="1">
        <f t="array" ref="L23">_xll.d.TestUtils_Equal(J23,K23)</f>
        <v>OK</v>
      </c>
      <c r="M23" s="217">
        <f>4*($C29^(-1/(4*YEARFRAC($B$26,$F23,3)))-1)</f>
        <v>0.12545622286335512</v>
      </c>
      <c r="N23" s="217" cm="1">
        <f t="array" ref="N23">_xll.d.Curve_GetZeroRates($C$16,$F23,"NACQ")</f>
        <v>0.12545622286335512</v>
      </c>
      <c r="O23" s="206" t="str" cm="1">
        <f t="array" ref="O23">_xll.d.TestUtils_Equal(M23,N23)</f>
        <v>OK</v>
      </c>
    </row>
    <row r="24" spans="2:19" x14ac:dyDescent="0.3">
      <c r="E24" s="10"/>
      <c r="F24" s="18">
        <f>B30</f>
        <v>44682</v>
      </c>
      <c r="G24" s="217">
        <f>-LN(C30)/YEARFRAC($B$26,F24,3)</f>
        <v>0.12416689999910947</v>
      </c>
      <c r="H24" s="217">
        <v>0.12416689999910957</v>
      </c>
      <c r="I24" s="206" t="str" cm="1">
        <f t="array" ref="I24">_xll.d.TestUtils_Equal(G24,H24)</f>
        <v>OK</v>
      </c>
      <c r="J24" s="217">
        <f>12*($C30^(-1/(12*YEARFRAC($B$26,$F24,3)))-1)</f>
        <v>0.12481151386647849</v>
      </c>
      <c r="K24" s="217" cm="1">
        <f t="array" ref="K24">_xll.d.Curve_GetZeroRates($C$16,$F24,"NACM")</f>
        <v>0.12481151386647849</v>
      </c>
      <c r="L24" s="206" t="str" cm="1">
        <f t="array" ref="L24">_xll.d.TestUtils_Equal(J24,K24)</f>
        <v>OK</v>
      </c>
      <c r="M24" s="217">
        <f>4*($C30^(-1/(4*YEARFRAC($B$26,$F24,3)))-1)</f>
        <v>0.12611417406740255</v>
      </c>
      <c r="N24" s="217" cm="1">
        <f t="array" ref="N24">_xll.d.Curve_GetZeroRates($C$16,$F24,"NACQ")</f>
        <v>0.12611417406740344</v>
      </c>
      <c r="O24" s="206" t="str" cm="1">
        <f t="array" ref="O24">_xll.d.TestUtils_Equal(M24,N24)</f>
        <v>OK</v>
      </c>
    </row>
    <row r="25" spans="2:19" x14ac:dyDescent="0.3">
      <c r="B25" s="12" t="s">
        <v>0</v>
      </c>
      <c r="C25" s="13" t="s">
        <v>2</v>
      </c>
      <c r="E25" s="11"/>
      <c r="F25" s="19">
        <f>B31</f>
        <v>46022</v>
      </c>
      <c r="G25" s="218">
        <f>-LN(C31)/YEARFRAC($B$26,F25,3)</f>
        <v>0.11950895023574995</v>
      </c>
      <c r="H25" s="218">
        <v>0.11950895023574998</v>
      </c>
      <c r="I25" s="206" t="str" cm="1">
        <f t="array" ref="I25">_xll.d.TestUtils_Equal(G25,H25)</f>
        <v>OK</v>
      </c>
      <c r="J25" s="218">
        <f>12*($C31^(-1/(12*YEARFRAC($B$26,$F25,3)))-1)</f>
        <v>0.12010603026150424</v>
      </c>
      <c r="K25" s="218" cm="1">
        <f t="array" ref="K25">_xll.d.Curve_GetZeroRates($C$16,$F25,"NACM")</f>
        <v>0.12010603026150424</v>
      </c>
      <c r="L25" s="206" t="str" cm="1">
        <f t="array" ref="L25">_xll.d.TestUtils_Equal(J25,K25)</f>
        <v>OK</v>
      </c>
      <c r="M25" s="218">
        <f>4*($C31^(-1/(4*YEARFRAC($B$26,$F25,3)))-1)</f>
        <v>0.1213121624159994</v>
      </c>
      <c r="N25" s="218" cm="1">
        <f t="array" ref="N25">_xll.d.Curve_GetZeroRates($C$16,$F25,"NACQ")</f>
        <v>0.1213121624159994</v>
      </c>
      <c r="O25" s="206" t="str" cm="1">
        <f t="array" ref="O25">_xll.d.TestUtils_Equal(M25,N25)</f>
        <v>OK</v>
      </c>
    </row>
    <row r="26" spans="2:19" x14ac:dyDescent="0.3">
      <c r="B26" s="17">
        <v>44562</v>
      </c>
      <c r="C26" s="71">
        <v>1</v>
      </c>
      <c r="E26" s="8"/>
    </row>
    <row r="27" spans="2:19" x14ac:dyDescent="0.3">
      <c r="B27" s="18">
        <v>44593</v>
      </c>
      <c r="C27" s="72">
        <v>0.99</v>
      </c>
      <c r="E27" s="8"/>
      <c r="F27" s="70" t="s">
        <v>2</v>
      </c>
      <c r="H27" s="69" t="s">
        <v>80</v>
      </c>
    </row>
    <row r="28" spans="2:19" x14ac:dyDescent="0.3">
      <c r="B28" s="18">
        <v>44621</v>
      </c>
      <c r="C28" s="72">
        <v>0.98</v>
      </c>
      <c r="F28" s="12" t="s">
        <v>35</v>
      </c>
      <c r="G28" s="27" t="s">
        <v>78</v>
      </c>
      <c r="H28" s="27" t="s">
        <v>79</v>
      </c>
      <c r="I28" s="27" t="s">
        <v>88</v>
      </c>
    </row>
    <row r="29" spans="2:19" x14ac:dyDescent="0.3">
      <c r="B29" s="18">
        <v>44652</v>
      </c>
      <c r="C29" s="72">
        <v>0.97</v>
      </c>
      <c r="F29" s="17">
        <f>B26</f>
        <v>44562</v>
      </c>
      <c r="G29" s="56">
        <v>1</v>
      </c>
      <c r="H29" s="56" cm="1">
        <f t="array" ref="H29">_xll.d.Curve_GetDiscountFactors($C$16,F29)</f>
        <v>1</v>
      </c>
      <c r="I29" s="206" t="str" cm="1">
        <f t="array" ref="I29">_xll.d.TestUtils_Equal(G29,H29)</f>
        <v>OK</v>
      </c>
    </row>
    <row r="30" spans="2:19" x14ac:dyDescent="0.3">
      <c r="B30" s="18">
        <v>44682</v>
      </c>
      <c r="C30" s="72">
        <v>0.96</v>
      </c>
      <c r="F30" s="204">
        <v>44576</v>
      </c>
      <c r="G30" s="205">
        <f>EXP((LN(C27)-LN(C26))/((B27-B26)/365)*((F30-B26)/365)+LN(C26))</f>
        <v>0.99547142371128639</v>
      </c>
      <c r="H30" s="205" cm="1">
        <f t="array" ref="H30">_xll.d.Curve_GetDiscountFactors($C$16,F30)</f>
        <v>0.99547142371128639</v>
      </c>
      <c r="I30" s="206" t="str" cm="1">
        <f t="array" ref="I30">_xll.d.TestUtils_Equal(G30,H30)</f>
        <v>OK</v>
      </c>
    </row>
    <row r="31" spans="2:19" x14ac:dyDescent="0.3">
      <c r="B31" s="19">
        <v>46022</v>
      </c>
      <c r="C31" s="73">
        <v>0.62</v>
      </c>
      <c r="F31" s="18">
        <f>B27</f>
        <v>44593</v>
      </c>
      <c r="G31" s="57">
        <f>EXP((LN(C27)-LN(C26))/((B27-B26)/365)*((F31-B26)/365)+LN(C26))</f>
        <v>0.99</v>
      </c>
      <c r="H31" s="57" cm="1">
        <f t="array" ref="H31">_xll.d.Curve_GetDiscountFactors($C$16,F31)</f>
        <v>0.99</v>
      </c>
      <c r="I31" s="206" t="str" cm="1">
        <f t="array" ref="I31">_xll.d.TestUtils_Equal(G31,H31)</f>
        <v>OK</v>
      </c>
    </row>
    <row r="32" spans="2:19" x14ac:dyDescent="0.3">
      <c r="F32" s="204">
        <v>44607</v>
      </c>
      <c r="G32" s="205">
        <f>EXP((LN(C28)-LN(C27))/((B28-B27)/365)*((F32-B27)/365)+LN(C27))</f>
        <v>0.98498730956292024</v>
      </c>
      <c r="H32" s="205" cm="1">
        <f t="array" ref="H32">_xll.d.Curve_GetDiscountFactors($C$16,F32)</f>
        <v>0.98498730956292024</v>
      </c>
      <c r="I32" s="206" t="str" cm="1">
        <f t="array" ref="I32">_xll.d.TestUtils_Equal(G32,H32)</f>
        <v>OK</v>
      </c>
    </row>
    <row r="33" spans="2:9" x14ac:dyDescent="0.3">
      <c r="F33" s="18">
        <f>B28</f>
        <v>44621</v>
      </c>
      <c r="G33" s="57">
        <f>EXP((LN(C28)-LN(C27))/((B28-B27)/365)*((F33-B27)/365)+LN(C27))</f>
        <v>0.98</v>
      </c>
      <c r="H33" s="57" cm="1">
        <f t="array" ref="H33">_xll.d.Curve_GetDiscountFactors($C$16,F33)</f>
        <v>0.98</v>
      </c>
      <c r="I33" s="206" t="str" cm="1">
        <f t="array" ref="I33">_xll.d.TestUtils_Equal(G33,H33)</f>
        <v>OK</v>
      </c>
    </row>
    <row r="34" spans="2:9" x14ac:dyDescent="0.3">
      <c r="F34" s="204">
        <v>44635</v>
      </c>
      <c r="G34" s="205">
        <f>EXP((LN(C29)-LN(C28))/((B29-B28)/365)*((F34-B28)/365)+LN(C28))</f>
        <v>0.97547116833738268</v>
      </c>
      <c r="H34" s="205" cm="1">
        <f t="array" ref="H34">_xll.d.Curve_GetDiscountFactors($C$16,F34)</f>
        <v>0.97547116833738268</v>
      </c>
      <c r="I34" s="206" t="str" cm="1">
        <f t="array" ref="I34">_xll.d.TestUtils_Equal(G34,H34)</f>
        <v>OK</v>
      </c>
    </row>
    <row r="35" spans="2:9" x14ac:dyDescent="0.3">
      <c r="F35" s="18">
        <f>B29</f>
        <v>44652</v>
      </c>
      <c r="G35" s="57">
        <f>EXP((LN(C29)-LN(C28))/((B29-B28)/365)*((F35-B28)/365)+LN(C28))</f>
        <v>0.97</v>
      </c>
      <c r="H35" s="57" cm="1">
        <f t="array" ref="H35">_xll.d.Curve_GetDiscountFactors($C$16,F35)</f>
        <v>0.97</v>
      </c>
      <c r="I35" s="206" t="str" cm="1">
        <f t="array" ref="I35">_xll.d.TestUtils_Equal(G35,H35)</f>
        <v>OK</v>
      </c>
    </row>
    <row r="36" spans="2:9" x14ac:dyDescent="0.3">
      <c r="F36" s="204">
        <v>44666</v>
      </c>
      <c r="G36" s="205">
        <f>EXP((LN(C30)-LN(C29))/((B30-B29)/365)*((F36-B29)/365)+LN(C29))</f>
        <v>0.96532043596444328</v>
      </c>
      <c r="H36" s="205" cm="1">
        <f t="array" ref="H36">_xll.d.Curve_GetDiscountFactors($C$16,F36)</f>
        <v>0.96532043596444328</v>
      </c>
      <c r="I36" s="206" t="str" cm="1">
        <f t="array" ref="I36">_xll.d.TestUtils_Equal(G36,H36)</f>
        <v>OK</v>
      </c>
    </row>
    <row r="37" spans="2:9" x14ac:dyDescent="0.3">
      <c r="F37" s="18">
        <f>B30</f>
        <v>44682</v>
      </c>
      <c r="G37" s="57">
        <f>EXP((LN(C30)-LN(C29))/((B30-B29)/365)*((F37-B29)/365)+LN(C29))</f>
        <v>0.96</v>
      </c>
      <c r="H37" s="57" cm="1">
        <f t="array" ref="H37">_xll.d.Curve_GetDiscountFactors($C$16,F37)</f>
        <v>0.96</v>
      </c>
      <c r="I37" s="206" t="str" cm="1">
        <f t="array" ref="I37">_xll.d.TestUtils_Equal(G37,H37)</f>
        <v>OK</v>
      </c>
    </row>
    <row r="38" spans="2:9" x14ac:dyDescent="0.3">
      <c r="E38" s="5"/>
      <c r="F38" s="204">
        <v>45107</v>
      </c>
      <c r="G38" s="205">
        <f>EXP((LN(C31)-LN(C30))/((B31-B30)/365)*((F38-B30)/365)+LN(C30))</f>
        <v>0.8356958461194135</v>
      </c>
      <c r="H38" s="205" cm="1">
        <f t="array" ref="H38">_xll.d.Curve_GetDiscountFactors($C$16,F38)</f>
        <v>0.8356958461194135</v>
      </c>
      <c r="I38" s="206" t="str" cm="1">
        <f t="array" ref="I38">_xll.d.TestUtils_Equal(G38,H38)</f>
        <v>OK</v>
      </c>
    </row>
    <row r="39" spans="2:9" x14ac:dyDescent="0.3">
      <c r="F39" s="18">
        <f>B31</f>
        <v>46022</v>
      </c>
      <c r="G39" s="57">
        <f>EXP((LN(C31)-LN(C30))/((B31-B30)/365)*((F39-B30)/365)+LN(C30))</f>
        <v>0.62</v>
      </c>
      <c r="H39" s="57" cm="1">
        <f t="array" ref="H39">_xll.d.Curve_GetDiscountFactors($C$16,F39)</f>
        <v>0.62</v>
      </c>
      <c r="I39" s="206" t="str" cm="1">
        <f t="array" ref="I39">_xll.d.TestUtils_Equal(G39,H39)</f>
        <v>OK</v>
      </c>
    </row>
    <row r="40" spans="2:9" x14ac:dyDescent="0.3">
      <c r="D40" s="5"/>
      <c r="E40" s="5"/>
    </row>
    <row r="42" spans="2:9" x14ac:dyDescent="0.3">
      <c r="C42" s="1"/>
      <c r="D42" s="5"/>
    </row>
    <row r="43" spans="2:9" x14ac:dyDescent="0.3">
      <c r="E43" s="6"/>
    </row>
    <row r="44" spans="2:9" x14ac:dyDescent="0.3">
      <c r="B44" s="5"/>
      <c r="C44" s="5"/>
      <c r="D44" s="5"/>
      <c r="E44" s="5"/>
    </row>
    <row r="45" spans="2:9" x14ac:dyDescent="0.3">
      <c r="B45" s="5"/>
      <c r="C45" s="5"/>
      <c r="D45" s="5"/>
      <c r="E45" s="5"/>
    </row>
    <row r="46" spans="2:9" x14ac:dyDescent="0.3">
      <c r="B46" s="5"/>
      <c r="C46" s="5"/>
      <c r="D46" s="5"/>
      <c r="E46" s="5"/>
      <c r="F46" s="5"/>
      <c r="G46" s="5"/>
    </row>
    <row r="47" spans="2:9" x14ac:dyDescent="0.3">
      <c r="B47" s="5"/>
      <c r="C47" s="5"/>
      <c r="D47" s="5"/>
      <c r="E47" s="5"/>
      <c r="F47" s="5"/>
      <c r="G47" s="5"/>
    </row>
    <row r="48" spans="2:9" x14ac:dyDescent="0.3">
      <c r="F48" s="5"/>
      <c r="G48" s="5"/>
    </row>
    <row r="49" spans="6:7" x14ac:dyDescent="0.3">
      <c r="F49" s="5"/>
      <c r="G49" s="5"/>
    </row>
  </sheetData>
  <conditionalFormatting sqref="I29:I39">
    <cfRule type="cellIs" dxfId="178" priority="11" stopIfTrue="1" operator="equal">
      <formula>"OK"</formula>
    </cfRule>
    <cfRule type="cellIs" dxfId="177" priority="12" stopIfTrue="1" operator="equal">
      <formula>"ERROR"</formula>
    </cfRule>
  </conditionalFormatting>
  <conditionalFormatting sqref="G16">
    <cfRule type="cellIs" dxfId="176" priority="9" stopIfTrue="1" operator="equal">
      <formula>"OK"</formula>
    </cfRule>
    <cfRule type="cellIs" dxfId="175" priority="10" stopIfTrue="1" operator="equal">
      <formula>"ERROR"</formula>
    </cfRule>
  </conditionalFormatting>
  <conditionalFormatting sqref="C12">
    <cfRule type="cellIs" dxfId="174" priority="13" stopIfTrue="1" operator="equal">
      <formula>"OK"</formula>
    </cfRule>
    <cfRule type="cellIs" dxfId="173" priority="14" stopIfTrue="1" operator="equal">
      <formula>"ERROR"</formula>
    </cfRule>
  </conditionalFormatting>
  <conditionalFormatting sqref="I21:I25">
    <cfRule type="cellIs" dxfId="172" priority="7" stopIfTrue="1" operator="equal">
      <formula>"OK"</formula>
    </cfRule>
    <cfRule type="cellIs" dxfId="171" priority="8" stopIfTrue="1" operator="equal">
      <formula>"ERROR"</formula>
    </cfRule>
  </conditionalFormatting>
  <conditionalFormatting sqref="L21:L25">
    <cfRule type="cellIs" dxfId="170" priority="5" stopIfTrue="1" operator="equal">
      <formula>"OK"</formula>
    </cfRule>
    <cfRule type="cellIs" dxfId="169" priority="6" stopIfTrue="1" operator="equal">
      <formula>"ERROR"</formula>
    </cfRule>
  </conditionalFormatting>
  <conditionalFormatting sqref="O21:O25">
    <cfRule type="cellIs" dxfId="168" priority="3" stopIfTrue="1" operator="equal">
      <formula>"OK"</formula>
    </cfRule>
    <cfRule type="cellIs" dxfId="167" priority="4" stopIfTrue="1" operator="equal">
      <formula>"ERROR"</formula>
    </cfRule>
  </conditionalFormatting>
  <conditionalFormatting sqref="S19">
    <cfRule type="cellIs" dxfId="166" priority="1" stopIfTrue="1" operator="equal">
      <formula>"OK"</formula>
    </cfRule>
    <cfRule type="cellIs" dxfId="165" priority="2" stopIfTrue="1" operator="equal">
      <formula>"ERROR"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2:AX66"/>
  <sheetViews>
    <sheetView showGridLines="0" zoomScale="115" zoomScaleNormal="115" workbookViewId="0"/>
  </sheetViews>
  <sheetFormatPr defaultRowHeight="14.4" x14ac:dyDescent="0.3"/>
  <cols>
    <col min="1" max="1" width="3.77734375" customWidth="1"/>
    <col min="2" max="3" width="15.44140625" customWidth="1"/>
    <col min="4" max="4" width="15.88671875" customWidth="1"/>
    <col min="5" max="5" width="10" customWidth="1"/>
    <col min="7" max="7" width="14.88671875" bestFit="1" customWidth="1"/>
    <col min="8" max="8" width="22.44140625" customWidth="1"/>
    <col min="9" max="9" width="21.44140625" customWidth="1"/>
    <col min="10" max="10" width="10" customWidth="1"/>
    <col min="11" max="12" width="3.77734375" customWidth="1"/>
    <col min="13" max="13" width="17.77734375" customWidth="1"/>
    <col min="14" max="14" width="10" customWidth="1"/>
    <col min="15" max="15" width="11.21875" customWidth="1"/>
    <col min="16" max="16" width="11.88671875" customWidth="1"/>
    <col min="18" max="18" width="11.33203125" customWidth="1"/>
    <col min="19" max="19" width="22.44140625" customWidth="1"/>
    <col min="20" max="20" width="21.44140625" customWidth="1"/>
    <col min="21" max="21" width="13.44140625" bestFit="1" customWidth="1"/>
    <col min="22" max="23" width="3.77734375" customWidth="1"/>
    <col min="24" max="24" width="11.33203125" customWidth="1"/>
    <col min="26" max="26" width="11" customWidth="1"/>
    <col min="41" max="41" width="20.21875" customWidth="1"/>
  </cols>
  <sheetData>
    <row r="2" spans="2:25" ht="25.8" x14ac:dyDescent="0.5">
      <c r="B2" s="2" t="s">
        <v>22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" x14ac:dyDescent="0.35">
      <c r="B4" s="3" t="s">
        <v>170</v>
      </c>
      <c r="C4" s="3"/>
      <c r="D4" s="3"/>
      <c r="E4" s="3"/>
      <c r="F4" s="3"/>
      <c r="G4" s="3"/>
      <c r="H4" s="3"/>
      <c r="I4" s="3"/>
      <c r="J4" s="3"/>
    </row>
    <row r="6" spans="2:25" x14ac:dyDescent="0.3">
      <c r="B6" s="59" t="s">
        <v>170</v>
      </c>
      <c r="C6" s="185" t="str" cm="1">
        <f t="array" ref="C6">_xll.d.TestUtils_And(D10:D13)</f>
        <v>ERROR</v>
      </c>
    </row>
    <row r="8" spans="2:25" x14ac:dyDescent="0.3">
      <c r="B8" s="228" t="s">
        <v>10</v>
      </c>
      <c r="C8" s="228"/>
      <c r="D8" s="229" t="s">
        <v>11</v>
      </c>
      <c r="K8" s="242"/>
      <c r="L8" s="243"/>
      <c r="V8" s="242"/>
      <c r="W8" s="243"/>
    </row>
    <row r="9" spans="2:25" x14ac:dyDescent="0.3">
      <c r="B9" s="277" t="str">
        <f>B17</f>
        <v>ZAR Swap Curve Testing</v>
      </c>
      <c r="C9" s="278"/>
      <c r="D9" s="279"/>
      <c r="K9" s="242"/>
      <c r="L9" s="243"/>
      <c r="V9" s="242"/>
      <c r="W9" s="243"/>
    </row>
    <row r="10" spans="2:25" x14ac:dyDescent="0.3">
      <c r="B10" s="238" t="str">
        <f>B19</f>
        <v>Flat Curve, 3m JIBAR</v>
      </c>
      <c r="C10" s="276"/>
      <c r="D10" s="185" t="str">
        <f>C21</f>
        <v>OK</v>
      </c>
      <c r="K10" s="242"/>
      <c r="L10" s="243"/>
      <c r="V10" s="242"/>
      <c r="W10" s="243"/>
    </row>
    <row r="11" spans="2:25" x14ac:dyDescent="0.3">
      <c r="K11" s="242"/>
      <c r="L11" s="243"/>
      <c r="V11" s="242"/>
      <c r="W11" s="243"/>
    </row>
    <row r="12" spans="2:25" x14ac:dyDescent="0.3">
      <c r="B12" s="277" t="s">
        <v>227</v>
      </c>
      <c r="C12" s="278"/>
      <c r="D12" s="279"/>
      <c r="K12" s="242"/>
      <c r="L12" s="243"/>
      <c r="V12" s="242"/>
      <c r="W12" s="243"/>
    </row>
    <row r="13" spans="2:25" x14ac:dyDescent="0.3">
      <c r="B13" s="238" t="str">
        <f>M19</f>
        <v>Non-Flat Curve, FEDFUND</v>
      </c>
      <c r="C13" s="276"/>
      <c r="D13" s="185" t="str">
        <f>N21</f>
        <v>ERROR</v>
      </c>
      <c r="K13" s="242"/>
      <c r="L13" s="243"/>
      <c r="V13" s="242"/>
      <c r="W13" s="243"/>
    </row>
    <row r="14" spans="2:25" x14ac:dyDescent="0.3">
      <c r="B14" s="238"/>
      <c r="C14" s="276"/>
      <c r="D14" s="185"/>
      <c r="K14" s="242"/>
      <c r="L14" s="243"/>
      <c r="V14" s="242"/>
      <c r="W14" s="243"/>
    </row>
    <row r="15" spans="2:25" x14ac:dyDescent="0.3">
      <c r="K15" s="242"/>
      <c r="L15" s="243"/>
      <c r="V15" s="242"/>
      <c r="W15" s="243"/>
    </row>
    <row r="16" spans="2:25" x14ac:dyDescent="0.3">
      <c r="K16" s="242"/>
      <c r="L16" s="243"/>
      <c r="V16" s="242"/>
      <c r="W16" s="243"/>
    </row>
    <row r="17" spans="2:50" ht="18" x14ac:dyDescent="0.35">
      <c r="B17" s="3" t="s">
        <v>248</v>
      </c>
      <c r="C17" s="3"/>
      <c r="D17" s="3"/>
      <c r="E17" s="3"/>
      <c r="F17" s="3"/>
      <c r="G17" s="3"/>
      <c r="H17" s="3"/>
      <c r="I17" s="3"/>
      <c r="J17" s="3"/>
      <c r="K17" s="242"/>
      <c r="L17" s="243"/>
      <c r="M17" s="3" t="s">
        <v>249</v>
      </c>
      <c r="N17" s="3"/>
      <c r="O17" s="3"/>
      <c r="P17" s="3"/>
      <c r="Q17" s="3"/>
      <c r="R17" s="3"/>
      <c r="S17" s="3"/>
      <c r="T17" s="3"/>
      <c r="U17" s="3"/>
      <c r="V17" s="242"/>
      <c r="W17" s="243"/>
      <c r="X17" s="3" t="s">
        <v>218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3">
      <c r="K18" s="242"/>
      <c r="L18" s="243"/>
      <c r="V18" s="242"/>
      <c r="W18" s="243"/>
    </row>
    <row r="19" spans="2:50" ht="15.6" x14ac:dyDescent="0.3">
      <c r="B19" s="4" t="s">
        <v>229</v>
      </c>
      <c r="C19" s="4"/>
      <c r="D19" s="4"/>
      <c r="E19" s="4"/>
      <c r="F19" s="4"/>
      <c r="G19" s="4"/>
      <c r="H19" s="4"/>
      <c r="I19" s="4"/>
      <c r="J19" s="4"/>
      <c r="K19" s="242"/>
      <c r="L19" s="243"/>
      <c r="M19" s="4" t="s">
        <v>250</v>
      </c>
      <c r="N19" s="4"/>
      <c r="O19" s="4"/>
      <c r="P19" s="4"/>
      <c r="Q19" s="4"/>
      <c r="R19" s="4"/>
      <c r="S19" s="4"/>
      <c r="T19" s="4"/>
      <c r="U19" s="4"/>
      <c r="V19" s="242"/>
      <c r="W19" s="243"/>
      <c r="X19" t="s">
        <v>224</v>
      </c>
      <c r="AH19" t="s">
        <v>219</v>
      </c>
    </row>
    <row r="20" spans="2:50" x14ac:dyDescent="0.3">
      <c r="K20" s="242"/>
      <c r="L20" s="243"/>
      <c r="V20" s="242"/>
      <c r="W20" s="243"/>
    </row>
    <row r="21" spans="2:50" x14ac:dyDescent="0.3">
      <c r="B21" s="59" t="s">
        <v>136</v>
      </c>
      <c r="C21" s="185" t="str" cm="1">
        <f t="array" ref="C21">_xll.d.TestUtils_And(J23:J28)</f>
        <v>OK</v>
      </c>
      <c r="G21" s="273" t="s">
        <v>247</v>
      </c>
      <c r="H21" s="274"/>
      <c r="I21" s="274"/>
      <c r="J21" s="275"/>
      <c r="K21" s="242"/>
      <c r="L21" s="243"/>
      <c r="M21" s="59" t="s">
        <v>136</v>
      </c>
      <c r="N21" s="185" t="str" cm="1">
        <f t="array" ref="N21">_xll.d.TestUtils_And(U23:U39)</f>
        <v>ERROR</v>
      </c>
      <c r="R21" s="138" t="s">
        <v>247</v>
      </c>
      <c r="S21" s="231"/>
      <c r="T21" s="231"/>
      <c r="U21" s="139"/>
      <c r="V21" s="242"/>
      <c r="W21" s="243"/>
      <c r="X21" s="66" t="s">
        <v>41</v>
      </c>
      <c r="Y21" s="66"/>
      <c r="Z21" s="309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51"/>
      <c r="AH21" s="66" t="s">
        <v>41</v>
      </c>
      <c r="AI21" s="66"/>
      <c r="AJ21" s="250" t="str" cm="1">
        <f t="array" ref="AJ21">_xll.d.Curve_SingleCurveBootstrap("ZARCurve",AH25:AI27,AH32:AJ37,AH39:AJ42,AH44:AJ47)</f>
        <v xml:space="preserve">#∂Excel Error: Unsupported rate index: </v>
      </c>
      <c r="AK21" s="251"/>
      <c r="AM21" t="s">
        <v>220</v>
      </c>
      <c r="AS21" s="66" t="s">
        <v>41</v>
      </c>
      <c r="AT21" s="66"/>
      <c r="AU21" s="250" t="str" cm="1">
        <f t="array" ref="AU21">_xll.d.Curve_SingleCurveBootstrap("ZARCurve",AS25:AT28,AS32:AU37,AS39:AU42,AS44:AU47)</f>
        <v xml:space="preserve">#∂Excel Error: Unsupported rate index: </v>
      </c>
      <c r="AV21" s="251"/>
      <c r="AX21" t="s">
        <v>222</v>
      </c>
    </row>
    <row r="22" spans="2:50" x14ac:dyDescent="0.3">
      <c r="G22" s="74" t="s">
        <v>35</v>
      </c>
      <c r="H22" s="75" t="s">
        <v>42</v>
      </c>
      <c r="I22" s="75" t="s">
        <v>43</v>
      </c>
      <c r="J22" s="76" t="s">
        <v>88</v>
      </c>
      <c r="K22" s="242"/>
      <c r="L22" s="243"/>
      <c r="R22" s="74" t="s">
        <v>35</v>
      </c>
      <c r="S22" s="75" t="s">
        <v>42</v>
      </c>
      <c r="T22" s="75" t="s">
        <v>43</v>
      </c>
      <c r="U22" s="76" t="s">
        <v>10</v>
      </c>
      <c r="V22" s="242"/>
      <c r="W22" s="243"/>
    </row>
    <row r="23" spans="2:50" x14ac:dyDescent="0.3">
      <c r="G23" s="270">
        <f>C29</f>
        <v>44713</v>
      </c>
      <c r="H23" s="280">
        <v>1</v>
      </c>
      <c r="I23" s="280" cm="1">
        <f t="array" ref="I23">_xll.d.Curve_GetDiscountFactors($D$24,G23)</f>
        <v>1</v>
      </c>
      <c r="J23" s="259" t="str" cm="1">
        <f t="array" ref="J23">_xll.d.TestUtils_Equal(H23,I23,0.00001)</f>
        <v>OK</v>
      </c>
      <c r="K23" s="242"/>
      <c r="L23" s="243"/>
      <c r="R23" s="310">
        <f>N29</f>
        <v>44655</v>
      </c>
      <c r="S23" s="321">
        <v>1</v>
      </c>
      <c r="T23" s="328" cm="1">
        <f t="array" ref="T23">_xll.d.Curve_GetDiscountFactors($O$24,R23)</f>
        <v>1</v>
      </c>
      <c r="U23" s="312" t="str" cm="1">
        <f t="array" ref="U23">_xll.d.TestUtils_Equal(S23,T23,0.001)</f>
        <v>OK</v>
      </c>
      <c r="V23" s="242"/>
      <c r="W23" s="243"/>
      <c r="Z23" t="s">
        <v>223</v>
      </c>
    </row>
    <row r="24" spans="2:50" x14ac:dyDescent="0.3">
      <c r="B24" s="66" t="s">
        <v>41</v>
      </c>
      <c r="C24" s="66"/>
      <c r="D24" s="250" t="str" cm="1">
        <f t="array" ref="D24">_xll.d.Curve_SingleCurveBootstrap("ZARCurve",B27:C31,,B33:D37,B39:D43,B45:D48)</f>
        <v>@@ZARCurve::11:19:17</v>
      </c>
      <c r="E24" s="251"/>
      <c r="G24" s="271">
        <f>EDATE(G23,1)</f>
        <v>44743</v>
      </c>
      <c r="H24" s="281">
        <f>1/(1+YEARFRAC($G$23,G24,3)*C35)</f>
        <v>0.99184782608695643</v>
      </c>
      <c r="I24" s="281" cm="1">
        <f t="array" ref="I24">_xll.d.Curve_GetDiscountFactors($D$24,G24)</f>
        <v>0.99184782608695665</v>
      </c>
      <c r="J24" s="263" t="str" cm="1">
        <f t="array" ref="J24">_xll.d.TestUtils_Equal(H24,I24,0.00001)</f>
        <v>OK</v>
      </c>
      <c r="K24" s="242"/>
      <c r="L24" s="243"/>
      <c r="M24" s="66" t="s">
        <v>41</v>
      </c>
      <c r="N24" s="66"/>
      <c r="O24" s="250" t="str" cm="1">
        <f t="array" ref="O24">_xll.d.Curve_SingleCurveBootstrap("USDOIS",M27:N31,,M34:O36,M38:O59)</f>
        <v>@@USDOIS::11:19:17</v>
      </c>
      <c r="P24" s="251"/>
      <c r="R24" s="311">
        <f t="shared" ref="R24:R32" si="0">M40</f>
        <v>44685</v>
      </c>
      <c r="S24" s="322">
        <f>1/(1+N40*(M40-$R$23)/360)</f>
        <v>0.99971508120185737</v>
      </c>
      <c r="T24" s="329" cm="1">
        <f t="array" ref="T24">_xll.d.Curve_GetDiscountFactors($O$24,R24)</f>
        <v>0.99971508120185748</v>
      </c>
      <c r="U24" s="313" t="str" cm="1">
        <f t="array" ref="U24">_xll.d.TestUtils_Equal(S24,T24,0.001)</f>
        <v>OK</v>
      </c>
      <c r="V24" s="242"/>
      <c r="W24" s="243"/>
    </row>
    <row r="25" spans="2:50" x14ac:dyDescent="0.3">
      <c r="G25" s="271">
        <f>EDATE(G23,2)</f>
        <v>44774</v>
      </c>
      <c r="H25" s="281">
        <f>1/(1+YEARFRAC($G$23,G25,3)*C36)</f>
        <v>0.98356238210724867</v>
      </c>
      <c r="I25" s="281" cm="1">
        <f t="array" ref="I25">_xll.d.Curve_GetDiscountFactors($D$24,G25)</f>
        <v>0.98356238210724867</v>
      </c>
      <c r="J25" s="263" t="str" cm="1">
        <f t="array" ref="J25">_xll.d.TestUtils_Equal(H25,I25,0.00001)</f>
        <v>OK</v>
      </c>
      <c r="K25" s="242"/>
      <c r="L25" s="243"/>
      <c r="R25" s="311">
        <f t="shared" si="0"/>
        <v>44718</v>
      </c>
      <c r="S25" s="322">
        <f>1/(1+N41*(M41-$R$23)/360)</f>
        <v>0.99901222666088896</v>
      </c>
      <c r="T25" s="329" cm="1">
        <f t="array" ref="T25">_xll.d.Curve_GetDiscountFactors($O$24,R25)</f>
        <v>0.99901222666088918</v>
      </c>
      <c r="U25" s="313" t="str" cm="1">
        <f t="array" ref="U25">_xll.d.TestUtils_Equal(S25,T25,0.001)</f>
        <v>OK</v>
      </c>
      <c r="V25" s="242"/>
      <c r="W25" s="243"/>
      <c r="X25" s="58" t="s">
        <v>61</v>
      </c>
      <c r="Y25" s="59"/>
      <c r="AH25" s="58" t="s">
        <v>61</v>
      </c>
      <c r="AI25" s="59"/>
      <c r="AS25" s="58" t="s">
        <v>61</v>
      </c>
      <c r="AT25" s="59"/>
    </row>
    <row r="26" spans="2:50" x14ac:dyDescent="0.3">
      <c r="G26" s="271">
        <f>EDATE(G23,3)</f>
        <v>44805</v>
      </c>
      <c r="H26" s="281">
        <f>1/(1+YEARFRAC($G$23,G26,3)*C37)</f>
        <v>0.97541421699625863</v>
      </c>
      <c r="I26" s="281" cm="1">
        <f t="array" ref="I26">_xll.d.Curve_GetDiscountFactors($D$24,G26)</f>
        <v>0.97541421699625874</v>
      </c>
      <c r="J26" s="263" t="str" cm="1">
        <f t="array" ref="J26">_xll.d.TestUtils_Equal(H26,I26,0.00001)</f>
        <v>OK</v>
      </c>
      <c r="K26" s="242"/>
      <c r="L26" s="243"/>
      <c r="R26" s="311">
        <f t="shared" si="0"/>
        <v>44747</v>
      </c>
      <c r="S26" s="322">
        <f t="shared" ref="S26:S32" si="1">1/(1+N42*(M42-$R$23)/360)</f>
        <v>0.99816847176192491</v>
      </c>
      <c r="T26" s="329" cm="1">
        <f t="array" ref="T26">_xll.d.Curve_GetDiscountFactors($O$24,R26)</f>
        <v>0.9981684717619248</v>
      </c>
      <c r="U26" s="313" t="str" cm="1">
        <f t="array" ref="U26">_xll.d.TestUtils_Equal(S26,T26,0.001)</f>
        <v>OK</v>
      </c>
      <c r="V26" s="242"/>
      <c r="W26" s="243"/>
      <c r="X26" s="60" t="s">
        <v>32</v>
      </c>
      <c r="Y26" s="61" t="s">
        <v>33</v>
      </c>
      <c r="AH26" s="60" t="s">
        <v>32</v>
      </c>
      <c r="AI26" s="61" t="s">
        <v>33</v>
      </c>
      <c r="AS26" s="60" t="s">
        <v>32</v>
      </c>
      <c r="AT26" s="61" t="s">
        <v>33</v>
      </c>
    </row>
    <row r="27" spans="2:50" x14ac:dyDescent="0.3">
      <c r="B27" s="12" t="s">
        <v>61</v>
      </c>
      <c r="C27" s="13"/>
      <c r="G27" s="271">
        <f>EDATE(G23,6)</f>
        <v>44896</v>
      </c>
      <c r="H27" s="281">
        <f>H26*1/(1+YEARFRAC($G$26,G27,3)*C41)</f>
        <v>0.95168722053898536</v>
      </c>
      <c r="I27" s="281" cm="1">
        <f t="array" ref="I27">_xll.d.Curve_GetDiscountFactors($D$24,G27)</f>
        <v>0.95168722053898547</v>
      </c>
      <c r="J27" s="263" t="str" cm="1">
        <f t="array" ref="J27">_xll.d.TestUtils_Equal(H27,I27,0.00001)</f>
        <v>OK</v>
      </c>
      <c r="K27" s="242"/>
      <c r="L27" s="243"/>
      <c r="M27" s="12" t="s">
        <v>61</v>
      </c>
      <c r="N27" s="13"/>
      <c r="R27" s="311">
        <f t="shared" si="0"/>
        <v>44777</v>
      </c>
      <c r="S27" s="322">
        <f t="shared" si="1"/>
        <v>0.99710750192663333</v>
      </c>
      <c r="T27" s="329" cm="1">
        <f t="array" ref="T27">_xll.d.Curve_GetDiscountFactors($O$24,R27)</f>
        <v>0.99710750192663322</v>
      </c>
      <c r="U27" s="313" t="str" cm="1">
        <f t="array" ref="U27">_xll.d.TestUtils_Equal(S27,T27,0.001)</f>
        <v>OK</v>
      </c>
      <c r="V27" s="242"/>
      <c r="W27" s="243"/>
      <c r="X27" s="256" t="s">
        <v>36</v>
      </c>
      <c r="Y27" s="257" t="s">
        <v>37</v>
      </c>
      <c r="AA27" s="62"/>
      <c r="AH27" s="252" t="s">
        <v>217</v>
      </c>
      <c r="AI27" s="46">
        <v>44713</v>
      </c>
      <c r="AK27" s="62"/>
      <c r="AS27" s="252" t="s">
        <v>217</v>
      </c>
      <c r="AT27" s="46">
        <v>44713</v>
      </c>
      <c r="AV27" s="62"/>
    </row>
    <row r="28" spans="2:50" x14ac:dyDescent="0.3">
      <c r="B28" s="74" t="s">
        <v>32</v>
      </c>
      <c r="C28" s="76" t="s">
        <v>33</v>
      </c>
      <c r="G28" s="272">
        <f>EDATE(G23,9)</f>
        <v>44986</v>
      </c>
      <c r="H28" s="282">
        <f>H27*1/(1+C42*YEARFRAC(G27,G28,3))</f>
        <v>0.92878565640836808</v>
      </c>
      <c r="I28" s="282" cm="1">
        <f t="array" ref="I28">_xll.d.Curve_GetDiscountFactors($D$24,G28)</f>
        <v>0.92878565640836819</v>
      </c>
      <c r="J28" s="261" t="str" cm="1">
        <f t="array" ref="J28">_xll.d.TestUtils_Equal(H28,I28,0.00001)</f>
        <v>OK</v>
      </c>
      <c r="K28" s="242"/>
      <c r="L28" s="243"/>
      <c r="M28" s="74" t="s">
        <v>32</v>
      </c>
      <c r="N28" s="76" t="s">
        <v>33</v>
      </c>
      <c r="R28" s="311">
        <f t="shared" si="0"/>
        <v>44810</v>
      </c>
      <c r="S28" s="322">
        <f t="shared" si="1"/>
        <v>0.99567448579981488</v>
      </c>
      <c r="T28" s="329" cm="1">
        <f t="array" ref="T28">_xll.d.Curve_GetDiscountFactors($O$24,R28)</f>
        <v>0.99567448579981488</v>
      </c>
      <c r="U28" s="313" t="str" cm="1">
        <f t="array" ref="U28">_xll.d.TestUtils_Equal(S28,T28,0.001)</f>
        <v>OK</v>
      </c>
      <c r="V28" s="242"/>
      <c r="W28" s="243"/>
      <c r="X28" s="256"/>
      <c r="Y28" s="257"/>
      <c r="AA28" s="62"/>
      <c r="AH28" s="253"/>
      <c r="AI28" s="254"/>
      <c r="AK28" s="62"/>
      <c r="AS28" s="253" t="s">
        <v>36</v>
      </c>
      <c r="AT28" s="255" t="s">
        <v>221</v>
      </c>
      <c r="AV28" s="62"/>
    </row>
    <row r="29" spans="2:50" x14ac:dyDescent="0.3">
      <c r="B29" s="258" t="s">
        <v>217</v>
      </c>
      <c r="C29" s="262">
        <v>44713</v>
      </c>
      <c r="E29" s="62"/>
      <c r="K29" s="242"/>
      <c r="L29" s="243"/>
      <c r="M29" s="318" t="s">
        <v>217</v>
      </c>
      <c r="N29" s="320">
        <v>44655</v>
      </c>
      <c r="O29" s="8">
        <v>44651</v>
      </c>
      <c r="P29" s="62"/>
      <c r="R29" s="311">
        <f t="shared" si="0"/>
        <v>44838</v>
      </c>
      <c r="S29" s="322">
        <f t="shared" si="1"/>
        <v>0.99434894919688932</v>
      </c>
      <c r="T29" s="329" cm="1">
        <f t="array" ref="T29">_xll.d.Curve_GetDiscountFactors($O$24,R29)</f>
        <v>0.99434894919688921</v>
      </c>
      <c r="U29" s="314" t="str" cm="1">
        <f t="array" ref="U29">_xll.d.TestUtils_Equal(S29,T29,0.001)</f>
        <v>OK</v>
      </c>
      <c r="V29" s="242"/>
      <c r="W29" s="243"/>
    </row>
    <row r="30" spans="2:50" x14ac:dyDescent="0.3">
      <c r="B30" s="316" t="s">
        <v>256</v>
      </c>
      <c r="C30" s="283" t="s">
        <v>37</v>
      </c>
      <c r="E30" s="62"/>
      <c r="K30" s="242"/>
      <c r="L30" s="243"/>
      <c r="M30" s="316" t="s">
        <v>256</v>
      </c>
      <c r="N30" s="319" t="s">
        <v>67</v>
      </c>
      <c r="P30" s="62"/>
      <c r="R30" s="311">
        <f t="shared" si="0"/>
        <v>44930</v>
      </c>
      <c r="S30" s="322">
        <f t="shared" si="1"/>
        <v>0.98898517758465088</v>
      </c>
      <c r="T30" s="329" cm="1">
        <f t="array" ref="T30">_xll.d.Curve_GetDiscountFactors($O$24,R30)</f>
        <v>0.98898517758465088</v>
      </c>
      <c r="U30" s="314" t="str" cm="1">
        <f t="array" ref="U30">_xll.d.TestUtils_Equal(S30,T30,0.001)</f>
        <v>OK</v>
      </c>
      <c r="V30" s="242"/>
      <c r="W30" s="243"/>
    </row>
    <row r="31" spans="2:50" x14ac:dyDescent="0.3">
      <c r="B31" s="317" t="s">
        <v>57</v>
      </c>
      <c r="C31" s="261" t="s">
        <v>26</v>
      </c>
      <c r="K31" s="242"/>
      <c r="L31" s="243"/>
      <c r="M31" s="144" t="s">
        <v>57</v>
      </c>
      <c r="N31" s="145" t="s">
        <v>68</v>
      </c>
      <c r="P31" s="62"/>
      <c r="R31" s="311">
        <f t="shared" si="0"/>
        <v>45020</v>
      </c>
      <c r="S31" s="322">
        <f t="shared" si="1"/>
        <v>0.98275228786780011</v>
      </c>
      <c r="T31" s="329" cm="1">
        <f t="array" ref="T31">_xll.d.Curve_GetDiscountFactors($O$24,R31)</f>
        <v>0.98275228786780011</v>
      </c>
      <c r="U31" s="314" t="str" cm="1">
        <f t="array" ref="U31">_xll.d.TestUtils_Equal(S31,T31,0.001)</f>
        <v>OK</v>
      </c>
      <c r="V31" s="242"/>
      <c r="W31" s="243"/>
    </row>
    <row r="32" spans="2:50" x14ac:dyDescent="0.3">
      <c r="K32" s="242"/>
      <c r="L32" s="243"/>
      <c r="P32" s="62"/>
      <c r="R32" s="311">
        <f t="shared" si="0"/>
        <v>45203</v>
      </c>
      <c r="S32" s="322">
        <f t="shared" si="1"/>
        <v>0.96919510285098431</v>
      </c>
      <c r="T32" s="329" cm="1">
        <f t="array" ref="T32">_xll.d.Curve_GetDiscountFactors($O$24,R32)</f>
        <v>0.96893365478149973</v>
      </c>
      <c r="U32" s="314" t="str" cm="1">
        <f t="array" ref="U32">_xll.d.TestUtils_Equal(S32,T32,0.001)</f>
        <v>OK</v>
      </c>
      <c r="V32" s="242"/>
      <c r="W32" s="243"/>
      <c r="X32" s="12" t="s">
        <v>23</v>
      </c>
      <c r="Y32" s="13"/>
      <c r="Z32" s="13"/>
      <c r="AH32" s="12" t="s">
        <v>23</v>
      </c>
      <c r="AI32" s="13"/>
      <c r="AJ32" s="13"/>
      <c r="AS32" s="12" t="s">
        <v>23</v>
      </c>
      <c r="AT32" s="13"/>
      <c r="AU32" s="13"/>
    </row>
    <row r="33" spans="2:47" x14ac:dyDescent="0.3">
      <c r="B33" s="12" t="s">
        <v>23</v>
      </c>
      <c r="C33" s="27"/>
      <c r="D33" s="13"/>
      <c r="K33" s="242"/>
      <c r="L33" s="243"/>
      <c r="R33" s="311">
        <f t="shared" ref="R33:R39" si="2">M49</f>
        <v>45386</v>
      </c>
      <c r="S33" s="322">
        <f t="shared" ref="S33:S39" si="3">1/(1+N49*(M49-$R$23)/360)</f>
        <v>0.95528839028731749</v>
      </c>
      <c r="T33" s="329" cm="1">
        <f t="array" ref="T33">_xll.d.Curve_GetDiscountFactors($O$24,R33)</f>
        <v>0.95466125165760329</v>
      </c>
      <c r="U33" s="314" t="str" cm="1">
        <f t="array" ref="U33">_xll.d.TestUtils_Equal(S33,T33,0.001)</f>
        <v>OK</v>
      </c>
      <c r="V33" s="242"/>
      <c r="W33" s="243"/>
      <c r="X33" s="43" t="s">
        <v>39</v>
      </c>
      <c r="Y33" s="44" t="s">
        <v>40</v>
      </c>
      <c r="Z33" s="45" t="s">
        <v>53</v>
      </c>
      <c r="AH33" s="43" t="s">
        <v>39</v>
      </c>
      <c r="AI33" s="44" t="s">
        <v>40</v>
      </c>
      <c r="AJ33" s="45" t="s">
        <v>53</v>
      </c>
      <c r="AS33" s="43" t="s">
        <v>39</v>
      </c>
      <c r="AT33" s="44" t="s">
        <v>40</v>
      </c>
      <c r="AU33" s="45" t="s">
        <v>53</v>
      </c>
    </row>
    <row r="34" spans="2:47" x14ac:dyDescent="0.3">
      <c r="B34" s="74" t="s">
        <v>39</v>
      </c>
      <c r="C34" s="75" t="s">
        <v>40</v>
      </c>
      <c r="D34" s="76" t="s">
        <v>53</v>
      </c>
      <c r="K34" s="242"/>
      <c r="L34" s="243"/>
      <c r="M34" s="12" t="s">
        <v>23</v>
      </c>
      <c r="N34" s="27"/>
      <c r="O34" s="13"/>
      <c r="Q34" t="s">
        <v>62</v>
      </c>
      <c r="R34" s="311">
        <f t="shared" si="2"/>
        <v>45751</v>
      </c>
      <c r="S34" s="322">
        <f t="shared" si="3"/>
        <v>0.93336499860513777</v>
      </c>
      <c r="T34" s="329" cm="1">
        <f t="array" ref="T34">_xll.d.Curve_GetDiscountFactors($O$24,R34)</f>
        <v>0.93172212162756984</v>
      </c>
      <c r="U34" s="314" t="str" cm="1">
        <f t="array" ref="U34">_xll.d.TestUtils_Equal(S34,T34,0.001)</f>
        <v>ERROR</v>
      </c>
      <c r="V34" s="242"/>
      <c r="W34" s="243"/>
      <c r="X34" s="42" t="s">
        <v>27</v>
      </c>
      <c r="Y34" s="42">
        <v>0.1</v>
      </c>
      <c r="Z34" s="42" t="b">
        <v>1</v>
      </c>
      <c r="AH34" s="42" t="s">
        <v>27</v>
      </c>
      <c r="AI34" s="42">
        <v>0.1</v>
      </c>
      <c r="AJ34" s="42" t="b">
        <v>1</v>
      </c>
      <c r="AS34" s="42" t="s">
        <v>27</v>
      </c>
      <c r="AT34" s="42">
        <v>0.1</v>
      </c>
      <c r="AU34" s="42" t="b">
        <v>1</v>
      </c>
    </row>
    <row r="35" spans="2:47" x14ac:dyDescent="0.3">
      <c r="B35" s="291" t="s">
        <v>27</v>
      </c>
      <c r="C35" s="292">
        <v>0.1</v>
      </c>
      <c r="D35" s="293" t="b">
        <v>1</v>
      </c>
      <c r="F35" s="9"/>
      <c r="G35" s="284"/>
      <c r="K35" s="242"/>
      <c r="L35" s="243"/>
      <c r="M35" s="74" t="s">
        <v>39</v>
      </c>
      <c r="N35" s="75" t="s">
        <v>40</v>
      </c>
      <c r="O35" s="76" t="s">
        <v>53</v>
      </c>
      <c r="Q35" s="331" t="s">
        <v>63</v>
      </c>
      <c r="R35" s="311">
        <f t="shared" si="2"/>
        <v>46118</v>
      </c>
      <c r="S35" s="322">
        <f t="shared" si="3"/>
        <v>0.91503040379147926</v>
      </c>
      <c r="T35" s="329" cm="1">
        <f t="array" ref="T35">_xll.d.Curve_GetDiscountFactors($O$24,R35)</f>
        <v>0.91221752721251526</v>
      </c>
      <c r="U35" s="314" t="str" cm="1">
        <f t="array" ref="U35">_xll.d.TestUtils_Equal(S35,T35,0.001)</f>
        <v>ERROR</v>
      </c>
      <c r="V35" s="242"/>
      <c r="W35" s="243"/>
      <c r="X35" s="42" t="s">
        <v>28</v>
      </c>
      <c r="Y35" s="42">
        <v>0.1</v>
      </c>
      <c r="Z35" s="42" t="b">
        <v>1</v>
      </c>
      <c r="AH35" s="42" t="s">
        <v>28</v>
      </c>
      <c r="AI35" s="42">
        <v>0.1</v>
      </c>
      <c r="AJ35" s="42" t="b">
        <v>1</v>
      </c>
      <c r="AS35" s="42" t="s">
        <v>28</v>
      </c>
      <c r="AT35" s="42">
        <v>0.1</v>
      </c>
      <c r="AU35" s="42" t="b">
        <v>1</v>
      </c>
    </row>
    <row r="36" spans="2:47" x14ac:dyDescent="0.3">
      <c r="B36" s="294" t="s">
        <v>28</v>
      </c>
      <c r="C36" s="265">
        <v>0.1</v>
      </c>
      <c r="D36" s="295" t="b">
        <v>1</v>
      </c>
      <c r="F36" s="9"/>
      <c r="K36" s="242"/>
      <c r="L36" s="243"/>
      <c r="M36" s="267" t="s">
        <v>68</v>
      </c>
      <c r="N36" s="269">
        <v>3.3E-3</v>
      </c>
      <c r="O36" s="268" t="b">
        <v>1</v>
      </c>
      <c r="R36" s="311">
        <f t="shared" si="2"/>
        <v>46482</v>
      </c>
      <c r="S36" s="322">
        <f t="shared" si="3"/>
        <v>0.8991532224527552</v>
      </c>
      <c r="T36" s="329" cm="1">
        <f t="array" ref="T36">_xll.d.Curve_GetDiscountFactors($O$24,R36)</f>
        <v>0.8950983340626063</v>
      </c>
      <c r="U36" s="314" t="str" cm="1">
        <f t="array" ref="U36">_xll.d.TestUtils_Equal(S36,T36,0.001)</f>
        <v>ERROR</v>
      </c>
      <c r="V36" s="242"/>
      <c r="W36" s="243"/>
      <c r="X36" s="42" t="s">
        <v>26</v>
      </c>
      <c r="Y36" s="42">
        <v>0.1</v>
      </c>
      <c r="Z36" s="42" t="b">
        <v>1</v>
      </c>
      <c r="AH36" s="42" t="s">
        <v>26</v>
      </c>
      <c r="AI36" s="42">
        <v>0.1</v>
      </c>
      <c r="AJ36" s="42" t="b">
        <v>1</v>
      </c>
      <c r="AS36" s="42" t="s">
        <v>26</v>
      </c>
      <c r="AT36" s="42">
        <v>0.1</v>
      </c>
      <c r="AU36" s="42" t="b">
        <v>1</v>
      </c>
    </row>
    <row r="37" spans="2:47" x14ac:dyDescent="0.3">
      <c r="B37" s="296" t="s">
        <v>26</v>
      </c>
      <c r="C37" s="297">
        <v>0.1</v>
      </c>
      <c r="D37" s="298" t="b">
        <v>1</v>
      </c>
      <c r="F37" s="9"/>
      <c r="K37" s="242"/>
      <c r="L37" s="243"/>
      <c r="R37" s="311">
        <f t="shared" si="2"/>
        <v>47212</v>
      </c>
      <c r="S37" s="322">
        <f t="shared" si="3"/>
        <v>0.86816302924846078</v>
      </c>
      <c r="T37" s="329" cm="1">
        <f t="array" ref="T37">_xll.d.Curve_GetDiscountFactors($O$24,R37)</f>
        <v>0.86082884929520387</v>
      </c>
      <c r="U37" s="314" t="str" cm="1">
        <f t="array" ref="U37">_xll.d.TestUtils_Equal(S37,T37,0.001)</f>
        <v>ERROR</v>
      </c>
      <c r="V37" s="242"/>
      <c r="W37" s="243"/>
      <c r="X37" s="42" t="s">
        <v>29</v>
      </c>
      <c r="Y37" s="42">
        <v>0.1</v>
      </c>
      <c r="Z37" s="42" t="b">
        <v>1</v>
      </c>
      <c r="AH37" s="42" t="s">
        <v>29</v>
      </c>
      <c r="AI37" s="42">
        <v>0.1</v>
      </c>
      <c r="AJ37" s="42" t="b">
        <v>1</v>
      </c>
      <c r="AS37" s="42" t="s">
        <v>29</v>
      </c>
      <c r="AT37" s="42">
        <v>0.1</v>
      </c>
      <c r="AU37" s="42" t="b">
        <v>1</v>
      </c>
    </row>
    <row r="38" spans="2:47" x14ac:dyDescent="0.3">
      <c r="F38" s="9"/>
      <c r="K38" s="242"/>
      <c r="L38" s="243"/>
      <c r="M38" s="12" t="s">
        <v>66</v>
      </c>
      <c r="N38" s="27"/>
      <c r="O38" s="13"/>
      <c r="R38" s="311">
        <f t="shared" si="2"/>
        <v>48309</v>
      </c>
      <c r="S38" s="322">
        <f t="shared" si="3"/>
        <v>0.8245073259537179</v>
      </c>
      <c r="T38" s="329" cm="1">
        <f t="array" ref="T38">_xll.d.Curve_GetDiscountFactors($O$24,R38)</f>
        <v>0.81064184849750731</v>
      </c>
      <c r="U38" s="314" t="str" cm="1">
        <f t="array" ref="U38">_xll.d.TestUtils_Equal(S38,T38,0.001)</f>
        <v>ERROR</v>
      </c>
      <c r="V38" s="242"/>
      <c r="W38" s="243"/>
    </row>
    <row r="39" spans="2:47" x14ac:dyDescent="0.3">
      <c r="B39" s="12" t="s">
        <v>38</v>
      </c>
      <c r="C39" s="27"/>
      <c r="D39" s="13"/>
      <c r="F39" s="9"/>
      <c r="K39" s="242"/>
      <c r="L39" s="243"/>
      <c r="M39" s="74" t="s">
        <v>69</v>
      </c>
      <c r="N39" s="75" t="s">
        <v>40</v>
      </c>
      <c r="O39" s="76" t="s">
        <v>53</v>
      </c>
      <c r="R39" s="311">
        <f t="shared" si="2"/>
        <v>49038</v>
      </c>
      <c r="S39" s="322">
        <f t="shared" si="3"/>
        <v>0.79638441475700317</v>
      </c>
      <c r="T39" s="329" cm="1">
        <f t="array" ref="T39">_xll.d.Curve_GetDiscountFactors($O$24,R39)</f>
        <v>0.77697680844404871</v>
      </c>
      <c r="U39" s="314" t="str" cm="1">
        <f t="array" ref="U39">_xll.d.TestUtils_Equal(S39,T39,0.001)</f>
        <v>ERROR</v>
      </c>
      <c r="V39" s="242"/>
      <c r="W39" s="243"/>
      <c r="X39" s="12" t="s">
        <v>38</v>
      </c>
      <c r="Y39" s="13"/>
      <c r="Z39" s="13"/>
      <c r="AH39" s="12" t="s">
        <v>38</v>
      </c>
      <c r="AI39" s="13"/>
      <c r="AJ39" s="13"/>
      <c r="AS39" s="12" t="s">
        <v>38</v>
      </c>
      <c r="AT39" s="13"/>
      <c r="AU39" s="13"/>
    </row>
    <row r="40" spans="2:47" x14ac:dyDescent="0.3">
      <c r="B40" s="74" t="s">
        <v>230</v>
      </c>
      <c r="C40" s="75" t="s">
        <v>40</v>
      </c>
      <c r="D40" s="76" t="s">
        <v>53</v>
      </c>
      <c r="F40" s="9"/>
      <c r="K40" s="242"/>
      <c r="L40" s="243"/>
      <c r="M40" s="244">
        <v>44685</v>
      </c>
      <c r="N40" s="324">
        <v>3.4199999999999999E-3</v>
      </c>
      <c r="O40" s="246" t="b">
        <v>1</v>
      </c>
      <c r="T40" s="323"/>
      <c r="U40" s="330"/>
      <c r="V40" s="242"/>
      <c r="W40" s="243"/>
      <c r="X40" s="43" t="s">
        <v>39</v>
      </c>
      <c r="Y40" s="44" t="s">
        <v>40</v>
      </c>
      <c r="Z40" s="45" t="s">
        <v>53</v>
      </c>
      <c r="AH40" s="43" t="s">
        <v>39</v>
      </c>
      <c r="AI40" s="44" t="s">
        <v>40</v>
      </c>
      <c r="AJ40" s="45" t="s">
        <v>53</v>
      </c>
      <c r="AS40" s="43" t="s">
        <v>39</v>
      </c>
      <c r="AT40" s="44" t="s">
        <v>40</v>
      </c>
      <c r="AU40" s="45" t="s">
        <v>53</v>
      </c>
    </row>
    <row r="41" spans="2:47" x14ac:dyDescent="0.3">
      <c r="B41" s="300" t="s">
        <v>231</v>
      </c>
      <c r="C41" s="290">
        <v>0.1</v>
      </c>
      <c r="D41" s="289" t="b">
        <v>1</v>
      </c>
      <c r="F41" s="9"/>
      <c r="G41" s="8"/>
      <c r="K41" s="242"/>
      <c r="L41" s="243"/>
      <c r="M41" s="245">
        <v>44718</v>
      </c>
      <c r="N41" s="325">
        <v>5.6499999999999996E-3</v>
      </c>
      <c r="O41" s="247" t="b">
        <v>1</v>
      </c>
      <c r="T41" s="323"/>
      <c r="U41" s="330"/>
      <c r="V41" s="242"/>
      <c r="W41" s="243"/>
      <c r="X41" s="42" t="s">
        <v>29</v>
      </c>
      <c r="Y41" s="42">
        <v>0.1</v>
      </c>
      <c r="Z41" s="42" t="b">
        <v>1</v>
      </c>
      <c r="AH41" s="42" t="s">
        <v>29</v>
      </c>
      <c r="AI41" s="42">
        <v>0.1</v>
      </c>
      <c r="AJ41" s="42" t="b">
        <v>1</v>
      </c>
      <c r="AS41" s="42" t="s">
        <v>29</v>
      </c>
      <c r="AT41" s="42">
        <v>0.1</v>
      </c>
      <c r="AU41" s="42" t="b">
        <v>1</v>
      </c>
    </row>
    <row r="42" spans="2:47" x14ac:dyDescent="0.3">
      <c r="B42" s="301" t="s">
        <v>232</v>
      </c>
      <c r="C42" s="285">
        <v>0.1</v>
      </c>
      <c r="D42" s="286" t="b">
        <v>1</v>
      </c>
      <c r="F42" s="9"/>
      <c r="G42" s="299" t="s">
        <v>228</v>
      </c>
      <c r="K42" s="242"/>
      <c r="L42" s="243"/>
      <c r="M42" s="245">
        <v>44747</v>
      </c>
      <c r="N42" s="325">
        <v>7.1799999999999998E-3</v>
      </c>
      <c r="O42" s="247" t="b">
        <v>1</v>
      </c>
      <c r="T42" s="323"/>
      <c r="U42" s="330"/>
      <c r="V42" s="242"/>
      <c r="W42" s="243"/>
      <c r="X42" s="42" t="s">
        <v>30</v>
      </c>
      <c r="Y42" s="42">
        <v>0.1</v>
      </c>
      <c r="Z42" s="42" t="b">
        <v>1</v>
      </c>
      <c r="AH42" s="42" t="s">
        <v>30</v>
      </c>
      <c r="AI42" s="42">
        <v>0.1</v>
      </c>
      <c r="AJ42" s="42" t="b">
        <v>1</v>
      </c>
      <c r="AS42" s="42" t="s">
        <v>30</v>
      </c>
      <c r="AT42" s="42">
        <v>0.1</v>
      </c>
      <c r="AU42" s="42" t="b">
        <v>1</v>
      </c>
    </row>
    <row r="43" spans="2:47" x14ac:dyDescent="0.3">
      <c r="B43" s="302" t="s">
        <v>233</v>
      </c>
      <c r="C43" s="287">
        <v>0.1</v>
      </c>
      <c r="D43" s="288" t="b">
        <v>1</v>
      </c>
      <c r="F43" s="9"/>
      <c r="G43" t="s">
        <v>252</v>
      </c>
      <c r="K43" s="242"/>
      <c r="L43" s="243"/>
      <c r="M43" s="245">
        <v>44777</v>
      </c>
      <c r="N43" s="325">
        <v>8.5599999999999999E-3</v>
      </c>
      <c r="O43" s="247" t="b">
        <v>1</v>
      </c>
      <c r="T43" s="323"/>
      <c r="U43" s="330"/>
      <c r="V43" s="242"/>
      <c r="W43" s="243"/>
    </row>
    <row r="44" spans="2:47" x14ac:dyDescent="0.3">
      <c r="F44" s="9"/>
      <c r="G44" s="315" t="s">
        <v>251</v>
      </c>
      <c r="K44" s="242"/>
      <c r="L44" s="243"/>
      <c r="M44" s="245">
        <v>44810</v>
      </c>
      <c r="N44" s="325">
        <v>1.0089999999999998E-2</v>
      </c>
      <c r="O44" s="247" t="b">
        <v>1</v>
      </c>
      <c r="T44" s="323"/>
      <c r="U44" s="330"/>
      <c r="V44" s="242"/>
      <c r="W44" s="243"/>
      <c r="X44" s="12" t="s">
        <v>46</v>
      </c>
      <c r="Y44" s="13"/>
      <c r="Z44" s="13"/>
      <c r="AH44" s="12" t="s">
        <v>46</v>
      </c>
      <c r="AI44" s="13"/>
      <c r="AJ44" s="13"/>
      <c r="AS44" s="12" t="s">
        <v>46</v>
      </c>
      <c r="AT44" s="13"/>
      <c r="AU44" s="13"/>
    </row>
    <row r="45" spans="2:47" x14ac:dyDescent="0.3">
      <c r="B45" s="12" t="s">
        <v>46</v>
      </c>
      <c r="C45" s="27"/>
      <c r="D45" s="13"/>
      <c r="K45" s="242"/>
      <c r="L45" s="243"/>
      <c r="M45" s="245">
        <v>44838</v>
      </c>
      <c r="N45" s="325">
        <v>1.1180000000000001E-2</v>
      </c>
      <c r="O45" s="247" t="b">
        <v>1</v>
      </c>
      <c r="V45" s="242"/>
      <c r="W45" s="243"/>
      <c r="X45" s="43" t="s">
        <v>39</v>
      </c>
      <c r="Y45" s="44" t="s">
        <v>40</v>
      </c>
      <c r="Z45" s="45" t="s">
        <v>53</v>
      </c>
      <c r="AH45" s="43" t="s">
        <v>39</v>
      </c>
      <c r="AI45" s="44" t="s">
        <v>40</v>
      </c>
      <c r="AJ45" s="45" t="s">
        <v>53</v>
      </c>
      <c r="AS45" s="43" t="s">
        <v>39</v>
      </c>
      <c r="AT45" s="44" t="s">
        <v>40</v>
      </c>
      <c r="AU45" s="45" t="s">
        <v>53</v>
      </c>
    </row>
    <row r="46" spans="2:47" x14ac:dyDescent="0.3">
      <c r="B46" s="74" t="s">
        <v>39</v>
      </c>
      <c r="C46" s="75" t="s">
        <v>40</v>
      </c>
      <c r="D46" s="76" t="s">
        <v>53</v>
      </c>
      <c r="K46" s="242"/>
      <c r="L46" s="243"/>
      <c r="M46" s="245">
        <v>44930</v>
      </c>
      <c r="N46" s="325">
        <v>1.4579999999999999E-2</v>
      </c>
      <c r="O46" s="247" t="b">
        <v>1</v>
      </c>
      <c r="V46" s="242"/>
      <c r="W46" s="243"/>
      <c r="X46" s="42" t="s">
        <v>63</v>
      </c>
      <c r="Y46" s="42">
        <v>0.1</v>
      </c>
      <c r="Z46" s="42" t="b">
        <v>1</v>
      </c>
      <c r="AH46" s="42" t="s">
        <v>63</v>
      </c>
      <c r="AI46" s="42">
        <v>0.1</v>
      </c>
      <c r="AJ46" s="42" t="b">
        <v>1</v>
      </c>
      <c r="AS46" s="42" t="s">
        <v>63</v>
      </c>
      <c r="AT46" s="42">
        <v>0.1</v>
      </c>
      <c r="AU46" s="42" t="b">
        <v>1</v>
      </c>
    </row>
    <row r="47" spans="2:47" x14ac:dyDescent="0.3">
      <c r="B47" s="258" t="s">
        <v>63</v>
      </c>
      <c r="C47" s="264">
        <v>0.1</v>
      </c>
      <c r="D47" s="259" t="b">
        <v>1</v>
      </c>
      <c r="K47" s="242"/>
      <c r="L47" s="243"/>
      <c r="M47" s="245">
        <v>45020</v>
      </c>
      <c r="N47" s="325">
        <v>1.7310000000000002E-2</v>
      </c>
      <c r="O47" s="247" t="b">
        <v>1</v>
      </c>
      <c r="R47" t="s">
        <v>257</v>
      </c>
      <c r="S47" s="327">
        <f>1/(1+N36*(1/360))</f>
        <v>0.99999083341736039</v>
      </c>
      <c r="V47" s="242"/>
      <c r="W47" s="243"/>
      <c r="X47" s="42" t="s">
        <v>70</v>
      </c>
      <c r="Y47" s="42">
        <v>0.1</v>
      </c>
      <c r="Z47" s="42" t="b">
        <v>1</v>
      </c>
      <c r="AH47" s="42" t="s">
        <v>70</v>
      </c>
      <c r="AI47" s="42">
        <v>0.1</v>
      </c>
      <c r="AJ47" s="42" t="b">
        <v>1</v>
      </c>
      <c r="AS47" s="42" t="s">
        <v>70</v>
      </c>
      <c r="AT47" s="42">
        <v>0.1</v>
      </c>
      <c r="AU47" s="42" t="b">
        <v>1</v>
      </c>
    </row>
    <row r="48" spans="2:47" x14ac:dyDescent="0.3">
      <c r="B48" s="260" t="s">
        <v>70</v>
      </c>
      <c r="C48" s="266">
        <v>0.1</v>
      </c>
      <c r="D48" s="261" t="b">
        <v>1</v>
      </c>
      <c r="K48" s="242"/>
      <c r="L48" s="243"/>
      <c r="M48" s="245">
        <v>45203</v>
      </c>
      <c r="N48" s="325">
        <v>2.0879999999999999E-2</v>
      </c>
      <c r="O48" s="247" t="b">
        <v>1</v>
      </c>
      <c r="R48" t="s">
        <v>81</v>
      </c>
      <c r="S48" s="327">
        <f>EXP(-N36/360)</f>
        <v>0.99999083337534711</v>
      </c>
      <c r="V48" s="242"/>
      <c r="W48" s="243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3">
      <c r="K49" s="242"/>
      <c r="L49" s="243"/>
      <c r="M49" s="245">
        <v>45386</v>
      </c>
      <c r="N49" s="325">
        <v>2.3050000000000001E-2</v>
      </c>
      <c r="O49" s="247" t="b">
        <v>1</v>
      </c>
      <c r="R49" t="s">
        <v>258</v>
      </c>
      <c r="S49" s="327">
        <f>(1+N36)^(-1/360)</f>
        <v>0.99999084846701602</v>
      </c>
      <c r="V49" s="242"/>
      <c r="W49" s="243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3">
      <c r="K50" s="242"/>
      <c r="L50" s="243"/>
      <c r="M50" s="245">
        <v>45751</v>
      </c>
      <c r="N50" s="325">
        <v>2.3450000000000002E-2</v>
      </c>
      <c r="O50" s="247" t="b">
        <v>1</v>
      </c>
      <c r="V50" s="242"/>
      <c r="W50" s="243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3">
      <c r="K51" s="242"/>
      <c r="L51" s="243"/>
      <c r="M51" s="245">
        <v>46118</v>
      </c>
      <c r="N51" s="325">
        <v>2.2850000000000002E-2</v>
      </c>
      <c r="O51" s="247" t="b">
        <v>1</v>
      </c>
      <c r="V51" s="242"/>
      <c r="W51" s="243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3">
      <c r="K52" s="242"/>
      <c r="L52" s="243"/>
      <c r="M52" s="245">
        <v>46482</v>
      </c>
      <c r="N52" s="325">
        <v>2.2099999999999998E-2</v>
      </c>
      <c r="O52" s="247" t="b">
        <v>1</v>
      </c>
      <c r="V52" s="242"/>
      <c r="W52" s="243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3">
      <c r="K53" s="242"/>
      <c r="L53" s="243"/>
      <c r="M53" s="245">
        <v>47212</v>
      </c>
      <c r="N53" s="325">
        <v>2.138E-2</v>
      </c>
      <c r="O53" s="247" t="b">
        <v>1</v>
      </c>
      <c r="V53" s="242"/>
      <c r="W53" s="243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3">
      <c r="K54" s="242"/>
      <c r="L54" s="243"/>
      <c r="M54" s="245">
        <v>48309</v>
      </c>
      <c r="N54" s="325">
        <v>2.0969999999999999E-2</v>
      </c>
      <c r="O54" s="247" t="b">
        <v>1</v>
      </c>
      <c r="V54" s="242"/>
      <c r="W54" s="243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3">
      <c r="K55" s="242"/>
      <c r="L55" s="243"/>
      <c r="M55" s="245">
        <v>49038</v>
      </c>
      <c r="N55" s="325">
        <v>2.1000000000000001E-2</v>
      </c>
      <c r="O55" s="247" t="b">
        <v>1</v>
      </c>
      <c r="V55" s="242"/>
      <c r="W55" s="243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3">
      <c r="K56" s="242"/>
      <c r="L56" s="243"/>
      <c r="M56" s="245">
        <v>50136</v>
      </c>
      <c r="N56" s="325">
        <v>2.0959999999999999E-2</v>
      </c>
      <c r="O56" s="247" t="b">
        <v>1</v>
      </c>
      <c r="V56" s="242"/>
      <c r="W56" s="243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3">
      <c r="K57" s="242"/>
      <c r="L57" s="243"/>
      <c r="M57" s="245">
        <v>51963</v>
      </c>
      <c r="N57" s="325">
        <v>2.0830000000000001E-2</v>
      </c>
      <c r="O57" s="247" t="b">
        <v>1</v>
      </c>
      <c r="V57" s="242"/>
      <c r="W57" s="243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3">
      <c r="K58" s="242"/>
      <c r="L58" s="243"/>
      <c r="M58" s="245">
        <v>53786</v>
      </c>
      <c r="N58" s="325">
        <v>2.0250000000000001E-2</v>
      </c>
      <c r="O58" s="247" t="b">
        <v>1</v>
      </c>
      <c r="V58" s="242"/>
      <c r="W58" s="243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3">
      <c r="K59" s="242"/>
      <c r="L59" s="243"/>
      <c r="M59" s="249">
        <v>55613</v>
      </c>
      <c r="N59" s="326">
        <v>1.9550000000000001E-2</v>
      </c>
      <c r="O59" s="248" t="b">
        <v>1</v>
      </c>
      <c r="V59" s="242"/>
      <c r="W59" s="243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3">
      <c r="K60" s="242"/>
      <c r="L60" s="243"/>
      <c r="V60" s="242"/>
      <c r="W60" s="243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3">
      <c r="K61" s="242"/>
      <c r="L61" s="243"/>
      <c r="V61" s="242"/>
      <c r="W61" s="243"/>
    </row>
    <row r="62" spans="11:33" x14ac:dyDescent="0.3">
      <c r="K62" s="242"/>
      <c r="L62" s="243"/>
      <c r="V62" s="242"/>
      <c r="W62" s="243"/>
    </row>
    <row r="63" spans="11:33" x14ac:dyDescent="0.3">
      <c r="K63" s="242"/>
      <c r="L63" s="243"/>
      <c r="V63" s="242"/>
      <c r="W63" s="243"/>
    </row>
    <row r="64" spans="11:33" x14ac:dyDescent="0.3">
      <c r="K64" s="242"/>
      <c r="L64" s="243"/>
      <c r="V64" s="242"/>
      <c r="W64" s="243"/>
    </row>
    <row r="65" spans="11:23" x14ac:dyDescent="0.3">
      <c r="K65" s="242"/>
      <c r="L65" s="243"/>
      <c r="V65" s="242"/>
      <c r="W65" s="243"/>
    </row>
    <row r="66" spans="11:23" x14ac:dyDescent="0.3">
      <c r="K66" s="242"/>
      <c r="L66" s="243"/>
      <c r="V66" s="242"/>
      <c r="W66" s="243"/>
    </row>
  </sheetData>
  <conditionalFormatting sqref="J23:J28 D10 D13:D14">
    <cfRule type="cellIs" dxfId="164" priority="10" stopIfTrue="1" operator="equal">
      <formula>"ERROR"</formula>
    </cfRule>
    <cfRule type="cellIs" dxfId="163" priority="11" stopIfTrue="1" operator="equal">
      <formula>"OK"</formula>
    </cfRule>
    <cfRule type="cellIs" dxfId="162" priority="12" stopIfTrue="1" operator="equal">
      <formula>"WARNING"</formula>
    </cfRule>
  </conditionalFormatting>
  <conditionalFormatting sqref="U23:U39">
    <cfRule type="cellIs" dxfId="161" priority="13" stopIfTrue="1" operator="equal">
      <formula>"ERROR"</formula>
    </cfRule>
    <cfRule type="cellIs" dxfId="160" priority="14" stopIfTrue="1" operator="equal">
      <formula>"OK"</formula>
    </cfRule>
    <cfRule type="cellIs" dxfId="159" priority="15" stopIfTrue="1" operator="equal">
      <formula>"WARNING"</formula>
    </cfRule>
  </conditionalFormatting>
  <conditionalFormatting sqref="C6">
    <cfRule type="cellIs" dxfId="158" priority="7" stopIfTrue="1" operator="equal">
      <formula>"ERROR"</formula>
    </cfRule>
    <cfRule type="cellIs" dxfId="157" priority="8" stopIfTrue="1" operator="equal">
      <formula>"OK"</formula>
    </cfRule>
    <cfRule type="cellIs" dxfId="156" priority="9" stopIfTrue="1" operator="equal">
      <formula>"WARNING"</formula>
    </cfRule>
  </conditionalFormatting>
  <conditionalFormatting sqref="C21">
    <cfRule type="cellIs" dxfId="155" priority="4" stopIfTrue="1" operator="equal">
      <formula>"ERROR"</formula>
    </cfRule>
    <cfRule type="cellIs" dxfId="154" priority="5" stopIfTrue="1" operator="equal">
      <formula>"OK"</formula>
    </cfRule>
    <cfRule type="cellIs" dxfId="153" priority="6" stopIfTrue="1" operator="equal">
      <formula>"WARNING"</formula>
    </cfRule>
  </conditionalFormatting>
  <conditionalFormatting sqref="N21">
    <cfRule type="cellIs" dxfId="152" priority="1" stopIfTrue="1" operator="equal">
      <formula>"ERROR"</formula>
    </cfRule>
    <cfRule type="cellIs" dxfId="151" priority="2" stopIfTrue="1" operator="equal">
      <formula>"OK"</formula>
    </cfRule>
    <cfRule type="cellIs" dxfId="150" priority="3" stopIfTrue="1" operator="equal">
      <formula>"WARNING"</formula>
    </cfRule>
  </conditionalFormatting>
  <hyperlinks>
    <hyperlink ref="G44" r:id="rId1" xr:uid="{6E83939E-DE65-46DA-A531-F038BB9EC528}"/>
  </hyperlinks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2:M39"/>
  <sheetViews>
    <sheetView showGridLines="0" zoomScale="114" workbookViewId="0"/>
  </sheetViews>
  <sheetFormatPr defaultRowHeight="14.4" x14ac:dyDescent="0.3"/>
  <cols>
    <col min="1" max="1" width="3.77734375" customWidth="1"/>
    <col min="2" max="2" width="15.44140625" customWidth="1"/>
    <col min="3" max="3" width="21.6640625" customWidth="1"/>
    <col min="4" max="4" width="15.88671875" customWidth="1"/>
    <col min="5" max="6" width="21" customWidth="1"/>
    <col min="7" max="7" width="15" customWidth="1"/>
    <col min="8" max="8" width="22.44140625" customWidth="1"/>
    <col min="9" max="9" width="21.44140625" customWidth="1"/>
    <col min="10" max="10" width="13.44140625" customWidth="1"/>
    <col min="11" max="11" width="17.88671875" customWidth="1"/>
    <col min="13" max="13" width="27.33203125" customWidth="1"/>
  </cols>
  <sheetData>
    <row r="2" spans="2:13" ht="25.8" x14ac:dyDescent="0.5">
      <c r="B2" s="2" t="s">
        <v>59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3">
      <c r="B4" s="47" t="s">
        <v>50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3">
      <c r="B5" s="47" t="s">
        <v>51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" x14ac:dyDescent="0.35">
      <c r="B7" s="58" t="s">
        <v>61</v>
      </c>
      <c r="C7" s="59"/>
      <c r="D7" s="64"/>
      <c r="E7" s="64"/>
      <c r="I7" s="3" t="s">
        <v>34</v>
      </c>
      <c r="J7" s="3"/>
      <c r="K7" s="3"/>
      <c r="L7" s="3"/>
      <c r="M7" s="3"/>
    </row>
    <row r="8" spans="2:13" x14ac:dyDescent="0.3">
      <c r="B8" s="60" t="s">
        <v>32</v>
      </c>
      <c r="C8" s="61" t="s">
        <v>33</v>
      </c>
      <c r="D8" s="64"/>
      <c r="E8" s="64"/>
    </row>
    <row r="9" spans="2:13" x14ac:dyDescent="0.3">
      <c r="B9" s="42" t="s">
        <v>31</v>
      </c>
      <c r="C9" s="46">
        <v>44713</v>
      </c>
      <c r="I9" s="23" t="s">
        <v>35</v>
      </c>
      <c r="J9" s="41" t="s">
        <v>42</v>
      </c>
      <c r="K9" s="41" t="s">
        <v>43</v>
      </c>
      <c r="L9" s="41" t="s">
        <v>44</v>
      </c>
      <c r="M9" s="41" t="s">
        <v>45</v>
      </c>
    </row>
    <row r="10" spans="2:13" x14ac:dyDescent="0.3">
      <c r="B10" s="42" t="s">
        <v>50</v>
      </c>
      <c r="C10" s="54" t="s">
        <v>52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ca="1">L10/J10</f>
        <v>#NAME?</v>
      </c>
    </row>
    <row r="11" spans="2:13" x14ac:dyDescent="0.3">
      <c r="B11" s="42" t="s">
        <v>51</v>
      </c>
      <c r="C11" s="54" t="s">
        <v>48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ref="M11:M12" ca="1" si="1">L11/J11</f>
        <v>#NAME?</v>
      </c>
    </row>
    <row r="12" spans="2:13" x14ac:dyDescent="0.3">
      <c r="B12" s="55" t="s">
        <v>54</v>
      </c>
      <c r="C12" s="54" t="s">
        <v>55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3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ca="1">L13/J13</f>
        <v>#NAME?</v>
      </c>
    </row>
    <row r="14" spans="2:13" x14ac:dyDescent="0.3">
      <c r="B14" s="58" t="s">
        <v>58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ca="1">L14/J14</f>
        <v>#NAME?</v>
      </c>
    </row>
    <row r="15" spans="2:13" x14ac:dyDescent="0.3">
      <c r="B15" s="60" t="s">
        <v>32</v>
      </c>
      <c r="C15" s="61" t="s">
        <v>33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ca="1">L15/J15</f>
        <v>#NAME?</v>
      </c>
    </row>
    <row r="16" spans="2:13" x14ac:dyDescent="0.3">
      <c r="B16" s="42" t="s">
        <v>56</v>
      </c>
      <c r="C16" s="54" t="s">
        <v>52</v>
      </c>
    </row>
    <row r="17" spans="2:9" x14ac:dyDescent="0.3">
      <c r="B17" s="42" t="s">
        <v>36</v>
      </c>
      <c r="C17" s="54" t="s">
        <v>60</v>
      </c>
    </row>
    <row r="18" spans="2:9" x14ac:dyDescent="0.3">
      <c r="E18" s="42"/>
      <c r="F18" s="54"/>
      <c r="H18" s="46"/>
    </row>
    <row r="19" spans="2:9" x14ac:dyDescent="0.3">
      <c r="B19" s="58" t="s">
        <v>58</v>
      </c>
      <c r="C19" s="59"/>
      <c r="H19" s="46"/>
      <c r="I19" s="46"/>
    </row>
    <row r="20" spans="2:9" x14ac:dyDescent="0.3">
      <c r="B20" s="60" t="s">
        <v>32</v>
      </c>
      <c r="C20" s="61" t="s">
        <v>33</v>
      </c>
      <c r="H20" s="46"/>
      <c r="I20" s="46"/>
    </row>
    <row r="21" spans="2:9" x14ac:dyDescent="0.3">
      <c r="B21" s="42" t="s">
        <v>56</v>
      </c>
      <c r="C21" s="54" t="s">
        <v>48</v>
      </c>
      <c r="I21" s="46"/>
    </row>
    <row r="22" spans="2:9" x14ac:dyDescent="0.3">
      <c r="B22" s="42" t="s">
        <v>36</v>
      </c>
      <c r="C22" s="54" t="s">
        <v>49</v>
      </c>
      <c r="H22" s="42"/>
    </row>
    <row r="23" spans="2:9" x14ac:dyDescent="0.3">
      <c r="H23" s="42"/>
      <c r="I23" s="46"/>
    </row>
    <row r="24" spans="2:9" x14ac:dyDescent="0.3">
      <c r="B24" s="12" t="s">
        <v>23</v>
      </c>
      <c r="C24" s="27"/>
      <c r="D24" s="13"/>
      <c r="E24" s="13"/>
      <c r="F24" s="13"/>
      <c r="G24" s="13"/>
      <c r="I24" s="46"/>
    </row>
    <row r="25" spans="2:9" x14ac:dyDescent="0.3">
      <c r="B25" s="43" t="s">
        <v>39</v>
      </c>
      <c r="C25" s="44" t="s">
        <v>36</v>
      </c>
      <c r="D25" s="44" t="s">
        <v>40</v>
      </c>
      <c r="E25" s="63" t="s">
        <v>64</v>
      </c>
      <c r="F25" s="63" t="s">
        <v>65</v>
      </c>
      <c r="G25" s="45" t="s">
        <v>53</v>
      </c>
    </row>
    <row r="26" spans="2:9" x14ac:dyDescent="0.3">
      <c r="B26" s="42" t="s">
        <v>27</v>
      </c>
      <c r="C26" s="42" t="s">
        <v>37</v>
      </c>
      <c r="D26" s="42">
        <v>0.1</v>
      </c>
      <c r="E26" s="42" t="s">
        <v>52</v>
      </c>
      <c r="F26" s="42" t="s">
        <v>48</v>
      </c>
      <c r="G26" t="b">
        <v>1</v>
      </c>
    </row>
    <row r="27" spans="2:9" x14ac:dyDescent="0.3">
      <c r="B27" s="42" t="s">
        <v>28</v>
      </c>
      <c r="C27" s="42" t="s">
        <v>37</v>
      </c>
      <c r="D27" s="42">
        <v>0.1</v>
      </c>
      <c r="E27" s="42" t="s">
        <v>52</v>
      </c>
      <c r="F27" s="42" t="s">
        <v>48</v>
      </c>
      <c r="G27" t="b">
        <v>1</v>
      </c>
    </row>
    <row r="28" spans="2:9" x14ac:dyDescent="0.3">
      <c r="B28" s="42" t="s">
        <v>26</v>
      </c>
      <c r="C28" s="42" t="s">
        <v>37</v>
      </c>
      <c r="D28" s="42">
        <v>0.1</v>
      </c>
      <c r="E28" s="42" t="s">
        <v>52</v>
      </c>
      <c r="F28" s="42" t="s">
        <v>48</v>
      </c>
      <c r="G28" t="b">
        <v>1</v>
      </c>
    </row>
    <row r="29" spans="2:9" x14ac:dyDescent="0.3">
      <c r="B29" s="42" t="s">
        <v>29</v>
      </c>
      <c r="C29" s="42" t="s">
        <v>37</v>
      </c>
      <c r="D29" s="42">
        <v>0.1</v>
      </c>
      <c r="E29" s="42" t="s">
        <v>52</v>
      </c>
      <c r="F29" s="42" t="s">
        <v>48</v>
      </c>
      <c r="G29" t="b">
        <v>1</v>
      </c>
    </row>
    <row r="31" spans="2:9" x14ac:dyDescent="0.3">
      <c r="B31" s="12" t="s">
        <v>38</v>
      </c>
      <c r="C31" s="27"/>
      <c r="D31" s="13"/>
      <c r="E31" s="13"/>
      <c r="F31" s="13"/>
      <c r="G31" s="13"/>
    </row>
    <row r="32" spans="2:9" x14ac:dyDescent="0.3">
      <c r="B32" s="43" t="s">
        <v>39</v>
      </c>
      <c r="C32" s="44" t="s">
        <v>36</v>
      </c>
      <c r="D32" s="44" t="s">
        <v>40</v>
      </c>
      <c r="E32" s="63" t="s">
        <v>64</v>
      </c>
      <c r="F32" s="63" t="s">
        <v>65</v>
      </c>
      <c r="G32" s="45" t="s">
        <v>53</v>
      </c>
    </row>
    <row r="33" spans="2:7" x14ac:dyDescent="0.3">
      <c r="B33" s="42" t="s">
        <v>29</v>
      </c>
      <c r="C33" s="42" t="s">
        <v>37</v>
      </c>
      <c r="D33" s="42">
        <v>0.1</v>
      </c>
      <c r="E33" s="42" t="s">
        <v>52</v>
      </c>
      <c r="F33" s="42" t="s">
        <v>48</v>
      </c>
      <c r="G33" t="b">
        <v>1</v>
      </c>
    </row>
    <row r="34" spans="2:7" x14ac:dyDescent="0.3">
      <c r="B34" s="42" t="s">
        <v>30</v>
      </c>
      <c r="C34" s="42" t="s">
        <v>37</v>
      </c>
      <c r="D34" s="42">
        <v>0.1</v>
      </c>
      <c r="E34" s="42" t="s">
        <v>52</v>
      </c>
      <c r="F34" s="42" t="s">
        <v>48</v>
      </c>
      <c r="G34" t="b">
        <v>1</v>
      </c>
    </row>
    <row r="36" spans="2:7" x14ac:dyDescent="0.3">
      <c r="B36" s="12" t="s">
        <v>46</v>
      </c>
      <c r="C36" s="27"/>
      <c r="D36" s="13"/>
      <c r="E36" s="13"/>
      <c r="F36" s="13"/>
      <c r="G36" s="13"/>
    </row>
    <row r="37" spans="2:7" x14ac:dyDescent="0.3">
      <c r="B37" s="43" t="s">
        <v>24</v>
      </c>
      <c r="C37" s="44" t="s">
        <v>36</v>
      </c>
      <c r="D37" s="44" t="s">
        <v>25</v>
      </c>
      <c r="E37" s="63" t="s">
        <v>64</v>
      </c>
      <c r="F37" s="63" t="s">
        <v>65</v>
      </c>
      <c r="G37" s="45" t="s">
        <v>53</v>
      </c>
    </row>
    <row r="38" spans="2:7" x14ac:dyDescent="0.3">
      <c r="B38" s="42" t="s">
        <v>62</v>
      </c>
      <c r="C38" s="42" t="s">
        <v>37</v>
      </c>
      <c r="D38" s="42">
        <v>0.1</v>
      </c>
      <c r="E38" s="42" t="s">
        <v>52</v>
      </c>
      <c r="F38" s="42" t="s">
        <v>48</v>
      </c>
      <c r="G38" t="b">
        <v>1</v>
      </c>
    </row>
    <row r="39" spans="2:7" x14ac:dyDescent="0.3">
      <c r="B39" s="42" t="s">
        <v>63</v>
      </c>
      <c r="C39" s="42" t="s">
        <v>37</v>
      </c>
      <c r="D39" s="42">
        <v>0.1</v>
      </c>
      <c r="E39" s="42" t="s">
        <v>52</v>
      </c>
      <c r="F39" s="42" t="s">
        <v>48</v>
      </c>
      <c r="G39" t="b">
        <v>1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2:J67"/>
  <sheetViews>
    <sheetView showGridLines="0" zoomScale="115" zoomScaleNormal="115" workbookViewId="0"/>
  </sheetViews>
  <sheetFormatPr defaultRowHeight="14.4" x14ac:dyDescent="0.3"/>
  <cols>
    <col min="1" max="1" width="3.6640625" customWidth="1"/>
    <col min="2" max="2" width="14.88671875" customWidth="1"/>
    <col min="3" max="3" width="15.44140625" customWidth="1"/>
    <col min="7" max="7" width="19.77734375" customWidth="1"/>
    <col min="8" max="8" width="11.88671875" customWidth="1"/>
    <col min="9" max="9" width="13.21875" customWidth="1"/>
    <col min="10" max="10" width="9.88671875" customWidth="1"/>
  </cols>
  <sheetData>
    <row r="2" spans="2:10" ht="25.8" x14ac:dyDescent="0.5">
      <c r="B2" s="2" t="s">
        <v>12</v>
      </c>
      <c r="C2" s="2"/>
      <c r="D2" s="2"/>
      <c r="E2" s="2"/>
      <c r="F2" s="2"/>
      <c r="G2" s="2"/>
      <c r="H2" s="2"/>
      <c r="I2" s="2"/>
      <c r="J2" s="2"/>
    </row>
    <row r="4" spans="2:10" ht="18" x14ac:dyDescent="0.35">
      <c r="B4" s="3" t="s">
        <v>13</v>
      </c>
      <c r="C4" s="3"/>
      <c r="D4" s="3"/>
      <c r="E4" s="3"/>
      <c r="G4" s="3" t="s">
        <v>14</v>
      </c>
      <c r="H4" s="3"/>
      <c r="I4" s="3"/>
      <c r="J4" s="3"/>
    </row>
    <row r="6" spans="2:10" x14ac:dyDescent="0.3">
      <c r="B6" s="12" t="s">
        <v>3</v>
      </c>
      <c r="C6" s="25" t="str" cm="1">
        <f t="array" ref="C6">_xll.d.Curve_Create("CurveForHullWhite",,B9:B41,C9:C41)</f>
        <v>DayCountConvention not set in parameters.</v>
      </c>
      <c r="D6" s="25"/>
      <c r="E6" s="26"/>
      <c r="F6" s="9"/>
      <c r="G6" s="12" t="s">
        <v>18</v>
      </c>
      <c r="H6" s="27" t="s">
        <v>19</v>
      </c>
      <c r="I6" s="27" t="s">
        <v>20</v>
      </c>
      <c r="J6" s="13" t="s">
        <v>15</v>
      </c>
    </row>
    <row r="7" spans="2:10" x14ac:dyDescent="0.3">
      <c r="F7" s="9"/>
      <c r="G7" s="14">
        <v>7</v>
      </c>
      <c r="H7" s="28">
        <v>1</v>
      </c>
      <c r="I7" s="31">
        <v>0.36199999999999999</v>
      </c>
      <c r="J7" s="34" t="s">
        <v>16</v>
      </c>
    </row>
    <row r="8" spans="2:10" x14ac:dyDescent="0.3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16</v>
      </c>
    </row>
    <row r="9" spans="2:10" x14ac:dyDescent="0.3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16</v>
      </c>
    </row>
    <row r="10" spans="2:10" x14ac:dyDescent="0.3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16</v>
      </c>
    </row>
    <row r="11" spans="2:10" x14ac:dyDescent="0.3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16</v>
      </c>
    </row>
    <row r="12" spans="2:10" x14ac:dyDescent="0.3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16</v>
      </c>
    </row>
    <row r="13" spans="2:10" x14ac:dyDescent="0.3">
      <c r="B13" s="18">
        <v>44773</v>
      </c>
      <c r="C13" s="21">
        <v>0.99979600000000002</v>
      </c>
    </row>
    <row r="14" spans="2:10" x14ac:dyDescent="0.3">
      <c r="B14" s="18">
        <v>44802</v>
      </c>
      <c r="C14" s="21">
        <v>0.99965800000000005</v>
      </c>
    </row>
    <row r="15" spans="2:10" ht="18" x14ac:dyDescent="0.35">
      <c r="B15" s="18">
        <v>44830</v>
      </c>
      <c r="C15" s="21">
        <v>0.99958499999999995</v>
      </c>
      <c r="G15" s="3" t="s">
        <v>17</v>
      </c>
      <c r="H15" s="3"/>
      <c r="I15" s="3"/>
      <c r="J15" s="3"/>
    </row>
    <row r="16" spans="2:10" x14ac:dyDescent="0.3">
      <c r="B16" s="18">
        <v>44857</v>
      </c>
      <c r="C16" s="21">
        <v>0.999421</v>
      </c>
    </row>
    <row r="17" spans="2:9" x14ac:dyDescent="0.3">
      <c r="B17" s="18">
        <v>44887</v>
      </c>
      <c r="C17" s="21">
        <v>0.99924900000000005</v>
      </c>
      <c r="G17" s="12" t="s">
        <v>21</v>
      </c>
      <c r="H17" s="39" t="e" cm="1">
        <f t="array" ref="H17">_xll.d.HullWhite_Calibrate("HW",C6,G6:J12)</f>
        <v>#VALUE!</v>
      </c>
      <c r="I17" s="40"/>
    </row>
    <row r="18" spans="2:9" x14ac:dyDescent="0.3">
      <c r="B18" s="18">
        <v>44920</v>
      </c>
      <c r="C18" s="21">
        <v>0.99921499999999996</v>
      </c>
    </row>
    <row r="19" spans="2:9" x14ac:dyDescent="0.3">
      <c r="B19" s="18">
        <v>44949</v>
      </c>
      <c r="C19" s="21">
        <v>0.99906200000000001</v>
      </c>
    </row>
    <row r="20" spans="2:9" x14ac:dyDescent="0.3">
      <c r="B20" s="18">
        <v>44979</v>
      </c>
      <c r="C20" s="21">
        <v>0.99885800000000002</v>
      </c>
    </row>
    <row r="21" spans="2:9" x14ac:dyDescent="0.3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3">
      <c r="B22" s="18">
        <v>45041</v>
      </c>
      <c r="C22" s="21">
        <v>0.99856400000000001</v>
      </c>
      <c r="G22" s="18"/>
      <c r="H22" s="21"/>
    </row>
    <row r="23" spans="2:9" x14ac:dyDescent="0.3">
      <c r="B23" s="18">
        <v>45071</v>
      </c>
      <c r="C23" s="21">
        <v>0.998309</v>
      </c>
      <c r="G23" s="19"/>
      <c r="H23" s="22"/>
    </row>
    <row r="24" spans="2:9" x14ac:dyDescent="0.3">
      <c r="B24" s="18">
        <v>45162</v>
      </c>
      <c r="C24" s="21">
        <v>0.99748499999999996</v>
      </c>
    </row>
    <row r="25" spans="2:9" x14ac:dyDescent="0.3">
      <c r="B25" s="18">
        <v>45252</v>
      </c>
      <c r="C25" s="21">
        <v>0.99626000000000003</v>
      </c>
    </row>
    <row r="26" spans="2:9" x14ac:dyDescent="0.3">
      <c r="B26" s="18">
        <v>45344</v>
      </c>
      <c r="C26" s="21">
        <v>0.99468800000000002</v>
      </c>
    </row>
    <row r="27" spans="2:9" x14ac:dyDescent="0.3">
      <c r="B27" s="18">
        <v>45438</v>
      </c>
      <c r="C27" s="21">
        <v>0.99261299999999997</v>
      </c>
    </row>
    <row r="28" spans="2:9" x14ac:dyDescent="0.3">
      <c r="B28" s="18">
        <v>45806</v>
      </c>
      <c r="C28" s="21">
        <v>0.98043999999999998</v>
      </c>
    </row>
    <row r="29" spans="2:9" x14ac:dyDescent="0.3">
      <c r="B29" s="18">
        <v>46173</v>
      </c>
      <c r="C29" s="21">
        <v>0.96520099999999998</v>
      </c>
    </row>
    <row r="30" spans="2:9" x14ac:dyDescent="0.3">
      <c r="B30" s="18">
        <v>46537</v>
      </c>
      <c r="C30" s="21">
        <v>0.94818400000000003</v>
      </c>
    </row>
    <row r="31" spans="2:9" x14ac:dyDescent="0.3">
      <c r="B31" s="18">
        <v>46901</v>
      </c>
      <c r="C31" s="21">
        <v>0.93045800000000001</v>
      </c>
    </row>
    <row r="32" spans="2:9" x14ac:dyDescent="0.3">
      <c r="B32" s="18">
        <v>47267</v>
      </c>
      <c r="C32" s="21">
        <v>0.91225999999999996</v>
      </c>
    </row>
    <row r="33" spans="2:3" x14ac:dyDescent="0.3">
      <c r="B33" s="18">
        <v>47632</v>
      </c>
      <c r="C33" s="21">
        <v>0.89427000000000001</v>
      </c>
    </row>
    <row r="34" spans="2:3" x14ac:dyDescent="0.3">
      <c r="B34" s="18">
        <v>47997</v>
      </c>
      <c r="C34" s="21">
        <v>0.87622500000000003</v>
      </c>
    </row>
    <row r="35" spans="2:3" x14ac:dyDescent="0.3">
      <c r="B35" s="18">
        <v>48364</v>
      </c>
      <c r="C35" s="21">
        <v>0.85857799999999995</v>
      </c>
    </row>
    <row r="36" spans="2:3" x14ac:dyDescent="0.3">
      <c r="B36" s="18">
        <v>49093</v>
      </c>
      <c r="C36" s="21">
        <v>0.82275399999999999</v>
      </c>
    </row>
    <row r="37" spans="2:3" x14ac:dyDescent="0.3">
      <c r="B37" s="18">
        <v>50191</v>
      </c>
      <c r="C37" s="21">
        <v>0.77304499999999998</v>
      </c>
    </row>
    <row r="38" spans="2:3" x14ac:dyDescent="0.3">
      <c r="B38" s="18">
        <v>52015</v>
      </c>
      <c r="C38" s="21">
        <v>0.69641399999999998</v>
      </c>
    </row>
    <row r="39" spans="2:3" x14ac:dyDescent="0.3">
      <c r="B39" s="18">
        <v>53841</v>
      </c>
      <c r="C39" s="21">
        <v>0.63234400000000002</v>
      </c>
    </row>
    <row r="40" spans="2:3" x14ac:dyDescent="0.3">
      <c r="B40" s="18">
        <v>55667</v>
      </c>
      <c r="C40" s="21">
        <v>0.57906999999999997</v>
      </c>
    </row>
    <row r="41" spans="2:3" x14ac:dyDescent="0.3">
      <c r="B41" s="19">
        <v>59320</v>
      </c>
      <c r="C41" s="22">
        <v>0.49973099999999998</v>
      </c>
    </row>
    <row r="42" spans="2:3" x14ac:dyDescent="0.3">
      <c r="B42" s="8"/>
    </row>
    <row r="55" spans="2:6" ht="18" x14ac:dyDescent="0.35">
      <c r="B55" s="3" t="s">
        <v>5</v>
      </c>
      <c r="C55" s="3"/>
    </row>
    <row r="57" spans="2:6" x14ac:dyDescent="0.3">
      <c r="B57" s="7" t="s">
        <v>10</v>
      </c>
      <c r="C57" s="7" t="s">
        <v>11</v>
      </c>
    </row>
    <row r="58" spans="2:6" x14ac:dyDescent="0.3">
      <c r="B58" t="s">
        <v>6</v>
      </c>
      <c r="C58" t="e" cm="1">
        <f t="array" aca="1" ref="C58" ca="1">_xll.d.And(F62:F64)</f>
        <v>#NAME?</v>
      </c>
    </row>
    <row r="60" spans="2:6" ht="15.6" x14ac:dyDescent="0.3">
      <c r="B60" s="4" t="s">
        <v>6</v>
      </c>
      <c r="C60" s="4"/>
    </row>
    <row r="62" spans="2:6" x14ac:dyDescent="0.3">
      <c r="B62" t="s">
        <v>8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3">
      <c r="B64" t="s">
        <v>9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6" x14ac:dyDescent="0.3">
      <c r="B67" s="4" t="s">
        <v>7</v>
      </c>
      <c r="C67" s="4"/>
      <c r="E67" s="6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Sheet10">
    <tabColor theme="1"/>
  </sheetPr>
  <dimension ref="B2"/>
  <sheetViews>
    <sheetView showGridLines="0" workbookViewId="0"/>
  </sheetViews>
  <sheetFormatPr defaultRowHeight="14.4" x14ac:dyDescent="0.3"/>
  <cols>
    <col min="1" max="1" width="3.77734375" customWidth="1"/>
  </cols>
  <sheetData>
    <row r="2" spans="2:2" x14ac:dyDescent="0.3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Sheet11">
    <tabColor theme="4" tint="-0.499984740745262"/>
  </sheetPr>
  <dimension ref="B2:J34"/>
  <sheetViews>
    <sheetView showGridLines="0" zoomScale="115" zoomScaleNormal="115" workbookViewId="0"/>
  </sheetViews>
  <sheetFormatPr defaultRowHeight="14.4" x14ac:dyDescent="0.3"/>
  <cols>
    <col min="1" max="1" width="3.77734375" customWidth="1"/>
    <col min="2" max="3" width="15.44140625" customWidth="1"/>
    <col min="4" max="4" width="15.88671875" customWidth="1"/>
    <col min="5" max="5" width="10" customWidth="1"/>
    <col min="7" max="7" width="14.88671875" bestFit="1" customWidth="1"/>
    <col min="8" max="8" width="22.44140625" customWidth="1"/>
    <col min="9" max="9" width="21.44140625" customWidth="1"/>
    <col min="10" max="10" width="10" customWidth="1"/>
  </cols>
  <sheetData>
    <row r="2" spans="2:10" ht="25.8" x14ac:dyDescent="0.5">
      <c r="B2" s="2" t="s">
        <v>46</v>
      </c>
      <c r="C2" s="2"/>
      <c r="D2" s="2"/>
      <c r="E2" s="2"/>
      <c r="F2" s="2"/>
      <c r="G2" s="2"/>
      <c r="H2" s="2"/>
      <c r="I2" s="2"/>
      <c r="J2" s="2"/>
    </row>
    <row r="4" spans="2:10" ht="18" x14ac:dyDescent="0.35">
      <c r="B4" s="3" t="s">
        <v>170</v>
      </c>
      <c r="C4" s="3"/>
      <c r="D4" s="3"/>
      <c r="E4" s="3"/>
      <c r="F4" s="3"/>
      <c r="G4" s="3"/>
      <c r="H4" s="3"/>
      <c r="I4" s="3"/>
      <c r="J4" s="3"/>
    </row>
    <row r="6" spans="2:10" x14ac:dyDescent="0.3">
      <c r="B6" s="59" t="s">
        <v>170</v>
      </c>
      <c r="C6" s="185" t="str" cm="1">
        <f t="array" ref="C6">_xll.d.TestUtils_And(D10:D13)</f>
        <v>ERROR</v>
      </c>
    </row>
    <row r="8" spans="2:10" x14ac:dyDescent="0.3">
      <c r="B8" s="228" t="s">
        <v>10</v>
      </c>
      <c r="C8" s="228"/>
      <c r="D8" s="229" t="s">
        <v>11</v>
      </c>
    </row>
    <row r="9" spans="2:10" x14ac:dyDescent="0.3">
      <c r="B9" s="277" t="s">
        <v>226</v>
      </c>
      <c r="C9" s="278"/>
      <c r="D9" s="279"/>
    </row>
    <row r="10" spans="2:10" x14ac:dyDescent="0.3">
      <c r="B10" s="238" t="str">
        <f>B18</f>
        <v>Flat Curve, 3m JIBAR</v>
      </c>
      <c r="C10" s="276"/>
      <c r="D10" s="185" t="str">
        <f>C20</f>
        <v>ERROR</v>
      </c>
    </row>
    <row r="12" spans="2:10" x14ac:dyDescent="0.3">
      <c r="B12" s="277" t="s">
        <v>227</v>
      </c>
      <c r="C12" s="278"/>
      <c r="D12" s="279"/>
    </row>
    <row r="13" spans="2:10" x14ac:dyDescent="0.3">
      <c r="B13" s="238" t="e">
        <f>#REF!</f>
        <v>#REF!</v>
      </c>
      <c r="C13" s="276"/>
      <c r="D13" s="185" t="str">
        <f>C32</f>
        <v>ZAR</v>
      </c>
    </row>
    <row r="16" spans="2:10" ht="18" x14ac:dyDescent="0.35">
      <c r="B16" s="3" t="s">
        <v>234</v>
      </c>
      <c r="C16" s="3"/>
      <c r="D16" s="3"/>
      <c r="E16" s="3"/>
      <c r="F16" s="3"/>
      <c r="G16" s="3"/>
      <c r="H16" s="3"/>
      <c r="I16" s="3"/>
      <c r="J16" s="3"/>
    </row>
    <row r="18" spans="2:10" ht="15.6" x14ac:dyDescent="0.3">
      <c r="B18" s="4" t="s">
        <v>229</v>
      </c>
      <c r="C18" s="4"/>
      <c r="D18" s="4"/>
      <c r="E18" s="4"/>
      <c r="F18" s="4"/>
      <c r="G18" s="4"/>
      <c r="H18" s="4"/>
      <c r="I18" s="4"/>
      <c r="J18" s="4"/>
    </row>
    <row r="20" spans="2:10" x14ac:dyDescent="0.3">
      <c r="B20" s="59" t="s">
        <v>136</v>
      </c>
      <c r="C20" s="185" t="str" cm="1">
        <f t="array" ref="C20">_xll.d.TestUtils_And(J22:J27)</f>
        <v>ERROR</v>
      </c>
      <c r="G20" s="273" t="s">
        <v>225</v>
      </c>
      <c r="H20" s="274"/>
      <c r="I20" s="274"/>
      <c r="J20" s="275"/>
    </row>
    <row r="21" spans="2:10" x14ac:dyDescent="0.3">
      <c r="G21" s="74" t="s">
        <v>35</v>
      </c>
      <c r="H21" s="75" t="s">
        <v>42</v>
      </c>
      <c r="I21" s="75" t="s">
        <v>43</v>
      </c>
      <c r="J21" s="76" t="s">
        <v>88</v>
      </c>
    </row>
    <row r="22" spans="2:10" x14ac:dyDescent="0.3">
      <c r="G22" s="270">
        <f>C28</f>
        <v>44713</v>
      </c>
      <c r="H22" s="280">
        <v>1</v>
      </c>
      <c r="I22" s="280" t="e" cm="1">
        <f t="array" ref="I22">_xll.d.Curve_GetDiscountFactors($C$23,G22)</f>
        <v>#VALUE!</v>
      </c>
      <c r="J22" s="259" t="str" cm="1">
        <f t="array" ref="J22">_xll.d.TestUtils_Equal(H22,I22,0.00001)</f>
        <v>ERROR</v>
      </c>
    </row>
    <row r="23" spans="2:10" x14ac:dyDescent="0.3">
      <c r="B23" s="66" t="s">
        <v>239</v>
      </c>
      <c r="C23" s="306" t="s">
        <v>240</v>
      </c>
      <c r="D23" s="251"/>
      <c r="G23" s="271">
        <f>EDATE(G22,1)</f>
        <v>44743</v>
      </c>
      <c r="H23" s="281" t="e">
        <f>1/(1+YEARFRAC($G$22,G23,3)*#REF!)</f>
        <v>#REF!</v>
      </c>
      <c r="I23" s="281" t="e" cm="1">
        <f t="array" ref="I23">_xll.d.Curve_GetDiscountFactors($C$23,G23)</f>
        <v>#VALUE!</v>
      </c>
      <c r="J23" s="263" t="str" cm="1">
        <f t="array" ref="J23">_xll.d.TestUtils_Equal(H23,I23,0.00001)</f>
        <v>ERROR</v>
      </c>
    </row>
    <row r="24" spans="2:10" x14ac:dyDescent="0.3">
      <c r="G24" s="271">
        <f>EDATE(G22,2)</f>
        <v>44774</v>
      </c>
      <c r="H24" s="281" t="e">
        <f>1/(1+YEARFRAC($G$22,G24,3)*#REF!)</f>
        <v>#REF!</v>
      </c>
      <c r="I24" s="281" t="e" cm="1">
        <f t="array" ref="I24">_xll.d.Curve_GetDiscountFactors($C$23,G24)</f>
        <v>#VALUE!</v>
      </c>
      <c r="J24" s="263" t="str" cm="1">
        <f t="array" ref="J24">_xll.d.TestUtils_Equal(H24,I24,0.00001)</f>
        <v>ERROR</v>
      </c>
    </row>
    <row r="25" spans="2:10" x14ac:dyDescent="0.3">
      <c r="G25" s="271">
        <f>EDATE(G22,3)</f>
        <v>44805</v>
      </c>
      <c r="H25" s="281" t="e">
        <f>1/(1+YEARFRAC($G$22,G25,3)*#REF!)</f>
        <v>#REF!</v>
      </c>
      <c r="I25" s="281" t="e" cm="1">
        <f t="array" ref="I25">_xll.d.Curve_GetDiscountFactors($C$23,G25)</f>
        <v>#VALUE!</v>
      </c>
      <c r="J25" s="263" t="str" cm="1">
        <f t="array" ref="J25">_xll.d.TestUtils_Equal(H25,I25,0.00001)</f>
        <v>ERROR</v>
      </c>
    </row>
    <row r="26" spans="2:10" x14ac:dyDescent="0.3">
      <c r="B26" s="12" t="s">
        <v>235</v>
      </c>
      <c r="C26" s="13"/>
      <c r="G26" s="271">
        <f>EDATE(G22,6)</f>
        <v>44896</v>
      </c>
      <c r="H26" s="281" t="e">
        <f>H25*1/(1+YEARFRAC($G$25,G26,3)*#REF!)</f>
        <v>#REF!</v>
      </c>
      <c r="I26" s="281" t="e" cm="1">
        <f t="array" ref="I26">_xll.d.Curve_GetDiscountFactors($C$23,G26)</f>
        <v>#VALUE!</v>
      </c>
      <c r="J26" s="263" t="str" cm="1">
        <f t="array" ref="J26">_xll.d.TestUtils_Equal(H26,I26,0.00001)</f>
        <v>ERROR</v>
      </c>
    </row>
    <row r="27" spans="2:10" x14ac:dyDescent="0.3">
      <c r="B27" s="74" t="s">
        <v>32</v>
      </c>
      <c r="C27" s="76" t="s">
        <v>33</v>
      </c>
      <c r="G27" s="272">
        <f>EDATE(G22,9)</f>
        <v>44986</v>
      </c>
      <c r="H27" s="282" t="e">
        <f>H26*1/(1+#REF!*YEARFRAC(G26,G27,3))</f>
        <v>#REF!</v>
      </c>
      <c r="I27" s="282" t="e" cm="1">
        <f t="array" ref="I27">_xll.d.Curve_GetDiscountFactors($C$23,G27)</f>
        <v>#VALUE!</v>
      </c>
      <c r="J27" s="261" t="str" cm="1">
        <f t="array" ref="J27">_xll.d.TestUtils_Equal(H27,I27,0.00001)</f>
        <v>ERROR</v>
      </c>
    </row>
    <row r="28" spans="2:10" x14ac:dyDescent="0.3">
      <c r="B28" s="303" t="s">
        <v>236</v>
      </c>
      <c r="C28" s="262">
        <v>44713</v>
      </c>
      <c r="E28" s="62"/>
    </row>
    <row r="29" spans="2:10" x14ac:dyDescent="0.3">
      <c r="B29" s="304" t="s">
        <v>237</v>
      </c>
      <c r="C29" s="283">
        <f>C28+365</f>
        <v>45078</v>
      </c>
      <c r="E29" s="62"/>
    </row>
    <row r="30" spans="2:10" x14ac:dyDescent="0.3">
      <c r="B30" s="305" t="s">
        <v>238</v>
      </c>
      <c r="C30" s="307" t="s">
        <v>241</v>
      </c>
    </row>
    <row r="31" spans="2:10" x14ac:dyDescent="0.3">
      <c r="B31" s="308" t="s">
        <v>242</v>
      </c>
      <c r="C31">
        <v>1000000</v>
      </c>
    </row>
    <row r="32" spans="2:10" x14ac:dyDescent="0.3">
      <c r="B32" s="308" t="s">
        <v>244</v>
      </c>
      <c r="C32" t="s">
        <v>71</v>
      </c>
      <c r="D32" t="s">
        <v>245</v>
      </c>
    </row>
    <row r="33" spans="2:3" x14ac:dyDescent="0.3">
      <c r="B33" s="308" t="s">
        <v>246</v>
      </c>
    </row>
    <row r="34" spans="2:3" x14ac:dyDescent="0.3">
      <c r="B34" s="308" t="s">
        <v>243</v>
      </c>
      <c r="C34" t="s">
        <v>26</v>
      </c>
    </row>
  </sheetData>
  <conditionalFormatting sqref="J22:J27 D10 D13">
    <cfRule type="cellIs" dxfId="149" priority="7" stopIfTrue="1" operator="equal">
      <formula>"ERROR"</formula>
    </cfRule>
    <cfRule type="cellIs" dxfId="148" priority="8" stopIfTrue="1" operator="equal">
      <formula>"OK"</formula>
    </cfRule>
    <cfRule type="cellIs" dxfId="147" priority="9" stopIfTrue="1" operator="equal">
      <formula>"WARNING"</formula>
    </cfRule>
  </conditionalFormatting>
  <conditionalFormatting sqref="C6">
    <cfRule type="cellIs" dxfId="146" priority="4" stopIfTrue="1" operator="equal">
      <formula>"ERROR"</formula>
    </cfRule>
    <cfRule type="cellIs" dxfId="145" priority="5" stopIfTrue="1" operator="equal">
      <formula>"OK"</formula>
    </cfRule>
    <cfRule type="cellIs" dxfId="144" priority="6" stopIfTrue="1" operator="equal">
      <formula>"WARNING"</formula>
    </cfRule>
  </conditionalFormatting>
  <conditionalFormatting sqref="C20">
    <cfRule type="cellIs" dxfId="143" priority="1" stopIfTrue="1" operator="equal">
      <formula>"ERROR"</formula>
    </cfRule>
    <cfRule type="cellIs" dxfId="142" priority="2" stopIfTrue="1" operator="equal">
      <formula>"OK"</formula>
    </cfRule>
    <cfRule type="cellIs" dxfId="141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workbookViewId="0"/>
  </sheetViews>
  <sheetFormatPr defaultRowHeight="14.4" x14ac:dyDescent="0.3"/>
  <cols>
    <col min="1" max="1" width="3.77734375" customWidth="1"/>
  </cols>
  <sheetData>
    <row r="2" spans="2:2" x14ac:dyDescent="0.3">
      <c r="B2" s="69" t="s">
        <v>91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2:W236"/>
  <sheetViews>
    <sheetView showGridLines="0" workbookViewId="0"/>
  </sheetViews>
  <sheetFormatPr defaultRowHeight="14.4" x14ac:dyDescent="0.3"/>
  <cols>
    <col min="1" max="1" width="3.77734375" customWidth="1"/>
    <col min="2" max="2" width="10.77734375" bestFit="1" customWidth="1"/>
    <col min="3" max="3" width="11.6640625" customWidth="1"/>
    <col min="5" max="5" width="9.6640625" bestFit="1" customWidth="1"/>
    <col min="6" max="6" width="13.33203125" customWidth="1"/>
    <col min="9" max="9" width="12.77734375" customWidth="1"/>
    <col min="10" max="10" width="9.33203125" bestFit="1" customWidth="1"/>
    <col min="11" max="11" width="11.6640625" customWidth="1"/>
    <col min="12" max="12" width="13.33203125" customWidth="1"/>
    <col min="15" max="15" width="14.77734375" customWidth="1"/>
    <col min="16" max="16" width="13" customWidth="1"/>
    <col min="17" max="17" width="10.44140625" customWidth="1"/>
    <col min="18" max="18" width="18.21875" customWidth="1"/>
    <col min="21" max="21" width="17.77734375" customWidth="1"/>
  </cols>
  <sheetData>
    <row r="2" spans="2:23" ht="25.8" x14ac:dyDescent="0.5">
      <c r="B2" s="78" t="s">
        <v>188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3">
      <c r="B4" s="59" t="s">
        <v>170</v>
      </c>
      <c r="C4" s="185" t="str" cm="1">
        <f t="array" ref="C4">_xll.d.TestUtils_And(C7:C16)</f>
        <v>OK</v>
      </c>
    </row>
    <row r="6" spans="2:23" x14ac:dyDescent="0.3">
      <c r="B6" s="228" t="s">
        <v>10</v>
      </c>
      <c r="C6" s="229" t="s">
        <v>11</v>
      </c>
    </row>
    <row r="7" spans="2:23" x14ac:dyDescent="0.3">
      <c r="B7" s="238" t="s">
        <v>115</v>
      </c>
      <c r="C7" s="185" t="str">
        <f>C21</f>
        <v>OK</v>
      </c>
    </row>
    <row r="8" spans="2:23" x14ac:dyDescent="0.3">
      <c r="B8" s="238" t="s">
        <v>117</v>
      </c>
      <c r="C8" s="185" t="str">
        <f>C43</f>
        <v>OK</v>
      </c>
    </row>
    <row r="9" spans="2:23" x14ac:dyDescent="0.3">
      <c r="B9" s="238" t="s">
        <v>118</v>
      </c>
      <c r="C9" s="185" t="str">
        <f>C65</f>
        <v>OK</v>
      </c>
    </row>
    <row r="10" spans="2:23" x14ac:dyDescent="0.3">
      <c r="B10" s="238" t="s">
        <v>121</v>
      </c>
      <c r="C10" s="185" t="str">
        <f>C87</f>
        <v>OK</v>
      </c>
    </row>
    <row r="11" spans="2:23" x14ac:dyDescent="0.3">
      <c r="B11" s="238" t="s">
        <v>127</v>
      </c>
      <c r="C11" s="185" t="str">
        <f>C109</f>
        <v>OK</v>
      </c>
    </row>
    <row r="12" spans="2:23" x14ac:dyDescent="0.3">
      <c r="B12" s="238" t="s">
        <v>129</v>
      </c>
      <c r="C12" s="185" t="str">
        <f>C131</f>
        <v>OK</v>
      </c>
    </row>
    <row r="13" spans="2:23" x14ac:dyDescent="0.3">
      <c r="B13" s="238" t="s">
        <v>174</v>
      </c>
      <c r="C13" s="185" t="str">
        <f>C153</f>
        <v>OK</v>
      </c>
    </row>
    <row r="14" spans="2:23" x14ac:dyDescent="0.3">
      <c r="B14" s="238" t="s">
        <v>179</v>
      </c>
      <c r="C14" s="185" t="str">
        <f>C175</f>
        <v>OK</v>
      </c>
    </row>
    <row r="15" spans="2:23" x14ac:dyDescent="0.3">
      <c r="B15" s="238" t="s">
        <v>185</v>
      </c>
      <c r="C15" s="185" t="str">
        <f>C197</f>
        <v>OK</v>
      </c>
    </row>
    <row r="16" spans="2:23" x14ac:dyDescent="0.3">
      <c r="B16" s="238" t="s">
        <v>204</v>
      </c>
      <c r="C16" s="185" t="str">
        <f>C219</f>
        <v>OK</v>
      </c>
    </row>
    <row r="17" spans="2:23" x14ac:dyDescent="0.3">
      <c r="B17" s="238"/>
    </row>
    <row r="19" spans="2:23" ht="18" x14ac:dyDescent="0.35">
      <c r="B19" s="3" t="s">
        <v>115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3">
      <c r="B21" s="59" t="s">
        <v>136</v>
      </c>
      <c r="C21" s="185" t="str" cm="1">
        <f t="array" ref="C21">_xll.d.TestUtils_And(C27,F27,K27,P27)</f>
        <v>OK</v>
      </c>
    </row>
    <row r="23" spans="2:23" x14ac:dyDescent="0.3">
      <c r="B23" t="s">
        <v>195</v>
      </c>
    </row>
    <row r="25" spans="2:23" ht="15.6" x14ac:dyDescent="0.3">
      <c r="B25" s="4" t="s">
        <v>140</v>
      </c>
      <c r="C25" s="4"/>
      <c r="E25" s="4" t="s">
        <v>141</v>
      </c>
      <c r="F25" s="4"/>
      <c r="G25" s="4"/>
      <c r="H25" s="4"/>
      <c r="J25" s="4" t="s">
        <v>142</v>
      </c>
      <c r="K25" s="4"/>
      <c r="L25" s="4"/>
      <c r="M25" s="4"/>
      <c r="O25" s="4" t="s">
        <v>157</v>
      </c>
      <c r="P25" s="4"/>
      <c r="Q25" s="4"/>
      <c r="R25" s="4"/>
      <c r="S25" s="4"/>
      <c r="T25" s="4"/>
      <c r="U25" s="4"/>
      <c r="V25" s="4"/>
      <c r="W25" s="4"/>
    </row>
    <row r="27" spans="2:23" x14ac:dyDescent="0.3">
      <c r="B27" s="59" t="s">
        <v>136</v>
      </c>
      <c r="C27" s="185" t="str" cm="1">
        <f t="array" ref="C27">_xll.d.TestUtils_IsTrue(C32="OK")</f>
        <v>OK</v>
      </c>
      <c r="E27" s="59" t="s">
        <v>136</v>
      </c>
      <c r="F27" s="185" t="str" cm="1">
        <f t="array" ref="F27">_xll.d.TestUtils_IsTrue(E35="OK")</f>
        <v>OK</v>
      </c>
      <c r="J27" s="59" t="s">
        <v>136</v>
      </c>
      <c r="K27" s="185" t="str" cm="1">
        <f t="array" ref="K27">_xll.d.TestUtils_IsTrue(J32="OK")</f>
        <v>OK</v>
      </c>
      <c r="O27" s="59" t="s">
        <v>136</v>
      </c>
      <c r="P27" s="185" t="str" cm="1">
        <f t="array" ref="P27">_xll.d.TestUtils_IsTrue(O32="OK")</f>
        <v>OK</v>
      </c>
    </row>
    <row r="29" spans="2:23" x14ac:dyDescent="0.3">
      <c r="B29" s="202" t="s">
        <v>145</v>
      </c>
      <c r="C29" s="186" t="s">
        <v>189</v>
      </c>
      <c r="E29" s="202" t="s">
        <v>145</v>
      </c>
      <c r="F29" s="186" t="s">
        <v>189</v>
      </c>
      <c r="J29" s="202" t="s">
        <v>145</v>
      </c>
      <c r="K29" s="186" t="s">
        <v>189</v>
      </c>
      <c r="O29" s="202" t="s">
        <v>145</v>
      </c>
      <c r="P29" s="186" t="s">
        <v>189</v>
      </c>
    </row>
    <row r="30" spans="2:23" x14ac:dyDescent="0.3">
      <c r="B30" s="186"/>
    </row>
    <row r="31" spans="2:23" x14ac:dyDescent="0.3">
      <c r="B31" s="203" t="s">
        <v>143</v>
      </c>
      <c r="C31" s="203" t="s">
        <v>144</v>
      </c>
      <c r="E31" s="203" t="s">
        <v>143</v>
      </c>
      <c r="J31" s="203" t="s">
        <v>144</v>
      </c>
      <c r="O31" s="203" t="s">
        <v>144</v>
      </c>
    </row>
    <row r="32" spans="2:23" x14ac:dyDescent="0.3">
      <c r="B32" s="186" t="s">
        <v>139</v>
      </c>
      <c r="C32" s="186" t="str" cm="1">
        <f t="array" ref="C32">_xll.d.TestUtils_And(B32:B35)</f>
        <v>OK</v>
      </c>
      <c r="E32" s="186" t="s">
        <v>139</v>
      </c>
      <c r="F32" s="186" t="s">
        <v>139</v>
      </c>
      <c r="G32" s="186" t="s">
        <v>139</v>
      </c>
      <c r="H32" s="186" t="s">
        <v>139</v>
      </c>
      <c r="J32" s="186" t="str" cm="1">
        <f t="array" ref="J32">_xll.d.TestUtils_And(J35:M38)</f>
        <v>OK</v>
      </c>
      <c r="O32" s="186" t="str" cm="1">
        <f t="array" ref="O32">_xll.d.TestUtils_And(O35,O37:Q37,S35:S38,U35:W38)</f>
        <v>OK</v>
      </c>
    </row>
    <row r="33" spans="2:23" x14ac:dyDescent="0.3">
      <c r="B33" s="186" t="s">
        <v>139</v>
      </c>
    </row>
    <row r="34" spans="2:23" x14ac:dyDescent="0.3">
      <c r="B34" s="186" t="s">
        <v>139</v>
      </c>
      <c r="E34" s="203" t="s">
        <v>144</v>
      </c>
      <c r="J34" s="70" t="s">
        <v>143</v>
      </c>
      <c r="O34" s="70" t="s">
        <v>143</v>
      </c>
    </row>
    <row r="35" spans="2:23" x14ac:dyDescent="0.3">
      <c r="B35" s="186" t="s">
        <v>139</v>
      </c>
      <c r="E35" s="186" t="str" cm="1">
        <f t="array" ref="E35">_xll.d.TestUtils_And(E32:H32)</f>
        <v>OK</v>
      </c>
      <c r="J35" s="186" t="s">
        <v>139</v>
      </c>
      <c r="K35" s="186" t="s">
        <v>139</v>
      </c>
      <c r="L35" s="186" t="s">
        <v>139</v>
      </c>
      <c r="M35" s="186" t="s">
        <v>139</v>
      </c>
      <c r="O35" s="186" t="s">
        <v>139</v>
      </c>
      <c r="R35" s="186"/>
      <c r="S35" s="186" t="s">
        <v>139</v>
      </c>
      <c r="U35" s="186" t="s">
        <v>139</v>
      </c>
      <c r="V35" s="186" t="s">
        <v>139</v>
      </c>
      <c r="W35" s="186" t="s">
        <v>139</v>
      </c>
    </row>
    <row r="36" spans="2:23" x14ac:dyDescent="0.3">
      <c r="J36" s="186" t="s">
        <v>139</v>
      </c>
      <c r="K36" s="186" t="s">
        <v>139</v>
      </c>
      <c r="L36" s="186" t="s">
        <v>139</v>
      </c>
      <c r="M36" s="186" t="s">
        <v>139</v>
      </c>
      <c r="S36" s="186" t="s">
        <v>139</v>
      </c>
      <c r="U36" s="186" t="s">
        <v>139</v>
      </c>
      <c r="V36" s="186" t="s">
        <v>139</v>
      </c>
      <c r="W36" s="186" t="s">
        <v>139</v>
      </c>
    </row>
    <row r="37" spans="2:23" x14ac:dyDescent="0.3">
      <c r="J37" s="186" t="s">
        <v>139</v>
      </c>
      <c r="K37" s="186" t="s">
        <v>139</v>
      </c>
      <c r="L37" s="186" t="s">
        <v>139</v>
      </c>
      <c r="M37" s="186" t="s">
        <v>139</v>
      </c>
      <c r="O37" s="186" t="s">
        <v>139</v>
      </c>
      <c r="P37" s="186" t="s">
        <v>139</v>
      </c>
      <c r="Q37" s="186" t="s">
        <v>139</v>
      </c>
      <c r="S37" s="186" t="s">
        <v>139</v>
      </c>
      <c r="U37" s="186" t="s">
        <v>139</v>
      </c>
      <c r="V37" s="186" t="s">
        <v>139</v>
      </c>
      <c r="W37" s="186" t="s">
        <v>139</v>
      </c>
    </row>
    <row r="38" spans="2:23" x14ac:dyDescent="0.3">
      <c r="C38" s="185"/>
      <c r="J38" s="186" t="s">
        <v>139</v>
      </c>
      <c r="K38" s="186" t="s">
        <v>139</v>
      </c>
      <c r="L38" s="186" t="s">
        <v>139</v>
      </c>
      <c r="M38" s="186" t="s">
        <v>139</v>
      </c>
      <c r="S38" s="186" t="s">
        <v>139</v>
      </c>
      <c r="U38" s="186" t="s">
        <v>139</v>
      </c>
      <c r="V38" s="186" t="s">
        <v>139</v>
      </c>
      <c r="W38" s="186" t="s">
        <v>139</v>
      </c>
    </row>
    <row r="39" spans="2:23" x14ac:dyDescent="0.3">
      <c r="C39" s="185"/>
    </row>
    <row r="41" spans="2:23" ht="18" x14ac:dyDescent="0.35">
      <c r="B41" s="3" t="s">
        <v>117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3">
      <c r="B43" s="59" t="s">
        <v>136</v>
      </c>
      <c r="C43" s="185" t="str" cm="1">
        <f t="array" ref="C43">_xll.d.TestUtils_And(C49,F49,K49,P49)</f>
        <v>OK</v>
      </c>
    </row>
    <row r="45" spans="2:23" x14ac:dyDescent="0.3">
      <c r="B45" t="s">
        <v>196</v>
      </c>
    </row>
    <row r="47" spans="2:23" ht="15.6" x14ac:dyDescent="0.3">
      <c r="B47" s="4" t="s">
        <v>146</v>
      </c>
      <c r="C47" s="4"/>
      <c r="E47" s="4" t="s">
        <v>147</v>
      </c>
      <c r="F47" s="4"/>
      <c r="G47" s="4"/>
      <c r="H47" s="4"/>
      <c r="J47" s="4" t="s">
        <v>148</v>
      </c>
      <c r="K47" s="4"/>
      <c r="L47" s="4"/>
      <c r="M47" s="4"/>
      <c r="O47" s="4" t="s">
        <v>158</v>
      </c>
      <c r="P47" s="4"/>
      <c r="Q47" s="4"/>
      <c r="R47" s="4"/>
      <c r="S47" s="4"/>
      <c r="T47" s="4"/>
      <c r="U47" s="4"/>
      <c r="V47" s="4"/>
      <c r="W47" s="4"/>
    </row>
    <row r="49" spans="2:23" x14ac:dyDescent="0.3">
      <c r="B49" s="59" t="s">
        <v>136</v>
      </c>
      <c r="C49" s="185" t="str" cm="1">
        <f t="array" ref="C49">_xll.d.TestUtils_IsTrue(C54="ERROR")</f>
        <v>OK</v>
      </c>
      <c r="E49" s="59" t="s">
        <v>136</v>
      </c>
      <c r="F49" s="185" t="str" cm="1">
        <f t="array" ref="F49">_xll.d.TestUtils_IsTrue(E54="ERROR")</f>
        <v>OK</v>
      </c>
      <c r="J49" s="59" t="s">
        <v>136</v>
      </c>
      <c r="K49" s="185" t="str" cm="1">
        <f t="array" ref="K49">_xll.d.TestUtils_IsTrue(J54="ERROR")</f>
        <v>OK</v>
      </c>
      <c r="O49" s="59" t="s">
        <v>136</v>
      </c>
      <c r="P49" s="185" t="str" cm="1">
        <f t="array" ref="P49">_xll.d.TestUtils_IsTrue(O54="ERROR")</f>
        <v>OK</v>
      </c>
    </row>
    <row r="51" spans="2:23" x14ac:dyDescent="0.3">
      <c r="B51" s="202" t="s">
        <v>145</v>
      </c>
      <c r="C51" s="186" t="s">
        <v>189</v>
      </c>
      <c r="E51" s="202" t="s">
        <v>145</v>
      </c>
      <c r="F51" s="186" t="s">
        <v>189</v>
      </c>
      <c r="J51" s="202" t="s">
        <v>145</v>
      </c>
      <c r="K51" s="186" t="s">
        <v>189</v>
      </c>
      <c r="O51" s="202" t="s">
        <v>145</v>
      </c>
      <c r="P51" s="186" t="s">
        <v>189</v>
      </c>
    </row>
    <row r="52" spans="2:23" x14ac:dyDescent="0.3">
      <c r="B52" s="186"/>
    </row>
    <row r="53" spans="2:23" x14ac:dyDescent="0.3">
      <c r="B53" s="203" t="s">
        <v>143</v>
      </c>
      <c r="C53" s="203" t="s">
        <v>144</v>
      </c>
      <c r="E53" s="203" t="s">
        <v>144</v>
      </c>
      <c r="J53" s="203" t="s">
        <v>144</v>
      </c>
      <c r="O53" s="203" t="s">
        <v>144</v>
      </c>
    </row>
    <row r="54" spans="2:23" x14ac:dyDescent="0.3">
      <c r="B54" s="186" t="s">
        <v>139</v>
      </c>
      <c r="C54" s="186" t="str" cm="1">
        <f t="array" ref="C54">_xll.d.TestUtils_And(B54:B57)</f>
        <v>ERROR</v>
      </c>
      <c r="E54" s="186" t="str" cm="1">
        <f t="array" ref="E54">_xll.d.TestUtils_And(E57:H57)</f>
        <v>ERROR</v>
      </c>
      <c r="J54" s="186" t="str" cm="1">
        <f t="array" ref="J54">_xll.d.TestUtils_And(J57:M60)</f>
        <v>ERROR</v>
      </c>
      <c r="O54" s="186" t="str" cm="1">
        <f t="array" ref="O54">_xll.d.TestUtils_And(O57,O59:Q59,S57:S60,U57:W60)</f>
        <v>ERROR</v>
      </c>
    </row>
    <row r="55" spans="2:23" x14ac:dyDescent="0.3">
      <c r="B55" s="186" t="s">
        <v>139</v>
      </c>
    </row>
    <row r="56" spans="2:23" x14ac:dyDescent="0.3">
      <c r="B56" s="186" t="s">
        <v>149</v>
      </c>
      <c r="E56" s="203" t="s">
        <v>143</v>
      </c>
      <c r="J56" s="70" t="s">
        <v>143</v>
      </c>
      <c r="O56" s="70" t="s">
        <v>143</v>
      </c>
    </row>
    <row r="57" spans="2:23" x14ac:dyDescent="0.3">
      <c r="B57" s="186" t="s">
        <v>139</v>
      </c>
      <c r="E57" s="186" t="s">
        <v>139</v>
      </c>
      <c r="F57" s="186" t="s">
        <v>149</v>
      </c>
      <c r="G57" s="186" t="s">
        <v>139</v>
      </c>
      <c r="H57" s="186" t="s">
        <v>139</v>
      </c>
      <c r="J57" s="186" t="s">
        <v>139</v>
      </c>
      <c r="K57" s="186" t="s">
        <v>139</v>
      </c>
      <c r="L57" s="186" t="s">
        <v>139</v>
      </c>
      <c r="M57" s="186" t="s">
        <v>139</v>
      </c>
      <c r="O57" s="186" t="s">
        <v>139</v>
      </c>
      <c r="R57" s="186"/>
      <c r="S57" s="186" t="s">
        <v>139</v>
      </c>
      <c r="U57" s="186" t="s">
        <v>139</v>
      </c>
      <c r="V57" s="186" t="s">
        <v>139</v>
      </c>
      <c r="W57" s="186" t="s">
        <v>139</v>
      </c>
    </row>
    <row r="58" spans="2:23" x14ac:dyDescent="0.3">
      <c r="J58" s="186" t="s">
        <v>139</v>
      </c>
      <c r="K58" s="186" t="s">
        <v>139</v>
      </c>
      <c r="L58" s="186" t="s">
        <v>139</v>
      </c>
      <c r="M58" s="186" t="s">
        <v>139</v>
      </c>
      <c r="S58" s="186" t="s">
        <v>139</v>
      </c>
      <c r="U58" s="186" t="s">
        <v>139</v>
      </c>
      <c r="V58" s="186" t="s">
        <v>139</v>
      </c>
      <c r="W58" s="186" t="s">
        <v>139</v>
      </c>
    </row>
    <row r="59" spans="2:23" x14ac:dyDescent="0.3">
      <c r="J59" s="186" t="s">
        <v>139</v>
      </c>
      <c r="K59" s="186" t="s">
        <v>139</v>
      </c>
      <c r="L59" s="186" t="s">
        <v>149</v>
      </c>
      <c r="M59" s="186" t="s">
        <v>139</v>
      </c>
      <c r="O59" s="186" t="s">
        <v>139</v>
      </c>
      <c r="P59" s="186" t="s">
        <v>149</v>
      </c>
      <c r="Q59" s="186" t="s">
        <v>139</v>
      </c>
      <c r="S59" s="186" t="s">
        <v>139</v>
      </c>
      <c r="U59" s="186" t="s">
        <v>139</v>
      </c>
      <c r="V59" s="186" t="s">
        <v>139</v>
      </c>
      <c r="W59" s="186" t="s">
        <v>139</v>
      </c>
    </row>
    <row r="60" spans="2:23" x14ac:dyDescent="0.3">
      <c r="C60" s="185"/>
      <c r="J60" s="186" t="s">
        <v>139</v>
      </c>
      <c r="K60" s="186" t="s">
        <v>139</v>
      </c>
      <c r="L60" s="186" t="s">
        <v>139</v>
      </c>
      <c r="M60" s="186" t="s">
        <v>139</v>
      </c>
      <c r="S60" s="186" t="s">
        <v>139</v>
      </c>
      <c r="U60" s="186" t="s">
        <v>139</v>
      </c>
      <c r="V60" s="186" t="s">
        <v>139</v>
      </c>
      <c r="W60" s="186" t="s">
        <v>139</v>
      </c>
    </row>
    <row r="63" spans="2:23" ht="18" x14ac:dyDescent="0.35">
      <c r="B63" s="3" t="s">
        <v>118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3">
      <c r="B65" s="59" t="s">
        <v>136</v>
      </c>
      <c r="C65" s="185" t="str" cm="1">
        <f t="array" ref="C65">_xll.d.TestUtils_And(C71,F71,K71,P71)</f>
        <v>OK</v>
      </c>
    </row>
    <row r="67" spans="2:23" x14ac:dyDescent="0.3">
      <c r="B67" t="s">
        <v>197</v>
      </c>
    </row>
    <row r="69" spans="2:23" s="64" customFormat="1" ht="15.6" x14ac:dyDescent="0.3">
      <c r="B69" s="4" t="s">
        <v>150</v>
      </c>
      <c r="C69" s="4"/>
      <c r="E69" s="4" t="s">
        <v>151</v>
      </c>
      <c r="F69" s="4"/>
      <c r="G69" s="4"/>
      <c r="H69" s="4"/>
      <c r="J69" s="4" t="s">
        <v>152</v>
      </c>
      <c r="K69" s="4"/>
      <c r="L69" s="4"/>
      <c r="M69" s="4"/>
      <c r="O69" s="4" t="s">
        <v>159</v>
      </c>
      <c r="P69" s="4"/>
      <c r="Q69" s="4"/>
      <c r="R69" s="4"/>
      <c r="S69" s="4"/>
      <c r="T69" s="4"/>
      <c r="U69" s="4"/>
      <c r="V69" s="4"/>
      <c r="W69" s="4"/>
    </row>
    <row r="71" spans="2:23" x14ac:dyDescent="0.3">
      <c r="B71" s="59" t="s">
        <v>136</v>
      </c>
      <c r="C71" s="185" t="str" cm="1">
        <f t="array" ref="C71">_xll.d.TestUtils_IsTrue(C76="WARNING")</f>
        <v>OK</v>
      </c>
      <c r="E71" s="59" t="s">
        <v>136</v>
      </c>
      <c r="F71" s="185" t="str" cm="1">
        <f t="array" ref="F71">_xll.d.TestUtils_IsTrue(E76="WARNING")</f>
        <v>OK</v>
      </c>
      <c r="J71" s="59" t="s">
        <v>136</v>
      </c>
      <c r="K71" s="185" t="str" cm="1">
        <f t="array" ref="K71">_xll.d.TestUtils_IsTrue(J76="WARNING")</f>
        <v>OK</v>
      </c>
      <c r="O71" s="59" t="s">
        <v>136</v>
      </c>
      <c r="P71" s="185" t="str" cm="1">
        <f t="array" ref="P71">_xll.d.TestUtils_IsTrue(O76="WARNING")</f>
        <v>OK</v>
      </c>
    </row>
    <row r="73" spans="2:23" x14ac:dyDescent="0.3">
      <c r="B73" s="202" t="s">
        <v>145</v>
      </c>
      <c r="C73" s="186" t="s">
        <v>189</v>
      </c>
      <c r="E73" s="202" t="s">
        <v>145</v>
      </c>
      <c r="F73" s="186" t="s">
        <v>189</v>
      </c>
      <c r="J73" s="202" t="s">
        <v>145</v>
      </c>
      <c r="K73" s="186" t="s">
        <v>189</v>
      </c>
      <c r="O73" s="202" t="s">
        <v>145</v>
      </c>
      <c r="P73" s="186" t="s">
        <v>189</v>
      </c>
    </row>
    <row r="74" spans="2:23" x14ac:dyDescent="0.3">
      <c r="B74" s="186"/>
    </row>
    <row r="75" spans="2:23" x14ac:dyDescent="0.3">
      <c r="B75" s="203" t="s">
        <v>143</v>
      </c>
      <c r="C75" s="203" t="s">
        <v>144</v>
      </c>
      <c r="E75" s="203" t="s">
        <v>144</v>
      </c>
      <c r="J75" s="203" t="s">
        <v>144</v>
      </c>
      <c r="O75" s="203" t="s">
        <v>144</v>
      </c>
    </row>
    <row r="76" spans="2:23" x14ac:dyDescent="0.3">
      <c r="B76" s="186" t="s">
        <v>139</v>
      </c>
      <c r="C76" s="186" t="str" cm="1">
        <f t="array" ref="C76">_xll.d.TestUtils_And(B76:B79)</f>
        <v>WARNING</v>
      </c>
      <c r="E76" s="186" t="str" cm="1">
        <f t="array" ref="E76">_xll.d.TestUtils_And(E79:H79)</f>
        <v>WARNING</v>
      </c>
      <c r="J76" s="186" t="str" cm="1">
        <f t="array" ref="J76">_xll.d.TestUtils_And(J79:M82)</f>
        <v>WARNING</v>
      </c>
      <c r="O76" s="186" t="str" cm="1">
        <f t="array" ref="O76">_xll.d.TestUtils_And(O79,O81:Q81,S79:S82,U79:W82)</f>
        <v>WARNING</v>
      </c>
    </row>
    <row r="77" spans="2:23" x14ac:dyDescent="0.3">
      <c r="B77" s="186" t="s">
        <v>139</v>
      </c>
    </row>
    <row r="78" spans="2:23" x14ac:dyDescent="0.3">
      <c r="B78" s="186" t="s">
        <v>153</v>
      </c>
      <c r="E78" s="203" t="s">
        <v>143</v>
      </c>
      <c r="J78" s="70" t="s">
        <v>143</v>
      </c>
      <c r="O78" s="70" t="s">
        <v>143</v>
      </c>
    </row>
    <row r="79" spans="2:23" x14ac:dyDescent="0.3">
      <c r="B79" s="186" t="s">
        <v>139</v>
      </c>
      <c r="E79" s="186" t="s">
        <v>139</v>
      </c>
      <c r="F79" s="186" t="s">
        <v>153</v>
      </c>
      <c r="G79" s="186" t="s">
        <v>139</v>
      </c>
      <c r="H79" s="186" t="s">
        <v>139</v>
      </c>
      <c r="J79" s="186" t="s">
        <v>139</v>
      </c>
      <c r="K79" s="186" t="s">
        <v>139</v>
      </c>
      <c r="L79" s="186" t="s">
        <v>139</v>
      </c>
      <c r="M79" s="186" t="s">
        <v>139</v>
      </c>
      <c r="O79" s="186" t="s">
        <v>139</v>
      </c>
      <c r="R79" s="186"/>
      <c r="S79" s="186" t="s">
        <v>139</v>
      </c>
      <c r="U79" s="186" t="s">
        <v>139</v>
      </c>
      <c r="V79" s="186" t="s">
        <v>139</v>
      </c>
      <c r="W79" s="186" t="s">
        <v>139</v>
      </c>
    </row>
    <row r="80" spans="2:23" x14ac:dyDescent="0.3">
      <c r="J80" s="186" t="s">
        <v>139</v>
      </c>
      <c r="K80" s="186" t="s">
        <v>139</v>
      </c>
      <c r="L80" s="186" t="s">
        <v>139</v>
      </c>
      <c r="M80" s="186" t="s">
        <v>139</v>
      </c>
      <c r="S80" s="186" t="s">
        <v>139</v>
      </c>
      <c r="U80" s="186" t="s">
        <v>139</v>
      </c>
      <c r="V80" s="186" t="s">
        <v>139</v>
      </c>
      <c r="W80" s="186" t="s">
        <v>139</v>
      </c>
    </row>
    <row r="81" spans="2:23" x14ac:dyDescent="0.3">
      <c r="J81" s="186" t="s">
        <v>139</v>
      </c>
      <c r="K81" s="186" t="s">
        <v>139</v>
      </c>
      <c r="L81" s="186" t="s">
        <v>153</v>
      </c>
      <c r="M81" s="186" t="s">
        <v>139</v>
      </c>
      <c r="O81" s="186" t="s">
        <v>139</v>
      </c>
      <c r="P81" s="186" t="s">
        <v>153</v>
      </c>
      <c r="Q81" s="186" t="s">
        <v>139</v>
      </c>
      <c r="S81" s="186" t="s">
        <v>139</v>
      </c>
      <c r="U81" s="186" t="s">
        <v>139</v>
      </c>
      <c r="V81" s="186" t="s">
        <v>139</v>
      </c>
      <c r="W81" s="186" t="s">
        <v>139</v>
      </c>
    </row>
    <row r="82" spans="2:23" x14ac:dyDescent="0.3">
      <c r="C82" s="185"/>
      <c r="J82" s="186" t="s">
        <v>139</v>
      </c>
      <c r="K82" s="186" t="s">
        <v>139</v>
      </c>
      <c r="L82" s="186" t="s">
        <v>139</v>
      </c>
      <c r="M82" s="186" t="s">
        <v>139</v>
      </c>
      <c r="S82" s="186" t="s">
        <v>139</v>
      </c>
      <c r="U82" s="186" t="s">
        <v>139</v>
      </c>
      <c r="V82" s="186" t="s">
        <v>139</v>
      </c>
      <c r="W82" s="186" t="s">
        <v>139</v>
      </c>
    </row>
    <row r="85" spans="2:23" ht="18" x14ac:dyDescent="0.35">
      <c r="B85" s="3" t="s">
        <v>121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3">
      <c r="B87" s="59" t="s">
        <v>136</v>
      </c>
      <c r="C87" s="185" t="str" cm="1">
        <f t="array" ref="C87">_xll.d.TestUtils_And(C93,F93,K93,P93)</f>
        <v>OK</v>
      </c>
    </row>
    <row r="89" spans="2:23" x14ac:dyDescent="0.3">
      <c r="B89" t="s">
        <v>198</v>
      </c>
    </row>
    <row r="91" spans="2:23" ht="15.6" x14ac:dyDescent="0.3">
      <c r="B91" s="4" t="s">
        <v>154</v>
      </c>
      <c r="C91" s="4"/>
      <c r="E91" s="4" t="s">
        <v>155</v>
      </c>
      <c r="F91" s="4"/>
      <c r="G91" s="4"/>
      <c r="H91" s="4"/>
      <c r="J91" s="4" t="s">
        <v>156</v>
      </c>
      <c r="K91" s="4"/>
      <c r="L91" s="4"/>
      <c r="M91" s="4"/>
      <c r="O91" s="4" t="s">
        <v>160</v>
      </c>
      <c r="P91" s="4"/>
      <c r="Q91" s="4"/>
      <c r="R91" s="4"/>
      <c r="S91" s="4"/>
      <c r="T91" s="4"/>
      <c r="U91" s="4"/>
      <c r="V91" s="4"/>
      <c r="W91" s="4"/>
    </row>
    <row r="93" spans="2:23" x14ac:dyDescent="0.3">
      <c r="B93" s="59" t="s">
        <v>136</v>
      </c>
      <c r="C93" s="185" t="str" cm="1">
        <f t="array" ref="C93">_xll.d.TestUtils_IsTrue(C98="ERROR")</f>
        <v>OK</v>
      </c>
      <c r="E93" s="59" t="s">
        <v>136</v>
      </c>
      <c r="F93" s="185" t="str" cm="1">
        <f t="array" ref="F93">_xll.d.TestUtils_IsTrue(E98="ERROR")</f>
        <v>OK</v>
      </c>
      <c r="J93" s="59" t="s">
        <v>136</v>
      </c>
      <c r="K93" s="185" t="str" cm="1">
        <f t="array" ref="K93">_xll.d.TestUtils_IsTrue(J98="ERROR")</f>
        <v>OK</v>
      </c>
      <c r="O93" s="59" t="s">
        <v>136</v>
      </c>
      <c r="P93" s="185" t="str" cm="1">
        <f t="array" ref="P93">_xll.d.TestUtils_IsTrue(O98="ERROR")</f>
        <v>OK</v>
      </c>
    </row>
    <row r="95" spans="2:23" x14ac:dyDescent="0.3">
      <c r="B95" s="202" t="s">
        <v>145</v>
      </c>
      <c r="C95" s="186" t="s">
        <v>189</v>
      </c>
      <c r="E95" s="202" t="s">
        <v>145</v>
      </c>
      <c r="F95" s="186" t="s">
        <v>189</v>
      </c>
      <c r="J95" s="202" t="s">
        <v>145</v>
      </c>
      <c r="K95" s="186" t="s">
        <v>189</v>
      </c>
      <c r="O95" s="202" t="s">
        <v>145</v>
      </c>
      <c r="P95" s="186" t="s">
        <v>189</v>
      </c>
    </row>
    <row r="96" spans="2:23" x14ac:dyDescent="0.3">
      <c r="B96" s="186"/>
    </row>
    <row r="97" spans="2:23" x14ac:dyDescent="0.3">
      <c r="B97" s="203" t="s">
        <v>143</v>
      </c>
      <c r="C97" s="203" t="s">
        <v>144</v>
      </c>
      <c r="E97" s="203" t="s">
        <v>144</v>
      </c>
      <c r="J97" s="203" t="s">
        <v>144</v>
      </c>
      <c r="O97" s="203" t="s">
        <v>144</v>
      </c>
    </row>
    <row r="98" spans="2:23" x14ac:dyDescent="0.3">
      <c r="B98" s="186" t="s">
        <v>139</v>
      </c>
      <c r="C98" s="186" t="str" cm="1">
        <f t="array" ref="C98">_xll.d.TestUtils_And(B98:B101)</f>
        <v>ERROR</v>
      </c>
      <c r="E98" s="186" t="str" cm="1">
        <f t="array" ref="E98">_xll.d.TestUtils_And(E101:H101)</f>
        <v>ERROR</v>
      </c>
      <c r="J98" s="186" t="str" cm="1">
        <f t="array" ref="J98">_xll.d.TestUtils_And(J101:M104)</f>
        <v>ERROR</v>
      </c>
      <c r="O98" s="186" t="str" cm="1">
        <f t="array" ref="O98">_xll.d.TestUtils_And(O101,O103:Q103,S101:S104,U101:W104)</f>
        <v>ERROR</v>
      </c>
    </row>
    <row r="99" spans="2:23" x14ac:dyDescent="0.3">
      <c r="B99" s="186" t="s">
        <v>149</v>
      </c>
    </row>
    <row r="100" spans="2:23" x14ac:dyDescent="0.3">
      <c r="B100" s="186" t="s">
        <v>153</v>
      </c>
      <c r="E100" s="203" t="s">
        <v>143</v>
      </c>
      <c r="J100" s="70" t="s">
        <v>143</v>
      </c>
      <c r="O100" s="70" t="s">
        <v>143</v>
      </c>
    </row>
    <row r="101" spans="2:23" x14ac:dyDescent="0.3">
      <c r="B101" s="186" t="s">
        <v>139</v>
      </c>
      <c r="E101" s="186" t="s">
        <v>139</v>
      </c>
      <c r="F101" s="186" t="s">
        <v>153</v>
      </c>
      <c r="G101" s="186" t="s">
        <v>139</v>
      </c>
      <c r="H101" s="186" t="s">
        <v>149</v>
      </c>
      <c r="J101" s="186" t="s">
        <v>139</v>
      </c>
      <c r="K101" s="186" t="s">
        <v>139</v>
      </c>
      <c r="L101" s="186" t="s">
        <v>139</v>
      </c>
      <c r="M101" s="186" t="s">
        <v>139</v>
      </c>
      <c r="O101" s="186" t="s">
        <v>139</v>
      </c>
      <c r="R101" s="186"/>
      <c r="S101" s="186" t="s">
        <v>139</v>
      </c>
      <c r="U101" s="186" t="s">
        <v>139</v>
      </c>
      <c r="V101" s="186" t="s">
        <v>139</v>
      </c>
      <c r="W101" s="186" t="s">
        <v>139</v>
      </c>
    </row>
    <row r="102" spans="2:23" x14ac:dyDescent="0.3">
      <c r="J102" s="186" t="s">
        <v>139</v>
      </c>
      <c r="K102" s="186" t="s">
        <v>139</v>
      </c>
      <c r="L102" s="186" t="s">
        <v>139</v>
      </c>
      <c r="M102" s="186" t="s">
        <v>139</v>
      </c>
      <c r="S102" s="186" t="s">
        <v>139</v>
      </c>
      <c r="U102" s="186" t="s">
        <v>139</v>
      </c>
      <c r="V102" s="186" t="s">
        <v>139</v>
      </c>
      <c r="W102" s="186" t="s">
        <v>139</v>
      </c>
    </row>
    <row r="103" spans="2:23" x14ac:dyDescent="0.3">
      <c r="J103" s="186" t="s">
        <v>139</v>
      </c>
      <c r="K103" s="186" t="s">
        <v>139</v>
      </c>
      <c r="L103" s="186" t="s">
        <v>153</v>
      </c>
      <c r="M103" s="186" t="s">
        <v>139</v>
      </c>
      <c r="O103" s="186" t="s">
        <v>139</v>
      </c>
      <c r="P103" s="186" t="s">
        <v>153</v>
      </c>
      <c r="Q103" s="186" t="s">
        <v>139</v>
      </c>
      <c r="S103" s="186" t="s">
        <v>139</v>
      </c>
      <c r="U103" s="186" t="s">
        <v>149</v>
      </c>
      <c r="V103" s="186" t="s">
        <v>139</v>
      </c>
      <c r="W103" s="186" t="s">
        <v>139</v>
      </c>
    </row>
    <row r="104" spans="2:23" x14ac:dyDescent="0.3">
      <c r="C104" s="185"/>
      <c r="J104" s="186" t="s">
        <v>139</v>
      </c>
      <c r="K104" s="186" t="s">
        <v>139</v>
      </c>
      <c r="L104" s="186" t="s">
        <v>139</v>
      </c>
      <c r="M104" s="186" t="s">
        <v>149</v>
      </c>
      <c r="S104" s="186" t="s">
        <v>139</v>
      </c>
      <c r="U104" s="186" t="s">
        <v>139</v>
      </c>
      <c r="V104" s="186" t="s">
        <v>139</v>
      </c>
      <c r="W104" s="186" t="s">
        <v>139</v>
      </c>
    </row>
    <row r="107" spans="2:23" ht="18" x14ac:dyDescent="0.35">
      <c r="B107" s="3" t="s">
        <v>127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3">
      <c r="B109" s="59" t="s">
        <v>136</v>
      </c>
      <c r="C109" s="185" t="str" cm="1">
        <f t="array" ref="C109">_xll.d.TestUtils_And(C115,F115,K115,P115)</f>
        <v>OK</v>
      </c>
    </row>
    <row r="111" spans="2:23" x14ac:dyDescent="0.3">
      <c r="B111" t="s">
        <v>199</v>
      </c>
    </row>
    <row r="113" spans="2:23" ht="15.6" x14ac:dyDescent="0.3">
      <c r="B113" s="4" t="s">
        <v>161</v>
      </c>
      <c r="C113" s="4"/>
      <c r="E113" s="4" t="s">
        <v>162</v>
      </c>
      <c r="F113" s="4"/>
      <c r="G113" s="4"/>
      <c r="H113" s="4"/>
      <c r="J113" s="4" t="s">
        <v>163</v>
      </c>
      <c r="K113" s="4"/>
      <c r="L113" s="4"/>
      <c r="M113" s="4"/>
      <c r="O113" s="4" t="s">
        <v>164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3">
      <c r="B115" s="59" t="s">
        <v>136</v>
      </c>
      <c r="C115" s="185" t="str" cm="1">
        <f t="array" ref="C115">_xll.d.TestUtils_IsTrue(C120="ERROR")</f>
        <v>OK</v>
      </c>
      <c r="E115" s="59" t="s">
        <v>136</v>
      </c>
      <c r="F115" s="185" t="str" cm="1">
        <f t="array" ref="F115">_xll.d.TestUtils_IsTrue(E120="ERROR")</f>
        <v>OK</v>
      </c>
      <c r="J115" s="59" t="s">
        <v>136</v>
      </c>
      <c r="K115" s="185" t="str" cm="1">
        <f t="array" ref="K115">_xll.d.TestUtils_IsTrue(J120="ERROR")</f>
        <v>OK</v>
      </c>
      <c r="O115" s="59" t="s">
        <v>136</v>
      </c>
      <c r="P115" s="185" t="str" cm="1">
        <f t="array" ref="P115">_xll.d.TestUtils_IsTrue(O120="ERROR")</f>
        <v>OK</v>
      </c>
    </row>
    <row r="117" spans="2:23" x14ac:dyDescent="0.3">
      <c r="B117" s="202" t="s">
        <v>145</v>
      </c>
      <c r="C117" s="186" t="s">
        <v>190</v>
      </c>
      <c r="E117" s="202" t="s">
        <v>145</v>
      </c>
      <c r="F117" s="186" t="s">
        <v>190</v>
      </c>
      <c r="J117" s="202" t="s">
        <v>145</v>
      </c>
      <c r="K117" s="186" t="s">
        <v>190</v>
      </c>
      <c r="O117" s="202" t="s">
        <v>145</v>
      </c>
      <c r="P117" s="186" t="s">
        <v>190</v>
      </c>
    </row>
    <row r="118" spans="2:23" x14ac:dyDescent="0.3">
      <c r="B118" s="186"/>
    </row>
    <row r="119" spans="2:23" x14ac:dyDescent="0.3">
      <c r="B119" s="203" t="s">
        <v>143</v>
      </c>
      <c r="C119" s="203" t="s">
        <v>144</v>
      </c>
      <c r="E119" s="203" t="s">
        <v>144</v>
      </c>
      <c r="J119" s="203" t="s">
        <v>144</v>
      </c>
      <c r="O119" s="203" t="s">
        <v>144</v>
      </c>
    </row>
    <row r="120" spans="2:23" x14ac:dyDescent="0.3">
      <c r="B120" s="186" t="s">
        <v>149</v>
      </c>
      <c r="C120" s="186" t="str" cm="1">
        <f t="array" ref="C120">_xll.d.TestUtils_Or(B120:B123)</f>
        <v>ERROR</v>
      </c>
      <c r="E120" s="186" t="str" cm="1">
        <f t="array" ref="E120">_xll.d.TestUtils_Or(E123:H123)</f>
        <v>ERROR</v>
      </c>
      <c r="J120" s="186" t="str" cm="1">
        <f t="array" ref="J120">_xll.d.TestUtils_Or(J123:M126)</f>
        <v>ERROR</v>
      </c>
      <c r="O120" s="186" t="str" cm="1">
        <f t="array" ref="O120">_xll.d.TestUtils_Or(O123,O125:Q125,S123:S126,U123:W126)</f>
        <v>ERROR</v>
      </c>
    </row>
    <row r="121" spans="2:23" x14ac:dyDescent="0.3">
      <c r="B121" s="186" t="s">
        <v>149</v>
      </c>
    </row>
    <row r="122" spans="2:23" x14ac:dyDescent="0.3">
      <c r="B122" s="186" t="s">
        <v>149</v>
      </c>
      <c r="E122" s="203" t="s">
        <v>143</v>
      </c>
      <c r="J122" s="70" t="s">
        <v>143</v>
      </c>
      <c r="O122" s="70" t="s">
        <v>143</v>
      </c>
    </row>
    <row r="123" spans="2:23" x14ac:dyDescent="0.3">
      <c r="B123" s="186" t="s">
        <v>149</v>
      </c>
      <c r="E123" s="186" t="s">
        <v>149</v>
      </c>
      <c r="F123" s="186" t="s">
        <v>149</v>
      </c>
      <c r="G123" s="186" t="s">
        <v>149</v>
      </c>
      <c r="H123" s="186" t="s">
        <v>149</v>
      </c>
      <c r="J123" s="186" t="s">
        <v>149</v>
      </c>
      <c r="K123" s="186" t="s">
        <v>149</v>
      </c>
      <c r="L123" s="186" t="s">
        <v>149</v>
      </c>
      <c r="M123" s="186" t="s">
        <v>149</v>
      </c>
      <c r="O123" s="186" t="s">
        <v>149</v>
      </c>
      <c r="R123" s="186"/>
      <c r="S123" s="186" t="s">
        <v>149</v>
      </c>
      <c r="U123" s="186" t="s">
        <v>149</v>
      </c>
      <c r="V123" s="186" t="s">
        <v>149</v>
      </c>
      <c r="W123" s="186" t="s">
        <v>149</v>
      </c>
    </row>
    <row r="124" spans="2:23" x14ac:dyDescent="0.3">
      <c r="J124" s="186" t="s">
        <v>149</v>
      </c>
      <c r="K124" s="186" t="s">
        <v>149</v>
      </c>
      <c r="L124" s="186" t="s">
        <v>149</v>
      </c>
      <c r="M124" s="186" t="s">
        <v>149</v>
      </c>
      <c r="S124" s="186" t="s">
        <v>149</v>
      </c>
      <c r="U124" s="186" t="s">
        <v>149</v>
      </c>
      <c r="V124" s="186" t="s">
        <v>149</v>
      </c>
      <c r="W124" s="186" t="s">
        <v>149</v>
      </c>
    </row>
    <row r="125" spans="2:23" x14ac:dyDescent="0.3">
      <c r="J125" s="186" t="s">
        <v>149</v>
      </c>
      <c r="K125" s="186" t="s">
        <v>149</v>
      </c>
      <c r="L125" s="186" t="s">
        <v>149</v>
      </c>
      <c r="M125" s="186" t="s">
        <v>149</v>
      </c>
      <c r="O125" s="186" t="s">
        <v>149</v>
      </c>
      <c r="P125" s="186" t="s">
        <v>149</v>
      </c>
      <c r="Q125" s="186" t="s">
        <v>149</v>
      </c>
      <c r="S125" s="186" t="s">
        <v>149</v>
      </c>
      <c r="U125" s="186" t="s">
        <v>149</v>
      </c>
      <c r="V125" s="186" t="s">
        <v>149</v>
      </c>
      <c r="W125" s="186" t="s">
        <v>149</v>
      </c>
    </row>
    <row r="126" spans="2:23" x14ac:dyDescent="0.3">
      <c r="C126" s="185"/>
      <c r="J126" s="186" t="s">
        <v>149</v>
      </c>
      <c r="K126" s="186" t="s">
        <v>149</v>
      </c>
      <c r="L126" s="186" t="s">
        <v>149</v>
      </c>
      <c r="M126" s="186" t="s">
        <v>149</v>
      </c>
      <c r="S126" s="186" t="s">
        <v>149</v>
      </c>
      <c r="U126" s="186" t="s">
        <v>149</v>
      </c>
      <c r="V126" s="186" t="s">
        <v>149</v>
      </c>
      <c r="W126" s="186" t="s">
        <v>149</v>
      </c>
    </row>
    <row r="129" spans="2:23" ht="18" x14ac:dyDescent="0.35">
      <c r="B129" s="3" t="s">
        <v>129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3">
      <c r="B131" s="59" t="s">
        <v>136</v>
      </c>
      <c r="C131" s="185" t="str" cm="1">
        <f t="array" ref="C131">_xll.d.TestUtils_And(C137,F137,K137,P137)</f>
        <v>OK</v>
      </c>
    </row>
    <row r="133" spans="2:23" x14ac:dyDescent="0.3">
      <c r="B133" t="s">
        <v>200</v>
      </c>
    </row>
    <row r="135" spans="2:23" ht="15.6" x14ac:dyDescent="0.3">
      <c r="B135" s="4" t="s">
        <v>168</v>
      </c>
      <c r="C135" s="4"/>
      <c r="E135" s="4" t="s">
        <v>165</v>
      </c>
      <c r="F135" s="4"/>
      <c r="G135" s="4"/>
      <c r="H135" s="4"/>
      <c r="J135" s="4" t="s">
        <v>166</v>
      </c>
      <c r="K135" s="4"/>
      <c r="L135" s="4"/>
      <c r="M135" s="4"/>
      <c r="O135" s="4" t="s">
        <v>167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3">
      <c r="B137" s="59" t="s">
        <v>136</v>
      </c>
      <c r="C137" s="185" t="str" cm="1">
        <f t="array" ref="C137">_xll.d.TestUtils_IsTrue(C142="OK")</f>
        <v>OK</v>
      </c>
      <c r="E137" s="59" t="s">
        <v>136</v>
      </c>
      <c r="F137" s="185" t="str" cm="1">
        <f t="array" ref="F137">_xll.d.TestUtils_IsTrue(E142="OK")</f>
        <v>OK</v>
      </c>
      <c r="J137" s="59" t="s">
        <v>136</v>
      </c>
      <c r="K137" s="185" t="str" cm="1">
        <f t="array" ref="K137">_xll.d.TestUtils_IsTrue(J142="OK")</f>
        <v>OK</v>
      </c>
      <c r="O137" s="59" t="s">
        <v>136</v>
      </c>
      <c r="P137" s="185" t="str" cm="1">
        <f t="array" ref="P137">_xll.d.TestUtils_IsTrue(O142="OK")</f>
        <v>OK</v>
      </c>
    </row>
    <row r="139" spans="2:23" x14ac:dyDescent="0.3">
      <c r="B139" s="202" t="s">
        <v>145</v>
      </c>
      <c r="C139" s="186" t="s">
        <v>190</v>
      </c>
      <c r="E139" s="202" t="s">
        <v>145</v>
      </c>
      <c r="F139" s="186" t="s">
        <v>190</v>
      </c>
      <c r="J139" s="202" t="s">
        <v>145</v>
      </c>
      <c r="K139" s="186" t="s">
        <v>190</v>
      </c>
      <c r="O139" s="202" t="s">
        <v>145</v>
      </c>
      <c r="P139" s="186" t="s">
        <v>190</v>
      </c>
    </row>
    <row r="140" spans="2:23" x14ac:dyDescent="0.3">
      <c r="B140" s="186"/>
    </row>
    <row r="141" spans="2:23" x14ac:dyDescent="0.3">
      <c r="B141" s="203" t="s">
        <v>143</v>
      </c>
      <c r="C141" s="203" t="s">
        <v>144</v>
      </c>
      <c r="E141" s="203" t="s">
        <v>144</v>
      </c>
      <c r="J141" s="203" t="s">
        <v>144</v>
      </c>
      <c r="O141" s="203" t="s">
        <v>144</v>
      </c>
    </row>
    <row r="142" spans="2:23" x14ac:dyDescent="0.3">
      <c r="B142" s="186" t="s">
        <v>149</v>
      </c>
      <c r="C142" s="186" t="str" cm="1">
        <f t="array" ref="C142">_xll.d.TestUtils_Or(B142:B145)</f>
        <v>OK</v>
      </c>
      <c r="E142" s="186" t="str" cm="1">
        <f t="array" ref="E142">_xll.d.TestUtils_Or(E145:H145)</f>
        <v>OK</v>
      </c>
      <c r="J142" s="186" t="str" cm="1">
        <f t="array" ref="J142">_xll.d.TestUtils_Or(J145:M148)</f>
        <v>OK</v>
      </c>
      <c r="O142" s="186" t="str" cm="1">
        <f t="array" ref="O142">_xll.d.TestUtils_Or(O145,O147:Q147,S145:S148,U145:W148)</f>
        <v>OK</v>
      </c>
    </row>
    <row r="143" spans="2:23" x14ac:dyDescent="0.3">
      <c r="B143" s="186" t="s">
        <v>149</v>
      </c>
    </row>
    <row r="144" spans="2:23" x14ac:dyDescent="0.3">
      <c r="B144" s="186" t="s">
        <v>139</v>
      </c>
      <c r="E144" s="203" t="s">
        <v>143</v>
      </c>
      <c r="J144" s="70" t="s">
        <v>143</v>
      </c>
      <c r="O144" s="70" t="s">
        <v>143</v>
      </c>
    </row>
    <row r="145" spans="2:23" x14ac:dyDescent="0.3">
      <c r="B145" s="186" t="s">
        <v>149</v>
      </c>
      <c r="E145" s="186" t="s">
        <v>149</v>
      </c>
      <c r="F145" s="186" t="s">
        <v>139</v>
      </c>
      <c r="G145" t="s">
        <v>149</v>
      </c>
      <c r="H145" s="186" t="s">
        <v>149</v>
      </c>
      <c r="J145" s="186" t="s">
        <v>149</v>
      </c>
      <c r="K145" s="186" t="s">
        <v>149</v>
      </c>
      <c r="L145" s="186" t="s">
        <v>149</v>
      </c>
      <c r="M145" s="186" t="s">
        <v>139</v>
      </c>
      <c r="O145" s="186" t="s">
        <v>149</v>
      </c>
      <c r="R145" s="186"/>
      <c r="S145" s="186" t="s">
        <v>149</v>
      </c>
      <c r="U145" s="186" t="s">
        <v>149</v>
      </c>
      <c r="V145" s="186" t="s">
        <v>149</v>
      </c>
      <c r="W145" s="186" t="s">
        <v>149</v>
      </c>
    </row>
    <row r="146" spans="2:23" x14ac:dyDescent="0.3">
      <c r="J146" s="186" t="s">
        <v>149</v>
      </c>
      <c r="K146" s="186" t="s">
        <v>149</v>
      </c>
      <c r="L146" s="186" t="s">
        <v>149</v>
      </c>
      <c r="M146" s="186" t="s">
        <v>149</v>
      </c>
      <c r="S146" s="186" t="s">
        <v>149</v>
      </c>
      <c r="U146" s="186" t="s">
        <v>149</v>
      </c>
      <c r="V146" s="186" t="s">
        <v>149</v>
      </c>
      <c r="W146" s="186" t="s">
        <v>149</v>
      </c>
    </row>
    <row r="147" spans="2:23" x14ac:dyDescent="0.3">
      <c r="J147" s="186" t="s">
        <v>149</v>
      </c>
      <c r="K147" s="186" t="s">
        <v>149</v>
      </c>
      <c r="L147" s="186" t="s">
        <v>149</v>
      </c>
      <c r="M147" s="186" t="s">
        <v>149</v>
      </c>
      <c r="O147" s="186" t="s">
        <v>149</v>
      </c>
      <c r="P147" s="186" t="s">
        <v>149</v>
      </c>
      <c r="Q147" s="186" t="s">
        <v>139</v>
      </c>
      <c r="S147" s="186" t="s">
        <v>149</v>
      </c>
      <c r="U147" s="186" t="s">
        <v>149</v>
      </c>
      <c r="V147" s="186" t="s">
        <v>149</v>
      </c>
      <c r="W147" s="186" t="s">
        <v>149</v>
      </c>
    </row>
    <row r="148" spans="2:23" x14ac:dyDescent="0.3">
      <c r="J148" s="186" t="s">
        <v>149</v>
      </c>
      <c r="K148" s="186" t="s">
        <v>149</v>
      </c>
      <c r="L148" s="186" t="s">
        <v>149</v>
      </c>
      <c r="M148" s="186" t="s">
        <v>149</v>
      </c>
      <c r="S148" s="186" t="s">
        <v>139</v>
      </c>
      <c r="U148" s="186" t="s">
        <v>149</v>
      </c>
      <c r="V148" s="186" t="s">
        <v>149</v>
      </c>
      <c r="W148" s="186" t="s">
        <v>149</v>
      </c>
    </row>
    <row r="151" spans="2:23" ht="18" x14ac:dyDescent="0.35">
      <c r="B151" s="3" t="s">
        <v>174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3">
      <c r="B153" s="59" t="s">
        <v>136</v>
      </c>
      <c r="C153" s="185" t="str" cm="1">
        <f t="array" ref="C153">_xll.d.TestUtils_And(C159,F159,K159,P159)</f>
        <v>OK</v>
      </c>
    </row>
    <row r="155" spans="2:23" x14ac:dyDescent="0.3">
      <c r="B155" t="s">
        <v>201</v>
      </c>
    </row>
    <row r="157" spans="2:23" ht="15.6" x14ac:dyDescent="0.3">
      <c r="B157" s="4" t="s">
        <v>175</v>
      </c>
      <c r="C157" s="4"/>
      <c r="E157" s="4" t="s">
        <v>176</v>
      </c>
      <c r="F157" s="4"/>
      <c r="G157" s="4"/>
      <c r="H157" s="4"/>
      <c r="J157" s="4" t="s">
        <v>177</v>
      </c>
      <c r="K157" s="4"/>
      <c r="L157" s="4"/>
      <c r="M157" s="4"/>
      <c r="O157" s="4" t="s">
        <v>178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3">
      <c r="B159" s="59" t="s">
        <v>136</v>
      </c>
      <c r="C159" s="185" t="str" cm="1">
        <f t="array" ref="C159">_xll.d.TestUtils_IsTrue(C164="WARNING")</f>
        <v>OK</v>
      </c>
      <c r="E159" s="59" t="s">
        <v>136</v>
      </c>
      <c r="F159" s="185" t="str" cm="1">
        <f t="array" ref="F159">_xll.d.TestUtils_IsTrue(E164="WARNING")</f>
        <v>OK</v>
      </c>
      <c r="J159" s="59" t="s">
        <v>136</v>
      </c>
      <c r="K159" s="185" t="str" cm="1">
        <f t="array" ref="K159">_xll.d.TestUtils_IsTrue(J164="WARNING")</f>
        <v>OK</v>
      </c>
      <c r="O159" s="59" t="s">
        <v>136</v>
      </c>
      <c r="P159" s="185" t="str" cm="1">
        <f t="array" ref="P159">_xll.d.TestUtils_IsTrue(O164="WARNING")</f>
        <v>OK</v>
      </c>
    </row>
    <row r="161" spans="2:23" x14ac:dyDescent="0.3">
      <c r="B161" s="202" t="s">
        <v>145</v>
      </c>
      <c r="C161" s="186" t="s">
        <v>190</v>
      </c>
      <c r="E161" s="202" t="s">
        <v>145</v>
      </c>
      <c r="F161" s="186" t="s">
        <v>190</v>
      </c>
      <c r="J161" s="202" t="s">
        <v>145</v>
      </c>
      <c r="K161" s="186" t="s">
        <v>190</v>
      </c>
      <c r="O161" s="202" t="s">
        <v>145</v>
      </c>
      <c r="P161" s="186" t="s">
        <v>190</v>
      </c>
    </row>
    <row r="162" spans="2:23" x14ac:dyDescent="0.3">
      <c r="B162" s="186"/>
    </row>
    <row r="163" spans="2:23" x14ac:dyDescent="0.3">
      <c r="B163" s="203" t="s">
        <v>143</v>
      </c>
      <c r="C163" s="203" t="s">
        <v>144</v>
      </c>
      <c r="E163" s="203" t="s">
        <v>144</v>
      </c>
      <c r="J163" s="203" t="s">
        <v>144</v>
      </c>
      <c r="O163" s="203" t="s">
        <v>144</v>
      </c>
    </row>
    <row r="164" spans="2:23" x14ac:dyDescent="0.3">
      <c r="B164" s="186" t="s">
        <v>149</v>
      </c>
      <c r="C164" s="186" t="str" cm="1">
        <f t="array" ref="C164">_xll.d.TestUtils_Or(B164:B167)</f>
        <v>WARNING</v>
      </c>
      <c r="E164" s="186" t="str" cm="1">
        <f t="array" ref="E164">_xll.d.TestUtils_Or(E167:H167)</f>
        <v>WARNING</v>
      </c>
      <c r="J164" s="186" t="str" cm="1">
        <f t="array" ref="J164">_xll.d.TestUtils_Or(J167:M170)</f>
        <v>WARNING</v>
      </c>
      <c r="O164" s="186" t="str" cm="1">
        <f t="array" ref="O164">_xll.d.TestUtils_Or(O167,O169:Q169,S167:S170,U167:W170)</f>
        <v>WARNING</v>
      </c>
    </row>
    <row r="165" spans="2:23" x14ac:dyDescent="0.3">
      <c r="B165" s="186" t="s">
        <v>153</v>
      </c>
    </row>
    <row r="166" spans="2:23" x14ac:dyDescent="0.3">
      <c r="B166" s="186" t="s">
        <v>149</v>
      </c>
      <c r="E166" s="203" t="s">
        <v>143</v>
      </c>
      <c r="J166" s="70" t="s">
        <v>143</v>
      </c>
      <c r="O166" s="70" t="s">
        <v>143</v>
      </c>
    </row>
    <row r="167" spans="2:23" x14ac:dyDescent="0.3">
      <c r="B167" s="186" t="s">
        <v>149</v>
      </c>
      <c r="E167" s="186" t="s">
        <v>149</v>
      </c>
      <c r="F167" s="186" t="s">
        <v>149</v>
      </c>
      <c r="G167" s="186" t="s">
        <v>149</v>
      </c>
      <c r="H167" s="186" t="s">
        <v>153</v>
      </c>
      <c r="J167" s="186" t="s">
        <v>149</v>
      </c>
      <c r="K167" s="186" t="s">
        <v>149</v>
      </c>
      <c r="L167" s="186" t="s">
        <v>149</v>
      </c>
      <c r="M167" s="186" t="s">
        <v>149</v>
      </c>
      <c r="O167" s="186" t="s">
        <v>149</v>
      </c>
      <c r="R167" s="186"/>
      <c r="S167" s="186" t="s">
        <v>149</v>
      </c>
      <c r="U167" s="186" t="s">
        <v>149</v>
      </c>
      <c r="V167" s="186" t="s">
        <v>149</v>
      </c>
      <c r="W167" s="186" t="s">
        <v>149</v>
      </c>
    </row>
    <row r="168" spans="2:23" x14ac:dyDescent="0.3">
      <c r="J168" s="186" t="s">
        <v>149</v>
      </c>
      <c r="K168" s="186" t="s">
        <v>149</v>
      </c>
      <c r="L168" s="186" t="s">
        <v>149</v>
      </c>
      <c r="M168" s="186" t="s">
        <v>149</v>
      </c>
      <c r="S168" s="186" t="s">
        <v>149</v>
      </c>
      <c r="U168" s="186" t="s">
        <v>149</v>
      </c>
      <c r="V168" s="186" t="s">
        <v>149</v>
      </c>
      <c r="W168" s="186" t="s">
        <v>149</v>
      </c>
    </row>
    <row r="169" spans="2:23" x14ac:dyDescent="0.3">
      <c r="J169" s="186" t="s">
        <v>149</v>
      </c>
      <c r="K169" s="186" t="s">
        <v>153</v>
      </c>
      <c r="L169" s="186" t="s">
        <v>149</v>
      </c>
      <c r="M169" s="186" t="s">
        <v>149</v>
      </c>
      <c r="O169" s="186" t="s">
        <v>149</v>
      </c>
      <c r="P169" s="186" t="s">
        <v>149</v>
      </c>
      <c r="Q169" s="186" t="s">
        <v>153</v>
      </c>
      <c r="S169" s="186" t="s">
        <v>149</v>
      </c>
      <c r="U169" s="186" t="s">
        <v>149</v>
      </c>
      <c r="V169" s="186" t="s">
        <v>149</v>
      </c>
      <c r="W169" s="186" t="s">
        <v>149</v>
      </c>
    </row>
    <row r="170" spans="2:23" x14ac:dyDescent="0.3">
      <c r="J170" s="186" t="s">
        <v>149</v>
      </c>
      <c r="K170" s="186" t="s">
        <v>149</v>
      </c>
      <c r="L170" s="186" t="s">
        <v>149</v>
      </c>
      <c r="M170" s="186" t="s">
        <v>149</v>
      </c>
      <c r="S170" s="186" t="s">
        <v>149</v>
      </c>
      <c r="U170" s="186" t="s">
        <v>149</v>
      </c>
      <c r="V170" s="186" t="s">
        <v>149</v>
      </c>
      <c r="W170" s="186" t="s">
        <v>149</v>
      </c>
    </row>
    <row r="173" spans="2:23" ht="18" x14ac:dyDescent="0.35">
      <c r="B173" s="3" t="s">
        <v>179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3">
      <c r="B175" s="59" t="s">
        <v>136</v>
      </c>
      <c r="C175" s="185" t="str" cm="1">
        <f t="array" ref="C175">_xll.d.TestUtils_And(C181,F181,K181,P181)</f>
        <v>OK</v>
      </c>
    </row>
    <row r="177" spans="2:23" x14ac:dyDescent="0.3">
      <c r="B177" t="s">
        <v>202</v>
      </c>
    </row>
    <row r="179" spans="2:23" ht="15.6" x14ac:dyDescent="0.3">
      <c r="B179" s="4" t="s">
        <v>183</v>
      </c>
      <c r="C179" s="4"/>
      <c r="E179" s="4" t="s">
        <v>180</v>
      </c>
      <c r="F179" s="4"/>
      <c r="G179" s="4"/>
      <c r="H179" s="4"/>
      <c r="J179" s="4" t="s">
        <v>181</v>
      </c>
      <c r="K179" s="4"/>
      <c r="L179" s="4"/>
      <c r="M179" s="4"/>
      <c r="O179" s="4" t="s">
        <v>182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3">
      <c r="B181" s="59" t="s">
        <v>136</v>
      </c>
      <c r="C181" s="185" t="str" cm="1">
        <f t="array" ref="C181">_xll.d.TestUtils_IsTrue(C186="OK")</f>
        <v>OK</v>
      </c>
      <c r="E181" s="59" t="s">
        <v>136</v>
      </c>
      <c r="F181" s="185" t="str" cm="1">
        <f t="array" ref="F181">_xll.d.TestUtils_IsTrue(E186="OK")</f>
        <v>OK</v>
      </c>
      <c r="J181" s="59" t="s">
        <v>136</v>
      </c>
      <c r="K181" s="185" t="str" cm="1">
        <f t="array" ref="K181">_xll.d.TestUtils_IsTrue(J186="OK")</f>
        <v>OK</v>
      </c>
      <c r="O181" s="59" t="s">
        <v>136</v>
      </c>
      <c r="P181" s="185" t="str" cm="1">
        <f t="array" ref="P181">_xll.d.TestUtils_IsTrue(O186="OK")</f>
        <v>OK</v>
      </c>
    </row>
    <row r="183" spans="2:23" x14ac:dyDescent="0.3">
      <c r="B183" s="202" t="s">
        <v>145</v>
      </c>
      <c r="C183" s="186" t="s">
        <v>190</v>
      </c>
      <c r="E183" s="202" t="s">
        <v>145</v>
      </c>
      <c r="F183" s="186" t="s">
        <v>190</v>
      </c>
      <c r="J183" s="202" t="s">
        <v>145</v>
      </c>
      <c r="K183" s="186" t="s">
        <v>190</v>
      </c>
      <c r="O183" s="202" t="s">
        <v>145</v>
      </c>
      <c r="P183" s="186" t="s">
        <v>190</v>
      </c>
    </row>
    <row r="184" spans="2:23" x14ac:dyDescent="0.3">
      <c r="B184" s="186"/>
    </row>
    <row r="185" spans="2:23" x14ac:dyDescent="0.3">
      <c r="B185" s="203" t="s">
        <v>143</v>
      </c>
      <c r="C185" s="203" t="s">
        <v>144</v>
      </c>
      <c r="E185" s="203" t="s">
        <v>144</v>
      </c>
      <c r="J185" s="203" t="s">
        <v>144</v>
      </c>
      <c r="O185" s="203" t="s">
        <v>144</v>
      </c>
    </row>
    <row r="186" spans="2:23" x14ac:dyDescent="0.3">
      <c r="B186" s="186" t="s">
        <v>149</v>
      </c>
      <c r="C186" s="186" t="str" cm="1">
        <f t="array" ref="C186">_xll.d.TestUtils_Or(B186:B189)</f>
        <v>OK</v>
      </c>
      <c r="E186" s="186" t="str" cm="1">
        <f t="array" ref="E186">_xll.d.TestUtils_Or(E189:H189)</f>
        <v>OK</v>
      </c>
      <c r="J186" s="186" t="str" cm="1">
        <f t="array" ref="J186">_xll.d.TestUtils_Or(J189:M192)</f>
        <v>OK</v>
      </c>
      <c r="O186" s="186" t="str" cm="1">
        <f t="array" ref="O186">_xll.d.TestUtils_Or(O189,O191:Q191,S189:S192,U189:W192)</f>
        <v>OK</v>
      </c>
    </row>
    <row r="187" spans="2:23" x14ac:dyDescent="0.3">
      <c r="B187" s="186" t="s">
        <v>153</v>
      </c>
    </row>
    <row r="188" spans="2:23" x14ac:dyDescent="0.3">
      <c r="B188" s="186" t="s">
        <v>149</v>
      </c>
      <c r="E188" s="203" t="s">
        <v>143</v>
      </c>
      <c r="J188" s="70" t="s">
        <v>143</v>
      </c>
      <c r="O188" s="70" t="s">
        <v>143</v>
      </c>
    </row>
    <row r="189" spans="2:23" x14ac:dyDescent="0.3">
      <c r="B189" s="186" t="s">
        <v>139</v>
      </c>
      <c r="E189" s="186" t="s">
        <v>149</v>
      </c>
      <c r="F189" s="186" t="s">
        <v>139</v>
      </c>
      <c r="G189" s="186" t="s">
        <v>149</v>
      </c>
      <c r="H189" s="186" t="s">
        <v>153</v>
      </c>
      <c r="J189" s="186" t="s">
        <v>149</v>
      </c>
      <c r="K189" s="186" t="s">
        <v>149</v>
      </c>
      <c r="L189" s="186" t="s">
        <v>149</v>
      </c>
      <c r="M189" s="186" t="s">
        <v>149</v>
      </c>
      <c r="O189" s="186" t="s">
        <v>149</v>
      </c>
      <c r="R189" s="186"/>
      <c r="S189" s="186" t="s">
        <v>149</v>
      </c>
      <c r="U189" s="186" t="s">
        <v>149</v>
      </c>
      <c r="V189" s="186" t="s">
        <v>149</v>
      </c>
      <c r="W189" s="186" t="s">
        <v>149</v>
      </c>
    </row>
    <row r="190" spans="2:23" x14ac:dyDescent="0.3">
      <c r="J190" s="186" t="s">
        <v>149</v>
      </c>
      <c r="K190" s="186" t="s">
        <v>149</v>
      </c>
      <c r="L190" s="186" t="s">
        <v>139</v>
      </c>
      <c r="M190" s="186" t="s">
        <v>149</v>
      </c>
      <c r="S190" s="186" t="s">
        <v>149</v>
      </c>
      <c r="U190" s="186" t="s">
        <v>149</v>
      </c>
      <c r="V190" s="186" t="s">
        <v>139</v>
      </c>
      <c r="W190" s="186" t="s">
        <v>149</v>
      </c>
    </row>
    <row r="191" spans="2:23" x14ac:dyDescent="0.3">
      <c r="J191" s="186" t="s">
        <v>149</v>
      </c>
      <c r="K191" s="186" t="s">
        <v>153</v>
      </c>
      <c r="L191" s="186" t="s">
        <v>149</v>
      </c>
      <c r="M191" s="186" t="s">
        <v>149</v>
      </c>
      <c r="O191" s="186" t="s">
        <v>149</v>
      </c>
      <c r="P191" s="186" t="s">
        <v>149</v>
      </c>
      <c r="Q191" s="186" t="s">
        <v>153</v>
      </c>
      <c r="S191" s="186" t="s">
        <v>149</v>
      </c>
      <c r="U191" s="186" t="s">
        <v>149</v>
      </c>
      <c r="V191" s="186" t="s">
        <v>149</v>
      </c>
      <c r="W191" s="186" t="s">
        <v>149</v>
      </c>
    </row>
    <row r="192" spans="2:23" x14ac:dyDescent="0.3">
      <c r="J192" s="186" t="s">
        <v>149</v>
      </c>
      <c r="K192" s="186" t="s">
        <v>149</v>
      </c>
      <c r="L192" s="186" t="s">
        <v>149</v>
      </c>
      <c r="M192" s="186" t="s">
        <v>149</v>
      </c>
      <c r="S192" s="186" t="s">
        <v>149</v>
      </c>
      <c r="U192" s="186" t="s">
        <v>149</v>
      </c>
      <c r="V192" s="186" t="s">
        <v>149</v>
      </c>
      <c r="W192" s="186" t="s">
        <v>149</v>
      </c>
    </row>
    <row r="195" spans="2:23" ht="18" x14ac:dyDescent="0.35">
      <c r="B195" s="3" t="s">
        <v>185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3">
      <c r="B197" s="59" t="s">
        <v>136</v>
      </c>
      <c r="C197" s="185" t="str" cm="1">
        <f t="array" ref="C197">_xll.d.TestUtils_And(C203,F203,K203,P203)</f>
        <v>OK</v>
      </c>
    </row>
    <row r="199" spans="2:23" x14ac:dyDescent="0.3">
      <c r="B199" t="s">
        <v>203</v>
      </c>
    </row>
    <row r="201" spans="2:23" ht="15.6" x14ac:dyDescent="0.3">
      <c r="B201" s="4" t="s">
        <v>191</v>
      </c>
      <c r="C201" s="4"/>
      <c r="E201" s="4" t="s">
        <v>192</v>
      </c>
      <c r="F201" s="4"/>
      <c r="G201" s="4"/>
      <c r="H201" s="4"/>
      <c r="J201" s="4" t="s">
        <v>193</v>
      </c>
      <c r="K201" s="4"/>
      <c r="L201" s="4"/>
      <c r="M201" s="4"/>
      <c r="O201" s="4" t="s">
        <v>194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3">
      <c r="B203" s="59" t="s">
        <v>136</v>
      </c>
      <c r="C203" s="185" t="str" cm="1">
        <f t="array" ref="C203">_xll.d.TestUtils_IsTrue(C208="OK")</f>
        <v>OK</v>
      </c>
      <c r="E203" s="59" t="s">
        <v>136</v>
      </c>
      <c r="F203" s="185" t="str" cm="1">
        <f t="array" ref="F203">_xll.d.TestUtils_IsTrue(E208="OK")</f>
        <v>OK</v>
      </c>
      <c r="J203" s="59" t="s">
        <v>136</v>
      </c>
      <c r="K203" s="185" t="str" cm="1">
        <f t="array" ref="K203">_xll.d.TestUtils_IsTrue(J208="OK")</f>
        <v>OK</v>
      </c>
      <c r="O203" s="59" t="s">
        <v>136</v>
      </c>
      <c r="P203" s="185" t="str" cm="1">
        <f t="array" ref="P203">_xll.d.TestUtils_IsTrue(O208="OK")</f>
        <v>OK</v>
      </c>
    </row>
    <row r="205" spans="2:23" x14ac:dyDescent="0.3">
      <c r="B205" s="202" t="s">
        <v>145</v>
      </c>
      <c r="C205" s="186" t="s">
        <v>190</v>
      </c>
      <c r="E205" s="202" t="s">
        <v>145</v>
      </c>
      <c r="F205" s="186" t="s">
        <v>190</v>
      </c>
      <c r="J205" s="202" t="s">
        <v>145</v>
      </c>
      <c r="K205" s="186" t="s">
        <v>190</v>
      </c>
      <c r="O205" s="202" t="s">
        <v>145</v>
      </c>
      <c r="P205" s="186" t="s">
        <v>190</v>
      </c>
    </row>
    <row r="206" spans="2:23" x14ac:dyDescent="0.3">
      <c r="B206" s="186"/>
    </row>
    <row r="207" spans="2:23" x14ac:dyDescent="0.3">
      <c r="B207" s="203" t="s">
        <v>143</v>
      </c>
      <c r="C207" s="203" t="s">
        <v>144</v>
      </c>
      <c r="E207" s="203" t="s">
        <v>144</v>
      </c>
      <c r="J207" s="203" t="s">
        <v>144</v>
      </c>
      <c r="O207" s="203" t="s">
        <v>144</v>
      </c>
    </row>
    <row r="208" spans="2:23" x14ac:dyDescent="0.3">
      <c r="B208" s="186" t="s">
        <v>149</v>
      </c>
      <c r="C208" s="186" t="str">
        <f t="array" ref="C208:C211">_xll.d.TestUtils_Not(B208:B211)</f>
        <v>OK</v>
      </c>
      <c r="E208" s="186" t="str" cm="1">
        <f t="array" ref="E208">_xll.d.TestUtils_Or(E211:H211)</f>
        <v>OK</v>
      </c>
      <c r="J208" s="186" t="str" cm="1">
        <f t="array" ref="J208">_xll.d.TestUtils_Or(J211:M214)</f>
        <v>OK</v>
      </c>
      <c r="O208" s="186" t="str" cm="1">
        <f t="array" ref="O208">_xll.d.TestUtils_Or(O211,O213:Q213,S211:S214,U211:W214)</f>
        <v>OK</v>
      </c>
    </row>
    <row r="209" spans="2:23" x14ac:dyDescent="0.3">
      <c r="B209" s="186" t="s">
        <v>153</v>
      </c>
      <c r="C209" t="str">
        <v>WARNING</v>
      </c>
    </row>
    <row r="210" spans="2:23" x14ac:dyDescent="0.3">
      <c r="B210" s="186" t="s">
        <v>149</v>
      </c>
      <c r="C210" t="str">
        <v>OK</v>
      </c>
      <c r="E210" s="203" t="s">
        <v>143</v>
      </c>
      <c r="J210" s="70" t="s">
        <v>143</v>
      </c>
      <c r="O210" s="70" t="s">
        <v>143</v>
      </c>
    </row>
    <row r="211" spans="2:23" x14ac:dyDescent="0.3">
      <c r="B211" s="186" t="s">
        <v>139</v>
      </c>
      <c r="C211" t="str">
        <v>ERROR</v>
      </c>
      <c r="E211" s="186" t="s">
        <v>149</v>
      </c>
      <c r="F211" s="186" t="s">
        <v>139</v>
      </c>
      <c r="G211" s="186" t="s">
        <v>149</v>
      </c>
      <c r="H211" s="186" t="s">
        <v>153</v>
      </c>
      <c r="J211" s="186" t="s">
        <v>149</v>
      </c>
      <c r="K211" s="186" t="s">
        <v>149</v>
      </c>
      <c r="L211" s="186" t="s">
        <v>149</v>
      </c>
      <c r="M211" s="186" t="s">
        <v>149</v>
      </c>
      <c r="O211" s="186" t="s">
        <v>149</v>
      </c>
      <c r="R211" s="186"/>
      <c r="S211" s="186" t="s">
        <v>149</v>
      </c>
      <c r="U211" s="186" t="s">
        <v>149</v>
      </c>
      <c r="V211" s="186" t="s">
        <v>149</v>
      </c>
      <c r="W211" s="186" t="s">
        <v>149</v>
      </c>
    </row>
    <row r="212" spans="2:23" x14ac:dyDescent="0.3">
      <c r="J212" s="186" t="s">
        <v>149</v>
      </c>
      <c r="K212" s="186" t="s">
        <v>149</v>
      </c>
      <c r="L212" s="186" t="s">
        <v>139</v>
      </c>
      <c r="M212" s="186" t="s">
        <v>149</v>
      </c>
      <c r="S212" s="186" t="s">
        <v>149</v>
      </c>
      <c r="U212" s="186" t="s">
        <v>149</v>
      </c>
      <c r="V212" s="186" t="s">
        <v>139</v>
      </c>
      <c r="W212" s="186" t="s">
        <v>149</v>
      </c>
    </row>
    <row r="213" spans="2:23" x14ac:dyDescent="0.3">
      <c r="J213" s="186" t="s">
        <v>149</v>
      </c>
      <c r="K213" s="186" t="s">
        <v>153</v>
      </c>
      <c r="L213" s="186" t="s">
        <v>149</v>
      </c>
      <c r="M213" s="186" t="s">
        <v>149</v>
      </c>
      <c r="O213" s="186" t="s">
        <v>149</v>
      </c>
      <c r="P213" s="186" t="s">
        <v>149</v>
      </c>
      <c r="Q213" s="186" t="s">
        <v>153</v>
      </c>
      <c r="S213" s="186" t="s">
        <v>149</v>
      </c>
      <c r="U213" s="186" t="s">
        <v>149</v>
      </c>
      <c r="V213" s="186" t="s">
        <v>149</v>
      </c>
      <c r="W213" s="186" t="s">
        <v>149</v>
      </c>
    </row>
    <row r="214" spans="2:23" x14ac:dyDescent="0.3">
      <c r="J214" s="186" t="s">
        <v>149</v>
      </c>
      <c r="K214" s="186" t="s">
        <v>149</v>
      </c>
      <c r="L214" s="186" t="s">
        <v>149</v>
      </c>
      <c r="M214" s="186" t="s">
        <v>149</v>
      </c>
      <c r="S214" s="186" t="s">
        <v>149</v>
      </c>
      <c r="U214" s="186" t="s">
        <v>149</v>
      </c>
      <c r="V214" s="186" t="s">
        <v>149</v>
      </c>
      <c r="W214" s="186" t="s">
        <v>149</v>
      </c>
    </row>
    <row r="217" spans="2:23" ht="18" x14ac:dyDescent="0.35">
      <c r="B217" s="3" t="s">
        <v>204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3">
      <c r="B219" s="59" t="s">
        <v>136</v>
      </c>
      <c r="C219" s="185" t="str" cm="1">
        <f t="array" ref="C219">_xll.d.TestUtils_And(C225,F225,I225,L225)</f>
        <v>OK</v>
      </c>
    </row>
    <row r="221" spans="2:23" x14ac:dyDescent="0.3">
      <c r="B221" t="s">
        <v>209</v>
      </c>
    </row>
    <row r="223" spans="2:23" ht="15.6" x14ac:dyDescent="0.3">
      <c r="B223" s="4" t="s">
        <v>205</v>
      </c>
      <c r="C223" s="4"/>
      <c r="E223" s="4" t="s">
        <v>206</v>
      </c>
      <c r="F223" s="4"/>
      <c r="H223" s="4" t="s">
        <v>207</v>
      </c>
      <c r="I223" s="4"/>
      <c r="K223" s="4" t="s">
        <v>208</v>
      </c>
      <c r="L223" s="4"/>
      <c r="N223" s="4" t="s">
        <v>212</v>
      </c>
      <c r="O223" s="4"/>
      <c r="Q223" s="4" t="s">
        <v>214</v>
      </c>
      <c r="R223" s="4"/>
      <c r="T223" s="4" t="s">
        <v>214</v>
      </c>
      <c r="U223" s="4"/>
    </row>
    <row r="225" spans="2:21" x14ac:dyDescent="0.3">
      <c r="B225" s="59" t="s">
        <v>136</v>
      </c>
      <c r="C225" s="185" t="str" cm="1">
        <f t="array" ref="C225">_xll.d.TestUtils_IsTrue(C230="ERROR")</f>
        <v>OK</v>
      </c>
      <c r="E225" s="59" t="s">
        <v>136</v>
      </c>
      <c r="F225" s="185" t="str" cm="1">
        <f t="array" ref="F225">_xll.d.TestUtils_IsTrue(F230="ERROR")</f>
        <v>OK</v>
      </c>
      <c r="H225" s="59" t="s">
        <v>136</v>
      </c>
      <c r="I225" s="185" t="str" cm="1">
        <f t="array" ref="I225">_xll.d.TestUtils_IsTrue(_xll.d.TestUtils_Or(I230:I233)="ERROR")</f>
        <v>OK</v>
      </c>
      <c r="K225" s="59" t="s">
        <v>136</v>
      </c>
      <c r="L225" s="185" t="str" cm="1">
        <f t="array" ref="L225">_xll.d.TestUtils_IsTrue(L230="ERROR")</f>
        <v>OK</v>
      </c>
      <c r="N225" s="59" t="s">
        <v>136</v>
      </c>
      <c r="O225" s="185" t="str" cm="1">
        <f t="array" ref="O225">_xll.d.TestUtils_IsTrue(O230="ERROR")</f>
        <v>OK</v>
      </c>
      <c r="Q225" s="59" t="s">
        <v>136</v>
      </c>
      <c r="R225" s="185" t="str" cm="1">
        <f t="array" ref="R225">_xll.d.TestUtils_IsTrue(R230="ERROR")</f>
        <v>OK</v>
      </c>
      <c r="T225" s="59" t="s">
        <v>136</v>
      </c>
      <c r="U225" s="185" t="str" cm="1">
        <f t="array" ref="U225">_xll.d.TestUtils_IsTrue(U230="ERROR")</f>
        <v>OK</v>
      </c>
    </row>
    <row r="227" spans="2:21" x14ac:dyDescent="0.3">
      <c r="B227" s="202" t="s">
        <v>145</v>
      </c>
      <c r="C227" s="186" t="s">
        <v>189</v>
      </c>
      <c r="E227" s="202" t="s">
        <v>145</v>
      </c>
      <c r="F227" s="186" t="s">
        <v>190</v>
      </c>
      <c r="H227" s="202" t="s">
        <v>145</v>
      </c>
      <c r="I227" s="186" t="s">
        <v>210</v>
      </c>
      <c r="K227" s="202" t="s">
        <v>145</v>
      </c>
      <c r="L227" s="186" t="s">
        <v>211</v>
      </c>
      <c r="N227" s="202" t="s">
        <v>145</v>
      </c>
      <c r="O227" s="186" t="s">
        <v>213</v>
      </c>
      <c r="Q227" s="202" t="s">
        <v>145</v>
      </c>
      <c r="R227" s="186" t="s">
        <v>215</v>
      </c>
      <c r="T227" s="202" t="s">
        <v>145</v>
      </c>
      <c r="U227" s="186" t="s">
        <v>216</v>
      </c>
    </row>
    <row r="228" spans="2:21" x14ac:dyDescent="0.3">
      <c r="B228" s="186"/>
    </row>
    <row r="229" spans="2:21" x14ac:dyDescent="0.3">
      <c r="B229" s="203" t="s">
        <v>143</v>
      </c>
      <c r="C229" s="203" t="s">
        <v>144</v>
      </c>
      <c r="E229" s="203" t="s">
        <v>143</v>
      </c>
      <c r="F229" s="203" t="s">
        <v>144</v>
      </c>
      <c r="H229" s="203" t="s">
        <v>143</v>
      </c>
      <c r="I229" s="203" t="s">
        <v>144</v>
      </c>
      <c r="K229" s="203" t="s">
        <v>143</v>
      </c>
      <c r="L229" s="203" t="s">
        <v>144</v>
      </c>
      <c r="N229" s="203" t="s">
        <v>143</v>
      </c>
      <c r="O229" s="203" t="s">
        <v>144</v>
      </c>
      <c r="Q229" s="203" t="s">
        <v>143</v>
      </c>
      <c r="R229" s="203" t="s">
        <v>144</v>
      </c>
      <c r="T229" s="203" t="s">
        <v>143</v>
      </c>
      <c r="U229" s="203" t="s">
        <v>144</v>
      </c>
    </row>
    <row r="230" spans="2:21" x14ac:dyDescent="0.3">
      <c r="B230" s="186" t="s">
        <v>139</v>
      </c>
      <c r="C230" s="186" t="str" cm="1">
        <f t="array" ref="C230">_xll.d.TestUtils_And(B230:B233)</f>
        <v>ERROR</v>
      </c>
      <c r="E230" s="186" t="s">
        <v>139</v>
      </c>
      <c r="F230" s="186" t="str" cm="1">
        <f t="array" ref="F230">_xll.d.TestUtils_Or(E230:E233)</f>
        <v>ERROR</v>
      </c>
      <c r="H230" s="186" t="s">
        <v>139</v>
      </c>
      <c r="I230" s="185" t="str">
        <f t="array" ref="I230:I233">_xll.d.TestUtils_Not(H230:H233)</f>
        <v>ERROR</v>
      </c>
      <c r="K230" s="186" t="e">
        <f>NA()</f>
        <v>#N/A</v>
      </c>
      <c r="L230" s="185" t="str" cm="1">
        <f t="array" ref="L230">_xll.d.TestUtils_IsTrue(K230)</f>
        <v>ERROR</v>
      </c>
      <c r="N230" s="186" t="e">
        <f>NA()</f>
        <v>#N/A</v>
      </c>
      <c r="O230" s="185" t="str" cm="1">
        <f t="array" ref="O230">_xll.d.TestUtils_IsFalse(N230)</f>
        <v>ERROR</v>
      </c>
      <c r="Q230" s="186">
        <v>10</v>
      </c>
      <c r="R230" s="185" t="str" cm="1">
        <f t="array" ref="R230">_xll.d.TestUtils_GreaterThan(Q230,Q231)</f>
        <v>ERROR</v>
      </c>
      <c r="T230" s="186">
        <v>10</v>
      </c>
      <c r="U230" s="185" t="str" cm="1">
        <f t="array" ref="U230">_xll.d.TestUtils_LessThan(T230,T231)</f>
        <v>ERROR</v>
      </c>
    </row>
    <row r="231" spans="2:21" x14ac:dyDescent="0.3">
      <c r="B231" s="186" t="s">
        <v>153</v>
      </c>
      <c r="E231" s="186" t="s">
        <v>153</v>
      </c>
      <c r="H231" s="186" t="s">
        <v>153</v>
      </c>
      <c r="I231" s="185" t="str">
        <v>ERROR</v>
      </c>
      <c r="K231" s="185"/>
      <c r="N231" s="185"/>
      <c r="Q231" t="e">
        <f>NA()</f>
        <v>#N/A</v>
      </c>
      <c r="T231" t="e">
        <f>NA()</f>
        <v>#N/A</v>
      </c>
    </row>
    <row r="232" spans="2:21" x14ac:dyDescent="0.3">
      <c r="B232" s="186" t="e">
        <f>NA()</f>
        <v>#N/A</v>
      </c>
      <c r="E232" s="186" t="e">
        <f>NA()</f>
        <v>#N/A</v>
      </c>
      <c r="H232" s="186" t="e">
        <f>NA()</f>
        <v>#N/A</v>
      </c>
      <c r="I232" s="185" t="str">
        <v>ERROR</v>
      </c>
      <c r="L232" s="185"/>
    </row>
    <row r="233" spans="2:21" x14ac:dyDescent="0.3">
      <c r="B233" s="186" t="s">
        <v>139</v>
      </c>
      <c r="E233" s="186" t="s">
        <v>139</v>
      </c>
      <c r="F233" s="186"/>
      <c r="H233" s="186" t="s">
        <v>139</v>
      </c>
      <c r="I233" s="185" t="str">
        <v>ERROR</v>
      </c>
      <c r="K233" s="186"/>
      <c r="L233" s="185"/>
    </row>
    <row r="234" spans="2:21" x14ac:dyDescent="0.3">
      <c r="H234" s="186"/>
      <c r="I234" s="186"/>
    </row>
    <row r="235" spans="2:21" x14ac:dyDescent="0.3">
      <c r="H235" s="186"/>
      <c r="I235" s="186"/>
      <c r="L235" s="186"/>
    </row>
    <row r="236" spans="2:21" x14ac:dyDescent="0.3">
      <c r="H236" s="186"/>
      <c r="I236" s="186"/>
    </row>
  </sheetData>
  <conditionalFormatting sqref="C4 C7:C12">
    <cfRule type="cellIs" dxfId="140" priority="52" stopIfTrue="1" operator="equal">
      <formula>"ERROR"</formula>
    </cfRule>
    <cfRule type="cellIs" dxfId="139" priority="53" stopIfTrue="1" operator="equal">
      <formula>"OK"</formula>
    </cfRule>
    <cfRule type="cellIs" dxfId="138" priority="54" stopIfTrue="1" operator="equal">
      <formula>"WARNING"</formula>
    </cfRule>
  </conditionalFormatting>
  <conditionalFormatting sqref="C27 F27 K27 P27">
    <cfRule type="cellIs" dxfId="137" priority="55" stopIfTrue="1" operator="equal">
      <formula>"ERROR"</formula>
    </cfRule>
    <cfRule type="cellIs" dxfId="136" priority="56" stopIfTrue="1" operator="equal">
      <formula>"OK"</formula>
    </cfRule>
    <cfRule type="cellIs" dxfId="135" priority="57" stopIfTrue="1" operator="equal">
      <formula>"WARNING"</formula>
    </cfRule>
  </conditionalFormatting>
  <conditionalFormatting sqref="C49 F49 K49 P49">
    <cfRule type="cellIs" dxfId="134" priority="58" stopIfTrue="1" operator="equal">
      <formula>"ERROR"</formula>
    </cfRule>
    <cfRule type="cellIs" dxfId="133" priority="59" stopIfTrue="1" operator="equal">
      <formula>"OK"</formula>
    </cfRule>
    <cfRule type="cellIs" dxfId="132" priority="60" stopIfTrue="1" operator="equal">
      <formula>"WARNING"</formula>
    </cfRule>
  </conditionalFormatting>
  <conditionalFormatting sqref="C71 F71 K71 P71">
    <cfRule type="cellIs" dxfId="131" priority="61" stopIfTrue="1" operator="equal">
      <formula>"ERROR"</formula>
    </cfRule>
    <cfRule type="cellIs" dxfId="130" priority="62" stopIfTrue="1" operator="equal">
      <formula>"OK"</formula>
    </cfRule>
    <cfRule type="cellIs" dxfId="129" priority="63" stopIfTrue="1" operator="equal">
      <formula>"WARNING"</formula>
    </cfRule>
  </conditionalFormatting>
  <conditionalFormatting sqref="C93 F93 K93 P93">
    <cfRule type="cellIs" dxfId="128" priority="64" stopIfTrue="1" operator="equal">
      <formula>"ERROR"</formula>
    </cfRule>
    <cfRule type="cellIs" dxfId="127" priority="65" stopIfTrue="1" operator="equal">
      <formula>"OK"</formula>
    </cfRule>
    <cfRule type="cellIs" dxfId="126" priority="66" stopIfTrue="1" operator="equal">
      <formula>"WARNING"</formula>
    </cfRule>
  </conditionalFormatting>
  <conditionalFormatting sqref="C115 F115 K115 P115">
    <cfRule type="cellIs" dxfId="125" priority="67" stopIfTrue="1" operator="equal">
      <formula>"ERROR"</formula>
    </cfRule>
  </conditionalFormatting>
  <conditionalFormatting sqref="C115 F115 K115 P115">
    <cfRule type="cellIs" dxfId="124" priority="68" stopIfTrue="1" operator="equal">
      <formula>"OK"</formula>
    </cfRule>
  </conditionalFormatting>
  <conditionalFormatting sqref="C115 F115 K115 P115">
    <cfRule type="cellIs" dxfId="123" priority="69" stopIfTrue="1" operator="equal">
      <formula>"WARNING"</formula>
    </cfRule>
  </conditionalFormatting>
  <conditionalFormatting sqref="C137 F137 K137 P137">
    <cfRule type="cellIs" dxfId="122" priority="70" stopIfTrue="1" operator="equal">
      <formula>"ERROR"</formula>
    </cfRule>
  </conditionalFormatting>
  <conditionalFormatting sqref="C137 F137 K137 P137">
    <cfRule type="cellIs" dxfId="121" priority="71" stopIfTrue="1" operator="equal">
      <formula>"OK"</formula>
    </cfRule>
  </conditionalFormatting>
  <conditionalFormatting sqref="C137 F137 K137 P137">
    <cfRule type="cellIs" dxfId="120" priority="72" stopIfTrue="1" operator="equal">
      <formula>"WARNING"</formula>
    </cfRule>
  </conditionalFormatting>
  <conditionalFormatting sqref="C159 F159 K159 P159">
    <cfRule type="cellIs" dxfId="119" priority="49" stopIfTrue="1" operator="equal">
      <formula>"ERROR"</formula>
    </cfRule>
  </conditionalFormatting>
  <conditionalFormatting sqref="C159 F159 K159 P159">
    <cfRule type="cellIs" dxfId="118" priority="50" stopIfTrue="1" operator="equal">
      <formula>"OK"</formula>
    </cfRule>
  </conditionalFormatting>
  <conditionalFormatting sqref="C159 F159 K159 P159">
    <cfRule type="cellIs" dxfId="117" priority="51" stopIfTrue="1" operator="equal">
      <formula>"WARNING"</formula>
    </cfRule>
  </conditionalFormatting>
  <conditionalFormatting sqref="C153">
    <cfRule type="cellIs" dxfId="116" priority="73" stopIfTrue="1" operator="equal">
      <formula>"ERROR"</formula>
    </cfRule>
  </conditionalFormatting>
  <conditionalFormatting sqref="C153">
    <cfRule type="cellIs" dxfId="115" priority="74" stopIfTrue="1" operator="equal">
      <formula>"OK"</formula>
    </cfRule>
  </conditionalFormatting>
  <conditionalFormatting sqref="C153">
    <cfRule type="cellIs" dxfId="114" priority="75" stopIfTrue="1" operator="equal">
      <formula>"WARNING"</formula>
    </cfRule>
  </conditionalFormatting>
  <conditionalFormatting sqref="C131">
    <cfRule type="cellIs" dxfId="113" priority="46" stopIfTrue="1" operator="equal">
      <formula>"ERROR"</formula>
    </cfRule>
  </conditionalFormatting>
  <conditionalFormatting sqref="C131">
    <cfRule type="cellIs" dxfId="112" priority="47" stopIfTrue="1" operator="equal">
      <formula>"OK"</formula>
    </cfRule>
  </conditionalFormatting>
  <conditionalFormatting sqref="C131">
    <cfRule type="cellIs" dxfId="111" priority="48" stopIfTrue="1" operator="equal">
      <formula>"WARNING"</formula>
    </cfRule>
  </conditionalFormatting>
  <conditionalFormatting sqref="C109">
    <cfRule type="cellIs" dxfId="110" priority="43" stopIfTrue="1" operator="equal">
      <formula>"ERROR"</formula>
    </cfRule>
  </conditionalFormatting>
  <conditionalFormatting sqref="C109">
    <cfRule type="cellIs" dxfId="109" priority="44" stopIfTrue="1" operator="equal">
      <formula>"OK"</formula>
    </cfRule>
  </conditionalFormatting>
  <conditionalFormatting sqref="C109">
    <cfRule type="cellIs" dxfId="108" priority="45" stopIfTrue="1" operator="equal">
      <formula>"WARNING"</formula>
    </cfRule>
  </conditionalFormatting>
  <conditionalFormatting sqref="C87">
    <cfRule type="cellIs" dxfId="107" priority="40" stopIfTrue="1" operator="equal">
      <formula>"ERROR"</formula>
    </cfRule>
  </conditionalFormatting>
  <conditionalFormatting sqref="C87">
    <cfRule type="cellIs" dxfId="106" priority="41" stopIfTrue="1" operator="equal">
      <formula>"OK"</formula>
    </cfRule>
  </conditionalFormatting>
  <conditionalFormatting sqref="C87">
    <cfRule type="cellIs" dxfId="105" priority="42" stopIfTrue="1" operator="equal">
      <formula>"WARNING"</formula>
    </cfRule>
  </conditionalFormatting>
  <conditionalFormatting sqref="C65">
    <cfRule type="cellIs" dxfId="104" priority="37" stopIfTrue="1" operator="equal">
      <formula>"ERROR"</formula>
    </cfRule>
  </conditionalFormatting>
  <conditionalFormatting sqref="C65">
    <cfRule type="cellIs" dxfId="103" priority="38" stopIfTrue="1" operator="equal">
      <formula>"OK"</formula>
    </cfRule>
  </conditionalFormatting>
  <conditionalFormatting sqref="C65">
    <cfRule type="cellIs" dxfId="102" priority="39" stopIfTrue="1" operator="equal">
      <formula>"WARNING"</formula>
    </cfRule>
  </conditionalFormatting>
  <conditionalFormatting sqref="C43">
    <cfRule type="cellIs" dxfId="101" priority="34" stopIfTrue="1" operator="equal">
      <formula>"ERROR"</formula>
    </cfRule>
  </conditionalFormatting>
  <conditionalFormatting sqref="C43">
    <cfRule type="cellIs" dxfId="100" priority="35" stopIfTrue="1" operator="equal">
      <formula>"OK"</formula>
    </cfRule>
  </conditionalFormatting>
  <conditionalFormatting sqref="C43">
    <cfRule type="cellIs" dxfId="99" priority="36" stopIfTrue="1" operator="equal">
      <formula>"WARNING"</formula>
    </cfRule>
  </conditionalFormatting>
  <conditionalFormatting sqref="C21">
    <cfRule type="cellIs" dxfId="98" priority="31" stopIfTrue="1" operator="equal">
      <formula>"ERROR"</formula>
    </cfRule>
  </conditionalFormatting>
  <conditionalFormatting sqref="C21">
    <cfRule type="cellIs" dxfId="97" priority="32" stopIfTrue="1" operator="equal">
      <formula>"OK"</formula>
    </cfRule>
  </conditionalFormatting>
  <conditionalFormatting sqref="C21">
    <cfRule type="cellIs" dxfId="96" priority="33" stopIfTrue="1" operator="equal">
      <formula>"WARNING"</formula>
    </cfRule>
  </conditionalFormatting>
  <conditionalFormatting sqref="C13:C15">
    <cfRule type="cellIs" dxfId="95" priority="76" stopIfTrue="1" operator="equal">
      <formula>"ERROR"</formula>
    </cfRule>
    <cfRule type="cellIs" dxfId="94" priority="77" stopIfTrue="1" operator="equal">
      <formula>"OK"</formula>
    </cfRule>
    <cfRule type="cellIs" dxfId="93" priority="78" stopIfTrue="1" operator="equal">
      <formula>"WARNING"</formula>
    </cfRule>
  </conditionalFormatting>
  <conditionalFormatting sqref="C181 F181 K181 P181">
    <cfRule type="cellIs" dxfId="92" priority="25" stopIfTrue="1" operator="equal">
      <formula>"ERROR"</formula>
    </cfRule>
  </conditionalFormatting>
  <conditionalFormatting sqref="C181 F181 K181 P181">
    <cfRule type="cellIs" dxfId="91" priority="26" stopIfTrue="1" operator="equal">
      <formula>"OK"</formula>
    </cfRule>
  </conditionalFormatting>
  <conditionalFormatting sqref="C181 F181 K181 P181">
    <cfRule type="cellIs" dxfId="90" priority="27" stopIfTrue="1" operator="equal">
      <formula>"WARNING"</formula>
    </cfRule>
  </conditionalFormatting>
  <conditionalFormatting sqref="C175">
    <cfRule type="cellIs" dxfId="89" priority="28" stopIfTrue="1" operator="equal">
      <formula>"ERROR"</formula>
    </cfRule>
  </conditionalFormatting>
  <conditionalFormatting sqref="C175">
    <cfRule type="cellIs" dxfId="88" priority="29" stopIfTrue="1" operator="equal">
      <formula>"OK"</formula>
    </cfRule>
  </conditionalFormatting>
  <conditionalFormatting sqref="C175">
    <cfRule type="cellIs" dxfId="87" priority="30" stopIfTrue="1" operator="equal">
      <formula>"WARNING"</formula>
    </cfRule>
  </conditionalFormatting>
  <conditionalFormatting sqref="C203 F203 K203 P203">
    <cfRule type="cellIs" dxfId="86" priority="19" stopIfTrue="1" operator="equal">
      <formula>"ERROR"</formula>
    </cfRule>
  </conditionalFormatting>
  <conditionalFormatting sqref="C203 F203 K203 P203">
    <cfRule type="cellIs" dxfId="85" priority="20" stopIfTrue="1" operator="equal">
      <formula>"OK"</formula>
    </cfRule>
  </conditionalFormatting>
  <conditionalFormatting sqref="C203 F203 K203 P203">
    <cfRule type="cellIs" dxfId="84" priority="21" stopIfTrue="1" operator="equal">
      <formula>"WARNING"</formula>
    </cfRule>
  </conditionalFormatting>
  <conditionalFormatting sqref="C197">
    <cfRule type="cellIs" dxfId="83" priority="22" stopIfTrue="1" operator="equal">
      <formula>"ERROR"</formula>
    </cfRule>
  </conditionalFormatting>
  <conditionalFormatting sqref="C197">
    <cfRule type="cellIs" dxfId="82" priority="23" stopIfTrue="1" operator="equal">
      <formula>"OK"</formula>
    </cfRule>
  </conditionalFormatting>
  <conditionalFormatting sqref="C197">
    <cfRule type="cellIs" dxfId="81" priority="24" stopIfTrue="1" operator="equal">
      <formula>"WARNING"</formula>
    </cfRule>
  </conditionalFormatting>
  <conditionalFormatting sqref="C225 F225 I225 L225">
    <cfRule type="cellIs" dxfId="80" priority="13" stopIfTrue="1" operator="equal">
      <formula>"ERROR"</formula>
    </cfRule>
  </conditionalFormatting>
  <conditionalFormatting sqref="C225 F225 I225 L225">
    <cfRule type="cellIs" dxfId="79" priority="14" stopIfTrue="1" operator="equal">
      <formula>"OK"</formula>
    </cfRule>
  </conditionalFormatting>
  <conditionalFormatting sqref="C225 F225 I225 L225">
    <cfRule type="cellIs" dxfId="78" priority="15" stopIfTrue="1" operator="equal">
      <formula>"WARNING"</formula>
    </cfRule>
  </conditionalFormatting>
  <conditionalFormatting sqref="C219">
    <cfRule type="cellIs" dxfId="77" priority="16" stopIfTrue="1" operator="equal">
      <formula>"ERROR"</formula>
    </cfRule>
  </conditionalFormatting>
  <conditionalFormatting sqref="C219">
    <cfRule type="cellIs" dxfId="76" priority="17" stopIfTrue="1" operator="equal">
      <formula>"OK"</formula>
    </cfRule>
  </conditionalFormatting>
  <conditionalFormatting sqref="C219">
    <cfRule type="cellIs" dxfId="75" priority="18" stopIfTrue="1" operator="equal">
      <formula>"WARNING"</formula>
    </cfRule>
  </conditionalFormatting>
  <conditionalFormatting sqref="O225">
    <cfRule type="cellIs" dxfId="74" priority="10" stopIfTrue="1" operator="equal">
      <formula>"ERROR"</formula>
    </cfRule>
  </conditionalFormatting>
  <conditionalFormatting sqref="O225">
    <cfRule type="cellIs" dxfId="73" priority="11" stopIfTrue="1" operator="equal">
      <formula>"OK"</formula>
    </cfRule>
  </conditionalFormatting>
  <conditionalFormatting sqref="O225">
    <cfRule type="cellIs" dxfId="72" priority="12" stopIfTrue="1" operator="equal">
      <formula>"WARNING"</formula>
    </cfRule>
  </conditionalFormatting>
  <conditionalFormatting sqref="C16">
    <cfRule type="cellIs" dxfId="71" priority="79" stopIfTrue="1" operator="equal">
      <formula>"ERROR"</formula>
    </cfRule>
    <cfRule type="cellIs" dxfId="70" priority="80" stopIfTrue="1" operator="equal">
      <formula>"OK"</formula>
    </cfRule>
    <cfRule type="cellIs" dxfId="69" priority="81" stopIfTrue="1" operator="equal">
      <formula>"WARNING"</formula>
    </cfRule>
  </conditionalFormatting>
  <conditionalFormatting sqref="R225">
    <cfRule type="cellIs" dxfId="68" priority="4" stopIfTrue="1" operator="equal">
      <formula>"ERROR"</formula>
    </cfRule>
  </conditionalFormatting>
  <conditionalFormatting sqref="R225">
    <cfRule type="cellIs" dxfId="67" priority="5" stopIfTrue="1" operator="equal">
      <formula>"OK"</formula>
    </cfRule>
  </conditionalFormatting>
  <conditionalFormatting sqref="R225">
    <cfRule type="cellIs" dxfId="66" priority="6" stopIfTrue="1" operator="equal">
      <formula>"WARNING"</formula>
    </cfRule>
  </conditionalFormatting>
  <conditionalFormatting sqref="U225">
    <cfRule type="cellIs" dxfId="65" priority="1" stopIfTrue="1" operator="equal">
      <formula>"ERROR"</formula>
    </cfRule>
  </conditionalFormatting>
  <conditionalFormatting sqref="U225">
    <cfRule type="cellIs" dxfId="64" priority="2" stopIfTrue="1" operator="equal">
      <formula>"OK"</formula>
    </cfRule>
  </conditionalFormatting>
  <conditionalFormatting sqref="U225">
    <cfRule type="cellIs" dxfId="63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2:BT230"/>
  <sheetViews>
    <sheetView showGridLines="0" zoomScaleNormal="100" workbookViewId="0"/>
  </sheetViews>
  <sheetFormatPr defaultRowHeight="14.4" x14ac:dyDescent="0.3"/>
  <cols>
    <col min="1" max="1" width="3.77734375" customWidth="1"/>
    <col min="2" max="2" width="15.33203125" customWidth="1"/>
    <col min="3" max="3" width="13.109375" customWidth="1"/>
    <col min="5" max="5" width="12.77734375" bestFit="1" customWidth="1"/>
    <col min="6" max="6" width="10.88671875" customWidth="1"/>
    <col min="8" max="8" width="13.77734375" customWidth="1"/>
    <col min="9" max="9" width="12.44140625" customWidth="1"/>
    <col min="10" max="10" width="9.88671875" customWidth="1"/>
    <col min="14" max="14" width="11.44140625" bestFit="1" customWidth="1"/>
    <col min="18" max="18" width="10.88671875" customWidth="1"/>
  </cols>
  <sheetData>
    <row r="2" spans="2:56" ht="25.8" x14ac:dyDescent="0.5">
      <c r="B2" s="2" t="s">
        <v>90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3">
      <c r="B4" s="226" t="s">
        <v>172</v>
      </c>
      <c r="C4" s="227" t="str" cm="1">
        <f t="array" aca="1" ref="C4" ca="1">_xll.d.TestUtils_And(C7:C14)</f>
        <v>OK</v>
      </c>
      <c r="E4" s="151" t="s">
        <v>124</v>
      </c>
      <c r="F4" s="59"/>
    </row>
    <row r="5" spans="2:56" x14ac:dyDescent="0.3">
      <c r="E5" s="152" t="s">
        <v>123</v>
      </c>
      <c r="F5" s="153"/>
    </row>
    <row r="6" spans="2:56" x14ac:dyDescent="0.3">
      <c r="B6" s="228" t="s">
        <v>10</v>
      </c>
      <c r="C6" s="229" t="s">
        <v>11</v>
      </c>
      <c r="E6" s="154" t="s">
        <v>122</v>
      </c>
      <c r="F6" s="148"/>
    </row>
    <row r="7" spans="2:56" x14ac:dyDescent="0.3">
      <c r="B7" s="225" t="s">
        <v>115</v>
      </c>
      <c r="C7" s="185" t="str">
        <f ca="1">C30</f>
        <v>OK</v>
      </c>
    </row>
    <row r="8" spans="2:56" x14ac:dyDescent="0.3">
      <c r="B8" s="225" t="s">
        <v>117</v>
      </c>
      <c r="C8" s="185" t="str">
        <f ca="1">C54</f>
        <v>OK</v>
      </c>
    </row>
    <row r="9" spans="2:56" x14ac:dyDescent="0.3">
      <c r="B9" s="225" t="s">
        <v>118</v>
      </c>
      <c r="C9" s="185" t="str">
        <f ca="1">C78</f>
        <v>OK</v>
      </c>
    </row>
    <row r="10" spans="2:56" x14ac:dyDescent="0.3">
      <c r="B10" s="225" t="s">
        <v>121</v>
      </c>
      <c r="C10" s="185" t="str">
        <f ca="1">C114</f>
        <v>OK</v>
      </c>
    </row>
    <row r="11" spans="2:56" x14ac:dyDescent="0.3">
      <c r="B11" s="225" t="s">
        <v>127</v>
      </c>
      <c r="C11" s="185" t="str">
        <f ca="1">C150</f>
        <v>OK</v>
      </c>
    </row>
    <row r="12" spans="2:56" x14ac:dyDescent="0.3">
      <c r="B12" s="225" t="s">
        <v>129</v>
      </c>
      <c r="C12" s="185" t="str">
        <f ca="1">C172</f>
        <v>OK</v>
      </c>
    </row>
    <row r="13" spans="2:56" x14ac:dyDescent="0.3">
      <c r="B13" s="225" t="s">
        <v>174</v>
      </c>
      <c r="C13" s="185" t="str">
        <f ca="1">C192</f>
        <v>OK</v>
      </c>
    </row>
    <row r="14" spans="2:56" x14ac:dyDescent="0.3">
      <c r="B14" s="225" t="s">
        <v>179</v>
      </c>
      <c r="C14" s="185" t="str">
        <f ca="1">C209</f>
        <v>OK</v>
      </c>
    </row>
    <row r="17" spans="2:72" s="64" customFormat="1" x14ac:dyDescent="0.3">
      <c r="B17" s="64" t="s">
        <v>93</v>
      </c>
    </row>
    <row r="18" spans="2:72" x14ac:dyDescent="0.3">
      <c r="B18" t="s">
        <v>94</v>
      </c>
    </row>
    <row r="20" spans="2:72" x14ac:dyDescent="0.3">
      <c r="B20" t="s">
        <v>107</v>
      </c>
    </row>
    <row r="22" spans="2:72" x14ac:dyDescent="0.3">
      <c r="B22" s="84" t="s">
        <v>108</v>
      </c>
    </row>
    <row r="23" spans="2:72" x14ac:dyDescent="0.3">
      <c r="B23" s="85" t="s">
        <v>125</v>
      </c>
    </row>
    <row r="24" spans="2:72" x14ac:dyDescent="0.3">
      <c r="B24" s="357" t="s">
        <v>133</v>
      </c>
    </row>
    <row r="25" spans="2:72" x14ac:dyDescent="0.3">
      <c r="B25" s="85" t="s">
        <v>173</v>
      </c>
    </row>
    <row r="26" spans="2:72" x14ac:dyDescent="0.3">
      <c r="B26" s="357" t="s">
        <v>184</v>
      </c>
    </row>
    <row r="28" spans="2:72" ht="18" x14ac:dyDescent="0.35">
      <c r="B28" s="79" t="s">
        <v>115</v>
      </c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7"/>
      <c r="AH28" s="77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77"/>
      <c r="AV28" s="77"/>
      <c r="AW28" s="77"/>
      <c r="AX28" s="77"/>
      <c r="AY28" s="77"/>
      <c r="AZ28" s="77"/>
      <c r="BA28" s="77"/>
      <c r="BB28" s="77"/>
      <c r="BC28" s="77"/>
      <c r="BD28" s="77"/>
      <c r="BE28" s="77"/>
      <c r="BF28" s="77"/>
      <c r="BG28" s="77"/>
      <c r="BH28" s="77"/>
      <c r="BI28" s="77"/>
      <c r="BJ28" s="77"/>
      <c r="BK28" s="77"/>
      <c r="BL28" s="77"/>
      <c r="BM28" s="77"/>
      <c r="BN28" s="77"/>
      <c r="BO28" s="77"/>
      <c r="BP28" s="77"/>
      <c r="BQ28" s="77"/>
      <c r="BR28" s="77"/>
      <c r="BS28" s="77"/>
      <c r="BT28" s="77"/>
    </row>
    <row r="30" spans="2:72" x14ac:dyDescent="0.3">
      <c r="B30" s="59" t="s">
        <v>136</v>
      </c>
      <c r="C30" s="185" t="str" cm="1">
        <f t="array" aca="1" ref="C30" ca="1">_xll.d.TestUtils_And(BD45:BT49)</f>
        <v>OK</v>
      </c>
    </row>
    <row r="32" spans="2:72" x14ac:dyDescent="0.3">
      <c r="B32" s="59" t="s">
        <v>116</v>
      </c>
      <c r="C32" s="59" t="s">
        <v>33</v>
      </c>
    </row>
    <row r="33" spans="2:72" x14ac:dyDescent="0.3">
      <c r="B33" s="98" t="s">
        <v>111</v>
      </c>
      <c r="C33" s="167" t="s">
        <v>131</v>
      </c>
    </row>
    <row r="34" spans="2:72" x14ac:dyDescent="0.3">
      <c r="B34" s="92" t="s">
        <v>112</v>
      </c>
      <c r="C34" s="168" t="s">
        <v>0</v>
      </c>
    </row>
    <row r="35" spans="2:72" x14ac:dyDescent="0.3">
      <c r="B35" s="94"/>
      <c r="C35" s="169" t="s">
        <v>113</v>
      </c>
    </row>
    <row r="36" spans="2:72" x14ac:dyDescent="0.3">
      <c r="B36" s="96"/>
      <c r="C36" s="170" t="s">
        <v>114</v>
      </c>
    </row>
    <row r="37" spans="2:72" x14ac:dyDescent="0.3">
      <c r="B37" s="166" t="s">
        <v>130</v>
      </c>
      <c r="C37" s="172">
        <v>2</v>
      </c>
    </row>
    <row r="38" spans="2:72" x14ac:dyDescent="0.3">
      <c r="B38" s="166" t="s">
        <v>131</v>
      </c>
      <c r="C38" s="172">
        <v>0</v>
      </c>
    </row>
    <row r="39" spans="2:72" x14ac:dyDescent="0.3">
      <c r="B39" s="146" t="s">
        <v>119</v>
      </c>
      <c r="C39" s="147"/>
    </row>
    <row r="41" spans="2:72" x14ac:dyDescent="0.3">
      <c r="B41" t="s">
        <v>95</v>
      </c>
    </row>
    <row r="43" spans="2:72" x14ac:dyDescent="0.3">
      <c r="B43" s="70" t="s">
        <v>92</v>
      </c>
      <c r="T43" s="70" t="s">
        <v>109</v>
      </c>
      <c r="AL43" s="70" t="s">
        <v>110</v>
      </c>
      <c r="BD43" s="70" t="s">
        <v>137</v>
      </c>
    </row>
    <row r="45" spans="2:72" x14ac:dyDescent="0.3">
      <c r="B45" s="12" t="s">
        <v>97</v>
      </c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13"/>
      <c r="T45" s="91" t="s">
        <v>97</v>
      </c>
      <c r="U45" s="91"/>
      <c r="V45" s="91"/>
      <c r="W45" s="91"/>
      <c r="X45" s="91"/>
      <c r="Y45" s="91"/>
      <c r="Z45" s="91"/>
      <c r="AA45" s="91"/>
      <c r="AB45" s="91"/>
      <c r="AC45" s="91"/>
      <c r="AD45" s="91"/>
      <c r="AE45" s="91"/>
      <c r="AF45" s="91"/>
      <c r="AG45" s="91"/>
      <c r="AH45" s="91"/>
      <c r="AI45" s="91"/>
      <c r="AJ45" s="91"/>
      <c r="AL45" s="138" t="s">
        <v>97</v>
      </c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139"/>
      <c r="BD45" s="185" t="str" cm="1">
        <f t="array" aca="1" ref="BD45" ca="1">_xll.d.TestUtils_IsTrue(_xll.d.Formatting_Equal(B45,AL45))</f>
        <v>OK</v>
      </c>
      <c r="BE45" s="185" t="str" cm="1">
        <f t="array" aca="1" ref="BE45" ca="1">_xll.d.TestUtils_IsTrue(_xll.d.Formatting_Equal(C45,AM45))</f>
        <v>OK</v>
      </c>
      <c r="BF45" s="185" t="str" cm="1">
        <f t="array" aca="1" ref="BF45" ca="1">_xll.d.TestUtils_IsTrue(_xll.d.Formatting_Equal(D45,AN45))</f>
        <v>OK</v>
      </c>
      <c r="BG45" s="185" t="str" cm="1">
        <f t="array" aca="1" ref="BG45" ca="1">_xll.d.TestUtils_IsTrue(_xll.d.Formatting_Equal(E45,AO45))</f>
        <v>OK</v>
      </c>
      <c r="BH45" s="185" t="str" cm="1">
        <f t="array" aca="1" ref="BH45" ca="1">_xll.d.TestUtils_IsTrue(_xll.d.Formatting_Equal(F45,AP45))</f>
        <v>OK</v>
      </c>
      <c r="BI45" s="185" t="str" cm="1">
        <f t="array" aca="1" ref="BI45" ca="1">_xll.d.TestUtils_IsTrue(_xll.d.Formatting_Equal(G45,AQ45))</f>
        <v>OK</v>
      </c>
      <c r="BJ45" s="185" t="str" cm="1">
        <f t="array" aca="1" ref="BJ45" ca="1">_xll.d.TestUtils_IsTrue(_xll.d.Formatting_Equal(H45,AR45))</f>
        <v>OK</v>
      </c>
      <c r="BK45" s="185" t="str" cm="1">
        <f t="array" aca="1" ref="BK45" ca="1">_xll.d.TestUtils_IsTrue(_xll.d.Formatting_Equal(I45,AS45))</f>
        <v>OK</v>
      </c>
      <c r="BL45" s="185" t="str" cm="1">
        <f t="array" aca="1" ref="BL45" ca="1">_xll.d.TestUtils_IsTrue(_xll.d.Formatting_Equal(J45,AT45))</f>
        <v>OK</v>
      </c>
      <c r="BM45" s="185" t="str" cm="1">
        <f t="array" aca="1" ref="BM45" ca="1">_xll.d.TestUtils_IsTrue(_xll.d.Formatting_Equal(K45,AU45))</f>
        <v>OK</v>
      </c>
      <c r="BN45" s="185" t="str" cm="1">
        <f t="array" aca="1" ref="BN45" ca="1">_xll.d.TestUtils_IsTrue(_xll.d.Formatting_Equal(L45,AV45))</f>
        <v>OK</v>
      </c>
      <c r="BO45" s="185" t="str" cm="1">
        <f t="array" aca="1" ref="BO45" ca="1">_xll.d.TestUtils_IsTrue(_xll.d.Formatting_Equal(M45,AW45))</f>
        <v>OK</v>
      </c>
      <c r="BP45" s="185" t="str" cm="1">
        <f t="array" aca="1" ref="BP45" ca="1">_xll.d.TestUtils_IsTrue(_xll.d.Formatting_Equal(N45,AX45))</f>
        <v>OK</v>
      </c>
      <c r="BQ45" s="185" t="str" cm="1">
        <f t="array" aca="1" ref="BQ45" ca="1">_xll.d.TestUtils_IsTrue(_xll.d.Formatting_Equal(O45,AY45))</f>
        <v>OK</v>
      </c>
      <c r="BR45" s="185" t="str" cm="1">
        <f t="array" aca="1" ref="BR45" ca="1">_xll.d.TestUtils_IsTrue(_xll.d.Formatting_Equal(P45,AZ45))</f>
        <v>OK</v>
      </c>
      <c r="BS45" s="185" t="str" cm="1">
        <f t="array" aca="1" ref="BS45" ca="1">_xll.d.TestUtils_IsTrue(_xll.d.Formatting_Equal(Q45,BA45))</f>
        <v>OK</v>
      </c>
      <c r="BT45" s="185" t="str" cm="1">
        <f t="array" aca="1" ref="BT45" ca="1">_xll.d.TestUtils_IsTrue(_xll.d.Formatting_Equal(R45,BB45))</f>
        <v>OK</v>
      </c>
    </row>
    <row r="46" spans="2:72" x14ac:dyDescent="0.3">
      <c r="B46" s="74" t="s">
        <v>35</v>
      </c>
      <c r="C46" s="75" t="s">
        <v>0</v>
      </c>
      <c r="D46" s="75" t="s">
        <v>98</v>
      </c>
      <c r="E46" s="75" t="s">
        <v>99</v>
      </c>
      <c r="F46" s="75" t="s">
        <v>100</v>
      </c>
      <c r="G46" s="75" t="s">
        <v>101</v>
      </c>
      <c r="H46" s="75" t="s">
        <v>102</v>
      </c>
      <c r="I46" s="75" t="s">
        <v>81</v>
      </c>
      <c r="J46" s="75" t="s">
        <v>82</v>
      </c>
      <c r="K46" s="75" t="s">
        <v>83</v>
      </c>
      <c r="L46" s="75" t="s">
        <v>103</v>
      </c>
      <c r="M46" s="75" t="s">
        <v>25</v>
      </c>
      <c r="N46" s="75" t="s">
        <v>40</v>
      </c>
      <c r="O46" s="75" t="s">
        <v>104</v>
      </c>
      <c r="P46" s="75" t="s">
        <v>96</v>
      </c>
      <c r="Q46" s="75" t="s">
        <v>106</v>
      </c>
      <c r="R46" s="76" t="s">
        <v>105</v>
      </c>
      <c r="T46" s="91" t="s">
        <v>35</v>
      </c>
      <c r="U46" s="91" t="s">
        <v>0</v>
      </c>
      <c r="V46" s="91" t="s">
        <v>98</v>
      </c>
      <c r="W46" s="91" t="s">
        <v>99</v>
      </c>
      <c r="X46" s="91" t="s">
        <v>100</v>
      </c>
      <c r="Y46" s="91" t="s">
        <v>101</v>
      </c>
      <c r="Z46" s="91" t="s">
        <v>102</v>
      </c>
      <c r="AA46" s="91" t="s">
        <v>81</v>
      </c>
      <c r="AB46" s="91" t="s">
        <v>82</v>
      </c>
      <c r="AC46" s="91" t="s">
        <v>83</v>
      </c>
      <c r="AD46" s="91" t="s">
        <v>103</v>
      </c>
      <c r="AE46" s="91" t="s">
        <v>25</v>
      </c>
      <c r="AF46" s="91" t="s">
        <v>40</v>
      </c>
      <c r="AG46" s="91" t="s">
        <v>104</v>
      </c>
      <c r="AH46" s="91" t="s">
        <v>96</v>
      </c>
      <c r="AI46" s="91" t="s">
        <v>106</v>
      </c>
      <c r="AJ46" s="91" t="s">
        <v>105</v>
      </c>
      <c r="AL46" s="136" t="s">
        <v>35</v>
      </c>
      <c r="AM46" s="344" t="s">
        <v>0</v>
      </c>
      <c r="AN46" s="344" t="s">
        <v>98</v>
      </c>
      <c r="AO46" s="344" t="s">
        <v>99</v>
      </c>
      <c r="AP46" s="344" t="s">
        <v>100</v>
      </c>
      <c r="AQ46" s="344" t="s">
        <v>101</v>
      </c>
      <c r="AR46" s="344" t="s">
        <v>102</v>
      </c>
      <c r="AS46" s="344" t="s">
        <v>81</v>
      </c>
      <c r="AT46" s="344" t="s">
        <v>82</v>
      </c>
      <c r="AU46" s="344" t="s">
        <v>83</v>
      </c>
      <c r="AV46" s="344" t="s">
        <v>103</v>
      </c>
      <c r="AW46" s="344" t="s">
        <v>25</v>
      </c>
      <c r="AX46" s="344" t="s">
        <v>40</v>
      </c>
      <c r="AY46" s="344" t="s">
        <v>104</v>
      </c>
      <c r="AZ46" s="344" t="s">
        <v>96</v>
      </c>
      <c r="BA46" s="344" t="s">
        <v>106</v>
      </c>
      <c r="BB46" s="137" t="s">
        <v>105</v>
      </c>
      <c r="BD46" s="185" t="str" cm="1">
        <f t="array" aca="1" ref="BD46" ca="1">_xll.d.TestUtils_IsTrue(_xll.d.Formatting_Equal(B46,AL46))</f>
        <v>OK</v>
      </c>
      <c r="BE46" s="185" t="str" cm="1">
        <f t="array" aca="1" ref="BE46" ca="1">_xll.d.TestUtils_IsTrue(_xll.d.Formatting_Equal(C46,AM46))</f>
        <v>OK</v>
      </c>
      <c r="BF46" s="185" t="str" cm="1">
        <f t="array" aca="1" ref="BF46" ca="1">_xll.d.TestUtils_IsTrue(_xll.d.Formatting_Equal(D46,AN46))</f>
        <v>OK</v>
      </c>
      <c r="BG46" s="185" t="str" cm="1">
        <f t="array" aca="1" ref="BG46" ca="1">_xll.d.TestUtils_IsTrue(_xll.d.Formatting_Equal(E46,AO46))</f>
        <v>OK</v>
      </c>
      <c r="BH46" s="185" t="str" cm="1">
        <f t="array" aca="1" ref="BH46" ca="1">_xll.d.TestUtils_IsTrue(_xll.d.Formatting_Equal(F46,AP46))</f>
        <v>OK</v>
      </c>
      <c r="BI46" s="185" t="str" cm="1">
        <f t="array" aca="1" ref="BI46" ca="1">_xll.d.TestUtils_IsTrue(_xll.d.Formatting_Equal(G46,AQ46))</f>
        <v>OK</v>
      </c>
      <c r="BJ46" s="185" t="str" cm="1">
        <f t="array" aca="1" ref="BJ46" ca="1">_xll.d.TestUtils_IsTrue(_xll.d.Formatting_Equal(H46,AR46))</f>
        <v>OK</v>
      </c>
      <c r="BK46" s="185" t="str" cm="1">
        <f t="array" aca="1" ref="BK46" ca="1">_xll.d.TestUtils_IsTrue(_xll.d.Formatting_Equal(I46,AS46))</f>
        <v>OK</v>
      </c>
      <c r="BL46" s="185" t="str" cm="1">
        <f t="array" aca="1" ref="BL46" ca="1">_xll.d.TestUtils_IsTrue(_xll.d.Formatting_Equal(J46,AT46))</f>
        <v>OK</v>
      </c>
      <c r="BM46" s="185" t="str" cm="1">
        <f t="array" aca="1" ref="BM46" ca="1">_xll.d.TestUtils_IsTrue(_xll.d.Formatting_Equal(K46,AU46))</f>
        <v>OK</v>
      </c>
      <c r="BN46" s="185" t="str" cm="1">
        <f t="array" aca="1" ref="BN46" ca="1">_xll.d.TestUtils_IsTrue(_xll.d.Formatting_Equal(L46,AV46))</f>
        <v>OK</v>
      </c>
      <c r="BO46" s="185" t="str" cm="1">
        <f t="array" aca="1" ref="BO46" ca="1">_xll.d.TestUtils_IsTrue(_xll.d.Formatting_Equal(M46,AW46))</f>
        <v>OK</v>
      </c>
      <c r="BP46" s="185" t="str" cm="1">
        <f t="array" aca="1" ref="BP46" ca="1">_xll.d.TestUtils_IsTrue(_xll.d.Formatting_Equal(N46,AX46))</f>
        <v>OK</v>
      </c>
      <c r="BQ46" s="185" t="str" cm="1">
        <f t="array" aca="1" ref="BQ46" ca="1">_xll.d.TestUtils_IsTrue(_xll.d.Formatting_Equal(O46,AY46))</f>
        <v>OK</v>
      </c>
      <c r="BR46" s="185" t="str" cm="1">
        <f t="array" aca="1" ref="BR46" ca="1">_xll.d.TestUtils_IsTrue(_xll.d.Formatting_Equal(P46,AZ46))</f>
        <v>OK</v>
      </c>
      <c r="BS46" s="185" t="str" cm="1">
        <f t="array" aca="1" ref="BS46" ca="1">_xll.d.TestUtils_IsTrue(_xll.d.Formatting_Equal(Q46,BA46))</f>
        <v>OK</v>
      </c>
      <c r="BT46" s="185" t="str" cm="1">
        <f t="array" aca="1" ref="BT46" ca="1">_xll.d.TestUtils_IsTrue(_xll.d.Formatting_Equal(R46,BB46))</f>
        <v>OK</v>
      </c>
    </row>
    <row r="47" spans="2:72" x14ac:dyDescent="0.3">
      <c r="B47" s="128">
        <v>44562</v>
      </c>
      <c r="C47" s="131">
        <v>44562</v>
      </c>
      <c r="D47" s="110">
        <v>1000</v>
      </c>
      <c r="E47" s="113">
        <v>1000</v>
      </c>
      <c r="F47" s="116">
        <v>1000</v>
      </c>
      <c r="G47" s="119">
        <v>1000</v>
      </c>
      <c r="H47" s="122">
        <v>0.3</v>
      </c>
      <c r="I47" s="122">
        <v>0.3</v>
      </c>
      <c r="J47" s="122">
        <v>0.3</v>
      </c>
      <c r="K47" s="122">
        <v>0.3</v>
      </c>
      <c r="L47" s="122">
        <v>0.3</v>
      </c>
      <c r="M47" s="122">
        <v>0.3</v>
      </c>
      <c r="N47" s="122">
        <v>0.3</v>
      </c>
      <c r="O47" s="122">
        <v>0.3</v>
      </c>
      <c r="P47" s="122">
        <v>0.3</v>
      </c>
      <c r="Q47" s="122">
        <v>0.3</v>
      </c>
      <c r="R47" s="125">
        <v>0.3</v>
      </c>
      <c r="T47" s="91">
        <v>44562</v>
      </c>
      <c r="U47" s="91">
        <v>44562</v>
      </c>
      <c r="V47" s="91">
        <v>1000</v>
      </c>
      <c r="W47" s="91">
        <v>1000</v>
      </c>
      <c r="X47" s="91">
        <v>1000</v>
      </c>
      <c r="Y47" s="91">
        <v>1000</v>
      </c>
      <c r="Z47" s="91">
        <v>0.3</v>
      </c>
      <c r="AA47" s="91">
        <v>0.3</v>
      </c>
      <c r="AB47" s="91">
        <v>0.3</v>
      </c>
      <c r="AC47" s="91">
        <v>0.3</v>
      </c>
      <c r="AD47" s="91">
        <v>0.3</v>
      </c>
      <c r="AE47" s="91">
        <v>0.3</v>
      </c>
      <c r="AF47" s="91">
        <v>0.3</v>
      </c>
      <c r="AG47" s="91">
        <v>0.3</v>
      </c>
      <c r="AH47" s="91">
        <v>0.3</v>
      </c>
      <c r="AI47" s="91">
        <v>0.3</v>
      </c>
      <c r="AJ47" s="91">
        <v>0.3</v>
      </c>
      <c r="AL47" s="181">
        <v>44562</v>
      </c>
      <c r="AM47" s="183">
        <v>44562</v>
      </c>
      <c r="AN47" s="345">
        <v>1000</v>
      </c>
      <c r="AO47" s="347">
        <v>1000</v>
      </c>
      <c r="AP47" s="349">
        <v>1000</v>
      </c>
      <c r="AQ47" s="351">
        <v>1000</v>
      </c>
      <c r="AR47" s="353">
        <v>0.3</v>
      </c>
      <c r="AS47" s="353">
        <v>0.3</v>
      </c>
      <c r="AT47" s="353">
        <v>0.3</v>
      </c>
      <c r="AU47" s="353">
        <v>0.3</v>
      </c>
      <c r="AV47" s="353">
        <v>0.3</v>
      </c>
      <c r="AW47" s="353">
        <v>0.3</v>
      </c>
      <c r="AX47" s="353">
        <v>0.3</v>
      </c>
      <c r="AY47" s="353">
        <v>0.3</v>
      </c>
      <c r="AZ47" s="353">
        <v>0.3</v>
      </c>
      <c r="BA47" s="353">
        <v>0.3</v>
      </c>
      <c r="BB47" s="354">
        <v>0.3</v>
      </c>
      <c r="BD47" s="185" t="str" cm="1">
        <f t="array" aca="1" ref="BD47" ca="1">_xll.d.TestUtils_IsTrue(_xll.d.Formatting_Equal(B47,AL47))</f>
        <v>OK</v>
      </c>
      <c r="BE47" s="185" t="str" cm="1">
        <f t="array" aca="1" ref="BE47" ca="1">_xll.d.TestUtils_IsTrue(_xll.d.Formatting_Equal(C47,AM47))</f>
        <v>OK</v>
      </c>
      <c r="BF47" s="185" t="str" cm="1">
        <f t="array" aca="1" ref="BF47" ca="1">_xll.d.TestUtils_IsTrue(_xll.d.Formatting_Equal(D47,AN47))</f>
        <v>OK</v>
      </c>
      <c r="BG47" s="185" t="str" cm="1">
        <f t="array" aca="1" ref="BG47" ca="1">_xll.d.TestUtils_IsTrue(_xll.d.Formatting_Equal(E47,AO47))</f>
        <v>OK</v>
      </c>
      <c r="BH47" s="185" t="str" cm="1">
        <f t="array" aca="1" ref="BH47" ca="1">_xll.d.TestUtils_IsTrue(_xll.d.Formatting_Equal(F47,AP47))</f>
        <v>OK</v>
      </c>
      <c r="BI47" s="185" t="str" cm="1">
        <f t="array" aca="1" ref="BI47" ca="1">_xll.d.TestUtils_IsTrue(_xll.d.Formatting_Equal(G47,AQ47))</f>
        <v>OK</v>
      </c>
      <c r="BJ47" s="185" t="str" cm="1">
        <f t="array" aca="1" ref="BJ47" ca="1">_xll.d.TestUtils_IsTrue(_xll.d.Formatting_Equal(H47,AR47))</f>
        <v>OK</v>
      </c>
      <c r="BK47" s="185" t="str" cm="1">
        <f t="array" aca="1" ref="BK47" ca="1">_xll.d.TestUtils_IsTrue(_xll.d.Formatting_Equal(I47,AS47))</f>
        <v>OK</v>
      </c>
      <c r="BL47" s="185" t="str" cm="1">
        <f t="array" aca="1" ref="BL47" ca="1">_xll.d.TestUtils_IsTrue(_xll.d.Formatting_Equal(J47,AT47))</f>
        <v>OK</v>
      </c>
      <c r="BM47" s="185" t="str" cm="1">
        <f t="array" aca="1" ref="BM47" ca="1">_xll.d.TestUtils_IsTrue(_xll.d.Formatting_Equal(K47,AU47))</f>
        <v>OK</v>
      </c>
      <c r="BN47" s="185" t="str" cm="1">
        <f t="array" aca="1" ref="BN47" ca="1">_xll.d.TestUtils_IsTrue(_xll.d.Formatting_Equal(L47,AV47))</f>
        <v>OK</v>
      </c>
      <c r="BO47" s="185" t="str" cm="1">
        <f t="array" aca="1" ref="BO47" ca="1">_xll.d.TestUtils_IsTrue(_xll.d.Formatting_Equal(M47,AW47))</f>
        <v>OK</v>
      </c>
      <c r="BP47" s="185" t="str" cm="1">
        <f t="array" aca="1" ref="BP47" ca="1">_xll.d.TestUtils_IsTrue(_xll.d.Formatting_Equal(N47,AX47))</f>
        <v>OK</v>
      </c>
      <c r="BQ47" s="185" t="str" cm="1">
        <f t="array" aca="1" ref="BQ47" ca="1">_xll.d.TestUtils_IsTrue(_xll.d.Formatting_Equal(O47,AY47))</f>
        <v>OK</v>
      </c>
      <c r="BR47" s="185" t="str" cm="1">
        <f t="array" aca="1" ref="BR47" ca="1">_xll.d.TestUtils_IsTrue(_xll.d.Formatting_Equal(P47,AZ47))</f>
        <v>OK</v>
      </c>
      <c r="BS47" s="185" t="str" cm="1">
        <f t="array" aca="1" ref="BS47" ca="1">_xll.d.TestUtils_IsTrue(_xll.d.Formatting_Equal(Q47,BA47))</f>
        <v>OK</v>
      </c>
      <c r="BT47" s="185" t="str" cm="1">
        <f t="array" aca="1" ref="BT47" ca="1">_xll.d.TestUtils_IsTrue(_xll.d.Formatting_Equal(R47,BB47))</f>
        <v>OK</v>
      </c>
    </row>
    <row r="48" spans="2:72" x14ac:dyDescent="0.3">
      <c r="B48" s="129">
        <v>44593</v>
      </c>
      <c r="C48" s="132">
        <v>44593</v>
      </c>
      <c r="D48" s="111">
        <v>2000</v>
      </c>
      <c r="E48" s="114">
        <v>2000</v>
      </c>
      <c r="F48" s="117">
        <v>2000</v>
      </c>
      <c r="G48" s="120">
        <v>2000</v>
      </c>
      <c r="H48" s="123">
        <v>0.4</v>
      </c>
      <c r="I48" s="123">
        <v>0.4</v>
      </c>
      <c r="J48" s="123">
        <v>0.4</v>
      </c>
      <c r="K48" s="123">
        <v>0.4</v>
      </c>
      <c r="L48" s="123">
        <v>0.4</v>
      </c>
      <c r="M48" s="123">
        <v>0.4</v>
      </c>
      <c r="N48" s="123">
        <v>0.4</v>
      </c>
      <c r="O48" s="123">
        <v>0.4</v>
      </c>
      <c r="P48" s="123">
        <v>0.4</v>
      </c>
      <c r="Q48" s="123">
        <v>0.4</v>
      </c>
      <c r="R48" s="126">
        <v>0.4</v>
      </c>
      <c r="T48" s="91">
        <v>44593</v>
      </c>
      <c r="U48" s="91">
        <v>44593</v>
      </c>
      <c r="V48" s="91">
        <v>2000</v>
      </c>
      <c r="W48" s="91">
        <v>2000</v>
      </c>
      <c r="X48" s="91">
        <v>2000</v>
      </c>
      <c r="Y48" s="91">
        <v>2000</v>
      </c>
      <c r="Z48" s="91">
        <v>0.4</v>
      </c>
      <c r="AA48" s="91">
        <v>0.4</v>
      </c>
      <c r="AB48" s="91">
        <v>0.4</v>
      </c>
      <c r="AC48" s="91">
        <v>0.4</v>
      </c>
      <c r="AD48" s="91">
        <v>0.4</v>
      </c>
      <c r="AE48" s="91">
        <v>0.4</v>
      </c>
      <c r="AF48" s="91">
        <v>0.4</v>
      </c>
      <c r="AG48" s="91">
        <v>0.4</v>
      </c>
      <c r="AH48" s="91">
        <v>0.4</v>
      </c>
      <c r="AI48" s="91">
        <v>0.4</v>
      </c>
      <c r="AJ48" s="91">
        <v>0.4</v>
      </c>
      <c r="AL48" s="182">
        <v>44593</v>
      </c>
      <c r="AM48" s="184">
        <v>44593</v>
      </c>
      <c r="AN48" s="173">
        <v>2000</v>
      </c>
      <c r="AO48" s="174">
        <v>2000</v>
      </c>
      <c r="AP48" s="175">
        <v>2000</v>
      </c>
      <c r="AQ48" s="176">
        <v>2000</v>
      </c>
      <c r="AR48" s="177">
        <v>0.4</v>
      </c>
      <c r="AS48" s="177">
        <v>0.4</v>
      </c>
      <c r="AT48" s="177">
        <v>0.4</v>
      </c>
      <c r="AU48" s="177">
        <v>0.4</v>
      </c>
      <c r="AV48" s="177">
        <v>0.4</v>
      </c>
      <c r="AW48" s="177">
        <v>0.4</v>
      </c>
      <c r="AX48" s="177">
        <v>0.4</v>
      </c>
      <c r="AY48" s="177">
        <v>0.4</v>
      </c>
      <c r="AZ48" s="177">
        <v>0.4</v>
      </c>
      <c r="BA48" s="177">
        <v>0.4</v>
      </c>
      <c r="BB48" s="179">
        <v>0.4</v>
      </c>
      <c r="BD48" s="185" t="str" cm="1">
        <f t="array" aca="1" ref="BD48" ca="1">_xll.d.TestUtils_IsTrue(_xll.d.Formatting_Equal(B48,AL48))</f>
        <v>OK</v>
      </c>
      <c r="BE48" s="185" t="str" cm="1">
        <f t="array" aca="1" ref="BE48" ca="1">_xll.d.TestUtils_IsTrue(_xll.d.Formatting_Equal(C48,AM48))</f>
        <v>OK</v>
      </c>
      <c r="BF48" s="185" t="str" cm="1">
        <f t="array" aca="1" ref="BF48" ca="1">_xll.d.TestUtils_IsTrue(_xll.d.Formatting_Equal(D48,AN48))</f>
        <v>OK</v>
      </c>
      <c r="BG48" s="185" t="str" cm="1">
        <f t="array" aca="1" ref="BG48" ca="1">_xll.d.TestUtils_IsTrue(_xll.d.Formatting_Equal(E48,AO48))</f>
        <v>OK</v>
      </c>
      <c r="BH48" s="185" t="str" cm="1">
        <f t="array" aca="1" ref="BH48" ca="1">_xll.d.TestUtils_IsTrue(_xll.d.Formatting_Equal(F48,AP48))</f>
        <v>OK</v>
      </c>
      <c r="BI48" s="185" t="str" cm="1">
        <f t="array" aca="1" ref="BI48" ca="1">_xll.d.TestUtils_IsTrue(_xll.d.Formatting_Equal(G48,AQ48))</f>
        <v>OK</v>
      </c>
      <c r="BJ48" s="185" t="str" cm="1">
        <f t="array" aca="1" ref="BJ48" ca="1">_xll.d.TestUtils_IsTrue(_xll.d.Formatting_Equal(H48,AR48))</f>
        <v>OK</v>
      </c>
      <c r="BK48" s="185" t="str" cm="1">
        <f t="array" aca="1" ref="BK48" ca="1">_xll.d.TestUtils_IsTrue(_xll.d.Formatting_Equal(I48,AS48))</f>
        <v>OK</v>
      </c>
      <c r="BL48" s="185" t="str" cm="1">
        <f t="array" aca="1" ref="BL48" ca="1">_xll.d.TestUtils_IsTrue(_xll.d.Formatting_Equal(J48,AT48))</f>
        <v>OK</v>
      </c>
      <c r="BM48" s="185" t="str" cm="1">
        <f t="array" aca="1" ref="BM48" ca="1">_xll.d.TestUtils_IsTrue(_xll.d.Formatting_Equal(K48,AU48))</f>
        <v>OK</v>
      </c>
      <c r="BN48" s="185" t="str" cm="1">
        <f t="array" aca="1" ref="BN48" ca="1">_xll.d.TestUtils_IsTrue(_xll.d.Formatting_Equal(L48,AV48))</f>
        <v>OK</v>
      </c>
      <c r="BO48" s="185" t="str" cm="1">
        <f t="array" aca="1" ref="BO48" ca="1">_xll.d.TestUtils_IsTrue(_xll.d.Formatting_Equal(M48,AW48))</f>
        <v>OK</v>
      </c>
      <c r="BP48" s="185" t="str" cm="1">
        <f t="array" aca="1" ref="BP48" ca="1">_xll.d.TestUtils_IsTrue(_xll.d.Formatting_Equal(N48,AX48))</f>
        <v>OK</v>
      </c>
      <c r="BQ48" s="185" t="str" cm="1">
        <f t="array" aca="1" ref="BQ48" ca="1">_xll.d.TestUtils_IsTrue(_xll.d.Formatting_Equal(O48,AY48))</f>
        <v>OK</v>
      </c>
      <c r="BR48" s="185" t="str" cm="1">
        <f t="array" aca="1" ref="BR48" ca="1">_xll.d.TestUtils_IsTrue(_xll.d.Formatting_Equal(P48,AZ48))</f>
        <v>OK</v>
      </c>
      <c r="BS48" s="185" t="str" cm="1">
        <f t="array" aca="1" ref="BS48" ca="1">_xll.d.TestUtils_IsTrue(_xll.d.Formatting_Equal(Q48,BA48))</f>
        <v>OK</v>
      </c>
      <c r="BT48" s="185" t="str" cm="1">
        <f t="array" aca="1" ref="BT48" ca="1">_xll.d.TestUtils_IsTrue(_xll.d.Formatting_Equal(R48,BB48))</f>
        <v>OK</v>
      </c>
    </row>
    <row r="49" spans="2:72" x14ac:dyDescent="0.3">
      <c r="B49" s="130">
        <v>44621</v>
      </c>
      <c r="C49" s="133">
        <v>44621</v>
      </c>
      <c r="D49" s="112">
        <v>3000</v>
      </c>
      <c r="E49" s="115">
        <v>3000</v>
      </c>
      <c r="F49" s="118">
        <v>3000</v>
      </c>
      <c r="G49" s="121">
        <v>3000</v>
      </c>
      <c r="H49" s="124">
        <v>0.5</v>
      </c>
      <c r="I49" s="124">
        <v>0.5</v>
      </c>
      <c r="J49" s="124">
        <v>0.5</v>
      </c>
      <c r="K49" s="124">
        <v>0.5</v>
      </c>
      <c r="L49" s="124">
        <v>0.5</v>
      </c>
      <c r="M49" s="124">
        <v>0.5</v>
      </c>
      <c r="N49" s="124">
        <v>0.5</v>
      </c>
      <c r="O49" s="124">
        <v>0.5</v>
      </c>
      <c r="P49" s="124">
        <v>0.5</v>
      </c>
      <c r="Q49" s="124">
        <v>0.5</v>
      </c>
      <c r="R49" s="127">
        <v>0.5</v>
      </c>
      <c r="T49" s="91">
        <v>44621</v>
      </c>
      <c r="U49" s="91">
        <v>44621</v>
      </c>
      <c r="V49" s="91">
        <v>3000</v>
      </c>
      <c r="W49" s="91">
        <v>3000</v>
      </c>
      <c r="X49" s="91">
        <v>3000</v>
      </c>
      <c r="Y49" s="91">
        <v>3000</v>
      </c>
      <c r="Z49" s="91">
        <v>0.5</v>
      </c>
      <c r="AA49" s="91">
        <v>0.5</v>
      </c>
      <c r="AB49" s="91">
        <v>0.5</v>
      </c>
      <c r="AC49" s="91">
        <v>0.5</v>
      </c>
      <c r="AD49" s="91">
        <v>0.5</v>
      </c>
      <c r="AE49" s="91">
        <v>0.5</v>
      </c>
      <c r="AF49" s="91">
        <v>0.5</v>
      </c>
      <c r="AG49" s="91">
        <v>0.5</v>
      </c>
      <c r="AH49" s="91">
        <v>0.5</v>
      </c>
      <c r="AI49" s="91">
        <v>0.5</v>
      </c>
      <c r="AJ49" s="91">
        <v>0.5</v>
      </c>
      <c r="AL49" s="355">
        <v>44621</v>
      </c>
      <c r="AM49" s="356">
        <v>44621</v>
      </c>
      <c r="AN49" s="346">
        <v>3000</v>
      </c>
      <c r="AO49" s="348">
        <v>3000</v>
      </c>
      <c r="AP49" s="350">
        <v>3000</v>
      </c>
      <c r="AQ49" s="352">
        <v>3000</v>
      </c>
      <c r="AR49" s="178">
        <v>0.5</v>
      </c>
      <c r="AS49" s="178">
        <v>0.5</v>
      </c>
      <c r="AT49" s="178">
        <v>0.5</v>
      </c>
      <c r="AU49" s="178">
        <v>0.5</v>
      </c>
      <c r="AV49" s="178">
        <v>0.5</v>
      </c>
      <c r="AW49" s="178">
        <v>0.5</v>
      </c>
      <c r="AX49" s="178">
        <v>0.5</v>
      </c>
      <c r="AY49" s="178">
        <v>0.5</v>
      </c>
      <c r="AZ49" s="178">
        <v>0.5</v>
      </c>
      <c r="BA49" s="178">
        <v>0.5</v>
      </c>
      <c r="BB49" s="180">
        <v>0.5</v>
      </c>
      <c r="BD49" s="185" t="str" cm="1">
        <f t="array" aca="1" ref="BD49" ca="1">_xll.d.TestUtils_IsTrue(_xll.d.Formatting_Equal(B49,AL49))</f>
        <v>OK</v>
      </c>
      <c r="BE49" s="185" t="str" cm="1">
        <f t="array" aca="1" ref="BE49" ca="1">_xll.d.TestUtils_IsTrue(_xll.d.Formatting_Equal(C49,AM49))</f>
        <v>OK</v>
      </c>
      <c r="BF49" s="185" t="str" cm="1">
        <f t="array" aca="1" ref="BF49" ca="1">_xll.d.TestUtils_IsTrue(_xll.d.Formatting_Equal(D49,AN49))</f>
        <v>OK</v>
      </c>
      <c r="BG49" s="185" t="str" cm="1">
        <f t="array" aca="1" ref="BG49" ca="1">_xll.d.TestUtils_IsTrue(_xll.d.Formatting_Equal(E49,AO49))</f>
        <v>OK</v>
      </c>
      <c r="BH49" s="185" t="str" cm="1">
        <f t="array" aca="1" ref="BH49" ca="1">_xll.d.TestUtils_IsTrue(_xll.d.Formatting_Equal(F49,AP49))</f>
        <v>OK</v>
      </c>
      <c r="BI49" s="185" t="str" cm="1">
        <f t="array" aca="1" ref="BI49" ca="1">_xll.d.TestUtils_IsTrue(_xll.d.Formatting_Equal(G49,AQ49))</f>
        <v>OK</v>
      </c>
      <c r="BJ49" s="185" t="str" cm="1">
        <f t="array" aca="1" ref="BJ49" ca="1">_xll.d.TestUtils_IsTrue(_xll.d.Formatting_Equal(H49,AR49))</f>
        <v>OK</v>
      </c>
      <c r="BK49" s="185" t="str" cm="1">
        <f t="array" aca="1" ref="BK49" ca="1">_xll.d.TestUtils_IsTrue(_xll.d.Formatting_Equal(I49,AS49))</f>
        <v>OK</v>
      </c>
      <c r="BL49" s="185" t="str" cm="1">
        <f t="array" aca="1" ref="BL49" ca="1">_xll.d.TestUtils_IsTrue(_xll.d.Formatting_Equal(J49,AT49))</f>
        <v>OK</v>
      </c>
      <c r="BM49" s="185" t="str" cm="1">
        <f t="array" aca="1" ref="BM49" ca="1">_xll.d.TestUtils_IsTrue(_xll.d.Formatting_Equal(K49,AU49))</f>
        <v>OK</v>
      </c>
      <c r="BN49" s="185" t="str" cm="1">
        <f t="array" aca="1" ref="BN49" ca="1">_xll.d.TestUtils_IsTrue(_xll.d.Formatting_Equal(L49,AV49))</f>
        <v>OK</v>
      </c>
      <c r="BO49" s="185" t="str" cm="1">
        <f t="array" aca="1" ref="BO49" ca="1">_xll.d.TestUtils_IsTrue(_xll.d.Formatting_Equal(M49,AW49))</f>
        <v>OK</v>
      </c>
      <c r="BP49" s="185" t="str" cm="1">
        <f t="array" aca="1" ref="BP49" ca="1">_xll.d.TestUtils_IsTrue(_xll.d.Formatting_Equal(N49,AX49))</f>
        <v>OK</v>
      </c>
      <c r="BQ49" s="185" t="str" cm="1">
        <f t="array" aca="1" ref="BQ49" ca="1">_xll.d.TestUtils_IsTrue(_xll.d.Formatting_Equal(O49,AY49))</f>
        <v>OK</v>
      </c>
      <c r="BR49" s="185" t="str" cm="1">
        <f t="array" aca="1" ref="BR49" ca="1">_xll.d.TestUtils_IsTrue(_xll.d.Formatting_Equal(P49,AZ49))</f>
        <v>OK</v>
      </c>
      <c r="BS49" s="185" t="str" cm="1">
        <f t="array" aca="1" ref="BS49" ca="1">_xll.d.TestUtils_IsTrue(_xll.d.Formatting_Equal(Q49,BA49))</f>
        <v>OK</v>
      </c>
      <c r="BT49" s="185" t="str" cm="1">
        <f t="array" aca="1" ref="BT49" ca="1">_xll.d.TestUtils_IsTrue(_xll.d.Formatting_Equal(R49,BB49))</f>
        <v>OK</v>
      </c>
    </row>
    <row r="50" spans="2:72" x14ac:dyDescent="0.3">
      <c r="AL50" s="156"/>
      <c r="AM50" s="156"/>
      <c r="AN50" s="156"/>
      <c r="AO50" s="156"/>
      <c r="AP50" s="156"/>
      <c r="AQ50" s="156"/>
      <c r="AR50" s="156"/>
      <c r="AS50" s="156"/>
      <c r="AT50" s="156"/>
      <c r="AU50" s="156"/>
      <c r="AV50" s="156"/>
      <c r="AW50" s="156"/>
      <c r="AX50" s="156"/>
      <c r="AY50" s="156"/>
      <c r="AZ50" s="156"/>
      <c r="BA50" s="156"/>
      <c r="BB50" s="156"/>
    </row>
    <row r="52" spans="2:72" ht="18" x14ac:dyDescent="0.35">
      <c r="B52" s="3" t="s">
        <v>117</v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</row>
    <row r="54" spans="2:72" x14ac:dyDescent="0.3">
      <c r="B54" s="59" t="s">
        <v>136</v>
      </c>
      <c r="C54" s="185" t="str" cm="1">
        <f t="array" aca="1" ref="C54" ca="1">_xll.d.TestUtils_And(BD69:BT73)</f>
        <v>OK</v>
      </c>
    </row>
    <row r="56" spans="2:72" x14ac:dyDescent="0.3">
      <c r="B56" s="59" t="s">
        <v>116</v>
      </c>
      <c r="C56" s="59" t="s">
        <v>33</v>
      </c>
    </row>
    <row r="57" spans="2:72" x14ac:dyDescent="0.3">
      <c r="B57" s="98" t="s">
        <v>111</v>
      </c>
      <c r="C57" s="99" t="s">
        <v>130</v>
      </c>
    </row>
    <row r="58" spans="2:72" x14ac:dyDescent="0.3">
      <c r="B58" s="92" t="s">
        <v>112</v>
      </c>
      <c r="C58" s="93" t="s">
        <v>0</v>
      </c>
    </row>
    <row r="59" spans="2:72" x14ac:dyDescent="0.3">
      <c r="B59" s="94"/>
      <c r="C59" s="95" t="s">
        <v>113</v>
      </c>
    </row>
    <row r="60" spans="2:72" x14ac:dyDescent="0.3">
      <c r="B60" s="96"/>
      <c r="C60" s="97" t="s">
        <v>114</v>
      </c>
    </row>
    <row r="61" spans="2:72" x14ac:dyDescent="0.3">
      <c r="B61" s="166" t="s">
        <v>130</v>
      </c>
      <c r="C61" s="172">
        <v>2</v>
      </c>
    </row>
    <row r="62" spans="2:72" x14ac:dyDescent="0.3">
      <c r="B62" s="166" t="s">
        <v>131</v>
      </c>
      <c r="C62" s="172">
        <v>0</v>
      </c>
    </row>
    <row r="63" spans="2:72" x14ac:dyDescent="0.3">
      <c r="B63" s="146" t="s">
        <v>119</v>
      </c>
      <c r="C63" s="147"/>
    </row>
    <row r="64" spans="2:72" x14ac:dyDescent="0.3">
      <c r="B64" s="64"/>
      <c r="C64" s="64"/>
    </row>
    <row r="65" spans="2:72" x14ac:dyDescent="0.3">
      <c r="B65" t="s">
        <v>120</v>
      </c>
      <c r="C65" s="64"/>
    </row>
    <row r="66" spans="2:72" x14ac:dyDescent="0.3">
      <c r="B66" s="64"/>
      <c r="C66" s="64"/>
    </row>
    <row r="67" spans="2:72" x14ac:dyDescent="0.3">
      <c r="B67" s="70" t="s">
        <v>92</v>
      </c>
      <c r="T67" s="70" t="s">
        <v>109</v>
      </c>
      <c r="AL67" s="70" t="s">
        <v>110</v>
      </c>
      <c r="BD67" s="70" t="s">
        <v>137</v>
      </c>
    </row>
    <row r="69" spans="2:72" x14ac:dyDescent="0.3">
      <c r="B69" s="91" t="s">
        <v>97</v>
      </c>
      <c r="C69" s="91"/>
      <c r="D69" s="91"/>
      <c r="E69" s="91"/>
      <c r="F69" s="91"/>
      <c r="G69" s="91"/>
      <c r="H69" s="91"/>
      <c r="I69" s="91"/>
      <c r="J69" s="91"/>
      <c r="K69" s="91"/>
      <c r="L69" s="91"/>
      <c r="M69" s="91"/>
      <c r="N69" s="91"/>
      <c r="O69" s="91"/>
      <c r="P69" s="91"/>
      <c r="Q69" s="91"/>
      <c r="R69" s="91"/>
      <c r="T69" s="12" t="s">
        <v>97</v>
      </c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13"/>
      <c r="AL69" s="155" t="s">
        <v>97</v>
      </c>
      <c r="AM69" s="155"/>
      <c r="AN69" s="155"/>
      <c r="AO69" s="155"/>
      <c r="AP69" s="155"/>
      <c r="AQ69" s="155"/>
      <c r="AR69" s="155"/>
      <c r="AS69" s="155"/>
      <c r="AT69" s="155"/>
      <c r="AU69" s="155"/>
      <c r="AV69" s="155"/>
      <c r="AW69" s="155"/>
      <c r="AX69" s="155"/>
      <c r="AY69" s="155"/>
      <c r="AZ69" s="155"/>
      <c r="BA69" s="155"/>
      <c r="BB69" s="155"/>
      <c r="BD69" s="185" t="str" cm="1">
        <f t="array" aca="1" ref="BD69" ca="1">_xll.d.TestUtils_IsTrue(_xll.d.Formatting_Equal(B69,AL69))</f>
        <v>OK</v>
      </c>
      <c r="BE69" s="185" t="str" cm="1">
        <f t="array" aca="1" ref="BE69" ca="1">_xll.d.TestUtils_IsTrue(_xll.d.Formatting_Equal(C69,AM69))</f>
        <v>OK</v>
      </c>
      <c r="BF69" s="185" t="str" cm="1">
        <f t="array" aca="1" ref="BF69" ca="1">_xll.d.TestUtils_IsTrue(_xll.d.Formatting_Equal(D69,AN69))</f>
        <v>OK</v>
      </c>
      <c r="BG69" s="185" t="str" cm="1">
        <f t="array" aca="1" ref="BG69" ca="1">_xll.d.TestUtils_IsTrue(_xll.d.Formatting_Equal(E69,AO69))</f>
        <v>OK</v>
      </c>
      <c r="BH69" s="185" t="str" cm="1">
        <f t="array" aca="1" ref="BH69" ca="1">_xll.d.TestUtils_IsTrue(_xll.d.Formatting_Equal(F69,AP69))</f>
        <v>OK</v>
      </c>
      <c r="BI69" s="185" t="str" cm="1">
        <f t="array" aca="1" ref="BI69" ca="1">_xll.d.TestUtils_IsTrue(_xll.d.Formatting_Equal(G69,AQ69))</f>
        <v>OK</v>
      </c>
      <c r="BJ69" s="185" t="str" cm="1">
        <f t="array" aca="1" ref="BJ69" ca="1">_xll.d.TestUtils_IsTrue(_xll.d.Formatting_Equal(H69,AR69))</f>
        <v>OK</v>
      </c>
      <c r="BK69" s="185" t="str" cm="1">
        <f t="array" aca="1" ref="BK69" ca="1">_xll.d.TestUtils_IsTrue(_xll.d.Formatting_Equal(I69,AS69))</f>
        <v>OK</v>
      </c>
      <c r="BL69" s="185" t="str" cm="1">
        <f t="array" aca="1" ref="BL69" ca="1">_xll.d.TestUtils_IsTrue(_xll.d.Formatting_Equal(J69,AT69))</f>
        <v>OK</v>
      </c>
      <c r="BM69" s="185" t="str" cm="1">
        <f t="array" aca="1" ref="BM69" ca="1">_xll.d.TestUtils_IsTrue(_xll.d.Formatting_Equal(K69,AU69))</f>
        <v>OK</v>
      </c>
      <c r="BN69" s="185" t="str" cm="1">
        <f t="array" aca="1" ref="BN69" ca="1">_xll.d.TestUtils_IsTrue(_xll.d.Formatting_Equal(L69,AV69))</f>
        <v>OK</v>
      </c>
      <c r="BO69" s="185" t="str" cm="1">
        <f t="array" aca="1" ref="BO69" ca="1">_xll.d.TestUtils_IsTrue(_xll.d.Formatting_Equal(M69,AW69))</f>
        <v>OK</v>
      </c>
      <c r="BP69" s="185" t="str" cm="1">
        <f t="array" aca="1" ref="BP69" ca="1">_xll.d.TestUtils_IsTrue(_xll.d.Formatting_Equal(N69,AX69))</f>
        <v>OK</v>
      </c>
      <c r="BQ69" s="185" t="str" cm="1">
        <f t="array" aca="1" ref="BQ69" ca="1">_xll.d.TestUtils_IsTrue(_xll.d.Formatting_Equal(O69,AY69))</f>
        <v>OK</v>
      </c>
      <c r="BR69" s="185" t="str" cm="1">
        <f t="array" aca="1" ref="BR69" ca="1">_xll.d.TestUtils_IsTrue(_xll.d.Formatting_Equal(P69,AZ69))</f>
        <v>OK</v>
      </c>
      <c r="BS69" s="185" t="str" cm="1">
        <f t="array" aca="1" ref="BS69" ca="1">_xll.d.TestUtils_IsTrue(_xll.d.Formatting_Equal(Q69,BA69))</f>
        <v>OK</v>
      </c>
      <c r="BT69" s="185" t="str" cm="1">
        <f t="array" aca="1" ref="BT69" ca="1">_xll.d.TestUtils_IsTrue(_xll.d.Formatting_Equal(R69,BB69))</f>
        <v>OK</v>
      </c>
    </row>
    <row r="70" spans="2:72" x14ac:dyDescent="0.3">
      <c r="B70" s="91" t="s">
        <v>35</v>
      </c>
      <c r="C70" s="91" t="s">
        <v>0</v>
      </c>
      <c r="D70" s="91" t="s">
        <v>98</v>
      </c>
      <c r="E70" s="91" t="s">
        <v>99</v>
      </c>
      <c r="F70" s="91" t="s">
        <v>100</v>
      </c>
      <c r="G70" s="91" t="s">
        <v>101</v>
      </c>
      <c r="H70" s="91" t="s">
        <v>102</v>
      </c>
      <c r="I70" s="91" t="s">
        <v>81</v>
      </c>
      <c r="J70" s="91" t="s">
        <v>82</v>
      </c>
      <c r="K70" s="91" t="s">
        <v>83</v>
      </c>
      <c r="L70" s="91" t="s">
        <v>103</v>
      </c>
      <c r="M70" s="91" t="s">
        <v>25</v>
      </c>
      <c r="N70" s="91" t="s">
        <v>40</v>
      </c>
      <c r="O70" s="91" t="s">
        <v>104</v>
      </c>
      <c r="P70" s="91" t="s">
        <v>96</v>
      </c>
      <c r="Q70" s="91" t="s">
        <v>106</v>
      </c>
      <c r="R70" s="91" t="s">
        <v>105</v>
      </c>
      <c r="T70" s="74" t="s">
        <v>35</v>
      </c>
      <c r="U70" s="75" t="s">
        <v>0</v>
      </c>
      <c r="V70" s="75" t="s">
        <v>98</v>
      </c>
      <c r="W70" s="75" t="s">
        <v>99</v>
      </c>
      <c r="X70" s="75" t="s">
        <v>100</v>
      </c>
      <c r="Y70" s="75" t="s">
        <v>101</v>
      </c>
      <c r="Z70" s="75" t="s">
        <v>102</v>
      </c>
      <c r="AA70" s="75" t="s">
        <v>81</v>
      </c>
      <c r="AB70" s="75" t="s">
        <v>82</v>
      </c>
      <c r="AC70" s="75" t="s">
        <v>83</v>
      </c>
      <c r="AD70" s="75" t="s">
        <v>103</v>
      </c>
      <c r="AE70" s="75" t="s">
        <v>25</v>
      </c>
      <c r="AF70" s="75" t="s">
        <v>40</v>
      </c>
      <c r="AG70" s="75" t="s">
        <v>104</v>
      </c>
      <c r="AH70" s="75" t="s">
        <v>96</v>
      </c>
      <c r="AI70" s="75" t="s">
        <v>106</v>
      </c>
      <c r="AJ70" s="76" t="s">
        <v>105</v>
      </c>
      <c r="AL70" s="155" t="s">
        <v>35</v>
      </c>
      <c r="AM70" s="155" t="s">
        <v>0</v>
      </c>
      <c r="AN70" s="155" t="s">
        <v>98</v>
      </c>
      <c r="AO70" s="155" t="s">
        <v>99</v>
      </c>
      <c r="AP70" s="155" t="s">
        <v>100</v>
      </c>
      <c r="AQ70" s="155" t="s">
        <v>101</v>
      </c>
      <c r="AR70" s="155" t="s">
        <v>102</v>
      </c>
      <c r="AS70" s="155" t="s">
        <v>81</v>
      </c>
      <c r="AT70" s="155" t="s">
        <v>82</v>
      </c>
      <c r="AU70" s="155" t="s">
        <v>83</v>
      </c>
      <c r="AV70" s="155" t="s">
        <v>103</v>
      </c>
      <c r="AW70" s="155" t="s">
        <v>25</v>
      </c>
      <c r="AX70" s="155" t="s">
        <v>40</v>
      </c>
      <c r="AY70" s="155" t="s">
        <v>104</v>
      </c>
      <c r="AZ70" s="155" t="s">
        <v>96</v>
      </c>
      <c r="BA70" s="155" t="s">
        <v>106</v>
      </c>
      <c r="BB70" s="155" t="s">
        <v>105</v>
      </c>
      <c r="BD70" s="185" t="str" cm="1">
        <f t="array" aca="1" ref="BD70" ca="1">_xll.d.TestUtils_IsTrue(_xll.d.Formatting_Equal(B70,AL70))</f>
        <v>OK</v>
      </c>
      <c r="BE70" s="185" t="str" cm="1">
        <f t="array" aca="1" ref="BE70" ca="1">_xll.d.TestUtils_IsTrue(_xll.d.Formatting_Equal(C70,AM70))</f>
        <v>OK</v>
      </c>
      <c r="BF70" s="185" t="str" cm="1">
        <f t="array" aca="1" ref="BF70" ca="1">_xll.d.TestUtils_IsTrue(_xll.d.Formatting_Equal(D70,AN70))</f>
        <v>OK</v>
      </c>
      <c r="BG70" s="185" t="str" cm="1">
        <f t="array" aca="1" ref="BG70" ca="1">_xll.d.TestUtils_IsTrue(_xll.d.Formatting_Equal(E70,AO70))</f>
        <v>OK</v>
      </c>
      <c r="BH70" s="185" t="str" cm="1">
        <f t="array" aca="1" ref="BH70" ca="1">_xll.d.TestUtils_IsTrue(_xll.d.Formatting_Equal(F70,AP70))</f>
        <v>OK</v>
      </c>
      <c r="BI70" s="185" t="str" cm="1">
        <f t="array" aca="1" ref="BI70" ca="1">_xll.d.TestUtils_IsTrue(_xll.d.Formatting_Equal(G70,AQ70))</f>
        <v>OK</v>
      </c>
      <c r="BJ70" s="185" t="str" cm="1">
        <f t="array" aca="1" ref="BJ70" ca="1">_xll.d.TestUtils_IsTrue(_xll.d.Formatting_Equal(H70,AR70))</f>
        <v>OK</v>
      </c>
      <c r="BK70" s="185" t="str" cm="1">
        <f t="array" aca="1" ref="BK70" ca="1">_xll.d.TestUtils_IsTrue(_xll.d.Formatting_Equal(I70,AS70))</f>
        <v>OK</v>
      </c>
      <c r="BL70" s="185" t="str" cm="1">
        <f t="array" aca="1" ref="BL70" ca="1">_xll.d.TestUtils_IsTrue(_xll.d.Formatting_Equal(J70,AT70))</f>
        <v>OK</v>
      </c>
      <c r="BM70" s="185" t="str" cm="1">
        <f t="array" aca="1" ref="BM70" ca="1">_xll.d.TestUtils_IsTrue(_xll.d.Formatting_Equal(K70,AU70))</f>
        <v>OK</v>
      </c>
      <c r="BN70" s="185" t="str" cm="1">
        <f t="array" aca="1" ref="BN70" ca="1">_xll.d.TestUtils_IsTrue(_xll.d.Formatting_Equal(L70,AV70))</f>
        <v>OK</v>
      </c>
      <c r="BO70" s="185" t="str" cm="1">
        <f t="array" aca="1" ref="BO70" ca="1">_xll.d.TestUtils_IsTrue(_xll.d.Formatting_Equal(M70,AW70))</f>
        <v>OK</v>
      </c>
      <c r="BP70" s="185" t="str" cm="1">
        <f t="array" aca="1" ref="BP70" ca="1">_xll.d.TestUtils_IsTrue(_xll.d.Formatting_Equal(N70,AX70))</f>
        <v>OK</v>
      </c>
      <c r="BQ70" s="185" t="str" cm="1">
        <f t="array" aca="1" ref="BQ70" ca="1">_xll.d.TestUtils_IsTrue(_xll.d.Formatting_Equal(O70,AY70))</f>
        <v>OK</v>
      </c>
      <c r="BR70" s="185" t="str" cm="1">
        <f t="array" aca="1" ref="BR70" ca="1">_xll.d.TestUtils_IsTrue(_xll.d.Formatting_Equal(P70,AZ70))</f>
        <v>OK</v>
      </c>
      <c r="BS70" s="185" t="str" cm="1">
        <f t="array" aca="1" ref="BS70" ca="1">_xll.d.TestUtils_IsTrue(_xll.d.Formatting_Equal(Q70,BA70))</f>
        <v>OK</v>
      </c>
      <c r="BT70" s="185" t="str" cm="1">
        <f t="array" aca="1" ref="BT70" ca="1">_xll.d.TestUtils_IsTrue(_xll.d.Formatting_Equal(R70,BB70))</f>
        <v>OK</v>
      </c>
    </row>
    <row r="71" spans="2:72" x14ac:dyDescent="0.3">
      <c r="B71" s="91">
        <v>44562</v>
      </c>
      <c r="C71" s="91">
        <v>44562</v>
      </c>
      <c r="D71" s="91">
        <v>1000</v>
      </c>
      <c r="E71" s="91">
        <v>1000</v>
      </c>
      <c r="F71" s="91">
        <v>1000</v>
      </c>
      <c r="G71" s="91">
        <v>1000</v>
      </c>
      <c r="H71" s="91">
        <v>0.3</v>
      </c>
      <c r="I71" s="91">
        <v>0.3</v>
      </c>
      <c r="J71" s="91">
        <v>0.3</v>
      </c>
      <c r="K71" s="91">
        <v>0.3</v>
      </c>
      <c r="L71" s="91">
        <v>0.3</v>
      </c>
      <c r="M71" s="91">
        <v>0.3</v>
      </c>
      <c r="N71" s="91">
        <v>0.3</v>
      </c>
      <c r="O71" s="91">
        <v>0.3</v>
      </c>
      <c r="P71" s="91">
        <v>0.3</v>
      </c>
      <c r="Q71" s="91">
        <v>0.3</v>
      </c>
      <c r="R71" s="91">
        <v>0.3</v>
      </c>
      <c r="T71" s="128">
        <v>44562</v>
      </c>
      <c r="U71" s="131">
        <v>44562</v>
      </c>
      <c r="V71" s="110">
        <v>1000</v>
      </c>
      <c r="W71" s="113">
        <v>1000</v>
      </c>
      <c r="X71" s="116">
        <v>1000</v>
      </c>
      <c r="Y71" s="119">
        <v>1000</v>
      </c>
      <c r="Z71" s="122">
        <v>0.3</v>
      </c>
      <c r="AA71" s="122">
        <v>0.3</v>
      </c>
      <c r="AB71" s="122">
        <v>0.3</v>
      </c>
      <c r="AC71" s="122">
        <v>0.3</v>
      </c>
      <c r="AD71" s="122">
        <v>0.3</v>
      </c>
      <c r="AE71" s="122">
        <v>0.3</v>
      </c>
      <c r="AF71" s="122">
        <v>0.3</v>
      </c>
      <c r="AG71" s="122">
        <v>0.3</v>
      </c>
      <c r="AH71" s="122">
        <v>0.3</v>
      </c>
      <c r="AI71" s="122">
        <v>0.3</v>
      </c>
      <c r="AJ71" s="125">
        <v>0.3</v>
      </c>
      <c r="AL71" s="155">
        <v>44562</v>
      </c>
      <c r="AM71" s="155">
        <v>44562</v>
      </c>
      <c r="AN71" s="156">
        <v>1000</v>
      </c>
      <c r="AO71" s="156">
        <v>1000</v>
      </c>
      <c r="AP71" s="156">
        <v>1000</v>
      </c>
      <c r="AQ71" s="156">
        <v>1000</v>
      </c>
      <c r="AR71" s="155">
        <v>0.3</v>
      </c>
      <c r="AS71" s="155">
        <v>0.3</v>
      </c>
      <c r="AT71" s="155">
        <v>0.3</v>
      </c>
      <c r="AU71" s="155">
        <v>0.3</v>
      </c>
      <c r="AV71" s="155">
        <v>0.3</v>
      </c>
      <c r="AW71" s="155">
        <v>0.3</v>
      </c>
      <c r="AX71" s="155">
        <v>0.3</v>
      </c>
      <c r="AY71" s="155">
        <v>0.3</v>
      </c>
      <c r="AZ71" s="155">
        <v>0.3</v>
      </c>
      <c r="BA71" s="155">
        <v>0.3</v>
      </c>
      <c r="BB71" s="155">
        <v>0.3</v>
      </c>
      <c r="BD71" s="185" t="str" cm="1">
        <f t="array" aca="1" ref="BD71" ca="1">_xll.d.TestUtils_IsTrue(_xll.d.Formatting_Equal(B71,AL71))</f>
        <v>OK</v>
      </c>
      <c r="BE71" s="185" t="str" cm="1">
        <f t="array" aca="1" ref="BE71" ca="1">_xll.d.TestUtils_IsTrue(_xll.d.Formatting_Equal(C71,AM71))</f>
        <v>OK</v>
      </c>
      <c r="BF71" s="185" t="str" cm="1">
        <f t="array" aca="1" ref="BF71" ca="1">_xll.d.TestUtils_IsTrue(_xll.d.Formatting_Equal(D71,AN71))</f>
        <v>OK</v>
      </c>
      <c r="BG71" s="185" t="str" cm="1">
        <f t="array" aca="1" ref="BG71" ca="1">_xll.d.TestUtils_IsTrue(_xll.d.Formatting_Equal(E71,AO71))</f>
        <v>OK</v>
      </c>
      <c r="BH71" s="185" t="str" cm="1">
        <f t="array" aca="1" ref="BH71" ca="1">_xll.d.TestUtils_IsTrue(_xll.d.Formatting_Equal(F71,AP71))</f>
        <v>OK</v>
      </c>
      <c r="BI71" s="185" t="str" cm="1">
        <f t="array" aca="1" ref="BI71" ca="1">_xll.d.TestUtils_IsTrue(_xll.d.Formatting_Equal(G71,AQ71))</f>
        <v>OK</v>
      </c>
      <c r="BJ71" s="185" t="str" cm="1">
        <f t="array" aca="1" ref="BJ71" ca="1">_xll.d.TestUtils_IsTrue(_xll.d.Formatting_Equal(H71,AR71))</f>
        <v>OK</v>
      </c>
      <c r="BK71" s="185" t="str" cm="1">
        <f t="array" aca="1" ref="BK71" ca="1">_xll.d.TestUtils_IsTrue(_xll.d.Formatting_Equal(I71,AS71))</f>
        <v>OK</v>
      </c>
      <c r="BL71" s="185" t="str" cm="1">
        <f t="array" aca="1" ref="BL71" ca="1">_xll.d.TestUtils_IsTrue(_xll.d.Formatting_Equal(J71,AT71))</f>
        <v>OK</v>
      </c>
      <c r="BM71" s="185" t="str" cm="1">
        <f t="array" aca="1" ref="BM71" ca="1">_xll.d.TestUtils_IsTrue(_xll.d.Formatting_Equal(K71,AU71))</f>
        <v>OK</v>
      </c>
      <c r="BN71" s="185" t="str" cm="1">
        <f t="array" aca="1" ref="BN71" ca="1">_xll.d.TestUtils_IsTrue(_xll.d.Formatting_Equal(L71,AV71))</f>
        <v>OK</v>
      </c>
      <c r="BO71" s="185" t="str" cm="1">
        <f t="array" aca="1" ref="BO71" ca="1">_xll.d.TestUtils_IsTrue(_xll.d.Formatting_Equal(M71,AW71))</f>
        <v>OK</v>
      </c>
      <c r="BP71" s="185" t="str" cm="1">
        <f t="array" aca="1" ref="BP71" ca="1">_xll.d.TestUtils_IsTrue(_xll.d.Formatting_Equal(N71,AX71))</f>
        <v>OK</v>
      </c>
      <c r="BQ71" s="185" t="str" cm="1">
        <f t="array" aca="1" ref="BQ71" ca="1">_xll.d.TestUtils_IsTrue(_xll.d.Formatting_Equal(O71,AY71))</f>
        <v>OK</v>
      </c>
      <c r="BR71" s="185" t="str" cm="1">
        <f t="array" aca="1" ref="BR71" ca="1">_xll.d.TestUtils_IsTrue(_xll.d.Formatting_Equal(P71,AZ71))</f>
        <v>OK</v>
      </c>
      <c r="BS71" s="185" t="str" cm="1">
        <f t="array" aca="1" ref="BS71" ca="1">_xll.d.TestUtils_IsTrue(_xll.d.Formatting_Equal(Q71,BA71))</f>
        <v>OK</v>
      </c>
      <c r="BT71" s="185" t="str" cm="1">
        <f t="array" aca="1" ref="BT71" ca="1">_xll.d.TestUtils_IsTrue(_xll.d.Formatting_Equal(R71,BB71))</f>
        <v>OK</v>
      </c>
    </row>
    <row r="72" spans="2:72" x14ac:dyDescent="0.3">
      <c r="B72" s="91">
        <v>44593</v>
      </c>
      <c r="C72" s="91">
        <v>44593</v>
      </c>
      <c r="D72" s="91">
        <v>2000</v>
      </c>
      <c r="E72" s="91">
        <v>2000</v>
      </c>
      <c r="F72" s="91">
        <v>2000</v>
      </c>
      <c r="G72" s="91">
        <v>2000</v>
      </c>
      <c r="H72" s="91">
        <v>0.4</v>
      </c>
      <c r="I72" s="91">
        <v>0.4</v>
      </c>
      <c r="J72" s="91">
        <v>0.4</v>
      </c>
      <c r="K72" s="91">
        <v>0.4</v>
      </c>
      <c r="L72" s="91">
        <v>0.4</v>
      </c>
      <c r="M72" s="91">
        <v>0.4</v>
      </c>
      <c r="N72" s="91">
        <v>0.4</v>
      </c>
      <c r="O72" s="91">
        <v>0.4</v>
      </c>
      <c r="P72" s="91">
        <v>0.4</v>
      </c>
      <c r="Q72" s="91">
        <v>0.4</v>
      </c>
      <c r="R72" s="91">
        <v>0.4</v>
      </c>
      <c r="T72" s="129">
        <v>44593</v>
      </c>
      <c r="U72" s="132">
        <v>44593</v>
      </c>
      <c r="V72" s="111">
        <v>2000</v>
      </c>
      <c r="W72" s="114">
        <v>2000</v>
      </c>
      <c r="X72" s="117">
        <v>2000</v>
      </c>
      <c r="Y72" s="120">
        <v>2000</v>
      </c>
      <c r="Z72" s="123">
        <v>0.4</v>
      </c>
      <c r="AA72" s="123">
        <v>0.4</v>
      </c>
      <c r="AB72" s="123">
        <v>0.4</v>
      </c>
      <c r="AC72" s="123">
        <v>0.4</v>
      </c>
      <c r="AD72" s="123">
        <v>0.4</v>
      </c>
      <c r="AE72" s="123">
        <v>0.4</v>
      </c>
      <c r="AF72" s="123">
        <v>0.4</v>
      </c>
      <c r="AG72" s="123">
        <v>0.4</v>
      </c>
      <c r="AH72" s="123">
        <v>0.4</v>
      </c>
      <c r="AI72" s="123">
        <v>0.4</v>
      </c>
      <c r="AJ72" s="126">
        <v>0.4</v>
      </c>
      <c r="AL72" s="155">
        <v>44593</v>
      </c>
      <c r="AM72" s="155">
        <v>44593</v>
      </c>
      <c r="AN72" s="156">
        <v>2000</v>
      </c>
      <c r="AO72" s="156">
        <v>2000</v>
      </c>
      <c r="AP72" s="156">
        <v>2000</v>
      </c>
      <c r="AQ72" s="156">
        <v>2000</v>
      </c>
      <c r="AR72" s="155">
        <v>0.4</v>
      </c>
      <c r="AS72" s="155">
        <v>0.4</v>
      </c>
      <c r="AT72" s="155">
        <v>0.4</v>
      </c>
      <c r="AU72" s="155">
        <v>0.4</v>
      </c>
      <c r="AV72" s="155">
        <v>0.4</v>
      </c>
      <c r="AW72" s="155">
        <v>0.4</v>
      </c>
      <c r="AX72" s="155">
        <v>0.4</v>
      </c>
      <c r="AY72" s="155">
        <v>0.4</v>
      </c>
      <c r="AZ72" s="155">
        <v>0.4</v>
      </c>
      <c r="BA72" s="155">
        <v>0.4</v>
      </c>
      <c r="BB72" s="155">
        <v>0.4</v>
      </c>
      <c r="BD72" s="185" t="str" cm="1">
        <f t="array" aca="1" ref="BD72" ca="1">_xll.d.TestUtils_IsTrue(_xll.d.Formatting_Equal(B72,AL72))</f>
        <v>OK</v>
      </c>
      <c r="BE72" s="185" t="str" cm="1">
        <f t="array" aca="1" ref="BE72" ca="1">_xll.d.TestUtils_IsTrue(_xll.d.Formatting_Equal(C72,AM72))</f>
        <v>OK</v>
      </c>
      <c r="BF72" s="185" t="str" cm="1">
        <f t="array" aca="1" ref="BF72" ca="1">_xll.d.TestUtils_IsTrue(_xll.d.Formatting_Equal(D72,AN72))</f>
        <v>OK</v>
      </c>
      <c r="BG72" s="185" t="str" cm="1">
        <f t="array" aca="1" ref="BG72" ca="1">_xll.d.TestUtils_IsTrue(_xll.d.Formatting_Equal(E72,AO72))</f>
        <v>OK</v>
      </c>
      <c r="BH72" s="185" t="str" cm="1">
        <f t="array" aca="1" ref="BH72" ca="1">_xll.d.TestUtils_IsTrue(_xll.d.Formatting_Equal(F72,AP72))</f>
        <v>OK</v>
      </c>
      <c r="BI72" s="185" t="str" cm="1">
        <f t="array" aca="1" ref="BI72" ca="1">_xll.d.TestUtils_IsTrue(_xll.d.Formatting_Equal(G72,AQ72))</f>
        <v>OK</v>
      </c>
      <c r="BJ72" s="185" t="str" cm="1">
        <f t="array" aca="1" ref="BJ72" ca="1">_xll.d.TestUtils_IsTrue(_xll.d.Formatting_Equal(H72,AR72))</f>
        <v>OK</v>
      </c>
      <c r="BK72" s="185" t="str" cm="1">
        <f t="array" aca="1" ref="BK72" ca="1">_xll.d.TestUtils_IsTrue(_xll.d.Formatting_Equal(I72,AS72))</f>
        <v>OK</v>
      </c>
      <c r="BL72" s="185" t="str" cm="1">
        <f t="array" aca="1" ref="BL72" ca="1">_xll.d.TestUtils_IsTrue(_xll.d.Formatting_Equal(J72,AT72))</f>
        <v>OK</v>
      </c>
      <c r="BM72" s="185" t="str" cm="1">
        <f t="array" aca="1" ref="BM72" ca="1">_xll.d.TestUtils_IsTrue(_xll.d.Formatting_Equal(K72,AU72))</f>
        <v>OK</v>
      </c>
      <c r="BN72" s="185" t="str" cm="1">
        <f t="array" aca="1" ref="BN72" ca="1">_xll.d.TestUtils_IsTrue(_xll.d.Formatting_Equal(L72,AV72))</f>
        <v>OK</v>
      </c>
      <c r="BO72" s="185" t="str" cm="1">
        <f t="array" aca="1" ref="BO72" ca="1">_xll.d.TestUtils_IsTrue(_xll.d.Formatting_Equal(M72,AW72))</f>
        <v>OK</v>
      </c>
      <c r="BP72" s="185" t="str" cm="1">
        <f t="array" aca="1" ref="BP72" ca="1">_xll.d.TestUtils_IsTrue(_xll.d.Formatting_Equal(N72,AX72))</f>
        <v>OK</v>
      </c>
      <c r="BQ72" s="185" t="str" cm="1">
        <f t="array" aca="1" ref="BQ72" ca="1">_xll.d.TestUtils_IsTrue(_xll.d.Formatting_Equal(O72,AY72))</f>
        <v>OK</v>
      </c>
      <c r="BR72" s="185" t="str" cm="1">
        <f t="array" aca="1" ref="BR72" ca="1">_xll.d.TestUtils_IsTrue(_xll.d.Formatting_Equal(P72,AZ72))</f>
        <v>OK</v>
      </c>
      <c r="BS72" s="185" t="str" cm="1">
        <f t="array" aca="1" ref="BS72" ca="1">_xll.d.TestUtils_IsTrue(_xll.d.Formatting_Equal(Q72,BA72))</f>
        <v>OK</v>
      </c>
      <c r="BT72" s="185" t="str" cm="1">
        <f t="array" aca="1" ref="BT72" ca="1">_xll.d.TestUtils_IsTrue(_xll.d.Formatting_Equal(R72,BB72))</f>
        <v>OK</v>
      </c>
    </row>
    <row r="73" spans="2:72" x14ac:dyDescent="0.3">
      <c r="B73" s="91">
        <v>44621</v>
      </c>
      <c r="C73" s="91">
        <v>44621</v>
      </c>
      <c r="D73" s="91">
        <v>3000</v>
      </c>
      <c r="E73" s="91">
        <v>3000</v>
      </c>
      <c r="F73" s="91">
        <v>3000</v>
      </c>
      <c r="G73" s="91">
        <v>3000</v>
      </c>
      <c r="H73" s="91">
        <v>0.5</v>
      </c>
      <c r="I73" s="91">
        <v>0.5</v>
      </c>
      <c r="J73" s="91">
        <v>0.5</v>
      </c>
      <c r="K73" s="91">
        <v>0.5</v>
      </c>
      <c r="L73" s="91">
        <v>0.5</v>
      </c>
      <c r="M73" s="91">
        <v>0.5</v>
      </c>
      <c r="N73" s="91">
        <v>0.5</v>
      </c>
      <c r="O73" s="91">
        <v>0.5</v>
      </c>
      <c r="P73" s="91">
        <v>0.5</v>
      </c>
      <c r="Q73" s="91">
        <v>0.5</v>
      </c>
      <c r="R73" s="91">
        <v>0.5</v>
      </c>
      <c r="T73" s="130">
        <v>44621</v>
      </c>
      <c r="U73" s="133">
        <v>44621</v>
      </c>
      <c r="V73" s="112">
        <v>3000</v>
      </c>
      <c r="W73" s="115">
        <v>3000</v>
      </c>
      <c r="X73" s="118">
        <v>3000</v>
      </c>
      <c r="Y73" s="121">
        <v>3000</v>
      </c>
      <c r="Z73" s="124">
        <v>0.5</v>
      </c>
      <c r="AA73" s="124">
        <v>0.5</v>
      </c>
      <c r="AB73" s="124">
        <v>0.5</v>
      </c>
      <c r="AC73" s="124">
        <v>0.5</v>
      </c>
      <c r="AD73" s="124">
        <v>0.5</v>
      </c>
      <c r="AE73" s="124">
        <v>0.5</v>
      </c>
      <c r="AF73" s="124">
        <v>0.5</v>
      </c>
      <c r="AG73" s="124">
        <v>0.5</v>
      </c>
      <c r="AH73" s="124">
        <v>0.5</v>
      </c>
      <c r="AI73" s="124">
        <v>0.5</v>
      </c>
      <c r="AJ73" s="127">
        <v>0.5</v>
      </c>
      <c r="AL73" s="155">
        <v>44621</v>
      </c>
      <c r="AM73" s="155">
        <v>44621</v>
      </c>
      <c r="AN73" s="156">
        <v>3000</v>
      </c>
      <c r="AO73" s="156">
        <v>3000</v>
      </c>
      <c r="AP73" s="156">
        <v>3000</v>
      </c>
      <c r="AQ73" s="156">
        <v>3000</v>
      </c>
      <c r="AR73" s="155">
        <v>0.5</v>
      </c>
      <c r="AS73" s="155">
        <v>0.5</v>
      </c>
      <c r="AT73" s="155">
        <v>0.5</v>
      </c>
      <c r="AU73" s="155">
        <v>0.5</v>
      </c>
      <c r="AV73" s="155">
        <v>0.5</v>
      </c>
      <c r="AW73" s="155">
        <v>0.5</v>
      </c>
      <c r="AX73" s="155">
        <v>0.5</v>
      </c>
      <c r="AY73" s="155">
        <v>0.5</v>
      </c>
      <c r="AZ73" s="155">
        <v>0.5</v>
      </c>
      <c r="BA73" s="155">
        <v>0.5</v>
      </c>
      <c r="BB73" s="155">
        <v>0.5</v>
      </c>
      <c r="BD73" s="185" t="str" cm="1">
        <f t="array" aca="1" ref="BD73" ca="1">_xll.d.TestUtils_IsTrue(_xll.d.Formatting_Equal(B73,AL73))</f>
        <v>OK</v>
      </c>
      <c r="BE73" s="185" t="str" cm="1">
        <f t="array" aca="1" ref="BE73" ca="1">_xll.d.TestUtils_IsTrue(_xll.d.Formatting_Equal(C73,AM73))</f>
        <v>OK</v>
      </c>
      <c r="BF73" s="185" t="str" cm="1">
        <f t="array" aca="1" ref="BF73" ca="1">_xll.d.TestUtils_IsTrue(_xll.d.Formatting_Equal(D73,AN73))</f>
        <v>OK</v>
      </c>
      <c r="BG73" s="185" t="str" cm="1">
        <f t="array" aca="1" ref="BG73" ca="1">_xll.d.TestUtils_IsTrue(_xll.d.Formatting_Equal(E73,AO73))</f>
        <v>OK</v>
      </c>
      <c r="BH73" s="185" t="str" cm="1">
        <f t="array" aca="1" ref="BH73" ca="1">_xll.d.TestUtils_IsTrue(_xll.d.Formatting_Equal(F73,AP73))</f>
        <v>OK</v>
      </c>
      <c r="BI73" s="185" t="str" cm="1">
        <f t="array" aca="1" ref="BI73" ca="1">_xll.d.TestUtils_IsTrue(_xll.d.Formatting_Equal(G73,AQ73))</f>
        <v>OK</v>
      </c>
      <c r="BJ73" s="185" t="str" cm="1">
        <f t="array" aca="1" ref="BJ73" ca="1">_xll.d.TestUtils_IsTrue(_xll.d.Formatting_Equal(H73,AR73))</f>
        <v>OK</v>
      </c>
      <c r="BK73" s="185" t="str" cm="1">
        <f t="array" aca="1" ref="BK73" ca="1">_xll.d.TestUtils_IsTrue(_xll.d.Formatting_Equal(I73,AS73))</f>
        <v>OK</v>
      </c>
      <c r="BL73" s="185" t="str" cm="1">
        <f t="array" aca="1" ref="BL73" ca="1">_xll.d.TestUtils_IsTrue(_xll.d.Formatting_Equal(J73,AT73))</f>
        <v>OK</v>
      </c>
      <c r="BM73" s="185" t="str" cm="1">
        <f t="array" aca="1" ref="BM73" ca="1">_xll.d.TestUtils_IsTrue(_xll.d.Formatting_Equal(K73,AU73))</f>
        <v>OK</v>
      </c>
      <c r="BN73" s="185" t="str" cm="1">
        <f t="array" aca="1" ref="BN73" ca="1">_xll.d.TestUtils_IsTrue(_xll.d.Formatting_Equal(L73,AV73))</f>
        <v>OK</v>
      </c>
      <c r="BO73" s="185" t="str" cm="1">
        <f t="array" aca="1" ref="BO73" ca="1">_xll.d.TestUtils_IsTrue(_xll.d.Formatting_Equal(M73,AW73))</f>
        <v>OK</v>
      </c>
      <c r="BP73" s="185" t="str" cm="1">
        <f t="array" aca="1" ref="BP73" ca="1">_xll.d.TestUtils_IsTrue(_xll.d.Formatting_Equal(N73,AX73))</f>
        <v>OK</v>
      </c>
      <c r="BQ73" s="185" t="str" cm="1">
        <f t="array" aca="1" ref="BQ73" ca="1">_xll.d.TestUtils_IsTrue(_xll.d.Formatting_Equal(O73,AY73))</f>
        <v>OK</v>
      </c>
      <c r="BR73" s="185" t="str" cm="1">
        <f t="array" aca="1" ref="BR73" ca="1">_xll.d.TestUtils_IsTrue(_xll.d.Formatting_Equal(P73,AZ73))</f>
        <v>OK</v>
      </c>
      <c r="BS73" s="185" t="str" cm="1">
        <f t="array" aca="1" ref="BS73" ca="1">_xll.d.TestUtils_IsTrue(_xll.d.Formatting_Equal(Q73,BA73))</f>
        <v>OK</v>
      </c>
      <c r="BT73" s="185" t="str" cm="1">
        <f t="array" aca="1" ref="BT73" ca="1">_xll.d.TestUtils_IsTrue(_xll.d.Formatting_Equal(R73,BB73))</f>
        <v>OK</v>
      </c>
    </row>
    <row r="74" spans="2:72" x14ac:dyDescent="0.3">
      <c r="B74" s="64"/>
      <c r="C74" s="64"/>
    </row>
    <row r="75" spans="2:72" x14ac:dyDescent="0.3">
      <c r="B75" s="64"/>
      <c r="C75" s="64"/>
    </row>
    <row r="76" spans="2:72" ht="18" x14ac:dyDescent="0.35">
      <c r="B76" s="3" t="s">
        <v>118</v>
      </c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</row>
    <row r="78" spans="2:72" x14ac:dyDescent="0.3">
      <c r="B78" s="59" t="s">
        <v>136</v>
      </c>
      <c r="C78" s="185" t="str" cm="1">
        <f t="array" aca="1" ref="C78" ca="1">_xll.d.TestUtils_And(T93:X109)</f>
        <v>OK</v>
      </c>
    </row>
    <row r="80" spans="2:72" x14ac:dyDescent="0.3">
      <c r="B80" s="59" t="s">
        <v>116</v>
      </c>
      <c r="C80" s="59" t="s">
        <v>33</v>
      </c>
    </row>
    <row r="81" spans="2:24" x14ac:dyDescent="0.3">
      <c r="B81" s="98" t="s">
        <v>111</v>
      </c>
      <c r="C81" s="99" t="s">
        <v>131</v>
      </c>
    </row>
    <row r="82" spans="2:24" x14ac:dyDescent="0.3">
      <c r="B82" s="92" t="s">
        <v>112</v>
      </c>
      <c r="C82" s="93" t="s">
        <v>0</v>
      </c>
    </row>
    <row r="83" spans="2:24" x14ac:dyDescent="0.3">
      <c r="B83" s="94"/>
      <c r="C83" s="95" t="s">
        <v>113</v>
      </c>
    </row>
    <row r="84" spans="2:24" x14ac:dyDescent="0.3">
      <c r="B84" s="96"/>
      <c r="C84" s="97" t="s">
        <v>114</v>
      </c>
    </row>
    <row r="85" spans="2:24" x14ac:dyDescent="0.3">
      <c r="B85" s="166" t="s">
        <v>130</v>
      </c>
      <c r="C85" s="172">
        <v>0</v>
      </c>
    </row>
    <row r="86" spans="2:24" x14ac:dyDescent="0.3">
      <c r="B86" s="166" t="s">
        <v>131</v>
      </c>
      <c r="C86" s="172">
        <v>2</v>
      </c>
    </row>
    <row r="87" spans="2:24" x14ac:dyDescent="0.3">
      <c r="B87" s="149" t="s">
        <v>119</v>
      </c>
      <c r="C87" s="148"/>
    </row>
    <row r="89" spans="2:24" x14ac:dyDescent="0.3">
      <c r="B89" t="s">
        <v>95</v>
      </c>
    </row>
    <row r="91" spans="2:24" x14ac:dyDescent="0.3">
      <c r="B91" s="70" t="s">
        <v>92</v>
      </c>
      <c r="H91" s="70" t="s">
        <v>109</v>
      </c>
      <c r="N91" s="70" t="s">
        <v>110</v>
      </c>
      <c r="T91" s="70" t="s">
        <v>137</v>
      </c>
    </row>
    <row r="93" spans="2:24" ht="15" customHeight="1" x14ac:dyDescent="0.3">
      <c r="B93" s="487" t="s">
        <v>97</v>
      </c>
      <c r="C93" s="187" t="s">
        <v>35</v>
      </c>
      <c r="D93" s="181">
        <v>44562</v>
      </c>
      <c r="E93" s="183">
        <v>44593</v>
      </c>
      <c r="F93" s="200">
        <v>44621</v>
      </c>
      <c r="H93" s="100" t="s">
        <v>97</v>
      </c>
      <c r="I93" s="100" t="s">
        <v>35</v>
      </c>
      <c r="J93" s="135">
        <v>44562</v>
      </c>
      <c r="K93" s="135">
        <v>44593</v>
      </c>
      <c r="L93" s="135">
        <v>44621</v>
      </c>
      <c r="N93" s="487" t="s">
        <v>97</v>
      </c>
      <c r="O93" s="187" t="s">
        <v>35</v>
      </c>
      <c r="P93" s="181">
        <v>44562</v>
      </c>
      <c r="Q93" s="183">
        <v>44593</v>
      </c>
      <c r="R93" s="200">
        <v>44621</v>
      </c>
      <c r="T93" s="185" t="str" cm="1">
        <f t="array" aca="1" ref="T93" ca="1">_xll.d.TestUtils_IsTrue(_xll.d.Formatting_Equal(B93,N93))</f>
        <v>OK</v>
      </c>
      <c r="U93" s="185" t="str" cm="1">
        <f t="array" aca="1" ref="U93" ca="1">_xll.d.TestUtils_IsTrue(_xll.d.Formatting_Equal(C93,O93))</f>
        <v>OK</v>
      </c>
      <c r="V93" s="185" t="str" cm="1">
        <f t="array" aca="1" ref="V93" ca="1">_xll.d.TestUtils_IsTrue(_xll.d.Formatting_Equal(D93,P93))</f>
        <v>OK</v>
      </c>
      <c r="W93" s="185" t="str" cm="1">
        <f t="array" aca="1" ref="W93" ca="1">_xll.d.TestUtils_IsTrue(_xll.d.Formatting_Equal(E93,Q93))</f>
        <v>OK</v>
      </c>
      <c r="X93" s="185" t="str" cm="1">
        <f t="array" aca="1" ref="X93" ca="1">_xll.d.TestUtils_IsTrue(_xll.d.Formatting_Equal(F93,R93))</f>
        <v>OK</v>
      </c>
    </row>
    <row r="94" spans="2:24" x14ac:dyDescent="0.3">
      <c r="B94" s="488"/>
      <c r="C94" s="188" t="s">
        <v>0</v>
      </c>
      <c r="D94" s="182">
        <v>44562</v>
      </c>
      <c r="E94" s="184">
        <v>44593</v>
      </c>
      <c r="F94" s="201">
        <v>44621</v>
      </c>
      <c r="H94" s="100"/>
      <c r="I94" s="100" t="s">
        <v>0</v>
      </c>
      <c r="J94" s="135">
        <v>44562</v>
      </c>
      <c r="K94" s="135">
        <v>44593</v>
      </c>
      <c r="L94" s="135">
        <v>44621</v>
      </c>
      <c r="N94" s="488"/>
      <c r="O94" s="188" t="s">
        <v>0</v>
      </c>
      <c r="P94" s="182">
        <v>44562</v>
      </c>
      <c r="Q94" s="184">
        <v>44593</v>
      </c>
      <c r="R94" s="201">
        <v>44621</v>
      </c>
      <c r="T94" s="185" t="str" cm="1">
        <f t="array" aca="1" ref="T94" ca="1">_xll.d.TestUtils_IsTrue(_xll.d.Formatting_Equal(B94,N94))</f>
        <v>OK</v>
      </c>
      <c r="U94" s="185" t="str" cm="1">
        <f t="array" aca="1" ref="U94" ca="1">_xll.d.TestUtils_IsTrue(_xll.d.Formatting_Equal(C94,O94))</f>
        <v>OK</v>
      </c>
      <c r="V94" s="185" t="str" cm="1">
        <f t="array" aca="1" ref="V94" ca="1">_xll.d.TestUtils_IsTrue(_xll.d.Formatting_Equal(D94,P94))</f>
        <v>OK</v>
      </c>
      <c r="W94" s="185" t="str" cm="1">
        <f t="array" aca="1" ref="W94" ca="1">_xll.d.TestUtils_IsTrue(_xll.d.Formatting_Equal(E94,Q94))</f>
        <v>OK</v>
      </c>
      <c r="X94" s="185" t="str" cm="1">
        <f t="array" aca="1" ref="X94" ca="1">_xll.d.TestUtils_IsTrue(_xll.d.Formatting_Equal(F94,R94))</f>
        <v>OK</v>
      </c>
    </row>
    <row r="95" spans="2:24" x14ac:dyDescent="0.3">
      <c r="B95" s="488"/>
      <c r="C95" s="188" t="s">
        <v>98</v>
      </c>
      <c r="D95" s="190">
        <v>1000</v>
      </c>
      <c r="E95" s="173">
        <v>2000</v>
      </c>
      <c r="F95" s="191">
        <v>3000</v>
      </c>
      <c r="H95" s="100"/>
      <c r="I95" s="100" t="s">
        <v>98</v>
      </c>
      <c r="J95" s="135">
        <v>1000</v>
      </c>
      <c r="K95" s="135">
        <v>2000</v>
      </c>
      <c r="L95" s="135">
        <v>3000</v>
      </c>
      <c r="N95" s="488"/>
      <c r="O95" s="188" t="s">
        <v>98</v>
      </c>
      <c r="P95" s="190">
        <v>1000</v>
      </c>
      <c r="Q95" s="173">
        <v>2000</v>
      </c>
      <c r="R95" s="191">
        <v>3000</v>
      </c>
      <c r="T95" s="185" t="str" cm="1">
        <f t="array" aca="1" ref="T95" ca="1">_xll.d.TestUtils_IsTrue(_xll.d.Formatting_Equal(B95,N95))</f>
        <v>OK</v>
      </c>
      <c r="U95" s="185" t="str" cm="1">
        <f t="array" aca="1" ref="U95" ca="1">_xll.d.TestUtils_IsTrue(_xll.d.Formatting_Equal(C95,O95))</f>
        <v>OK</v>
      </c>
      <c r="V95" s="185" t="str" cm="1">
        <f t="array" aca="1" ref="V95" ca="1">_xll.d.TestUtils_IsTrue(_xll.d.Formatting_Equal(D95,P95))</f>
        <v>OK</v>
      </c>
      <c r="W95" s="185" t="str" cm="1">
        <f t="array" aca="1" ref="W95" ca="1">_xll.d.TestUtils_IsTrue(_xll.d.Formatting_Equal(E95,Q95))</f>
        <v>OK</v>
      </c>
      <c r="X95" s="185" t="str" cm="1">
        <f t="array" aca="1" ref="X95" ca="1">_xll.d.TestUtils_IsTrue(_xll.d.Formatting_Equal(F95,R95))</f>
        <v>OK</v>
      </c>
    </row>
    <row r="96" spans="2:24" x14ac:dyDescent="0.3">
      <c r="B96" s="488"/>
      <c r="C96" s="188" t="s">
        <v>99</v>
      </c>
      <c r="D96" s="192">
        <v>1000</v>
      </c>
      <c r="E96" s="174">
        <v>2000</v>
      </c>
      <c r="F96" s="193">
        <v>3000</v>
      </c>
      <c r="H96" s="100"/>
      <c r="I96" s="100" t="s">
        <v>99</v>
      </c>
      <c r="J96" s="135">
        <v>1000</v>
      </c>
      <c r="K96" s="135">
        <v>2000</v>
      </c>
      <c r="L96" s="135">
        <v>3000</v>
      </c>
      <c r="N96" s="488"/>
      <c r="O96" s="188" t="s">
        <v>99</v>
      </c>
      <c r="P96" s="192">
        <v>1000</v>
      </c>
      <c r="Q96" s="174">
        <v>2000</v>
      </c>
      <c r="R96" s="193">
        <v>3000</v>
      </c>
      <c r="T96" s="185" t="str" cm="1">
        <f t="array" aca="1" ref="T96" ca="1">_xll.d.TestUtils_IsTrue(_xll.d.Formatting_Equal(B96,N96))</f>
        <v>OK</v>
      </c>
      <c r="U96" s="185" t="str" cm="1">
        <f t="array" aca="1" ref="U96" ca="1">_xll.d.TestUtils_IsTrue(_xll.d.Formatting_Equal(C96,O96))</f>
        <v>OK</v>
      </c>
      <c r="V96" s="185" t="str" cm="1">
        <f t="array" aca="1" ref="V96" ca="1">_xll.d.TestUtils_IsTrue(_xll.d.Formatting_Equal(D96,P96))</f>
        <v>OK</v>
      </c>
      <c r="W96" s="185" t="str" cm="1">
        <f t="array" aca="1" ref="W96" ca="1">_xll.d.TestUtils_IsTrue(_xll.d.Formatting_Equal(E96,Q96))</f>
        <v>OK</v>
      </c>
      <c r="X96" s="185" t="str" cm="1">
        <f t="array" aca="1" ref="X96" ca="1">_xll.d.TestUtils_IsTrue(_xll.d.Formatting_Equal(F96,R96))</f>
        <v>OK</v>
      </c>
    </row>
    <row r="97" spans="2:55" x14ac:dyDescent="0.3">
      <c r="B97" s="488"/>
      <c r="C97" s="188" t="s">
        <v>100</v>
      </c>
      <c r="D97" s="194">
        <v>1000</v>
      </c>
      <c r="E97" s="175">
        <v>2000</v>
      </c>
      <c r="F97" s="195">
        <v>3000</v>
      </c>
      <c r="H97" s="100"/>
      <c r="I97" s="100" t="s">
        <v>100</v>
      </c>
      <c r="J97" s="135">
        <v>1000</v>
      </c>
      <c r="K97" s="135">
        <v>2000</v>
      </c>
      <c r="L97" s="135">
        <v>3000</v>
      </c>
      <c r="N97" s="488"/>
      <c r="O97" s="188" t="s">
        <v>100</v>
      </c>
      <c r="P97" s="194">
        <v>1000</v>
      </c>
      <c r="Q97" s="175">
        <v>2000</v>
      </c>
      <c r="R97" s="195">
        <v>3000</v>
      </c>
      <c r="T97" s="185" t="str" cm="1">
        <f t="array" aca="1" ref="T97" ca="1">_xll.d.TestUtils_IsTrue(_xll.d.Formatting_Equal(B97,N97))</f>
        <v>OK</v>
      </c>
      <c r="U97" s="185" t="str" cm="1">
        <f t="array" aca="1" ref="U97" ca="1">_xll.d.TestUtils_IsTrue(_xll.d.Formatting_Equal(C97,O97))</f>
        <v>OK</v>
      </c>
      <c r="V97" s="185" t="str" cm="1">
        <f t="array" aca="1" ref="V97" ca="1">_xll.d.TestUtils_IsTrue(_xll.d.Formatting_Equal(D97,P97))</f>
        <v>OK</v>
      </c>
      <c r="W97" s="185" t="str" cm="1">
        <f t="array" aca="1" ref="W97" ca="1">_xll.d.TestUtils_IsTrue(_xll.d.Formatting_Equal(E97,Q97))</f>
        <v>OK</v>
      </c>
      <c r="X97" s="185" t="str" cm="1">
        <f t="array" aca="1" ref="X97" ca="1">_xll.d.TestUtils_IsTrue(_xll.d.Formatting_Equal(F97,R97))</f>
        <v>OK</v>
      </c>
    </row>
    <row r="98" spans="2:55" x14ac:dyDescent="0.3">
      <c r="B98" s="488"/>
      <c r="C98" s="188" t="s">
        <v>101</v>
      </c>
      <c r="D98" s="196">
        <v>1000</v>
      </c>
      <c r="E98" s="176">
        <v>2000</v>
      </c>
      <c r="F98" s="197">
        <v>3000</v>
      </c>
      <c r="H98" s="100"/>
      <c r="I98" s="100" t="s">
        <v>101</v>
      </c>
      <c r="J98" s="135">
        <v>1000</v>
      </c>
      <c r="K98" s="135">
        <v>2000</v>
      </c>
      <c r="L98" s="135">
        <v>3000</v>
      </c>
      <c r="N98" s="488"/>
      <c r="O98" s="188" t="s">
        <v>101</v>
      </c>
      <c r="P98" s="196">
        <v>1000</v>
      </c>
      <c r="Q98" s="176">
        <v>2000</v>
      </c>
      <c r="R98" s="197">
        <v>3000</v>
      </c>
      <c r="T98" s="185" t="str" cm="1">
        <f t="array" aca="1" ref="T98" ca="1">_xll.d.TestUtils_IsTrue(_xll.d.Formatting_Equal(B98,N98))</f>
        <v>OK</v>
      </c>
      <c r="U98" s="185" t="str" cm="1">
        <f t="array" aca="1" ref="U98" ca="1">_xll.d.TestUtils_IsTrue(_xll.d.Formatting_Equal(C98,O98))</f>
        <v>OK</v>
      </c>
      <c r="V98" s="185" t="str" cm="1">
        <f t="array" aca="1" ref="V98" ca="1">_xll.d.TestUtils_IsTrue(_xll.d.Formatting_Equal(D98,P98))</f>
        <v>OK</v>
      </c>
      <c r="W98" s="185" t="str" cm="1">
        <f t="array" aca="1" ref="W98" ca="1">_xll.d.TestUtils_IsTrue(_xll.d.Formatting_Equal(E98,Q98))</f>
        <v>OK</v>
      </c>
      <c r="X98" s="185" t="str" cm="1">
        <f t="array" aca="1" ref="X98" ca="1">_xll.d.TestUtils_IsTrue(_xll.d.Formatting_Equal(F98,R98))</f>
        <v>OK</v>
      </c>
    </row>
    <row r="99" spans="2:55" x14ac:dyDescent="0.3">
      <c r="B99" s="488"/>
      <c r="C99" s="188" t="s">
        <v>102</v>
      </c>
      <c r="D99" s="198">
        <v>0.3</v>
      </c>
      <c r="E99" s="177">
        <v>0.4</v>
      </c>
      <c r="F99" s="179">
        <v>0.5</v>
      </c>
      <c r="H99" s="100"/>
      <c r="I99" s="100" t="s">
        <v>102</v>
      </c>
      <c r="J99" s="134">
        <v>0.3</v>
      </c>
      <c r="K99" s="134">
        <v>0.4</v>
      </c>
      <c r="L99" s="134">
        <v>0.5</v>
      </c>
      <c r="N99" s="488"/>
      <c r="O99" s="188" t="s">
        <v>102</v>
      </c>
      <c r="P99" s="198">
        <v>0.3</v>
      </c>
      <c r="Q99" s="177">
        <v>0.4</v>
      </c>
      <c r="R99" s="179">
        <v>0.5</v>
      </c>
      <c r="T99" s="185" t="str" cm="1">
        <f t="array" aca="1" ref="T99" ca="1">_xll.d.TestUtils_IsTrue(_xll.d.Formatting_Equal(B99,N99))</f>
        <v>OK</v>
      </c>
      <c r="U99" s="185" t="str" cm="1">
        <f t="array" aca="1" ref="U99" ca="1">_xll.d.TestUtils_IsTrue(_xll.d.Formatting_Equal(C99,O99))</f>
        <v>OK</v>
      </c>
      <c r="V99" s="185" t="str" cm="1">
        <f t="array" aca="1" ref="V99" ca="1">_xll.d.TestUtils_IsTrue(_xll.d.Formatting_Equal(D99,P99))</f>
        <v>OK</v>
      </c>
      <c r="W99" s="185" t="str" cm="1">
        <f t="array" aca="1" ref="W99" ca="1">_xll.d.TestUtils_IsTrue(_xll.d.Formatting_Equal(E99,Q99))</f>
        <v>OK</v>
      </c>
      <c r="X99" s="185" t="str" cm="1">
        <f t="array" aca="1" ref="X99" ca="1">_xll.d.TestUtils_IsTrue(_xll.d.Formatting_Equal(F99,R99))</f>
        <v>OK</v>
      </c>
    </row>
    <row r="100" spans="2:55" x14ac:dyDescent="0.3">
      <c r="B100" s="488"/>
      <c r="C100" s="188" t="s">
        <v>81</v>
      </c>
      <c r="D100" s="198">
        <v>0.3</v>
      </c>
      <c r="E100" s="177">
        <v>0.4</v>
      </c>
      <c r="F100" s="179">
        <v>0.5</v>
      </c>
      <c r="H100" s="100"/>
      <c r="I100" s="100" t="s">
        <v>81</v>
      </c>
      <c r="J100" s="134">
        <v>0.3</v>
      </c>
      <c r="K100" s="134">
        <v>0.4</v>
      </c>
      <c r="L100" s="134">
        <v>0.5</v>
      </c>
      <c r="N100" s="488"/>
      <c r="O100" s="188" t="s">
        <v>81</v>
      </c>
      <c r="P100" s="198">
        <v>0.3</v>
      </c>
      <c r="Q100" s="177">
        <v>0.4</v>
      </c>
      <c r="R100" s="179">
        <v>0.5</v>
      </c>
      <c r="T100" s="185" t="str" cm="1">
        <f t="array" aca="1" ref="T100" ca="1">_xll.d.TestUtils_IsTrue(_xll.d.Formatting_Equal(B100,N100))</f>
        <v>OK</v>
      </c>
      <c r="U100" s="185" t="str" cm="1">
        <f t="array" aca="1" ref="U100" ca="1">_xll.d.TestUtils_IsTrue(_xll.d.Formatting_Equal(C100,O100))</f>
        <v>OK</v>
      </c>
      <c r="V100" s="185" t="str" cm="1">
        <f t="array" aca="1" ref="V100" ca="1">_xll.d.TestUtils_IsTrue(_xll.d.Formatting_Equal(D100,P100))</f>
        <v>OK</v>
      </c>
      <c r="W100" s="185" t="str" cm="1">
        <f t="array" aca="1" ref="W100" ca="1">_xll.d.TestUtils_IsTrue(_xll.d.Formatting_Equal(E100,Q100))</f>
        <v>OK</v>
      </c>
      <c r="X100" s="185" t="str" cm="1">
        <f t="array" aca="1" ref="X100" ca="1">_xll.d.TestUtils_IsTrue(_xll.d.Formatting_Equal(F100,R100))</f>
        <v>OK</v>
      </c>
    </row>
    <row r="101" spans="2:55" x14ac:dyDescent="0.3">
      <c r="B101" s="488"/>
      <c r="C101" s="188" t="s">
        <v>82</v>
      </c>
      <c r="D101" s="198">
        <v>0.3</v>
      </c>
      <c r="E101" s="177">
        <v>0.4</v>
      </c>
      <c r="F101" s="179">
        <v>0.5</v>
      </c>
      <c r="H101" s="100"/>
      <c r="I101" s="100" t="s">
        <v>82</v>
      </c>
      <c r="J101" s="134">
        <v>0.3</v>
      </c>
      <c r="K101" s="134">
        <v>0.4</v>
      </c>
      <c r="L101" s="134">
        <v>0.5</v>
      </c>
      <c r="N101" s="488"/>
      <c r="O101" s="188" t="s">
        <v>82</v>
      </c>
      <c r="P101" s="198">
        <v>0.3</v>
      </c>
      <c r="Q101" s="177">
        <v>0.4</v>
      </c>
      <c r="R101" s="179">
        <v>0.5</v>
      </c>
      <c r="T101" s="185" t="str" cm="1">
        <f t="array" aca="1" ref="T101" ca="1">_xll.d.TestUtils_IsTrue(_xll.d.Formatting_Equal(B101,N101))</f>
        <v>OK</v>
      </c>
      <c r="U101" s="185" t="str" cm="1">
        <f t="array" aca="1" ref="U101" ca="1">_xll.d.TestUtils_IsTrue(_xll.d.Formatting_Equal(C101,O101))</f>
        <v>OK</v>
      </c>
      <c r="V101" s="185" t="str" cm="1">
        <f t="array" aca="1" ref="V101" ca="1">_xll.d.TestUtils_IsTrue(_xll.d.Formatting_Equal(D101,P101))</f>
        <v>OK</v>
      </c>
      <c r="W101" s="185" t="str" cm="1">
        <f t="array" aca="1" ref="W101" ca="1">_xll.d.TestUtils_IsTrue(_xll.d.Formatting_Equal(E101,Q101))</f>
        <v>OK</v>
      </c>
      <c r="X101" s="185" t="str" cm="1">
        <f t="array" aca="1" ref="X101" ca="1">_xll.d.TestUtils_IsTrue(_xll.d.Formatting_Equal(F101,R101))</f>
        <v>OK</v>
      </c>
    </row>
    <row r="102" spans="2:55" x14ac:dyDescent="0.3">
      <c r="B102" s="488"/>
      <c r="C102" s="188" t="s">
        <v>83</v>
      </c>
      <c r="D102" s="198">
        <v>0.3</v>
      </c>
      <c r="E102" s="177">
        <v>0.4</v>
      </c>
      <c r="F102" s="179">
        <v>0.5</v>
      </c>
      <c r="H102" s="100"/>
      <c r="I102" s="100" t="s">
        <v>83</v>
      </c>
      <c r="J102" s="134">
        <v>0.3</v>
      </c>
      <c r="K102" s="134">
        <v>0.4</v>
      </c>
      <c r="L102" s="134">
        <v>0.5</v>
      </c>
      <c r="N102" s="488"/>
      <c r="O102" s="188" t="s">
        <v>83</v>
      </c>
      <c r="P102" s="198">
        <v>0.3</v>
      </c>
      <c r="Q102" s="177">
        <v>0.4</v>
      </c>
      <c r="R102" s="179">
        <v>0.5</v>
      </c>
      <c r="T102" s="185" t="str" cm="1">
        <f t="array" aca="1" ref="T102" ca="1">_xll.d.TestUtils_IsTrue(_xll.d.Formatting_Equal(B102,N102))</f>
        <v>OK</v>
      </c>
      <c r="U102" s="185" t="str" cm="1">
        <f t="array" aca="1" ref="U102" ca="1">_xll.d.TestUtils_IsTrue(_xll.d.Formatting_Equal(C102,O102))</f>
        <v>OK</v>
      </c>
      <c r="V102" s="185" t="str" cm="1">
        <f t="array" aca="1" ref="V102" ca="1">_xll.d.TestUtils_IsTrue(_xll.d.Formatting_Equal(D102,P102))</f>
        <v>OK</v>
      </c>
      <c r="W102" s="185" t="str" cm="1">
        <f t="array" aca="1" ref="W102" ca="1">_xll.d.TestUtils_IsTrue(_xll.d.Formatting_Equal(E102,Q102))</f>
        <v>OK</v>
      </c>
      <c r="X102" s="185" t="str" cm="1">
        <f t="array" aca="1" ref="X102" ca="1">_xll.d.TestUtils_IsTrue(_xll.d.Formatting_Equal(F102,R102))</f>
        <v>OK</v>
      </c>
    </row>
    <row r="103" spans="2:55" x14ac:dyDescent="0.3">
      <c r="B103" s="488"/>
      <c r="C103" s="188" t="s">
        <v>103</v>
      </c>
      <c r="D103" s="198">
        <v>0.3</v>
      </c>
      <c r="E103" s="177">
        <v>0.4</v>
      </c>
      <c r="F103" s="179">
        <v>0.5</v>
      </c>
      <c r="H103" s="100"/>
      <c r="I103" s="100" t="s">
        <v>103</v>
      </c>
      <c r="J103" s="134">
        <v>0.3</v>
      </c>
      <c r="K103" s="134">
        <v>0.4</v>
      </c>
      <c r="L103" s="134">
        <v>0.5</v>
      </c>
      <c r="N103" s="488"/>
      <c r="O103" s="188" t="s">
        <v>103</v>
      </c>
      <c r="P103" s="198">
        <v>0.3</v>
      </c>
      <c r="Q103" s="177">
        <v>0.4</v>
      </c>
      <c r="R103" s="179">
        <v>0.5</v>
      </c>
      <c r="T103" s="185" t="str" cm="1">
        <f t="array" aca="1" ref="T103" ca="1">_xll.d.TestUtils_IsTrue(_xll.d.Formatting_Equal(B103,N103))</f>
        <v>OK</v>
      </c>
      <c r="U103" s="185" t="str" cm="1">
        <f t="array" aca="1" ref="U103" ca="1">_xll.d.TestUtils_IsTrue(_xll.d.Formatting_Equal(C103,O103))</f>
        <v>OK</v>
      </c>
      <c r="V103" s="185" t="str" cm="1">
        <f t="array" aca="1" ref="V103" ca="1">_xll.d.TestUtils_IsTrue(_xll.d.Formatting_Equal(D103,P103))</f>
        <v>OK</v>
      </c>
      <c r="W103" s="185" t="str" cm="1">
        <f t="array" aca="1" ref="W103" ca="1">_xll.d.TestUtils_IsTrue(_xll.d.Formatting_Equal(E103,Q103))</f>
        <v>OK</v>
      </c>
      <c r="X103" s="185" t="str" cm="1">
        <f t="array" aca="1" ref="X103" ca="1">_xll.d.TestUtils_IsTrue(_xll.d.Formatting_Equal(F103,R103))</f>
        <v>OK</v>
      </c>
    </row>
    <row r="104" spans="2:55" x14ac:dyDescent="0.3">
      <c r="B104" s="488"/>
      <c r="C104" s="188" t="s">
        <v>25</v>
      </c>
      <c r="D104" s="198">
        <v>0.3</v>
      </c>
      <c r="E104" s="177">
        <v>0.4</v>
      </c>
      <c r="F104" s="179">
        <v>0.5</v>
      </c>
      <c r="H104" s="100"/>
      <c r="I104" s="100" t="s">
        <v>25</v>
      </c>
      <c r="J104" s="134">
        <v>0.3</v>
      </c>
      <c r="K104" s="134">
        <v>0.4</v>
      </c>
      <c r="L104" s="134">
        <v>0.5</v>
      </c>
      <c r="N104" s="488"/>
      <c r="O104" s="188" t="s">
        <v>25</v>
      </c>
      <c r="P104" s="198">
        <v>0.3</v>
      </c>
      <c r="Q104" s="177">
        <v>0.4</v>
      </c>
      <c r="R104" s="179">
        <v>0.5</v>
      </c>
      <c r="T104" s="185" t="str" cm="1">
        <f t="array" aca="1" ref="T104" ca="1">_xll.d.TestUtils_IsTrue(_xll.d.Formatting_Equal(B104,N104))</f>
        <v>OK</v>
      </c>
      <c r="U104" s="185" t="str" cm="1">
        <f t="array" aca="1" ref="U104" ca="1">_xll.d.TestUtils_IsTrue(_xll.d.Formatting_Equal(C104,O104))</f>
        <v>OK</v>
      </c>
      <c r="V104" s="185" t="str" cm="1">
        <f t="array" aca="1" ref="V104" ca="1">_xll.d.TestUtils_IsTrue(_xll.d.Formatting_Equal(D104,P104))</f>
        <v>OK</v>
      </c>
      <c r="W104" s="185" t="str" cm="1">
        <f t="array" aca="1" ref="W104" ca="1">_xll.d.TestUtils_IsTrue(_xll.d.Formatting_Equal(E104,Q104))</f>
        <v>OK</v>
      </c>
      <c r="X104" s="185" t="str" cm="1">
        <f t="array" aca="1" ref="X104" ca="1">_xll.d.TestUtils_IsTrue(_xll.d.Formatting_Equal(F104,R104))</f>
        <v>OK</v>
      </c>
    </row>
    <row r="105" spans="2:55" x14ac:dyDescent="0.3">
      <c r="B105" s="488"/>
      <c r="C105" s="188" t="s">
        <v>40</v>
      </c>
      <c r="D105" s="198">
        <v>0.3</v>
      </c>
      <c r="E105" s="177">
        <v>0.4</v>
      </c>
      <c r="F105" s="179">
        <v>0.5</v>
      </c>
      <c r="H105" s="100"/>
      <c r="I105" s="100" t="s">
        <v>40</v>
      </c>
      <c r="J105" s="134">
        <v>0.3</v>
      </c>
      <c r="K105" s="134">
        <v>0.4</v>
      </c>
      <c r="L105" s="134">
        <v>0.5</v>
      </c>
      <c r="N105" s="488"/>
      <c r="O105" s="188" t="s">
        <v>40</v>
      </c>
      <c r="P105" s="198">
        <v>0.3</v>
      </c>
      <c r="Q105" s="177">
        <v>0.4</v>
      </c>
      <c r="R105" s="179">
        <v>0.5</v>
      </c>
      <c r="T105" s="185" t="str" cm="1">
        <f t="array" aca="1" ref="T105" ca="1">_xll.d.TestUtils_IsTrue(_xll.d.Formatting_Equal(B105,N105))</f>
        <v>OK</v>
      </c>
      <c r="U105" s="185" t="str" cm="1">
        <f t="array" aca="1" ref="U105" ca="1">_xll.d.TestUtils_IsTrue(_xll.d.Formatting_Equal(C105,O105))</f>
        <v>OK</v>
      </c>
      <c r="V105" s="185" t="str" cm="1">
        <f t="array" aca="1" ref="V105" ca="1">_xll.d.TestUtils_IsTrue(_xll.d.Formatting_Equal(D105,P105))</f>
        <v>OK</v>
      </c>
      <c r="W105" s="185" t="str" cm="1">
        <f t="array" aca="1" ref="W105" ca="1">_xll.d.TestUtils_IsTrue(_xll.d.Formatting_Equal(E105,Q105))</f>
        <v>OK</v>
      </c>
      <c r="X105" s="185" t="str" cm="1">
        <f t="array" aca="1" ref="X105" ca="1">_xll.d.TestUtils_IsTrue(_xll.d.Formatting_Equal(F105,R105))</f>
        <v>OK</v>
      </c>
    </row>
    <row r="106" spans="2:55" x14ac:dyDescent="0.3">
      <c r="B106" s="488"/>
      <c r="C106" s="188" t="s">
        <v>104</v>
      </c>
      <c r="D106" s="198">
        <v>0.3</v>
      </c>
      <c r="E106" s="177">
        <v>0.4</v>
      </c>
      <c r="F106" s="179">
        <v>0.5</v>
      </c>
      <c r="H106" s="100"/>
      <c r="I106" s="100" t="s">
        <v>104</v>
      </c>
      <c r="J106" s="134">
        <v>0.3</v>
      </c>
      <c r="K106" s="134">
        <v>0.4</v>
      </c>
      <c r="L106" s="134">
        <v>0.5</v>
      </c>
      <c r="N106" s="488"/>
      <c r="O106" s="188" t="s">
        <v>104</v>
      </c>
      <c r="P106" s="198">
        <v>0.3</v>
      </c>
      <c r="Q106" s="177">
        <v>0.4</v>
      </c>
      <c r="R106" s="179">
        <v>0.5</v>
      </c>
      <c r="T106" s="185" t="str" cm="1">
        <f t="array" aca="1" ref="T106" ca="1">_xll.d.TestUtils_IsTrue(_xll.d.Formatting_Equal(B106,N106))</f>
        <v>OK</v>
      </c>
      <c r="U106" s="185" t="str" cm="1">
        <f t="array" aca="1" ref="U106" ca="1">_xll.d.TestUtils_IsTrue(_xll.d.Formatting_Equal(C106,O106))</f>
        <v>OK</v>
      </c>
      <c r="V106" s="185" t="str" cm="1">
        <f t="array" aca="1" ref="V106" ca="1">_xll.d.TestUtils_IsTrue(_xll.d.Formatting_Equal(D106,P106))</f>
        <v>OK</v>
      </c>
      <c r="W106" s="185" t="str" cm="1">
        <f t="array" aca="1" ref="W106" ca="1">_xll.d.TestUtils_IsTrue(_xll.d.Formatting_Equal(E106,Q106))</f>
        <v>OK</v>
      </c>
      <c r="X106" s="185" t="str" cm="1">
        <f t="array" aca="1" ref="X106" ca="1">_xll.d.TestUtils_IsTrue(_xll.d.Formatting_Equal(F106,R106))</f>
        <v>OK</v>
      </c>
    </row>
    <row r="107" spans="2:55" x14ac:dyDescent="0.3">
      <c r="B107" s="488"/>
      <c r="C107" s="188" t="s">
        <v>96</v>
      </c>
      <c r="D107" s="198">
        <v>0.3</v>
      </c>
      <c r="E107" s="177">
        <v>0.4</v>
      </c>
      <c r="F107" s="179">
        <v>0.5</v>
      </c>
      <c r="H107" s="100"/>
      <c r="I107" s="100" t="s">
        <v>96</v>
      </c>
      <c r="J107" s="134">
        <v>0.3</v>
      </c>
      <c r="K107" s="134">
        <v>0.4</v>
      </c>
      <c r="L107" s="134">
        <v>0.5</v>
      </c>
      <c r="N107" s="488"/>
      <c r="O107" s="188" t="s">
        <v>96</v>
      </c>
      <c r="P107" s="198">
        <v>0.3</v>
      </c>
      <c r="Q107" s="177">
        <v>0.4</v>
      </c>
      <c r="R107" s="179">
        <v>0.5</v>
      </c>
      <c r="T107" s="185" t="str" cm="1">
        <f t="array" aca="1" ref="T107" ca="1">_xll.d.TestUtils_IsTrue(_xll.d.Formatting_Equal(B107,N107))</f>
        <v>OK</v>
      </c>
      <c r="U107" s="185" t="str" cm="1">
        <f t="array" aca="1" ref="U107" ca="1">_xll.d.TestUtils_IsTrue(_xll.d.Formatting_Equal(C107,O107))</f>
        <v>OK</v>
      </c>
      <c r="V107" s="185" t="str" cm="1">
        <f t="array" aca="1" ref="V107" ca="1">_xll.d.TestUtils_IsTrue(_xll.d.Formatting_Equal(D107,P107))</f>
        <v>OK</v>
      </c>
      <c r="W107" s="185" t="str" cm="1">
        <f t="array" aca="1" ref="W107" ca="1">_xll.d.TestUtils_IsTrue(_xll.d.Formatting_Equal(E107,Q107))</f>
        <v>OK</v>
      </c>
      <c r="X107" s="185" t="str" cm="1">
        <f t="array" aca="1" ref="X107" ca="1">_xll.d.TestUtils_IsTrue(_xll.d.Formatting_Equal(F107,R107))</f>
        <v>OK</v>
      </c>
    </row>
    <row r="108" spans="2:55" x14ac:dyDescent="0.3">
      <c r="B108" s="488"/>
      <c r="C108" s="188" t="s">
        <v>106</v>
      </c>
      <c r="D108" s="198">
        <v>0.3</v>
      </c>
      <c r="E108" s="177">
        <v>0.4</v>
      </c>
      <c r="F108" s="179">
        <v>0.5</v>
      </c>
      <c r="H108" s="100"/>
      <c r="I108" s="100" t="s">
        <v>106</v>
      </c>
      <c r="J108" s="134">
        <v>0.3</v>
      </c>
      <c r="K108" s="134">
        <v>0.4</v>
      </c>
      <c r="L108" s="134">
        <v>0.5</v>
      </c>
      <c r="N108" s="488"/>
      <c r="O108" s="188" t="s">
        <v>106</v>
      </c>
      <c r="P108" s="198">
        <v>0.3</v>
      </c>
      <c r="Q108" s="177">
        <v>0.4</v>
      </c>
      <c r="R108" s="179">
        <v>0.5</v>
      </c>
      <c r="T108" s="185" t="str" cm="1">
        <f t="array" aca="1" ref="T108" ca="1">_xll.d.TestUtils_IsTrue(_xll.d.Formatting_Equal(B108,N108))</f>
        <v>OK</v>
      </c>
      <c r="U108" s="185" t="str" cm="1">
        <f t="array" aca="1" ref="U108" ca="1">_xll.d.TestUtils_IsTrue(_xll.d.Formatting_Equal(C108,O108))</f>
        <v>OK</v>
      </c>
      <c r="V108" s="185" t="str" cm="1">
        <f t="array" aca="1" ref="V108" ca="1">_xll.d.TestUtils_IsTrue(_xll.d.Formatting_Equal(D108,P108))</f>
        <v>OK</v>
      </c>
      <c r="W108" s="185" t="str" cm="1">
        <f t="array" aca="1" ref="W108" ca="1">_xll.d.TestUtils_IsTrue(_xll.d.Formatting_Equal(E108,Q108))</f>
        <v>OK</v>
      </c>
      <c r="X108" s="185" t="str" cm="1">
        <f t="array" aca="1" ref="X108" ca="1">_xll.d.TestUtils_IsTrue(_xll.d.Formatting_Equal(F108,R108))</f>
        <v>OK</v>
      </c>
    </row>
    <row r="109" spans="2:55" x14ac:dyDescent="0.3">
      <c r="B109" s="489"/>
      <c r="C109" s="189" t="s">
        <v>105</v>
      </c>
      <c r="D109" s="199">
        <v>0.3</v>
      </c>
      <c r="E109" s="178">
        <v>0.4</v>
      </c>
      <c r="F109" s="180">
        <v>0.5</v>
      </c>
      <c r="H109" s="100"/>
      <c r="I109" s="100" t="s">
        <v>105</v>
      </c>
      <c r="J109" s="134">
        <v>0.3</v>
      </c>
      <c r="K109" s="134">
        <v>0.4</v>
      </c>
      <c r="L109" s="134">
        <v>0.5</v>
      </c>
      <c r="N109" s="489"/>
      <c r="O109" s="189" t="s">
        <v>105</v>
      </c>
      <c r="P109" s="199">
        <v>0.3</v>
      </c>
      <c r="Q109" s="178">
        <v>0.4</v>
      </c>
      <c r="R109" s="180">
        <v>0.5</v>
      </c>
      <c r="T109" s="185" t="str" cm="1">
        <f t="array" aca="1" ref="T109" ca="1">_xll.d.TestUtils_IsTrue(_xll.d.Formatting_Equal(B109,N109))</f>
        <v>OK</v>
      </c>
      <c r="U109" s="185" t="str" cm="1">
        <f t="array" aca="1" ref="U109" ca="1">_xll.d.TestUtils_IsTrue(_xll.d.Formatting_Equal(C109,O109))</f>
        <v>OK</v>
      </c>
      <c r="V109" s="185" t="str" cm="1">
        <f t="array" aca="1" ref="V109" ca="1">_xll.d.TestUtils_IsTrue(_xll.d.Formatting_Equal(D109,P109))</f>
        <v>OK</v>
      </c>
      <c r="W109" s="185" t="str" cm="1">
        <f t="array" aca="1" ref="W109" ca="1">_xll.d.TestUtils_IsTrue(_xll.d.Formatting_Equal(E109,Q109))</f>
        <v>OK</v>
      </c>
      <c r="X109" s="185" t="str" cm="1">
        <f t="array" aca="1" ref="X109" ca="1">_xll.d.TestUtils_IsTrue(_xll.d.Formatting_Equal(F109,R109))</f>
        <v>OK</v>
      </c>
    </row>
    <row r="112" spans="2:55" ht="18" x14ac:dyDescent="0.35">
      <c r="B112" s="3" t="s">
        <v>121</v>
      </c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</row>
    <row r="114" spans="2:20" x14ac:dyDescent="0.3">
      <c r="B114" s="59" t="s">
        <v>136</v>
      </c>
      <c r="C114" s="185" t="str" cm="1">
        <f t="array" aca="1" ref="C114" ca="1">_xll.d.TestUtils_And(T129:X145)</f>
        <v>OK</v>
      </c>
    </row>
    <row r="116" spans="2:20" x14ac:dyDescent="0.3">
      <c r="B116" s="59" t="s">
        <v>116</v>
      </c>
      <c r="C116" s="59" t="s">
        <v>33</v>
      </c>
    </row>
    <row r="117" spans="2:20" x14ac:dyDescent="0.3">
      <c r="B117" s="98" t="s">
        <v>111</v>
      </c>
      <c r="C117" s="99" t="s">
        <v>130</v>
      </c>
    </row>
    <row r="118" spans="2:20" x14ac:dyDescent="0.3">
      <c r="B118" s="92" t="s">
        <v>112</v>
      </c>
      <c r="C118" s="93" t="s">
        <v>0</v>
      </c>
    </row>
    <row r="119" spans="2:20" x14ac:dyDescent="0.3">
      <c r="B119" s="94"/>
      <c r="C119" s="95" t="s">
        <v>113</v>
      </c>
    </row>
    <row r="120" spans="2:20" x14ac:dyDescent="0.3">
      <c r="B120" s="96"/>
      <c r="C120" s="97" t="s">
        <v>114</v>
      </c>
    </row>
    <row r="121" spans="2:20" x14ac:dyDescent="0.3">
      <c r="B121" s="166" t="s">
        <v>130</v>
      </c>
      <c r="C121" s="172">
        <v>0</v>
      </c>
    </row>
    <row r="122" spans="2:20" x14ac:dyDescent="0.3">
      <c r="B122" s="166" t="s">
        <v>131</v>
      </c>
      <c r="C122" s="172">
        <v>2</v>
      </c>
    </row>
    <row r="123" spans="2:20" x14ac:dyDescent="0.3">
      <c r="B123" s="149" t="s">
        <v>119</v>
      </c>
      <c r="C123" s="150"/>
    </row>
    <row r="125" spans="2:20" x14ac:dyDescent="0.3">
      <c r="B125" t="s">
        <v>120</v>
      </c>
    </row>
    <row r="127" spans="2:20" x14ac:dyDescent="0.3">
      <c r="B127" s="70" t="s">
        <v>92</v>
      </c>
      <c r="H127" s="70" t="s">
        <v>109</v>
      </c>
      <c r="N127" s="70" t="s">
        <v>110</v>
      </c>
      <c r="T127" s="70" t="s">
        <v>137</v>
      </c>
    </row>
    <row r="129" spans="2:24" ht="15" customHeight="1" x14ac:dyDescent="0.3">
      <c r="B129" s="155" t="s">
        <v>97</v>
      </c>
      <c r="C129" s="155" t="s">
        <v>35</v>
      </c>
      <c r="D129" s="155">
        <v>44562</v>
      </c>
      <c r="E129" s="155">
        <v>44593</v>
      </c>
      <c r="F129" s="155">
        <v>44621</v>
      </c>
      <c r="H129" s="490" t="s">
        <v>97</v>
      </c>
      <c r="I129" s="101" t="s">
        <v>35</v>
      </c>
      <c r="J129" s="82">
        <v>44562</v>
      </c>
      <c r="K129" s="86">
        <v>44593</v>
      </c>
      <c r="L129" s="104">
        <v>44621</v>
      </c>
      <c r="N129" s="155" t="s">
        <v>97</v>
      </c>
      <c r="O129" s="155" t="s">
        <v>35</v>
      </c>
      <c r="P129" s="155">
        <v>44562</v>
      </c>
      <c r="Q129" s="155">
        <v>44593</v>
      </c>
      <c r="R129" s="155">
        <v>44621</v>
      </c>
      <c r="T129" s="185" t="str" cm="1">
        <f t="array" aca="1" ref="T129" ca="1">_xll.d.TestUtils_IsTrue(_xll.d.Formatting_Equal(B129,N129))</f>
        <v>OK</v>
      </c>
      <c r="U129" s="185" t="str" cm="1">
        <f t="array" aca="1" ref="U129" ca="1">_xll.d.TestUtils_IsTrue(_xll.d.Formatting_Equal(C129,O129))</f>
        <v>OK</v>
      </c>
      <c r="V129" s="185" t="str" cm="1">
        <f t="array" aca="1" ref="V129" ca="1">_xll.d.TestUtils_IsTrue(_xll.d.Formatting_Equal(D129,P129))</f>
        <v>OK</v>
      </c>
      <c r="W129" s="185" t="str" cm="1">
        <f t="array" aca="1" ref="W129" ca="1">_xll.d.TestUtils_IsTrue(_xll.d.Formatting_Equal(E129,Q129))</f>
        <v>OK</v>
      </c>
      <c r="X129" s="185" t="str" cm="1">
        <f t="array" aca="1" ref="X129" ca="1">_xll.d.TestUtils_IsTrue(_xll.d.Formatting_Equal(F129,R129))</f>
        <v>OK</v>
      </c>
    </row>
    <row r="130" spans="2:24" x14ac:dyDescent="0.3">
      <c r="B130" s="156"/>
      <c r="C130" s="155" t="s">
        <v>0</v>
      </c>
      <c r="D130" s="155">
        <v>44562</v>
      </c>
      <c r="E130" s="155">
        <v>44593</v>
      </c>
      <c r="F130" s="155">
        <v>44621</v>
      </c>
      <c r="H130" s="491"/>
      <c r="I130" s="102" t="s">
        <v>0</v>
      </c>
      <c r="J130" s="83">
        <v>44562</v>
      </c>
      <c r="K130" s="87">
        <v>44593</v>
      </c>
      <c r="L130" s="105">
        <v>44621</v>
      </c>
      <c r="N130" s="156"/>
      <c r="O130" s="155" t="s">
        <v>0</v>
      </c>
      <c r="P130" s="155">
        <v>44562</v>
      </c>
      <c r="Q130" s="155">
        <v>44593</v>
      </c>
      <c r="R130" s="155">
        <v>44621</v>
      </c>
      <c r="T130" s="185" t="str" cm="1">
        <f t="array" aca="1" ref="T130" ca="1">_xll.d.TestUtils_IsTrue(_xll.d.Formatting_Equal(B130,N130))</f>
        <v>OK</v>
      </c>
      <c r="U130" s="185" t="str" cm="1">
        <f t="array" aca="1" ref="U130" ca="1">_xll.d.TestUtils_IsTrue(_xll.d.Formatting_Equal(C130,O130))</f>
        <v>OK</v>
      </c>
      <c r="V130" s="185" t="str" cm="1">
        <f t="array" aca="1" ref="V130" ca="1">_xll.d.TestUtils_IsTrue(_xll.d.Formatting_Equal(D130,P130))</f>
        <v>OK</v>
      </c>
      <c r="W130" s="185" t="str" cm="1">
        <f t="array" aca="1" ref="W130" ca="1">_xll.d.TestUtils_IsTrue(_xll.d.Formatting_Equal(E130,Q130))</f>
        <v>OK</v>
      </c>
      <c r="X130" s="185" t="str" cm="1">
        <f t="array" aca="1" ref="X130" ca="1">_xll.d.TestUtils_IsTrue(_xll.d.Formatting_Equal(F130,R130))</f>
        <v>OK</v>
      </c>
    </row>
    <row r="131" spans="2:24" x14ac:dyDescent="0.3">
      <c r="B131" s="156"/>
      <c r="C131" s="155" t="s">
        <v>98</v>
      </c>
      <c r="D131" s="156">
        <v>1000</v>
      </c>
      <c r="E131" s="156">
        <v>2000</v>
      </c>
      <c r="F131" s="156">
        <v>3000</v>
      </c>
      <c r="H131" s="491"/>
      <c r="I131" s="102" t="s">
        <v>98</v>
      </c>
      <c r="J131" s="106">
        <v>1000</v>
      </c>
      <c r="K131" s="88">
        <v>2000</v>
      </c>
      <c r="L131" s="107">
        <v>3000</v>
      </c>
      <c r="N131" s="156"/>
      <c r="O131" s="155" t="s">
        <v>98</v>
      </c>
      <c r="P131" s="156">
        <v>1000</v>
      </c>
      <c r="Q131" s="156">
        <v>2000</v>
      </c>
      <c r="R131" s="156">
        <v>3000</v>
      </c>
      <c r="T131" s="185" t="str" cm="1">
        <f t="array" aca="1" ref="T131" ca="1">_xll.d.TestUtils_IsTrue(_xll.d.Formatting_Equal(B131,N131))</f>
        <v>OK</v>
      </c>
      <c r="U131" s="185" t="str" cm="1">
        <f t="array" aca="1" ref="U131" ca="1">_xll.d.TestUtils_IsTrue(_xll.d.Formatting_Equal(C131,O131))</f>
        <v>OK</v>
      </c>
      <c r="V131" s="185" t="str" cm="1">
        <f t="array" aca="1" ref="V131" ca="1">_xll.d.TestUtils_IsTrue(_xll.d.Formatting_Equal(D131,P131))</f>
        <v>OK</v>
      </c>
      <c r="W131" s="185" t="str" cm="1">
        <f t="array" aca="1" ref="W131" ca="1">_xll.d.TestUtils_IsTrue(_xll.d.Formatting_Equal(E131,Q131))</f>
        <v>OK</v>
      </c>
      <c r="X131" s="185" t="str" cm="1">
        <f t="array" aca="1" ref="X131" ca="1">_xll.d.TestUtils_IsTrue(_xll.d.Formatting_Equal(F131,R131))</f>
        <v>OK</v>
      </c>
    </row>
    <row r="132" spans="2:24" x14ac:dyDescent="0.3">
      <c r="B132" s="156"/>
      <c r="C132" s="155" t="s">
        <v>99</v>
      </c>
      <c r="D132" s="156">
        <v>1000</v>
      </c>
      <c r="E132" s="156">
        <v>2000</v>
      </c>
      <c r="F132" s="156">
        <v>3000</v>
      </c>
      <c r="H132" s="491"/>
      <c r="I132" s="102" t="s">
        <v>99</v>
      </c>
      <c r="J132" s="106">
        <v>1000</v>
      </c>
      <c r="K132" s="88">
        <v>2000</v>
      </c>
      <c r="L132" s="107">
        <v>3000</v>
      </c>
      <c r="N132" s="156"/>
      <c r="O132" s="155" t="s">
        <v>99</v>
      </c>
      <c r="P132" s="156">
        <v>1000</v>
      </c>
      <c r="Q132" s="156">
        <v>2000</v>
      </c>
      <c r="R132" s="156">
        <v>3000</v>
      </c>
      <c r="T132" s="185" t="str" cm="1">
        <f t="array" aca="1" ref="T132" ca="1">_xll.d.TestUtils_IsTrue(_xll.d.Formatting_Equal(B132,N132))</f>
        <v>OK</v>
      </c>
      <c r="U132" s="185" t="str" cm="1">
        <f t="array" aca="1" ref="U132" ca="1">_xll.d.TestUtils_IsTrue(_xll.d.Formatting_Equal(C132,O132))</f>
        <v>OK</v>
      </c>
      <c r="V132" s="185" t="str" cm="1">
        <f t="array" aca="1" ref="V132" ca="1">_xll.d.TestUtils_IsTrue(_xll.d.Formatting_Equal(D132,P132))</f>
        <v>OK</v>
      </c>
      <c r="W132" s="185" t="str" cm="1">
        <f t="array" aca="1" ref="W132" ca="1">_xll.d.TestUtils_IsTrue(_xll.d.Formatting_Equal(E132,Q132))</f>
        <v>OK</v>
      </c>
      <c r="X132" s="185" t="str" cm="1">
        <f t="array" aca="1" ref="X132" ca="1">_xll.d.TestUtils_IsTrue(_xll.d.Formatting_Equal(F132,R132))</f>
        <v>OK</v>
      </c>
    </row>
    <row r="133" spans="2:24" x14ac:dyDescent="0.3">
      <c r="B133" s="156"/>
      <c r="C133" s="155" t="s">
        <v>100</v>
      </c>
      <c r="D133" s="156">
        <v>1000</v>
      </c>
      <c r="E133" s="156">
        <v>2000</v>
      </c>
      <c r="F133" s="156">
        <v>3000</v>
      </c>
      <c r="H133" s="491"/>
      <c r="I133" s="102" t="s">
        <v>100</v>
      </c>
      <c r="J133" s="106">
        <v>1000</v>
      </c>
      <c r="K133" s="88">
        <v>2000</v>
      </c>
      <c r="L133" s="107">
        <v>3000</v>
      </c>
      <c r="N133" s="156"/>
      <c r="O133" s="155" t="s">
        <v>100</v>
      </c>
      <c r="P133" s="156">
        <v>1000</v>
      </c>
      <c r="Q133" s="156">
        <v>2000</v>
      </c>
      <c r="R133" s="156">
        <v>3000</v>
      </c>
      <c r="T133" s="185" t="str" cm="1">
        <f t="array" aca="1" ref="T133" ca="1">_xll.d.TestUtils_IsTrue(_xll.d.Formatting_Equal(B133,N133))</f>
        <v>OK</v>
      </c>
      <c r="U133" s="185" t="str" cm="1">
        <f t="array" aca="1" ref="U133" ca="1">_xll.d.TestUtils_IsTrue(_xll.d.Formatting_Equal(C133,O133))</f>
        <v>OK</v>
      </c>
      <c r="V133" s="185" t="str" cm="1">
        <f t="array" aca="1" ref="V133" ca="1">_xll.d.TestUtils_IsTrue(_xll.d.Formatting_Equal(D133,P133))</f>
        <v>OK</v>
      </c>
      <c r="W133" s="185" t="str" cm="1">
        <f t="array" aca="1" ref="W133" ca="1">_xll.d.TestUtils_IsTrue(_xll.d.Formatting_Equal(E133,Q133))</f>
        <v>OK</v>
      </c>
      <c r="X133" s="185" t="str" cm="1">
        <f t="array" aca="1" ref="X133" ca="1">_xll.d.TestUtils_IsTrue(_xll.d.Formatting_Equal(F133,R133))</f>
        <v>OK</v>
      </c>
    </row>
    <row r="134" spans="2:24" x14ac:dyDescent="0.3">
      <c r="B134" s="156"/>
      <c r="C134" s="155" t="s">
        <v>101</v>
      </c>
      <c r="D134" s="156">
        <v>1000</v>
      </c>
      <c r="E134" s="156">
        <v>2000</v>
      </c>
      <c r="F134" s="156">
        <v>3000</v>
      </c>
      <c r="H134" s="491"/>
      <c r="I134" s="102" t="s">
        <v>101</v>
      </c>
      <c r="J134" s="106">
        <v>1000</v>
      </c>
      <c r="K134" s="88">
        <v>2000</v>
      </c>
      <c r="L134" s="107">
        <v>3000</v>
      </c>
      <c r="N134" s="156"/>
      <c r="O134" s="155" t="s">
        <v>101</v>
      </c>
      <c r="P134" s="156">
        <v>1000</v>
      </c>
      <c r="Q134" s="156">
        <v>2000</v>
      </c>
      <c r="R134" s="156">
        <v>3000</v>
      </c>
      <c r="T134" s="185" t="str" cm="1">
        <f t="array" aca="1" ref="T134" ca="1">_xll.d.TestUtils_IsTrue(_xll.d.Formatting_Equal(B134,N134))</f>
        <v>OK</v>
      </c>
      <c r="U134" s="185" t="str" cm="1">
        <f t="array" aca="1" ref="U134" ca="1">_xll.d.TestUtils_IsTrue(_xll.d.Formatting_Equal(C134,O134))</f>
        <v>OK</v>
      </c>
      <c r="V134" s="185" t="str" cm="1">
        <f t="array" aca="1" ref="V134" ca="1">_xll.d.TestUtils_IsTrue(_xll.d.Formatting_Equal(D134,P134))</f>
        <v>OK</v>
      </c>
      <c r="W134" s="185" t="str" cm="1">
        <f t="array" aca="1" ref="W134" ca="1">_xll.d.TestUtils_IsTrue(_xll.d.Formatting_Equal(E134,Q134))</f>
        <v>OK</v>
      </c>
      <c r="X134" s="185" t="str" cm="1">
        <f t="array" aca="1" ref="X134" ca="1">_xll.d.TestUtils_IsTrue(_xll.d.Formatting_Equal(F134,R134))</f>
        <v>OK</v>
      </c>
    </row>
    <row r="135" spans="2:24" x14ac:dyDescent="0.3">
      <c r="B135" s="156"/>
      <c r="C135" s="155" t="s">
        <v>102</v>
      </c>
      <c r="D135" s="155">
        <v>0.3</v>
      </c>
      <c r="E135" s="155">
        <v>0.4</v>
      </c>
      <c r="F135" s="155">
        <v>0.5</v>
      </c>
      <c r="H135" s="491"/>
      <c r="I135" s="102" t="s">
        <v>102</v>
      </c>
      <c r="J135" s="108">
        <v>0.3</v>
      </c>
      <c r="K135" s="89">
        <v>0.4</v>
      </c>
      <c r="L135" s="80">
        <v>0.5</v>
      </c>
      <c r="N135" s="156"/>
      <c r="O135" s="155" t="s">
        <v>102</v>
      </c>
      <c r="P135" s="155">
        <v>0.3</v>
      </c>
      <c r="Q135" s="155">
        <v>0.4</v>
      </c>
      <c r="R135" s="155">
        <v>0.5</v>
      </c>
      <c r="T135" s="185" t="str" cm="1">
        <f t="array" aca="1" ref="T135" ca="1">_xll.d.TestUtils_IsTrue(_xll.d.Formatting_Equal(B135,N135))</f>
        <v>OK</v>
      </c>
      <c r="U135" s="185" t="str" cm="1">
        <f t="array" aca="1" ref="U135" ca="1">_xll.d.TestUtils_IsTrue(_xll.d.Formatting_Equal(C135,O135))</f>
        <v>OK</v>
      </c>
      <c r="V135" s="185" t="str" cm="1">
        <f t="array" aca="1" ref="V135" ca="1">_xll.d.TestUtils_IsTrue(_xll.d.Formatting_Equal(D135,P135))</f>
        <v>OK</v>
      </c>
      <c r="W135" s="185" t="str" cm="1">
        <f t="array" aca="1" ref="W135" ca="1">_xll.d.TestUtils_IsTrue(_xll.d.Formatting_Equal(E135,Q135))</f>
        <v>OK</v>
      </c>
      <c r="X135" s="185" t="str" cm="1">
        <f t="array" aca="1" ref="X135" ca="1">_xll.d.TestUtils_IsTrue(_xll.d.Formatting_Equal(F135,R135))</f>
        <v>OK</v>
      </c>
    </row>
    <row r="136" spans="2:24" x14ac:dyDescent="0.3">
      <c r="B136" s="156"/>
      <c r="C136" s="155" t="s">
        <v>81</v>
      </c>
      <c r="D136" s="155">
        <v>0.3</v>
      </c>
      <c r="E136" s="155">
        <v>0.4</v>
      </c>
      <c r="F136" s="155">
        <v>0.5</v>
      </c>
      <c r="H136" s="491"/>
      <c r="I136" s="102" t="s">
        <v>81</v>
      </c>
      <c r="J136" s="108">
        <v>0.3</v>
      </c>
      <c r="K136" s="89">
        <v>0.4</v>
      </c>
      <c r="L136" s="80">
        <v>0.5</v>
      </c>
      <c r="N136" s="156"/>
      <c r="O136" s="155" t="s">
        <v>81</v>
      </c>
      <c r="P136" s="155">
        <v>0.3</v>
      </c>
      <c r="Q136" s="155">
        <v>0.4</v>
      </c>
      <c r="R136" s="155">
        <v>0.5</v>
      </c>
      <c r="T136" s="185" t="str" cm="1">
        <f t="array" aca="1" ref="T136" ca="1">_xll.d.TestUtils_IsTrue(_xll.d.Formatting_Equal(B136,N136))</f>
        <v>OK</v>
      </c>
      <c r="U136" s="185" t="str" cm="1">
        <f t="array" aca="1" ref="U136" ca="1">_xll.d.TestUtils_IsTrue(_xll.d.Formatting_Equal(C136,O136))</f>
        <v>OK</v>
      </c>
      <c r="V136" s="185" t="str" cm="1">
        <f t="array" aca="1" ref="V136" ca="1">_xll.d.TestUtils_IsTrue(_xll.d.Formatting_Equal(D136,P136))</f>
        <v>OK</v>
      </c>
      <c r="W136" s="185" t="str" cm="1">
        <f t="array" aca="1" ref="W136" ca="1">_xll.d.TestUtils_IsTrue(_xll.d.Formatting_Equal(E136,Q136))</f>
        <v>OK</v>
      </c>
      <c r="X136" s="185" t="str" cm="1">
        <f t="array" aca="1" ref="X136" ca="1">_xll.d.TestUtils_IsTrue(_xll.d.Formatting_Equal(F136,R136))</f>
        <v>OK</v>
      </c>
    </row>
    <row r="137" spans="2:24" x14ac:dyDescent="0.3">
      <c r="B137" s="156"/>
      <c r="C137" s="155" t="s">
        <v>82</v>
      </c>
      <c r="D137" s="155">
        <v>0.3</v>
      </c>
      <c r="E137" s="155">
        <v>0.4</v>
      </c>
      <c r="F137" s="155">
        <v>0.5</v>
      </c>
      <c r="H137" s="491"/>
      <c r="I137" s="102" t="s">
        <v>82</v>
      </c>
      <c r="J137" s="108">
        <v>0.3</v>
      </c>
      <c r="K137" s="89">
        <v>0.4</v>
      </c>
      <c r="L137" s="80">
        <v>0.5</v>
      </c>
      <c r="N137" s="156"/>
      <c r="O137" s="155" t="s">
        <v>82</v>
      </c>
      <c r="P137" s="155">
        <v>0.3</v>
      </c>
      <c r="Q137" s="155">
        <v>0.4</v>
      </c>
      <c r="R137" s="155">
        <v>0.5</v>
      </c>
      <c r="T137" s="185" t="str" cm="1">
        <f t="array" aca="1" ref="T137" ca="1">_xll.d.TestUtils_IsTrue(_xll.d.Formatting_Equal(B137,N137))</f>
        <v>OK</v>
      </c>
      <c r="U137" s="185" t="str" cm="1">
        <f t="array" aca="1" ref="U137" ca="1">_xll.d.TestUtils_IsTrue(_xll.d.Formatting_Equal(C137,O137))</f>
        <v>OK</v>
      </c>
      <c r="V137" s="185" t="str" cm="1">
        <f t="array" aca="1" ref="V137" ca="1">_xll.d.TestUtils_IsTrue(_xll.d.Formatting_Equal(D137,P137))</f>
        <v>OK</v>
      </c>
      <c r="W137" s="185" t="str" cm="1">
        <f t="array" aca="1" ref="W137" ca="1">_xll.d.TestUtils_IsTrue(_xll.d.Formatting_Equal(E137,Q137))</f>
        <v>OK</v>
      </c>
      <c r="X137" s="185" t="str" cm="1">
        <f t="array" aca="1" ref="X137" ca="1">_xll.d.TestUtils_IsTrue(_xll.d.Formatting_Equal(F137,R137))</f>
        <v>OK</v>
      </c>
    </row>
    <row r="138" spans="2:24" x14ac:dyDescent="0.3">
      <c r="B138" s="156"/>
      <c r="C138" s="155" t="s">
        <v>83</v>
      </c>
      <c r="D138" s="155">
        <v>0.3</v>
      </c>
      <c r="E138" s="155">
        <v>0.4</v>
      </c>
      <c r="F138" s="155">
        <v>0.5</v>
      </c>
      <c r="H138" s="491"/>
      <c r="I138" s="102" t="s">
        <v>83</v>
      </c>
      <c r="J138" s="108">
        <v>0.3</v>
      </c>
      <c r="K138" s="89">
        <v>0.4</v>
      </c>
      <c r="L138" s="80">
        <v>0.5</v>
      </c>
      <c r="N138" s="156"/>
      <c r="O138" s="155" t="s">
        <v>83</v>
      </c>
      <c r="P138" s="155">
        <v>0.3</v>
      </c>
      <c r="Q138" s="155">
        <v>0.4</v>
      </c>
      <c r="R138" s="155">
        <v>0.5</v>
      </c>
      <c r="T138" s="185" t="str" cm="1">
        <f t="array" aca="1" ref="T138" ca="1">_xll.d.TestUtils_IsTrue(_xll.d.Formatting_Equal(B138,N138))</f>
        <v>OK</v>
      </c>
      <c r="U138" s="185" t="str" cm="1">
        <f t="array" aca="1" ref="U138" ca="1">_xll.d.TestUtils_IsTrue(_xll.d.Formatting_Equal(C138,O138))</f>
        <v>OK</v>
      </c>
      <c r="V138" s="185" t="str" cm="1">
        <f t="array" aca="1" ref="V138" ca="1">_xll.d.TestUtils_IsTrue(_xll.d.Formatting_Equal(D138,P138))</f>
        <v>OK</v>
      </c>
      <c r="W138" s="185" t="str" cm="1">
        <f t="array" aca="1" ref="W138" ca="1">_xll.d.TestUtils_IsTrue(_xll.d.Formatting_Equal(E138,Q138))</f>
        <v>OK</v>
      </c>
      <c r="X138" s="185" t="str" cm="1">
        <f t="array" aca="1" ref="X138" ca="1">_xll.d.TestUtils_IsTrue(_xll.d.Formatting_Equal(F138,R138))</f>
        <v>OK</v>
      </c>
    </row>
    <row r="139" spans="2:24" x14ac:dyDescent="0.3">
      <c r="B139" s="156"/>
      <c r="C139" s="155" t="s">
        <v>103</v>
      </c>
      <c r="D139" s="155">
        <v>0.3</v>
      </c>
      <c r="E139" s="155">
        <v>0.4</v>
      </c>
      <c r="F139" s="155">
        <v>0.5</v>
      </c>
      <c r="H139" s="491"/>
      <c r="I139" s="102" t="s">
        <v>103</v>
      </c>
      <c r="J139" s="108">
        <v>0.3</v>
      </c>
      <c r="K139" s="89">
        <v>0.4</v>
      </c>
      <c r="L139" s="80">
        <v>0.5</v>
      </c>
      <c r="N139" s="156"/>
      <c r="O139" s="155" t="s">
        <v>103</v>
      </c>
      <c r="P139" s="155">
        <v>0.3</v>
      </c>
      <c r="Q139" s="155">
        <v>0.4</v>
      </c>
      <c r="R139" s="155">
        <v>0.5</v>
      </c>
      <c r="T139" s="185" t="str" cm="1">
        <f t="array" aca="1" ref="T139" ca="1">_xll.d.TestUtils_IsTrue(_xll.d.Formatting_Equal(B139,N139))</f>
        <v>OK</v>
      </c>
      <c r="U139" s="185" t="str" cm="1">
        <f t="array" aca="1" ref="U139" ca="1">_xll.d.TestUtils_IsTrue(_xll.d.Formatting_Equal(C139,O139))</f>
        <v>OK</v>
      </c>
      <c r="V139" s="185" t="str" cm="1">
        <f t="array" aca="1" ref="V139" ca="1">_xll.d.TestUtils_IsTrue(_xll.d.Formatting_Equal(D139,P139))</f>
        <v>OK</v>
      </c>
      <c r="W139" s="185" t="str" cm="1">
        <f t="array" aca="1" ref="W139" ca="1">_xll.d.TestUtils_IsTrue(_xll.d.Formatting_Equal(E139,Q139))</f>
        <v>OK</v>
      </c>
      <c r="X139" s="185" t="str" cm="1">
        <f t="array" aca="1" ref="X139" ca="1">_xll.d.TestUtils_IsTrue(_xll.d.Formatting_Equal(F139,R139))</f>
        <v>OK</v>
      </c>
    </row>
    <row r="140" spans="2:24" x14ac:dyDescent="0.3">
      <c r="B140" s="156"/>
      <c r="C140" s="155" t="s">
        <v>25</v>
      </c>
      <c r="D140" s="155">
        <v>0.3</v>
      </c>
      <c r="E140" s="155">
        <v>0.4</v>
      </c>
      <c r="F140" s="155">
        <v>0.5</v>
      </c>
      <c r="H140" s="491"/>
      <c r="I140" s="102" t="s">
        <v>25</v>
      </c>
      <c r="J140" s="108">
        <v>0.3</v>
      </c>
      <c r="K140" s="89">
        <v>0.4</v>
      </c>
      <c r="L140" s="80">
        <v>0.5</v>
      </c>
      <c r="N140" s="156"/>
      <c r="O140" s="155" t="s">
        <v>25</v>
      </c>
      <c r="P140" s="155">
        <v>0.3</v>
      </c>
      <c r="Q140" s="155">
        <v>0.4</v>
      </c>
      <c r="R140" s="155">
        <v>0.5</v>
      </c>
      <c r="T140" s="185" t="str" cm="1">
        <f t="array" aca="1" ref="T140" ca="1">_xll.d.TestUtils_IsTrue(_xll.d.Formatting_Equal(B140,N140))</f>
        <v>OK</v>
      </c>
      <c r="U140" s="185" t="str" cm="1">
        <f t="array" aca="1" ref="U140" ca="1">_xll.d.TestUtils_IsTrue(_xll.d.Formatting_Equal(C140,O140))</f>
        <v>OK</v>
      </c>
      <c r="V140" s="185" t="str" cm="1">
        <f t="array" aca="1" ref="V140" ca="1">_xll.d.TestUtils_IsTrue(_xll.d.Formatting_Equal(D140,P140))</f>
        <v>OK</v>
      </c>
      <c r="W140" s="185" t="str" cm="1">
        <f t="array" aca="1" ref="W140" ca="1">_xll.d.TestUtils_IsTrue(_xll.d.Formatting_Equal(E140,Q140))</f>
        <v>OK</v>
      </c>
      <c r="X140" s="185" t="str" cm="1">
        <f t="array" aca="1" ref="X140" ca="1">_xll.d.TestUtils_IsTrue(_xll.d.Formatting_Equal(F140,R140))</f>
        <v>OK</v>
      </c>
    </row>
    <row r="141" spans="2:24" x14ac:dyDescent="0.3">
      <c r="B141" s="156"/>
      <c r="C141" s="155" t="s">
        <v>40</v>
      </c>
      <c r="D141" s="155">
        <v>0.3</v>
      </c>
      <c r="E141" s="155">
        <v>0.4</v>
      </c>
      <c r="F141" s="155">
        <v>0.5</v>
      </c>
      <c r="H141" s="491"/>
      <c r="I141" s="102" t="s">
        <v>40</v>
      </c>
      <c r="J141" s="108">
        <v>0.3</v>
      </c>
      <c r="K141" s="89">
        <v>0.4</v>
      </c>
      <c r="L141" s="80">
        <v>0.5</v>
      </c>
      <c r="N141" s="156"/>
      <c r="O141" s="155" t="s">
        <v>40</v>
      </c>
      <c r="P141" s="155">
        <v>0.3</v>
      </c>
      <c r="Q141" s="155">
        <v>0.4</v>
      </c>
      <c r="R141" s="155">
        <v>0.5</v>
      </c>
      <c r="T141" s="185" t="str" cm="1">
        <f t="array" aca="1" ref="T141" ca="1">_xll.d.TestUtils_IsTrue(_xll.d.Formatting_Equal(B141,N141))</f>
        <v>OK</v>
      </c>
      <c r="U141" s="185" t="str" cm="1">
        <f t="array" aca="1" ref="U141" ca="1">_xll.d.TestUtils_IsTrue(_xll.d.Formatting_Equal(C141,O141))</f>
        <v>OK</v>
      </c>
      <c r="V141" s="185" t="str" cm="1">
        <f t="array" aca="1" ref="V141" ca="1">_xll.d.TestUtils_IsTrue(_xll.d.Formatting_Equal(D141,P141))</f>
        <v>OK</v>
      </c>
      <c r="W141" s="185" t="str" cm="1">
        <f t="array" aca="1" ref="W141" ca="1">_xll.d.TestUtils_IsTrue(_xll.d.Formatting_Equal(E141,Q141))</f>
        <v>OK</v>
      </c>
      <c r="X141" s="185" t="str" cm="1">
        <f t="array" aca="1" ref="X141" ca="1">_xll.d.TestUtils_IsTrue(_xll.d.Formatting_Equal(F141,R141))</f>
        <v>OK</v>
      </c>
    </row>
    <row r="142" spans="2:24" x14ac:dyDescent="0.3">
      <c r="B142" s="156"/>
      <c r="C142" s="155" t="s">
        <v>104</v>
      </c>
      <c r="D142" s="155">
        <v>0.3</v>
      </c>
      <c r="E142" s="155">
        <v>0.4</v>
      </c>
      <c r="F142" s="155">
        <v>0.5</v>
      </c>
      <c r="H142" s="491"/>
      <c r="I142" s="102" t="s">
        <v>104</v>
      </c>
      <c r="J142" s="108">
        <v>0.3</v>
      </c>
      <c r="K142" s="89">
        <v>0.4</v>
      </c>
      <c r="L142" s="80">
        <v>0.5</v>
      </c>
      <c r="N142" s="156"/>
      <c r="O142" s="155" t="s">
        <v>104</v>
      </c>
      <c r="P142" s="155">
        <v>0.3</v>
      </c>
      <c r="Q142" s="155">
        <v>0.4</v>
      </c>
      <c r="R142" s="155">
        <v>0.5</v>
      </c>
      <c r="T142" s="185" t="str" cm="1">
        <f t="array" aca="1" ref="T142" ca="1">_xll.d.TestUtils_IsTrue(_xll.d.Formatting_Equal(B142,N142))</f>
        <v>OK</v>
      </c>
      <c r="U142" s="185" t="str" cm="1">
        <f t="array" aca="1" ref="U142" ca="1">_xll.d.TestUtils_IsTrue(_xll.d.Formatting_Equal(C142,O142))</f>
        <v>OK</v>
      </c>
      <c r="V142" s="185" t="str" cm="1">
        <f t="array" aca="1" ref="V142" ca="1">_xll.d.TestUtils_IsTrue(_xll.d.Formatting_Equal(D142,P142))</f>
        <v>OK</v>
      </c>
      <c r="W142" s="185" t="str" cm="1">
        <f t="array" aca="1" ref="W142" ca="1">_xll.d.TestUtils_IsTrue(_xll.d.Formatting_Equal(E142,Q142))</f>
        <v>OK</v>
      </c>
      <c r="X142" s="185" t="str" cm="1">
        <f t="array" aca="1" ref="X142" ca="1">_xll.d.TestUtils_IsTrue(_xll.d.Formatting_Equal(F142,R142))</f>
        <v>OK</v>
      </c>
    </row>
    <row r="143" spans="2:24" x14ac:dyDescent="0.3">
      <c r="B143" s="156"/>
      <c r="C143" s="155" t="s">
        <v>96</v>
      </c>
      <c r="D143" s="155">
        <v>0.3</v>
      </c>
      <c r="E143" s="155">
        <v>0.4</v>
      </c>
      <c r="F143" s="155">
        <v>0.5</v>
      </c>
      <c r="H143" s="491"/>
      <c r="I143" s="102" t="s">
        <v>96</v>
      </c>
      <c r="J143" s="108">
        <v>0.3</v>
      </c>
      <c r="K143" s="89">
        <v>0.4</v>
      </c>
      <c r="L143" s="80">
        <v>0.5</v>
      </c>
      <c r="N143" s="156"/>
      <c r="O143" s="155" t="s">
        <v>96</v>
      </c>
      <c r="P143" s="155">
        <v>0.3</v>
      </c>
      <c r="Q143" s="155">
        <v>0.4</v>
      </c>
      <c r="R143" s="155">
        <v>0.5</v>
      </c>
      <c r="T143" s="185" t="str" cm="1">
        <f t="array" aca="1" ref="T143" ca="1">_xll.d.TestUtils_IsTrue(_xll.d.Formatting_Equal(B143,N143))</f>
        <v>OK</v>
      </c>
      <c r="U143" s="185" t="str" cm="1">
        <f t="array" aca="1" ref="U143" ca="1">_xll.d.TestUtils_IsTrue(_xll.d.Formatting_Equal(C143,O143))</f>
        <v>OK</v>
      </c>
      <c r="V143" s="185" t="str" cm="1">
        <f t="array" aca="1" ref="V143" ca="1">_xll.d.TestUtils_IsTrue(_xll.d.Formatting_Equal(D143,P143))</f>
        <v>OK</v>
      </c>
      <c r="W143" s="185" t="str" cm="1">
        <f t="array" aca="1" ref="W143" ca="1">_xll.d.TestUtils_IsTrue(_xll.d.Formatting_Equal(E143,Q143))</f>
        <v>OK</v>
      </c>
      <c r="X143" s="185" t="str" cm="1">
        <f t="array" aca="1" ref="X143" ca="1">_xll.d.TestUtils_IsTrue(_xll.d.Formatting_Equal(F143,R143))</f>
        <v>OK</v>
      </c>
    </row>
    <row r="144" spans="2:24" x14ac:dyDescent="0.3">
      <c r="B144" s="156"/>
      <c r="C144" s="155" t="s">
        <v>106</v>
      </c>
      <c r="D144" s="155">
        <v>0.3</v>
      </c>
      <c r="E144" s="155">
        <v>0.4</v>
      </c>
      <c r="F144" s="155">
        <v>0.5</v>
      </c>
      <c r="H144" s="491"/>
      <c r="I144" s="102" t="s">
        <v>106</v>
      </c>
      <c r="J144" s="108">
        <v>0.3</v>
      </c>
      <c r="K144" s="89">
        <v>0.4</v>
      </c>
      <c r="L144" s="80">
        <v>0.5</v>
      </c>
      <c r="N144" s="156"/>
      <c r="O144" s="155" t="s">
        <v>106</v>
      </c>
      <c r="P144" s="155">
        <v>0.3</v>
      </c>
      <c r="Q144" s="155">
        <v>0.4</v>
      </c>
      <c r="R144" s="155">
        <v>0.5</v>
      </c>
      <c r="T144" s="185" t="str" cm="1">
        <f t="array" aca="1" ref="T144" ca="1">_xll.d.TestUtils_IsTrue(_xll.d.Formatting_Equal(B144,N144))</f>
        <v>OK</v>
      </c>
      <c r="U144" s="185" t="str" cm="1">
        <f t="array" aca="1" ref="U144" ca="1">_xll.d.TestUtils_IsTrue(_xll.d.Formatting_Equal(C144,O144))</f>
        <v>OK</v>
      </c>
      <c r="V144" s="185" t="str" cm="1">
        <f t="array" aca="1" ref="V144" ca="1">_xll.d.TestUtils_IsTrue(_xll.d.Formatting_Equal(D144,P144))</f>
        <v>OK</v>
      </c>
      <c r="W144" s="185" t="str" cm="1">
        <f t="array" aca="1" ref="W144" ca="1">_xll.d.TestUtils_IsTrue(_xll.d.Formatting_Equal(E144,Q144))</f>
        <v>OK</v>
      </c>
      <c r="X144" s="185" t="str" cm="1">
        <f t="array" aca="1" ref="X144" ca="1">_xll.d.TestUtils_IsTrue(_xll.d.Formatting_Equal(F144,R144))</f>
        <v>OK</v>
      </c>
    </row>
    <row r="145" spans="2:55" x14ac:dyDescent="0.3">
      <c r="B145" s="156"/>
      <c r="C145" s="155" t="s">
        <v>105</v>
      </c>
      <c r="D145" s="155">
        <v>0.3</v>
      </c>
      <c r="E145" s="155">
        <v>0.4</v>
      </c>
      <c r="F145" s="155">
        <v>0.5</v>
      </c>
      <c r="H145" s="491"/>
      <c r="I145" s="103" t="s">
        <v>105</v>
      </c>
      <c r="J145" s="109">
        <v>0.3</v>
      </c>
      <c r="K145" s="90">
        <v>0.4</v>
      </c>
      <c r="L145" s="81">
        <v>0.5</v>
      </c>
      <c r="N145" s="156"/>
      <c r="O145" s="155" t="s">
        <v>105</v>
      </c>
      <c r="P145" s="155">
        <v>0.3</v>
      </c>
      <c r="Q145" s="155">
        <v>0.4</v>
      </c>
      <c r="R145" s="155">
        <v>0.5</v>
      </c>
      <c r="T145" s="185" t="str" cm="1">
        <f t="array" aca="1" ref="T145" ca="1">_xll.d.TestUtils_IsTrue(_xll.d.Formatting_Equal(B145,N145))</f>
        <v>OK</v>
      </c>
      <c r="U145" s="185" t="str" cm="1">
        <f t="array" aca="1" ref="U145" ca="1">_xll.d.TestUtils_IsTrue(_xll.d.Formatting_Equal(C145,O145))</f>
        <v>OK</v>
      </c>
      <c r="V145" s="185" t="str" cm="1">
        <f t="array" aca="1" ref="V145" ca="1">_xll.d.TestUtils_IsTrue(_xll.d.Formatting_Equal(D145,P145))</f>
        <v>OK</v>
      </c>
      <c r="W145" s="185" t="str" cm="1">
        <f t="array" aca="1" ref="W145" ca="1">_xll.d.TestUtils_IsTrue(_xll.d.Formatting_Equal(E145,Q145))</f>
        <v>OK</v>
      </c>
      <c r="X145" s="185" t="str" cm="1">
        <f t="array" aca="1" ref="X145" ca="1">_xll.d.TestUtils_IsTrue(_xll.d.Formatting_Equal(F145,R145))</f>
        <v>OK</v>
      </c>
    </row>
    <row r="148" spans="2:55" ht="18" x14ac:dyDescent="0.35">
      <c r="B148" s="3" t="s">
        <v>127</v>
      </c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</row>
    <row r="150" spans="2:55" x14ac:dyDescent="0.3">
      <c r="B150" s="59" t="s">
        <v>136</v>
      </c>
      <c r="C150" s="185" t="str" cm="1">
        <f t="array" aca="1" ref="C150" ca="1">_xll.d.TestUtils_And(K163:L166)</f>
        <v>OK</v>
      </c>
    </row>
    <row r="152" spans="2:55" x14ac:dyDescent="0.3">
      <c r="B152" s="59" t="s">
        <v>116</v>
      </c>
      <c r="C152" s="59" t="s">
        <v>33</v>
      </c>
    </row>
    <row r="153" spans="2:55" x14ac:dyDescent="0.3">
      <c r="B153" s="98" t="s">
        <v>111</v>
      </c>
      <c r="C153" s="99" t="s">
        <v>131</v>
      </c>
    </row>
    <row r="154" spans="2:55" x14ac:dyDescent="0.3">
      <c r="B154" s="92" t="s">
        <v>112</v>
      </c>
      <c r="C154" s="93" t="s">
        <v>128</v>
      </c>
    </row>
    <row r="155" spans="2:55" x14ac:dyDescent="0.3">
      <c r="B155" s="98" t="s">
        <v>130</v>
      </c>
      <c r="C155" s="171">
        <v>2</v>
      </c>
    </row>
    <row r="156" spans="2:55" x14ac:dyDescent="0.3">
      <c r="B156" s="166" t="s">
        <v>131</v>
      </c>
      <c r="C156" s="172">
        <v>0</v>
      </c>
    </row>
    <row r="157" spans="2:55" x14ac:dyDescent="0.3">
      <c r="B157" s="149" t="s">
        <v>119</v>
      </c>
      <c r="C157" s="150"/>
    </row>
    <row r="159" spans="2:55" x14ac:dyDescent="0.3">
      <c r="B159" t="s">
        <v>171</v>
      </c>
    </row>
    <row r="161" spans="2:55" x14ac:dyDescent="0.3">
      <c r="B161" s="70" t="s">
        <v>92</v>
      </c>
      <c r="E161" s="70" t="s">
        <v>109</v>
      </c>
      <c r="H161" s="70" t="s">
        <v>110</v>
      </c>
      <c r="K161" s="70" t="s">
        <v>137</v>
      </c>
    </row>
    <row r="163" spans="2:55" x14ac:dyDescent="0.3">
      <c r="B163" s="138" t="s">
        <v>58</v>
      </c>
      <c r="C163" s="139"/>
      <c r="E163" t="s">
        <v>58</v>
      </c>
      <c r="H163" s="138" t="s">
        <v>58</v>
      </c>
      <c r="I163" s="139"/>
      <c r="K163" s="185" t="str" cm="1">
        <f t="array" aca="1" ref="K163" ca="1">_xll.d.TestUtils_IsTrue(_xll.d.Formatting_Equal(B163,H163))</f>
        <v>OK</v>
      </c>
      <c r="L163" s="185" t="str" cm="1">
        <f t="array" aca="1" ref="L163" ca="1">_xll.d.TestUtils_IsTrue(_xll.d.Formatting_Equal(C163,I163))</f>
        <v>OK</v>
      </c>
    </row>
    <row r="164" spans="2:55" x14ac:dyDescent="0.3">
      <c r="B164" s="136" t="s">
        <v>32</v>
      </c>
      <c r="C164" s="137" t="s">
        <v>33</v>
      </c>
      <c r="E164" t="s">
        <v>32</v>
      </c>
      <c r="F164" t="s">
        <v>33</v>
      </c>
      <c r="H164" s="136" t="s">
        <v>32</v>
      </c>
      <c r="I164" s="137" t="s">
        <v>33</v>
      </c>
      <c r="K164" s="185" t="str" cm="1">
        <f t="array" aca="1" ref="K164" ca="1">_xll.d.TestUtils_IsTrue(_xll.d.Formatting_Equal(B164,H164))</f>
        <v>OK</v>
      </c>
      <c r="L164" s="185" t="str" cm="1">
        <f t="array" aca="1" ref="L164" ca="1">_xll.d.TestUtils_IsTrue(_xll.d.Formatting_Equal(C164,I164))</f>
        <v>OK</v>
      </c>
    </row>
    <row r="165" spans="2:55" x14ac:dyDescent="0.3">
      <c r="B165" s="140" t="s">
        <v>13</v>
      </c>
      <c r="C165" s="141" t="s">
        <v>47</v>
      </c>
      <c r="E165" t="s">
        <v>13</v>
      </c>
      <c r="F165" t="s">
        <v>47</v>
      </c>
      <c r="H165" s="140" t="s">
        <v>13</v>
      </c>
      <c r="I165" s="141" t="s">
        <v>47</v>
      </c>
      <c r="K165" s="185" t="str" cm="1">
        <f t="array" aca="1" ref="K165" ca="1">_xll.d.TestUtils_IsTrue(_xll.d.Formatting_Equal(B165,H165))</f>
        <v>OK</v>
      </c>
      <c r="L165" s="185" t="str" cm="1">
        <f t="array" aca="1" ref="L165" ca="1">_xll.d.TestUtils_IsTrue(_xll.d.Formatting_Equal(C165,I165))</f>
        <v>OK</v>
      </c>
    </row>
    <row r="166" spans="2:55" x14ac:dyDescent="0.3">
      <c r="B166" s="142" t="s">
        <v>36</v>
      </c>
      <c r="C166" s="143" t="s">
        <v>37</v>
      </c>
      <c r="E166" t="s">
        <v>36</v>
      </c>
      <c r="F166" t="s">
        <v>37</v>
      </c>
      <c r="H166" s="142" t="s">
        <v>36</v>
      </c>
      <c r="I166" s="143" t="s">
        <v>37</v>
      </c>
      <c r="K166" s="185" t="str" cm="1">
        <f t="array" aca="1" ref="K166" ca="1">_xll.d.TestUtils_IsTrue(_xll.d.Formatting_Equal(B166,H166))</f>
        <v>OK</v>
      </c>
      <c r="L166" s="185" t="str" cm="1">
        <f t="array" aca="1" ref="L166" ca="1">_xll.d.TestUtils_IsTrue(_xll.d.Formatting_Equal(C166,I166))</f>
        <v>OK</v>
      </c>
    </row>
    <row r="167" spans="2:55" x14ac:dyDescent="0.3">
      <c r="B167" s="144" t="s">
        <v>57</v>
      </c>
      <c r="C167" s="145" t="s">
        <v>26</v>
      </c>
      <c r="E167" t="s">
        <v>57</v>
      </c>
      <c r="F167" t="s">
        <v>26</v>
      </c>
      <c r="H167" s="144" t="s">
        <v>57</v>
      </c>
      <c r="I167" s="145" t="s">
        <v>26</v>
      </c>
      <c r="K167" s="185" t="str" cm="1">
        <f t="array" aca="1" ref="K167" ca="1">_xll.d.TestUtils_IsTrue(_xll.d.Formatting_Equal(B167,H167))</f>
        <v>OK</v>
      </c>
      <c r="L167" s="185" t="str" cm="1">
        <f t="array" aca="1" ref="L167" ca="1">_xll.d.TestUtils_IsTrue(_xll.d.Formatting_Equal(C167,I167))</f>
        <v>OK</v>
      </c>
    </row>
    <row r="170" spans="2:55" ht="18" x14ac:dyDescent="0.35">
      <c r="B170" s="3" t="s">
        <v>129</v>
      </c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</row>
    <row r="172" spans="2:55" x14ac:dyDescent="0.3">
      <c r="B172" s="59" t="s">
        <v>136</v>
      </c>
      <c r="C172" s="185" t="str" cm="1">
        <f t="array" aca="1" ref="C172" ca="1">_xll.d.TestUtils_And(K183:L187)</f>
        <v>OK</v>
      </c>
    </row>
    <row r="174" spans="2:55" x14ac:dyDescent="0.3">
      <c r="B174" s="59" t="s">
        <v>116</v>
      </c>
      <c r="C174" s="59" t="s">
        <v>33</v>
      </c>
    </row>
    <row r="175" spans="2:55" x14ac:dyDescent="0.3">
      <c r="B175" s="98" t="s">
        <v>111</v>
      </c>
      <c r="C175" s="99" t="s">
        <v>131</v>
      </c>
    </row>
    <row r="176" spans="2:55" x14ac:dyDescent="0.3">
      <c r="B176" s="92" t="s">
        <v>112</v>
      </c>
      <c r="C176" s="93" t="s">
        <v>128</v>
      </c>
    </row>
    <row r="177" spans="2:55" x14ac:dyDescent="0.3">
      <c r="B177" s="149" t="s">
        <v>119</v>
      </c>
      <c r="C177" s="150"/>
    </row>
    <row r="179" spans="2:55" x14ac:dyDescent="0.3">
      <c r="B179" t="s">
        <v>132</v>
      </c>
    </row>
    <row r="181" spans="2:55" x14ac:dyDescent="0.3">
      <c r="B181" s="70" t="s">
        <v>92</v>
      </c>
      <c r="E181" s="70" t="s">
        <v>109</v>
      </c>
      <c r="H181" s="70" t="s">
        <v>110</v>
      </c>
      <c r="K181" s="70" t="s">
        <v>137</v>
      </c>
    </row>
    <row r="183" spans="2:55" x14ac:dyDescent="0.3">
      <c r="B183" s="155" t="s">
        <v>58</v>
      </c>
      <c r="C183" s="155"/>
      <c r="E183" s="138" t="s">
        <v>58</v>
      </c>
      <c r="F183" s="139"/>
      <c r="H183" s="156" t="s">
        <v>58</v>
      </c>
      <c r="I183" s="156"/>
      <c r="K183" s="185" t="str" cm="1">
        <f t="array" aca="1" ref="K183" ca="1">_xll.d.TestUtils_IsTrue(_xll.d.Formatting_Equal(B183,H183))</f>
        <v>OK</v>
      </c>
      <c r="L183" s="185" t="str" cm="1">
        <f t="array" aca="1" ref="L183" ca="1">_xll.d.TestUtils_IsTrue(_xll.d.Formatting_Equal(C183,I183))</f>
        <v>OK</v>
      </c>
    </row>
    <row r="184" spans="2:55" x14ac:dyDescent="0.3">
      <c r="B184" s="155" t="s">
        <v>32</v>
      </c>
      <c r="C184" s="155" t="s">
        <v>33</v>
      </c>
      <c r="E184" s="136" t="s">
        <v>32</v>
      </c>
      <c r="F184" s="137" t="s">
        <v>33</v>
      </c>
      <c r="H184" s="156" t="s">
        <v>32</v>
      </c>
      <c r="I184" s="156" t="s">
        <v>33</v>
      </c>
      <c r="K184" s="185" t="str" cm="1">
        <f t="array" aca="1" ref="K184" ca="1">_xll.d.TestUtils_IsTrue(_xll.d.Formatting_Equal(B184,H184))</f>
        <v>OK</v>
      </c>
      <c r="L184" s="185" t="str" cm="1">
        <f t="array" aca="1" ref="L184" ca="1">_xll.d.TestUtils_IsTrue(_xll.d.Formatting_Equal(C184,I184))</f>
        <v>OK</v>
      </c>
    </row>
    <row r="185" spans="2:55" x14ac:dyDescent="0.3">
      <c r="B185" s="155" t="s">
        <v>13</v>
      </c>
      <c r="C185" s="155" t="s">
        <v>47</v>
      </c>
      <c r="E185" s="140" t="s">
        <v>13</v>
      </c>
      <c r="F185" s="141" t="s">
        <v>47</v>
      </c>
      <c r="H185" s="156" t="s">
        <v>13</v>
      </c>
      <c r="I185" s="156" t="s">
        <v>47</v>
      </c>
      <c r="K185" s="185" t="str" cm="1">
        <f t="array" aca="1" ref="K185" ca="1">_xll.d.TestUtils_IsTrue(_xll.d.Formatting_Equal(B185,H185))</f>
        <v>OK</v>
      </c>
      <c r="L185" s="185" t="str" cm="1">
        <f t="array" aca="1" ref="L185" ca="1">_xll.d.TestUtils_IsTrue(_xll.d.Formatting_Equal(C185,I185))</f>
        <v>OK</v>
      </c>
    </row>
    <row r="186" spans="2:55" x14ac:dyDescent="0.3">
      <c r="B186" s="155" t="s">
        <v>36</v>
      </c>
      <c r="C186" s="155" t="s">
        <v>37</v>
      </c>
      <c r="E186" s="142" t="s">
        <v>36</v>
      </c>
      <c r="F186" s="143" t="s">
        <v>37</v>
      </c>
      <c r="H186" s="156" t="s">
        <v>36</v>
      </c>
      <c r="I186" s="156" t="s">
        <v>37</v>
      </c>
      <c r="K186" s="185" t="str" cm="1">
        <f t="array" aca="1" ref="K186" ca="1">_xll.d.TestUtils_IsTrue(_xll.d.Formatting_Equal(B186,H186))</f>
        <v>OK</v>
      </c>
      <c r="L186" s="185" t="str" cm="1">
        <f t="array" aca="1" ref="L186" ca="1">_xll.d.TestUtils_IsTrue(_xll.d.Formatting_Equal(C186,I186))</f>
        <v>OK</v>
      </c>
    </row>
    <row r="187" spans="2:55" x14ac:dyDescent="0.3">
      <c r="B187" s="155" t="s">
        <v>57</v>
      </c>
      <c r="C187" s="155" t="s">
        <v>26</v>
      </c>
      <c r="E187" s="144" t="s">
        <v>57</v>
      </c>
      <c r="F187" s="145" t="s">
        <v>26</v>
      </c>
      <c r="H187" s="156" t="s">
        <v>57</v>
      </c>
      <c r="I187" s="156" t="s">
        <v>26</v>
      </c>
      <c r="K187" s="185" t="str" cm="1">
        <f t="array" aca="1" ref="K187" ca="1">_xll.d.TestUtils_IsTrue(_xll.d.Formatting_Equal(B187,H187))</f>
        <v>OK</v>
      </c>
      <c r="L187" s="185" t="str" cm="1">
        <f t="array" aca="1" ref="L187" ca="1">_xll.d.TestUtils_IsTrue(_xll.d.Formatting_Equal(C187,I187))</f>
        <v>OK</v>
      </c>
    </row>
    <row r="190" spans="2:55" ht="18" x14ac:dyDescent="0.35">
      <c r="B190" s="3" t="s">
        <v>174</v>
      </c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</row>
    <row r="192" spans="2:55" x14ac:dyDescent="0.3">
      <c r="B192" s="59" t="s">
        <v>136</v>
      </c>
      <c r="C192" s="185" t="str" cm="1">
        <f t="array" aca="1" ref="C192" ca="1">_xll.d.TestUtils_And(T203:X204)</f>
        <v>OK</v>
      </c>
    </row>
    <row r="194" spans="2:55" x14ac:dyDescent="0.3">
      <c r="B194" s="59" t="s">
        <v>116</v>
      </c>
      <c r="C194" s="59" t="s">
        <v>33</v>
      </c>
    </row>
    <row r="195" spans="2:55" x14ac:dyDescent="0.3">
      <c r="B195" s="98" t="s">
        <v>111</v>
      </c>
      <c r="C195" s="99" t="s">
        <v>130</v>
      </c>
    </row>
    <row r="196" spans="2:55" x14ac:dyDescent="0.3">
      <c r="B196" s="92" t="s">
        <v>112</v>
      </c>
      <c r="C196" s="93" t="s">
        <v>128</v>
      </c>
    </row>
    <row r="197" spans="2:55" x14ac:dyDescent="0.3">
      <c r="B197" s="149" t="s">
        <v>119</v>
      </c>
      <c r="C197" s="150"/>
    </row>
    <row r="199" spans="2:55" x14ac:dyDescent="0.3">
      <c r="B199" t="s">
        <v>132</v>
      </c>
    </row>
    <row r="201" spans="2:55" x14ac:dyDescent="0.3">
      <c r="B201" s="70" t="s">
        <v>92</v>
      </c>
      <c r="H201" s="70" t="s">
        <v>109</v>
      </c>
      <c r="N201" s="70" t="s">
        <v>110</v>
      </c>
      <c r="T201" s="70" t="s">
        <v>137</v>
      </c>
    </row>
    <row r="202" spans="2:55" x14ac:dyDescent="0.3">
      <c r="B202" s="155"/>
      <c r="C202" s="155"/>
      <c r="L202" s="156"/>
      <c r="M202" s="156"/>
    </row>
    <row r="203" spans="2:55" ht="15" customHeight="1" x14ac:dyDescent="0.3">
      <c r="B203" s="487" t="s">
        <v>58</v>
      </c>
      <c r="C203" s="187" t="s">
        <v>32</v>
      </c>
      <c r="D203" s="232" t="s">
        <v>13</v>
      </c>
      <c r="E203" s="233" t="s">
        <v>36</v>
      </c>
      <c r="F203" s="234" t="s">
        <v>57</v>
      </c>
      <c r="H203" s="156" t="s">
        <v>58</v>
      </c>
      <c r="I203" s="156" t="s">
        <v>32</v>
      </c>
      <c r="J203" s="156" t="s">
        <v>13</v>
      </c>
      <c r="K203" s="156" t="s">
        <v>36</v>
      </c>
      <c r="L203" s="156" t="s">
        <v>57</v>
      </c>
      <c r="N203" s="487" t="s">
        <v>58</v>
      </c>
      <c r="O203" s="187" t="s">
        <v>32</v>
      </c>
      <c r="P203" s="232" t="s">
        <v>13</v>
      </c>
      <c r="Q203" s="233" t="s">
        <v>36</v>
      </c>
      <c r="R203" s="234" t="s">
        <v>57</v>
      </c>
      <c r="T203" s="185" t="str" cm="1">
        <f t="array" aca="1" ref="T203" ca="1">_xll.d.TestUtils_IsTrue(_xll.d.Formatting_Equal(B203,N203))</f>
        <v>OK</v>
      </c>
      <c r="U203" s="185" t="str" cm="1">
        <f t="array" aca="1" ref="U203" ca="1">_xll.d.TestUtils_IsTrue(_xll.d.Formatting_Equal(C203,O203))</f>
        <v>OK</v>
      </c>
      <c r="V203" s="185" t="str" cm="1">
        <f t="array" aca="1" ref="V203" ca="1">_xll.d.TestUtils_IsTrue(_xll.d.Formatting_Equal(D203,P203))</f>
        <v>OK</v>
      </c>
      <c r="W203" s="185" t="str" cm="1">
        <f t="array" aca="1" ref="W203" ca="1">_xll.d.TestUtils_IsTrue(_xll.d.Formatting_Equal(E203,Q203))</f>
        <v>OK</v>
      </c>
      <c r="X203" s="185" t="str" cm="1">
        <f t="array" aca="1" ref="X203" ca="1">_xll.d.TestUtils_IsTrue(_xll.d.Formatting_Equal(F203,R203))</f>
        <v>OK</v>
      </c>
    </row>
    <row r="204" spans="2:55" x14ac:dyDescent="0.3">
      <c r="B204" s="489"/>
      <c r="C204" s="189" t="s">
        <v>33</v>
      </c>
      <c r="D204" s="235" t="s">
        <v>47</v>
      </c>
      <c r="E204" s="236" t="s">
        <v>37</v>
      </c>
      <c r="F204" s="237" t="s">
        <v>26</v>
      </c>
      <c r="H204" s="156"/>
      <c r="I204" s="156" t="s">
        <v>33</v>
      </c>
      <c r="J204" s="156" t="s">
        <v>47</v>
      </c>
      <c r="K204" s="156" t="s">
        <v>37</v>
      </c>
      <c r="L204" s="156" t="s">
        <v>26</v>
      </c>
      <c r="N204" s="489"/>
      <c r="O204" s="189" t="s">
        <v>33</v>
      </c>
      <c r="P204" s="235" t="s">
        <v>47</v>
      </c>
      <c r="Q204" s="236" t="s">
        <v>37</v>
      </c>
      <c r="R204" s="237" t="s">
        <v>26</v>
      </c>
      <c r="T204" s="185" t="str" cm="1">
        <f t="array" aca="1" ref="T204" ca="1">_xll.d.TestUtils_IsTrue(_xll.d.Formatting_Equal(B204,N204))</f>
        <v>OK</v>
      </c>
      <c r="U204" s="185" t="str" cm="1">
        <f t="array" aca="1" ref="U204" ca="1">_xll.d.TestUtils_IsTrue(_xll.d.Formatting_Equal(C204,O204))</f>
        <v>OK</v>
      </c>
      <c r="V204" s="185" t="str" cm="1">
        <f t="array" aca="1" ref="V204" ca="1">_xll.d.TestUtils_IsTrue(_xll.d.Formatting_Equal(D204,P204))</f>
        <v>OK</v>
      </c>
      <c r="W204" s="185" t="str" cm="1">
        <f t="array" aca="1" ref="W204" ca="1">_xll.d.TestUtils_IsTrue(_xll.d.Formatting_Equal(E204,Q204))</f>
        <v>OK</v>
      </c>
      <c r="X204" s="185" t="str" cm="1">
        <f t="array" aca="1" ref="X204" ca="1">_xll.d.TestUtils_IsTrue(_xll.d.Formatting_Equal(F204,R204))</f>
        <v>OK</v>
      </c>
    </row>
    <row r="207" spans="2:55" ht="18" x14ac:dyDescent="0.35">
      <c r="B207" s="3" t="s">
        <v>179</v>
      </c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</row>
    <row r="209" spans="2:24" x14ac:dyDescent="0.3">
      <c r="B209" s="59" t="s">
        <v>136</v>
      </c>
      <c r="C209" s="185" t="str" cm="1">
        <f t="array" aca="1" ref="C209" ca="1">_xll.d.TestUtils_And(T223:X229)</f>
        <v>OK</v>
      </c>
    </row>
    <row r="211" spans="2:24" x14ac:dyDescent="0.3">
      <c r="B211" s="59" t="s">
        <v>116</v>
      </c>
      <c r="C211" s="59" t="s">
        <v>33</v>
      </c>
    </row>
    <row r="212" spans="2:24" x14ac:dyDescent="0.3">
      <c r="B212" s="92" t="s">
        <v>111</v>
      </c>
      <c r="C212" s="93" t="s">
        <v>261</v>
      </c>
    </row>
    <row r="213" spans="2:24" x14ac:dyDescent="0.3">
      <c r="B213" s="94"/>
      <c r="C213" s="95" t="s">
        <v>130</v>
      </c>
    </row>
    <row r="214" spans="2:24" x14ac:dyDescent="0.3">
      <c r="B214" s="98" t="s">
        <v>112</v>
      </c>
      <c r="C214" s="99" t="s">
        <v>113</v>
      </c>
    </row>
    <row r="215" spans="2:24" x14ac:dyDescent="0.3">
      <c r="B215" s="166" t="s">
        <v>130</v>
      </c>
      <c r="C215" s="172">
        <v>2</v>
      </c>
    </row>
    <row r="216" spans="2:24" x14ac:dyDescent="0.3">
      <c r="B216" s="166" t="s">
        <v>131</v>
      </c>
      <c r="C216" s="172">
        <v>2</v>
      </c>
    </row>
    <row r="217" spans="2:24" x14ac:dyDescent="0.3">
      <c r="B217" s="149" t="s">
        <v>119</v>
      </c>
      <c r="C217" s="150"/>
    </row>
    <row r="219" spans="2:24" x14ac:dyDescent="0.3">
      <c r="B219" t="s">
        <v>262</v>
      </c>
    </row>
    <row r="221" spans="2:24" x14ac:dyDescent="0.3">
      <c r="B221" s="70" t="s">
        <v>92</v>
      </c>
      <c r="H221" s="70" t="s">
        <v>109</v>
      </c>
      <c r="N221" s="70" t="s">
        <v>110</v>
      </c>
      <c r="T221" s="70" t="s">
        <v>137</v>
      </c>
    </row>
    <row r="222" spans="2:24" x14ac:dyDescent="0.3">
      <c r="B222" s="155"/>
      <c r="C222" s="155"/>
      <c r="L222" s="156"/>
      <c r="M222" s="156"/>
    </row>
    <row r="223" spans="2:24" x14ac:dyDescent="0.3">
      <c r="B223" s="156" t="s">
        <v>259</v>
      </c>
      <c r="C223" s="156"/>
      <c r="D223" s="138" t="s">
        <v>260</v>
      </c>
      <c r="E223" s="231"/>
      <c r="F223" s="139"/>
      <c r="H223" s="156" t="s">
        <v>259</v>
      </c>
      <c r="I223" s="367" t="s">
        <v>263</v>
      </c>
      <c r="J223" s="156" t="s">
        <v>260</v>
      </c>
      <c r="K223" s="156"/>
      <c r="L223" s="156"/>
      <c r="M223" s="156"/>
      <c r="N223" s="156" t="s">
        <v>259</v>
      </c>
      <c r="O223" s="367" t="s">
        <v>263</v>
      </c>
      <c r="P223" s="368" t="s">
        <v>260</v>
      </c>
      <c r="Q223" s="369"/>
      <c r="R223" s="370"/>
      <c r="T223" s="185" t="str" cm="1">
        <f t="array" aca="1" ref="T223" ca="1">_xll.d.TestUtils_IsTrue(_xll.d.Formatting_Equal(B223,N223))</f>
        <v>OK</v>
      </c>
      <c r="U223" s="185" t="str" cm="1">
        <f t="array" aca="1" ref="U223" ca="1">_xll.d.TestUtils_IsTrue(_xll.d.Formatting_Equal(C223,O223))</f>
        <v>OK</v>
      </c>
      <c r="V223" s="185" t="str" cm="1">
        <f t="array" aca="1" ref="V223" ca="1">_xll.d.TestUtils_IsTrue(_xll.d.Formatting_Equal(D223,P223))</f>
        <v>OK</v>
      </c>
      <c r="W223" s="185" t="str" cm="1">
        <f t="array" aca="1" ref="W223" ca="1">_xll.d.TestUtils_IsTrue(_xll.d.Formatting_Equal(E223,Q223))</f>
        <v>OK</v>
      </c>
      <c r="X223" s="185" t="str" cm="1">
        <f t="array" aca="1" ref="X223" ca="1">_xll.d.TestUtils_IsTrue(_xll.d.Formatting_Equal(F223,R223))</f>
        <v>OK</v>
      </c>
    </row>
    <row r="224" spans="2:24" x14ac:dyDescent="0.3">
      <c r="B224" s="156"/>
      <c r="C224" s="156"/>
      <c r="D224" s="335">
        <v>0.75</v>
      </c>
      <c r="E224" s="336">
        <v>1</v>
      </c>
      <c r="F224" s="337">
        <v>1.25</v>
      </c>
      <c r="H224" s="367" t="s">
        <v>263</v>
      </c>
      <c r="I224" s="367" t="s">
        <v>263</v>
      </c>
      <c r="J224" s="156">
        <v>0.75</v>
      </c>
      <c r="K224" s="156">
        <v>1</v>
      </c>
      <c r="L224" s="156">
        <v>1.25</v>
      </c>
      <c r="M224" s="156"/>
      <c r="N224" s="367" t="s">
        <v>263</v>
      </c>
      <c r="O224" s="367" t="s">
        <v>263</v>
      </c>
      <c r="P224" s="371">
        <v>0.75</v>
      </c>
      <c r="Q224" s="372">
        <v>1</v>
      </c>
      <c r="R224" s="373">
        <v>1.25</v>
      </c>
      <c r="T224" s="185" t="str" cm="1">
        <f t="array" aca="1" ref="T224" ca="1">_xll.d.TestUtils_IsTrue(_xll.d.Formatting_Equal(B224,N224))</f>
        <v>OK</v>
      </c>
      <c r="U224" s="185" t="str" cm="1">
        <f t="array" aca="1" ref="U224" ca="1">_xll.d.TestUtils_IsTrue(_xll.d.Formatting_Equal(C224,O224))</f>
        <v>OK</v>
      </c>
      <c r="V224" s="185" t="str" cm="1">
        <f t="array" aca="1" ref="V224" ca="1">_xll.d.TestUtils_IsTrue(_xll.d.Formatting_Equal(D224,P224))</f>
        <v>OK</v>
      </c>
      <c r="W224" s="185" t="str" cm="1">
        <f t="array" aca="1" ref="W224" ca="1">_xll.d.TestUtils_IsTrue(_xll.d.Formatting_Equal(E224,Q224))</f>
        <v>OK</v>
      </c>
      <c r="X224" s="185" t="str" cm="1">
        <f t="array" aca="1" ref="X224" ca="1">_xll.d.TestUtils_IsTrue(_xll.d.Formatting_Equal(F224,R224))</f>
        <v>OK</v>
      </c>
    </row>
    <row r="225" spans="2:24" ht="15" customHeight="1" x14ac:dyDescent="0.3">
      <c r="B225" s="487" t="s">
        <v>39</v>
      </c>
      <c r="C225" s="341" t="s">
        <v>27</v>
      </c>
      <c r="D225" s="338">
        <v>0.25</v>
      </c>
      <c r="E225" s="333">
        <v>0.27</v>
      </c>
      <c r="F225" s="334">
        <v>0.28999999999999998</v>
      </c>
      <c r="H225" s="156" t="s">
        <v>39</v>
      </c>
      <c r="I225" s="156" t="s">
        <v>27</v>
      </c>
      <c r="J225" s="156">
        <v>0.25</v>
      </c>
      <c r="K225" s="156">
        <v>0.27</v>
      </c>
      <c r="L225" s="156">
        <v>0.28999999999999998</v>
      </c>
      <c r="M225" s="156"/>
      <c r="N225" s="487" t="s">
        <v>39</v>
      </c>
      <c r="O225" s="360" t="s">
        <v>27</v>
      </c>
      <c r="P225" s="374">
        <v>0.25</v>
      </c>
      <c r="Q225" s="363">
        <v>0.27</v>
      </c>
      <c r="R225" s="364">
        <v>0.28999999999999998</v>
      </c>
      <c r="T225" s="185" t="str" cm="1">
        <f t="array" aca="1" ref="T225" ca="1">_xll.d.TestUtils_IsTrue(_xll.d.Formatting_Equal(B225,N225))</f>
        <v>OK</v>
      </c>
      <c r="U225" s="185" t="str" cm="1">
        <f t="array" aca="1" ref="U225" ca="1">_xll.d.TestUtils_IsTrue(_xll.d.Formatting_Equal(C225,O225))</f>
        <v>OK</v>
      </c>
      <c r="V225" s="185" t="str" cm="1">
        <f t="array" aca="1" ref="V225" ca="1">_xll.d.TestUtils_IsTrue(_xll.d.Formatting_Equal(D225,P225))</f>
        <v>OK</v>
      </c>
      <c r="W225" s="185" t="str" cm="1">
        <f t="array" aca="1" ref="W225" ca="1">_xll.d.TestUtils_IsTrue(_xll.d.Formatting_Equal(E225,Q225))</f>
        <v>OK</v>
      </c>
      <c r="X225" s="185" t="str" cm="1">
        <f t="array" aca="1" ref="X225" ca="1">_xll.d.TestUtils_IsTrue(_xll.d.Formatting_Equal(F225,R225))</f>
        <v>OK</v>
      </c>
    </row>
    <row r="226" spans="2:24" x14ac:dyDescent="0.3">
      <c r="B226" s="488"/>
      <c r="C226" s="342" t="s">
        <v>28</v>
      </c>
      <c r="D226" s="339">
        <v>0.27</v>
      </c>
      <c r="E226" s="332">
        <v>0.28999999999999998</v>
      </c>
      <c r="F226" s="143">
        <v>0.31</v>
      </c>
      <c r="H226" s="156"/>
      <c r="I226" s="156" t="s">
        <v>28</v>
      </c>
      <c r="J226" s="156">
        <v>0.27</v>
      </c>
      <c r="K226" s="156">
        <v>0.28999999999999998</v>
      </c>
      <c r="L226" s="156">
        <v>0.31</v>
      </c>
      <c r="M226" s="156"/>
      <c r="N226" s="488"/>
      <c r="O226" s="361" t="s">
        <v>28</v>
      </c>
      <c r="P226" s="365">
        <v>0.27</v>
      </c>
      <c r="Q226" s="358">
        <v>0.28999999999999998</v>
      </c>
      <c r="R226" s="359">
        <v>0.31</v>
      </c>
      <c r="T226" s="185" t="str" cm="1">
        <f t="array" aca="1" ref="T226" ca="1">_xll.d.TestUtils_IsTrue(_xll.d.Formatting_Equal(B226,N226))</f>
        <v>OK</v>
      </c>
      <c r="U226" s="185" t="str" cm="1">
        <f t="array" aca="1" ref="U226" ca="1">_xll.d.TestUtils_IsTrue(_xll.d.Formatting_Equal(C226,O226))</f>
        <v>OK</v>
      </c>
      <c r="V226" s="185" t="str" cm="1">
        <f t="array" aca="1" ref="V226" ca="1">_xll.d.TestUtils_IsTrue(_xll.d.Formatting_Equal(D226,P226))</f>
        <v>OK</v>
      </c>
      <c r="W226" s="185" t="str" cm="1">
        <f t="array" aca="1" ref="W226" ca="1">_xll.d.TestUtils_IsTrue(_xll.d.Formatting_Equal(E226,Q226))</f>
        <v>OK</v>
      </c>
      <c r="X226" s="185" t="str" cm="1">
        <f t="array" aca="1" ref="X226" ca="1">_xll.d.TestUtils_IsTrue(_xll.d.Formatting_Equal(F226,R226))</f>
        <v>OK</v>
      </c>
    </row>
    <row r="227" spans="2:24" x14ac:dyDescent="0.3">
      <c r="B227" s="488"/>
      <c r="C227" s="342" t="s">
        <v>26</v>
      </c>
      <c r="D227" s="339">
        <v>0.28999999999999998</v>
      </c>
      <c r="E227" s="332">
        <v>0.31</v>
      </c>
      <c r="F227" s="143">
        <v>0.33</v>
      </c>
      <c r="H227" s="156"/>
      <c r="I227" s="156" t="s">
        <v>26</v>
      </c>
      <c r="J227" s="156">
        <v>0.28999999999999998</v>
      </c>
      <c r="K227" s="156">
        <v>0.31</v>
      </c>
      <c r="L227" s="156">
        <v>0.33</v>
      </c>
      <c r="M227" s="156"/>
      <c r="N227" s="488"/>
      <c r="O227" s="361" t="s">
        <v>26</v>
      </c>
      <c r="P227" s="365">
        <v>0.28999999999999998</v>
      </c>
      <c r="Q227" s="358">
        <v>0.31</v>
      </c>
      <c r="R227" s="359">
        <v>0.33</v>
      </c>
      <c r="T227" s="185" t="str" cm="1">
        <f t="array" aca="1" ref="T227" ca="1">_xll.d.TestUtils_IsTrue(_xll.d.Formatting_Equal(B227,N227))</f>
        <v>OK</v>
      </c>
      <c r="U227" s="185" t="str" cm="1">
        <f t="array" aca="1" ref="U227" ca="1">_xll.d.TestUtils_IsTrue(_xll.d.Formatting_Equal(C227,O227))</f>
        <v>OK</v>
      </c>
      <c r="V227" s="185" t="str" cm="1">
        <f t="array" aca="1" ref="V227" ca="1">_xll.d.TestUtils_IsTrue(_xll.d.Formatting_Equal(D227,P227))</f>
        <v>OK</v>
      </c>
      <c r="W227" s="185" t="str" cm="1">
        <f t="array" aca="1" ref="W227" ca="1">_xll.d.TestUtils_IsTrue(_xll.d.Formatting_Equal(E227,Q227))</f>
        <v>OK</v>
      </c>
      <c r="X227" s="185" t="str" cm="1">
        <f t="array" aca="1" ref="X227" ca="1">_xll.d.TestUtils_IsTrue(_xll.d.Formatting_Equal(F227,R227))</f>
        <v>OK</v>
      </c>
    </row>
    <row r="228" spans="2:24" x14ac:dyDescent="0.3">
      <c r="B228" s="488"/>
      <c r="C228" s="342" t="s">
        <v>29</v>
      </c>
      <c r="D228" s="339">
        <v>0.31</v>
      </c>
      <c r="E228" s="332">
        <v>0.33</v>
      </c>
      <c r="F228" s="143">
        <v>0.35</v>
      </c>
      <c r="H228" s="156"/>
      <c r="I228" s="156" t="s">
        <v>29</v>
      </c>
      <c r="J228" s="156">
        <v>0.31</v>
      </c>
      <c r="K228" s="156">
        <v>0.33</v>
      </c>
      <c r="L228" s="156">
        <v>0.35</v>
      </c>
      <c r="M228" s="156"/>
      <c r="N228" s="488"/>
      <c r="O228" s="361" t="s">
        <v>29</v>
      </c>
      <c r="P228" s="365">
        <v>0.31</v>
      </c>
      <c r="Q228" s="358">
        <v>0.33</v>
      </c>
      <c r="R228" s="359">
        <v>0.35</v>
      </c>
      <c r="T228" s="185" t="str" cm="1">
        <f t="array" aca="1" ref="T228" ca="1">_xll.d.TestUtils_IsTrue(_xll.d.Formatting_Equal(B228,N228))</f>
        <v>OK</v>
      </c>
      <c r="U228" s="185" t="str" cm="1">
        <f t="array" aca="1" ref="U228" ca="1">_xll.d.TestUtils_IsTrue(_xll.d.Formatting_Equal(C228,O228))</f>
        <v>OK</v>
      </c>
      <c r="V228" s="185" t="str" cm="1">
        <f t="array" aca="1" ref="V228" ca="1">_xll.d.TestUtils_IsTrue(_xll.d.Formatting_Equal(D228,P228))</f>
        <v>OK</v>
      </c>
      <c r="W228" s="185" t="str" cm="1">
        <f t="array" aca="1" ref="W228" ca="1">_xll.d.TestUtils_IsTrue(_xll.d.Formatting_Equal(E228,Q228))</f>
        <v>OK</v>
      </c>
      <c r="X228" s="185" t="str" cm="1">
        <f t="array" aca="1" ref="X228" ca="1">_xll.d.TestUtils_IsTrue(_xll.d.Formatting_Equal(F228,R228))</f>
        <v>OK</v>
      </c>
    </row>
    <row r="229" spans="2:24" x14ac:dyDescent="0.3">
      <c r="B229" s="489"/>
      <c r="C229" s="343" t="s">
        <v>62</v>
      </c>
      <c r="D229" s="340">
        <v>0.33</v>
      </c>
      <c r="E229" s="230">
        <v>0.35</v>
      </c>
      <c r="F229" s="145">
        <v>0.37</v>
      </c>
      <c r="H229" s="156"/>
      <c r="I229" s="156" t="s">
        <v>62</v>
      </c>
      <c r="J229" s="156">
        <v>0.33</v>
      </c>
      <c r="K229" s="156">
        <v>0.35</v>
      </c>
      <c r="L229" s="156">
        <v>0.37</v>
      </c>
      <c r="M229" s="156"/>
      <c r="N229" s="489"/>
      <c r="O229" s="362" t="s">
        <v>62</v>
      </c>
      <c r="P229" s="366">
        <v>0.33</v>
      </c>
      <c r="Q229" s="236">
        <v>0.35</v>
      </c>
      <c r="R229" s="237">
        <v>0.37</v>
      </c>
      <c r="T229" s="185" t="str" cm="1">
        <f t="array" aca="1" ref="T229" ca="1">_xll.d.TestUtils_IsTrue(_xll.d.Formatting_Equal(B229,N229))</f>
        <v>OK</v>
      </c>
      <c r="U229" s="185" t="str" cm="1">
        <f t="array" aca="1" ref="U229" ca="1">_xll.d.TestUtils_IsTrue(_xll.d.Formatting_Equal(C229,O229))</f>
        <v>OK</v>
      </c>
      <c r="V229" s="185" t="str" cm="1">
        <f t="array" aca="1" ref="V229" ca="1">_xll.d.TestUtils_IsTrue(_xll.d.Formatting_Equal(D229,P229))</f>
        <v>OK</v>
      </c>
      <c r="W229" s="185" t="str" cm="1">
        <f t="array" aca="1" ref="W229" ca="1">_xll.d.TestUtils_IsTrue(_xll.d.Formatting_Equal(E229,Q229))</f>
        <v>OK</v>
      </c>
      <c r="X229" s="185" t="str" cm="1">
        <f t="array" aca="1" ref="X229" ca="1">_xll.d.TestUtils_IsTrue(_xll.d.Formatting_Equal(F229,R229))</f>
        <v>OK</v>
      </c>
    </row>
    <row r="230" spans="2:24" x14ac:dyDescent="0.3">
      <c r="H230" s="156"/>
      <c r="I230" s="156"/>
      <c r="J230" s="156"/>
      <c r="K230" s="156"/>
      <c r="L230" s="156"/>
      <c r="M230" s="156"/>
      <c r="N230" s="156"/>
      <c r="O230" s="156"/>
      <c r="P230" s="156"/>
      <c r="Q230" s="156"/>
      <c r="R230" s="156"/>
    </row>
  </sheetData>
  <mergeCells count="7">
    <mergeCell ref="B225:B229"/>
    <mergeCell ref="B93:B109"/>
    <mergeCell ref="H129:H145"/>
    <mergeCell ref="N93:N109"/>
    <mergeCell ref="B203:B204"/>
    <mergeCell ref="N203:N204"/>
    <mergeCell ref="N225:N229"/>
  </mergeCells>
  <conditionalFormatting sqref="C4">
    <cfRule type="cellIs" dxfId="62" priority="16" stopIfTrue="1" operator="equal">
      <formula>"ERROR"</formula>
    </cfRule>
    <cfRule type="cellIs" dxfId="61" priority="17" stopIfTrue="1" operator="equal">
      <formula>"OK"</formula>
    </cfRule>
    <cfRule type="cellIs" dxfId="60" priority="18" stopIfTrue="1" operator="equal">
      <formula>"WARNING"</formula>
    </cfRule>
  </conditionalFormatting>
  <conditionalFormatting sqref="C7:C12">
    <cfRule type="cellIs" dxfId="59" priority="19" stopIfTrue="1" operator="equal">
      <formula>"ERROR"</formula>
    </cfRule>
    <cfRule type="cellIs" dxfId="58" priority="20" stopIfTrue="1" operator="equal">
      <formula>"OK"</formula>
    </cfRule>
    <cfRule type="cellIs" dxfId="57" priority="21" stopIfTrue="1" operator="equal">
      <formula>"WARNING"</formula>
    </cfRule>
  </conditionalFormatting>
  <conditionalFormatting sqref="C30">
    <cfRule type="cellIs" dxfId="56" priority="22" stopIfTrue="1" operator="equal">
      <formula>"ERROR"</formula>
    </cfRule>
    <cfRule type="cellIs" dxfId="55" priority="23" stopIfTrue="1" operator="equal">
      <formula>"OK"</formula>
    </cfRule>
    <cfRule type="cellIs" dxfId="54" priority="24" stopIfTrue="1" operator="equal">
      <formula>"WARNING"</formula>
    </cfRule>
  </conditionalFormatting>
  <conditionalFormatting sqref="BD45:BT49">
    <cfRule type="cellIs" dxfId="53" priority="25" stopIfTrue="1" operator="equal">
      <formula>"ERROR"</formula>
    </cfRule>
    <cfRule type="cellIs" dxfId="52" priority="26" stopIfTrue="1" operator="equal">
      <formula>"OK"</formula>
    </cfRule>
    <cfRule type="cellIs" dxfId="51" priority="27" stopIfTrue="1" operator="equal">
      <formula>"WARNING"</formula>
    </cfRule>
  </conditionalFormatting>
  <conditionalFormatting sqref="C54">
    <cfRule type="cellIs" dxfId="50" priority="28" stopIfTrue="1" operator="equal">
      <formula>"ERROR"</formula>
    </cfRule>
    <cfRule type="cellIs" dxfId="49" priority="29" stopIfTrue="1" operator="equal">
      <formula>"OK"</formula>
    </cfRule>
    <cfRule type="cellIs" dxfId="48" priority="30" stopIfTrue="1" operator="equal">
      <formula>"WARNING"</formula>
    </cfRule>
  </conditionalFormatting>
  <conditionalFormatting sqref="BD69:BT73">
    <cfRule type="cellIs" dxfId="47" priority="31" stopIfTrue="1" operator="equal">
      <formula>"ERROR"</formula>
    </cfRule>
    <cfRule type="cellIs" dxfId="46" priority="32" stopIfTrue="1" operator="equal">
      <formula>"OK"</formula>
    </cfRule>
    <cfRule type="cellIs" dxfId="45" priority="33" stopIfTrue="1" operator="equal">
      <formula>"WARNING"</formula>
    </cfRule>
  </conditionalFormatting>
  <conditionalFormatting sqref="C78">
    <cfRule type="cellIs" dxfId="44" priority="34" stopIfTrue="1" operator="equal">
      <formula>"ERROR"</formula>
    </cfRule>
    <cfRule type="cellIs" dxfId="43" priority="35" stopIfTrue="1" operator="equal">
      <formula>"OK"</formula>
    </cfRule>
    <cfRule type="cellIs" dxfId="42" priority="36" stopIfTrue="1" operator="equal">
      <formula>"WARNING"</formula>
    </cfRule>
  </conditionalFormatting>
  <conditionalFormatting sqref="T93:X109">
    <cfRule type="cellIs" dxfId="41" priority="37" stopIfTrue="1" operator="equal">
      <formula>"ERROR"</formula>
    </cfRule>
    <cfRule type="cellIs" dxfId="40" priority="38" stopIfTrue="1" operator="equal">
      <formula>"OK"</formula>
    </cfRule>
    <cfRule type="cellIs" dxfId="39" priority="39" stopIfTrue="1" operator="equal">
      <formula>"WARNING"</formula>
    </cfRule>
  </conditionalFormatting>
  <conditionalFormatting sqref="C114">
    <cfRule type="cellIs" dxfId="38" priority="40" stopIfTrue="1" operator="equal">
      <formula>"ERROR"</formula>
    </cfRule>
    <cfRule type="cellIs" dxfId="37" priority="41" stopIfTrue="1" operator="equal">
      <formula>"OK"</formula>
    </cfRule>
    <cfRule type="cellIs" dxfId="36" priority="42" stopIfTrue="1" operator="equal">
      <formula>"WARNING"</formula>
    </cfRule>
  </conditionalFormatting>
  <conditionalFormatting sqref="T129:X145">
    <cfRule type="cellIs" dxfId="35" priority="43" stopIfTrue="1" operator="equal">
      <formula>"ERROR"</formula>
    </cfRule>
    <cfRule type="cellIs" dxfId="34" priority="44" stopIfTrue="1" operator="equal">
      <formula>"OK"</formula>
    </cfRule>
    <cfRule type="cellIs" dxfId="33" priority="45" stopIfTrue="1" operator="equal">
      <formula>"WARNING"</formula>
    </cfRule>
  </conditionalFormatting>
  <conditionalFormatting sqref="C150">
    <cfRule type="cellIs" dxfId="32" priority="46" stopIfTrue="1" operator="equal">
      <formula>"ERROR"</formula>
    </cfRule>
    <cfRule type="cellIs" dxfId="31" priority="47" stopIfTrue="1" operator="equal">
      <formula>"OK"</formula>
    </cfRule>
    <cfRule type="cellIs" dxfId="30" priority="48" stopIfTrue="1" operator="equal">
      <formula>"WARNING"</formula>
    </cfRule>
  </conditionalFormatting>
  <conditionalFormatting sqref="K163:L167">
    <cfRule type="cellIs" dxfId="29" priority="49" stopIfTrue="1" operator="equal">
      <formula>"ERROR"</formula>
    </cfRule>
    <cfRule type="cellIs" dxfId="28" priority="50" stopIfTrue="1" operator="equal">
      <formula>"OK"</formula>
    </cfRule>
    <cfRule type="cellIs" dxfId="27" priority="51" stopIfTrue="1" operator="equal">
      <formula>"WARNING"</formula>
    </cfRule>
  </conditionalFormatting>
  <conditionalFormatting sqref="K183:L187">
    <cfRule type="cellIs" dxfId="26" priority="52" stopIfTrue="1" operator="equal">
      <formula>"ERROR"</formula>
    </cfRule>
    <cfRule type="cellIs" dxfId="25" priority="53" stopIfTrue="1" operator="equal">
      <formula>"OK"</formula>
    </cfRule>
    <cfRule type="cellIs" dxfId="24" priority="54" stopIfTrue="1" operator="equal">
      <formula>"WARNING"</formula>
    </cfRule>
  </conditionalFormatting>
  <conditionalFormatting sqref="C172">
    <cfRule type="cellIs" dxfId="23" priority="55" stopIfTrue="1" operator="equal">
      <formula>"ERROR"</formula>
    </cfRule>
    <cfRule type="cellIs" dxfId="22" priority="56" stopIfTrue="1" operator="equal">
      <formula>"OK"</formula>
    </cfRule>
    <cfRule type="cellIs" dxfId="21" priority="57" stopIfTrue="1" operator="equal">
      <formula>"WARNING"</formula>
    </cfRule>
  </conditionalFormatting>
  <conditionalFormatting sqref="C192">
    <cfRule type="cellIs" dxfId="20" priority="13" stopIfTrue="1" operator="equal">
      <formula>"ERROR"</formula>
    </cfRule>
    <cfRule type="cellIs" dxfId="19" priority="14" stopIfTrue="1" operator="equal">
      <formula>"OK"</formula>
    </cfRule>
    <cfRule type="cellIs" dxfId="18" priority="15" stopIfTrue="1" operator="equal">
      <formula>"WARNING"</formula>
    </cfRule>
  </conditionalFormatting>
  <conditionalFormatting sqref="T203:X204">
    <cfRule type="cellIs" dxfId="17" priority="58" stopIfTrue="1" operator="equal">
      <formula>"ERROR"</formula>
    </cfRule>
    <cfRule type="cellIs" dxfId="16" priority="59" stopIfTrue="1" operator="equal">
      <formula>"OK"</formula>
    </cfRule>
    <cfRule type="cellIs" dxfId="15" priority="60" stopIfTrue="1" operator="equal">
      <formula>"WARNING"</formula>
    </cfRule>
  </conditionalFormatting>
  <conditionalFormatting sqref="C13:C14">
    <cfRule type="cellIs" dxfId="14" priority="61" stopIfTrue="1" operator="equal">
      <formula>"ERROR"</formula>
    </cfRule>
    <cfRule type="cellIs" dxfId="13" priority="62" stopIfTrue="1" operator="equal">
      <formula>"OK"</formula>
    </cfRule>
    <cfRule type="cellIs" dxfId="12" priority="63" stopIfTrue="1" operator="equal">
      <formula>"WARNING"</formula>
    </cfRule>
  </conditionalFormatting>
  <conditionalFormatting sqref="C209">
    <cfRule type="cellIs" dxfId="11" priority="4" stopIfTrue="1" operator="equal">
      <formula>"ERROR"</formula>
    </cfRule>
    <cfRule type="cellIs" dxfId="10" priority="5" stopIfTrue="1" operator="equal">
      <formula>"OK"</formula>
    </cfRule>
    <cfRule type="cellIs" dxfId="9" priority="6" stopIfTrue="1" operator="equal">
      <formula>"WARNING"</formula>
    </cfRule>
  </conditionalFormatting>
  <conditionalFormatting sqref="T223:X229">
    <cfRule type="cellIs" dxfId="8" priority="1" stopIfTrue="1" operator="equal">
      <formula>"ERROR"</formula>
    </cfRule>
    <cfRule type="cellIs" dxfId="7" priority="2" stopIfTrue="1" operator="equal">
      <formula>"OK"</formula>
    </cfRule>
    <cfRule type="cellIs" dxfId="6" priority="3" stopIfTrue="1" operator="equal">
      <formula>"WARNING"</formula>
    </cfRule>
  </conditionalFormatting>
  <hyperlinks>
    <hyperlink ref="B39:C39" location="TableFormatting.Test1.ResetTest" display="Reset Test" xr:uid="{C6E968F6-A89C-442F-A0AC-BA7ABF55F044}"/>
    <hyperlink ref="B63:C63" location="TableFormatting.Test2.ResetTest" display="Reset Test" xr:uid="{7E746732-EBEF-49E4-BE94-F57093061195}"/>
    <hyperlink ref="B87:C87" location="TableFormatting.Test3.ResetTest" display="Reset Test" xr:uid="{D41723A6-7013-49D9-B59B-B09BB98748D2}"/>
    <hyperlink ref="B123" location="TableFormatting.Test4.ResetTest" display="Reset Test" xr:uid="{917E8DDA-4904-498B-A095-7B7F3681FFF7}"/>
    <hyperlink ref="B123:C123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7" location="TableFormatting.Test4.ResetTest" display="Reset Test" xr:uid="{A346A7D6-BC13-45E1-A933-5844A359F14E}"/>
    <hyperlink ref="B157:C157" location="TableFormatting.Test5.ResetTest" display="Reset Test" xr:uid="{AE57B19C-0F52-459D-A81B-6B12F4B8A5E9}"/>
    <hyperlink ref="B177" location="TableFormatting.Test4.ResetTest" display="Reset Test" xr:uid="{3232C02B-4A1D-485A-87BF-BC3F4B1652B2}"/>
    <hyperlink ref="B177:C177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7" location="TableFormatting.Test4.ResetTest" display="Reset Test" xr:uid="{E26FBFB9-A010-4C10-8036-2BC9DCEE3656}"/>
    <hyperlink ref="B197:C197" location="TableFormatting.Test7.ResetTest" display="Reset Test" xr:uid="{43399926-4CAA-44F5-BF67-C9E249613C8F}"/>
    <hyperlink ref="B13" location="TableFormatting.Test7.Title" display="Test 7" xr:uid="{F44D0772-A61F-42EC-9F2A-28C3142F91BD}"/>
    <hyperlink ref="B217" location="TableFormatting.Test4.ResetTest" display="Reset Test" xr:uid="{0687D9AA-52F5-4468-BEBB-53A2F7C0B3E3}"/>
    <hyperlink ref="B217:C217" location="TableFormatting.Test8.ResetTest" display="Reset Test" xr:uid="{4F397E9B-F98D-45B9-B2DC-E9242F71AE6A}"/>
    <hyperlink ref="B14" location="TableFormatting.Test8.Title" display="Test 8" xr:uid="{9309526C-C1DD-4F6F-9A89-5FFF93DA589B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Summary</vt:lpstr>
      <vt:lpstr>Utilities</vt:lpstr>
      <vt:lpstr>Dates</vt:lpstr>
      <vt:lpstr>Mathematics</vt:lpstr>
      <vt:lpstr>Stats</vt:lpstr>
      <vt:lpstr>Interest Rate curves</vt:lpstr>
      <vt:lpstr>Curves</vt:lpstr>
      <vt:lpstr>SinlgeCurveBootstrapping</vt:lpstr>
      <vt:lpstr>MultiCurveBootstrapping</vt:lpstr>
      <vt:lpstr>HullWhite</vt:lpstr>
      <vt:lpstr>Fixed Income Instruments</vt:lpstr>
      <vt:lpstr>Interest Rate Swaps</vt:lpstr>
      <vt:lpstr>Other</vt:lpstr>
      <vt:lpstr>Test Utils</vt:lpstr>
      <vt:lpstr>Table Formatting</vt:lpstr>
      <vt:lpstr>Dates!Curves.Title</vt:lpstr>
      <vt:lpstr>Mathematics!Curves.Title</vt:lpstr>
      <vt:lpstr>Stats!Curves.Title</vt:lpstr>
      <vt:lpstr>Curves.Title</vt:lpstr>
      <vt:lpstr>Logic.Title</vt:lpstr>
      <vt:lpstr>Summary.ResetTestsInAllSheets</vt:lpstr>
      <vt:lpstr>Summary.RunTestsInAllSheets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Rizzo, Massimo</cp:lastModifiedBy>
  <dcterms:created xsi:type="dcterms:W3CDTF">2022-05-06T13:34:18Z</dcterms:created>
  <dcterms:modified xsi:type="dcterms:W3CDTF">2022-11-25T10:54:07Z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