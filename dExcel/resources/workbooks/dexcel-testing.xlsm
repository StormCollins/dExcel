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9A8D4AF-7DDE-42CF-9CDB-09F392751042}" xr6:coauthVersionLast="47" xr6:coauthVersionMax="47" xr10:uidLastSave="{00000000-0000-0000-0000-000000000000}"/>
  <bookViews>
    <workbookView xWindow="-120" yWindow="-120" windowWidth="24240" windowHeight="13140" tabRatio="721" firstSheet="13" activeTab="17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5" i="29" l="1" a="1"/>
  <c r="M15" i="29"/>
  <c r="B15" i="29" a="1"/>
  <c r="B15" i="29"/>
  <c r="U54" i="29"/>
  <c r="U54" i="29" a="1"/>
  <c r="S54" i="29"/>
  <c r="U53" i="29"/>
  <c r="U53" i="29" a="1"/>
  <c r="S53" i="29"/>
  <c r="U52" i="29"/>
  <c r="U52" i="29" a="1"/>
  <c r="S52" i="29"/>
  <c r="U51" i="29"/>
  <c r="U51" i="29" a="1"/>
  <c r="S51" i="29"/>
  <c r="U50" i="29"/>
  <c r="U50" i="29" a="1"/>
  <c r="S50" i="29"/>
  <c r="U49" i="29"/>
  <c r="U49" i="29" a="1"/>
  <c r="S49" i="29"/>
  <c r="U48" i="29"/>
  <c r="U48" i="29" a="1"/>
  <c r="S48" i="29"/>
  <c r="U47" i="29"/>
  <c r="U47" i="29" a="1"/>
  <c r="S47" i="29"/>
  <c r="U46" i="29"/>
  <c r="U46" i="29" a="1"/>
  <c r="S46" i="29"/>
  <c r="U45" i="29"/>
  <c r="U45" i="29" a="1"/>
  <c r="S45" i="29"/>
  <c r="U44" i="29"/>
  <c r="U44" i="29" a="1"/>
  <c r="S44" i="29"/>
  <c r="U43" i="29"/>
  <c r="U43" i="29" a="1"/>
  <c r="S43" i="29"/>
  <c r="U42" i="29"/>
  <c r="U42" i="29" a="1"/>
  <c r="S42" i="29"/>
  <c r="U41" i="29"/>
  <c r="U41" i="29" a="1"/>
  <c r="S41" i="29"/>
  <c r="U40" i="29"/>
  <c r="U40" i="29" a="1"/>
  <c r="S40" i="29"/>
  <c r="U39" i="29"/>
  <c r="U39" i="29" a="1"/>
  <c r="S39" i="29"/>
  <c r="U38" i="29"/>
  <c r="U38" i="29" a="1"/>
  <c r="S38" i="29"/>
  <c r="U37" i="29"/>
  <c r="U37" i="29" a="1"/>
  <c r="S37" i="29"/>
  <c r="U36" i="29"/>
  <c r="U36" i="29" a="1"/>
  <c r="S36" i="29"/>
  <c r="U35" i="29"/>
  <c r="U35" i="29" a="1"/>
  <c r="S35" i="29"/>
  <c r="U34" i="29"/>
  <c r="U34" i="29" a="1"/>
  <c r="S34" i="29"/>
  <c r="U33" i="29"/>
  <c r="U33" i="29" a="1"/>
  <c r="S33" i="29"/>
  <c r="U32" i="29"/>
  <c r="U32" i="29" a="1"/>
  <c r="S32" i="29"/>
  <c r="U31" i="29"/>
  <c r="U31" i="29" a="1"/>
  <c r="S31" i="29"/>
  <c r="U30" i="29"/>
  <c r="U30" i="29" a="1"/>
  <c r="S30" i="29"/>
  <c r="U29" i="29"/>
  <c r="U29" i="29" a="1"/>
  <c r="S29" i="29"/>
  <c r="U28" i="29"/>
  <c r="U28" i="29" a="1"/>
  <c r="S28" i="29"/>
  <c r="U27" i="29"/>
  <c r="U27" i="29" a="1"/>
  <c r="T27" i="29"/>
  <c r="T27" i="29" a="1"/>
  <c r="S27" i="29"/>
  <c r="N12" i="29"/>
  <c r="N12" i="29" a="1"/>
  <c r="I82" i="3" a="1"/>
  <c r="I82" i="3"/>
  <c r="C82" i="3" a="1"/>
  <c r="D72" i="24" a="1"/>
  <c r="C82" i="3" l="1"/>
  <c r="D72" i="24"/>
  <c r="C86" i="3" a="1"/>
  <c r="D71" i="24" a="1"/>
  <c r="C86" i="3" l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C45" i="25" s="1"/>
  <c r="D42" i="25" a="1"/>
  <c r="D42" i="25" s="1"/>
  <c r="D39" i="25" a="1"/>
  <c r="D39" i="25" s="1"/>
  <c r="AF31" i="25" a="1"/>
  <c r="AG32" i="25" s="1"/>
  <c r="AF31" i="25"/>
  <c r="AG31" i="25"/>
  <c r="AH31" i="25"/>
  <c r="AF32" i="25"/>
  <c r="AH32" i="25"/>
  <c r="AF33" i="25"/>
  <c r="AG33" i="25"/>
  <c r="AH33" i="25"/>
  <c r="AF26" i="25" a="1"/>
  <c r="AG26" i="25" s="1"/>
  <c r="AH23" i="25" a="1"/>
  <c r="AH23" i="25" s="1"/>
  <c r="AH20" i="25" a="1"/>
  <c r="AH20" i="25"/>
  <c r="B31" i="25" a="1"/>
  <c r="C32" i="25" s="1"/>
  <c r="B31" i="25"/>
  <c r="C31" i="25"/>
  <c r="D31" i="25"/>
  <c r="B32" i="25"/>
  <c r="C33" i="25"/>
  <c r="D33" i="25"/>
  <c r="B26" i="25" a="1"/>
  <c r="C26" i="25" s="1"/>
  <c r="B26" i="25"/>
  <c r="D23" i="25" a="1"/>
  <c r="D23" i="25" s="1"/>
  <c r="D20" i="25" a="1"/>
  <c r="D20" i="25"/>
  <c r="AH55" i="3"/>
  <c r="AH56" i="3"/>
  <c r="AH57" i="3"/>
  <c r="AH58" i="3"/>
  <c r="AH59" i="3"/>
  <c r="AH60" i="3"/>
  <c r="AF38" i="3"/>
  <c r="AF39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C16" i="24" a="1"/>
  <c r="AG38" i="3" a="1"/>
  <c r="AG39" i="3" a="1"/>
  <c r="AF43" i="3" a="1"/>
  <c r="AB29" i="3" a="1"/>
  <c r="C16" i="24" l="1"/>
  <c r="AF26" i="25"/>
  <c r="B45" i="25"/>
  <c r="D28" i="25"/>
  <c r="B33" i="25"/>
  <c r="AH28" i="25"/>
  <c r="D47" i="25"/>
  <c r="C28" i="25"/>
  <c r="D32" i="25"/>
  <c r="AG28" i="25"/>
  <c r="C47" i="25"/>
  <c r="B28" i="25"/>
  <c r="AF28" i="25"/>
  <c r="B47" i="25"/>
  <c r="D27" i="25"/>
  <c r="AH27" i="25"/>
  <c r="D46" i="25"/>
  <c r="C27" i="25"/>
  <c r="AG27" i="25"/>
  <c r="C46" i="25"/>
  <c r="B27" i="25"/>
  <c r="AF27" i="25"/>
  <c r="B46" i="25"/>
  <c r="D26" i="25"/>
  <c r="AH26" i="25"/>
  <c r="D45" i="25"/>
  <c r="AF47" i="3"/>
  <c r="AF48" i="3"/>
  <c r="AF49" i="3"/>
  <c r="AF50" i="3"/>
  <c r="AF51" i="3"/>
  <c r="AF43" i="3"/>
  <c r="AF44" i="3"/>
  <c r="AF45" i="3"/>
  <c r="AF46" i="3"/>
  <c r="AG39" i="3"/>
  <c r="AG38" i="3"/>
  <c r="AB29" i="3"/>
  <c r="AG48" i="3" a="1"/>
  <c r="AG44" i="3" a="1"/>
  <c r="AG49" i="3" a="1"/>
  <c r="AI44" i="3" a="1"/>
  <c r="AG50" i="3" a="1"/>
  <c r="AH44" i="3" a="1"/>
  <c r="AG51" i="3" a="1"/>
  <c r="AH39" i="3" a="1"/>
  <c r="AH38" i="3" a="1"/>
  <c r="AG45" i="3" a="1"/>
  <c r="AG47" i="3" a="1"/>
  <c r="AG46" i="3" a="1"/>
  <c r="AG46" i="3" l="1"/>
  <c r="AG47" i="3"/>
  <c r="AG45" i="3"/>
  <c r="AG51" i="3"/>
  <c r="AG50" i="3"/>
  <c r="AG49" i="3"/>
  <c r="AG44" i="3"/>
  <c r="AG48" i="3"/>
  <c r="AH38" i="3"/>
  <c r="AH39" i="3"/>
  <c r="AH51" i="3"/>
  <c r="AH44" i="3"/>
  <c r="AH45" i="3"/>
  <c r="AH46" i="3"/>
  <c r="AH48" i="3"/>
  <c r="AH47" i="3"/>
  <c r="AH49" i="3"/>
  <c r="AH50" i="3"/>
  <c r="AI45" i="3"/>
  <c r="AI46" i="3"/>
  <c r="AI47" i="3"/>
  <c r="AI48" i="3"/>
  <c r="AI49" i="3"/>
  <c r="AI50" i="3"/>
  <c r="AI51" i="3"/>
  <c r="AI44" i="3"/>
  <c r="AI39" i="3" a="1"/>
  <c r="AI38" i="3" a="1"/>
  <c r="AI39" i="3" l="1"/>
  <c r="AI38" i="3"/>
  <c r="AG58" i="3"/>
  <c r="AG57" i="3"/>
  <c r="AG55" i="3"/>
  <c r="AG56" i="3" a="1"/>
  <c r="AG56" i="3" s="1"/>
  <c r="AG60" i="3"/>
  <c r="AG59" i="3"/>
  <c r="AI58" i="3" a="1"/>
  <c r="AI56" i="3" a="1"/>
  <c r="AI57" i="3" a="1"/>
  <c r="AI60" i="3" a="1"/>
  <c r="AI59" i="3" a="1"/>
  <c r="AI55" i="3" a="1"/>
  <c r="AI56" i="3" l="1"/>
  <c r="AI57" i="3"/>
  <c r="AI58" i="3"/>
  <c r="AI55" i="3"/>
  <c r="AI59" i="3"/>
  <c r="AI60" i="3"/>
  <c r="H86" i="3" l="1"/>
  <c r="H87" i="3"/>
  <c r="J87" i="3" s="1"/>
  <c r="J86" i="3"/>
  <c r="B86" i="3"/>
  <c r="B87" i="3" s="1"/>
  <c r="AQ85" i="27"/>
  <c r="AQ86" i="27"/>
  <c r="AQ87" i="27"/>
  <c r="AQ88" i="27"/>
  <c r="AQ89" i="27"/>
  <c r="AQ90" i="27"/>
  <c r="AQ91" i="27"/>
  <c r="AQ92" i="27"/>
  <c r="AQ93" i="27"/>
  <c r="AQ94" i="27"/>
  <c r="AQ95" i="27"/>
  <c r="AQ96" i="27"/>
  <c r="AQ97" i="27"/>
  <c r="AQ98" i="27"/>
  <c r="AQ99" i="27"/>
  <c r="AQ100" i="27"/>
  <c r="AQ101" i="27"/>
  <c r="AQ102" i="27"/>
  <c r="AQ103" i="27"/>
  <c r="AQ104" i="27"/>
  <c r="AQ105" i="27"/>
  <c r="AQ106" i="27"/>
  <c r="AQ107" i="27"/>
  <c r="AQ108" i="27"/>
  <c r="AQ109" i="27"/>
  <c r="AQ110" i="27"/>
  <c r="AL99" i="27"/>
  <c r="AL101" i="27"/>
  <c r="AL102" i="27"/>
  <c r="AL103" i="27"/>
  <c r="AJ99" i="27"/>
  <c r="AJ100" i="27"/>
  <c r="AJ101" i="27"/>
  <c r="AJ102" i="27"/>
  <c r="AJ103" i="27"/>
  <c r="AJ104" i="27"/>
  <c r="AJ105" i="27"/>
  <c r="AJ106" i="27"/>
  <c r="AG92" i="27"/>
  <c r="AG93" i="27"/>
  <c r="AG94" i="27"/>
  <c r="AG95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AG109" i="27"/>
  <c r="AG110" i="27"/>
  <c r="AG111" i="27"/>
  <c r="AG112" i="27"/>
  <c r="AG113" i="27"/>
  <c r="AG114" i="27"/>
  <c r="AC92" i="27"/>
  <c r="AC93" i="27"/>
  <c r="AC94" i="27"/>
  <c r="AC95" i="27"/>
  <c r="AC96" i="27"/>
  <c r="AC97" i="27"/>
  <c r="AC98" i="27"/>
  <c r="AC99" i="27"/>
  <c r="AC100" i="27"/>
  <c r="AC101" i="27"/>
  <c r="AC102" i="27"/>
  <c r="AC103" i="27"/>
  <c r="AC104" i="27"/>
  <c r="AC105" i="27"/>
  <c r="AC106" i="27"/>
  <c r="AC107" i="27"/>
  <c r="AC108" i="27"/>
  <c r="AC109" i="27"/>
  <c r="AC110" i="27"/>
  <c r="AC111" i="27"/>
  <c r="AC112" i="27"/>
  <c r="AC113" i="27"/>
  <c r="AC114" i="27"/>
  <c r="AC115" i="27"/>
  <c r="AC116" i="27"/>
  <c r="AC117" i="27"/>
  <c r="AC118" i="27"/>
  <c r="AC119" i="27"/>
  <c r="AC120" i="27"/>
  <c r="AC12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X92" i="27"/>
  <c r="B25" i="1" a="1"/>
  <c r="Y81" i="27" a="1"/>
  <c r="AG81" i="27" a="1"/>
  <c r="AC81" i="27" a="1"/>
  <c r="B25" i="1" l="1"/>
  <c r="AC81" i="27"/>
  <c r="Y81" i="27"/>
  <c r="AG81" i="27"/>
  <c r="B88" i="3"/>
  <c r="D87" i="3"/>
  <c r="H88" i="3"/>
  <c r="D86" i="3"/>
  <c r="AT21" i="27"/>
  <c r="AT22" i="27"/>
  <c r="AT23" i="27"/>
  <c r="AT24" i="27"/>
  <c r="AT25" i="27"/>
  <c r="AT26" i="27"/>
  <c r="AT27" i="27"/>
  <c r="AT28" i="27"/>
  <c r="AT29" i="27"/>
  <c r="AT30" i="27"/>
  <c r="AT31" i="27"/>
  <c r="AT32" i="27"/>
  <c r="AT33" i="27"/>
  <c r="AT34" i="27"/>
  <c r="AT35" i="27"/>
  <c r="AT36" i="27"/>
  <c r="AT37" i="27"/>
  <c r="AT38" i="27"/>
  <c r="AT39" i="27"/>
  <c r="AT40" i="27"/>
  <c r="AT41" i="27"/>
  <c r="AT42" i="27"/>
  <c r="AT43" i="27"/>
  <c r="AT44" i="27"/>
  <c r="AT45" i="27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D5" i="8" a="1"/>
  <c r="B126" i="3" a="1"/>
  <c r="K139" i="3" a="1"/>
  <c r="J151" i="3" a="1"/>
  <c r="J133" i="3" a="1"/>
  <c r="K146" i="3" a="1"/>
  <c r="K128" i="3" a="1"/>
  <c r="J140" i="3" a="1"/>
  <c r="M154" i="3" a="1"/>
  <c r="M136" i="3" a="1"/>
  <c r="J150" i="3" a="1"/>
  <c r="J132" i="3" a="1"/>
  <c r="L130" i="3" a="1"/>
  <c r="J148" i="3" a="1"/>
  <c r="J137" i="3" a="1"/>
  <c r="J129" i="3" a="1"/>
  <c r="L127" i="3" a="1"/>
  <c r="L150" i="3" a="1"/>
  <c r="L155" i="3" a="1"/>
  <c r="M155" i="3" a="1"/>
  <c r="M137" i="3" a="1"/>
  <c r="L149" i="3" a="1"/>
  <c r="L131" i="3" a="1"/>
  <c r="M144" i="3" a="1"/>
  <c r="M126" i="3" a="1"/>
  <c r="L138" i="3" a="1"/>
  <c r="K153" i="3" a="1"/>
  <c r="K135" i="3" a="1"/>
  <c r="L148" i="3" a="1"/>
  <c r="K136" i="3" a="1"/>
  <c r="L156" i="3" a="1"/>
  <c r="M133" i="3" a="1"/>
  <c r="K150" i="3" a="1"/>
  <c r="L142" i="3" a="1"/>
  <c r="J141" i="3" a="1"/>
  <c r="M150" i="3" a="1"/>
  <c r="M152" i="3" a="1"/>
  <c r="M134" i="3" a="1"/>
  <c r="L146" i="3" a="1"/>
  <c r="L128" i="3" a="1"/>
  <c r="M141" i="3" a="1"/>
  <c r="J155" i="3" a="1"/>
  <c r="L135" i="3" a="1"/>
  <c r="M145" i="3" a="1"/>
  <c r="K151" i="3" a="1"/>
  <c r="K133" i="3" a="1"/>
  <c r="J145" i="3" a="1"/>
  <c r="J127" i="3" a="1"/>
  <c r="K140" i="3" a="1"/>
  <c r="L153" i="3" a="1"/>
  <c r="J134" i="3" a="1"/>
  <c r="M148" i="3" a="1"/>
  <c r="M130" i="3" a="1"/>
  <c r="J144" i="3" a="1"/>
  <c r="M149" i="3" a="1"/>
  <c r="M131" i="3" a="1"/>
  <c r="L143" i="3" a="1"/>
  <c r="M156" i="3" a="1"/>
  <c r="M138" i="3" a="1"/>
  <c r="L132" i="3" a="1"/>
  <c r="J156" i="3" a="1"/>
  <c r="K141" i="3" a="1"/>
  <c r="K148" i="3" a="1"/>
  <c r="K130" i="3" a="1"/>
  <c r="J142" i="3" a="1"/>
  <c r="K155" i="3" a="1"/>
  <c r="K137" i="3" a="1"/>
  <c r="J149" i="3" a="1"/>
  <c r="J131" i="3" a="1"/>
  <c r="M127" i="3" a="1"/>
  <c r="J138" i="3" a="1"/>
  <c r="L126" i="3" a="1"/>
  <c r="M146" i="3" a="1"/>
  <c r="M128" i="3" a="1"/>
  <c r="L140" i="3" a="1"/>
  <c r="M153" i="3" a="1"/>
  <c r="M135" i="3" a="1"/>
  <c r="L147" i="3" a="1"/>
  <c r="L129" i="3" a="1"/>
  <c r="K144" i="3" a="1"/>
  <c r="K126" i="3" a="1"/>
  <c r="L139" i="3" a="1"/>
  <c r="M132" i="3" a="1"/>
  <c r="K145" i="3" a="1"/>
  <c r="K127" i="3" a="1"/>
  <c r="J139" i="3" a="1"/>
  <c r="K152" i="3" a="1"/>
  <c r="K134" i="3" a="1"/>
  <c r="J146" i="3" a="1"/>
  <c r="J128" i="3" a="1"/>
  <c r="L144" i="3" a="1"/>
  <c r="Y16" i="27" a="1"/>
  <c r="AC16" i="27" a="1"/>
  <c r="AG16" i="27" a="1"/>
  <c r="L136" i="3" a="1"/>
  <c r="L137" i="3" a="1"/>
  <c r="K147" i="3" a="1"/>
  <c r="K132" i="3" a="1"/>
  <c r="J147" i="3" a="1"/>
  <c r="K143" i="3" a="1"/>
  <c r="K154" i="3" a="1"/>
  <c r="L133" i="3" a="1"/>
  <c r="L151" i="3" a="1"/>
  <c r="K138" i="3" a="1"/>
  <c r="K156" i="3" a="1"/>
  <c r="L141" i="3" a="1"/>
  <c r="M129" i="3" a="1"/>
  <c r="M147" i="3" a="1"/>
  <c r="L134" i="3" a="1"/>
  <c r="L152" i="3" a="1"/>
  <c r="M140" i="3" a="1"/>
  <c r="L154" i="3" a="1"/>
  <c r="M142" i="3" a="1"/>
  <c r="K129" i="3" a="1"/>
  <c r="L145" i="3" a="1"/>
  <c r="M151" i="3" a="1"/>
  <c r="J130" i="3" a="1"/>
  <c r="J135" i="3" a="1"/>
  <c r="J153" i="3" a="1"/>
  <c r="M139" i="3" a="1"/>
  <c r="J152" i="3" a="1"/>
  <c r="J143" i="3" a="1"/>
  <c r="K131" i="3" a="1"/>
  <c r="K149" i="3" a="1"/>
  <c r="J136" i="3" a="1"/>
  <c r="J154" i="3" a="1"/>
  <c r="K142" i="3" a="1"/>
  <c r="M143" i="3" a="1"/>
  <c r="L127" i="3" l="1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AG16" i="27"/>
  <c r="Y16" i="27"/>
  <c r="AC16" i="27"/>
  <c r="J88" i="3"/>
  <c r="H89" i="3"/>
  <c r="B89" i="3"/>
  <c r="D88" i="3"/>
  <c r="D5" i="8"/>
  <c r="D6" i="8" a="1"/>
  <c r="J126" i="3" a="1"/>
  <c r="J126" i="3" l="1"/>
  <c r="D6" i="8"/>
  <c r="AL88" i="27"/>
  <c r="AL23" i="27"/>
  <c r="AL92" i="27"/>
  <c r="AL27" i="27"/>
  <c r="D89" i="3"/>
  <c r="B90" i="3"/>
  <c r="J89" i="3"/>
  <c r="H90" i="3"/>
  <c r="AL89" i="27"/>
  <c r="AL24" i="27"/>
  <c r="AK81" i="27" a="1"/>
  <c r="AK16" i="27" a="1"/>
  <c r="AK16" i="27" l="1"/>
  <c r="AK81" i="27"/>
  <c r="J90" i="3"/>
  <c r="H91" i="3"/>
  <c r="D90" i="3"/>
  <c r="B91" i="3"/>
  <c r="AR20" i="27" a="1"/>
  <c r="AU20" i="27" a="1"/>
  <c r="AR85" i="27" a="1"/>
  <c r="AU86" i="27" a="1"/>
  <c r="AV88" i="27" l="1"/>
  <c r="AV91" i="27"/>
  <c r="AV94" i="27"/>
  <c r="AV97" i="27"/>
  <c r="AV100" i="27"/>
  <c r="AV103" i="27"/>
  <c r="AV106" i="27"/>
  <c r="AV109" i="27"/>
  <c r="AU86" i="27"/>
  <c r="AV86" i="27" s="1"/>
  <c r="AV89" i="27"/>
  <c r="AV92" i="27"/>
  <c r="AV95" i="27"/>
  <c r="AV98" i="27"/>
  <c r="AV101" i="27"/>
  <c r="AV104" i="27"/>
  <c r="AV107" i="27"/>
  <c r="AV110" i="27"/>
  <c r="AV111" i="27"/>
  <c r="AV87" i="27"/>
  <c r="AV90" i="27"/>
  <c r="AV93" i="27"/>
  <c r="AV96" i="27"/>
  <c r="AV99" i="27"/>
  <c r="AV102" i="27"/>
  <c r="AV105" i="27"/>
  <c r="AV108" i="27"/>
  <c r="AR87" i="27"/>
  <c r="AR99" i="27"/>
  <c r="AR88" i="27"/>
  <c r="AR100" i="27"/>
  <c r="AR89" i="27"/>
  <c r="AR101" i="27"/>
  <c r="AR90" i="27"/>
  <c r="AR102" i="27"/>
  <c r="AR91" i="27"/>
  <c r="AR103" i="27"/>
  <c r="AR92" i="27"/>
  <c r="AR104" i="27"/>
  <c r="AR108" i="27"/>
  <c r="AR93" i="27"/>
  <c r="AR105" i="27"/>
  <c r="AR94" i="27"/>
  <c r="AR106" i="27"/>
  <c r="AR95" i="27"/>
  <c r="AR96" i="27"/>
  <c r="AR107" i="27"/>
  <c r="AR85" i="27"/>
  <c r="AR97" i="27"/>
  <c r="AR109" i="27"/>
  <c r="AR86" i="27"/>
  <c r="AR98" i="27"/>
  <c r="AR110" i="27"/>
  <c r="AR27" i="27"/>
  <c r="AR40" i="27"/>
  <c r="AR41" i="27"/>
  <c r="AR30" i="27"/>
  <c r="AR42" i="27"/>
  <c r="AR21" i="27"/>
  <c r="AR33" i="27"/>
  <c r="AR45" i="27"/>
  <c r="AR37" i="27"/>
  <c r="AR44" i="27"/>
  <c r="AR22" i="27"/>
  <c r="AR34" i="27"/>
  <c r="AR23" i="27"/>
  <c r="AR35" i="27"/>
  <c r="AR43" i="27"/>
  <c r="AR32" i="27"/>
  <c r="AR31" i="27"/>
  <c r="AR24" i="27"/>
  <c r="AR36" i="27"/>
  <c r="AR25" i="27"/>
  <c r="AR20" i="27"/>
  <c r="AR26" i="27"/>
  <c r="AR38" i="27"/>
  <c r="AR39" i="27"/>
  <c r="AR28" i="27"/>
  <c r="AR29" i="27"/>
  <c r="AU20" i="27"/>
  <c r="J91" i="3"/>
  <c r="H92" i="3"/>
  <c r="B92" i="3"/>
  <c r="D91" i="3"/>
  <c r="AS89" i="27" a="1"/>
  <c r="AS102" i="27" a="1"/>
  <c r="AS38" i="27" a="1"/>
  <c r="AS109" i="27" a="1"/>
  <c r="AS37" i="27" a="1"/>
  <c r="AS21" i="27" a="1"/>
  <c r="AS20" i="27" a="1"/>
  <c r="AS24" i="27" a="1"/>
  <c r="AS101" i="27" a="1"/>
  <c r="AS86" i="27" a="1"/>
  <c r="AS25" i="27" a="1"/>
  <c r="AS26" i="27" a="1"/>
  <c r="AS91" i="27" a="1"/>
  <c r="AS99" i="27" a="1"/>
  <c r="AS27" i="27" a="1"/>
  <c r="AS98" i="27" a="1"/>
  <c r="AS45" i="27" a="1"/>
  <c r="AS106" i="27" a="1"/>
  <c r="AS107" i="27" a="1"/>
  <c r="AS93" i="27" a="1"/>
  <c r="AS39" i="27" a="1"/>
  <c r="AS92" i="27" a="1"/>
  <c r="AS108" i="27" a="1"/>
  <c r="AS103" i="27" a="1"/>
  <c r="AS29" i="27" a="1"/>
  <c r="AS41" i="27" a="1"/>
  <c r="AS110" i="27" a="1"/>
  <c r="AS43" i="27" a="1"/>
  <c r="AS104" i="27" a="1"/>
  <c r="AS97" i="27" a="1"/>
  <c r="AS88" i="27" a="1"/>
  <c r="AS95" i="27" a="1"/>
  <c r="AS23" i="27" a="1"/>
  <c r="AS30" i="27" a="1"/>
  <c r="AS36" i="27" a="1"/>
  <c r="AS42" i="27" a="1"/>
  <c r="AS22" i="27" a="1"/>
  <c r="AS100" i="27" a="1"/>
  <c r="AS32" i="27" a="1"/>
  <c r="AS44" i="27" a="1"/>
  <c r="AS85" i="27" a="1"/>
  <c r="AS34" i="27" a="1"/>
  <c r="AS94" i="27" a="1"/>
  <c r="AS90" i="27" a="1"/>
  <c r="AS87" i="27" a="1"/>
  <c r="AS33" i="27" a="1"/>
  <c r="AS105" i="27" a="1"/>
  <c r="AS40" i="27" a="1"/>
  <c r="AS96" i="27" a="1"/>
  <c r="AS35" i="27" a="1"/>
  <c r="AS28" i="27" a="1"/>
  <c r="AS31" i="27" a="1"/>
  <c r="AS28" i="27" l="1"/>
  <c r="AS27" i="27"/>
  <c r="AS105" i="27"/>
  <c r="AS34" i="27"/>
  <c r="AS99" i="27"/>
  <c r="AS26" i="27"/>
  <c r="AS86" i="27"/>
  <c r="AS104" i="27"/>
  <c r="AS20" i="27"/>
  <c r="AS37" i="27"/>
  <c r="AS109" i="27"/>
  <c r="AS45" i="27"/>
  <c r="AS103" i="27"/>
  <c r="AS36" i="27"/>
  <c r="AS33" i="27"/>
  <c r="AS85" i="27"/>
  <c r="AS91" i="27"/>
  <c r="AS23" i="27"/>
  <c r="AS88" i="27"/>
  <c r="AS39" i="27"/>
  <c r="AS110" i="27"/>
  <c r="AS93" i="27"/>
  <c r="AS38" i="27"/>
  <c r="AS22" i="27"/>
  <c r="AS98" i="27"/>
  <c r="AS108" i="27"/>
  <c r="AS87" i="27"/>
  <c r="AS44" i="27"/>
  <c r="AS92" i="27"/>
  <c r="AS25" i="27"/>
  <c r="AS97" i="27"/>
  <c r="AS24" i="27"/>
  <c r="AS21" i="27"/>
  <c r="AS107" i="27"/>
  <c r="AS102" i="27"/>
  <c r="AS31" i="27"/>
  <c r="AS42" i="27"/>
  <c r="AS96" i="27"/>
  <c r="AS90" i="27"/>
  <c r="AS32" i="27"/>
  <c r="AS30" i="27"/>
  <c r="AS95" i="27"/>
  <c r="AS101" i="27"/>
  <c r="AS43" i="27"/>
  <c r="AS41" i="27"/>
  <c r="AS106" i="27"/>
  <c r="AS89" i="27"/>
  <c r="AS29" i="27"/>
  <c r="AS35" i="27"/>
  <c r="AS40" i="27"/>
  <c r="AS94" i="27"/>
  <c r="AS100" i="27"/>
  <c r="B93" i="3"/>
  <c r="D92" i="3"/>
  <c r="J92" i="3"/>
  <c r="H93" i="3"/>
  <c r="Z77" i="27" a="1"/>
  <c r="AV26" i="27" a="1"/>
  <c r="AV23" i="27" a="1"/>
  <c r="AV25" i="27" a="1"/>
  <c r="AV39" i="27" a="1"/>
  <c r="AV35" i="27" a="1"/>
  <c r="AV28" i="27" a="1"/>
  <c r="AV37" i="27" a="1"/>
  <c r="AV31" i="27" a="1"/>
  <c r="AV34" i="27" a="1"/>
  <c r="AV36" i="27" a="1"/>
  <c r="AV29" i="27" a="1"/>
  <c r="AV38" i="27" a="1"/>
  <c r="AV40" i="27" a="1"/>
  <c r="AV43" i="27" a="1"/>
  <c r="AV42" i="27" a="1"/>
  <c r="AV27" i="27" a="1"/>
  <c r="AV22" i="27" a="1"/>
  <c r="AV21" i="27" a="1"/>
  <c r="AV41" i="27" a="1"/>
  <c r="AV30" i="27" a="1"/>
  <c r="AV32" i="27" a="1"/>
  <c r="AV33" i="27" a="1"/>
  <c r="AV24" i="27" a="1"/>
  <c r="AV45" i="27" a="1"/>
  <c r="AV44" i="27" a="1"/>
  <c r="AV32" i="27" l="1"/>
  <c r="AV31" i="27"/>
  <c r="AV24" i="27"/>
  <c r="AV45" i="27"/>
  <c r="AV42" i="27"/>
  <c r="AV40" i="27"/>
  <c r="AV37" i="27"/>
  <c r="AV35" i="27"/>
  <c r="AV25" i="27"/>
  <c r="AV26" i="27"/>
  <c r="AV29" i="27"/>
  <c r="AV44" i="27"/>
  <c r="AV34" i="27"/>
  <c r="AV41" i="27"/>
  <c r="AV22" i="27"/>
  <c r="AV27" i="27"/>
  <c r="AV43" i="27"/>
  <c r="AV38" i="27"/>
  <c r="AV28" i="27"/>
  <c r="AV39" i="27"/>
  <c r="AV23" i="27"/>
  <c r="Z77" i="27"/>
  <c r="AV33" i="27"/>
  <c r="AV36" i="27"/>
  <c r="AV30" i="27"/>
  <c r="AV21" i="27"/>
  <c r="D93" i="3"/>
  <c r="B94" i="3"/>
  <c r="H94" i="3"/>
  <c r="J93" i="3"/>
  <c r="AG15" i="29" a="1"/>
  <c r="D94" i="3" l="1"/>
  <c r="B95" i="3"/>
  <c r="H95" i="3"/>
  <c r="J94" i="3"/>
  <c r="AG15" i="29"/>
  <c r="I27" i="29" a="1"/>
  <c r="J35" i="29" a="1"/>
  <c r="J33" i="29" a="1"/>
  <c r="J44" i="29" a="1"/>
  <c r="J39" i="29" a="1"/>
  <c r="J29" i="29" a="1"/>
  <c r="J46" i="29" a="1"/>
  <c r="J52" i="29" a="1"/>
  <c r="AP27" i="29" a="1"/>
  <c r="AH33" i="3" a="1"/>
  <c r="J49" i="29" a="1"/>
  <c r="J34" i="29" a="1"/>
  <c r="J38" i="29" a="1"/>
  <c r="J48" i="29" a="1"/>
  <c r="J32" i="29" a="1"/>
  <c r="J51" i="29" a="1"/>
  <c r="J40" i="29" a="1"/>
  <c r="J28" i="29" a="1"/>
  <c r="J43" i="29" a="1"/>
  <c r="J42" i="29" a="1"/>
  <c r="J45" i="29" a="1"/>
  <c r="J36" i="29" a="1"/>
  <c r="J47" i="29" a="1"/>
  <c r="J37" i="29" a="1"/>
  <c r="J50" i="29" a="1"/>
  <c r="J41" i="29" a="1"/>
  <c r="J54" i="29" a="1"/>
  <c r="J53" i="29" a="1"/>
  <c r="J30" i="29" a="1"/>
  <c r="J31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AH33" i="3"/>
  <c r="AR31" i="29"/>
  <c r="AR32" i="29"/>
  <c r="AR44" i="29"/>
  <c r="AR33" i="29"/>
  <c r="AR45" i="29"/>
  <c r="AR35" i="29"/>
  <c r="AR47" i="29"/>
  <c r="AR34" i="29"/>
  <c r="AR46" i="29"/>
  <c r="AR37" i="29"/>
  <c r="AR28" i="29"/>
  <c r="AR40" i="29"/>
  <c r="AR52" i="29"/>
  <c r="AR41" i="29"/>
  <c r="AR53" i="29"/>
  <c r="AR42" i="29"/>
  <c r="AR43" i="29"/>
  <c r="AR36" i="29"/>
  <c r="AR48" i="29"/>
  <c r="AR49" i="29"/>
  <c r="AR38" i="29"/>
  <c r="AR50" i="29"/>
  <c r="AP27" i="29"/>
  <c r="AR27" i="29" s="1"/>
  <c r="AR39" i="29"/>
  <c r="AR51" i="29"/>
  <c r="AR29" i="29"/>
  <c r="AR30" i="29"/>
  <c r="AR54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Y15" i="29" a="1"/>
  <c r="J27" i="29" a="1"/>
  <c r="J27" i="29" l="1"/>
  <c r="D96" i="3"/>
  <c r="B97" i="3"/>
  <c r="H97" i="3"/>
  <c r="J96" i="3"/>
  <c r="Y15" i="29"/>
  <c r="F59" i="1" a="1"/>
  <c r="F59" i="1" s="1"/>
  <c r="V80" i="28"/>
  <c r="V81" i="28"/>
  <c r="V82" i="28"/>
  <c r="V83" i="28"/>
  <c r="V84" i="28"/>
  <c r="V85" i="28"/>
  <c r="B48" i="1" a="1"/>
  <c r="E25" i="1" a="1"/>
  <c r="C12" i="29" a="1"/>
  <c r="C12" i="29" l="1"/>
  <c r="D7" i="29" s="1"/>
  <c r="B98" i="3"/>
  <c r="D97" i="3"/>
  <c r="H98" i="3"/>
  <c r="J97" i="3"/>
  <c r="B48" i="1"/>
  <c r="E25" i="1"/>
  <c r="C4" i="29" a="1"/>
  <c r="E59" i="1" a="1"/>
  <c r="I86" i="3" a="1"/>
  <c r="L90" i="3" a="1"/>
  <c r="F98" i="3" a="1"/>
  <c r="F90" i="3" a="1"/>
  <c r="F87" i="3" a="1"/>
  <c r="F96" i="3" a="1"/>
  <c r="F93" i="3" a="1"/>
  <c r="F97" i="3" a="1"/>
  <c r="F94" i="3" a="1"/>
  <c r="F91" i="3" a="1"/>
  <c r="F95" i="3" a="1"/>
  <c r="F88" i="3" a="1"/>
  <c r="F92" i="3" a="1"/>
  <c r="F89" i="3" a="1"/>
  <c r="L96" i="3" a="1"/>
  <c r="L88" i="3" a="1"/>
  <c r="L91" i="3" a="1"/>
  <c r="L92" i="3" a="1"/>
  <c r="L93" i="3" a="1"/>
  <c r="L94" i="3" a="1"/>
  <c r="L95" i="3" a="1"/>
  <c r="L98" i="3" a="1"/>
  <c r="L97" i="3" a="1"/>
  <c r="L87" i="3" a="1"/>
  <c r="L89" i="3" a="1"/>
  <c r="L89" i="3" l="1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C4" i="29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B29" i="3" a="1"/>
  <c r="L29" i="3" a="1"/>
  <c r="C75" i="3" a="1"/>
  <c r="I75" i="3" a="1"/>
  <c r="I75" i="3" l="1"/>
  <c r="C75" i="3"/>
  <c r="D11" i="3" s="1"/>
  <c r="L29" i="3"/>
  <c r="B29" i="3"/>
  <c r="B106" i="3" a="1"/>
  <c r="H110" i="3" a="1"/>
  <c r="J119" i="3" a="1"/>
  <c r="J115" i="3" a="1"/>
  <c r="J111" i="3" a="1"/>
  <c r="J107" i="3" a="1"/>
  <c r="I119" i="3" a="1"/>
  <c r="I115" i="3" a="1"/>
  <c r="I111" i="3" a="1"/>
  <c r="I110" i="3" a="1"/>
  <c r="I114" i="3" a="1"/>
  <c r="J106" i="3" a="1"/>
  <c r="J114" i="3" a="1"/>
  <c r="H107" i="3" a="1"/>
  <c r="H115" i="3" a="1"/>
  <c r="H108" i="3" a="1"/>
  <c r="H116" i="3" a="1"/>
  <c r="I108" i="3" a="1"/>
  <c r="I120" i="3" a="1"/>
  <c r="J112" i="3" a="1"/>
  <c r="J120" i="3" a="1"/>
  <c r="H117" i="3" a="1"/>
  <c r="I109" i="3" a="1"/>
  <c r="I117" i="3" a="1"/>
  <c r="I121" i="3" a="1"/>
  <c r="H114" i="3" a="1"/>
  <c r="H118" i="3" a="1"/>
  <c r="I106" i="3" a="1"/>
  <c r="I118" i="3" a="1"/>
  <c r="J110" i="3" a="1"/>
  <c r="J118" i="3" a="1"/>
  <c r="H111" i="3" a="1"/>
  <c r="H119" i="3" a="1"/>
  <c r="I107" i="3" a="1"/>
  <c r="H112" i="3" a="1"/>
  <c r="H120" i="3" a="1"/>
  <c r="I112" i="3" a="1"/>
  <c r="I116" i="3" a="1"/>
  <c r="J108" i="3" a="1"/>
  <c r="J116" i="3" a="1"/>
  <c r="H109" i="3" a="1"/>
  <c r="H113" i="3" a="1"/>
  <c r="H121" i="3" a="1"/>
  <c r="I113" i="3" a="1"/>
  <c r="J109" i="3" a="1"/>
  <c r="J113" i="3" a="1"/>
  <c r="J117" i="3" a="1"/>
  <c r="J121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AL46" i="27"/>
  <c r="AL48" i="27"/>
  <c r="H106" i="3" a="1"/>
  <c r="H106" i="3" l="1"/>
  <c r="CA31" i="27"/>
  <c r="CA28" i="27"/>
  <c r="C103" i="3" a="1"/>
  <c r="C103" i="3" l="1"/>
  <c r="CA27" i="27"/>
  <c r="BZ20" i="27" a="1"/>
  <c r="BZ20" i="27" l="1"/>
  <c r="CF20" i="27" a="1"/>
  <c r="CF20" i="27" l="1"/>
  <c r="BR49" i="27" l="1"/>
  <c r="BR47" i="27"/>
  <c r="BJ48" i="27"/>
  <c r="BJ46" i="27"/>
  <c r="BB48" i="27"/>
  <c r="BB46" i="27"/>
  <c r="S34" i="3" a="1"/>
  <c r="S34" i="3" l="1"/>
  <c r="F11" i="3" l="1"/>
  <c r="F12" i="3"/>
  <c r="F16" i="3"/>
  <c r="BR24" i="27" l="1"/>
  <c r="BB23" i="27"/>
  <c r="BJ24" i="27"/>
  <c r="BB27" i="27"/>
  <c r="BR28" i="27"/>
  <c r="BJ28" i="27"/>
  <c r="BB24" i="27"/>
  <c r="BR25" i="27"/>
  <c r="BJ25" i="27"/>
  <c r="BQ17" i="27" a="1"/>
  <c r="BI17" i="27" a="1"/>
  <c r="BA17" i="27" a="1"/>
  <c r="BA17" i="27" l="1"/>
  <c r="BQ17" i="27"/>
  <c r="BI17" i="27"/>
  <c r="BW17" i="27" a="1"/>
  <c r="BG17" i="27" a="1"/>
  <c r="BO17" i="27" a="1"/>
  <c r="BW17" i="27" l="1"/>
  <c r="BO17" i="27"/>
  <c r="BG17" i="27"/>
  <c r="BB12" i="27" a="1"/>
  <c r="BB12" i="27" l="1"/>
  <c r="F64" i="1" l="1"/>
  <c r="F63" i="1"/>
  <c r="F62" i="1"/>
  <c r="F61" i="1"/>
  <c r="F60" i="1"/>
  <c r="B165" i="1" a="1"/>
  <c r="B134" i="1" a="1"/>
  <c r="B191" i="1" a="1"/>
  <c r="F193" i="1" s="1" a="1"/>
  <c r="B148" i="1" a="1"/>
  <c r="F168" i="1" a="1"/>
  <c r="F194" i="1" a="1"/>
  <c r="F153" i="1" a="1"/>
  <c r="F156" i="1" a="1"/>
  <c r="D136" i="1" a="1"/>
  <c r="B178" i="1" a="1"/>
  <c r="F179" i="1" a="1"/>
  <c r="F166" i="1" a="1"/>
  <c r="F154" i="1" a="1"/>
  <c r="F181" i="1" a="1"/>
  <c r="F151" i="1" a="1"/>
  <c r="F192" i="1" a="1"/>
  <c r="D137" i="1" a="1"/>
  <c r="D138" i="1" a="1"/>
  <c r="D139" i="1" a="1"/>
  <c r="F155" i="1" a="1"/>
  <c r="F152" i="1" a="1"/>
  <c r="F149" i="1" a="1"/>
  <c r="F150" i="1" a="1"/>
  <c r="F180" i="1" a="1"/>
  <c r="F182" i="1" a="1"/>
  <c r="D139" i="1" l="1"/>
  <c r="D138" i="1"/>
  <c r="F194" i="1"/>
  <c r="F193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36" i="28" a="1"/>
  <c r="T31" i="28" a="1"/>
  <c r="T38" i="28" a="1"/>
  <c r="T35" i="28" a="1"/>
  <c r="T43" i="28" a="1"/>
  <c r="F165" i="1" a="1"/>
  <c r="F178" i="1" a="1"/>
  <c r="T30" i="28" a="1"/>
  <c r="T32" i="28" a="1"/>
  <c r="F148" i="1" a="1"/>
  <c r="D135" i="1" a="1"/>
  <c r="D134" i="1" a="1"/>
  <c r="H22" i="28" a="1"/>
  <c r="F167" i="1" a="1"/>
  <c r="T33" i="28" a="1"/>
  <c r="F191" i="1" a="1"/>
  <c r="F169" i="1" a="1"/>
  <c r="T34" i="28" a="1"/>
  <c r="T37" i="28" a="1"/>
  <c r="G16" i="27" a="1"/>
  <c r="K16" i="27" a="1"/>
  <c r="C16" i="27" a="1"/>
  <c r="B25" i="28" a="1"/>
  <c r="F167" i="1" l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K16" i="27"/>
  <c r="G16" i="27"/>
  <c r="C16" i="27"/>
  <c r="U63" i="28" a="1"/>
  <c r="U70" i="28" a="1"/>
  <c r="U68" i="28" a="1"/>
  <c r="N47" i="28" a="1"/>
  <c r="N44" i="28" a="1"/>
  <c r="C174" i="1" a="1"/>
  <c r="U67" i="28" a="1"/>
  <c r="U49" i="28" a="1"/>
  <c r="U31" i="28" a="1"/>
  <c r="C187" i="1" a="1"/>
  <c r="N36" i="28" a="1"/>
  <c r="N42" i="28" a="1"/>
  <c r="N41" i="28" a="1"/>
  <c r="U65" i="28" a="1"/>
  <c r="N50" i="28" a="1"/>
  <c r="N33" i="28" a="1"/>
  <c r="N49" i="28" a="1"/>
  <c r="N39" i="28" a="1"/>
  <c r="N43" i="28" a="1"/>
  <c r="U64" i="28" a="1"/>
  <c r="U30" i="28" a="1"/>
  <c r="N34" i="28" a="1"/>
  <c r="U52" i="28" a="1"/>
  <c r="U61" i="28" a="1"/>
  <c r="U66" i="28" a="1"/>
  <c r="U32" i="28" a="1"/>
  <c r="U48" i="28" a="1"/>
  <c r="N45" i="28" a="1"/>
  <c r="N38" i="28" a="1"/>
  <c r="C144" i="1" a="1"/>
  <c r="N40" i="28" a="1"/>
  <c r="U54" i="28" a="1"/>
  <c r="N35" i="28" a="1"/>
  <c r="C130" i="1" a="1"/>
  <c r="U56" i="28" a="1"/>
  <c r="C161" i="1" a="1"/>
  <c r="U53" i="28" a="1"/>
  <c r="U74" i="28" a="1"/>
  <c r="U73" i="28" a="1"/>
  <c r="U69" i="28" a="1"/>
  <c r="U51" i="28" a="1"/>
  <c r="N32" i="28" a="1"/>
  <c r="N46" i="28" a="1"/>
  <c r="N31" i="28" a="1"/>
  <c r="U60" i="28" a="1"/>
  <c r="U58" i="28" a="1"/>
  <c r="U57" i="28" a="1"/>
  <c r="U46" i="28" a="1"/>
  <c r="N37" i="28" a="1"/>
  <c r="U50" i="28" a="1"/>
  <c r="U55" i="28" a="1"/>
  <c r="U47" i="28" a="1"/>
  <c r="U71" i="28" a="1"/>
  <c r="U62" i="28" a="1"/>
  <c r="U72" i="28" a="1"/>
  <c r="N30" i="28" a="1"/>
  <c r="U44" i="28" a="1"/>
  <c r="U75" i="28" a="1"/>
  <c r="U59" i="28" a="1"/>
  <c r="U45" i="28" a="1"/>
  <c r="F40" i="28" a="1"/>
  <c r="N48" i="28" a="1"/>
  <c r="G64" i="1" a="1"/>
  <c r="F58" i="27" a="1"/>
  <c r="G62" i="1" a="1"/>
  <c r="M29" i="28" a="1"/>
  <c r="G60" i="1" a="1"/>
  <c r="G63" i="1" a="1"/>
  <c r="G61" i="1" a="1"/>
  <c r="G59" i="1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F58" i="27"/>
  <c r="G30" i="28" a="1"/>
  <c r="G43" i="28" a="1"/>
  <c r="G42" i="28" a="1"/>
  <c r="G47" i="28" a="1"/>
  <c r="G44" i="28" a="1"/>
  <c r="G45" i="28" a="1"/>
  <c r="U33" i="28" a="1"/>
  <c r="G41" i="28" a="1"/>
  <c r="G48" i="28" a="1"/>
  <c r="G46" i="28" a="1"/>
  <c r="N29" i="28" a="1"/>
  <c r="Z12" i="27" a="1"/>
  <c r="P23" i="28" a="1"/>
  <c r="C45" i="1" a="1"/>
  <c r="P23" i="28" l="1"/>
  <c r="U33" i="28"/>
  <c r="Z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W44" i="28" a="1"/>
  <c r="V37" i="28" a="1"/>
  <c r="V34" i="28" a="1"/>
  <c r="C4" i="27" a="1"/>
  <c r="V35" i="28" a="1"/>
  <c r="V31" i="28" a="1"/>
  <c r="V44" i="28" a="1"/>
  <c r="V38" i="28" a="1"/>
  <c r="V32" i="28" a="1"/>
  <c r="V29" i="28" a="1"/>
  <c r="V30" i="28" a="1"/>
  <c r="V33" i="28" a="1"/>
  <c r="V36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3" i="28" a="1"/>
  <c r="W29" i="28" a="1"/>
  <c r="W31" i="28" a="1"/>
  <c r="W30" i="28" a="1"/>
  <c r="W32" i="28" a="1"/>
  <c r="W34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5" i="28" a="1"/>
  <c r="W81" i="28" a="1"/>
  <c r="W84" i="28" a="1"/>
  <c r="W35" i="28" a="1"/>
  <c r="W82" i="28" a="1"/>
  <c r="W80" i="28" a="1"/>
  <c r="W83" i="28" a="1"/>
  <c r="U36" i="28" l="1"/>
  <c r="W35" i="28"/>
  <c r="W83" i="28"/>
  <c r="W85" i="28"/>
  <c r="W81" i="28"/>
  <c r="W80" i="28"/>
  <c r="W82" i="28"/>
  <c r="W84" i="28"/>
  <c r="G33" i="28"/>
  <c r="F34" i="28"/>
  <c r="G34" i="28" a="1"/>
  <c r="U37" i="28" a="1"/>
  <c r="W36" i="28" a="1"/>
  <c r="U37" i="28" l="1"/>
  <c r="W36" i="28"/>
  <c r="G34" i="28"/>
  <c r="F35" i="28"/>
  <c r="G35" i="28" a="1"/>
  <c r="U38" i="28" a="1"/>
  <c r="X33" i="3" a="1"/>
  <c r="W37" i="28" a="1"/>
  <c r="H29" i="28" a="1"/>
  <c r="I34" i="28" a="1"/>
  <c r="I31" i="28" a="1"/>
  <c r="I30" i="28" a="1"/>
  <c r="I32" i="28" a="1"/>
  <c r="I33" i="28" a="1"/>
  <c r="U38" i="28" l="1"/>
  <c r="W37" i="28"/>
  <c r="I30" i="28"/>
  <c r="I31" i="28"/>
  <c r="I32" i="28"/>
  <c r="I33" i="28"/>
  <c r="I34" i="28"/>
  <c r="G35" i="28"/>
  <c r="H29" i="28"/>
  <c r="X33" i="3"/>
  <c r="I35" i="28" a="1"/>
  <c r="W38" i="28" a="1"/>
  <c r="I29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3" i="13" a="1"/>
  <c r="O146" i="13" a="1"/>
  <c r="O144" i="13" a="1"/>
  <c r="M174" i="13" a="1"/>
  <c r="N148" i="13" a="1"/>
  <c r="O153" i="13" a="1"/>
  <c r="N173" i="13" a="1"/>
  <c r="L145" i="13" a="1"/>
  <c r="M162" i="13" a="1"/>
  <c r="M141" i="13" a="1"/>
  <c r="N160" i="13" a="1"/>
  <c r="M160" i="13" a="1"/>
  <c r="N165" i="13" a="1"/>
  <c r="N157" i="13" a="1"/>
  <c r="L140" i="13" a="1"/>
  <c r="N138" i="13" a="1"/>
  <c r="N167" i="13" a="1"/>
  <c r="O176" i="13" a="1"/>
  <c r="M151" i="13" a="1"/>
  <c r="N175" i="13" a="1"/>
  <c r="M170" i="13" a="1"/>
  <c r="O170" i="13" a="1"/>
  <c r="M164" i="13" a="1"/>
  <c r="O150" i="13" a="1"/>
  <c r="L152" i="13" a="1"/>
  <c r="L150" i="13" a="1"/>
  <c r="N169" i="13" a="1"/>
  <c r="L168" i="13" a="1"/>
  <c r="M166" i="13" a="1"/>
  <c r="M161" i="13" a="1"/>
  <c r="M143" i="13" a="1"/>
  <c r="O143" i="13" a="1"/>
  <c r="L143" i="13" a="1"/>
  <c r="O152" i="13" a="1"/>
  <c r="O164" i="13" a="1"/>
  <c r="N159" i="13" a="1"/>
  <c r="M159" i="13" a="1"/>
  <c r="L174" i="13" a="1"/>
  <c r="M147" i="13" a="1"/>
  <c r="M154" i="13" a="1"/>
  <c r="O165" i="13" a="1"/>
  <c r="M175" i="13" a="1"/>
  <c r="O149" i="13" a="1"/>
  <c r="O145" i="13" a="1"/>
  <c r="M139" i="13" a="1"/>
  <c r="M158" i="13" a="1"/>
  <c r="L151" i="13" a="1"/>
  <c r="O169" i="13" a="1"/>
  <c r="N154" i="13" a="1"/>
  <c r="N142" i="13" a="1"/>
  <c r="L158" i="13" a="1"/>
  <c r="M156" i="13" a="1"/>
  <c r="N158" i="13" a="1"/>
  <c r="M150" i="13" a="1"/>
  <c r="O159" i="13" a="1"/>
  <c r="N155" i="13" a="1"/>
  <c r="O156" i="13" a="1"/>
  <c r="M138" i="13" a="1"/>
  <c r="M152" i="13" a="1"/>
  <c r="L153" i="13" a="1"/>
  <c r="N153" i="13" a="1"/>
  <c r="L144" i="13" a="1"/>
  <c r="L141" i="13" a="1"/>
  <c r="N139" i="13" a="1"/>
  <c r="L148" i="13" a="1"/>
  <c r="M145" i="13" a="1"/>
  <c r="L175" i="13" a="1"/>
  <c r="O175" i="13" a="1"/>
  <c r="N161" i="13" a="1"/>
  <c r="N172" i="13" a="1"/>
  <c r="N174" i="13" a="1"/>
  <c r="N166" i="13" a="1"/>
  <c r="L172" i="13" a="1"/>
  <c r="O151" i="13" a="1"/>
  <c r="M155" i="13" a="1"/>
  <c r="N144" i="13" a="1"/>
  <c r="N176" i="13" a="1"/>
  <c r="O163" i="13" a="1"/>
  <c r="O140" i="13" a="1"/>
  <c r="N162" i="13" a="1"/>
  <c r="L160" i="13" a="1"/>
  <c r="O162" i="13" a="1"/>
  <c r="M157" i="13" a="1"/>
  <c r="O155" i="13" a="1"/>
  <c r="M176" i="13" a="1"/>
  <c r="O148" i="13" a="1"/>
  <c r="M165" i="13" a="1"/>
  <c r="O161" i="13" a="1"/>
  <c r="L163" i="13" a="1"/>
  <c r="L157" i="13" a="1"/>
  <c r="L166" i="13" a="1"/>
  <c r="N149" i="13" a="1"/>
  <c r="N164" i="13" a="1"/>
  <c r="N147" i="13" a="1"/>
  <c r="N152" i="13" a="1"/>
  <c r="L167" i="13" a="1"/>
  <c r="O168" i="13" a="1"/>
  <c r="M149" i="13" a="1"/>
  <c r="N171" i="13" a="1"/>
  <c r="L161" i="13" a="1"/>
  <c r="N146" i="13" a="1"/>
  <c r="M169" i="13" a="1"/>
  <c r="M142" i="13" a="1"/>
  <c r="O142" i="13" a="1"/>
  <c r="M173" i="13" a="1"/>
  <c r="L159" i="13" a="1"/>
  <c r="N140" i="13" a="1"/>
  <c r="O173" i="13" a="1"/>
  <c r="O157" i="13" a="1"/>
  <c r="L176" i="13" a="1"/>
  <c r="L155" i="13" a="1"/>
  <c r="L147" i="13" a="1"/>
  <c r="L171" i="13" a="1"/>
  <c r="M167" i="13" a="1"/>
  <c r="L154" i="13" a="1"/>
  <c r="L142" i="13" a="1"/>
  <c r="L149" i="13" a="1"/>
  <c r="N141" i="13" a="1"/>
  <c r="M171" i="13" a="1"/>
  <c r="N156" i="13" a="1"/>
  <c r="N168" i="13" a="1"/>
  <c r="N145" i="13" a="1"/>
  <c r="N143" i="13" a="1"/>
  <c r="O158" i="13" a="1"/>
  <c r="O141" i="13" a="1"/>
  <c r="N170" i="13" a="1"/>
  <c r="M148" i="13" a="1"/>
  <c r="M146" i="13" a="1"/>
  <c r="O172" i="13" a="1"/>
  <c r="O174" i="13" a="1"/>
  <c r="M153" i="13" a="1"/>
  <c r="L169" i="13" a="1"/>
  <c r="O138" i="13" a="1"/>
  <c r="L146" i="13" a="1"/>
  <c r="O171" i="13" a="1"/>
  <c r="O139" i="13" a="1"/>
  <c r="N150" i="13" a="1"/>
  <c r="O166" i="13" a="1"/>
  <c r="L165" i="13" a="1"/>
  <c r="O154" i="13" a="1"/>
  <c r="M168" i="13" a="1"/>
  <c r="M144" i="13" a="1"/>
  <c r="N151" i="13" a="1"/>
  <c r="L156" i="13" a="1"/>
  <c r="M163" i="13" a="1"/>
  <c r="L139" i="13" a="1"/>
  <c r="O147" i="13" a="1"/>
  <c r="L173" i="13" a="1"/>
  <c r="M140" i="13" a="1"/>
  <c r="M172" i="13" a="1"/>
  <c r="O167" i="13" a="1"/>
  <c r="L162" i="13" a="1"/>
  <c r="O160" i="13" a="1"/>
  <c r="L164" i="13" a="1"/>
  <c r="L170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K99" i="1" a="1"/>
  <c r="D86" i="1" a="1"/>
  <c r="R101" i="1" a="1"/>
  <c r="E114" i="1" a="1"/>
  <c r="G99" i="1" a="1"/>
  <c r="D82" i="1" a="1"/>
  <c r="D112" i="1" a="1"/>
  <c r="D115" i="1" a="1"/>
  <c r="U98" i="1" a="1"/>
  <c r="O100" i="1" a="1"/>
  <c r="R102" i="1" a="1"/>
  <c r="K101" i="1" a="1"/>
  <c r="K102" i="1" a="1"/>
  <c r="D98" i="1" a="1"/>
  <c r="D114" i="1" a="1"/>
  <c r="U99" i="1" a="1"/>
  <c r="X99" i="1" a="1"/>
  <c r="D78" i="1" a="1"/>
  <c r="U102" i="1" a="1"/>
  <c r="R100" i="1" a="1"/>
  <c r="O98" i="1" a="1"/>
  <c r="M77" i="1" a="1"/>
  <c r="K100" i="1" a="1"/>
  <c r="G102" i="1" a="1"/>
  <c r="O101" i="1" a="1"/>
  <c r="R98" i="1" a="1"/>
  <c r="E116" i="1" a="1"/>
  <c r="G101" i="1" a="1"/>
  <c r="D84" i="1" a="1"/>
  <c r="D116" i="1" a="1"/>
  <c r="D80" i="1" a="1"/>
  <c r="E115" i="1" a="1"/>
  <c r="B125" i="1" a="1"/>
  <c r="O99" i="1" a="1"/>
  <c r="D113" i="1" a="1"/>
  <c r="U100" i="1" a="1"/>
  <c r="E113" i="1" a="1"/>
  <c r="R99" i="1" a="1"/>
  <c r="G100" i="1" a="1"/>
  <c r="O102" i="1" a="1"/>
  <c r="U101" i="1" a="1"/>
  <c r="K98" i="1" a="1"/>
  <c r="G98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F114" i="1" a="1"/>
  <c r="Q113" i="1" a="1"/>
  <c r="J115" i="1" a="1"/>
  <c r="K112" i="1" a="1"/>
  <c r="J116" i="1" a="1"/>
  <c r="P100" i="1" a="1"/>
  <c r="I100" i="1" a="1"/>
  <c r="E99" i="1" a="1"/>
  <c r="I102" i="1" a="1"/>
  <c r="T114" i="1" a="1"/>
  <c r="N113" i="1" a="1"/>
  <c r="O112" i="1" a="1"/>
  <c r="T115" i="1" a="1"/>
  <c r="S102" i="1" a="1"/>
  <c r="P99" i="1" a="1"/>
  <c r="G112" i="1" a="1"/>
  <c r="V101" i="1" a="1"/>
  <c r="W115" i="1" a="1"/>
  <c r="X112" i="1" a="1"/>
  <c r="T116" i="1" a="1"/>
  <c r="N114" i="1" a="1"/>
  <c r="AD99" i="1" a="1"/>
  <c r="V99" i="1" a="1"/>
  <c r="I101" i="1" a="1"/>
  <c r="K125" i="1" a="1"/>
  <c r="W116" i="1" a="1"/>
  <c r="Q116" i="1" a="1"/>
  <c r="V98" i="1" a="1"/>
  <c r="W114" i="1" a="1"/>
  <c r="Q114" i="1" a="1"/>
  <c r="J114" i="1" a="1"/>
  <c r="W113" i="1" a="1"/>
  <c r="I98" i="1" a="1"/>
  <c r="M101" i="1" a="1"/>
  <c r="S101" i="1" a="1"/>
  <c r="S99" i="1" a="1"/>
  <c r="F116" i="1" a="1"/>
  <c r="V100" i="1" a="1"/>
  <c r="P101" i="1" a="1"/>
  <c r="E112" i="1" a="1"/>
  <c r="M99" i="1" a="1"/>
  <c r="E98" i="1" a="1"/>
  <c r="M100" i="1" a="1"/>
  <c r="T113" i="1" a="1"/>
  <c r="I99" i="1" a="1"/>
  <c r="P98" i="1" a="1"/>
  <c r="S98" i="1" a="1"/>
  <c r="F113" i="1" a="1"/>
  <c r="V102" i="1" a="1"/>
  <c r="M102" i="1" a="1"/>
  <c r="S100" i="1" a="1"/>
  <c r="Q115" i="1" a="1"/>
  <c r="M98" i="1" a="1"/>
  <c r="P102" i="1" a="1"/>
  <c r="E100" i="1" a="1"/>
  <c r="U112" i="1" a="1"/>
  <c r="R112" i="1" a="1"/>
  <c r="J113" i="1" a="1"/>
  <c r="N116" i="1" a="1"/>
  <c r="F115" i="1" a="1"/>
  <c r="E102" i="1" a="1"/>
  <c r="N115" i="1" a="1"/>
  <c r="E101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I115" i="1" a="1"/>
  <c r="Y114" i="1" a="1"/>
  <c r="W112" i="1" a="1"/>
  <c r="S113" i="1" a="1"/>
  <c r="P114" i="1" a="1"/>
  <c r="S116" i="1" a="1"/>
  <c r="P115" i="1" a="1"/>
  <c r="I114" i="1" a="1"/>
  <c r="N112" i="1" a="1"/>
  <c r="Y116" i="1" a="1"/>
  <c r="V115" i="1" a="1"/>
  <c r="P116" i="1" a="1"/>
  <c r="V116" i="1" a="1"/>
  <c r="V113" i="1" a="1"/>
  <c r="I113" i="1" a="1"/>
  <c r="M114" i="1" a="1"/>
  <c r="F112" i="1" a="1"/>
  <c r="M116" i="1" a="1"/>
  <c r="Q112" i="1" a="1"/>
  <c r="Y113" i="1" a="1"/>
  <c r="M113" i="1" a="1"/>
  <c r="J112" i="1" a="1"/>
  <c r="Y115" i="1" a="1"/>
  <c r="S114" i="1" a="1"/>
  <c r="M115" i="1" a="1"/>
  <c r="P113" i="1" a="1"/>
  <c r="V114" i="1" a="1"/>
  <c r="S115" i="1" a="1"/>
  <c r="C92" i="1" a="1"/>
  <c r="I116" i="1" a="1"/>
  <c r="T112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P112" i="1" a="1"/>
  <c r="I112" i="1" a="1"/>
  <c r="V112" i="1" a="1"/>
  <c r="S112" i="1" a="1"/>
  <c r="M112" i="1" a="1"/>
  <c r="Y112" i="1" a="1"/>
  <c r="P112" i="1" l="1"/>
  <c r="V112" i="1"/>
  <c r="Y112" i="1"/>
  <c r="M112" i="1"/>
  <c r="S112" i="1"/>
  <c r="I112" i="1"/>
  <c r="M56" i="27"/>
  <c r="AF33" i="3"/>
  <c r="Q33" i="3"/>
  <c r="S84" i="3"/>
  <c r="S85" i="3"/>
  <c r="S86" i="3"/>
  <c r="S87" i="3"/>
  <c r="S88" i="3"/>
  <c r="S89" i="3"/>
  <c r="R34" i="3" a="1"/>
  <c r="Q38" i="3" a="1"/>
  <c r="Q36" i="3" a="1"/>
  <c r="Q42" i="3" a="1"/>
  <c r="Q41" i="3" a="1"/>
  <c r="Q40" i="3" a="1"/>
  <c r="Q48" i="3" a="1"/>
  <c r="Q39" i="3" a="1"/>
  <c r="Q35" i="3" a="1"/>
  <c r="Q43" i="3" a="1"/>
  <c r="Q37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79" i="3" a="1"/>
  <c r="R67" i="3" a="1"/>
  <c r="R36" i="3" a="1"/>
  <c r="R58" i="3" a="1"/>
  <c r="R65" i="3" a="1"/>
  <c r="R56" i="3" a="1"/>
  <c r="R71" i="3" a="1"/>
  <c r="R51" i="3" a="1"/>
  <c r="R74" i="3" a="1"/>
  <c r="R69" i="3" a="1"/>
  <c r="R55" i="3" a="1"/>
  <c r="R76" i="3" a="1"/>
  <c r="R35" i="3" a="1"/>
  <c r="R54" i="3" a="1"/>
  <c r="R50" i="3" a="1"/>
  <c r="R75" i="3" a="1"/>
  <c r="R57" i="3" a="1"/>
  <c r="R62" i="3" a="1"/>
  <c r="R53" i="3" a="1"/>
  <c r="R68" i="3" a="1"/>
  <c r="R66" i="3" a="1"/>
  <c r="R52" i="3" a="1"/>
  <c r="R49" i="3" a="1"/>
  <c r="R77" i="3" a="1"/>
  <c r="R78" i="3" a="1"/>
  <c r="R70" i="3" a="1"/>
  <c r="R60" i="3" a="1"/>
  <c r="R72" i="3" a="1"/>
  <c r="R80" i="3" a="1"/>
  <c r="R59" i="3" a="1"/>
  <c r="R61" i="3" a="1"/>
  <c r="R73" i="3" a="1"/>
  <c r="R64" i="3" a="1"/>
  <c r="R63" i="3" a="1"/>
  <c r="S35" i="3" a="1"/>
  <c r="S36" i="3" a="1"/>
  <c r="S37" i="3" a="1"/>
  <c r="S33" i="3" a="1"/>
  <c r="S41" i="3" a="1"/>
  <c r="T49" i="3" a="1"/>
  <c r="S49" i="3" a="1"/>
  <c r="S40" i="3" a="1"/>
  <c r="S43" i="3" a="1"/>
  <c r="S42" i="3" a="1"/>
  <c r="S38" i="3" a="1"/>
  <c r="S39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4" i="3" a="1"/>
  <c r="Y34" i="3" a="1"/>
  <c r="T36" i="3" a="1"/>
  <c r="T33" i="3" a="1"/>
  <c r="T35" i="3" a="1"/>
  <c r="Y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9" i="3" a="1"/>
  <c r="Y35" i="3" a="1"/>
  <c r="T84" i="3" a="1"/>
  <c r="T86" i="3" a="1"/>
  <c r="T87" i="3" a="1"/>
  <c r="T88" i="3" a="1"/>
  <c r="T8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5" i="3" a="1"/>
  <c r="H37" i="3" a="1"/>
  <c r="H36" i="3" a="1"/>
  <c r="H38" i="3" a="1"/>
  <c r="I44" i="3" a="1"/>
  <c r="H37" i="3" l="1"/>
  <c r="H35" i="3"/>
  <c r="H34" i="3"/>
  <c r="H36" i="3"/>
  <c r="H38" i="3"/>
  <c r="I44" i="3"/>
  <c r="G36" i="3"/>
  <c r="G34" i="3"/>
  <c r="G37" i="3"/>
  <c r="G38" i="3" s="1"/>
  <c r="G44" i="3"/>
  <c r="I38" i="3" a="1"/>
  <c r="I36" i="3" a="1"/>
  <c r="I35" i="3" a="1"/>
  <c r="I37" i="3" a="1"/>
  <c r="I33" i="3" a="1"/>
  <c r="I34" i="3" a="1"/>
  <c r="I38" i="3" l="1"/>
  <c r="I37" i="3"/>
  <c r="I36" i="3"/>
  <c r="I35" i="3"/>
  <c r="I34" i="3"/>
  <c r="I33" i="3"/>
  <c r="B29" i="20" l="1"/>
  <c r="C33" i="21"/>
  <c r="F32" i="21"/>
  <c r="G32" i="21" s="1"/>
  <c r="G52" i="3" a="1"/>
  <c r="G54" i="3" a="1"/>
  <c r="G48" i="3" a="1"/>
  <c r="E32" i="21" a="1"/>
  <c r="E36" i="21" a="1"/>
  <c r="G46" i="3" a="1"/>
  <c r="G55" i="3" a="1"/>
  <c r="E213" i="13" a="1"/>
  <c r="E94" i="13" a="1"/>
  <c r="G53" i="3" a="1"/>
  <c r="G50" i="3" a="1"/>
  <c r="Z79" i="13" a="1"/>
  <c r="L94" i="13" a="1"/>
  <c r="G51" i="3" a="1"/>
  <c r="L109" i="13" a="1"/>
  <c r="E109" i="13" a="1"/>
  <c r="G47" i="3" a="1"/>
  <c r="S79" i="13" a="1"/>
  <c r="E79" i="13" a="1"/>
  <c r="G49" i="3" a="1"/>
  <c r="S109" i="13" a="1"/>
  <c r="L79" i="13" a="1"/>
  <c r="G45" i="3" a="1"/>
  <c r="D27" i="20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N94" i="13" a="1"/>
  <c r="I32" i="21" a="1"/>
  <c r="G79" i="13" a="1"/>
  <c r="E39" i="21" a="1"/>
  <c r="AD79" i="13" a="1"/>
  <c r="E39" i="21" l="1"/>
  <c r="I32" i="21"/>
  <c r="N94" i="13"/>
  <c r="AD79" i="13"/>
  <c r="G79" i="13"/>
  <c r="AI33" i="3" a="1"/>
  <c r="AI33" i="3" l="1"/>
  <c r="O57" i="27" l="1"/>
  <c r="F57" i="27" l="1"/>
  <c r="G57" i="27" a="1"/>
  <c r="I57" i="27" a="1"/>
  <c r="M103" i="27" a="1"/>
  <c r="M100" i="27" a="1"/>
  <c r="M102" i="27" a="1"/>
  <c r="M99" i="27" a="1"/>
  <c r="M96" i="27" a="1"/>
  <c r="M98" i="27" a="1"/>
  <c r="M9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1" i="26" a="1"/>
  <c r="C43" i="26" a="1"/>
  <c r="C37" i="26" a="1"/>
  <c r="N17" i="26" a="1"/>
  <c r="C34" i="26" a="1"/>
  <c r="C36" i="26" a="1"/>
  <c r="C12" i="27" a="1"/>
  <c r="S19" i="26" a="1"/>
  <c r="C38" i="26" a="1"/>
  <c r="AG17" i="26" a="1"/>
  <c r="C33" i="26" a="1"/>
  <c r="J57" i="27" a="1"/>
  <c r="S17" i="26" a="1"/>
  <c r="R20" i="26" a="1"/>
  <c r="S20" i="26" a="1"/>
  <c r="C31" i="26" a="1"/>
  <c r="R18" i="26" a="1"/>
  <c r="X17" i="26" a="1"/>
  <c r="E17" i="26" a="1"/>
  <c r="B235" i="3" a="1"/>
  <c r="C44" i="26" a="1"/>
  <c r="S21" i="26" a="1"/>
  <c r="B273" i="3" a="1"/>
  <c r="R19" i="26" a="1"/>
  <c r="C39" i="26" a="1"/>
  <c r="S18" i="26" a="1"/>
  <c r="C40" i="26" a="1"/>
  <c r="C42" i="26" a="1"/>
  <c r="C35" i="26" a="1"/>
  <c r="M84" i="27" a="1"/>
  <c r="M91" i="27" a="1"/>
  <c r="M93" i="27" a="1"/>
  <c r="M66" i="27" a="1"/>
  <c r="M78" i="27" a="1"/>
  <c r="M68" i="27" a="1"/>
  <c r="M65" i="27" a="1"/>
  <c r="M62" i="27" a="1"/>
  <c r="M89" i="27" a="1"/>
  <c r="M90" i="27" a="1"/>
  <c r="M70" i="27" a="1"/>
  <c r="M75" i="27" a="1"/>
  <c r="M87" i="27" a="1"/>
  <c r="M57" i="27" a="1"/>
  <c r="M67" i="27" a="1"/>
  <c r="M85" i="27" a="1"/>
  <c r="M76" i="27" a="1"/>
  <c r="M63" i="27" a="1"/>
  <c r="M94" i="27" a="1"/>
  <c r="M79" i="27" a="1"/>
  <c r="M81" i="27" a="1"/>
  <c r="M77" i="27" a="1"/>
  <c r="M59" i="27" a="1"/>
  <c r="M64" i="27" a="1"/>
  <c r="M83" i="27" a="1"/>
  <c r="M92" i="27" a="1"/>
  <c r="M101" i="27" a="1"/>
  <c r="M104" i="27" a="1"/>
  <c r="M71" i="27" a="1"/>
  <c r="M80" i="27" a="1"/>
  <c r="M86" i="27" a="1"/>
  <c r="M82" i="27" a="1"/>
  <c r="M58" i="27" a="1"/>
  <c r="M74" i="27" a="1"/>
  <c r="M73" i="27" a="1"/>
  <c r="M69" i="27" a="1"/>
  <c r="M88" i="27" a="1"/>
  <c r="M72" i="27" a="1"/>
  <c r="M60" i="27" a="1"/>
  <c r="M95" i="27" a="1"/>
  <c r="M61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F87" i="27" a="1"/>
  <c r="F65" i="27" a="1"/>
  <c r="F68" i="27" a="1"/>
  <c r="F62" i="27" a="1"/>
  <c r="F64" i="27" a="1"/>
  <c r="F96" i="27" a="1"/>
  <c r="C275" i="3" a="1"/>
  <c r="F86" i="27" a="1"/>
  <c r="F80" i="27" a="1"/>
  <c r="F90" i="27" a="1"/>
  <c r="F77" i="27" a="1"/>
  <c r="F69" i="27" a="1"/>
  <c r="F101" i="27" a="1"/>
  <c r="F104" i="27" a="1"/>
  <c r="F75" i="27" a="1"/>
  <c r="F81" i="27" a="1"/>
  <c r="F76" i="27" a="1"/>
  <c r="F67" i="27" a="1"/>
  <c r="F89" i="27" a="1"/>
  <c r="F94" i="27" a="1"/>
  <c r="F98" i="27" a="1"/>
  <c r="F93" i="27" a="1"/>
  <c r="F102" i="27" a="1"/>
  <c r="F59" i="27" a="1"/>
  <c r="F60" i="27" a="1"/>
  <c r="F92" i="27" a="1"/>
  <c r="F71" i="27" a="1"/>
  <c r="F99" i="27" a="1"/>
  <c r="F84" i="27" a="1"/>
  <c r="F78" i="27" a="1"/>
  <c r="F95" i="27" a="1"/>
  <c r="F63" i="27" a="1"/>
  <c r="F74" i="27" a="1"/>
  <c r="F61" i="27" a="1"/>
  <c r="F79" i="27" a="1"/>
  <c r="F100" i="27" a="1"/>
  <c r="F85" i="27" a="1"/>
  <c r="F82" i="27" a="1"/>
  <c r="F88" i="27" a="1"/>
  <c r="F73" i="27" a="1"/>
  <c r="F70" i="27" a="1"/>
  <c r="F97" i="27" a="1"/>
  <c r="F103" i="27" a="1"/>
  <c r="F66" i="27" a="1"/>
  <c r="F72" i="27" a="1"/>
  <c r="F91" i="27" a="1"/>
  <c r="F83" i="27" a="1"/>
  <c r="C239" i="3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G82" i="27" a="1"/>
  <c r="I63" i="27" a="1"/>
  <c r="I102" i="27" a="1"/>
  <c r="G71" i="27" a="1"/>
  <c r="G75" i="27" a="1"/>
  <c r="G70" i="27" a="1"/>
  <c r="G91" i="27" a="1"/>
  <c r="I68" i="27" a="1"/>
  <c r="G95" i="27" a="1"/>
  <c r="G76" i="27" a="1"/>
  <c r="G65" i="27" a="1"/>
  <c r="I74" i="27" a="1"/>
  <c r="G102" i="27" a="1"/>
  <c r="I66" i="27" a="1"/>
  <c r="G63" i="27" a="1"/>
  <c r="G97" i="27" a="1"/>
  <c r="I95" i="27" a="1"/>
  <c r="I60" i="27" a="1"/>
  <c r="I71" i="27" a="1"/>
  <c r="G77" i="27" a="1"/>
  <c r="G68" i="27" a="1"/>
  <c r="I88" i="27" a="1"/>
  <c r="I65" i="27" a="1"/>
  <c r="I72" i="27" a="1"/>
  <c r="I80" i="27" a="1"/>
  <c r="G60" i="27" a="1"/>
  <c r="I76" i="27" a="1"/>
  <c r="I91" i="27" a="1"/>
  <c r="G85" i="27" a="1"/>
  <c r="I79" i="27" a="1"/>
  <c r="I92" i="27" a="1"/>
  <c r="I59" i="27" a="1"/>
  <c r="I61" i="27" a="1"/>
  <c r="I75" i="27" a="1"/>
  <c r="G59" i="27" a="1"/>
  <c r="G78" i="27" a="1"/>
  <c r="G96" i="27" a="1"/>
  <c r="I64" i="27" a="1"/>
  <c r="G104" i="27" a="1"/>
  <c r="G58" i="27" a="1"/>
  <c r="G66" i="27" a="1"/>
  <c r="I69" i="27" a="1"/>
  <c r="I70" i="27" a="1"/>
  <c r="I96" i="27" a="1"/>
  <c r="I93" i="27" a="1"/>
  <c r="I87" i="27" a="1"/>
  <c r="G69" i="27" a="1"/>
  <c r="G64" i="27" a="1"/>
  <c r="I86" i="27" a="1"/>
  <c r="G79" i="27" a="1"/>
  <c r="I101" i="27" a="1"/>
  <c r="I84" i="27" a="1"/>
  <c r="I58" i="27" a="1"/>
  <c r="G89" i="27" a="1"/>
  <c r="G87" i="27" a="1"/>
  <c r="G72" i="27" a="1"/>
  <c r="I82" i="27" a="1"/>
  <c r="I97" i="27" a="1"/>
  <c r="G100" i="27" a="1"/>
  <c r="G83" i="27" a="1"/>
  <c r="G94" i="27" a="1"/>
  <c r="G93" i="27" a="1"/>
  <c r="G98" i="27" a="1"/>
  <c r="G81" i="27" a="1"/>
  <c r="G103" i="27" a="1"/>
  <c r="I83" i="27" a="1"/>
  <c r="I77" i="27" a="1"/>
  <c r="I62" i="27" a="1"/>
  <c r="I89" i="27" a="1"/>
  <c r="I90" i="27" a="1"/>
  <c r="G67" i="27" a="1"/>
  <c r="I100" i="27" a="1"/>
  <c r="G99" i="27" a="1"/>
  <c r="I104" i="27" a="1"/>
  <c r="I99" i="27" a="1"/>
  <c r="I78" i="27" a="1"/>
  <c r="I67" i="27" a="1"/>
  <c r="G73" i="27" a="1"/>
  <c r="G61" i="27" a="1"/>
  <c r="I103" i="27" a="1"/>
  <c r="G88" i="27" a="1"/>
  <c r="I81" i="27" a="1"/>
  <c r="I85" i="27" a="1"/>
  <c r="G74" i="27" a="1"/>
  <c r="G92" i="27" a="1"/>
  <c r="G62" i="27" a="1"/>
  <c r="I98" i="27" a="1"/>
  <c r="G101" i="27" a="1"/>
  <c r="G84" i="27" a="1"/>
  <c r="I94" i="27" a="1"/>
  <c r="G80" i="27" a="1"/>
  <c r="G86" i="27" a="1"/>
  <c r="G90" i="27" a="1"/>
  <c r="I73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8" i="27" a="1"/>
  <c r="J66" i="27" a="1"/>
  <c r="J73" i="27" a="1"/>
  <c r="J95" i="27" a="1"/>
  <c r="J79" i="27" a="1"/>
  <c r="J96" i="27" a="1"/>
  <c r="J67" i="27" a="1"/>
  <c r="J88" i="27" a="1"/>
  <c r="J76" i="27" a="1"/>
  <c r="J60" i="27" a="1"/>
  <c r="J77" i="27" a="1"/>
  <c r="J58" i="27" a="1"/>
  <c r="J64" i="27" a="1"/>
  <c r="J102" i="27" a="1"/>
  <c r="J103" i="27" a="1"/>
  <c r="J92" i="27" a="1"/>
  <c r="J75" i="27" a="1"/>
  <c r="J68" i="27" a="1"/>
  <c r="J97" i="27" a="1"/>
  <c r="J94" i="27" a="1"/>
  <c r="J81" i="27" a="1"/>
  <c r="J83" i="27" a="1"/>
  <c r="J100" i="27" a="1"/>
  <c r="J71" i="27" a="1"/>
  <c r="J104" i="27" a="1"/>
  <c r="J74" i="27" a="1"/>
  <c r="J84" i="27" a="1"/>
  <c r="J61" i="27" a="1"/>
  <c r="J90" i="27" a="1"/>
  <c r="J80" i="27" a="1"/>
  <c r="J98" i="27" a="1"/>
  <c r="J86" i="27" a="1"/>
  <c r="J62" i="27" a="1"/>
  <c r="J82" i="27" a="1"/>
  <c r="J70" i="27" a="1"/>
  <c r="J59" i="27" a="1"/>
  <c r="J85" i="27" a="1"/>
  <c r="J69" i="27" a="1"/>
  <c r="J99" i="27" a="1"/>
  <c r="J101" i="27" a="1"/>
  <c r="J89" i="27" a="1"/>
  <c r="J87" i="27" a="1"/>
  <c r="J65" i="27" a="1"/>
  <c r="J93" i="27" a="1"/>
  <c r="J63" i="27" a="1"/>
  <c r="J72" i="27" a="1"/>
  <c r="J91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BT34" i="3" l="1"/>
  <c r="AH28" i="3" a="1"/>
  <c r="E67" i="23" a="1"/>
  <c r="AM44" i="3" a="1"/>
  <c r="AM47" i="3" a="1"/>
  <c r="AM34" i="3" a="1"/>
  <c r="AM45" i="3" a="1"/>
  <c r="AM41" i="3" a="1"/>
  <c r="BV34" i="3" a="1"/>
  <c r="AM39" i="3" a="1"/>
  <c r="AM53" i="3" a="1"/>
  <c r="AM51" i="3" a="1"/>
  <c r="AM35" i="3" a="1"/>
  <c r="AM49" i="3" a="1"/>
  <c r="AM36" i="3" a="1"/>
  <c r="AM40" i="3" a="1"/>
  <c r="AM52" i="3" a="1"/>
  <c r="AM42" i="3" a="1"/>
  <c r="AM43" i="3" a="1"/>
  <c r="AM46" i="3" a="1"/>
  <c r="AM50" i="3" a="1"/>
  <c r="AM38" i="3" a="1"/>
  <c r="AM33" i="3" a="1"/>
  <c r="AM48" i="3" a="1"/>
  <c r="AM37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E67" i="23"/>
  <c r="AM51" i="3"/>
  <c r="AM50" i="3"/>
  <c r="AM53" i="3"/>
  <c r="AM52" i="3"/>
  <c r="BU34" i="3"/>
  <c r="BV34" i="3"/>
  <c r="AN38" i="3" a="1"/>
  <c r="AN35" i="3" a="1"/>
  <c r="AN50" i="3" a="1"/>
  <c r="AN37" i="3" a="1"/>
  <c r="AN45" i="3" a="1"/>
  <c r="AN44" i="3" a="1"/>
  <c r="AN46" i="3" a="1"/>
  <c r="BW34" i="3" a="1"/>
  <c r="AN47" i="3" a="1"/>
  <c r="AN33" i="3" a="1"/>
  <c r="AN48" i="3" a="1"/>
  <c r="AN36" i="3" a="1"/>
  <c r="AN51" i="3" a="1"/>
  <c r="AN39" i="3" a="1"/>
  <c r="AN40" i="3" a="1"/>
  <c r="AN42" i="3" a="1"/>
  <c r="AN49" i="3" a="1"/>
  <c r="AN43" i="3" a="1"/>
  <c r="AN34" i="3" a="1"/>
  <c r="AN41" i="3" a="1"/>
  <c r="AN53" i="3" a="1"/>
  <c r="AN52" i="3" a="1"/>
  <c r="AN36" i="3" l="1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H34" i="3" l="1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Y39" i="25" a="1"/>
  <c r="AH36" i="3" a="1"/>
  <c r="Y23" i="25" a="1"/>
  <c r="Y31" i="25" a="1"/>
  <c r="J42" i="25" a="1"/>
  <c r="AI35" i="3" a="1"/>
  <c r="J20" i="25" a="1"/>
  <c r="Y20" i="25" a="1"/>
  <c r="Y42" i="25" a="1"/>
  <c r="Y50" i="25" a="1"/>
  <c r="Y45" i="25" a="1"/>
  <c r="J39" i="25" a="1"/>
  <c r="Y26" i="25" a="1"/>
  <c r="J23" i="25" a="1"/>
  <c r="AH36" i="3" l="1"/>
  <c r="AG36" i="3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I32" i="25" a="1"/>
  <c r="I33" i="25" a="1"/>
  <c r="J27" i="25" a="1"/>
  <c r="H45" i="25" a="1"/>
  <c r="I26" i="25" a="1"/>
  <c r="J26" i="25" a="1"/>
  <c r="I27" i="25" a="1"/>
  <c r="H33" i="25" a="1"/>
  <c r="I31" i="25" a="1"/>
  <c r="H47" i="25" a="1"/>
  <c r="H26" i="25" a="1"/>
  <c r="H50" i="25" a="1"/>
  <c r="J52" i="25" a="1"/>
  <c r="I46" i="25" a="1"/>
  <c r="I51" i="25" a="1"/>
  <c r="H32" i="25" a="1"/>
  <c r="H46" i="25" a="1"/>
  <c r="I28" i="25" a="1"/>
  <c r="I52" i="25" a="1"/>
  <c r="H27" i="25" a="1"/>
  <c r="H51" i="25" a="1"/>
  <c r="J51" i="25" a="1"/>
  <c r="J28" i="25" a="1"/>
  <c r="J46" i="25" a="1"/>
  <c r="H52" i="25" a="1"/>
  <c r="H28" i="25" a="1"/>
  <c r="I45" i="25" a="1"/>
  <c r="AI36" i="3" a="1"/>
  <c r="AH37" i="3" a="1"/>
  <c r="J33" i="25" a="1"/>
  <c r="I47" i="25" a="1"/>
  <c r="J47" i="25" a="1"/>
  <c r="J45" i="25" a="1"/>
  <c r="H31" i="25" a="1"/>
  <c r="J50" i="25" a="1"/>
  <c r="I50" i="25" a="1"/>
  <c r="J32" i="25" a="1"/>
  <c r="J31" i="25" a="1"/>
  <c r="AH37" i="3" l="1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AI37" i="3" a="1"/>
  <c r="C9" i="25" a="1"/>
  <c r="AI37" i="3" l="1"/>
  <c r="C9" i="25"/>
  <c r="C8" i="25"/>
  <c r="I31" i="14"/>
  <c r="H31" i="14" a="1"/>
  <c r="C4" i="25" a="1"/>
  <c r="AC25" i="3" a="1"/>
  <c r="AC25" i="3" l="1"/>
  <c r="C4" i="25"/>
  <c r="C40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100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100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100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G40" i="5" a="1"/>
  <c r="H125" i="15" a="1"/>
  <c r="BT25" i="3" a="1"/>
  <c r="X50" i="15" a="1"/>
  <c r="H116" i="15" a="1"/>
  <c r="D50" i="15" a="1"/>
  <c r="BJ25" i="3" a="1"/>
  <c r="BD63" i="5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100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100" i="15" a="1"/>
  <c r="AA23" i="17" a="1"/>
  <c r="I17" i="21" a="1"/>
  <c r="AK17" i="23" a="1"/>
  <c r="J20" i="20" a="1"/>
  <c r="S18" i="21" a="1"/>
  <c r="G31" i="13" a="1"/>
  <c r="S38" i="17" a="1"/>
  <c r="Z24" i="17" a="1"/>
  <c r="J100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95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0" i="15" a="1"/>
  <c r="AE19" i="14" a="1"/>
  <c r="AU43" i="14" a="1"/>
  <c r="W43" i="14" a="1"/>
  <c r="L186" i="13" a="1"/>
  <c r="G192" i="13" a="1"/>
  <c r="U124" i="13" a="1"/>
  <c r="AR20" i="15" a="1"/>
  <c r="AA213" i="13" a="1"/>
  <c r="G194" i="13" a="1"/>
  <c r="S186" i="13" a="1"/>
  <c r="AB94" i="13" a="1"/>
  <c r="M124" i="13" a="1"/>
  <c r="G193" i="13" a="1"/>
  <c r="G190" i="13" a="1"/>
  <c r="J43" i="14" a="1"/>
  <c r="AI43" i="14" a="1"/>
  <c r="T20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0" i="15" a="1"/>
  <c r="E35" i="9" a="1"/>
  <c r="F34" i="15" a="1"/>
  <c r="M245" i="13" a="1"/>
  <c r="L248" i="13" a="1"/>
  <c r="S94" i="13" a="1"/>
  <c r="G191" i="13" a="1"/>
  <c r="L213" i="13" a="1"/>
  <c r="O247" i="13" a="1"/>
  <c r="O244" i="13" a="1"/>
  <c r="T34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94" i="5" a="1"/>
  <c r="V222" i="5" a="1"/>
  <c r="W217" i="5" a="1"/>
  <c r="V218" i="5" a="1"/>
  <c r="X221" i="5" a="1"/>
  <c r="X223" i="5" a="1"/>
  <c r="T99" i="5" a="1"/>
  <c r="V217" i="5" a="1"/>
  <c r="T222" i="5" a="1"/>
  <c r="T102" i="5" a="1"/>
  <c r="U219" i="5" a="1"/>
  <c r="T93" i="5" a="1"/>
  <c r="W221" i="5" a="1"/>
  <c r="M50" i="15" a="1"/>
  <c r="T92" i="5" a="1"/>
  <c r="T217" i="5" a="1"/>
  <c r="V223" i="5" a="1"/>
  <c r="W220" i="5" a="1"/>
  <c r="X219" i="5" a="1"/>
  <c r="X218" i="5" a="1"/>
  <c r="T97" i="5" a="1"/>
  <c r="X220" i="5" a="1"/>
  <c r="T218" i="5" a="1"/>
  <c r="W222" i="5" a="1"/>
  <c r="T101" i="5" a="1"/>
  <c r="U222" i="5" a="1"/>
  <c r="T103" i="5" a="1"/>
  <c r="V220" i="5" a="1"/>
  <c r="X217" i="5" a="1"/>
  <c r="T220" i="5" a="1"/>
  <c r="W223" i="5" a="1"/>
  <c r="U221" i="5" a="1"/>
  <c r="V221" i="5" a="1"/>
  <c r="W219" i="5" a="1"/>
  <c r="T89" i="5" a="1"/>
  <c r="T96" i="5" a="1"/>
  <c r="T88" i="5" a="1"/>
  <c r="V219" i="5" a="1"/>
  <c r="T95" i="5" a="1"/>
  <c r="X222" i="5" a="1"/>
  <c r="T223" i="5" a="1"/>
  <c r="U223" i="5" a="1"/>
  <c r="T87" i="5" a="1"/>
  <c r="T100" i="5" a="1"/>
  <c r="T91" i="5" a="1"/>
  <c r="T221" i="5" a="1"/>
  <c r="T98" i="5" a="1"/>
  <c r="U217" i="5" a="1"/>
  <c r="W218" i="5" a="1"/>
  <c r="T90" i="5" a="1"/>
  <c r="U218" i="5" a="1"/>
  <c r="T219" i="5" a="1"/>
  <c r="U220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0" i="15" a="1"/>
  <c r="G109" i="13" a="1"/>
  <c r="AC35" i="15" a="1"/>
  <c r="H17" i="19" a="1"/>
  <c r="I229" i="13" a="1"/>
  <c r="L34" i="15" a="1"/>
  <c r="N190" i="13" a="1"/>
  <c r="AC36" i="15" a="1"/>
  <c r="N199" i="13" a="1"/>
  <c r="I233" i="13" a="1"/>
  <c r="G189" i="13" a="1"/>
  <c r="N215" i="13" a="1"/>
  <c r="AI213" i="13" a="1"/>
  <c r="N191" i="13" a="1"/>
  <c r="L35" i="15" a="1"/>
  <c r="N22" i="15" a="1"/>
  <c r="H229" i="13" a="1"/>
  <c r="N216" i="13" a="1"/>
  <c r="AG19" i="14" a="1"/>
  <c r="N109" i="13" a="1"/>
  <c r="M21" i="15" a="1"/>
  <c r="AB36" i="15" a="1"/>
  <c r="N194" i="13" a="1"/>
  <c r="X17" i="19" a="1"/>
  <c r="H231" i="13" a="1"/>
  <c r="BU43" i="14" a="1"/>
  <c r="AD36" i="15" a="1"/>
  <c r="U215" i="13" a="1"/>
  <c r="N20" i="15" a="1"/>
  <c r="N195" i="13" a="1"/>
  <c r="CI19" i="14" a="1"/>
  <c r="U79" i="13" a="1"/>
  <c r="N203" i="13" a="1"/>
  <c r="AS124" i="13" a="1"/>
  <c r="AB35" i="15" a="1"/>
  <c r="AB34" i="15" a="1"/>
  <c r="N192" i="13" a="1"/>
  <c r="L245" i="13" a="1"/>
  <c r="I232" i="13" a="1"/>
  <c r="N200" i="13" a="1"/>
  <c r="AK43" i="14" a="1"/>
  <c r="N197" i="13" a="1"/>
  <c r="N198" i="13" a="1"/>
  <c r="M22" i="15" a="1"/>
  <c r="G215" i="13" a="1"/>
  <c r="H19" i="14" a="1"/>
  <c r="U217" i="13" a="1"/>
  <c r="G186" i="13" a="1"/>
  <c r="N188" i="13" a="1"/>
  <c r="N244" i="13" a="1"/>
  <c r="W94" i="13" a="1"/>
  <c r="AL20" i="15" a="1"/>
  <c r="L22" i="15" a="1"/>
  <c r="AJ94" i="13" a="1"/>
  <c r="AD34" i="15" a="1"/>
  <c r="U214" i="13" a="1"/>
  <c r="N217" i="13" a="1"/>
  <c r="AA186" i="13" a="1"/>
  <c r="N213" i="13" a="1"/>
  <c r="L21" i="15" a="1"/>
  <c r="Y19" i="14" a="1"/>
  <c r="M34" i="15" a="1"/>
  <c r="Y43" i="14" a="1"/>
  <c r="AC34" i="15" a="1"/>
  <c r="G213" i="13" a="1"/>
  <c r="L20" i="15" a="1"/>
  <c r="AD35" i="15" a="1"/>
  <c r="BC43" i="14" a="1"/>
  <c r="H232" i="13" a="1"/>
  <c r="N187" i="13" a="1"/>
  <c r="N21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5" i="15" a="1"/>
  <c r="H230" i="13" a="1"/>
  <c r="L244" i="13" a="1"/>
  <c r="AZ20" i="15" a="1"/>
  <c r="G216" i="13" a="1"/>
  <c r="N189" i="13" a="1"/>
  <c r="N201" i="13" a="1"/>
  <c r="M20" i="15" a="1"/>
  <c r="N193" i="13" a="1"/>
  <c r="G124" i="13" a="1"/>
  <c r="N196" i="13" a="1"/>
  <c r="I231" i="13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89" i="13" a="1"/>
  <c r="C239" i="13" a="1"/>
  <c r="S17" i="19" a="1"/>
  <c r="C17" i="17" a="1"/>
  <c r="C208" i="13" a="1"/>
  <c r="C14" i="14" a="1"/>
  <c r="C28" i="15" a="1"/>
  <c r="C38" i="14" a="1"/>
  <c r="Z17" i="19" a="1"/>
  <c r="C104" i="13" a="1"/>
  <c r="C181" i="13" a="1"/>
  <c r="C74" i="13" a="1"/>
  <c r="C224" i="13" a="1"/>
  <c r="C119" i="13" a="1"/>
  <c r="J53" i="15" a="1"/>
  <c r="K53" i="15" a="1"/>
  <c r="S53" i="15" a="1"/>
  <c r="T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U90" i="5" a="1"/>
  <c r="BF42" i="5" a="1"/>
  <c r="U97" i="5" a="1"/>
  <c r="BF63" i="5" a="1"/>
  <c r="X135" i="5" a="1"/>
  <c r="V97" i="5" a="1"/>
  <c r="BO39" i="5" a="1"/>
  <c r="W103" i="5" a="1"/>
  <c r="X98" i="5" a="1"/>
  <c r="U126" i="5" a="1"/>
  <c r="BF64" i="5" a="1"/>
  <c r="BP67" i="5" a="1"/>
  <c r="U98" i="5" a="1"/>
  <c r="BR40" i="5" a="1"/>
  <c r="BS63" i="5" a="1"/>
  <c r="BM42" i="5" a="1"/>
  <c r="T128" i="5" a="1"/>
  <c r="U197" i="5" a="1"/>
  <c r="BN40" i="5" a="1"/>
  <c r="BO43" i="5" a="1"/>
  <c r="V133" i="5" a="1"/>
  <c r="X136" i="5" a="1"/>
  <c r="BK39" i="5" a="1"/>
  <c r="BF41" i="5" a="1"/>
  <c r="BS41" i="5" a="1"/>
  <c r="W135" i="5" a="1"/>
  <c r="W128" i="5" a="1"/>
  <c r="U128" i="5" a="1"/>
  <c r="BP39" i="5" a="1"/>
  <c r="W197" i="5" a="1"/>
  <c r="U87" i="5" a="1"/>
  <c r="BK64" i="5" a="1"/>
  <c r="BJ67" i="5" a="1"/>
  <c r="BO63" i="5" a="1"/>
  <c r="V135" i="5" a="1"/>
  <c r="L157" i="5" a="1"/>
  <c r="BH67" i="5" a="1"/>
  <c r="X102" i="5" a="1"/>
  <c r="BR43" i="5" a="1"/>
  <c r="BQ41" i="5" a="1"/>
  <c r="BL40" i="5" a="1"/>
  <c r="BE43" i="5" a="1"/>
  <c r="V96" i="5" a="1"/>
  <c r="BL65" i="5" a="1"/>
  <c r="L159" i="5" a="1"/>
  <c r="BO66" i="5" a="1"/>
  <c r="BP63" i="5" a="1"/>
  <c r="X100" i="5" a="1"/>
  <c r="X101" i="5" a="1"/>
  <c r="BI65" i="5" a="1"/>
  <c r="W131" i="5" a="1"/>
  <c r="V125" i="5" a="1"/>
  <c r="D77" i="1" a="1"/>
  <c r="U96" i="5" a="1"/>
  <c r="X137" i="5" a="1"/>
  <c r="W93" i="5" a="1"/>
  <c r="V99" i="5" a="1"/>
  <c r="BI64" i="5" a="1"/>
  <c r="C6" i="2" a="1"/>
  <c r="L181" i="5" a="1"/>
  <c r="L179" i="5" a="1"/>
  <c r="U138" i="5" a="1"/>
  <c r="BD41" i="5" a="1"/>
  <c r="V123" i="5" a="1"/>
  <c r="X89" i="5" a="1"/>
  <c r="BH65" i="5" a="1"/>
  <c r="D87" i="1" a="1"/>
  <c r="U124" i="5" a="1"/>
  <c r="V138" i="5" a="1"/>
  <c r="T198" i="5" a="1"/>
  <c r="BO40" i="5" a="1"/>
  <c r="X198" i="5" a="1"/>
  <c r="BL41" i="5" a="1"/>
  <c r="BR63" i="5" a="1"/>
  <c r="X96" i="5" a="1"/>
  <c r="BS67" i="5" a="1"/>
  <c r="BH63" i="5" a="1"/>
  <c r="BO42" i="5" a="1"/>
  <c r="U94" i="5" a="1"/>
  <c r="BT39" i="5" a="1"/>
  <c r="BJ64" i="5" a="1"/>
  <c r="V131" i="5" a="1"/>
  <c r="BI43" i="5" a="1"/>
  <c r="BR41" i="5" a="1"/>
  <c r="W99" i="5" a="1"/>
  <c r="BS43" i="5" a="1"/>
  <c r="X133" i="5" a="1"/>
  <c r="X129" i="5" a="1"/>
  <c r="BR64" i="5" a="1"/>
  <c r="V130" i="5" a="1"/>
  <c r="K179" i="5" a="1"/>
  <c r="X127" i="5" a="1"/>
  <c r="X131" i="5" a="1"/>
  <c r="X132" i="5" a="1"/>
  <c r="BM41" i="5" a="1"/>
  <c r="BS64" i="5" a="1"/>
  <c r="BI42" i="5" a="1"/>
  <c r="W102" i="5" a="1"/>
  <c r="BK65" i="5" a="1"/>
  <c r="T138" i="5" a="1"/>
  <c r="K181" i="5" a="1"/>
  <c r="L160" i="5" a="1"/>
  <c r="U135" i="5" a="1"/>
  <c r="BM65" i="5" a="1"/>
  <c r="T139" i="5" a="1"/>
  <c r="BO64" i="5" a="1"/>
  <c r="V98" i="5" a="1"/>
  <c r="BL66" i="5" a="1"/>
  <c r="E78" i="1" a="1"/>
  <c r="BN39" i="5" a="1"/>
  <c r="U92" i="5" a="1"/>
  <c r="U130" i="5" a="1"/>
  <c r="T130" i="5" a="1"/>
  <c r="BJ63" i="5" a="1"/>
  <c r="BL67" i="5" a="1"/>
  <c r="BT40" i="5" a="1"/>
  <c r="BE67" i="5" a="1"/>
  <c r="L178" i="5" a="1"/>
  <c r="BN67" i="5" a="1"/>
  <c r="X126" i="5" a="1"/>
  <c r="W132" i="5" a="1"/>
  <c r="W94" i="5" a="1"/>
  <c r="BD39" i="5" a="1"/>
  <c r="BL63" i="5" a="1"/>
  <c r="BJ66" i="5" a="1"/>
  <c r="E80" i="1" a="1"/>
  <c r="BT65" i="5" a="1"/>
  <c r="W96" i="5" a="1"/>
  <c r="W95" i="5" a="1"/>
  <c r="BH66" i="5" a="1"/>
  <c r="T127" i="5" a="1"/>
  <c r="BG66" i="5" a="1"/>
  <c r="U137" i="5" a="1"/>
  <c r="BG64" i="5" a="1"/>
  <c r="BM64" i="5" a="1"/>
  <c r="W124" i="5" a="1"/>
  <c r="BQ43" i="5" a="1"/>
  <c r="V101" i="5" a="1"/>
  <c r="BN43" i="5" a="1"/>
  <c r="K180" i="5" a="1"/>
  <c r="T124" i="5" a="1"/>
  <c r="K161" i="5" a="1"/>
  <c r="BD42" i="5" a="1"/>
  <c r="BK42" i="5" a="1"/>
  <c r="W89" i="5" a="1"/>
  <c r="BQ64" i="5" a="1"/>
  <c r="BD65" i="5" a="1"/>
  <c r="V134" i="5" a="1"/>
  <c r="BO67" i="5" a="1"/>
  <c r="BJ41" i="5" a="1"/>
  <c r="BF39" i="5" a="1"/>
  <c r="BN42" i="5" a="1"/>
  <c r="X92" i="5" a="1"/>
  <c r="BQ39" i="5" a="1"/>
  <c r="X95" i="5" a="1"/>
  <c r="BN41" i="5" a="1"/>
  <c r="BF40" i="5" a="1"/>
  <c r="BR39" i="5" a="1"/>
  <c r="BT66" i="5" a="1"/>
  <c r="BI63" i="5" a="1"/>
  <c r="BN65" i="5" a="1"/>
  <c r="X134" i="5" a="1"/>
  <c r="BP41" i="5" a="1"/>
  <c r="X130" i="5" a="1"/>
  <c r="BM39" i="5" a="1"/>
  <c r="T134" i="5" a="1"/>
  <c r="U100" i="5" a="1"/>
  <c r="BT63" i="5" a="1"/>
  <c r="U136" i="5" a="1"/>
  <c r="X94" i="5" a="1"/>
  <c r="W88" i="5" a="1"/>
  <c r="BJ43" i="5" a="1"/>
  <c r="BT43" i="5" a="1"/>
  <c r="K178" i="5" a="1"/>
  <c r="BP64" i="5" a="1"/>
  <c r="BH43" i="5" a="1"/>
  <c r="U99" i="5" a="1"/>
  <c r="BG41" i="5" a="1"/>
  <c r="V92" i="5" a="1"/>
  <c r="E82" i="1" a="1"/>
  <c r="BI67" i="5" a="1"/>
  <c r="W134" i="5" a="1"/>
  <c r="V136" i="5" a="1"/>
  <c r="X88" i="5" a="1"/>
  <c r="T133" i="5" a="1"/>
  <c r="V89" i="5" a="1"/>
  <c r="U139" i="5" a="1"/>
  <c r="BG67" i="5" a="1"/>
  <c r="BK63" i="5" a="1"/>
  <c r="W126" i="5" a="1"/>
  <c r="W100" i="5" a="1"/>
  <c r="W101" i="5" a="1"/>
  <c r="V90" i="5" a="1"/>
  <c r="D81" i="1" a="1"/>
  <c r="V100" i="5" a="1"/>
  <c r="U91" i="5" a="1"/>
  <c r="BE63" i="5" a="1"/>
  <c r="BK43" i="5" a="1"/>
  <c r="BR65" i="5" a="1"/>
  <c r="V197" i="5" a="1"/>
  <c r="U198" i="5" a="1"/>
  <c r="BR66" i="5" a="1"/>
  <c r="W198" i="5" a="1"/>
  <c r="X97" i="5" a="1"/>
  <c r="V129" i="5" a="1"/>
  <c r="BJ65" i="5" a="1"/>
  <c r="W87" i="5" a="1"/>
  <c r="V102" i="5" a="1"/>
  <c r="BL42" i="5" a="1"/>
  <c r="V91" i="5" a="1"/>
  <c r="BT42" i="5" a="1"/>
  <c r="U95" i="5" a="1"/>
  <c r="BH41" i="5" a="1"/>
  <c r="K158" i="5" a="1"/>
  <c r="X103" i="5" a="1"/>
  <c r="L158" i="5" a="1"/>
  <c r="W129" i="5" a="1"/>
  <c r="BQ67" i="5" a="1"/>
  <c r="U133" i="5" a="1"/>
  <c r="BS42" i="5" a="1"/>
  <c r="D79" i="1" a="1"/>
  <c r="BG42" i="5" a="1"/>
  <c r="W127" i="5" a="1"/>
  <c r="BO65" i="5" a="1"/>
  <c r="X90" i="5" a="1"/>
  <c r="BP40" i="5" a="1"/>
  <c r="E84" i="1" a="1"/>
  <c r="T132" i="5" a="1"/>
  <c r="BK40" i="5" a="1"/>
  <c r="X91" i="5" a="1"/>
  <c r="BF66" i="5" a="1"/>
  <c r="BQ66" i="5" a="1"/>
  <c r="K157" i="5" a="1"/>
  <c r="U127" i="5" a="1"/>
  <c r="BR42" i="5" a="1"/>
  <c r="BS39" i="5" a="1"/>
  <c r="BE39" i="5" a="1"/>
  <c r="U102" i="5" a="1"/>
  <c r="U89" i="5" a="1"/>
  <c r="T136" i="5" a="1"/>
  <c r="BH42" i="5" a="1"/>
  <c r="BG65" i="5" a="1"/>
  <c r="V139" i="5" a="1"/>
  <c r="BL43" i="5" a="1"/>
  <c r="BQ42" i="5" a="1"/>
  <c r="V87" i="5" a="1"/>
  <c r="BK66" i="5" a="1"/>
  <c r="X138" i="5" a="1"/>
  <c r="BE64" i="5" a="1"/>
  <c r="W97" i="5" a="1"/>
  <c r="X124" i="5" a="1"/>
  <c r="X123" i="5" a="1"/>
  <c r="BN64" i="5" a="1"/>
  <c r="V94" i="5" a="1"/>
  <c r="V103" i="5" a="1"/>
  <c r="V126" i="5" a="1"/>
  <c r="V127" i="5" a="1"/>
  <c r="BI66" i="5" a="1"/>
  <c r="W125" i="5" a="1"/>
  <c r="X87" i="5" a="1"/>
  <c r="K160" i="5" a="1"/>
  <c r="BP65" i="5" a="1"/>
  <c r="T131" i="5" a="1"/>
  <c r="V124" i="5" a="1"/>
  <c r="BM66" i="5" a="1"/>
  <c r="W91" i="5" a="1"/>
  <c r="W98" i="5" a="1"/>
  <c r="BE40" i="5" a="1"/>
  <c r="BE65" i="5" a="1"/>
  <c r="BG43" i="5" a="1"/>
  <c r="BD64" i="5" a="1"/>
  <c r="BE42" i="5" a="1"/>
  <c r="BM63" i="5" a="1"/>
  <c r="X128" i="5" a="1"/>
  <c r="BE41" i="5" a="1"/>
  <c r="BM40" i="5" a="1"/>
  <c r="BP66" i="5" a="1"/>
  <c r="L177" i="5" a="1"/>
  <c r="BK41" i="5" a="1"/>
  <c r="BH39" i="5" a="1"/>
  <c r="BP43" i="5" a="1"/>
  <c r="BP42" i="5" a="1"/>
  <c r="V128" i="5" a="1"/>
  <c r="D83" i="1" a="1"/>
  <c r="U93" i="5" a="1"/>
  <c r="W136" i="5" a="1"/>
  <c r="U134" i="5" a="1"/>
  <c r="BF65" i="5" a="1"/>
  <c r="BH64" i="5" a="1"/>
  <c r="BJ39" i="5" a="1"/>
  <c r="T197" i="5" a="1"/>
  <c r="BQ40" i="5" a="1"/>
  <c r="V88" i="5" a="1"/>
  <c r="BT64" i="5" a="1"/>
  <c r="BJ40" i="5" a="1"/>
  <c r="W137" i="5" a="1"/>
  <c r="U129" i="5" a="1"/>
  <c r="W130" i="5" a="1"/>
  <c r="BI39" i="5" a="1"/>
  <c r="W133" i="5" a="1"/>
  <c r="T137" i="5" a="1"/>
  <c r="BD67" i="5" a="1"/>
  <c r="BK67" i="5" a="1"/>
  <c r="BF43" i="5" a="1"/>
  <c r="W90" i="5" a="1"/>
  <c r="K159" i="5" a="1"/>
  <c r="BD66" i="5" a="1"/>
  <c r="D85" i="1" a="1"/>
  <c r="E86" i="1" a="1"/>
  <c r="V93" i="5" a="1"/>
  <c r="W92" i="5" a="1"/>
  <c r="T125" i="5" a="1"/>
  <c r="BM67" i="5" a="1"/>
  <c r="L161" i="5" a="1"/>
  <c r="K177" i="5" a="1"/>
  <c r="U132" i="5" a="1"/>
  <c r="BS40" i="5" a="1"/>
  <c r="BQ63" i="5" a="1"/>
  <c r="T135" i="5" a="1"/>
  <c r="T123" i="5" a="1"/>
  <c r="X93" i="5" a="1"/>
  <c r="BT41" i="5" a="1"/>
  <c r="BN66" i="5" a="1"/>
  <c r="BQ65" i="5" a="1"/>
  <c r="V137" i="5" a="1"/>
  <c r="X197" i="5" a="1"/>
  <c r="BR67" i="5" a="1"/>
  <c r="U123" i="5" a="1"/>
  <c r="BL39" i="5" a="1"/>
  <c r="BE66" i="5" a="1"/>
  <c r="BH40" i="5" a="1"/>
  <c r="BI41" i="5" a="1"/>
  <c r="U131" i="5" a="1"/>
  <c r="W139" i="5" a="1"/>
  <c r="W123" i="5" a="1"/>
  <c r="W138" i="5" a="1"/>
  <c r="BD43" i="5" a="1"/>
  <c r="BL64" i="5" a="1"/>
  <c r="BT67" i="5" a="1"/>
  <c r="BD40" i="5" a="1"/>
  <c r="BI40" i="5" a="1"/>
  <c r="BS66" i="5" a="1"/>
  <c r="BO41" i="5" a="1"/>
  <c r="BF67" i="5" a="1"/>
  <c r="V95" i="5" a="1"/>
  <c r="X139" i="5" a="1"/>
  <c r="T126" i="5" a="1"/>
  <c r="X99" i="5" a="1"/>
  <c r="V198" i="5" a="1"/>
  <c r="U103" i="5" a="1"/>
  <c r="L180" i="5" a="1"/>
  <c r="U88" i="5" a="1"/>
  <c r="BG39" i="5" a="1"/>
  <c r="V132" i="5" a="1"/>
  <c r="BN63" i="5" a="1"/>
  <c r="BM43" i="5" a="1"/>
  <c r="BJ42" i="5" a="1"/>
  <c r="X125" i="5" a="1"/>
  <c r="U101" i="5" a="1"/>
  <c r="U125" i="5" a="1"/>
  <c r="BS65" i="5" a="1"/>
  <c r="T129" i="5" a="1"/>
  <c r="BG63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E81" i="1" a="1"/>
  <c r="C186" i="5" a="1"/>
  <c r="C166" i="5" a="1"/>
  <c r="E85" i="1" a="1"/>
  <c r="C48" i="5" a="1"/>
  <c r="D64" i="2" a="1"/>
  <c r="E79" i="1" a="1"/>
  <c r="C72" i="5" a="1"/>
  <c r="E83" i="1" a="1"/>
  <c r="C144" i="5" a="1"/>
  <c r="E87" i="1" a="1"/>
  <c r="C24" i="5" a="1"/>
  <c r="C108" i="5" a="1"/>
  <c r="E77" i="1" a="1"/>
  <c r="H17" i="2" a="1"/>
  <c r="D62" i="2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C73" i="1" a="1"/>
  <c r="G21" i="2" a="1"/>
  <c r="F64" i="2" a="1"/>
  <c r="C4" i="5" a="1"/>
  <c r="F62" i="2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3" i="8" s="1"/>
  <c r="C58" i="2"/>
  <c r="C4" i="1" a="1"/>
  <c r="C4" i="1" l="1"/>
  <c r="C33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4" i="8" s="1"/>
  <c r="I41" i="28" a="1"/>
  <c r="B10" i="8" a="1"/>
  <c r="H41" i="2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5" i="28" a="1"/>
  <c r="I56" i="28" a="1"/>
  <c r="I52" i="28" a="1"/>
  <c r="I53" i="28" a="1"/>
  <c r="I57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<sst xmlns="http://schemas.openxmlformats.org/spreadsheetml/2006/main" count="5718" uniqueCount="848">
  <si>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</si>
  <si>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</si>
  <si>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</si>
  <si>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</si>
  <si>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</si>
  <si>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</si>
  <si>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</si>
  <si>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</si>
  <si>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</si>
  <si>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</si>
  <si>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</si>
  <si>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</si>
  <si>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</si>
  <si>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</si>
  <si>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</si>
  <si>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</si>
  <si>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</si>
  <si>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</si>
  <si>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</si>
  <si>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</si>
  <si>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</si>
  <si>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</si>
  <si>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</si>
  <si>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</si>
  <si>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</si>
  <si>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</si>
  <si>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</si>
  <si>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</si>
  <si>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</si>
  <si>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</si>
  <si>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</si>
  <si>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</si>
  <si>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</si>
  <si>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</si>
  <si>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</si>
  <si>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</si>
  <si>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</si>
  <si>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</si>
  <si>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</si>
  <si>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</si>
  <si>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</si>
  <si>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</si>
  <si>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</si>
  <si>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</si>
  <si>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</si>
  <si>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</si>
  <si>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</si>
  <si>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</si>
  <si>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</si>
  <si>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</si>
  <si>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</si>
  <si>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</si>
  <si>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</si>
  <si>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</si>
  <si>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</si>
  <si>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</si>
  <si>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</si>
  <si>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</si>
  <si>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</si>
  <si>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</si>
  <si>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</si>
  <si>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</si>
  <si>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</si>
  <si>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</si>
  <si>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</si>
  <si>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</si>
  <si>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</si>
  <si>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</si>
  <si>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</si>
  <si>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</si>
  <si>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</si>
  <si>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</si>
  <si>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</si>
  <si>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</si>
  <si>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</si>
  <si>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</si>
  <si>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</si>
  <si>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</si>
  <si>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</si>
  <si>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</si>
  <si>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</si>
  <si>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</si>
  <si>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</si>
  <si>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</si>
  <si>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</si>
  <si>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</si>
  <si>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</si>
  <si>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</si>
  <si>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</si>
  <si>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</si>
  <si>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</si>
  <si>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</si>
  <si>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</si>
  <si>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</si>
  <si>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</si>
  <si>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</si>
  <si>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</si>
  <si>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</si>
  <si>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</si>
  <si>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</si>
  <si>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</si>
  <si>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</si>
  <si>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</si>
  <si>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</si>
  <si>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</si>
  <si>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</si>
  <si>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</si>
  <si>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</si>
  <si>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</si>
  <si>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</si>
  <si>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</si>
  <si>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</si>
  <si>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</si>
  <si>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</si>
  <si>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</si>
  <si>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</si>
  <si>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</si>
  <si>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</si>
  <si>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</si>
  <si>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</si>
  <si>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</si>
  <si>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</si>
  <si>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</si>
  <si>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</si>
  <si>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</si>
  <si>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</si>
  <si>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</si>
  <si>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</si>
  <si>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</si>
  <si>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</si>
  <si>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</si>
  <si>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</si>
  <si>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</si>
  <si>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</si>
  <si>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</si>
  <si>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</si>
  <si>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</si>
  <si>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</si>
  <si>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</si>
  <si>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</si>
  <si>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</si>
  <si>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</si>
  <si>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</si>
  <si>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</si>
  <si>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</si>
  <si>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</si>
  <si>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</si>
  <si>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</si>
  <si>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</si>
  <si>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</si>
  <si>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</si>
  <si>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</si>
  <si>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</si>
  <si>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</si>
  <si>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</si>
  <si>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</si>
  <si>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</si>
  <si>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</si>
  <si>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</si>
  <si>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</si>
  <si>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</si>
  <si>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</si>
  <si>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</si>
  <si>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</si>
  <si>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</si>
  <si>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</si>
  <si>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</si>
  <si>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</si>
  <si>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</si>
  <si>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</si>
  <si>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</si>
  <si>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</si>
  <si>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</si>
  <si>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</si>
  <si>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</si>
  <si>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</si>
  <si>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</si>
  <si>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</si>
  <si>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</si>
  <si>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</si>
  <si>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</si>
  <si>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</si>
  <si>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</si>
  <si>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</si>
  <si>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</si>
  <si>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</si>
  <si>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</si>
  <si>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</si>
  <si>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</si>
  <si>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</si>
  <si>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</si>
  <si>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</si>
  <si>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</si>
  <si>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</si>
  <si>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</si>
  <si>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</si>
  <si>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</si>
  <si>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</si>
  <si>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</si>
  <si>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</si>
  <si>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</si>
  <si>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</si>
  <si>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</si>
  <si>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</si>
  <si>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</si>
  <si>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</si>
  <si>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</si>
  <si>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</si>
  <si>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</si>
  <si>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</si>
  <si>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</si>
  <si>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</si>
  <si>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</si>
  <si>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</si>
  <si>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</si>
  <si>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</si>
  <si>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</si>
  <si>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</si>
  <si>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</si>
  <si>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</si>
  <si>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</si>
  <si>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</si>
  <si>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</si>
  <si>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</si>
  <si>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</si>
  <si>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</si>
  <si>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</si>
  <si>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</si>
  <si>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</si>
  <si>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</si>
  <si>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</si>
  <si>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</si>
  <si>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</si>
  <si>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</si>
  <si>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</si>
  <si>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</si>
  <si>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</si>
  <si>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</si>
  <si>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</si>
  <si>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</si>
  <si>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</si>
  <si>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</si>
  <si>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</si>
  <si>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</si>
  <si>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</si>
  <si>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</si>
  <si>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</si>
  <si>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</si>
  <si>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</si>
  <si>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</si>
  <si>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</si>
  <si>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</si>
  <si>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</si>
  <si>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</si>
  <si>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</si>
  <si>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</si>
  <si>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</si>
  <si>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</si>
  <si>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</si>
  <si>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</si>
  <si>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</si>
  <si>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</si>
  <si>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</si>
  <si>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</si>
  <si>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</si>
  <si>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</si>
  <si>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</si>
  <si>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</si>
  <si>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</si>
  <si>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</si>
  <si>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</si>
  <si>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</si>
  <si>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</si>
  <si>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</si>
  <si>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</si>
  <si>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</si>
  <si>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</si>
  <si>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</si>
  <si>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</si>
  <si>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</si>
  <si>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</si>
  <si>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</si>
  <si>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</si>
  <si>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</si>
  <si>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</si>
  <si>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</si>
  <si>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</si>
  <si>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</si>
  <si>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</si>
  <si>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</si>
  <si>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</si>
  <si>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</si>
  <si>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</si>
  <si>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</si>
  <si>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</si>
  <si>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</si>
  <si>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</si>
  <si>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</si>
  <si>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</si>
  <si>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</si>
  <si>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</si>
  <si>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</si>
  <si>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</si>
  <si>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</si>
  <si>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</si>
  <si>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</si>
  <si>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</si>
  <si>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</si>
  <si>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</si>
  <si>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</si>
  <si>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</si>
  <si>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</si>
  <si>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</si>
  <si>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</si>
  <si>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</si>
  <si>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</si>
  <si>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</si>
  <si>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</si>
  <si>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</si>
  <si>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</si>
  <si>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</si>
  <si>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</si>
  <si>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</si>
  <si>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</si>
  <si>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</si>
  <si>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</si>
  <si>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</si>
  <si>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</si>
  <si>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</si>
  <si>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</si>
  <si>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</si>
  <si>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</si>
  <si>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</si>
  <si>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</si>
  <si>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</si>
  <si>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</si>
  <si>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</si>
  <si>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</si>
  <si>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</si>
  <si>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</si>
  <si>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</si>
  <si>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</si>
  <si>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</si>
  <si>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</si>
  <si>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</si>
  <si>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</si>
  <si>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</si>
  <si>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</si>
  <si>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</si>
  <si>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</si>
  <si>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</si>
  <si>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</si>
  <si>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</si>
  <si>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</si>
  <si>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</si>
  <si>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</si>
  <si>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</si>
  <si>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</si>
  <si>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</si>
  <si>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</si>
  <si>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</si>
  <si>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</si>
  <si>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</si>
  <si>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</si>
  <si>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</si>
  <si>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</si>
  <si>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</si>
  <si>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</si>
  <si>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</si>
  <si>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</si>
  <si>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</si>
  <si>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</si>
  <si>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</si>
  <si>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</si>
  <si>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</si>
  <si>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</si>
  <si>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</si>
  <si>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</si>
  <si>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</si>
  <si>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</si>
  <si>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</si>
  <si>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</si>
  <si>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</si>
  <si>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</si>
  <si>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</si>
  <si>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</si>
  <si>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</si>
  <si>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</si>
  <si>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</si>
  <si>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</si>
  <si>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</si>
  <si>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</si>
  <si>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</si>
  <si>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</si>
  <si>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</si>
  <si>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</si>
  <si>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</si>
  <si>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</si>
  <si>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</si>
  <si>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</si>
  <si>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</si>
  <si>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</si>
  <si>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</si>
  <si>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</si>
  <si>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</si>
  <si>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</si>
  <si>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</si>
  <si>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</si>
  <si>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</si>
  <si>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</si>
  <si>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</si>
  <si>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</si>
  <si>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</si>
  <si>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</si>
  <si>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</si>
  <si>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</si>
  <si>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</si>
  <si>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</si>
  <si>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</si>
  <si>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</si>
  <si>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</si>
  <si>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</si>
  <si>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</si>
  <si>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</si>
  <si>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</si>
  <si>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</si>
  <si>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</si>
  <si>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</si>
  <si>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</si>
  <si>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</si>
  <si>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</si>
  <si>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</si>
  <si>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</si>
  <si>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</si>
  <si>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</si>
  <si>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</si>
  <si>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</si>
  <si>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</si>
  <si>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</si>
  <si>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</si>
  <si>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</si>
  <si>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</si>
  <si>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</si>
  <si>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</si>
  <si>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</si>
  <si>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</si>
  <si>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</si>
  <si>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</si>
  <si>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</si>
  <si>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</si>
  <si>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</si>
  <si>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</si>
  <si>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</si>
  <si>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</si>
  <si>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</si>
  <si>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</si>
  <si>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</si>
  <si>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</si>
  <si>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</si>
  <si>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</si>
  <si>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</si>
  <si>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</si>
  <si>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</si>
  <si>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</si>
  <si>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</si>
  <si>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</si>
  <si>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</si>
  <si>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</si>
  <si>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</si>
  <si>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</si>
  <si>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</si>
  <si>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</si>
  <si>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</si>
  <si>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</si>
  <si>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</si>
  <si>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</si>
  <si>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</si>
  <si>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</si>
  <si>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</si>
  <si>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</si>
  <si>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</si>
  <si>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</si>
  <si>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</si>
  <si>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</si>
  <si>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</si>
  <si>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</si>
  <si>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</si>
  <si>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</si>
  <si>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</si>
  <si>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</si>
  <si>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</si>
  <si>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</si>
  <si>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</si>
  <si>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</si>
  <si>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</si>
  <si>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</si>
  <si>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</si>
  <si>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</si>
  <si>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</si>
  <si>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</si>
  <si>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</si>
  <si>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</si>
  <si>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</si>
  <si>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</si>
  <si>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</si>
  <si>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</si>
  <si>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</si>
  <si>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</si>
  <si>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</si>
  <si>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</si>
  <si>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</si>
  <si>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</si>
  <si>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</si>
  <si>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</si>
  <si>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</si>
  <si>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</si>
  <si>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</si>
  <si>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</si>
  <si>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</si>
  <si>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</si>
  <si>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</si>
  <si>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</si>
  <si>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</si>
  <si>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</si>
  <si>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</si>
  <si>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</si>
  <si>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</si>
  <si>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</si>
  <si>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</si>
  <si>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</si>
  <si>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</si>
  <si>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</si>
  <si>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</si>
  <si>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</si>
  <si>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</si>
  <si>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</si>
  <si>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</si>
  <si>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</si>
  <si>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</si>
  <si>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</si>
  <si>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</si>
  <si>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</si>
  <si>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</si>
  <si>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</si>
  <si>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</si>
  <si>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</si>
  <si>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</si>
  <si>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</si>
  <si>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</si>
  <si>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</si>
  <si>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</si>
  <si>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</si>
  <si>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</si>
  <si>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</si>
  <si>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</si>
  <si>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</si>
  <si>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</si>
  <si>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</si>
  <si>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</si>
  <si>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</si>
  <si>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</si>
  <si>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</si>
  <si>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</si>
  <si>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</si>
  <si>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</si>
  <si>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</si>
  <si>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</si>
  <si>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</si>
  <si>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</si>
  <si>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</si>
  <si>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</si>
  <si>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</si>
  <si>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</si>
  <si>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</si>
  <si>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</si>
  <si>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</si>
  <si>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</si>
  <si>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</si>
  <si>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</si>
  <si>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</si>
  <si>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</si>
  <si>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</si>
  <si>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</si>
  <si>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</si>
  <si>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</si>
  <si>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</si>
  <si>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</si>
  <si>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</si>
  <si>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</si>
  <si>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</si>
  <si>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</si>
  <si>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</si>
  <si>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</si>
  <si>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</si>
  <si>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</si>
  <si>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</si>
  <si>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</si>
  <si>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</si>
  <si>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</si>
  <si>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</si>
  <si>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</si>
  <si>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</si>
  <si>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</si>
  <si>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</si>
  <si>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</si>
  <si>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</si>
  <si>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</si>
  <si>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</si>
  <si>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</si>
  <si>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</si>
  <si>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</si>
  <si>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</si>
  <si>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</si>
  <si>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</si>
  <si>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</si>
  <si>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</si>
  <si>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</si>
  <si>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</si>
  <si>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</si>
  <si>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</si>
  <si>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</si>
  <si>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</si>
  <si>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</si>
  <si>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</si>
  <si>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</si>
  <si>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</si>
  <si>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</si>
  <si>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</si>
  <si>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</si>
  <si>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</si>
  <si>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</si>
  <si>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</si>
  <si>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</si>
  <si>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</si>
  <si>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</si>
  <si>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</si>
  <si>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</si>
  <si>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</si>
  <si>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</si>
  <si>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</si>
  <si>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</si>
  <si>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</si>
  <si>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</si>
  <si>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</si>
  <si>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</si>
  <si>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</si>
  <si>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</si>
  <si>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</si>
  <si>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</si>
  <si>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</si>
  <si>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</si>
  <si>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</si>
  <si>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</si>
  <si>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</si>
  <si>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</si>
  <si>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</si>
  <si>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</si>
  <si>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</si>
  <si>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</si>
  <si>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</si>
  <si>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</si>
  <si>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</si>
  <si>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</si>
  <si>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</si>
  <si>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</si>
  <si>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</si>
  <si>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</si>
  <si>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</si>
  <si>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</si>
  <si>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</si>
  <si>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</si>
  <si>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</si>
  <si>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</si>
  <si>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</si>
  <si>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</si>
  <si>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</si>
  <si>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</si>
  <si>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</si>
  <si>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</si>
  <si>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</si>
  <si>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</si>
  <si>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</si>
  <si>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</si>
  <si>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</si>
  <si>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</si>
  <si>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</si>
  <si>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</si>
  <si>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</si>
  <si>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</si>
  <si>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</si>
  <si>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</si>
  <si>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</si>
  <si>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</si>
  <si>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</si>
  <si>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</si>
  <si>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</si>
  <si>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</si>
  <si>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</si>
  <si>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</si>
  <si>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</si>
  <si>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</si>
  <si>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</si>
  <si>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</si>
  <si>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</si>
  <si>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</si>
  <si>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</si>
  <si>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</si>
  <si>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</si>
  <si>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</si>
  <si>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</si>
  <si>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</si>
  <si>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</si>
  <si>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</si>
  <si>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</si>
  <si>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</si>
  <si>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</si>
  <si>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</si>
  <si>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</si>
  <si>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</si>
  <si>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</si>
  <si>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</si>
  <si>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</si>
  <si>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</si>
  <si>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</si>
  <si>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</si>
  <si>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</si>
  <si>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</si>
  <si>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</si>
  <si>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</si>
  <si>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</si>
  <si>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</si>
  <si>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</si>
  <si>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</si>
  <si>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</si>
  <si>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</si>
  <si>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</si>
  <si>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</si>
  <si>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</si>
  <si>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</si>
  <si>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</si>
  <si>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</si>
  <si>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</si>
  <si>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</si>
  <si>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</si>
  <si>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</si>
  <si>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</si>
  <si>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</si>
  <si>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</si>
  <si>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</si>
  <si>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</si>
  <si>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</si>
  <si>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</si>
  <si>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</si>
  <si>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</si>
  <si>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</si>
  <si>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</si>
  <si>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</si>
  <si>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</si>
  <si>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</si>
  <si>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</si>
  <si>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</si>
  <si>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</si>
  <si>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</si>
  <si>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</si>
  <si>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</si>
  <si>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</si>
  <si>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</si>
  <si>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</si>
  <si>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</si>
  <si>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</si>
  <si>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</si>
  <si>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</si>
  <si>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</si>
  <si>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</si>
  <si>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5Y3M</t>
  </si>
  <si>
    <t>5Y6M</t>
  </si>
  <si>
    <t>5Y9M</t>
  </si>
  <si>
    <t>6Y3M</t>
  </si>
  <si>
    <t>6Y6M</t>
  </si>
  <si>
    <t>Reference Years</t>
  </si>
  <si>
    <t>Reference Months</t>
  </si>
  <si>
    <t>OIS</t>
  </si>
  <si>
    <t>15M</t>
  </si>
  <si>
    <t>21M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</si>
  <si>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</si>
  <si>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</si>
  <si>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</si>
  <si>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</si>
  <si>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</si>
  <si>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</si>
  <si>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</si>
  <si>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</si>
  <si>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</si>
  <si>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SOFR Swaps</t>
  </si>
  <si>
    <t>Frequencies</t>
  </si>
  <si>
    <t>Settlement Days</t>
  </si>
  <si>
    <t>Payment Lag Days</t>
  </si>
  <si>
    <t>BBG_SWAP_USD.SOFR_2W_1Dv1Y_SPREAD</t>
  </si>
  <si>
    <t>BBG_SWAP_USD.SOFR_3W_1Dv1Y_SPREAD</t>
  </si>
  <si>
    <t>BBG_SWAP_USD.SOFR_1M_1Dv1Y_SPREAD</t>
  </si>
  <si>
    <t>BBG_SWAP_USD.SOFR_2M_1Dv1Y_SPREAD</t>
  </si>
  <si>
    <t>BBG_SWAP_USD.SOFR_3M_1Dv1Y_SPREAD</t>
  </si>
  <si>
    <t>BBG_SWAP_USD.SOFR_4M_1Dv1Y_SPREAD</t>
  </si>
  <si>
    <t>BBG_SWAP_USD.SOFR_5M_1Dv1Y_SPREAD</t>
  </si>
  <si>
    <t>BBG_SWAP_USD.SOFR_6M_1Dv1Y_SPREAD</t>
  </si>
  <si>
    <t>BBG_SWAP_USD.SOFR_7M_1Dv1Y_SPREAD</t>
  </si>
  <si>
    <t>BBG_SWAP_USD.SOFR_8M_1Dv1Y_SPREAD</t>
  </si>
  <si>
    <t>BBG_SWAP_USD.SOFR_9M_1Dv1Y_SPREAD</t>
  </si>
  <si>
    <t>BBG_SWAP_USD.SOFR_10M_1Dv1Y_SPREAD</t>
  </si>
  <si>
    <t>BBG_SWAP_USD.SOFR_11M_1Dv1Y_SPREAD</t>
  </si>
  <si>
    <t>BBG_SWAP_USD.SOFR_1Y_1Dv1Y_SPREAD</t>
  </si>
  <si>
    <t>BBG_SWAP_USD.SOFR_18M_1Dv1Y_SPREAD</t>
  </si>
  <si>
    <t>BBG_SWAP_USD.SOFR_2Y_1Dv1Y_SPREAD</t>
  </si>
  <si>
    <t>BBG_SWAP_USD.SOFR_3Y_1Dv1Y_SPREAD</t>
  </si>
  <si>
    <t>BBG_SWAP_USD.SOFR_4Y_1Dv1Y_SPREAD</t>
  </si>
  <si>
    <t>BBG_SWAP_USD.SOFR_5Y_1Dv1Y_SPREAD</t>
  </si>
  <si>
    <t>BBG_SWAP_USD.SOFR_6Y_1Dv1Y_SPREAD</t>
  </si>
  <si>
    <t>BBG_SWAP_USD.SOFR_7Y_1Dv1Y_SPREAD</t>
  </si>
  <si>
    <t>BBG_SWAP_USD.SOFR_8Y_1Dv1Y_SPREAD</t>
  </si>
  <si>
    <t>BBG_SWAP_USD.SOFR_9Y_1Dv1Y_SPREAD</t>
  </si>
  <si>
    <t>BBG_SWAP_USD.SOFR_10Y_1Dv1Y_SPREAD</t>
  </si>
  <si>
    <t>BBG_SWAP_USD.SOFR_12Y_1Dv1Y_SPREAD</t>
  </si>
  <si>
    <t>BBG_SWAP_USD.SOFR_15Y_1Dv1Y_SPREAD</t>
  </si>
  <si>
    <t>BBG_SWAP_USD.SOFR_20Y_1Dv1Y_SPREAD</t>
  </si>
  <si>
    <t>BBG_SWAP_USD.SOFR_25Y_1Dv1Y_SPREAD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</si>
  <si>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</si>
  <si>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</si>
  <si>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</si>
  <si>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</si>
  <si>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</si>
  <si>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</si>
  <si>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</si>
  <si>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</si>
  <si>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</si>
  <si>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0.2.1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</si>
  <si>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</si>
  <si>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</si>
  <si>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</si>
  <si>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</si>
  <si>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</si>
  <si>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</si>
  <si>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</si>
  <si>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</si>
  <si>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SN</t>
  </si>
  <si>
    <t>Spot</t>
  </si>
  <si>
    <t>2d</t>
  </si>
  <si>
    <t>OmicronUsdSwapCurve</t>
  </si>
  <si>
    <t>USD-Swap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</si>
</sst>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89" formatCode="_(* #,##0.00_);_(* \(#,##0.00\);_(* &quot;-&quot;??_);_(@_)"/>
    <numFmt numFmtId="190" formatCode="_(* #,##0.00000_);_(* \(#,##0.00000\);_(* &quot;-&quot;??_);_(@_)"/>
  </numFmts>
  <fonts count="129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sz val="8"/>
      <color theme="5" tint="-0.499984740745262"/>
      <name val="Verdana"/>
      <family val="2"/>
    </font>
    <font>
      <sz val="9"/>
      <color theme="1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0" tint="-4.9989318521683403E-2"/>
        <bgColor indexed="64"/>
      </patternFill>
    </fill>
  </fills>
  <borders count="21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</borders>
  <cellStyleXfs count="67">
    <xf numFmtId="0" fontId="0" fillId="0" borderId="0"/>
    <xf numFmtId="0" fontId="45" fillId="0" borderId="1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7" fillId="0" borderId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92" fillId="0" borderId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3" fillId="28" borderId="0" applyNumberFormat="0" applyBorder="0" applyProtection="0">
      <alignment horizontal="center"/>
    </xf>
    <xf numFmtId="0" fontId="93" fillId="29" borderId="0" applyNumberFormat="0" applyBorder="0" applyProtection="0">
      <alignment horizontal="center"/>
    </xf>
    <xf numFmtId="0" fontId="93" fillId="30" borderId="0" applyNumberFormat="0" applyBorder="0" applyProtection="0">
      <alignment horizontal="center"/>
    </xf>
    <xf numFmtId="0" fontId="93" fillId="31" borderId="0" applyNumberFormat="0" applyBorder="0" applyProtection="0">
      <alignment horizontal="center"/>
    </xf>
    <xf numFmtId="0" fontId="93" fillId="32" borderId="0" applyNumberFormat="0" applyBorder="0" applyProtection="0">
      <alignment horizontal="center"/>
    </xf>
    <xf numFmtId="0" fontId="93" fillId="33" borderId="0" applyNumberFormat="0" applyBorder="0" applyProtection="0">
      <alignment horizontal="center"/>
    </xf>
    <xf numFmtId="0" fontId="93" fillId="34" borderId="0" applyNumberFormat="0" applyBorder="0" applyProtection="0">
      <alignment horizontal="center"/>
    </xf>
    <xf numFmtId="0" fontId="93" fillId="35" borderId="0" applyNumberFormat="0" applyBorder="0" applyProtection="0">
      <alignment horizontal="center"/>
    </xf>
    <xf numFmtId="0" fontId="93" fillId="36" borderId="0" applyNumberFormat="0" applyBorder="0" applyProtection="0">
      <alignment horizontal="center"/>
    </xf>
    <xf numFmtId="0" fontId="93" fillId="37" borderId="0" applyNumberFormat="0" applyBorder="0" applyProtection="0">
      <alignment horizontal="center"/>
    </xf>
    <xf numFmtId="0" fontId="93" fillId="38" borderId="0" applyNumberFormat="0" applyBorder="0" applyProtection="0">
      <alignment horizontal="center"/>
    </xf>
    <xf numFmtId="0" fontId="93" fillId="39" borderId="0" applyNumberFormat="0" applyBorder="0" applyProtection="0">
      <alignment horizontal="center"/>
    </xf>
    <xf numFmtId="0" fontId="93" fillId="16" borderId="0" applyNumberFormat="0" applyBorder="0" applyProtection="0">
      <alignment horizontal="center"/>
    </xf>
    <xf numFmtId="0" fontId="93" fillId="18" borderId="0" applyNumberFormat="0" applyBorder="0" applyProtection="0">
      <alignment horizontal="center"/>
    </xf>
    <xf numFmtId="0" fontId="93" fillId="20" borderId="0" applyNumberFormat="0" applyBorder="0" applyProtection="0">
      <alignment horizontal="center"/>
    </xf>
    <xf numFmtId="0" fontId="93" fillId="22" borderId="0" applyNumberFormat="0" applyBorder="0" applyProtection="0">
      <alignment horizontal="center"/>
    </xf>
    <xf numFmtId="0" fontId="93" fillId="24" borderId="0" applyNumberFormat="0" applyBorder="0" applyProtection="0">
      <alignment horizontal="center"/>
    </xf>
    <xf numFmtId="0" fontId="93" fillId="26" borderId="0" applyNumberFormat="0" applyBorder="0" applyProtection="0">
      <alignment horizontal="center"/>
    </xf>
    <xf numFmtId="0" fontId="94" fillId="11" borderId="0" applyNumberFormat="0" applyBorder="0" applyAlignment="0" applyProtection="0"/>
    <xf numFmtId="0" fontId="95" fillId="14" borderId="170" applyNumberFormat="0" applyAlignment="0" applyProtection="0"/>
    <xf numFmtId="0" fontId="93" fillId="15" borderId="173" applyNumberFormat="0" applyAlignment="0" applyProtection="0"/>
    <xf numFmtId="43" fontId="67" fillId="0" borderId="0" applyFont="0" applyFill="0" applyBorder="0" applyAlignment="0" applyProtection="0"/>
    <xf numFmtId="165" fontId="92" fillId="0" borderId="0" applyFont="0" applyFill="0" applyBorder="0" applyAlignment="0" applyProtection="0"/>
    <xf numFmtId="164" fontId="92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97" fillId="10" borderId="0" applyNumberFormat="0" applyBorder="0" applyAlignment="0" applyProtection="0"/>
    <xf numFmtId="0" fontId="98" fillId="0" borderId="0" applyNumberFormat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0" borderId="0" applyNumberFormat="0" applyFill="0" applyAlignment="0" applyProtection="0"/>
    <xf numFmtId="0" fontId="106" fillId="13" borderId="170" applyNumberFormat="0" applyAlignment="0" applyProtection="0"/>
    <xf numFmtId="0" fontId="107" fillId="0" borderId="172" applyNumberFormat="0" applyFill="0" applyAlignment="0" applyProtection="0"/>
    <xf numFmtId="0" fontId="108" fillId="12" borderId="0" applyNumberFormat="0" applyBorder="0" applyAlignment="0" applyProtection="0"/>
    <xf numFmtId="0" fontId="109" fillId="14" borderId="171" applyNumberFormat="0" applyAlignment="0" applyProtection="0"/>
    <xf numFmtId="10" fontId="56" fillId="0" borderId="0" applyFont="0" applyFill="0" applyBorder="0" applyAlignment="0" applyProtection="0"/>
    <xf numFmtId="0" fontId="110" fillId="0" borderId="0" applyNumberFormat="0" applyFill="0" applyBorder="0" applyProtection="0">
      <alignment horizontal="center"/>
    </xf>
    <xf numFmtId="0" fontId="111" fillId="0" borderId="0" applyNumberFormat="0" applyFill="0" applyBorder="0" applyAlignment="0" applyProtection="0"/>
    <xf numFmtId="0" fontId="103" fillId="0" borderId="174" applyNumberFormat="0" applyFill="0" applyAlignment="0" applyProtection="0"/>
    <xf numFmtId="0" fontId="112" fillId="0" borderId="0" applyNumberFormat="0" applyFill="0" applyBorder="0" applyAlignment="0" applyProtection="0"/>
    <xf numFmtId="0" fontId="66" fillId="0" borderId="0"/>
    <xf numFmtId="0" fontId="113" fillId="12" borderId="0" applyNumberFormat="0" applyBorder="0" applyAlignment="0" applyProtection="0"/>
    <xf numFmtId="9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66" fillId="0" borderId="0"/>
    <xf numFmtId="0" fontId="121" fillId="0" borderId="210" applyNumberFormat="0" applyFill="0" applyAlignment="0" applyProtection="0"/>
    <xf numFmtId="0" fontId="125" fillId="45" borderId="209">
      <alignment horizontal="centerContinuous" vertical="center"/>
    </xf>
    <xf numFmtId="189" fontId="126" fillId="46" borderId="0">
      <alignment vertical="center"/>
    </xf>
  </cellStyleXfs>
  <cellXfs count="1100">
    <xf numFmtId="0" fontId="0" fillId="0" borderId="0" xfId="0"/>
    <xf numFmtId="14" fontId="0" fillId="0" borderId="0" xfId="0" applyNumberFormat="1"/>
    <xf numFmtId="0" fontId="45" fillId="0" borderId="1" xfId="1"/>
    <xf numFmtId="0" fontId="59" fillId="0" borderId="83" xfId="2"/>
    <xf numFmtId="0" fontId="60" fillId="0" borderId="84" xfId="3"/>
    <xf numFmtId="166" fontId="0" fillId="0" borderId="0" xfId="0" applyNumberFormat="1"/>
    <xf numFmtId="167" fontId="0" fillId="0" borderId="0" xfId="0" applyNumberFormat="1"/>
    <xf numFmtId="0" fontId="4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7" fillId="0" borderId="9" xfId="0" applyNumberFormat="1" applyFont="1" applyBorder="1" applyAlignment="1">
      <alignment horizontal="right" vertical="center"/>
    </xf>
    <xf numFmtId="4" fontId="47" fillId="0" borderId="11" xfId="0" applyNumberFormat="1" applyFont="1" applyBorder="1" applyAlignment="1">
      <alignment horizontal="right" vertical="center"/>
    </xf>
    <xf numFmtId="4" fontId="47" fillId="0" borderId="13" xfId="0" applyNumberFormat="1" applyFont="1" applyBorder="1" applyAlignment="1">
      <alignment horizontal="right" vertical="center"/>
    </xf>
    <xf numFmtId="168" fontId="47" fillId="0" borderId="9" xfId="0" applyNumberFormat="1" applyFont="1" applyBorder="1" applyAlignment="1">
      <alignment horizontal="right" vertical="center"/>
    </xf>
    <xf numFmtId="168" fontId="47" fillId="0" borderId="11" xfId="0" applyNumberFormat="1" applyFont="1" applyBorder="1" applyAlignment="1">
      <alignment horizontal="right" vertical="center"/>
    </xf>
    <xf numFmtId="168" fontId="47" fillId="0" borderId="13" xfId="0" applyNumberFormat="1" applyFont="1" applyBorder="1" applyAlignment="1">
      <alignment horizontal="right" vertical="center"/>
    </xf>
    <xf numFmtId="169" fontId="47" fillId="0" borderId="10" xfId="0" applyNumberFormat="1" applyFont="1" applyBorder="1" applyAlignment="1">
      <alignment horizontal="right" vertical="center"/>
    </xf>
    <xf numFmtId="169" fontId="47" fillId="0" borderId="12" xfId="0" applyNumberFormat="1" applyFont="1" applyBorder="1" applyAlignment="1">
      <alignment horizontal="right" vertical="center"/>
    </xf>
    <xf numFmtId="169" fontId="47" fillId="0" borderId="14" xfId="0" applyNumberFormat="1" applyFont="1" applyBorder="1" applyAlignment="1">
      <alignment horizontal="right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8" fillId="3" borderId="6" xfId="0" applyFont="1" applyFill="1" applyBorder="1" applyAlignment="1">
      <alignment horizontal="centerContinuous" vertical="center"/>
    </xf>
    <xf numFmtId="4" fontId="47" fillId="0" borderId="15" xfId="0" applyNumberFormat="1" applyFont="1" applyBorder="1" applyAlignment="1">
      <alignment horizontal="right" vertical="center"/>
    </xf>
    <xf numFmtId="4" fontId="47" fillId="0" borderId="16" xfId="0" applyNumberFormat="1" applyFont="1" applyBorder="1" applyAlignment="1">
      <alignment horizontal="right" vertical="center"/>
    </xf>
    <xf numFmtId="4" fontId="47" fillId="0" borderId="17" xfId="0" applyNumberFormat="1" applyFont="1" applyBorder="1" applyAlignment="1">
      <alignment horizontal="right" vertical="center"/>
    </xf>
    <xf numFmtId="10" fontId="47" fillId="0" borderId="15" xfId="0" applyNumberFormat="1" applyFont="1" applyBorder="1" applyAlignment="1">
      <alignment horizontal="right" vertical="center"/>
    </xf>
    <xf numFmtId="10" fontId="47" fillId="0" borderId="16" xfId="0" applyNumberFormat="1" applyFont="1" applyBorder="1" applyAlignment="1">
      <alignment horizontal="right" vertical="center"/>
    </xf>
    <xf numFmtId="10" fontId="47" fillId="0" borderId="17" xfId="0" applyNumberFormat="1" applyFont="1" applyBorder="1" applyAlignment="1">
      <alignment horizontal="right" vertical="center"/>
    </xf>
    <xf numFmtId="10" fontId="47" fillId="0" borderId="10" xfId="0" applyNumberFormat="1" applyFont="1" applyBorder="1" applyAlignment="1">
      <alignment horizontal="right" vertical="center"/>
    </xf>
    <xf numFmtId="10" fontId="47" fillId="0" borderId="12" xfId="0" applyNumberFormat="1" applyFont="1" applyBorder="1" applyAlignment="1">
      <alignment horizontal="right" vertical="center"/>
    </xf>
    <xf numFmtId="10" fontId="47" fillId="0" borderId="14" xfId="0" applyNumberFormat="1" applyFont="1" applyBorder="1" applyAlignment="1">
      <alignment horizontal="right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8" fillId="3" borderId="0" xfId="0" applyFont="1" applyFill="1" applyBorder="1" applyAlignment="1">
      <alignment horizontal="centerContinuous" vertical="center"/>
    </xf>
    <xf numFmtId="0" fontId="47" fillId="0" borderId="0" xfId="0" applyFont="1"/>
    <xf numFmtId="0" fontId="48" fillId="4" borderId="20" xfId="0" applyFont="1" applyFill="1" applyBorder="1" applyAlignment="1">
      <alignment horizontal="center" vertical="center"/>
    </xf>
    <xf numFmtId="0" fontId="48" fillId="4" borderId="21" xfId="0" applyFont="1" applyFill="1" applyBorder="1" applyAlignment="1">
      <alignment horizontal="center" vertical="center"/>
    </xf>
    <xf numFmtId="0" fontId="48" fillId="4" borderId="22" xfId="0" applyFont="1" applyFill="1" applyBorder="1" applyAlignment="1">
      <alignment horizontal="center" vertical="center"/>
    </xf>
    <xf numFmtId="168" fontId="47" fillId="0" borderId="0" xfId="0" applyNumberFormat="1" applyFont="1"/>
    <xf numFmtId="169" fontId="47" fillId="0" borderId="15" xfId="0" applyNumberFormat="1" applyFont="1" applyBorder="1" applyAlignment="1">
      <alignment horizontal="right" vertical="center"/>
    </xf>
    <xf numFmtId="169" fontId="47" fillId="0" borderId="16" xfId="0" applyNumberFormat="1" applyFont="1" applyBorder="1" applyAlignment="1">
      <alignment horizontal="right" vertical="center"/>
    </xf>
    <xf numFmtId="0" fontId="48" fillId="3" borderId="23" xfId="0" applyFont="1" applyFill="1" applyBorder="1" applyAlignment="1">
      <alignment horizontal="centerContinuous" vertical="center"/>
    </xf>
    <xf numFmtId="0" fontId="48" fillId="3" borderId="24" xfId="0" applyFont="1" applyFill="1" applyBorder="1" applyAlignment="1">
      <alignment horizontal="centerContinuous" vertical="center"/>
    </xf>
    <xf numFmtId="0" fontId="48" fillId="4" borderId="25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4" fontId="47" fillId="0" borderId="0" xfId="0" applyNumberFormat="1" applyFont="1"/>
    <xf numFmtId="0" fontId="0" fillId="0" borderId="0" xfId="0" applyBorder="1"/>
    <xf numFmtId="0" fontId="49" fillId="2" borderId="0" xfId="0" applyFont="1" applyFill="1" applyAlignment="1">
      <alignment horizontal="centerContinuous" vertical="center"/>
    </xf>
    <xf numFmtId="0" fontId="52" fillId="0" borderId="0" xfId="0" applyFont="1"/>
    <xf numFmtId="0" fontId="53" fillId="0" borderId="0" xfId="0" applyFont="1"/>
    <xf numFmtId="4" fontId="47" fillId="0" borderId="10" xfId="0" applyNumberFormat="1" applyFont="1" applyBorder="1" applyAlignment="1">
      <alignment horizontal="right" vertical="center"/>
    </xf>
    <xf numFmtId="4" fontId="47" fillId="0" borderId="12" xfId="0" applyNumberFormat="1" applyFont="1" applyBorder="1" applyAlignment="1">
      <alignment horizontal="right" vertical="center"/>
    </xf>
    <xf numFmtId="4" fontId="47" fillId="0" borderId="14" xfId="0" applyNumberFormat="1" applyFont="1" applyBorder="1" applyAlignment="1">
      <alignment horizontal="right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0" fontId="45" fillId="0" borderId="1" xfId="1" applyFont="1"/>
    <xf numFmtId="9" fontId="47" fillId="0" borderId="34" xfId="0" applyNumberFormat="1" applyFont="1" applyBorder="1" applyAlignment="1">
      <alignment horizontal="right"/>
    </xf>
    <xf numFmtId="9" fontId="47" fillId="0" borderId="36" xfId="0" applyNumberFormat="1" applyFont="1" applyBorder="1" applyAlignment="1">
      <alignment horizontal="right"/>
    </xf>
    <xf numFmtId="168" fontId="47" fillId="0" borderId="31" xfId="0" applyNumberFormat="1" applyFont="1" applyBorder="1"/>
    <xf numFmtId="168" fontId="47" fillId="0" borderId="33" xfId="0" applyNumberFormat="1" applyFont="1" applyBorder="1"/>
    <xf numFmtId="168" fontId="47" fillId="0" borderId="37" xfId="0" applyNumberFormat="1" applyFont="1" applyBorder="1"/>
    <xf numFmtId="168" fontId="47" fillId="0" borderId="38" xfId="0" applyNumberFormat="1" applyFont="1" applyBorder="1"/>
    <xf numFmtId="0" fontId="0" fillId="0" borderId="38" xfId="0" applyBorder="1"/>
    <xf numFmtId="9" fontId="47" fillId="0" borderId="38" xfId="0" applyNumberFormat="1" applyFont="1" applyBorder="1" applyAlignment="1">
      <alignment horizontal="right"/>
    </xf>
    <xf numFmtId="9" fontId="47" fillId="0" borderId="39" xfId="0" applyNumberFormat="1" applyFont="1" applyBorder="1" applyAlignment="1">
      <alignment horizontal="right"/>
    </xf>
    <xf numFmtId="0" fontId="5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3" fillId="0" borderId="44" xfId="0" applyFont="1" applyBorder="1"/>
    <xf numFmtId="0" fontId="0" fillId="0" borderId="45" xfId="0" applyBorder="1"/>
    <xf numFmtId="4" fontId="55" fillId="5" borderId="0" xfId="0" applyNumberFormat="1" applyFont="1" applyFill="1" applyBorder="1" applyAlignment="1">
      <alignment horizontal="left" vertical="center"/>
    </xf>
    <xf numFmtId="0" fontId="48" fillId="4" borderId="46" xfId="0" applyFont="1" applyFill="1" applyBorder="1" applyAlignment="1">
      <alignment horizontal="center" vertical="center"/>
    </xf>
    <xf numFmtId="0" fontId="48" fillId="4" borderId="47" xfId="0" applyFont="1" applyFill="1" applyBorder="1" applyAlignment="1">
      <alignment horizontal="center" vertical="center"/>
    </xf>
    <xf numFmtId="0" fontId="48" fillId="4" borderId="48" xfId="0" applyFont="1" applyFill="1" applyBorder="1" applyAlignment="1">
      <alignment horizontal="center" vertical="center"/>
    </xf>
    <xf numFmtId="168" fontId="47" fillId="0" borderId="32" xfId="0" applyNumberFormat="1" applyFont="1" applyBorder="1"/>
    <xf numFmtId="168" fontId="4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7" fillId="0" borderId="33" xfId="0" applyNumberFormat="1" applyFont="1" applyBorder="1" applyAlignment="1">
      <alignment horizontal="right"/>
    </xf>
    <xf numFmtId="9" fontId="47" fillId="0" borderId="35" xfId="0" applyNumberFormat="1" applyFont="1" applyBorder="1" applyAlignment="1">
      <alignment horizontal="right"/>
    </xf>
    <xf numFmtId="171" fontId="56" fillId="0" borderId="15" xfId="0" applyNumberFormat="1" applyFont="1" applyBorder="1" applyAlignment="1">
      <alignment horizontal="right" vertical="center"/>
    </xf>
    <xf numFmtId="171" fontId="56" fillId="0" borderId="16" xfId="0" applyNumberFormat="1" applyFont="1" applyBorder="1" applyAlignment="1">
      <alignment horizontal="right" vertical="center"/>
    </xf>
    <xf numFmtId="171" fontId="56" fillId="0" borderId="17" xfId="0" applyNumberFormat="1" applyFont="1" applyBorder="1" applyAlignment="1">
      <alignment horizontal="right" vertical="center"/>
    </xf>
    <xf numFmtId="172" fontId="56" fillId="0" borderId="15" xfId="0" applyNumberFormat="1" applyFont="1" applyBorder="1" applyAlignment="1">
      <alignment horizontal="right" vertical="center"/>
    </xf>
    <xf numFmtId="172" fontId="56" fillId="0" borderId="16" xfId="0" applyNumberFormat="1" applyFont="1" applyBorder="1" applyAlignment="1">
      <alignment horizontal="right" vertical="center"/>
    </xf>
    <xf numFmtId="172" fontId="56" fillId="0" borderId="17" xfId="0" applyNumberFormat="1" applyFont="1" applyBorder="1" applyAlignment="1">
      <alignment horizontal="right" vertical="center"/>
    </xf>
    <xf numFmtId="173" fontId="56" fillId="0" borderId="15" xfId="0" applyNumberFormat="1" applyFont="1" applyBorder="1" applyAlignment="1">
      <alignment horizontal="right" vertical="center"/>
    </xf>
    <xf numFmtId="173" fontId="56" fillId="0" borderId="16" xfId="0" applyNumberFormat="1" applyFont="1" applyBorder="1" applyAlignment="1">
      <alignment horizontal="right" vertical="center"/>
    </xf>
    <xf numFmtId="173" fontId="56" fillId="0" borderId="17" xfId="0" applyNumberFormat="1" applyFont="1" applyBorder="1" applyAlignment="1">
      <alignment horizontal="right" vertical="center"/>
    </xf>
    <xf numFmtId="174" fontId="56" fillId="0" borderId="15" xfId="0" applyNumberFormat="1" applyFont="1" applyBorder="1" applyAlignment="1">
      <alignment horizontal="right" vertical="center"/>
    </xf>
    <xf numFmtId="174" fontId="56" fillId="0" borderId="16" xfId="0" applyNumberFormat="1" applyFont="1" applyBorder="1" applyAlignment="1">
      <alignment horizontal="right" vertical="center"/>
    </xf>
    <xf numFmtId="174" fontId="56" fillId="0" borderId="17" xfId="0" applyNumberFormat="1" applyFont="1" applyBorder="1" applyAlignment="1">
      <alignment horizontal="right" vertical="center"/>
    </xf>
    <xf numFmtId="10" fontId="44" fillId="0" borderId="15" xfId="0" applyNumberFormat="1" applyFont="1" applyBorder="1" applyAlignment="1">
      <alignment horizontal="right" vertical="center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0" fontId="44" fillId="0" borderId="10" xfId="0" applyNumberFormat="1" applyFont="1" applyBorder="1" applyAlignment="1">
      <alignment horizontal="right" vertical="center"/>
    </xf>
    <xf numFmtId="10" fontId="44" fillId="0" borderId="12" xfId="0" applyNumberFormat="1" applyFont="1" applyBorder="1" applyAlignment="1">
      <alignment horizontal="right" vertical="center"/>
    </xf>
    <xf numFmtId="10" fontId="44" fillId="0" borderId="14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55" fillId="5" borderId="0" xfId="0" applyNumberFormat="1" applyFont="1" applyFill="1" applyBorder="1" applyAlignment="1">
      <alignment vertical="center"/>
    </xf>
    <xf numFmtId="3" fontId="55" fillId="5" borderId="0" xfId="0" applyNumberFormat="1" applyFont="1" applyFill="1" applyBorder="1" applyAlignment="1">
      <alignment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6" fillId="0" borderId="9" xfId="0" applyNumberFormat="1" applyFont="1" applyBorder="1" applyAlignment="1">
      <alignment horizontal="center" vertical="center"/>
    </xf>
    <xf numFmtId="4" fontId="56" fillId="0" borderId="10" xfId="0" applyNumberFormat="1" applyFont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4" fontId="56" fillId="0" borderId="12" xfId="0" applyNumberFormat="1" applyFont="1" applyBorder="1" applyAlignment="1">
      <alignment horizontal="center" vertical="center"/>
    </xf>
    <xf numFmtId="4" fontId="56" fillId="0" borderId="13" xfId="0" applyNumberFormat="1" applyFont="1" applyBorder="1" applyAlignment="1">
      <alignment horizontal="center" vertical="center"/>
    </xf>
    <xf numFmtId="4" fontId="56" fillId="0" borderId="14" xfId="0" applyNumberFormat="1" applyFont="1" applyBorder="1" applyAlignment="1">
      <alignment horizontal="center" vertical="center"/>
    </xf>
    <xf numFmtId="0" fontId="64" fillId="0" borderId="42" xfId="4" applyBorder="1" applyAlignment="1">
      <alignment horizontal="centerContinuous" vertical="center"/>
    </xf>
    <xf numFmtId="0" fontId="64" fillId="0" borderId="43" xfId="4" applyBorder="1" applyAlignment="1">
      <alignment horizontal="centerContinuous" vertical="center"/>
    </xf>
    <xf numFmtId="0" fontId="64" fillId="0" borderId="45" xfId="4" applyBorder="1" applyAlignment="1">
      <alignment horizontal="centerContinuous" vertical="center"/>
    </xf>
    <xf numFmtId="0" fontId="64" fillId="0" borderId="44" xfId="4" applyFill="1" applyBorder="1" applyAlignment="1">
      <alignment horizontal="centerContinuous"/>
    </xf>
    <xf numFmtId="0" fontId="64" fillId="0" borderId="45" xfId="4" applyFill="1" applyBorder="1" applyAlignment="1">
      <alignment horizontal="centerContinuous"/>
    </xf>
    <xf numFmtId="0" fontId="48" fillId="3" borderId="49" xfId="0" applyFont="1" applyFill="1" applyBorder="1" applyAlignment="1">
      <alignment horizontal="centerContinuous" vertical="center"/>
    </xf>
    <xf numFmtId="4" fontId="54" fillId="5" borderId="0" xfId="0" applyNumberFormat="1" applyFont="1" applyFill="1" applyBorder="1" applyAlignment="1">
      <alignment horizontal="left" vertical="center"/>
    </xf>
    <xf numFmtId="4" fontId="55" fillId="5" borderId="0" xfId="0" applyNumberFormat="1" applyFont="1" applyFill="1" applyBorder="1" applyAlignment="1">
      <alignment horizontal="left" vertical="center"/>
    </xf>
    <xf numFmtId="4" fontId="48" fillId="3" borderId="5" xfId="0" applyNumberFormat="1" applyFont="1" applyFill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3" fillId="0" borderId="10" xfId="0" applyNumberFormat="1" applyFont="1" applyBorder="1" applyAlignment="1">
      <alignment horizontal="center" vertical="center"/>
    </xf>
    <xf numFmtId="4" fontId="43" fillId="0" borderId="11" xfId="0" applyNumberFormat="1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4" fontId="4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5" fillId="5" borderId="16" xfId="0" applyNumberFormat="1" applyFont="1" applyFill="1" applyBorder="1" applyAlignment="1">
      <alignment horizontal="right" vertical="center"/>
    </xf>
    <xf numFmtId="172" fontId="55" fillId="5" borderId="16" xfId="0" applyNumberFormat="1" applyFont="1" applyFill="1" applyBorder="1" applyAlignment="1">
      <alignment horizontal="right" vertical="center"/>
    </xf>
    <xf numFmtId="173" fontId="55" fillId="5" borderId="16" xfId="0" applyNumberFormat="1" applyFont="1" applyFill="1" applyBorder="1" applyAlignment="1">
      <alignment horizontal="right" vertical="center"/>
    </xf>
    <xf numFmtId="174" fontId="55" fillId="5" borderId="16" xfId="0" applyNumberFormat="1" applyFont="1" applyFill="1" applyBorder="1" applyAlignment="1">
      <alignment horizontal="right" vertical="center"/>
    </xf>
    <xf numFmtId="10" fontId="55" fillId="5" borderId="16" xfId="0" applyNumberFormat="1" applyFont="1" applyFill="1" applyBorder="1" applyAlignment="1">
      <alignment horizontal="right" vertical="center"/>
    </xf>
    <xf numFmtId="10" fontId="55" fillId="5" borderId="17" xfId="0" applyNumberFormat="1" applyFont="1" applyFill="1" applyBorder="1" applyAlignment="1">
      <alignment horizontal="right" vertical="center"/>
    </xf>
    <xf numFmtId="10" fontId="55" fillId="5" borderId="12" xfId="0" applyNumberFormat="1" applyFont="1" applyFill="1" applyBorder="1" applyAlignment="1">
      <alignment horizontal="right" vertical="center"/>
    </xf>
    <xf numFmtId="10" fontId="55" fillId="5" borderId="14" xfId="0" applyNumberFormat="1" applyFont="1" applyFill="1" applyBorder="1" applyAlignment="1">
      <alignment horizontal="right" vertical="center"/>
    </xf>
    <xf numFmtId="168" fontId="55" fillId="5" borderId="9" xfId="0" applyNumberFormat="1" applyFont="1" applyFill="1" applyBorder="1" applyAlignment="1">
      <alignment horizontal="right" vertical="center"/>
    </xf>
    <xf numFmtId="168" fontId="55" fillId="5" borderId="11" xfId="0" applyNumberFormat="1" applyFont="1" applyFill="1" applyBorder="1" applyAlignment="1">
      <alignment horizontal="right" vertical="center"/>
    </xf>
    <xf numFmtId="168" fontId="55" fillId="5" borderId="15" xfId="0" applyNumberFormat="1" applyFont="1" applyFill="1" applyBorder="1" applyAlignment="1">
      <alignment horizontal="right" vertical="center"/>
    </xf>
    <xf numFmtId="168" fontId="5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7" fillId="4" borderId="52" xfId="0" applyNumberFormat="1" applyFont="1" applyFill="1" applyBorder="1" applyAlignment="1">
      <alignment horizontal="center" vertical="center"/>
    </xf>
    <xf numFmtId="4" fontId="57" fillId="4" borderId="53" xfId="0" applyNumberFormat="1" applyFont="1" applyFill="1" applyBorder="1" applyAlignment="1">
      <alignment horizontal="center" vertical="center"/>
    </xf>
    <xf numFmtId="4" fontId="57" fillId="4" borderId="54" xfId="0" applyNumberFormat="1" applyFont="1" applyFill="1" applyBorder="1" applyAlignment="1">
      <alignment horizontal="center" vertical="center"/>
    </xf>
    <xf numFmtId="171" fontId="55" fillId="5" borderId="11" xfId="0" applyNumberFormat="1" applyFont="1" applyFill="1" applyBorder="1" applyAlignment="1">
      <alignment horizontal="right" vertical="center"/>
    </xf>
    <xf numFmtId="171" fontId="55" fillId="5" borderId="12" xfId="0" applyNumberFormat="1" applyFont="1" applyFill="1" applyBorder="1" applyAlignment="1">
      <alignment horizontal="right" vertical="center"/>
    </xf>
    <xf numFmtId="172" fontId="55" fillId="5" borderId="11" xfId="0" applyNumberFormat="1" applyFont="1" applyFill="1" applyBorder="1" applyAlignment="1">
      <alignment horizontal="right" vertical="center"/>
    </xf>
    <xf numFmtId="172" fontId="55" fillId="5" borderId="12" xfId="0" applyNumberFormat="1" applyFont="1" applyFill="1" applyBorder="1" applyAlignment="1">
      <alignment horizontal="right" vertical="center"/>
    </xf>
    <xf numFmtId="173" fontId="55" fillId="5" borderId="11" xfId="0" applyNumberFormat="1" applyFont="1" applyFill="1" applyBorder="1" applyAlignment="1">
      <alignment horizontal="right" vertical="center"/>
    </xf>
    <xf numFmtId="173" fontId="55" fillId="5" borderId="12" xfId="0" applyNumberFormat="1" applyFont="1" applyFill="1" applyBorder="1" applyAlignment="1">
      <alignment horizontal="right" vertical="center"/>
    </xf>
    <xf numFmtId="174" fontId="55" fillId="5" borderId="11" xfId="0" applyNumberFormat="1" applyFont="1" applyFill="1" applyBorder="1" applyAlignment="1">
      <alignment horizontal="right" vertical="center"/>
    </xf>
    <xf numFmtId="174" fontId="55" fillId="5" borderId="12" xfId="0" applyNumberFormat="1" applyFont="1" applyFill="1" applyBorder="1" applyAlignment="1">
      <alignment horizontal="right" vertical="center"/>
    </xf>
    <xf numFmtId="10" fontId="55" fillId="5" borderId="11" xfId="0" applyNumberFormat="1" applyFont="1" applyFill="1" applyBorder="1" applyAlignment="1">
      <alignment horizontal="right" vertical="center"/>
    </xf>
    <xf numFmtId="10" fontId="55" fillId="5" borderId="13" xfId="0" applyNumberFormat="1" applyFont="1" applyFill="1" applyBorder="1" applyAlignment="1">
      <alignment horizontal="right" vertical="center"/>
    </xf>
    <xf numFmtId="168" fontId="55" fillId="5" borderId="10" xfId="0" applyNumberFormat="1" applyFont="1" applyFill="1" applyBorder="1" applyAlignment="1">
      <alignment horizontal="right" vertical="center"/>
    </xf>
    <xf numFmtId="168" fontId="55" fillId="5" borderId="12" xfId="0" applyNumberFormat="1" applyFont="1" applyFill="1" applyBorder="1" applyAlignment="1">
      <alignment horizontal="right" vertical="center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169" fontId="47" fillId="6" borderId="16" xfId="0" applyNumberFormat="1" applyFont="1" applyFill="1" applyBorder="1" applyAlignment="1">
      <alignment horizontal="right" vertical="center"/>
    </xf>
    <xf numFmtId="169" fontId="47" fillId="0" borderId="15" xfId="0" applyNumberFormat="1" applyFont="1" applyBorder="1" applyAlignment="1">
      <alignment horizontal="center" vertical="center"/>
    </xf>
    <xf numFmtId="4" fontId="48" fillId="4" borderId="22" xfId="0" applyNumberFormat="1" applyFont="1" applyFill="1" applyBorder="1" applyAlignment="1">
      <alignment horizontal="center" vertical="center"/>
    </xf>
    <xf numFmtId="0" fontId="64" fillId="8" borderId="0" xfId="4" applyFill="1" applyBorder="1" applyAlignment="1">
      <alignment horizontal="centerContinuous" vertical="center"/>
    </xf>
    <xf numFmtId="0" fontId="48" fillId="3" borderId="56" xfId="0" applyFont="1" applyFill="1" applyBorder="1" applyAlignment="1">
      <alignment horizontal="centerContinuous" vertical="center"/>
    </xf>
    <xf numFmtId="0" fontId="58" fillId="3" borderId="57" xfId="0" applyFont="1" applyFill="1" applyBorder="1" applyAlignment="1">
      <alignment horizontal="center" vertical="center"/>
    </xf>
    <xf numFmtId="0" fontId="48" fillId="3" borderId="58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4" fontId="56" fillId="0" borderId="17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4" fontId="55" fillId="5" borderId="9" xfId="0" applyNumberFormat="1" applyFont="1" applyFill="1" applyBorder="1" applyAlignment="1">
      <alignment horizontal="center" vertical="center"/>
    </xf>
    <xf numFmtId="4" fontId="55" fillId="5" borderId="15" xfId="0" applyNumberFormat="1" applyFont="1" applyFill="1" applyBorder="1" applyAlignment="1">
      <alignment horizontal="center" vertical="center"/>
    </xf>
    <xf numFmtId="4" fontId="55" fillId="5" borderId="10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" vertical="center"/>
    </xf>
    <xf numFmtId="4" fontId="55" fillId="5" borderId="17" xfId="0" applyNumberFormat="1" applyFont="1" applyFill="1" applyBorder="1" applyAlignment="1">
      <alignment horizontal="center" vertical="center"/>
    </xf>
    <xf numFmtId="4" fontId="55" fillId="5" borderId="14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Continuous" vertical="center"/>
    </xf>
    <xf numFmtId="0" fontId="58" fillId="3" borderId="18" xfId="0" applyFont="1" applyFill="1" applyBorder="1" applyAlignment="1">
      <alignment horizontal="centerContinuous" vertical="center"/>
    </xf>
    <xf numFmtId="0" fontId="58" fillId="3" borderId="19" xfId="0" applyFont="1" applyFill="1" applyBorder="1" applyAlignment="1">
      <alignment horizontal="centerContinuous" vertical="center"/>
    </xf>
    <xf numFmtId="0" fontId="6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2" fillId="0" borderId="10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1" fillId="0" borderId="0" xfId="0" applyFont="1"/>
    <xf numFmtId="0" fontId="40" fillId="0" borderId="0" xfId="0" applyFont="1"/>
    <xf numFmtId="168" fontId="40" fillId="0" borderId="0" xfId="0" applyNumberFormat="1" applyFont="1" applyAlignment="1">
      <alignment horizontal="right"/>
    </xf>
    <xf numFmtId="168" fontId="39" fillId="0" borderId="0" xfId="0" applyNumberFormat="1" applyFont="1" applyAlignment="1">
      <alignment horizontal="right"/>
    </xf>
    <xf numFmtId="0" fontId="38" fillId="0" borderId="0" xfId="0" applyFont="1"/>
    <xf numFmtId="168" fontId="38" fillId="0" borderId="0" xfId="0" applyNumberFormat="1" applyFont="1" applyAlignment="1">
      <alignment horizontal="right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4" fontId="37" fillId="0" borderId="20" xfId="0" applyNumberFormat="1" applyFont="1" applyBorder="1" applyAlignment="1">
      <alignment horizontal="center" vertical="center"/>
    </xf>
    <xf numFmtId="4" fontId="37" fillId="0" borderId="22" xfId="0" applyNumberFormat="1" applyFont="1" applyBorder="1" applyAlignment="1">
      <alignment horizontal="center" vertical="center"/>
    </xf>
    <xf numFmtId="10" fontId="37" fillId="0" borderId="21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57" fillId="3" borderId="4" xfId="2" applyFont="1" applyFill="1" applyBorder="1" applyAlignment="1">
      <alignment horizontal="centerContinuous" vertical="center"/>
    </xf>
    <xf numFmtId="0" fontId="57" fillId="3" borderId="6" xfId="2" applyFont="1" applyFill="1" applyBorder="1" applyAlignment="1">
      <alignment horizontal="centerContinuous" vertical="center"/>
    </xf>
    <xf numFmtId="0" fontId="5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8" fillId="4" borderId="61" xfId="0" applyFont="1" applyFill="1" applyBorder="1" applyAlignment="1">
      <alignment horizontal="centerContinuous" vertical="center"/>
    </xf>
    <xf numFmtId="0" fontId="48" fillId="4" borderId="62" xfId="0" applyFont="1" applyFill="1" applyBorder="1" applyAlignment="1">
      <alignment horizontal="centerContinuous" vertical="center"/>
    </xf>
    <xf numFmtId="0" fontId="48" fillId="4" borderId="63" xfId="0" applyFont="1" applyFill="1" applyBorder="1" applyAlignment="1">
      <alignment horizontal="centerContinuous" vertical="center"/>
    </xf>
    <xf numFmtId="169" fontId="37" fillId="0" borderId="15" xfId="0" applyNumberFormat="1" applyFont="1" applyBorder="1" applyAlignment="1">
      <alignment horizontal="center" vertical="center"/>
    </xf>
    <xf numFmtId="169" fontId="37" fillId="0" borderId="16" xfId="0" applyNumberFormat="1" applyFont="1" applyBorder="1" applyAlignment="1">
      <alignment horizontal="center" vertical="center"/>
    </xf>
    <xf numFmtId="169" fontId="37" fillId="0" borderId="17" xfId="0" applyNumberFormat="1" applyFont="1" applyBorder="1" applyAlignment="1">
      <alignment horizontal="center" vertical="center"/>
    </xf>
    <xf numFmtId="10" fontId="36" fillId="0" borderId="16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4" fontId="37" fillId="0" borderId="64" xfId="0" applyNumberFormat="1" applyFont="1" applyBorder="1" applyAlignment="1">
      <alignment horizontal="center" vertical="center"/>
    </xf>
    <xf numFmtId="10" fontId="37" fillId="0" borderId="65" xfId="0" applyNumberFormat="1" applyFont="1" applyBorder="1" applyAlignment="1">
      <alignment horizontal="right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0" fontId="37" fillId="0" borderId="70" xfId="0" applyNumberFormat="1" applyFont="1" applyBorder="1" applyAlignment="1">
      <alignment horizontal="right" vertical="center"/>
    </xf>
    <xf numFmtId="4" fontId="37" fillId="0" borderId="7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1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4" fillId="0" borderId="11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175" fontId="64" fillId="0" borderId="0" xfId="4" applyNumberFormat="1"/>
    <xf numFmtId="4" fontId="33" fillId="0" borderId="1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176" fontId="3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2" fillId="0" borderId="15" xfId="0" applyNumberFormat="1" applyFont="1" applyBorder="1" applyAlignment="1">
      <alignment horizontal="right" vertical="center"/>
    </xf>
    <xf numFmtId="170" fontId="42" fillId="0" borderId="16" xfId="0" applyNumberFormat="1" applyFont="1" applyBorder="1" applyAlignment="1">
      <alignment horizontal="right" vertical="center"/>
    </xf>
    <xf numFmtId="170" fontId="42" fillId="0" borderId="17" xfId="0" applyNumberFormat="1" applyFont="1" applyBorder="1" applyAlignment="1">
      <alignment horizontal="right" vertical="center"/>
    </xf>
    <xf numFmtId="178" fontId="3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6" fillId="0" borderId="16" xfId="0" applyNumberFormat="1" applyFont="1" applyBorder="1" applyAlignment="1">
      <alignment horizontal="center" vertical="center"/>
    </xf>
    <xf numFmtId="4" fontId="56" fillId="0" borderId="55" xfId="0" applyNumberFormat="1" applyFont="1" applyBorder="1" applyAlignment="1">
      <alignment horizontal="center" vertical="center"/>
    </xf>
    <xf numFmtId="4" fontId="56" fillId="0" borderId="75" xfId="0" applyNumberFormat="1" applyFont="1" applyBorder="1" applyAlignment="1">
      <alignment horizontal="center" vertical="center"/>
    </xf>
    <xf numFmtId="0" fontId="57" fillId="4" borderId="20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4" fontId="56" fillId="0" borderId="76" xfId="0" applyNumberFormat="1" applyFont="1" applyBorder="1" applyAlignment="1">
      <alignment horizontal="center" vertical="center"/>
    </xf>
    <xf numFmtId="4" fontId="56" fillId="0" borderId="77" xfId="0" applyNumberFormat="1" applyFont="1" applyBorder="1" applyAlignment="1">
      <alignment horizontal="center" vertical="center"/>
    </xf>
    <xf numFmtId="4" fontId="56" fillId="0" borderId="78" xfId="0" applyNumberFormat="1" applyFont="1" applyBorder="1" applyAlignment="1">
      <alignment horizontal="center" vertical="center"/>
    </xf>
    <xf numFmtId="0" fontId="57" fillId="4" borderId="72" xfId="0" applyFont="1" applyFill="1" applyBorder="1" applyAlignment="1">
      <alignment horizontal="center" vertical="center"/>
    </xf>
    <xf numFmtId="0" fontId="57" fillId="4" borderId="73" xfId="0" applyFont="1" applyFill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/>
    </xf>
    <xf numFmtId="0" fontId="57" fillId="4" borderId="29" xfId="0" applyFont="1" applyFill="1" applyBorder="1" applyAlignment="1">
      <alignment horizontal="center" vertical="center"/>
    </xf>
    <xf numFmtId="4" fontId="57" fillId="4" borderId="74" xfId="0" applyNumberFormat="1" applyFont="1" applyFill="1" applyBorder="1" applyAlignment="1">
      <alignment horizontal="center" vertical="center"/>
    </xf>
    <xf numFmtId="4" fontId="55" fillId="5" borderId="0" xfId="0" quotePrefix="1" applyNumberFormat="1" applyFont="1" applyFill="1" applyBorder="1" applyAlignment="1">
      <alignment horizontal="left" vertical="center"/>
    </xf>
    <xf numFmtId="4" fontId="57" fillId="3" borderId="4" xfId="0" applyNumberFormat="1" applyFont="1" applyFill="1" applyBorder="1" applyAlignment="1">
      <alignment horizontal="centerContinuous" vertical="center"/>
    </xf>
    <xf numFmtId="4" fontId="57" fillId="3" borderId="6" xfId="0" applyNumberFormat="1" applyFont="1" applyFill="1" applyBorder="1" applyAlignment="1">
      <alignment horizontal="centerContinuous" vertical="center"/>
    </xf>
    <xf numFmtId="4" fontId="57" fillId="3" borderId="5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" vertical="center"/>
    </xf>
    <xf numFmtId="0" fontId="56" fillId="0" borderId="0" xfId="0" applyFont="1"/>
    <xf numFmtId="168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168" fontId="56" fillId="0" borderId="10" xfId="0" applyNumberFormat="1" applyFont="1" applyBorder="1" applyAlignment="1">
      <alignment horizontal="center" vertical="center"/>
    </xf>
    <xf numFmtId="0" fontId="48" fillId="4" borderId="79" xfId="0" applyFont="1" applyFill="1" applyBorder="1" applyAlignment="1">
      <alignment horizontal="center" vertical="center"/>
    </xf>
    <xf numFmtId="4" fontId="56" fillId="0" borderId="61" xfId="0" applyNumberFormat="1" applyFont="1" applyBorder="1" applyAlignment="1">
      <alignment horizontal="center" vertical="center"/>
    </xf>
    <xf numFmtId="168" fontId="56" fillId="0" borderId="63" xfId="0" applyNumberFormat="1" applyFont="1" applyBorder="1" applyAlignment="1">
      <alignment horizontal="center" vertical="center"/>
    </xf>
    <xf numFmtId="0" fontId="62" fillId="0" borderId="1" xfId="1" applyFont="1"/>
    <xf numFmtId="0" fontId="63" fillId="0" borderId="83" xfId="2" applyFont="1"/>
    <xf numFmtId="0" fontId="63" fillId="0" borderId="84" xfId="3" applyFont="1"/>
    <xf numFmtId="168" fontId="56" fillId="0" borderId="44" xfId="0" applyNumberFormat="1" applyFont="1" applyBorder="1" applyAlignment="1">
      <alignment horizontal="center"/>
    </xf>
    <xf numFmtId="168" fontId="56" fillId="0" borderId="82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 vertical="center"/>
    </xf>
    <xf numFmtId="168" fontId="32" fillId="0" borderId="80" xfId="0" applyNumberFormat="1" applyFont="1" applyBorder="1" applyAlignment="1">
      <alignment horizontal="center" vertical="center"/>
    </xf>
    <xf numFmtId="168" fontId="32" fillId="0" borderId="81" xfId="0" applyNumberFormat="1" applyFont="1" applyBorder="1" applyAlignment="1">
      <alignment horizontal="center" vertical="center"/>
    </xf>
    <xf numFmtId="168" fontId="56" fillId="0" borderId="12" xfId="0" applyNumberFormat="1" applyFont="1" applyBorder="1" applyAlignment="1">
      <alignment horizontal="center" vertical="center"/>
    </xf>
    <xf numFmtId="168" fontId="56" fillId="0" borderId="9" xfId="0" applyNumberFormat="1" applyFont="1" applyBorder="1" applyAlignment="1">
      <alignment horizontal="center" vertical="center"/>
    </xf>
    <xf numFmtId="168" fontId="56" fillId="0" borderId="15" xfId="0" applyNumberFormat="1" applyFont="1" applyBorder="1" applyAlignment="1">
      <alignment horizontal="center" vertical="center"/>
    </xf>
    <xf numFmtId="168" fontId="56" fillId="0" borderId="11" xfId="0" applyNumberFormat="1" applyFont="1" applyBorder="1" applyAlignment="1">
      <alignment horizontal="center" vertical="center"/>
    </xf>
    <xf numFmtId="168" fontId="56" fillId="0" borderId="16" xfId="0" applyNumberFormat="1" applyFont="1" applyBorder="1" applyAlignment="1">
      <alignment horizontal="center" vertical="center"/>
    </xf>
    <xf numFmtId="168" fontId="56" fillId="0" borderId="13" xfId="0" applyNumberFormat="1" applyFont="1" applyBorder="1" applyAlignment="1">
      <alignment horizontal="center" vertical="center"/>
    </xf>
    <xf numFmtId="168" fontId="56" fillId="0" borderId="17" xfId="0" applyNumberFormat="1" applyFont="1" applyBorder="1" applyAlignment="1">
      <alignment horizontal="center" vertical="center"/>
    </xf>
    <xf numFmtId="4" fontId="56" fillId="0" borderId="15" xfId="0" applyNumberFormat="1" applyFont="1" applyBorder="1" applyAlignment="1">
      <alignment horizontal="center" vertical="center"/>
    </xf>
    <xf numFmtId="168" fontId="56" fillId="0" borderId="14" xfId="0" applyNumberFormat="1" applyFont="1" applyBorder="1" applyAlignment="1">
      <alignment horizontal="center" vertical="center"/>
    </xf>
    <xf numFmtId="4" fontId="57" fillId="4" borderId="28" xfId="0" applyNumberFormat="1" applyFont="1" applyFill="1" applyBorder="1" applyAlignment="1">
      <alignment horizontal="center" vertical="center"/>
    </xf>
    <xf numFmtId="168" fontId="57" fillId="4" borderId="29" xfId="0" applyNumberFormat="1" applyFont="1" applyFill="1" applyBorder="1" applyAlignment="1">
      <alignment horizontal="center" vertical="center"/>
    </xf>
    <xf numFmtId="4" fontId="56" fillId="0" borderId="8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"/>
    </xf>
    <xf numFmtId="2" fontId="56" fillId="0" borderId="82" xfId="0" applyNumberFormat="1" applyFont="1" applyBorder="1" applyAlignment="1">
      <alignment horizontal="center"/>
    </xf>
    <xf numFmtId="4" fontId="56" fillId="0" borderId="86" xfId="0" applyNumberFormat="1" applyFont="1" applyBorder="1" applyAlignment="1">
      <alignment horizontal="center" vertical="center"/>
    </xf>
    <xf numFmtId="4" fontId="56" fillId="0" borderId="71" xfId="0" applyNumberFormat="1" applyFont="1" applyBorder="1" applyAlignment="1">
      <alignment horizontal="center" vertical="center"/>
    </xf>
    <xf numFmtId="4" fontId="56" fillId="0" borderId="88" xfId="0" applyNumberFormat="1" applyFont="1" applyBorder="1" applyAlignment="1">
      <alignment horizontal="center" vertical="center"/>
    </xf>
    <xf numFmtId="4" fontId="56" fillId="0" borderId="87" xfId="0" applyNumberFormat="1" applyFont="1" applyBorder="1" applyAlignment="1">
      <alignment horizontal="center" vertical="center"/>
    </xf>
    <xf numFmtId="2" fontId="58" fillId="4" borderId="52" xfId="0" applyNumberFormat="1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Continuous" vertical="center"/>
    </xf>
    <xf numFmtId="0" fontId="58" fillId="3" borderId="89" xfId="0" applyFont="1" applyFill="1" applyBorder="1" applyAlignment="1">
      <alignment horizontal="centerContinuous" vertical="center"/>
    </xf>
    <xf numFmtId="0" fontId="58" fillId="3" borderId="51" xfId="0" applyFont="1" applyFill="1" applyBorder="1" applyAlignment="1">
      <alignment horizontal="centerContinuous" vertical="center"/>
    </xf>
    <xf numFmtId="0" fontId="58" fillId="3" borderId="7" xfId="0" applyFont="1" applyFill="1" applyBorder="1" applyAlignment="1">
      <alignment horizontal="centerContinuous" vertical="center"/>
    </xf>
    <xf numFmtId="0" fontId="58" fillId="3" borderId="4" xfId="0" applyFont="1" applyFill="1" applyBorder="1" applyAlignment="1">
      <alignment horizontal="centerContinuous" vertical="center"/>
    </xf>
    <xf numFmtId="0" fontId="58" fillId="3" borderId="5" xfId="0" applyFont="1" applyFill="1" applyBorder="1" applyAlignment="1">
      <alignment horizontal="centerContinuous" vertical="center"/>
    </xf>
    <xf numFmtId="4" fontId="56" fillId="0" borderId="22" xfId="0" applyNumberFormat="1" applyFont="1" applyBorder="1" applyAlignment="1">
      <alignment horizontal="center" vertical="center"/>
    </xf>
    <xf numFmtId="0" fontId="58" fillId="3" borderId="6" xfId="0" applyFont="1" applyFill="1" applyBorder="1" applyAlignment="1">
      <alignment horizontal="centerContinuous" vertical="center"/>
    </xf>
    <xf numFmtId="0" fontId="57" fillId="3" borderId="8" xfId="0" applyFont="1" applyFill="1" applyBorder="1" applyAlignment="1">
      <alignment horizontal="centerContinuous" vertical="center"/>
    </xf>
    <xf numFmtId="0" fontId="57" fillId="3" borderId="0" xfId="0" applyFont="1" applyFill="1" applyBorder="1" applyAlignment="1">
      <alignment horizontal="centerContinuous" vertical="center"/>
    </xf>
    <xf numFmtId="0" fontId="57" fillId="4" borderId="90" xfId="0" applyFont="1" applyFill="1" applyBorder="1" applyAlignment="1">
      <alignment horizontal="center" vertical="center"/>
    </xf>
    <xf numFmtId="4" fontId="56" fillId="0" borderId="91" xfId="0" applyNumberFormat="1" applyFont="1" applyBorder="1" applyAlignment="1">
      <alignment horizontal="center" vertical="center"/>
    </xf>
    <xf numFmtId="2" fontId="58" fillId="4" borderId="28" xfId="0" applyNumberFormat="1" applyFont="1" applyFill="1" applyBorder="1" applyAlignment="1">
      <alignment horizontal="center" vertical="center"/>
    </xf>
    <xf numFmtId="2" fontId="58" fillId="4" borderId="29" xfId="0" applyNumberFormat="1" applyFont="1" applyFill="1" applyBorder="1" applyAlignment="1">
      <alignment horizontal="center" vertical="center"/>
    </xf>
    <xf numFmtId="2" fontId="58" fillId="4" borderId="30" xfId="0" applyNumberFormat="1" applyFont="1" applyFill="1" applyBorder="1" applyAlignment="1">
      <alignment horizontal="center" vertical="center"/>
    </xf>
    <xf numFmtId="2" fontId="56" fillId="0" borderId="31" xfId="0" applyNumberFormat="1" applyFont="1" applyBorder="1" applyAlignment="1">
      <alignment horizontal="center"/>
    </xf>
    <xf numFmtId="2" fontId="5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8" fillId="4" borderId="96" xfId="0" applyNumberFormat="1" applyFont="1" applyFill="1" applyBorder="1" applyAlignment="1">
      <alignment horizontal="center" vertical="center"/>
    </xf>
    <xf numFmtId="4" fontId="56" fillId="0" borderId="97" xfId="0" applyNumberFormat="1" applyFont="1" applyBorder="1" applyAlignment="1">
      <alignment horizontal="center" vertical="center"/>
    </xf>
    <xf numFmtId="4" fontId="57" fillId="4" borderId="20" xfId="0" applyNumberFormat="1" applyFont="1" applyFill="1" applyBorder="1" applyAlignment="1">
      <alignment horizontal="centerContinuous" vertical="center"/>
    </xf>
    <xf numFmtId="4" fontId="57" fillId="4" borderId="21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Continuous" vertical="center"/>
    </xf>
    <xf numFmtId="4" fontId="56" fillId="0" borderId="98" xfId="0" applyNumberFormat="1" applyFont="1" applyBorder="1" applyAlignment="1">
      <alignment horizontal="center" vertical="center"/>
    </xf>
    <xf numFmtId="4" fontId="56" fillId="0" borderId="99" xfId="0" applyNumberFormat="1" applyFont="1" applyBorder="1" applyAlignment="1">
      <alignment horizontal="center" vertical="center"/>
    </xf>
    <xf numFmtId="4" fontId="56" fillId="0" borderId="100" xfId="0" applyNumberFormat="1" applyFont="1" applyBorder="1" applyAlignment="1">
      <alignment horizontal="center" vertical="center"/>
    </xf>
    <xf numFmtId="4" fontId="56" fillId="0" borderId="101" xfId="0" applyNumberFormat="1" applyFont="1" applyBorder="1" applyAlignment="1">
      <alignment horizontal="center" vertical="center"/>
    </xf>
    <xf numFmtId="4" fontId="56" fillId="0" borderId="102" xfId="0" applyNumberFormat="1" applyFont="1" applyBorder="1" applyAlignment="1">
      <alignment horizontal="center" vertical="center"/>
    </xf>
    <xf numFmtId="4" fontId="56" fillId="0" borderId="103" xfId="0" applyNumberFormat="1" applyFont="1" applyBorder="1" applyAlignment="1">
      <alignment horizontal="center" vertical="center"/>
    </xf>
    <xf numFmtId="0" fontId="58" fillId="4" borderId="28" xfId="0" applyFont="1" applyFill="1" applyBorder="1" applyAlignment="1">
      <alignment horizontal="center" vertical="center"/>
    </xf>
    <xf numFmtId="0" fontId="58" fillId="4" borderId="30" xfId="0" applyFont="1" applyFill="1" applyBorder="1" applyAlignment="1">
      <alignment horizontal="center" vertical="center"/>
    </xf>
    <xf numFmtId="4" fontId="56" fillId="0" borderId="64" xfId="0" applyNumberFormat="1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/>
    </xf>
    <xf numFmtId="4" fontId="56" fillId="0" borderId="107" xfId="0" applyNumberFormat="1" applyFont="1" applyBorder="1" applyAlignment="1">
      <alignment horizontal="center" vertical="center"/>
    </xf>
    <xf numFmtId="4" fontId="56" fillId="0" borderId="108" xfId="0" applyNumberFormat="1" applyFont="1" applyBorder="1" applyAlignment="1">
      <alignment horizontal="center" vertical="center"/>
    </xf>
    <xf numFmtId="4" fontId="56" fillId="0" borderId="109" xfId="0" applyNumberFormat="1" applyFont="1" applyBorder="1" applyAlignment="1">
      <alignment horizontal="center" vertical="center"/>
    </xf>
    <xf numFmtId="4" fontId="56" fillId="0" borderId="110" xfId="0" applyNumberFormat="1" applyFont="1" applyBorder="1" applyAlignment="1">
      <alignment horizontal="center" vertical="center"/>
    </xf>
    <xf numFmtId="4" fontId="56" fillId="0" borderId="111" xfId="0" applyNumberFormat="1" applyFont="1" applyBorder="1" applyAlignment="1">
      <alignment horizontal="center" vertical="center"/>
    </xf>
    <xf numFmtId="4" fontId="56" fillId="0" borderId="112" xfId="0" applyNumberFormat="1" applyFont="1" applyBorder="1" applyAlignment="1">
      <alignment horizontal="center" vertical="center"/>
    </xf>
    <xf numFmtId="4" fontId="56" fillId="0" borderId="113" xfId="0" applyNumberFormat="1" applyFont="1" applyBorder="1" applyAlignment="1">
      <alignment horizontal="center" vertical="center"/>
    </xf>
    <xf numFmtId="4" fontId="57" fillId="4" borderId="114" xfId="0" applyNumberFormat="1" applyFont="1" applyFill="1" applyBorder="1" applyAlignment="1">
      <alignment horizontal="center" vertical="center"/>
    </xf>
    <xf numFmtId="4" fontId="57" fillId="4" borderId="106" xfId="0" applyNumberFormat="1" applyFont="1" applyFill="1" applyBorder="1" applyAlignment="1">
      <alignment horizontal="center" vertical="center"/>
    </xf>
    <xf numFmtId="4" fontId="57" fillId="4" borderId="91" xfId="0" applyNumberFormat="1" applyFont="1" applyFill="1" applyBorder="1" applyAlignment="1">
      <alignment horizontal="center" vertical="center"/>
    </xf>
    <xf numFmtId="4" fontId="57" fillId="4" borderId="115" xfId="0" applyNumberFormat="1" applyFont="1" applyFill="1" applyBorder="1" applyAlignment="1">
      <alignment horizontal="center" vertical="center"/>
    </xf>
    <xf numFmtId="4" fontId="57" fillId="4" borderId="57" xfId="0" applyNumberFormat="1" applyFont="1" applyFill="1" applyBorder="1" applyAlignment="1">
      <alignment horizontal="center" vertical="center"/>
    </xf>
    <xf numFmtId="4" fontId="56" fillId="0" borderId="116" xfId="0" applyNumberFormat="1" applyFont="1" applyBorder="1" applyAlignment="1">
      <alignment horizontal="center" vertical="center"/>
    </xf>
    <xf numFmtId="4" fontId="56" fillId="0" borderId="117" xfId="0" applyNumberFormat="1" applyFont="1" applyBorder="1" applyAlignment="1">
      <alignment horizontal="center" vertical="center"/>
    </xf>
    <xf numFmtId="4" fontId="56" fillId="0" borderId="43" xfId="0" applyNumberFormat="1" applyFont="1" applyBorder="1" applyAlignment="1">
      <alignment horizontal="center" vertical="center"/>
    </xf>
    <xf numFmtId="4" fontId="56" fillId="0" borderId="118" xfId="0" applyNumberFormat="1" applyFont="1" applyBorder="1" applyAlignment="1">
      <alignment horizontal="center" vertical="center"/>
    </xf>
    <xf numFmtId="4" fontId="56" fillId="0" borderId="119" xfId="0" applyNumberFormat="1" applyFont="1" applyBorder="1" applyAlignment="1">
      <alignment horizontal="center" vertical="center"/>
    </xf>
    <xf numFmtId="4" fontId="56" fillId="0" borderId="120" xfId="0" applyNumberFormat="1" applyFont="1" applyBorder="1" applyAlignment="1">
      <alignment horizontal="center" vertical="center"/>
    </xf>
    <xf numFmtId="0" fontId="58" fillId="4" borderId="5" xfId="0" applyFont="1" applyFill="1" applyBorder="1" applyAlignment="1">
      <alignment horizontal="center" vertical="center"/>
    </xf>
    <xf numFmtId="0" fontId="58" fillId="4" borderId="121" xfId="0" applyFont="1" applyFill="1" applyBorder="1" applyAlignment="1">
      <alignment horizontal="center" vertical="center"/>
    </xf>
    <xf numFmtId="4" fontId="57" fillId="4" borderId="19" xfId="0" applyNumberFormat="1" applyFont="1" applyFill="1" applyBorder="1" applyAlignment="1">
      <alignment horizontal="center" vertical="center"/>
    </xf>
    <xf numFmtId="4" fontId="56" fillId="0" borderId="105" xfId="0" applyNumberFormat="1" applyFont="1" applyBorder="1" applyAlignment="1">
      <alignment horizontal="center" vertical="center"/>
    </xf>
    <xf numFmtId="4" fontId="57" fillId="4" borderId="122" xfId="0" applyNumberFormat="1" applyFont="1" applyFill="1" applyBorder="1" applyAlignment="1">
      <alignment horizontal="center" vertical="center"/>
    </xf>
    <xf numFmtId="4" fontId="56" fillId="0" borderId="124" xfId="0" applyNumberFormat="1" applyFont="1" applyBorder="1" applyAlignment="1">
      <alignment horizontal="center" vertical="center"/>
    </xf>
    <xf numFmtId="4" fontId="56" fillId="0" borderId="123" xfId="0" applyNumberFormat="1" applyFont="1" applyBorder="1" applyAlignment="1">
      <alignment horizontal="center" vertical="center"/>
    </xf>
    <xf numFmtId="4" fontId="56" fillId="0" borderId="125" xfId="0" applyNumberFormat="1" applyFont="1" applyBorder="1" applyAlignment="1">
      <alignment horizontal="center" vertical="center"/>
    </xf>
    <xf numFmtId="4" fontId="56" fillId="0" borderId="127" xfId="0" applyNumberFormat="1" applyFont="1" applyBorder="1" applyAlignment="1">
      <alignment horizontal="center" vertical="center"/>
    </xf>
    <xf numFmtId="4" fontId="56" fillId="0" borderId="126" xfId="0" applyNumberFormat="1" applyFont="1" applyBorder="1" applyAlignment="1">
      <alignment horizontal="center" vertical="center"/>
    </xf>
    <xf numFmtId="4" fontId="56" fillId="0" borderId="128" xfId="0" applyNumberFormat="1" applyFont="1" applyBorder="1" applyAlignment="1">
      <alignment horizontal="center" vertical="center"/>
    </xf>
    <xf numFmtId="0" fontId="57" fillId="3" borderId="49" xfId="0" applyFont="1" applyFill="1" applyBorder="1" applyAlignment="1">
      <alignment horizontal="centerContinuous" vertical="center"/>
    </xf>
    <xf numFmtId="0" fontId="57" fillId="4" borderId="49" xfId="0" applyFont="1" applyFill="1" applyBorder="1" applyAlignment="1">
      <alignment horizontal="center" vertical="center"/>
    </xf>
    <xf numFmtId="4" fontId="56" fillId="0" borderId="20" xfId="0" applyNumberFormat="1" applyFont="1" applyBorder="1" applyAlignment="1">
      <alignment horizontal="center" vertical="center"/>
    </xf>
    <xf numFmtId="3" fontId="56" fillId="0" borderId="57" xfId="0" applyNumberFormat="1" applyFont="1" applyBorder="1" applyAlignment="1">
      <alignment horizontal="center" vertical="center"/>
    </xf>
    <xf numFmtId="0" fontId="64" fillId="0" borderId="0" xfId="4" applyFill="1" applyBorder="1" applyAlignment="1">
      <alignment horizontal="centerContinuous" vertical="center"/>
    </xf>
    <xf numFmtId="0" fontId="64" fillId="0" borderId="0" xfId="4"/>
    <xf numFmtId="0" fontId="64" fillId="0" borderId="44" xfId="4" applyFill="1" applyBorder="1" applyAlignment="1">
      <alignment horizontal="centerContinuous" vertical="center"/>
    </xf>
    <xf numFmtId="0" fontId="64" fillId="0" borderId="45" xfId="4" applyFill="1" applyBorder="1" applyAlignment="1">
      <alignment horizontal="centerContinuous" vertical="center"/>
    </xf>
    <xf numFmtId="4" fontId="64" fillId="0" borderId="50" xfId="4" applyNumberFormat="1" applyBorder="1" applyAlignment="1">
      <alignment horizontal="centerContinuous" vertical="center"/>
    </xf>
    <xf numFmtId="4" fontId="65" fillId="0" borderId="9" xfId="4" applyNumberFormat="1" applyFont="1" applyBorder="1" applyAlignment="1">
      <alignment horizontal="center" vertical="center"/>
    </xf>
    <xf numFmtId="4" fontId="65" fillId="0" borderId="11" xfId="4" applyNumberFormat="1" applyFont="1" applyBorder="1" applyAlignment="1">
      <alignment horizontal="center" vertical="center"/>
    </xf>
    <xf numFmtId="4" fontId="65" fillId="0" borderId="13" xfId="4" applyNumberFormat="1" applyFont="1" applyBorder="1" applyAlignment="1">
      <alignment horizontal="center" vertical="center"/>
    </xf>
    <xf numFmtId="0" fontId="64" fillId="0" borderId="0" xfId="4" applyFill="1" applyAlignment="1">
      <alignment horizontal="centerContinuous"/>
    </xf>
    <xf numFmtId="168" fontId="69" fillId="0" borderId="0" xfId="0" applyNumberFormat="1" applyFont="1" applyAlignment="1">
      <alignment horizontal="left"/>
    </xf>
    <xf numFmtId="0" fontId="0" fillId="0" borderId="0" xfId="0"/>
    <xf numFmtId="0" fontId="57" fillId="3" borderId="4" xfId="6" applyFont="1" applyFill="1" applyBorder="1" applyAlignment="1">
      <alignment horizontal="centerContinuous" vertical="center"/>
    </xf>
    <xf numFmtId="0" fontId="57" fillId="3" borderId="6" xfId="6" applyFont="1" applyFill="1" applyBorder="1" applyAlignment="1">
      <alignment horizontal="centerContinuous" vertical="center"/>
    </xf>
    <xf numFmtId="4" fontId="68" fillId="0" borderId="11" xfId="6" applyNumberFormat="1" applyFont="1" applyBorder="1" applyAlignment="1">
      <alignment horizontal="center" vertical="center"/>
    </xf>
    <xf numFmtId="4" fontId="68" fillId="0" borderId="16" xfId="6" applyNumberFormat="1" applyFont="1" applyBorder="1" applyAlignment="1">
      <alignment horizontal="center" vertical="center"/>
    </xf>
    <xf numFmtId="4" fontId="68" fillId="0" borderId="13" xfId="6" applyNumberFormat="1" applyFont="1" applyBorder="1" applyAlignment="1">
      <alignment horizontal="center" vertical="center"/>
    </xf>
    <xf numFmtId="4" fontId="68" fillId="0" borderId="17" xfId="6" applyNumberFormat="1" applyFont="1" applyBorder="1" applyAlignment="1">
      <alignment horizontal="center" vertical="center"/>
    </xf>
    <xf numFmtId="168" fontId="68" fillId="0" borderId="16" xfId="6" applyNumberFormat="1" applyFont="1" applyBorder="1" applyAlignment="1">
      <alignment horizontal="right" vertical="center"/>
    </xf>
    <xf numFmtId="168" fontId="68" fillId="0" borderId="17" xfId="6" applyNumberFormat="1" applyFont="1" applyBorder="1" applyAlignment="1">
      <alignment horizontal="right" vertical="center"/>
    </xf>
    <xf numFmtId="3" fontId="68" fillId="0" borderId="16" xfId="6" applyNumberFormat="1" applyFont="1" applyBorder="1" applyAlignment="1">
      <alignment horizontal="right" vertical="center"/>
    </xf>
    <xf numFmtId="3" fontId="68" fillId="0" borderId="17" xfId="6" applyNumberFormat="1" applyFont="1" applyBorder="1" applyAlignment="1">
      <alignment horizontal="right" vertical="center"/>
    </xf>
    <xf numFmtId="0" fontId="57" fillId="3" borderId="50" xfId="0" applyFont="1" applyFill="1" applyBorder="1" applyAlignment="1">
      <alignment horizontal="centerContinuous" vertical="center"/>
    </xf>
    <xf numFmtId="0" fontId="58" fillId="3" borderId="45" xfId="0" applyFont="1" applyFill="1" applyBorder="1" applyAlignment="1">
      <alignment horizontal="centerContinuous" vertical="center"/>
    </xf>
    <xf numFmtId="180" fontId="56" fillId="0" borderId="44" xfId="0" applyNumberFormat="1" applyFont="1" applyBorder="1" applyAlignment="1">
      <alignment horizontal="center"/>
    </xf>
    <xf numFmtId="180" fontId="56" fillId="0" borderId="82" xfId="0" applyNumberFormat="1" applyFont="1" applyBorder="1" applyAlignment="1">
      <alignment horizontal="center"/>
    </xf>
    <xf numFmtId="4" fontId="56" fillId="0" borderId="13" xfId="0" applyNumberFormat="1" applyFont="1" applyFill="1" applyBorder="1" applyAlignment="1">
      <alignment horizontal="center" vertical="center"/>
    </xf>
    <xf numFmtId="0" fontId="56" fillId="0" borderId="14" xfId="0" applyNumberFormat="1" applyFont="1" applyBorder="1" applyAlignment="1">
      <alignment horizontal="center" vertical="center"/>
    </xf>
    <xf numFmtId="179" fontId="56" fillId="0" borderId="12" xfId="0" applyNumberFormat="1" applyFont="1" applyBorder="1" applyAlignment="1">
      <alignment horizontal="center" vertical="center"/>
    </xf>
    <xf numFmtId="179" fontId="56" fillId="0" borderId="14" xfId="0" applyNumberFormat="1" applyFont="1" applyBorder="1" applyAlignment="1">
      <alignment horizontal="center" vertical="center"/>
    </xf>
    <xf numFmtId="0" fontId="56" fillId="0" borderId="12" xfId="0" applyNumberFormat="1" applyFont="1" applyBorder="1" applyAlignment="1">
      <alignment horizontal="center" vertical="center"/>
    </xf>
    <xf numFmtId="0" fontId="70" fillId="0" borderId="0" xfId="0" applyFont="1"/>
    <xf numFmtId="0" fontId="71" fillId="0" borderId="0" xfId="0" applyFont="1"/>
    <xf numFmtId="0" fontId="0" fillId="0" borderId="0" xfId="0"/>
    <xf numFmtId="9" fontId="0" fillId="0" borderId="0" xfId="0" applyNumberFormat="1"/>
    <xf numFmtId="4" fontId="61" fillId="8" borderId="9" xfId="6" applyNumberFormat="1" applyFont="1" applyFill="1" applyBorder="1" applyAlignment="1">
      <alignment horizontal="center" vertical="center"/>
    </xf>
    <xf numFmtId="4" fontId="61" fillId="8" borderId="11" xfId="6" applyNumberFormat="1" applyFont="1" applyFill="1" applyBorder="1" applyAlignment="1">
      <alignment horizontal="center" vertical="center"/>
    </xf>
    <xf numFmtId="4" fontId="61" fillId="8" borderId="13" xfId="6" applyNumberFormat="1" applyFont="1" applyFill="1" applyBorder="1" applyAlignment="1">
      <alignment horizontal="center" vertical="center"/>
    </xf>
    <xf numFmtId="4" fontId="56" fillId="0" borderId="21" xfId="0" applyNumberFormat="1" applyFont="1" applyBorder="1" applyAlignment="1">
      <alignment horizontal="center" vertical="center"/>
    </xf>
    <xf numFmtId="0" fontId="31" fillId="0" borderId="0" xfId="0" applyFont="1"/>
    <xf numFmtId="10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73" fillId="0" borderId="0" xfId="0" applyFont="1"/>
    <xf numFmtId="168" fontId="57" fillId="4" borderId="21" xfId="0" applyNumberFormat="1" applyFont="1" applyFill="1" applyBorder="1" applyAlignment="1">
      <alignment horizontal="center" vertical="center"/>
    </xf>
    <xf numFmtId="0" fontId="74" fillId="0" borderId="0" xfId="0" applyFont="1"/>
    <xf numFmtId="170" fontId="56" fillId="0" borderId="76" xfId="0" applyNumberFormat="1" applyFont="1" applyBorder="1" applyAlignment="1">
      <alignment horizontal="center" vertical="center"/>
    </xf>
    <xf numFmtId="170" fontId="56" fillId="0" borderId="77" xfId="0" applyNumberFormat="1" applyFont="1" applyBorder="1" applyAlignment="1">
      <alignment horizontal="center" vertical="center"/>
    </xf>
    <xf numFmtId="170" fontId="56" fillId="0" borderId="78" xfId="0" applyNumberFormat="1" applyFont="1" applyBorder="1" applyAlignment="1">
      <alignment horizontal="center" vertical="center"/>
    </xf>
    <xf numFmtId="0" fontId="57" fillId="3" borderId="19" xfId="0" applyFont="1" applyFill="1" applyBorder="1" applyAlignment="1">
      <alignment horizontal="centerContinuous" vertical="center"/>
    </xf>
    <xf numFmtId="4" fontId="56" fillId="0" borderId="0" xfId="0" applyNumberFormat="1" applyFont="1" applyAlignment="1">
      <alignment horizontal="center" vertical="center"/>
    </xf>
    <xf numFmtId="4" fontId="56" fillId="0" borderId="9" xfId="0" applyNumberFormat="1" applyFont="1" applyBorder="1" applyAlignment="1">
      <alignment horizontal="centerContinuous" vertical="center"/>
    </xf>
    <xf numFmtId="4" fontId="56" fillId="0" borderId="11" xfId="0" applyNumberFormat="1" applyFont="1" applyBorder="1" applyAlignment="1">
      <alignment horizontal="centerContinuous" vertical="center"/>
    </xf>
    <xf numFmtId="4" fontId="56" fillId="0" borderId="13" xfId="0" applyNumberFormat="1" applyFont="1" applyBorder="1" applyAlignment="1">
      <alignment horizontal="centerContinuous" vertical="center"/>
    </xf>
    <xf numFmtId="4" fontId="56" fillId="0" borderId="20" xfId="0" applyNumberFormat="1" applyFont="1" applyBorder="1" applyAlignment="1">
      <alignment horizontal="centerContinuous" vertical="center"/>
    </xf>
    <xf numFmtId="4" fontId="56" fillId="0" borderId="91" xfId="0" applyNumberFormat="1" applyFont="1" applyBorder="1" applyAlignment="1">
      <alignment horizontal="centerContinuous" vertical="center"/>
    </xf>
    <xf numFmtId="4" fontId="56" fillId="0" borderId="21" xfId="0" applyNumberFormat="1" applyFont="1" applyBorder="1" applyAlignment="1">
      <alignment horizontal="centerContinuous" vertical="center"/>
    </xf>
    <xf numFmtId="4" fontId="56" fillId="0" borderId="27" xfId="0" applyNumberFormat="1" applyFont="1" applyBorder="1" applyAlignment="1">
      <alignment horizontal="centerContinuous" vertical="center"/>
    </xf>
    <xf numFmtId="180" fontId="56" fillId="0" borderId="10" xfId="0" applyNumberFormat="1" applyFont="1" applyBorder="1" applyAlignment="1">
      <alignment horizontal="center" vertical="center"/>
    </xf>
    <xf numFmtId="169" fontId="56" fillId="0" borderId="10" xfId="0" applyNumberFormat="1" applyFont="1" applyBorder="1" applyAlignment="1">
      <alignment horizontal="center" vertical="center"/>
    </xf>
    <xf numFmtId="169" fontId="5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7" fillId="3" borderId="89" xfId="0" applyFont="1" applyFill="1" applyBorder="1" applyAlignment="1">
      <alignment horizontal="centerContinuous" vertical="center"/>
    </xf>
    <xf numFmtId="0" fontId="57" fillId="3" borderId="130" xfId="0" applyFont="1" applyFill="1" applyBorder="1" applyAlignment="1">
      <alignment horizontal="centerContinuous" vertical="center"/>
    </xf>
    <xf numFmtId="0" fontId="57" fillId="3" borderId="106" xfId="0" applyFont="1" applyFill="1" applyBorder="1" applyAlignment="1">
      <alignment horizontal="centerContinuous" vertical="center"/>
    </xf>
    <xf numFmtId="170" fontId="68" fillId="0" borderId="9" xfId="0" applyNumberFormat="1" applyFont="1" applyFill="1" applyBorder="1" applyAlignment="1">
      <alignment horizontal="center" vertical="center"/>
    </xf>
    <xf numFmtId="170" fontId="68" fillId="0" borderId="15" xfId="0" applyNumberFormat="1" applyFont="1" applyFill="1" applyBorder="1" applyAlignment="1">
      <alignment horizontal="center" vertical="center"/>
    </xf>
    <xf numFmtId="170" fontId="68" fillId="0" borderId="10" xfId="0" applyNumberFormat="1" applyFont="1" applyFill="1" applyBorder="1" applyAlignment="1">
      <alignment horizontal="center" vertical="center"/>
    </xf>
    <xf numFmtId="170" fontId="68" fillId="0" borderId="11" xfId="0" applyNumberFormat="1" applyFont="1" applyFill="1" applyBorder="1" applyAlignment="1">
      <alignment horizontal="center" vertical="center"/>
    </xf>
    <xf numFmtId="170" fontId="68" fillId="0" borderId="16" xfId="0" applyNumberFormat="1" applyFont="1" applyFill="1" applyBorder="1" applyAlignment="1">
      <alignment horizontal="center" vertical="center"/>
    </xf>
    <xf numFmtId="170" fontId="68" fillId="0" borderId="12" xfId="0" applyNumberFormat="1" applyFont="1" applyFill="1" applyBorder="1" applyAlignment="1">
      <alignment horizontal="center" vertical="center"/>
    </xf>
    <xf numFmtId="170" fontId="68" fillId="0" borderId="13" xfId="0" applyNumberFormat="1" applyFont="1" applyFill="1" applyBorder="1" applyAlignment="1">
      <alignment horizontal="center" vertical="center"/>
    </xf>
    <xf numFmtId="170" fontId="68" fillId="0" borderId="17" xfId="0" applyNumberFormat="1" applyFont="1" applyFill="1" applyBorder="1" applyAlignment="1">
      <alignment horizontal="center" vertical="center"/>
    </xf>
    <xf numFmtId="170" fontId="68" fillId="0" borderId="14" xfId="0" applyNumberFormat="1" applyFont="1" applyFill="1" applyBorder="1" applyAlignment="1">
      <alignment horizontal="center" vertical="center"/>
    </xf>
    <xf numFmtId="0" fontId="76" fillId="0" borderId="0" xfId="0" applyFont="1"/>
    <xf numFmtId="0" fontId="64" fillId="0" borderId="0" xfId="4" applyAlignment="1">
      <alignment horizontal="center"/>
    </xf>
    <xf numFmtId="0" fontId="77" fillId="0" borderId="0" xfId="0" applyFont="1"/>
    <xf numFmtId="4" fontId="64" fillId="0" borderId="11" xfId="4" applyNumberFormat="1" applyBorder="1" applyAlignment="1">
      <alignment horizontal="center" vertical="center"/>
    </xf>
    <xf numFmtId="4" fontId="6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6" fillId="0" borderId="28" xfId="0" applyNumberFormat="1" applyFont="1" applyBorder="1" applyAlignment="1">
      <alignment horizontal="center" vertical="center"/>
    </xf>
    <xf numFmtId="4" fontId="56" fillId="0" borderId="131" xfId="0" applyNumberFormat="1" applyFont="1" applyBorder="1" applyAlignment="1">
      <alignment horizontal="center" vertical="center"/>
    </xf>
    <xf numFmtId="170" fontId="56" fillId="0" borderId="30" xfId="0" applyNumberFormat="1" applyFont="1" applyBorder="1" applyAlignment="1">
      <alignment horizontal="center" vertical="center"/>
    </xf>
    <xf numFmtId="2" fontId="56" fillId="0" borderId="132" xfId="0" applyNumberFormat="1" applyFont="1" applyBorder="1" applyAlignment="1">
      <alignment horizontal="center" vertical="center"/>
    </xf>
    <xf numFmtId="170" fontId="56" fillId="0" borderId="55" xfId="0" applyNumberFormat="1" applyFont="1" applyBorder="1" applyAlignment="1">
      <alignment horizontal="center" vertical="center"/>
    </xf>
    <xf numFmtId="170" fontId="56" fillId="0" borderId="75" xfId="0" applyNumberFormat="1" applyFont="1" applyBorder="1" applyAlignment="1">
      <alignment horizontal="center" vertical="center"/>
    </xf>
    <xf numFmtId="170" fontId="56" fillId="0" borderId="16" xfId="0" applyNumberFormat="1" applyFont="1" applyBorder="1" applyAlignment="1">
      <alignment horizontal="center" vertical="center"/>
    </xf>
    <xf numFmtId="170" fontId="56" fillId="0" borderId="12" xfId="0" applyNumberFormat="1" applyFont="1" applyBorder="1" applyAlignment="1">
      <alignment horizontal="center" vertical="center"/>
    </xf>
    <xf numFmtId="170" fontId="56" fillId="0" borderId="17" xfId="0" applyNumberFormat="1" applyFont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0" fillId="0" borderId="14" xfId="0" applyNumberFormat="1" applyFont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48" fillId="4" borderId="28" xfId="0" applyNumberFormat="1" applyFont="1" applyFill="1" applyBorder="1" applyAlignment="1">
      <alignment horizontal="center" vertical="center"/>
    </xf>
    <xf numFmtId="4" fontId="48" fillId="4" borderId="29" xfId="0" applyNumberFormat="1" applyFont="1" applyFill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169" fontId="30" fillId="0" borderId="15" xfId="0" applyNumberFormat="1" applyFont="1" applyBorder="1" applyAlignment="1">
      <alignment horizontal="right" vertical="center"/>
    </xf>
    <xf numFmtId="169" fontId="30" fillId="0" borderId="16" xfId="0" applyNumberFormat="1" applyFont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4" fontId="4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6" fillId="0" borderId="44" xfId="0" applyNumberFormat="1" applyFont="1" applyBorder="1" applyAlignment="1">
      <alignment horizontal="center"/>
    </xf>
    <xf numFmtId="169" fontId="56" fillId="0" borderId="82" xfId="0" applyNumberFormat="1" applyFont="1" applyBorder="1" applyAlignment="1">
      <alignment horizontal="center"/>
    </xf>
    <xf numFmtId="168" fontId="56" fillId="0" borderId="44" xfId="0" applyNumberFormat="1" applyFont="1" applyBorder="1" applyAlignment="1">
      <alignment horizontal="centerContinuous"/>
    </xf>
    <xf numFmtId="168" fontId="56" fillId="0" borderId="82" xfId="0" applyNumberFormat="1" applyFont="1" applyBorder="1" applyAlignment="1">
      <alignment horizontal="centerContinuous"/>
    </xf>
    <xf numFmtId="4" fontId="56" fillId="0" borderId="133" xfId="0" applyNumberFormat="1" applyFont="1" applyBorder="1" applyAlignment="1">
      <alignment horizontal="centerContinuous" vertical="center"/>
    </xf>
    <xf numFmtId="4" fontId="56" fillId="0" borderId="134" xfId="0" applyNumberFormat="1" applyFont="1" applyBorder="1" applyAlignment="1">
      <alignment horizontal="centerContinuous" vertical="center"/>
    </xf>
    <xf numFmtId="4" fontId="56" fillId="0" borderId="135" xfId="0" applyNumberFormat="1" applyFont="1" applyBorder="1" applyAlignment="1">
      <alignment horizontal="centerContinuous" vertical="center"/>
    </xf>
    <xf numFmtId="168" fontId="56" fillId="0" borderId="61" xfId="0" applyNumberFormat="1" applyFont="1" applyBorder="1" applyAlignment="1">
      <alignment horizontal="centerContinuous" vertical="center"/>
    </xf>
    <xf numFmtId="168" fontId="56" fillId="0" borderId="82" xfId="0" applyNumberFormat="1" applyFont="1" applyBorder="1" applyAlignment="1">
      <alignment horizontal="centerContinuous" vertical="center"/>
    </xf>
    <xf numFmtId="168" fontId="56" fillId="0" borderId="63" xfId="0" applyNumberFormat="1" applyFont="1" applyBorder="1" applyAlignment="1">
      <alignment horizontal="centerContinuous" vertical="center"/>
    </xf>
    <xf numFmtId="168" fontId="56" fillId="0" borderId="45" xfId="0" applyNumberFormat="1" applyFont="1" applyBorder="1" applyAlignment="1">
      <alignment horizontal="centerContinuous" vertical="center"/>
    </xf>
    <xf numFmtId="4" fontId="56" fillId="0" borderId="104" xfId="0" applyNumberFormat="1" applyFont="1" applyBorder="1" applyAlignment="1">
      <alignment horizontal="centerContinuous" vertical="center"/>
    </xf>
    <xf numFmtId="4" fontId="56" fillId="0" borderId="129" xfId="0" applyNumberFormat="1" applyFont="1" applyBorder="1" applyAlignment="1">
      <alignment horizontal="centerContinuous" vertical="center"/>
    </xf>
    <xf numFmtId="4" fontId="56" fillId="0" borderId="136" xfId="0" applyNumberFormat="1" applyFont="1" applyBorder="1" applyAlignment="1">
      <alignment horizontal="centerContinuous" vertical="center"/>
    </xf>
    <xf numFmtId="4" fontId="56" fillId="0" borderId="61" xfId="0" applyNumberFormat="1" applyFont="1" applyBorder="1" applyAlignment="1">
      <alignment horizontal="centerContinuous" vertical="center"/>
    </xf>
    <xf numFmtId="4" fontId="5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6" fillId="0" borderId="138" xfId="0" applyNumberFormat="1" applyFont="1" applyBorder="1" applyAlignment="1">
      <alignment horizontal="centerContinuous" vertical="center"/>
    </xf>
    <xf numFmtId="168" fontId="56" fillId="0" borderId="0" xfId="0" applyNumberFormat="1" applyFont="1"/>
    <xf numFmtId="168" fontId="32" fillId="0" borderId="139" xfId="0" applyNumberFormat="1" applyFont="1" applyBorder="1" applyAlignment="1">
      <alignment horizontal="center" vertical="center"/>
    </xf>
    <xf numFmtId="168" fontId="32" fillId="0" borderId="140" xfId="0" applyNumberFormat="1" applyFont="1" applyBorder="1" applyAlignment="1">
      <alignment horizontal="center" vertical="center"/>
    </xf>
    <xf numFmtId="168" fontId="32" fillId="0" borderId="141" xfId="0" applyNumberFormat="1" applyFont="1" applyBorder="1" applyAlignment="1">
      <alignment horizontal="center" vertical="center"/>
    </xf>
    <xf numFmtId="168" fontId="32" fillId="0" borderId="142" xfId="0" applyNumberFormat="1" applyFont="1" applyBorder="1" applyAlignment="1">
      <alignment horizontal="center" vertical="center"/>
    </xf>
    <xf numFmtId="0" fontId="48" fillId="4" borderId="143" xfId="0" applyFont="1" applyFill="1" applyBorder="1" applyAlignment="1">
      <alignment horizontal="center" vertical="center"/>
    </xf>
    <xf numFmtId="0" fontId="48" fillId="4" borderId="144" xfId="0" applyFont="1" applyFill="1" applyBorder="1" applyAlignment="1">
      <alignment horizontal="center" vertical="center"/>
    </xf>
    <xf numFmtId="4" fontId="56" fillId="0" borderId="14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Continuous"/>
    </xf>
    <xf numFmtId="2" fontId="56" fillId="0" borderId="82" xfId="0" applyNumberFormat="1" applyFont="1" applyBorder="1" applyAlignment="1">
      <alignment horizontal="centerContinuous"/>
    </xf>
    <xf numFmtId="0" fontId="57" fillId="4" borderId="50" xfId="0" applyFont="1" applyFill="1" applyBorder="1" applyAlignment="1">
      <alignment horizontal="centerContinuous" vertical="center"/>
    </xf>
    <xf numFmtId="0" fontId="5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6" fillId="0" borderId="147" xfId="0" applyNumberFormat="1" applyFont="1" applyBorder="1" applyAlignment="1">
      <alignment horizontal="centerContinuous" vertical="center"/>
    </xf>
    <xf numFmtId="4" fontId="56" fillId="0" borderId="62" xfId="0" applyNumberFormat="1" applyFont="1" applyBorder="1" applyAlignment="1">
      <alignment horizontal="centerContinuous" vertical="center"/>
    </xf>
    <xf numFmtId="9" fontId="56" fillId="0" borderId="10" xfId="0" applyNumberFormat="1" applyFont="1" applyBorder="1" applyAlignment="1">
      <alignment horizontal="center" vertical="center"/>
    </xf>
    <xf numFmtId="9" fontId="56" fillId="0" borderId="12" xfId="0" applyNumberFormat="1" applyFont="1" applyBorder="1" applyAlignment="1">
      <alignment horizontal="center" vertical="center"/>
    </xf>
    <xf numFmtId="4" fontId="64" fillId="0" borderId="97" xfId="4" applyNumberFormat="1" applyBorder="1" applyAlignment="1">
      <alignment horizontal="center" vertical="center"/>
    </xf>
    <xf numFmtId="175" fontId="56" fillId="0" borderId="14" xfId="0" applyNumberFormat="1" applyFont="1" applyBorder="1" applyAlignment="1">
      <alignment horizontal="center" vertical="center"/>
    </xf>
    <xf numFmtId="176" fontId="56" fillId="0" borderId="10" xfId="0" applyNumberFormat="1" applyFont="1" applyBorder="1" applyAlignment="1">
      <alignment horizontal="center" vertical="center"/>
    </xf>
    <xf numFmtId="176" fontId="56" fillId="0" borderId="12" xfId="0" applyNumberFormat="1" applyFont="1" applyBorder="1" applyAlignment="1">
      <alignment horizontal="center" vertical="center"/>
    </xf>
    <xf numFmtId="176" fontId="56" fillId="0" borderId="14" xfId="0" applyNumberFormat="1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5" fontId="56" fillId="0" borderId="13" xfId="0" applyNumberFormat="1" applyFont="1" applyBorder="1" applyAlignment="1">
      <alignment horizontal="center" vertical="center"/>
    </xf>
    <xf numFmtId="0" fontId="57" fillId="3" borderId="44" xfId="0" applyFont="1" applyFill="1" applyBorder="1" applyAlignment="1">
      <alignment horizontal="centerContinuous" vertical="center"/>
    </xf>
    <xf numFmtId="0" fontId="57" fillId="3" borderId="148" xfId="0" applyFont="1" applyFill="1" applyBorder="1" applyAlignment="1">
      <alignment horizontal="centerContinuous" vertical="center"/>
    </xf>
    <xf numFmtId="0" fontId="57" fillId="3" borderId="146" xfId="0" applyFont="1" applyFill="1" applyBorder="1" applyAlignment="1">
      <alignment horizontal="centerContinuous" vertical="center"/>
    </xf>
    <xf numFmtId="0" fontId="57" fillId="3" borderId="82" xfId="0" applyFont="1" applyFill="1" applyBorder="1" applyAlignment="1">
      <alignment horizontal="centerContinuous" vertical="center"/>
    </xf>
    <xf numFmtId="175" fontId="56" fillId="0" borderId="13" xfId="0" applyNumberFormat="1" applyFont="1" applyBorder="1" applyAlignment="1">
      <alignment horizontal="centerContinuous" vertical="center"/>
    </xf>
    <xf numFmtId="175" fontId="56" fillId="0" borderId="135" xfId="0" applyNumberFormat="1" applyFont="1" applyBorder="1" applyAlignment="1">
      <alignment horizontal="centerContinuous" vertical="center"/>
    </xf>
    <xf numFmtId="175" fontId="56" fillId="0" borderId="149" xfId="0" applyNumberFormat="1" applyFont="1" applyBorder="1" applyAlignment="1">
      <alignment horizontal="centerContinuous" vertical="center"/>
    </xf>
    <xf numFmtId="175" fontId="56" fillId="0" borderId="150" xfId="0" applyNumberFormat="1" applyFont="1" applyBorder="1" applyAlignment="1">
      <alignment horizontal="centerContinuous" vertical="center"/>
    </xf>
    <xf numFmtId="4" fontId="56" fillId="0" borderId="19" xfId="0" applyNumberFormat="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/>
    <xf numFmtId="0" fontId="0" fillId="0" borderId="0" xfId="0" applyBorder="1" applyAlignment="1">
      <alignment horizontal="left"/>
    </xf>
    <xf numFmtId="0" fontId="82" fillId="0" borderId="0" xfId="0" applyFont="1" applyFill="1" applyBorder="1" applyAlignment="1">
      <alignment horizontal="left" vertical="center"/>
    </xf>
    <xf numFmtId="0" fontId="64" fillId="0" borderId="0" xfId="4" applyFill="1" applyAlignment="1">
      <alignment horizontal="center"/>
    </xf>
    <xf numFmtId="4" fontId="64" fillId="0" borderId="151" xfId="4" applyNumberFormat="1" applyBorder="1" applyAlignment="1">
      <alignment horizontal="center" vertical="center"/>
    </xf>
    <xf numFmtId="0" fontId="64" fillId="0" borderId="152" xfId="4" applyFill="1" applyBorder="1" applyAlignment="1">
      <alignment horizontal="centerContinuous" vertical="center"/>
    </xf>
    <xf numFmtId="0" fontId="64" fillId="0" borderId="153" xfId="4" applyFill="1" applyBorder="1" applyAlignment="1">
      <alignment horizontal="centerContinuous" vertical="center"/>
    </xf>
    <xf numFmtId="4" fontId="64" fillId="0" borderId="154" xfId="4" applyNumberFormat="1" applyBorder="1" applyAlignment="1">
      <alignment horizontal="centerContinuous" vertical="center"/>
    </xf>
    <xf numFmtId="0" fontId="64" fillId="0" borderId="155" xfId="4" applyBorder="1" applyAlignment="1">
      <alignment horizontal="centerContinuous" vertical="center"/>
    </xf>
    <xf numFmtId="0" fontId="64" fillId="0" borderId="46" xfId="4" applyFill="1" applyBorder="1" applyAlignment="1">
      <alignment horizontal="center"/>
    </xf>
    <xf numFmtId="0" fontId="64" fillId="0" borderId="48" xfId="4" applyFill="1" applyBorder="1" applyAlignment="1">
      <alignment horizontal="center"/>
    </xf>
    <xf numFmtId="3" fontId="0" fillId="0" borderId="0" xfId="0" applyNumberFormat="1"/>
    <xf numFmtId="0" fontId="64" fillId="0" borderId="156" xfId="4" applyBorder="1" applyAlignment="1">
      <alignment horizontal="centerContinuous"/>
    </xf>
    <xf numFmtId="0" fontId="64" fillId="0" borderId="157" xfId="4" applyBorder="1" applyAlignment="1">
      <alignment horizontal="centerContinuous"/>
    </xf>
    <xf numFmtId="0" fontId="64" fillId="0" borderId="158" xfId="4" applyBorder="1" applyAlignment="1">
      <alignment horizontal="centerContinuous"/>
    </xf>
    <xf numFmtId="0" fontId="64" fillId="0" borderId="155" xfId="4" applyBorder="1" applyAlignment="1">
      <alignment horizontal="centerContinuous"/>
    </xf>
    <xf numFmtId="10" fontId="56" fillId="0" borderId="16" xfId="0" applyNumberFormat="1" applyFont="1" applyBorder="1" applyAlignment="1">
      <alignment horizontal="right" vertical="center"/>
    </xf>
    <xf numFmtId="10" fontId="56" fillId="0" borderId="17" xfId="0" applyNumberFormat="1" applyFont="1" applyBorder="1" applyAlignment="1">
      <alignment horizontal="right" vertical="center"/>
    </xf>
    <xf numFmtId="168" fontId="56" fillId="0" borderId="9" xfId="0" applyNumberFormat="1" applyFont="1" applyBorder="1" applyAlignment="1">
      <alignment horizontal="right" vertical="center"/>
    </xf>
    <xf numFmtId="168" fontId="56" fillId="0" borderId="11" xfId="0" applyNumberFormat="1" applyFont="1" applyBorder="1" applyAlignment="1">
      <alignment horizontal="right" vertical="center"/>
    </xf>
    <xf numFmtId="168" fontId="56" fillId="0" borderId="13" xfId="0" applyNumberFormat="1" applyFont="1" applyBorder="1" applyAlignment="1">
      <alignment horizontal="right" vertical="center"/>
    </xf>
    <xf numFmtId="0" fontId="87" fillId="0" borderId="0" xfId="0" applyFont="1"/>
    <xf numFmtId="0" fontId="88" fillId="0" borderId="0" xfId="0" applyFont="1"/>
    <xf numFmtId="0" fontId="88" fillId="0" borderId="0" xfId="0" applyFont="1" applyAlignment="1">
      <alignment horizontal="center"/>
    </xf>
    <xf numFmtId="0" fontId="81" fillId="0" borderId="0" xfId="0" applyFont="1"/>
    <xf numFmtId="0" fontId="89" fillId="0" borderId="0" xfId="0" applyFont="1"/>
    <xf numFmtId="168" fontId="47" fillId="0" borderId="159" xfId="0" applyNumberFormat="1" applyFont="1" applyBorder="1" applyAlignment="1">
      <alignment horizontal="right" vertical="center"/>
    </xf>
    <xf numFmtId="169" fontId="47" fillId="0" borderId="160" xfId="0" applyNumberFormat="1" applyFont="1" applyBorder="1" applyAlignment="1">
      <alignment horizontal="center" vertical="center"/>
    </xf>
    <xf numFmtId="168" fontId="47" fillId="6" borderId="67" xfId="0" applyNumberFormat="1" applyFont="1" applyFill="1" applyBorder="1" applyAlignment="1">
      <alignment horizontal="righ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9" xfId="0" applyNumberFormat="1" applyFont="1" applyBorder="1" applyAlignment="1">
      <alignment horizontal="right" vertical="center"/>
    </xf>
    <xf numFmtId="169" fontId="47" fillId="0" borderId="70" xfId="0" applyNumberFormat="1" applyFont="1" applyBorder="1" applyAlignment="1">
      <alignment horizontal="right" vertical="center"/>
    </xf>
    <xf numFmtId="169" fontId="47" fillId="0" borderId="26" xfId="0" applyNumberFormat="1" applyFont="1" applyBorder="1" applyAlignment="1">
      <alignment horizontal="center" vertical="center"/>
    </xf>
    <xf numFmtId="4" fontId="57" fillId="4" borderId="29" xfId="0" applyNumberFormat="1" applyFont="1" applyFill="1" applyBorder="1" applyAlignment="1">
      <alignment horizontal="center" vertical="center"/>
    </xf>
    <xf numFmtId="4" fontId="57" fillId="4" borderId="30" xfId="0" applyNumberFormat="1" applyFont="1" applyFill="1" applyBorder="1" applyAlignment="1">
      <alignment horizontal="center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Continuous" vertical="center"/>
    </xf>
    <xf numFmtId="4" fontId="5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8" fillId="4" borderId="89" xfId="0" applyNumberFormat="1" applyFont="1" applyFill="1" applyBorder="1" applyAlignment="1">
      <alignment horizontal="centerContinuous" vertical="center"/>
    </xf>
    <xf numFmtId="0" fontId="56" fillId="0" borderId="134" xfId="0" applyFont="1" applyBorder="1" applyAlignment="1">
      <alignment horizontal="center" vertical="center"/>
    </xf>
    <xf numFmtId="0" fontId="56" fillId="0" borderId="161" xfId="0" applyFont="1" applyBorder="1" applyAlignment="1">
      <alignment horizontal="center" vertical="center"/>
    </xf>
    <xf numFmtId="0" fontId="48" fillId="4" borderId="58" xfId="0" applyFont="1" applyFill="1" applyBorder="1" applyAlignment="1">
      <alignment horizontal="centerContinuous" vertical="center"/>
    </xf>
    <xf numFmtId="0" fontId="56" fillId="0" borderId="162" xfId="0" applyFont="1" applyBorder="1" applyAlignment="1">
      <alignment horizontal="centerContinuous"/>
    </xf>
    <xf numFmtId="0" fontId="56" fillId="0" borderId="153" xfId="0" applyFont="1" applyBorder="1" applyAlignment="1">
      <alignment horizontal="centerContinuous"/>
    </xf>
    <xf numFmtId="0" fontId="56" fillId="0" borderId="163" xfId="0" applyFont="1" applyBorder="1" applyAlignment="1">
      <alignment horizontal="centerContinuous"/>
    </xf>
    <xf numFmtId="0" fontId="56" fillId="0" borderId="155" xfId="0" applyFont="1" applyBorder="1" applyAlignment="1">
      <alignment horizontal="centerContinuous"/>
    </xf>
    <xf numFmtId="168" fontId="57" fillId="4" borderId="29" xfId="0" applyNumberFormat="1" applyFont="1" applyFill="1" applyBorder="1" applyAlignment="1">
      <alignment horizontal="centerContinuous" vertical="center"/>
    </xf>
    <xf numFmtId="168" fontId="57" fillId="4" borderId="164" xfId="0" applyNumberFormat="1" applyFont="1" applyFill="1" applyBorder="1" applyAlignment="1">
      <alignment horizontal="centerContinuous" vertical="center"/>
    </xf>
    <xf numFmtId="4" fontId="56" fillId="0" borderId="70" xfId="0" applyNumberFormat="1" applyFont="1" applyBorder="1" applyAlignment="1">
      <alignment horizontal="center" vertical="center"/>
    </xf>
    <xf numFmtId="170" fontId="56" fillId="0" borderId="9" xfId="0" applyNumberFormat="1" applyFont="1" applyBorder="1" applyAlignment="1">
      <alignment horizontal="center" vertical="center"/>
    </xf>
    <xf numFmtId="170" fontId="56" fillId="0" borderId="15" xfId="0" applyNumberFormat="1" applyFont="1" applyBorder="1" applyAlignment="1">
      <alignment horizontal="center" vertical="center"/>
    </xf>
    <xf numFmtId="170" fontId="56" fillId="0" borderId="11" xfId="0" applyNumberFormat="1" applyFont="1" applyBorder="1" applyAlignment="1">
      <alignment horizontal="center" vertical="center"/>
    </xf>
    <xf numFmtId="184" fontId="31" fillId="0" borderId="0" xfId="0" applyNumberFormat="1" applyFont="1"/>
    <xf numFmtId="170" fontId="56" fillId="0" borderId="160" xfId="0" applyNumberFormat="1" applyFont="1" applyBorder="1" applyAlignment="1">
      <alignment horizontal="center" vertical="center"/>
    </xf>
    <xf numFmtId="170" fontId="56" fillId="0" borderId="68" xfId="0" applyNumberFormat="1" applyFont="1" applyBorder="1" applyAlignment="1">
      <alignment horizontal="center" vertical="center"/>
    </xf>
    <xf numFmtId="170" fontId="56" fillId="0" borderId="86" xfId="0" applyNumberFormat="1" applyFont="1" applyBorder="1" applyAlignment="1">
      <alignment horizontal="center" vertical="center"/>
    </xf>
    <xf numFmtId="170" fontId="56" fillId="0" borderId="70" xfId="0" applyNumberFormat="1" applyFont="1" applyBorder="1" applyAlignment="1">
      <alignment horizontal="center" vertical="center"/>
    </xf>
    <xf numFmtId="170" fontId="56" fillId="0" borderId="71" xfId="0" applyNumberFormat="1" applyFont="1" applyBorder="1" applyAlignment="1">
      <alignment horizontal="center" vertical="center"/>
    </xf>
    <xf numFmtId="4" fontId="64" fillId="0" borderId="9" xfId="4" applyNumberFormat="1" applyBorder="1" applyAlignment="1">
      <alignment horizontal="center" vertical="center"/>
    </xf>
    <xf numFmtId="4" fontId="56" fillId="0" borderId="0" xfId="0" applyNumberFormat="1" applyFont="1"/>
    <xf numFmtId="3" fontId="56" fillId="0" borderId="0" xfId="0" applyNumberFormat="1" applyFont="1"/>
    <xf numFmtId="0" fontId="56" fillId="0" borderId="31" xfId="0" applyFont="1" applyBorder="1" applyAlignment="1">
      <alignment horizontal="centerContinuous"/>
    </xf>
    <xf numFmtId="0" fontId="56" fillId="0" borderId="165" xfId="0" applyFont="1" applyBorder="1" applyAlignment="1">
      <alignment horizontal="centerContinuous"/>
    </xf>
    <xf numFmtId="0" fontId="56" fillId="0" borderId="35" xfId="0" applyFont="1" applyBorder="1" applyAlignment="1">
      <alignment horizontal="centerContinuous"/>
    </xf>
    <xf numFmtId="0" fontId="56" fillId="0" borderId="166" xfId="0" applyFont="1" applyBorder="1" applyAlignment="1">
      <alignment horizontal="centerContinuous"/>
    </xf>
    <xf numFmtId="3" fontId="56" fillId="0" borderId="23" xfId="0" applyNumberFormat="1" applyFont="1" applyBorder="1"/>
    <xf numFmtId="3" fontId="56" fillId="0" borderId="56" xfId="0" applyNumberFormat="1" applyFont="1" applyBorder="1"/>
    <xf numFmtId="3" fontId="56" fillId="0" borderId="24" xfId="0" applyNumberFormat="1" applyFont="1" applyBorder="1"/>
    <xf numFmtId="3" fontId="56" fillId="0" borderId="40" xfId="0" applyNumberFormat="1" applyFont="1" applyBorder="1"/>
    <xf numFmtId="3" fontId="56" fillId="0" borderId="0" xfId="0" applyNumberFormat="1" applyFont="1" applyBorder="1"/>
    <xf numFmtId="3" fontId="56" fillId="0" borderId="41" xfId="0" applyNumberFormat="1" applyFont="1" applyBorder="1"/>
    <xf numFmtId="3" fontId="56" fillId="0" borderId="42" xfId="0" applyNumberFormat="1" applyFont="1" applyBorder="1"/>
    <xf numFmtId="3" fontId="56" fillId="0" borderId="129" xfId="0" applyNumberFormat="1" applyFont="1" applyBorder="1"/>
    <xf numFmtId="3" fontId="56" fillId="0" borderId="43" xfId="0" applyNumberFormat="1" applyFont="1" applyBorder="1"/>
    <xf numFmtId="3" fontId="56" fillId="0" borderId="44" xfId="0" applyNumberFormat="1" applyFont="1" applyBorder="1"/>
    <xf numFmtId="3" fontId="56" fillId="0" borderId="82" xfId="0" applyNumberFormat="1" applyFont="1" applyBorder="1"/>
    <xf numFmtId="3" fontId="56" fillId="0" borderId="45" xfId="0" applyNumberFormat="1" applyFont="1" applyBorder="1"/>
    <xf numFmtId="4" fontId="56" fillId="9" borderId="44" xfId="0" applyNumberFormat="1" applyFont="1" applyFill="1" applyBorder="1" applyAlignment="1">
      <alignment horizontal="center" vertical="center"/>
    </xf>
    <xf numFmtId="4" fontId="56" fillId="9" borderId="45" xfId="0" applyNumberFormat="1" applyFont="1" applyFill="1" applyBorder="1" applyAlignment="1">
      <alignment horizontal="center" vertical="center"/>
    </xf>
    <xf numFmtId="0" fontId="56" fillId="0" borderId="44" xfId="0" applyFont="1" applyBorder="1"/>
    <xf numFmtId="0" fontId="56" fillId="0" borderId="82" xfId="0" applyFont="1" applyBorder="1"/>
    <xf numFmtId="0" fontId="56" fillId="0" borderId="45" xfId="0" applyFont="1" applyBorder="1"/>
    <xf numFmtId="0" fontId="56" fillId="0" borderId="56" xfId="0" applyFont="1" applyBorder="1"/>
    <xf numFmtId="0" fontId="56" fillId="0" borderId="24" xfId="0" applyFont="1" applyBorder="1"/>
    <xf numFmtId="0" fontId="56" fillId="0" borderId="0" xfId="0" applyFont="1" applyBorder="1"/>
    <xf numFmtId="0" fontId="56" fillId="0" borderId="41" xfId="0" applyFont="1" applyBorder="1"/>
    <xf numFmtId="0" fontId="56" fillId="0" borderId="129" xfId="0" applyFont="1" applyBorder="1"/>
    <xf numFmtId="0" fontId="56" fillId="0" borderId="43" xfId="0" applyFont="1" applyBorder="1"/>
    <xf numFmtId="0" fontId="56" fillId="0" borderId="23" xfId="0" applyFont="1" applyBorder="1"/>
    <xf numFmtId="0" fontId="56" fillId="0" borderId="40" xfId="0" applyFont="1" applyBorder="1"/>
    <xf numFmtId="0" fontId="56" fillId="0" borderId="42" xfId="0" applyFont="1" applyBorder="1"/>
    <xf numFmtId="4" fontId="57" fillId="4" borderId="20" xfId="0" applyNumberFormat="1" applyFont="1" applyFill="1" applyBorder="1" applyAlignment="1">
      <alignment horizontal="center" vertical="center"/>
    </xf>
    <xf numFmtId="4" fontId="57" fillId="4" borderId="21" xfId="0" applyNumberFormat="1" applyFont="1" applyFill="1" applyBorder="1" applyAlignment="1">
      <alignment horizontal="center" vertical="center"/>
    </xf>
    <xf numFmtId="4" fontId="55" fillId="5" borderId="16" xfId="0" applyNumberFormat="1" applyFont="1" applyFill="1" applyBorder="1" applyAlignment="1">
      <alignment horizontal="center" vertical="center"/>
    </xf>
    <xf numFmtId="4" fontId="55" fillId="5" borderId="12" xfId="0" applyNumberFormat="1" applyFont="1" applyFill="1" applyBorder="1" applyAlignment="1">
      <alignment horizontal="center" vertical="center"/>
    </xf>
    <xf numFmtId="171" fontId="55" fillId="5" borderId="15" xfId="0" applyNumberFormat="1" applyFont="1" applyFill="1" applyBorder="1" applyAlignment="1">
      <alignment horizontal="right" vertical="center"/>
    </xf>
    <xf numFmtId="171" fontId="55" fillId="5" borderId="17" xfId="0" applyNumberFormat="1" applyFont="1" applyFill="1" applyBorder="1" applyAlignment="1">
      <alignment horizontal="right" vertical="center"/>
    </xf>
    <xf numFmtId="172" fontId="55" fillId="5" borderId="15" xfId="0" applyNumberFormat="1" applyFont="1" applyFill="1" applyBorder="1" applyAlignment="1">
      <alignment horizontal="right" vertical="center"/>
    </xf>
    <xf numFmtId="172" fontId="55" fillId="5" borderId="17" xfId="0" applyNumberFormat="1" applyFont="1" applyFill="1" applyBorder="1" applyAlignment="1">
      <alignment horizontal="right" vertical="center"/>
    </xf>
    <xf numFmtId="173" fontId="55" fillId="5" borderId="15" xfId="0" applyNumberFormat="1" applyFont="1" applyFill="1" applyBorder="1" applyAlignment="1">
      <alignment horizontal="right" vertical="center"/>
    </xf>
    <xf numFmtId="173" fontId="55" fillId="5" borderId="17" xfId="0" applyNumberFormat="1" applyFont="1" applyFill="1" applyBorder="1" applyAlignment="1">
      <alignment horizontal="right" vertical="center"/>
    </xf>
    <xf numFmtId="174" fontId="55" fillId="5" borderId="15" xfId="0" applyNumberFormat="1" applyFont="1" applyFill="1" applyBorder="1" applyAlignment="1">
      <alignment horizontal="right" vertical="center"/>
    </xf>
    <xf numFmtId="174" fontId="55" fillId="5" borderId="17" xfId="0" applyNumberFormat="1" applyFont="1" applyFill="1" applyBorder="1" applyAlignment="1">
      <alignment horizontal="right" vertical="center"/>
    </xf>
    <xf numFmtId="10" fontId="55" fillId="5" borderId="15" xfId="0" applyNumberFormat="1" applyFont="1" applyFill="1" applyBorder="1" applyAlignment="1">
      <alignment horizontal="right" vertical="center"/>
    </xf>
    <xf numFmtId="10" fontId="55" fillId="5" borderId="10" xfId="0" applyNumberFormat="1" applyFont="1" applyFill="1" applyBorder="1" applyAlignment="1">
      <alignment horizontal="right" vertical="center"/>
    </xf>
    <xf numFmtId="168" fontId="55" fillId="5" borderId="13" xfId="0" applyNumberFormat="1" applyFont="1" applyFill="1" applyBorder="1" applyAlignment="1">
      <alignment horizontal="right" vertical="center"/>
    </xf>
    <xf numFmtId="168" fontId="55" fillId="5" borderId="17" xfId="0" applyNumberFormat="1" applyFont="1" applyFill="1" applyBorder="1" applyAlignment="1">
      <alignment horizontal="right" vertical="center"/>
    </xf>
    <xf numFmtId="4" fontId="57" fillId="4" borderId="72" xfId="0" applyNumberFormat="1" applyFont="1" applyFill="1" applyBorder="1" applyAlignment="1">
      <alignment horizontal="center" vertical="center"/>
    </xf>
    <xf numFmtId="4" fontId="57" fillId="4" borderId="73" xfId="0" applyNumberFormat="1" applyFont="1" applyFill="1" applyBorder="1" applyAlignment="1">
      <alignment horizontal="center" vertical="center"/>
    </xf>
    <xf numFmtId="4" fontId="55" fillId="5" borderId="55" xfId="0" applyNumberFormat="1" applyFont="1" applyFill="1" applyBorder="1" applyAlignment="1">
      <alignment horizontal="center" vertical="center"/>
    </xf>
    <xf numFmtId="4" fontId="55" fillId="5" borderId="75" xfId="0" applyNumberFormat="1" applyFont="1" applyFill="1" applyBorder="1" applyAlignment="1">
      <alignment horizontal="center" vertical="center"/>
    </xf>
    <xf numFmtId="4" fontId="55" fillId="5" borderId="76" xfId="0" applyNumberFormat="1" applyFont="1" applyFill="1" applyBorder="1" applyAlignment="1">
      <alignment horizontal="center" vertical="center"/>
    </xf>
    <xf numFmtId="4" fontId="55" fillId="5" borderId="77" xfId="0" applyNumberFormat="1" applyFont="1" applyFill="1" applyBorder="1" applyAlignment="1">
      <alignment horizontal="center" vertical="center"/>
    </xf>
    <xf numFmtId="4" fontId="55" fillId="5" borderId="78" xfId="0" applyNumberFormat="1" applyFont="1" applyFill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80" fontId="37" fillId="0" borderId="65" xfId="0" applyNumberFormat="1" applyFont="1" applyBorder="1" applyAlignment="1">
      <alignment horizontal="right" vertical="center"/>
    </xf>
    <xf numFmtId="180" fontId="37" fillId="0" borderId="16" xfId="0" applyNumberFormat="1" applyFont="1" applyBorder="1" applyAlignment="1">
      <alignment horizontal="right" vertical="center"/>
    </xf>
    <xf numFmtId="180" fontId="37" fillId="0" borderId="7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10" fontId="36" fillId="0" borderId="0" xfId="0" applyNumberFormat="1" applyFont="1" applyBorder="1" applyAlignment="1">
      <alignment horizontal="right" vertical="center"/>
    </xf>
    <xf numFmtId="4" fontId="36" fillId="0" borderId="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4" fontId="28" fillId="0" borderId="9" xfId="0" applyNumberFormat="1" applyFont="1" applyBorder="1" applyAlignment="1">
      <alignment horizontal="center" vertical="center"/>
    </xf>
    <xf numFmtId="180" fontId="37" fillId="0" borderId="15" xfId="0" applyNumberFormat="1" applyFont="1" applyBorder="1" applyAlignment="1">
      <alignment horizontal="right" vertical="center"/>
    </xf>
    <xf numFmtId="180" fontId="37" fillId="0" borderId="17" xfId="0" applyNumberFormat="1" applyFont="1" applyBorder="1" applyAlignment="1">
      <alignment horizontal="right" vertical="center"/>
    </xf>
    <xf numFmtId="10" fontId="56" fillId="0" borderId="55" xfId="0" applyNumberFormat="1" applyFont="1" applyBorder="1" applyAlignment="1">
      <alignment horizontal="right" vertical="center"/>
    </xf>
    <xf numFmtId="4" fontId="56" fillId="9" borderId="167" xfId="0" applyNumberFormat="1" applyFont="1" applyFill="1" applyBorder="1" applyAlignment="1">
      <alignment horizontal="center" vertical="center"/>
    </xf>
    <xf numFmtId="168" fontId="56" fillId="0" borderId="64" xfId="0" applyNumberFormat="1" applyFont="1" applyBorder="1" applyAlignment="1">
      <alignment horizontal="right" vertical="center"/>
    </xf>
    <xf numFmtId="4" fontId="56" fillId="9" borderId="168" xfId="0" applyNumberFormat="1" applyFont="1" applyFill="1" applyBorder="1" applyAlignment="1">
      <alignment horizontal="center" vertical="center"/>
    </xf>
    <xf numFmtId="168" fontId="56" fillId="0" borderId="67" xfId="0" applyNumberFormat="1" applyFont="1" applyBorder="1" applyAlignment="1">
      <alignment horizontal="right" vertical="center"/>
    </xf>
    <xf numFmtId="4" fontId="56" fillId="0" borderId="169" xfId="0" applyNumberFormat="1" applyFont="1" applyBorder="1" applyAlignment="1">
      <alignment horizontal="center" vertical="center"/>
    </xf>
    <xf numFmtId="4" fontId="56" fillId="0" borderId="68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right" vertical="center"/>
    </xf>
    <xf numFmtId="10" fontId="56" fillId="0" borderId="70" xfId="0" applyNumberFormat="1" applyFont="1" applyBorder="1" applyAlignment="1">
      <alignment horizontal="right" vertical="center"/>
    </xf>
    <xf numFmtId="175" fontId="37" fillId="0" borderId="16" xfId="0" applyNumberFormat="1" applyFont="1" applyBorder="1" applyAlignment="1">
      <alignment horizontal="center" vertical="center"/>
    </xf>
    <xf numFmtId="175" fontId="37" fillId="0" borderId="17" xfId="0" applyNumberFormat="1" applyFont="1" applyBorder="1" applyAlignment="1">
      <alignment horizontal="center" vertical="center"/>
    </xf>
    <xf numFmtId="175" fontId="37" fillId="0" borderId="15" xfId="0" applyNumberFormat="1" applyFont="1" applyBorder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right"/>
    </xf>
    <xf numFmtId="170" fontId="55" fillId="5" borderId="15" xfId="0" applyNumberFormat="1" applyFont="1" applyFill="1" applyBorder="1" applyAlignment="1">
      <alignment horizontal="center" vertical="center"/>
    </xf>
    <xf numFmtId="170" fontId="55" fillId="5" borderId="17" xfId="0" applyNumberFormat="1" applyFont="1" applyFill="1" applyBorder="1" applyAlignment="1">
      <alignment horizontal="centerContinuous" vertical="center"/>
    </xf>
    <xf numFmtId="175" fontId="34" fillId="0" borderId="15" xfId="0" applyNumberFormat="1" applyFont="1" applyBorder="1" applyAlignment="1">
      <alignment horizontal="center" vertical="center"/>
    </xf>
    <xf numFmtId="175" fontId="34" fillId="0" borderId="16" xfId="0" applyNumberFormat="1" applyFont="1" applyBorder="1" applyAlignment="1">
      <alignment horizontal="center" vertical="center"/>
    </xf>
    <xf numFmtId="4" fontId="37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55" fillId="5" borderId="11" xfId="0" applyNumberFormat="1" applyFont="1" applyFill="1" applyBorder="1" applyAlignment="1">
      <alignment horizontal="centerContinuous" vertical="center"/>
    </xf>
    <xf numFmtId="170" fontId="55" fillId="5" borderId="16" xfId="0" applyNumberFormat="1" applyFont="1" applyFill="1" applyBorder="1" applyAlignment="1">
      <alignment horizontal="centerContinuous" vertical="center"/>
    </xf>
    <xf numFmtId="4" fontId="54" fillId="5" borderId="11" xfId="0" applyNumberFormat="1" applyFont="1" applyFill="1" applyBorder="1" applyAlignment="1">
      <alignment horizontal="center" vertical="center"/>
    </xf>
    <xf numFmtId="170" fontId="55" fillId="5" borderId="16" xfId="0" applyNumberFormat="1" applyFont="1" applyFill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0" fontId="48" fillId="4" borderId="21" xfId="9" applyFont="1" applyFill="1" applyBorder="1" applyAlignment="1" applyProtection="1">
      <alignment horizontal="center" vertical="center"/>
      <protection hidden="1"/>
    </xf>
    <xf numFmtId="168" fontId="27" fillId="0" borderId="9" xfId="9" applyNumberFormat="1" applyFont="1" applyBorder="1" applyAlignment="1" applyProtection="1">
      <alignment horizontal="right" vertical="center"/>
      <protection hidden="1"/>
    </xf>
    <xf numFmtId="168" fontId="27" fillId="0" borderId="11" xfId="9" applyNumberFormat="1" applyFont="1" applyBorder="1" applyAlignment="1" applyProtection="1">
      <alignment horizontal="right" vertical="center"/>
      <protection hidden="1"/>
    </xf>
    <xf numFmtId="168" fontId="27" fillId="0" borderId="13" xfId="9" applyNumberFormat="1" applyFont="1" applyBorder="1" applyAlignment="1" applyProtection="1">
      <alignment horizontal="right" vertical="center"/>
      <protection hidden="1"/>
    </xf>
    <xf numFmtId="0" fontId="48" fillId="4" borderId="4" xfId="9" applyFont="1" applyFill="1" applyBorder="1" applyAlignment="1" applyProtection="1">
      <alignment horizontal="center" vertical="center"/>
      <protection hidden="1"/>
    </xf>
    <xf numFmtId="0" fontId="48" fillId="4" borderId="5" xfId="0" applyFont="1" applyFill="1" applyBorder="1" applyAlignment="1">
      <alignment horizontal="center" vertical="center"/>
    </xf>
    <xf numFmtId="0" fontId="57" fillId="3" borderId="164" xfId="0" applyFont="1" applyFill="1" applyBorder="1" applyAlignment="1">
      <alignment horizontal="centerContinuous" vertical="center"/>
    </xf>
    <xf numFmtId="0" fontId="57" fillId="3" borderId="90" xfId="0" applyFont="1" applyFill="1" applyBorder="1" applyAlignment="1">
      <alignment horizontal="centerContinuous" vertical="center"/>
    </xf>
    <xf numFmtId="169" fontId="27" fillId="0" borderId="15" xfId="37" applyNumberFormat="1" applyFont="1" applyBorder="1" applyAlignment="1" applyProtection="1">
      <alignment horizontal="center" vertical="center"/>
      <protection hidden="1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37" applyNumberFormat="1" applyFont="1" applyBorder="1" applyAlignment="1" applyProtection="1">
      <alignment horizontal="center" vertical="center"/>
      <protection hidden="1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37" applyNumberFormat="1" applyFont="1" applyBorder="1" applyAlignment="1" applyProtection="1">
      <alignment horizontal="center" vertical="center"/>
      <protection hidden="1"/>
    </xf>
    <xf numFmtId="169" fontId="27" fillId="0" borderId="17" xfId="0" applyNumberFormat="1" applyFont="1" applyBorder="1" applyAlignment="1">
      <alignment horizontal="center" vertical="center"/>
    </xf>
    <xf numFmtId="0" fontId="48" fillId="4" borderId="175" xfId="0" applyFont="1" applyFill="1" applyBorder="1" applyAlignment="1">
      <alignment horizontal="center" vertical="center"/>
    </xf>
    <xf numFmtId="0" fontId="48" fillId="4" borderId="176" xfId="0" applyFont="1" applyFill="1" applyBorder="1" applyAlignment="1">
      <alignment horizontal="center" vertical="center"/>
    </xf>
    <xf numFmtId="0" fontId="48" fillId="4" borderId="177" xfId="0" applyFont="1" applyFill="1" applyBorder="1" applyAlignment="1">
      <alignment horizontal="center" vertical="center"/>
    </xf>
    <xf numFmtId="168" fontId="34" fillId="0" borderId="159" xfId="0" applyNumberFormat="1" applyFont="1" applyBorder="1" applyAlignment="1">
      <alignment horizontal="right" vertical="center"/>
    </xf>
    <xf numFmtId="4" fontId="34" fillId="0" borderId="160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168" fontId="34" fillId="0" borderId="69" xfId="0" applyNumberFormat="1" applyFont="1" applyBorder="1" applyAlignment="1">
      <alignment horizontal="right" vertical="center"/>
    </xf>
    <xf numFmtId="175" fontId="3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7" fillId="0" borderId="64" xfId="9" applyNumberFormat="1" applyFont="1" applyBorder="1" applyAlignment="1" applyProtection="1">
      <alignment horizontal="right" vertical="center"/>
      <protection hidden="1"/>
    </xf>
    <xf numFmtId="169" fontId="27" fillId="0" borderId="65" xfId="0" applyNumberFormat="1" applyFont="1" applyBorder="1" applyAlignment="1">
      <alignment horizontal="center" vertical="center"/>
    </xf>
    <xf numFmtId="169" fontId="27" fillId="0" borderId="66" xfId="0" applyNumberFormat="1" applyFont="1" applyBorder="1" applyAlignment="1">
      <alignment horizontal="center" vertical="center"/>
    </xf>
    <xf numFmtId="168" fontId="27" fillId="0" borderId="67" xfId="9" applyNumberFormat="1" applyFont="1" applyBorder="1" applyAlignment="1" applyProtection="1">
      <alignment horizontal="right" vertical="center"/>
      <protection hidden="1"/>
    </xf>
    <xf numFmtId="169" fontId="27" fillId="0" borderId="68" xfId="0" applyNumberFormat="1" applyFont="1" applyBorder="1" applyAlignment="1">
      <alignment horizontal="center" vertical="center"/>
    </xf>
    <xf numFmtId="168" fontId="27" fillId="0" borderId="69" xfId="9" applyNumberFormat="1" applyFont="1" applyBorder="1" applyAlignment="1" applyProtection="1">
      <alignment horizontal="right" vertical="center"/>
      <protection hidden="1"/>
    </xf>
    <xf numFmtId="169" fontId="27" fillId="0" borderId="70" xfId="0" applyNumberFormat="1" applyFont="1" applyBorder="1" applyAlignment="1">
      <alignment horizontal="center" vertical="center"/>
    </xf>
    <xf numFmtId="169" fontId="2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7" fillId="0" borderId="2" xfId="0" applyNumberFormat="1" applyFont="1" applyBorder="1" applyAlignment="1">
      <alignment horizontal="center" vertical="center"/>
    </xf>
    <xf numFmtId="0" fontId="114" fillId="0" borderId="23" xfId="6" applyFont="1" applyBorder="1" applyAlignment="1">
      <alignment horizontal="centerContinuous" vertical="center"/>
    </xf>
    <xf numFmtId="0" fontId="114" fillId="0" borderId="24" xfId="6" applyFont="1" applyBorder="1" applyAlignment="1">
      <alignment horizontal="centerContinuous" vertical="center"/>
    </xf>
    <xf numFmtId="0" fontId="114" fillId="0" borderId="42" xfId="6" applyFont="1" applyBorder="1" applyAlignment="1">
      <alignment horizontal="centerContinuous" vertical="center"/>
    </xf>
    <xf numFmtId="0" fontId="116" fillId="0" borderId="0" xfId="6" applyFont="1" applyAlignment="1">
      <alignment horizontal="center" wrapText="1"/>
    </xf>
    <xf numFmtId="43" fontId="115" fillId="40" borderId="58" xfId="7" applyFont="1" applyFill="1" applyBorder="1" applyProtection="1">
      <protection hidden="1"/>
    </xf>
    <xf numFmtId="43" fontId="115" fillId="40" borderId="46" xfId="7" applyFont="1" applyFill="1" applyBorder="1" applyProtection="1">
      <protection hidden="1"/>
    </xf>
    <xf numFmtId="0" fontId="117" fillId="0" borderId="40" xfId="6" applyFont="1" applyBorder="1" applyAlignment="1">
      <alignment wrapText="1"/>
    </xf>
    <xf numFmtId="0" fontId="117" fillId="0" borderId="0" xfId="6" applyFont="1" applyAlignment="1">
      <alignment wrapText="1"/>
    </xf>
    <xf numFmtId="15" fontId="118" fillId="0" borderId="0" xfId="6" applyNumberFormat="1" applyFont="1" applyProtection="1">
      <protection hidden="1"/>
    </xf>
    <xf numFmtId="43" fontId="118" fillId="0" borderId="0" xfId="62" applyFont="1" applyBorder="1" applyProtection="1">
      <protection hidden="1"/>
    </xf>
    <xf numFmtId="0" fontId="117" fillId="41" borderId="0" xfId="6" applyFont="1" applyFill="1" applyAlignment="1">
      <alignment wrapText="1"/>
    </xf>
    <xf numFmtId="0" fontId="117" fillId="41" borderId="41" xfId="6" applyFont="1" applyFill="1" applyBorder="1" applyAlignment="1">
      <alignment wrapText="1"/>
    </xf>
    <xf numFmtId="43" fontId="115" fillId="40" borderId="47" xfId="7" applyFont="1" applyFill="1" applyBorder="1" applyProtection="1">
      <protection hidden="1"/>
    </xf>
    <xf numFmtId="0" fontId="117" fillId="0" borderId="41" xfId="6" applyFont="1" applyBorder="1" applyAlignment="1">
      <alignment wrapText="1"/>
    </xf>
    <xf numFmtId="0" fontId="117" fillId="0" borderId="40" xfId="6" applyFont="1" applyBorder="1"/>
    <xf numFmtId="0" fontId="117" fillId="0" borderId="0" xfId="6" applyFont="1"/>
    <xf numFmtId="0" fontId="117" fillId="0" borderId="41" xfId="6" applyFont="1" applyBorder="1"/>
    <xf numFmtId="43" fontId="115" fillId="40" borderId="48" xfId="7" applyFont="1" applyFill="1" applyBorder="1" applyProtection="1">
      <protection hidden="1"/>
    </xf>
    <xf numFmtId="0" fontId="117" fillId="0" borderId="42" xfId="6" applyFont="1" applyBorder="1"/>
    <xf numFmtId="0" fontId="117" fillId="0" borderId="129" xfId="6" applyFont="1" applyBorder="1"/>
    <xf numFmtId="15" fontId="118" fillId="0" borderId="129" xfId="6" applyNumberFormat="1" applyFont="1" applyBorder="1" applyProtection="1">
      <protection hidden="1"/>
    </xf>
    <xf numFmtId="43" fontId="118" fillId="0" borderId="129" xfId="62" applyFont="1" applyBorder="1" applyProtection="1">
      <protection hidden="1"/>
    </xf>
    <xf numFmtId="0" fontId="11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4" fillId="0" borderId="64" xfId="0" applyNumberFormat="1" applyFont="1" applyBorder="1" applyAlignment="1">
      <alignment horizontal="right" vertical="center"/>
    </xf>
    <xf numFmtId="175" fontId="34" fillId="0" borderId="65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68" fontId="37" fillId="0" borderId="159" xfId="0" applyNumberFormat="1" applyFont="1" applyBorder="1" applyAlignment="1">
      <alignment horizontal="right" vertical="center"/>
    </xf>
    <xf numFmtId="4" fontId="37" fillId="0" borderId="160" xfId="0" applyNumberFormat="1" applyFont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75" fontId="37" fillId="0" borderId="70" xfId="0" applyNumberFormat="1" applyFont="1" applyBorder="1" applyAlignment="1">
      <alignment horizontal="center" vertical="center"/>
    </xf>
    <xf numFmtId="0" fontId="57" fillId="3" borderId="23" xfId="2" applyFont="1" applyFill="1" applyBorder="1" applyAlignment="1">
      <alignment horizontal="centerContinuous" vertical="center"/>
    </xf>
    <xf numFmtId="0" fontId="57" fillId="3" borderId="56" xfId="2" applyFont="1" applyFill="1" applyBorder="1" applyAlignment="1">
      <alignment horizontal="centerContinuous" vertical="center"/>
    </xf>
    <xf numFmtId="0" fontId="57" fillId="3" borderId="24" xfId="2" applyFont="1" applyFill="1" applyBorder="1" applyAlignment="1">
      <alignment horizontal="centerContinuous" vertical="center"/>
    </xf>
    <xf numFmtId="0" fontId="49" fillId="2" borderId="23" xfId="0" applyFont="1" applyFill="1" applyBorder="1" applyAlignment="1">
      <alignment horizontal="centerContinuous" vertical="center"/>
    </xf>
    <xf numFmtId="0" fontId="49" fillId="2" borderId="56" xfId="0" applyFont="1" applyFill="1" applyBorder="1" applyAlignment="1">
      <alignment horizontal="centerContinuous" vertical="center"/>
    </xf>
    <xf numFmtId="0" fontId="4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8" fillId="3" borderId="183" xfId="0" applyFont="1" applyFill="1" applyBorder="1" applyAlignment="1">
      <alignment horizontal="centerContinuous" vertical="center"/>
    </xf>
    <xf numFmtId="0" fontId="48" fillId="4" borderId="61" xfId="0" applyFont="1" applyFill="1" applyBorder="1" applyAlignment="1">
      <alignment horizontal="center" vertical="center"/>
    </xf>
    <xf numFmtId="0" fontId="48" fillId="4" borderId="62" xfId="0" applyFont="1" applyFill="1" applyBorder="1" applyAlignment="1">
      <alignment horizontal="center" vertical="center"/>
    </xf>
    <xf numFmtId="0" fontId="48" fillId="4" borderId="137" xfId="0" applyFont="1" applyFill="1" applyBorder="1" applyAlignment="1">
      <alignment horizontal="center" vertical="center"/>
    </xf>
    <xf numFmtId="0" fontId="4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8" fillId="0" borderId="0" xfId="0" applyNumberFormat="1" applyFont="1" applyAlignment="1">
      <alignment horizontal="left"/>
    </xf>
    <xf numFmtId="0" fontId="91" fillId="0" borderId="0" xfId="0" applyFont="1"/>
    <xf numFmtId="0" fontId="119" fillId="7" borderId="23" xfId="0" applyFont="1" applyFill="1" applyBorder="1" applyAlignment="1">
      <alignment horizontal="centerContinuous"/>
    </xf>
    <xf numFmtId="0" fontId="119" fillId="7" borderId="56" xfId="0" applyFont="1" applyFill="1" applyBorder="1" applyAlignment="1">
      <alignment horizontal="centerContinuous"/>
    </xf>
    <xf numFmtId="0" fontId="119" fillId="7" borderId="42" xfId="0" applyFont="1" applyFill="1" applyBorder="1" applyAlignment="1">
      <alignment horizontal="centerContinuous"/>
    </xf>
    <xf numFmtId="0" fontId="119" fillId="7" borderId="129" xfId="0" applyFont="1" applyFill="1" applyBorder="1" applyAlignment="1">
      <alignment horizontal="centerContinuous"/>
    </xf>
    <xf numFmtId="0" fontId="56" fillId="0" borderId="24" xfId="0" applyFont="1" applyBorder="1" applyAlignment="1">
      <alignment horizontal="center"/>
    </xf>
    <xf numFmtId="0" fontId="56" fillId="0" borderId="43" xfId="0" applyFont="1" applyBorder="1" applyAlignment="1">
      <alignment horizontal="center"/>
    </xf>
    <xf numFmtId="10" fontId="0" fillId="0" borderId="0" xfId="0" applyNumberFormat="1"/>
    <xf numFmtId="0" fontId="120" fillId="0" borderId="0" xfId="0" applyFont="1" applyAlignment="1">
      <alignment wrapText="1"/>
    </xf>
    <xf numFmtId="0" fontId="53" fillId="42" borderId="0" xfId="0" applyFont="1" applyFill="1"/>
    <xf numFmtId="4" fontId="0" fillId="42" borderId="0" xfId="0" applyNumberFormat="1" applyFill="1"/>
    <xf numFmtId="168" fontId="56" fillId="0" borderId="15" xfId="0" applyNumberFormat="1" applyFont="1" applyBorder="1" applyAlignment="1">
      <alignment horizontal="right" vertical="center"/>
    </xf>
    <xf numFmtId="168" fontId="56" fillId="0" borderId="16" xfId="0" applyNumberFormat="1" applyFont="1" applyBorder="1" applyAlignment="1">
      <alignment horizontal="right" vertical="center"/>
    </xf>
    <xf numFmtId="168" fontId="56" fillId="0" borderId="17" xfId="0" applyNumberFormat="1" applyFont="1" applyBorder="1" applyAlignment="1">
      <alignment horizontal="right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68" fontId="56" fillId="0" borderId="65" xfId="0" applyNumberFormat="1" applyFont="1" applyBorder="1" applyAlignment="1">
      <alignment horizontal="right" vertical="center"/>
    </xf>
    <xf numFmtId="4" fontId="56" fillId="0" borderId="67" xfId="0" applyNumberFormat="1" applyFont="1" applyBorder="1" applyAlignment="1">
      <alignment horizontal="center" vertical="center"/>
    </xf>
    <xf numFmtId="4" fontId="56" fillId="0" borderId="69" xfId="0" applyNumberFormat="1" applyFont="1" applyBorder="1" applyAlignment="1">
      <alignment horizontal="center" vertical="center"/>
    </xf>
    <xf numFmtId="168" fontId="56" fillId="0" borderId="70" xfId="0" applyNumberFormat="1" applyFont="1" applyBorder="1" applyAlignment="1">
      <alignment horizontal="right" vertical="center"/>
    </xf>
    <xf numFmtId="15" fontId="57" fillId="4" borderId="61" xfId="0" applyNumberFormat="1" applyFont="1" applyFill="1" applyBorder="1" applyAlignment="1">
      <alignment horizontal="center" vertical="center"/>
    </xf>
    <xf numFmtId="0" fontId="57" fillId="4" borderId="62" xfId="0" applyFont="1" applyFill="1" applyBorder="1" applyAlignment="1">
      <alignment horizontal="center" vertical="center"/>
    </xf>
    <xf numFmtId="0" fontId="57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56" fillId="0" borderId="0" xfId="0" applyNumberFormat="1" applyFont="1" applyFill="1" applyBorder="1" applyAlignment="1">
      <alignment horizontal="center" vertical="center"/>
    </xf>
    <xf numFmtId="15" fontId="57" fillId="4" borderId="184" xfId="0" applyNumberFormat="1" applyFont="1" applyFill="1" applyBorder="1" applyAlignment="1">
      <alignment horizontal="center" vertical="center"/>
    </xf>
    <xf numFmtId="0" fontId="57" fillId="4" borderId="185" xfId="0" applyFont="1" applyFill="1" applyBorder="1" applyAlignment="1">
      <alignment horizontal="center" vertical="center"/>
    </xf>
    <xf numFmtId="0" fontId="57" fillId="4" borderId="186" xfId="0" applyFont="1" applyFill="1" applyBorder="1" applyAlignment="1">
      <alignment horizontal="center" vertical="center"/>
    </xf>
    <xf numFmtId="4" fontId="56" fillId="9" borderId="16" xfId="0" applyNumberFormat="1" applyFont="1" applyFill="1" applyBorder="1" applyAlignment="1">
      <alignment horizontal="center" vertical="center"/>
    </xf>
    <xf numFmtId="0" fontId="57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23" fillId="0" borderId="9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69" fontId="56" fillId="0" borderId="66" xfId="0" applyNumberFormat="1" applyFont="1" applyBorder="1" applyAlignment="1">
      <alignment horizontal="center" vertical="center"/>
    </xf>
    <xf numFmtId="169" fontId="56" fillId="0" borderId="68" xfId="0" applyNumberFormat="1" applyFont="1" applyBorder="1" applyAlignment="1">
      <alignment horizontal="center" vertical="center"/>
    </xf>
    <xf numFmtId="169" fontId="56" fillId="0" borderId="71" xfId="0" applyNumberFormat="1" applyFont="1" applyBorder="1" applyAlignment="1">
      <alignment horizontal="center" vertical="center"/>
    </xf>
    <xf numFmtId="169" fontId="56" fillId="0" borderId="14" xfId="0" applyNumberFormat="1" applyFont="1" applyBorder="1" applyAlignment="1">
      <alignment horizontal="center" vertical="center"/>
    </xf>
    <xf numFmtId="4" fontId="56" fillId="43" borderId="67" xfId="0" applyNumberFormat="1" applyFont="1" applyFill="1" applyBorder="1" applyAlignment="1">
      <alignment horizontal="center" vertical="center"/>
    </xf>
    <xf numFmtId="168" fontId="56" fillId="43" borderId="16" xfId="0" applyNumberFormat="1" applyFont="1" applyFill="1" applyBorder="1" applyAlignment="1">
      <alignment horizontal="right" vertical="center"/>
    </xf>
    <xf numFmtId="169" fontId="56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56" fillId="0" borderId="0" xfId="0" applyNumberFormat="1" applyFont="1" applyBorder="1" applyAlignment="1">
      <alignment horizontal="center" vertical="center"/>
    </xf>
    <xf numFmtId="4" fontId="56" fillId="0" borderId="0" xfId="0" applyNumberFormat="1" applyFont="1" applyAlignment="1">
      <alignment horizontal="center"/>
    </xf>
    <xf numFmtId="11" fontId="2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21" fillId="0" borderId="189" xfId="64" applyBorder="1"/>
    <xf numFmtId="168" fontId="37" fillId="0" borderId="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Continuous" vertical="center"/>
    </xf>
    <xf numFmtId="4" fontId="37" fillId="0" borderId="12" xfId="0" applyNumberFormat="1" applyFont="1" applyBorder="1" applyAlignment="1">
      <alignment horizontal="centerContinuous" vertical="center"/>
    </xf>
    <xf numFmtId="0" fontId="48" fillId="4" borderId="30" xfId="0" applyFont="1" applyFill="1" applyBorder="1" applyAlignment="1">
      <alignment horizontal="centerContinuous" vertical="center"/>
    </xf>
    <xf numFmtId="0" fontId="56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/>
    </xf>
    <xf numFmtId="0" fontId="56" fillId="0" borderId="33" xfId="0" applyFont="1" applyBorder="1" applyAlignment="1">
      <alignment horizontal="center"/>
    </xf>
    <xf numFmtId="0" fontId="56" fillId="0" borderId="34" xfId="0" applyFont="1" applyBorder="1" applyAlignment="1">
      <alignment horizontal="center"/>
    </xf>
    <xf numFmtId="0" fontId="56" fillId="0" borderId="35" xfId="0" applyFont="1" applyBorder="1" applyAlignment="1">
      <alignment horizontal="center"/>
    </xf>
    <xf numFmtId="168" fontId="56" fillId="0" borderId="36" xfId="0" applyNumberFormat="1" applyFont="1" applyBorder="1" applyAlignment="1">
      <alignment horizontal="center"/>
    </xf>
    <xf numFmtId="14" fontId="56" fillId="0" borderId="0" xfId="0" applyNumberFormat="1" applyFont="1"/>
    <xf numFmtId="179" fontId="56" fillId="0" borderId="0" xfId="0" applyNumberFormat="1" applyFont="1"/>
    <xf numFmtId="180" fontId="56" fillId="0" borderId="0" xfId="61" applyNumberFormat="1" applyFont="1"/>
    <xf numFmtId="170" fontId="56" fillId="0" borderId="0" xfId="61" applyNumberFormat="1" applyFont="1"/>
    <xf numFmtId="0" fontId="56" fillId="0" borderId="2" xfId="0" applyFont="1" applyBorder="1" applyAlignment="1">
      <alignment horizontal="centerContinuous" vertical="center"/>
    </xf>
    <xf numFmtId="0" fontId="50" fillId="0" borderId="165" xfId="0" applyFont="1" applyBorder="1" applyAlignment="1">
      <alignment horizontal="centerContinuous" vertical="center"/>
    </xf>
    <xf numFmtId="0" fontId="0" fillId="0" borderId="194" xfId="0" applyBorder="1" applyAlignment="1">
      <alignment horizontal="centerContinuous" vertical="center"/>
    </xf>
    <xf numFmtId="0" fontId="50" fillId="44" borderId="165" xfId="0" applyFont="1" applyFill="1" applyBorder="1" applyAlignment="1">
      <alignment horizontal="centerContinuous" vertical="center"/>
    </xf>
    <xf numFmtId="0" fontId="0" fillId="44" borderId="194" xfId="0" applyFill="1" applyBorder="1" applyAlignment="1">
      <alignment horizontal="centerContinuous" vertical="center"/>
    </xf>
    <xf numFmtId="0" fontId="5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6" fillId="0" borderId="70" xfId="0" applyNumberFormat="1" applyFont="1" applyBorder="1" applyAlignment="1">
      <alignment horizontal="centerContinuous" vertical="center"/>
    </xf>
    <xf numFmtId="4" fontId="56" fillId="0" borderId="71" xfId="0" applyNumberFormat="1" applyFont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Continuous" vertical="center"/>
    </xf>
    <xf numFmtId="4" fontId="24" fillId="0" borderId="10" xfId="0" applyNumberFormat="1" applyFont="1" applyBorder="1" applyAlignment="1">
      <alignment horizontal="centerContinuous" vertical="center"/>
    </xf>
    <xf numFmtId="4" fontId="24" fillId="0" borderId="12" xfId="0" applyNumberFormat="1" applyFont="1" applyBorder="1" applyAlignment="1">
      <alignment horizontal="centerContinuous" vertical="center"/>
    </xf>
    <xf numFmtId="168" fontId="56" fillId="0" borderId="0" xfId="0" applyNumberFormat="1" applyFont="1" applyAlignment="1">
      <alignment horizontal="right"/>
    </xf>
    <xf numFmtId="4" fontId="56" fillId="0" borderId="0" xfId="0" applyNumberFormat="1" applyFont="1" applyAlignment="1">
      <alignment horizontal="right"/>
    </xf>
    <xf numFmtId="182" fontId="56" fillId="0" borderId="0" xfId="0" applyNumberFormat="1" applyFont="1"/>
    <xf numFmtId="175" fontId="56" fillId="0" borderId="0" xfId="0" applyNumberFormat="1" applyFont="1"/>
    <xf numFmtId="180" fontId="56" fillId="0" borderId="0" xfId="0" applyNumberFormat="1" applyFont="1" applyAlignment="1">
      <alignment horizontal="right"/>
    </xf>
    <xf numFmtId="182" fontId="56" fillId="0" borderId="0" xfId="0" applyNumberFormat="1" applyFont="1" applyAlignment="1">
      <alignment horizontal="right"/>
    </xf>
    <xf numFmtId="180" fontId="56" fillId="0" borderId="0" xfId="61" applyNumberFormat="1" applyFont="1" applyAlignment="1">
      <alignment horizontal="right"/>
    </xf>
    <xf numFmtId="186" fontId="56" fillId="0" borderId="0" xfId="61" applyNumberFormat="1" applyFont="1" applyAlignment="1">
      <alignment horizontal="right"/>
    </xf>
    <xf numFmtId="182" fontId="56" fillId="43" borderId="0" xfId="0" applyNumberFormat="1" applyFont="1" applyFill="1"/>
    <xf numFmtId="4" fontId="56" fillId="43" borderId="0" xfId="0" applyNumberFormat="1" applyFont="1" applyFill="1" applyAlignment="1">
      <alignment horizontal="right"/>
    </xf>
    <xf numFmtId="187" fontId="56" fillId="43" borderId="0" xfId="0" applyNumberFormat="1" applyFont="1" applyFill="1" applyAlignment="1">
      <alignment horizontal="right"/>
    </xf>
    <xf numFmtId="175" fontId="56" fillId="43" borderId="0" xfId="0" applyNumberFormat="1" applyFont="1" applyFill="1"/>
    <xf numFmtId="185" fontId="56" fillId="0" borderId="0" xfId="0" applyNumberFormat="1" applyFont="1" applyAlignment="1">
      <alignment horizontal="right"/>
    </xf>
    <xf numFmtId="185" fontId="56" fillId="0" borderId="0" xfId="61" applyNumberFormat="1" applyFont="1" applyAlignment="1">
      <alignment horizontal="right"/>
    </xf>
    <xf numFmtId="11" fontId="37" fillId="0" borderId="37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Continuous" vertical="center"/>
    </xf>
    <xf numFmtId="4" fontId="18" fillId="0" borderId="12" xfId="0" applyNumberFormat="1" applyFont="1" applyBorder="1" applyAlignment="1">
      <alignment horizontal="centerContinuous" vertical="center"/>
    </xf>
    <xf numFmtId="168" fontId="18" fillId="0" borderId="190" xfId="0" applyNumberFormat="1" applyFont="1" applyBorder="1" applyAlignment="1">
      <alignment horizontal="centerContinuous" vertical="center"/>
    </xf>
    <xf numFmtId="168" fontId="37" fillId="0" borderId="191" xfId="0" applyNumberFormat="1" applyFont="1" applyBorder="1" applyAlignment="1">
      <alignment horizontal="centerContinuous" vertical="center"/>
    </xf>
    <xf numFmtId="182" fontId="18" fillId="0" borderId="190" xfId="0" applyNumberFormat="1" applyFont="1" applyBorder="1" applyAlignment="1">
      <alignment horizontal="centerContinuous" vertical="center"/>
    </xf>
    <xf numFmtId="0" fontId="48" fillId="4" borderId="164" xfId="0" applyFont="1" applyFill="1" applyBorder="1" applyAlignment="1">
      <alignment horizontal="center" vertical="center"/>
    </xf>
    <xf numFmtId="4" fontId="37" fillId="0" borderId="195" xfId="0" applyNumberFormat="1" applyFont="1" applyBorder="1" applyAlignment="1">
      <alignment horizontal="right" vertical="center"/>
    </xf>
    <xf numFmtId="4" fontId="37" fillId="0" borderId="190" xfId="0" applyNumberFormat="1" applyFont="1" applyBorder="1" applyAlignment="1">
      <alignment horizontal="right" vertical="center"/>
    </xf>
    <xf numFmtId="4" fontId="37" fillId="0" borderId="196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4" fontId="17" fillId="0" borderId="197" xfId="0" applyNumberFormat="1" applyFont="1" applyBorder="1" applyAlignment="1">
      <alignment horizontal="center" vertical="center"/>
    </xf>
    <xf numFmtId="4" fontId="17" fillId="0" borderId="198" xfId="0" applyNumberFormat="1" applyFont="1" applyBorder="1" applyAlignment="1">
      <alignment horizontal="center" vertical="center"/>
    </xf>
    <xf numFmtId="4" fontId="17" fillId="0" borderId="14" xfId="0" applyNumberFormat="1" applyFont="1" applyBorder="1" applyAlignment="1">
      <alignment horizontal="center" vertical="center"/>
    </xf>
    <xf numFmtId="4" fontId="48" fillId="4" borderId="21" xfId="0" applyNumberFormat="1" applyFont="1" applyFill="1" applyBorder="1" applyAlignment="1">
      <alignment horizontal="centerContinuous" vertical="center"/>
    </xf>
    <xf numFmtId="0" fontId="0" fillId="0" borderId="194" xfId="0" applyBorder="1" applyAlignment="1">
      <alignment horizontal="centerContinuous"/>
    </xf>
    <xf numFmtId="4" fontId="3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7" fillId="4" borderId="61" xfId="0" applyFont="1" applyFill="1" applyBorder="1" applyAlignment="1">
      <alignment horizontal="center" vertical="center"/>
    </xf>
    <xf numFmtId="168" fontId="56" fillId="0" borderId="159" xfId="0" applyNumberFormat="1" applyFont="1" applyBorder="1" applyAlignment="1">
      <alignment horizontal="right" vertical="center"/>
    </xf>
    <xf numFmtId="169" fontId="56" fillId="0" borderId="160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Continuous" vertical="center"/>
    </xf>
    <xf numFmtId="4" fontId="16" fillId="0" borderId="67" xfId="0" applyNumberFormat="1" applyFont="1" applyBorder="1" applyAlignment="1">
      <alignment horizontal="center" vertical="center"/>
    </xf>
    <xf numFmtId="4" fontId="16" fillId="0" borderId="69" xfId="0" applyNumberFormat="1" applyFont="1" applyBorder="1" applyAlignment="1">
      <alignment horizontal="center" vertical="center"/>
    </xf>
    <xf numFmtId="169" fontId="27" fillId="0" borderId="65" xfId="37" applyNumberFormat="1" applyFont="1" applyBorder="1" applyAlignment="1" applyProtection="1">
      <alignment horizontal="center" vertical="center"/>
      <protection hidden="1"/>
    </xf>
    <xf numFmtId="169" fontId="27" fillId="0" borderId="70" xfId="37" applyNumberFormat="1" applyFont="1" applyBorder="1" applyAlignment="1" applyProtection="1">
      <alignment horizontal="center" vertical="center"/>
      <protection hidden="1"/>
    </xf>
    <xf numFmtId="4" fontId="15" fillId="0" borderId="11" xfId="0" applyNumberFormat="1" applyFont="1" applyBorder="1" applyAlignment="1">
      <alignment horizontal="center" vertical="center"/>
    </xf>
    <xf numFmtId="0" fontId="5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0" fillId="0" borderId="44" xfId="0" applyFont="1" applyBorder="1" applyAlignment="1">
      <alignment horizontal="centerContinuous"/>
    </xf>
    <xf numFmtId="0" fontId="122" fillId="0" borderId="44" xfId="0" applyFont="1" applyBorder="1" applyAlignment="1">
      <alignment horizontal="centerContinuous" vertical="center"/>
    </xf>
    <xf numFmtId="0" fontId="53" fillId="0" borderId="82" xfId="0" applyFont="1" applyBorder="1" applyAlignment="1">
      <alignment horizontal="centerContinuous"/>
    </xf>
    <xf numFmtId="0" fontId="53" fillId="0" borderId="45" xfId="0" applyFont="1" applyBorder="1" applyAlignment="1">
      <alignment horizontal="centerContinuous" vertical="center"/>
    </xf>
    <xf numFmtId="4" fontId="14" fillId="0" borderId="9" xfId="0" applyNumberFormat="1" applyFont="1" applyBorder="1" applyAlignment="1">
      <alignment horizontal="center" vertical="center"/>
    </xf>
    <xf numFmtId="4" fontId="16" fillId="0" borderId="64" xfId="0" applyNumberFormat="1" applyFont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4" fontId="15" fillId="0" borderId="67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Continuous" vertical="center"/>
    </xf>
    <xf numFmtId="4" fontId="4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4" fillId="0" borderId="67" xfId="0" applyNumberFormat="1" applyFont="1" applyBorder="1" applyAlignment="1">
      <alignment horizontal="center" vertical="center"/>
    </xf>
    <xf numFmtId="4" fontId="15" fillId="0" borderId="205" xfId="0" applyNumberFormat="1" applyFont="1" applyBorder="1" applyAlignment="1">
      <alignment horizontal="center" vertical="center"/>
    </xf>
    <xf numFmtId="4" fontId="12" fillId="0" borderId="64" xfId="0" applyNumberFormat="1" applyFont="1" applyBorder="1" applyAlignment="1">
      <alignment horizontal="center" vertical="center"/>
    </xf>
    <xf numFmtId="182" fontId="37" fillId="0" borderId="65" xfId="0" applyNumberFormat="1" applyFont="1" applyBorder="1" applyAlignment="1">
      <alignment horizontal="right" vertical="center"/>
    </xf>
    <xf numFmtId="182" fontId="37" fillId="0" borderId="16" xfId="0" applyNumberFormat="1" applyFont="1" applyBorder="1" applyAlignment="1">
      <alignment horizontal="right" vertical="center"/>
    </xf>
    <xf numFmtId="182" fontId="37" fillId="0" borderId="70" xfId="0" applyNumberFormat="1" applyFont="1" applyBorder="1" applyAlignment="1">
      <alignment horizontal="right" vertical="center"/>
    </xf>
    <xf numFmtId="179" fontId="37" fillId="0" borderId="195" xfId="0" applyNumberFormat="1" applyFont="1" applyBorder="1" applyAlignment="1">
      <alignment horizontal="right" vertical="center"/>
    </xf>
    <xf numFmtId="179" fontId="37" fillId="0" borderId="190" xfId="0" applyNumberFormat="1" applyFont="1" applyBorder="1" applyAlignment="1">
      <alignment horizontal="right" vertical="center"/>
    </xf>
    <xf numFmtId="179" fontId="37" fillId="0" borderId="196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15" fontId="56" fillId="0" borderId="0" xfId="0" applyNumberFormat="1" applyFont="1"/>
    <xf numFmtId="0" fontId="123" fillId="0" borderId="0" xfId="0" applyFont="1"/>
    <xf numFmtId="4" fontId="56" fillId="0" borderId="9" xfId="0" applyNumberFormat="1" applyFont="1" applyBorder="1"/>
    <xf numFmtId="4" fontId="56" fillId="0" borderId="10" xfId="0" applyNumberFormat="1" applyFont="1" applyBorder="1" applyAlignment="1">
      <alignment horizontal="centerContinuous" vertical="center"/>
    </xf>
    <xf numFmtId="169" fontId="10" fillId="0" borderId="199" xfId="0" applyNumberFormat="1" applyFont="1" applyBorder="1" applyAlignment="1">
      <alignment horizontal="center" vertical="center"/>
    </xf>
    <xf numFmtId="4" fontId="56" fillId="0" borderId="11" xfId="0" applyNumberFormat="1" applyFont="1" applyBorder="1"/>
    <xf numFmtId="4" fontId="56" fillId="0" borderId="12" xfId="0" applyNumberFormat="1" applyFont="1" applyBorder="1" applyAlignment="1">
      <alignment horizontal="centerContinuous" vertical="center"/>
    </xf>
    <xf numFmtId="4" fontId="56" fillId="0" borderId="13" xfId="0" applyNumberFormat="1" applyFont="1" applyBorder="1"/>
    <xf numFmtId="4" fontId="56" fillId="0" borderId="14" xfId="0" applyNumberFormat="1" applyFont="1" applyBorder="1" applyAlignment="1">
      <alignment horizontal="centerContinuous" vertical="center"/>
    </xf>
    <xf numFmtId="166" fontId="56" fillId="0" borderId="0" xfId="0" applyNumberFormat="1" applyFont="1"/>
    <xf numFmtId="4" fontId="9" fillId="0" borderId="12" xfId="0" applyNumberFormat="1" applyFont="1" applyBorder="1" applyAlignment="1">
      <alignment horizontal="centerContinuous" vertical="center"/>
    </xf>
    <xf numFmtId="10" fontId="37" fillId="0" borderId="190" xfId="0" applyNumberFormat="1" applyFont="1" applyBorder="1" applyAlignment="1">
      <alignment horizontal="right" vertical="center"/>
    </xf>
    <xf numFmtId="4" fontId="9" fillId="0" borderId="67" xfId="0" applyNumberFormat="1" applyFont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4" fontId="8" fillId="0" borderId="67" xfId="0" applyNumberFormat="1" applyFont="1" applyBorder="1" applyAlignment="1">
      <alignment horizontal="center" vertical="center"/>
    </xf>
    <xf numFmtId="0" fontId="37" fillId="0" borderId="190" xfId="0" applyNumberFormat="1" applyFont="1" applyBorder="1" applyAlignment="1">
      <alignment horizontal="right" vertical="center"/>
    </xf>
    <xf numFmtId="4" fontId="7" fillId="0" borderId="208" xfId="0" applyNumberFormat="1" applyFont="1" applyFill="1" applyBorder="1" applyAlignment="1">
      <alignment horizontal="center" vertical="center"/>
    </xf>
    <xf numFmtId="4" fontId="6" fillId="0" borderId="208" xfId="0" applyNumberFormat="1" applyFont="1" applyFill="1" applyBorder="1" applyAlignment="1">
      <alignment horizontal="center" vertical="center"/>
    </xf>
    <xf numFmtId="0" fontId="6" fillId="0" borderId="190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5" fillId="0" borderId="205" xfId="0" applyNumberFormat="1" applyFont="1" applyBorder="1" applyAlignment="1">
      <alignment horizontal="center" vertical="center"/>
    </xf>
    <xf numFmtId="11" fontId="0" fillId="0" borderId="0" xfId="0" applyNumberFormat="1"/>
    <xf numFmtId="4" fontId="7" fillId="0" borderId="11" xfId="0" applyNumberFormat="1" applyFont="1" applyFill="1" applyBorder="1" applyAlignment="1">
      <alignment horizontal="center" vertical="center"/>
    </xf>
    <xf numFmtId="4" fontId="6" fillId="0" borderId="13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91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3" xfId="0" applyBorder="1" applyAlignment="1">
      <alignment horizontal="centerContinuous"/>
    </xf>
    <xf numFmtId="4" fontId="4" fillId="0" borderId="13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Continuous" vertical="center"/>
    </xf>
    <xf numFmtId="0" fontId="121" fillId="0" borderId="0" xfId="64" applyBorder="1"/>
    <xf numFmtId="0" fontId="48" fillId="4" borderId="0" xfId="0" applyFont="1" applyFill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7" fillId="0" borderId="0" xfId="0" applyNumberFormat="1" applyFont="1" applyBorder="1" applyAlignment="1">
      <alignment horizontal="center" vertical="center"/>
    </xf>
    <xf numFmtId="170" fontId="0" fillId="43" borderId="0" xfId="0" applyNumberFormat="1" applyFill="1"/>
    <xf numFmtId="168" fontId="3" fillId="0" borderId="190" xfId="0" applyNumberFormat="1" applyFont="1" applyBorder="1" applyAlignment="1">
      <alignment horizontal="centerContinuous" vertical="center"/>
    </xf>
    <xf numFmtId="0" fontId="127" fillId="0" borderId="0" xfId="0" applyFont="1" applyAlignment="1" applyProtection="1">
      <alignment horizontal="left"/>
      <protection hidden="1"/>
    </xf>
    <xf numFmtId="15" fontId="128" fillId="47" borderId="31" xfId="0" applyNumberFormat="1" applyFont="1" applyFill="1" applyBorder="1" applyProtection="1">
      <protection hidden="1"/>
    </xf>
    <xf numFmtId="15" fontId="128" fillId="47" borderId="33" xfId="0" applyNumberFormat="1" applyFont="1" applyFill="1" applyBorder="1" applyProtection="1">
      <protection hidden="1"/>
    </xf>
    <xf numFmtId="190" fontId="128" fillId="47" borderId="32" xfId="62" applyNumberFormat="1" applyFont="1" applyFill="1" applyBorder="1" applyProtection="1">
      <protection hidden="1"/>
    </xf>
    <xf numFmtId="190" fontId="128" fillId="47" borderId="34" xfId="62" applyNumberFormat="1" applyFont="1" applyFill="1" applyBorder="1" applyProtection="1">
      <protection hidden="1"/>
    </xf>
    <xf numFmtId="168" fontId="27" fillId="43" borderId="67" xfId="9" applyNumberFormat="1" applyFont="1" applyFill="1" applyBorder="1" applyAlignment="1" applyProtection="1">
      <alignment horizontal="right" vertical="center"/>
      <protection hidden="1"/>
    </xf>
    <xf numFmtId="169" fontId="27" fillId="43" borderId="16" xfId="37" applyNumberFormat="1" applyFont="1" applyFill="1" applyBorder="1" applyAlignment="1" applyProtection="1">
      <alignment horizontal="center" vertical="center"/>
      <protection hidden="1"/>
    </xf>
    <xf numFmtId="169" fontId="27" fillId="43" borderId="68" xfId="0" applyNumberFormat="1" applyFont="1" applyFill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75" fillId="0" borderId="6" xfId="0" applyNumberFormat="1" applyFont="1" applyBorder="1" applyAlignment="1">
      <alignment horizontal="center" vertical="center"/>
    </xf>
    <xf numFmtId="4" fontId="75" fillId="0" borderId="0" xfId="0" applyNumberFormat="1" applyFont="1" applyBorder="1" applyAlignment="1">
      <alignment horizontal="center" vertical="center"/>
    </xf>
    <xf numFmtId="0" fontId="115" fillId="2" borderId="44" xfId="6" applyFont="1" applyFill="1" applyBorder="1" applyAlignment="1">
      <alignment horizontal="center"/>
    </xf>
    <xf numFmtId="0" fontId="115" fillId="2" borderId="82" xfId="6" applyFont="1" applyFill="1" applyBorder="1" applyAlignment="1">
      <alignment horizontal="center"/>
    </xf>
    <xf numFmtId="0" fontId="115" fillId="2" borderId="45" xfId="6" applyFont="1" applyFill="1" applyBorder="1" applyAlignment="1">
      <alignment horizontal="center"/>
    </xf>
    <xf numFmtId="0" fontId="11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5" fillId="2" borderId="41" xfId="6" applyFont="1" applyFill="1" applyBorder="1" applyAlignment="1" applyProtection="1">
      <alignment horizontal="center" vertical="center" textRotation="90" wrapText="1"/>
      <protection hidden="1"/>
    </xf>
    <xf numFmtId="168" fontId="16" fillId="0" borderId="206" xfId="0" applyNumberFormat="1" applyFont="1" applyBorder="1" applyAlignment="1">
      <alignment horizontal="center" vertical="center"/>
    </xf>
    <xf numFmtId="168" fontId="37" fillId="0" borderId="207" xfId="0" applyNumberFormat="1" applyFont="1" applyBorder="1" applyAlignment="1">
      <alignment horizontal="center" vertical="center"/>
    </xf>
    <xf numFmtId="168" fontId="13" fillId="0" borderId="190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" vertical="center"/>
    </xf>
    <xf numFmtId="4" fontId="16" fillId="0" borderId="196" xfId="0" applyNumberFormat="1" applyFont="1" applyBorder="1" applyAlignment="1">
      <alignment horizontal="center" vertical="center"/>
    </xf>
    <xf numFmtId="4" fontId="20" fillId="0" borderId="88" xfId="0" applyNumberFormat="1" applyFont="1" applyBorder="1" applyAlignment="1">
      <alignment horizontal="center" vertical="center"/>
    </xf>
    <xf numFmtId="4" fontId="21" fillId="0" borderId="192" xfId="0" applyNumberFormat="1" applyFont="1" applyBorder="1" applyAlignment="1">
      <alignment horizontal="center" vertical="center"/>
    </xf>
    <xf numFmtId="4" fontId="21" fillId="0" borderId="193" xfId="0" applyNumberFormat="1" applyFont="1" applyBorder="1" applyAlignment="1">
      <alignment horizontal="center" vertical="center"/>
    </xf>
    <xf numFmtId="168" fontId="4" fillId="0" borderId="190" xfId="0" applyNumberFormat="1" applyFont="1" applyBorder="1" applyAlignment="1">
      <alignment horizontal="center" vertical="center"/>
    </xf>
    <xf numFmtId="168" fontId="37" fillId="0" borderId="191" xfId="0" applyNumberFormat="1" applyFont="1" applyBorder="1" applyAlignment="1">
      <alignment horizontal="center" vertical="center"/>
    </xf>
    <xf numFmtId="4" fontId="3" fillId="0" borderId="192" xfId="0" applyNumberFormat="1" applyFont="1" applyBorder="1" applyAlignment="1">
      <alignment horizontal="center" vertical="center"/>
    </xf>
    <xf numFmtId="4" fontId="20" fillId="0" borderId="193" xfId="0" applyNumberFormat="1" applyFont="1" applyBorder="1" applyAlignment="1">
      <alignment horizontal="center" vertical="center"/>
    </xf>
    <xf numFmtId="168" fontId="16" fillId="0" borderId="195" xfId="0" applyNumberFormat="1" applyFont="1" applyBorder="1" applyAlignment="1">
      <alignment horizontal="center" vertical="center"/>
    </xf>
    <xf numFmtId="168" fontId="37" fillId="0" borderId="116" xfId="0" applyNumberFormat="1" applyFont="1" applyBorder="1" applyAlignment="1">
      <alignment horizontal="center" vertical="center"/>
    </xf>
    <xf numFmtId="168" fontId="16" fillId="0" borderId="190" xfId="0" applyNumberFormat="1" applyFont="1" applyBorder="1" applyAlignment="1">
      <alignment horizontal="center" vertical="center"/>
    </xf>
    <xf numFmtId="168" fontId="3" fillId="0" borderId="190" xfId="0" applyNumberFormat="1" applyFont="1" applyBorder="1" applyAlignment="1">
      <alignment horizontal="center" vertical="center"/>
    </xf>
    <xf numFmtId="168" fontId="37" fillId="0" borderId="190" xfId="0" applyNumberFormat="1" applyFont="1" applyBorder="1" applyAlignment="1">
      <alignment horizontal="center" vertical="center"/>
    </xf>
    <xf numFmtId="4" fontId="20" fillId="0" borderId="190" xfId="0" applyNumberFormat="1" applyFont="1" applyBorder="1" applyAlignment="1">
      <alignment horizontal="center" vertical="center"/>
    </xf>
    <xf numFmtId="4" fontId="20" fillId="0" borderId="191" xfId="0" applyNumberFormat="1" applyFont="1" applyBorder="1" applyAlignment="1">
      <alignment horizontal="center" vertical="center"/>
    </xf>
    <xf numFmtId="4" fontId="20" fillId="0" borderId="192" xfId="0" applyNumberFormat="1" applyFont="1" applyBorder="1" applyAlignment="1">
      <alignment horizontal="center" vertical="center"/>
    </xf>
    <xf numFmtId="4" fontId="37" fillId="0" borderId="190" xfId="0" applyNumberFormat="1" applyFont="1" applyBorder="1" applyAlignment="1">
      <alignment horizontal="center" vertical="center"/>
    </xf>
    <xf numFmtId="4" fontId="37" fillId="0" borderId="191" xfId="0" applyNumberFormat="1" applyFont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7" fillId="3" borderId="4" xfId="0" applyNumberFormat="1" applyFont="1" applyFill="1" applyBorder="1" applyAlignment="1">
      <alignment horizontal="center" vertical="center" textRotation="90"/>
    </xf>
    <xf numFmtId="0" fontId="57" fillId="3" borderId="7" xfId="0" applyFont="1" applyFill="1" applyBorder="1" applyAlignment="1">
      <alignment horizontal="center" vertical="center" textRotation="90"/>
    </xf>
    <xf numFmtId="0" fontId="57" fillId="3" borderId="51" xfId="0" applyFont="1" applyFill="1" applyBorder="1" applyAlignment="1">
      <alignment horizontal="center" vertical="center" textRotation="90"/>
    </xf>
    <xf numFmtId="0" fontId="4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76" fontId="0" fillId="0" borderId="0" xfId="0" applyNumberFormat="1"/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78"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opLeftCell="A28" zoomScale="115" zoomScaleNormal="115" workbookViewId="0">
      <selection activeCell="B34" sqref="B34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394</v>
      </c>
      <c r="C4" s="852"/>
      <c r="D4" s="855" t="s">
        <v>834</v>
      </c>
      <c r="I4" s="430"/>
    </row>
    <row r="5" spans="2:10" s="408" customFormat="1">
      <c r="B5" s="853" t="s">
        <v>395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396</v>
      </c>
      <c r="C6" s="445"/>
      <c r="D6" s="163" t="str" cm="1">
        <f t="array" ref="D6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431</v>
      </c>
      <c r="C9" s="199"/>
    </row>
    <row r="10" spans="2:10" s="430" customFormat="1" ht="18.75" customHeight="1">
      <c r="B10" s="1062" t="str" cm="1">
        <f t="array" aca="1" ref="B10" ca="1">_xll.d.TestUtils_And(C19:C21,C24:C25,C28:C29,C33:C36,C40:C43)</f>
        <v>Error</v>
      </c>
      <c r="C10" s="1062"/>
      <c r="D10" s="604" t="s">
        <v>644</v>
      </c>
    </row>
    <row r="11" spans="2:10" s="430" customFormat="1" ht="15" customHeight="1">
      <c r="B11" s="1063"/>
      <c r="C11" s="1063"/>
      <c r="D11" s="850" t="s">
        <v>760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532</v>
      </c>
      <c r="C15" s="595"/>
      <c r="F15" s="430"/>
    </row>
    <row r="16" spans="2:10">
      <c r="B16" s="596" t="s">
        <v>533</v>
      </c>
      <c r="C16" s="597"/>
      <c r="F16" s="430"/>
    </row>
    <row r="17" spans="2:9">
      <c r="F17" s="430"/>
    </row>
    <row r="18" spans="2:9">
      <c r="B18" s="120" t="s">
        <v>229</v>
      </c>
      <c r="C18" s="121"/>
      <c r="F18" s="430"/>
    </row>
    <row r="19" spans="2:9">
      <c r="B19" s="403" t="s">
        <v>0</v>
      </c>
      <c r="C19" s="123" t="str">
        <f>Dates!C4</f>
        <v>Ok</v>
      </c>
      <c r="F19" s="430"/>
    </row>
    <row r="20" spans="2:9">
      <c r="B20" s="404" t="s">
        <v>324</v>
      </c>
      <c r="C20" s="125" t="str">
        <f>Mathematics!C4</f>
        <v>Ok</v>
      </c>
      <c r="F20" s="430"/>
      <c r="I20" s="430"/>
    </row>
    <row r="21" spans="2:9">
      <c r="B21" s="405" t="s">
        <v>347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377</v>
      </c>
      <c r="C23" s="420"/>
    </row>
    <row r="24" spans="2:9">
      <c r="B24" s="586" t="s">
        <v>500</v>
      </c>
      <c r="C24" s="291" t="str">
        <f>'Equity Pricers'!C4</f>
        <v>Ok</v>
      </c>
    </row>
    <row r="25" spans="2:9" s="430" customFormat="1">
      <c r="B25" s="405" t="s">
        <v>378</v>
      </c>
      <c r="C25" s="291" t="str">
        <f>'Equity Utils'!C4</f>
        <v>Ok</v>
      </c>
    </row>
    <row r="26" spans="2:9">
      <c r="C26" s="289"/>
      <c r="D26" s="430"/>
    </row>
    <row r="27" spans="2:9" s="430" customFormat="1">
      <c r="B27" s="419" t="s">
        <v>504</v>
      </c>
      <c r="C27" s="420"/>
    </row>
    <row r="28" spans="2:9" s="430" customFormat="1">
      <c r="B28" s="565" t="s">
        <v>503</v>
      </c>
      <c r="C28" s="291" t="str">
        <f>'FX Pricers'!C4</f>
        <v>Ok</v>
      </c>
    </row>
    <row r="29" spans="2:9" s="430" customFormat="1">
      <c r="B29" s="404" t="s">
        <v>647</v>
      </c>
      <c r="C29" s="291"/>
      <c r="D29" s="604" t="s">
        <v>645</v>
      </c>
    </row>
    <row r="30" spans="2:9" s="430" customFormat="1">
      <c r="B30" s="474" t="s">
        <v>649</v>
      </c>
      <c r="C30" s="291"/>
    </row>
    <row r="31" spans="2:9" s="430" customFormat="1"/>
    <row r="32" spans="2:9">
      <c r="B32" s="120" t="s">
        <v>228</v>
      </c>
      <c r="C32" s="191"/>
      <c r="D32" s="430"/>
    </row>
    <row r="33" spans="2:5">
      <c r="B33" s="403" t="s">
        <v>1</v>
      </c>
      <c r="C33" s="311" t="str">
        <f ca="1">Curves!C4</f>
        <v>Ok</v>
      </c>
      <c r="D33" s="430"/>
    </row>
    <row r="34" spans="2:5" s="430" customFormat="1">
      <c r="B34" s="473" t="s">
        <v>705</v>
      </c>
      <c r="C34" s="270" t="str">
        <f ca="1">'Single Curve Bootstrapping'!C6</f>
        <v>Error</v>
      </c>
    </row>
    <row r="35" spans="2:5">
      <c r="B35" s="565" t="s">
        <v>486</v>
      </c>
      <c r="C35" s="271" t="str">
        <f>'Interest Rate Pricers'!C4</f>
        <v>Ok</v>
      </c>
      <c r="D35" s="430"/>
    </row>
    <row r="36" spans="2:5">
      <c r="B36" s="404" t="s">
        <v>374</v>
      </c>
      <c r="C36" s="270" t="str">
        <f>'Rate Utils'!C4</f>
        <v>Ok</v>
      </c>
      <c r="D36" s="430"/>
    </row>
    <row r="37" spans="2:5">
      <c r="B37" s="474" t="s">
        <v>11</v>
      </c>
      <c r="C37" s="190" t="s">
        <v>210</v>
      </c>
      <c r="D37" s="604" t="s">
        <v>645</v>
      </c>
    </row>
    <row r="38" spans="2:5">
      <c r="D38" s="289"/>
    </row>
    <row r="39" spans="2:5">
      <c r="B39" s="120" t="s">
        <v>105</v>
      </c>
      <c r="C39" s="121"/>
      <c r="D39" s="289"/>
    </row>
    <row r="40" spans="2:5">
      <c r="B40" s="641" t="s">
        <v>545</v>
      </c>
      <c r="C40" s="311" t="str">
        <f ca="1">'Fix EMS Links Utils'!C4</f>
        <v>Ok</v>
      </c>
      <c r="D40" s="604"/>
    </row>
    <row r="41" spans="2:5">
      <c r="B41" s="473" t="s">
        <v>519</v>
      </c>
      <c r="C41" s="270" t="str">
        <f ca="1">'Hyperlink Utils'!C4</f>
        <v>Ok</v>
      </c>
      <c r="D41" s="604" t="s">
        <v>646</v>
      </c>
    </row>
    <row r="42" spans="2:5">
      <c r="B42" s="473" t="s">
        <v>68</v>
      </c>
      <c r="C42" s="622" t="str">
        <f ca="1">'Table Formatting'!C4</f>
        <v>Ok</v>
      </c>
      <c r="D42" s="604" t="s">
        <v>646</v>
      </c>
    </row>
    <row r="43" spans="2:5">
      <c r="B43" s="405" t="s">
        <v>153</v>
      </c>
      <c r="C43" s="623" t="str">
        <f>'Test Utils'!C4</f>
        <v>Ok</v>
      </c>
    </row>
    <row r="45" spans="2:5">
      <c r="E45" s="163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7"/>
    </row>
    <row r="65" spans="2:9">
      <c r="B65" s="8"/>
      <c r="D65" s="797"/>
    </row>
    <row r="66" spans="2:9">
      <c r="B66" s="8"/>
      <c r="D66" s="797"/>
      <c r="I66" s="894"/>
    </row>
    <row r="67" spans="2:9">
      <c r="B67" s="8"/>
      <c r="D67" s="797"/>
      <c r="I67" s="894"/>
    </row>
    <row r="68" spans="2:9">
      <c r="B68" s="8"/>
      <c r="D68" s="797"/>
      <c r="I68" s="894"/>
    </row>
    <row r="69" spans="2:9">
      <c r="B69" s="8"/>
      <c r="D69" s="797"/>
    </row>
    <row r="70" spans="2:9">
      <c r="B70" s="8"/>
      <c r="C70" s="8"/>
      <c r="D70" s="797"/>
    </row>
    <row r="71" spans="2:9">
      <c r="B71" s="8"/>
      <c r="C71" s="8"/>
      <c r="D71" s="797"/>
    </row>
    <row r="72" spans="2:9">
      <c r="B72" s="8"/>
      <c r="C72" s="8"/>
      <c r="D72" s="797"/>
      <c r="I72" s="798"/>
    </row>
    <row r="73" spans="2:9">
      <c r="B73" s="8"/>
      <c r="C73" s="8"/>
      <c r="D73" s="797"/>
      <c r="I73" s="798"/>
    </row>
    <row r="74" spans="2:9">
      <c r="B74" s="8"/>
      <c r="C74" s="8"/>
      <c r="D74" s="797"/>
      <c r="I74" s="798"/>
    </row>
    <row r="75" spans="2:9">
      <c r="B75" s="8"/>
      <c r="C75" s="8"/>
      <c r="D75" s="797"/>
      <c r="I75" s="798"/>
    </row>
    <row r="76" spans="2:9">
      <c r="B76" s="8"/>
      <c r="C76" s="8"/>
      <c r="D76" s="797"/>
      <c r="I76" s="798"/>
    </row>
    <row r="77" spans="2:9">
      <c r="C77" s="8"/>
      <c r="D77" s="797"/>
      <c r="I77" s="798"/>
    </row>
    <row r="78" spans="2:9">
      <c r="C78" s="8"/>
      <c r="D78" s="797"/>
      <c r="I78" s="798"/>
    </row>
    <row r="79" spans="2:9">
      <c r="C79" s="8"/>
      <c r="D79" s="797"/>
    </row>
    <row r="80" spans="2:9">
      <c r="C80" s="8"/>
      <c r="D80" s="797"/>
    </row>
    <row r="81" spans="3:4">
      <c r="C81" s="8"/>
      <c r="D81" s="797"/>
    </row>
    <row r="82" spans="3:4">
      <c r="C82" s="8"/>
      <c r="D82" s="797"/>
    </row>
  </sheetData>
  <mergeCells count="1">
    <mergeCell ref="B10:C11"/>
  </mergeCells>
  <conditionalFormatting sqref="C19 C25 C33 C35">
    <cfRule type="cellIs" dxfId="1077" priority="47" stopIfTrue="1" operator="equal">
      <formula>"ERROR"</formula>
    </cfRule>
    <cfRule type="cellIs" dxfId="1076" priority="48" stopIfTrue="1" operator="equal">
      <formula>"OK"</formula>
    </cfRule>
    <cfRule type="cellIs" dxfId="1075" priority="49" stopIfTrue="1" operator="equal">
      <formula>"WARNING"</formula>
    </cfRule>
  </conditionalFormatting>
  <conditionalFormatting sqref="C20">
    <cfRule type="cellIs" dxfId="1074" priority="40" stopIfTrue="1" operator="equal">
      <formula>"ERROR"</formula>
    </cfRule>
    <cfRule type="cellIs" dxfId="1073" priority="41" stopIfTrue="1" operator="equal">
      <formula>"OK"</formula>
    </cfRule>
    <cfRule type="cellIs" dxfId="1072" priority="42" stopIfTrue="1" operator="equal">
      <formula>"WARNING"</formula>
    </cfRule>
  </conditionalFormatting>
  <conditionalFormatting sqref="C21">
    <cfRule type="cellIs" dxfId="1071" priority="37" stopIfTrue="1" operator="equal">
      <formula>"ERROR"</formula>
    </cfRule>
    <cfRule type="cellIs" dxfId="1070" priority="38" stopIfTrue="1" operator="equal">
      <formula>"OK"</formula>
    </cfRule>
    <cfRule type="cellIs" dxfId="1069" priority="39" stopIfTrue="1" operator="equal">
      <formula>"WARNING"</formula>
    </cfRule>
  </conditionalFormatting>
  <conditionalFormatting sqref="D6">
    <cfRule type="cellIs" dxfId="1068" priority="53" stopIfTrue="1" operator="equal">
      <formula>"ERROR"</formula>
    </cfRule>
    <cfRule type="cellIs" dxfId="1067" priority="54" stopIfTrue="1" operator="equal">
      <formula>"OK"</formula>
    </cfRule>
    <cfRule type="cellIs" dxfId="1066" priority="55" stopIfTrue="1" operator="equal">
      <formula>"WARNING"</formula>
    </cfRule>
  </conditionalFormatting>
  <conditionalFormatting sqref="C36">
    <cfRule type="cellIs" dxfId="1065" priority="34" stopIfTrue="1" operator="equal">
      <formula>"ERROR"</formula>
    </cfRule>
    <cfRule type="cellIs" dxfId="1064" priority="35" stopIfTrue="1" operator="equal">
      <formula>"OK"</formula>
    </cfRule>
    <cfRule type="cellIs" dxfId="1063" priority="36" stopIfTrue="1" operator="equal">
      <formula>"WARNING"</formula>
    </cfRule>
  </conditionalFormatting>
  <conditionalFormatting sqref="B10:C11">
    <cfRule type="cellIs" dxfId="1062" priority="31" stopIfTrue="1" operator="equal">
      <formula>"ERROR"</formula>
    </cfRule>
    <cfRule type="cellIs" dxfId="1061" priority="32" stopIfTrue="1" operator="equal">
      <formula>"OK"</formula>
    </cfRule>
    <cfRule type="cellIs" dxfId="1060" priority="33" stopIfTrue="1" operator="equal">
      <formula>"WARNING"</formula>
    </cfRule>
  </conditionalFormatting>
  <conditionalFormatting sqref="C34">
    <cfRule type="cellIs" dxfId="1059" priority="59" stopIfTrue="1" operator="equal">
      <formula>"ERROR"</formula>
    </cfRule>
    <cfRule type="cellIs" dxfId="1058" priority="60" stopIfTrue="1" operator="equal">
      <formula>"OK"</formula>
    </cfRule>
    <cfRule type="cellIs" dxfId="1057" priority="61" stopIfTrue="1" operator="equal">
      <formula>"WARNING"</formula>
    </cfRule>
  </conditionalFormatting>
  <conditionalFormatting sqref="C24">
    <cfRule type="cellIs" dxfId="1056" priority="19" stopIfTrue="1" operator="equal">
      <formula>"ERROR"</formula>
    </cfRule>
    <cfRule type="cellIs" dxfId="1055" priority="20" stopIfTrue="1" operator="equal">
      <formula>"OK"</formula>
    </cfRule>
    <cfRule type="cellIs" dxfId="1054" priority="21" stopIfTrue="1" operator="equal">
      <formula>"WARNING"</formula>
    </cfRule>
  </conditionalFormatting>
  <conditionalFormatting sqref="C40:C41">
    <cfRule type="cellIs" dxfId="1053" priority="13" stopIfTrue="1" operator="equal">
      <formula>"ERROR"</formula>
    </cfRule>
    <cfRule type="cellIs" dxfId="1052" priority="14" stopIfTrue="1" operator="equal">
      <formula>"OK"</formula>
    </cfRule>
    <cfRule type="cellIs" dxfId="1051" priority="15" stopIfTrue="1" operator="equal">
      <formula>"WARNING"</formula>
    </cfRule>
  </conditionalFormatting>
  <conditionalFormatting sqref="C43">
    <cfRule type="cellIs" dxfId="1050" priority="10" stopIfTrue="1" operator="equal">
      <formula>"ERROR"</formula>
    </cfRule>
    <cfRule type="cellIs" dxfId="1049" priority="11" stopIfTrue="1" operator="equal">
      <formula>"OK"</formula>
    </cfRule>
    <cfRule type="cellIs" dxfId="1048" priority="12" stopIfTrue="1" operator="equal">
      <formula>"WARNING"</formula>
    </cfRule>
  </conditionalFormatting>
  <conditionalFormatting sqref="C42">
    <cfRule type="cellIs" dxfId="1047" priority="7" stopIfTrue="1" operator="equal">
      <formula>"ERROR"</formula>
    </cfRule>
    <cfRule type="cellIs" dxfId="1046" priority="8" stopIfTrue="1" operator="equal">
      <formula>"OK"</formula>
    </cfRule>
    <cfRule type="cellIs" dxfId="1045" priority="9" stopIfTrue="1" operator="equal">
      <formula>"WARNING"</formula>
    </cfRule>
  </conditionalFormatting>
  <conditionalFormatting sqref="C29:C30">
    <cfRule type="cellIs" dxfId="1044" priority="4" stopIfTrue="1" operator="equal">
      <formula>"ERROR"</formula>
    </cfRule>
    <cfRule type="cellIs" dxfId="1043" priority="5" stopIfTrue="1" operator="equal">
      <formula>"OK"</formula>
    </cfRule>
    <cfRule type="cellIs" dxfId="1042" priority="6" stopIfTrue="1" operator="equal">
      <formula>"WARNING"</formula>
    </cfRule>
  </conditionalFormatting>
  <conditionalFormatting sqref="C28">
    <cfRule type="cellIs" dxfId="1041" priority="1" stopIfTrue="1" operator="equal">
      <formula>"ERROR"</formula>
    </cfRule>
    <cfRule type="cellIs" dxfId="1040" priority="2" stopIfTrue="1" operator="equal">
      <formula>"OK"</formula>
    </cfRule>
    <cfRule type="cellIs" dxfId="1039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10" width="9.7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373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ref="C4">_xll.d.TestUtils_And(D7:D20)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479</v>
      </c>
      <c r="C7" s="406"/>
      <c r="D7" s="291" t="str">
        <f>C26</f>
        <v>Ok</v>
      </c>
    </row>
    <row r="8" spans="2:43">
      <c r="B8" s="406" t="s">
        <v>445</v>
      </c>
      <c r="C8" s="406"/>
      <c r="D8" s="291" t="str">
        <f>C38</f>
        <v>Ok</v>
      </c>
    </row>
    <row r="9" spans="2:43">
      <c r="B9" s="406" t="s">
        <v>449</v>
      </c>
      <c r="C9" s="406"/>
      <c r="D9" s="291" t="str">
        <f>C50</f>
        <v>Ok</v>
      </c>
    </row>
    <row r="10" spans="2:43">
      <c r="B10" s="406" t="s">
        <v>443</v>
      </c>
      <c r="C10" s="406"/>
      <c r="D10" s="291" t="str">
        <f>C62</f>
        <v>Ok</v>
      </c>
    </row>
    <row r="11" spans="2:43">
      <c r="B11" s="406" t="s">
        <v>364</v>
      </c>
      <c r="C11" s="406"/>
      <c r="D11" s="291" t="str">
        <f>C74</f>
        <v>Ok</v>
      </c>
    </row>
    <row r="12" spans="2:43">
      <c r="B12" s="406" t="s">
        <v>365</v>
      </c>
      <c r="C12" s="406"/>
      <c r="D12" s="291" t="str">
        <f>C89</f>
        <v>Ok</v>
      </c>
    </row>
    <row r="13" spans="2:43">
      <c r="B13" s="406" t="s">
        <v>366</v>
      </c>
      <c r="C13" s="406"/>
      <c r="D13" s="291" t="str">
        <f>C104</f>
        <v>Ok</v>
      </c>
    </row>
    <row r="14" spans="2:43">
      <c r="B14" s="406" t="s">
        <v>367</v>
      </c>
      <c r="C14" s="406"/>
      <c r="D14" s="291" t="str">
        <f>C119</f>
        <v>Ok</v>
      </c>
    </row>
    <row r="15" spans="2:43">
      <c r="B15" s="406" t="s">
        <v>368</v>
      </c>
      <c r="C15" s="406"/>
      <c r="D15" s="291" t="str">
        <f>C133</f>
        <v>Ok</v>
      </c>
    </row>
    <row r="16" spans="2:43">
      <c r="B16" s="406" t="s">
        <v>369</v>
      </c>
      <c r="C16" s="406"/>
      <c r="D16" s="291" t="str">
        <f>C181</f>
        <v>Ok</v>
      </c>
    </row>
    <row r="17" spans="2:7">
      <c r="B17" s="406" t="s">
        <v>370</v>
      </c>
      <c r="C17" s="406"/>
      <c r="D17" s="291" t="str">
        <f>C208</f>
        <v>Ok</v>
      </c>
    </row>
    <row r="18" spans="2:7">
      <c r="B18" s="406" t="s">
        <v>371</v>
      </c>
      <c r="C18" s="406"/>
      <c r="D18" s="291" t="str">
        <f>C224</f>
        <v>Ok</v>
      </c>
    </row>
    <row r="19" spans="2:7">
      <c r="B19" s="406" t="s">
        <v>372</v>
      </c>
      <c r="C19" s="406"/>
      <c r="D19" s="291" t="str">
        <f>C239</f>
        <v>Ok</v>
      </c>
    </row>
    <row r="20" spans="2:7">
      <c r="B20" s="406" t="s">
        <v>437</v>
      </c>
      <c r="C20" s="406"/>
      <c r="D20" s="291" t="str">
        <f>C253</f>
        <v>Ok</v>
      </c>
    </row>
    <row r="24" spans="2:7" ht="18.75">
      <c r="B24" s="3" t="s">
        <v>479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ref="C26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ref="E31">_xll.d.Dates_Act360(C31,C32)</f>
        <v>0.25555555555555554</v>
      </c>
      <c r="F31" s="526">
        <v>0.25555555555555554</v>
      </c>
      <c r="G31" s="301" t="str" cm="1">
        <f t="array" ref="G3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445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ref="C38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ref="E43">_xll.d.Dates_Act360(C43,C44)</f>
        <v>0.25555555555555554</v>
      </c>
      <c r="F43" s="526">
        <f>(C44-C43)/360</f>
        <v>0.25555555555555554</v>
      </c>
      <c r="G43" s="301" t="str" cm="1">
        <f t="array" ref="G43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449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ref="C50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ref="E55">_xll.d.Dates_Act364(C55,C56)</f>
        <v>0.25274725274725274</v>
      </c>
      <c r="F55" s="526">
        <f>(C56-C55)/364</f>
        <v>0.25274725274725274</v>
      </c>
      <c r="G55" s="301" t="str" cm="1">
        <f t="array" ref="G55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443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ref="C62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ref="E67">_xll.d.Dates_Act365(C67,C68)</f>
        <v>0.25205479452054796</v>
      </c>
      <c r="F67" s="526">
        <f>(C68-C67)/365</f>
        <v>0.25205479452054796</v>
      </c>
      <c r="G67" s="301" t="str" cm="1">
        <f t="array" ref="G67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364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ref="C74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458</v>
      </c>
      <c r="J76" s="298"/>
      <c r="K76" s="298"/>
      <c r="L76" s="298"/>
      <c r="M76" s="298"/>
      <c r="N76" s="298"/>
      <c r="P76" s="4" t="s">
        <v>456</v>
      </c>
      <c r="Q76" s="4"/>
      <c r="R76" s="298"/>
      <c r="S76" s="298"/>
      <c r="T76" s="298"/>
      <c r="U76" s="298"/>
      <c r="W76" s="4" t="s">
        <v>457</v>
      </c>
      <c r="X76" s="298"/>
      <c r="Y76" s="298"/>
      <c r="Z76" s="298"/>
      <c r="AA76" s="298"/>
      <c r="AB76" s="298"/>
      <c r="AC76" s="298"/>
      <c r="AD76" s="298"/>
      <c r="AF76" s="4" t="s">
        <v>455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ref="N79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ref="U79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ref="AI79">_xll.d.Dates_FolDay(AG79,AG80)</f>
        <v>#∂Excel Error: Unsupported calendar: 'WRE'</v>
      </c>
      <c r="AJ79" s="528"/>
      <c r="AK79" s="528"/>
      <c r="AL79" s="528"/>
      <c r="AM79" s="528" t="s">
        <v>446</v>
      </c>
      <c r="AN79" s="528"/>
      <c r="AO79" s="528"/>
      <c r="AP79" s="528"/>
      <c r="AQ79" s="301" t="str" cm="1">
        <f t="array" ref="AQ79">_xll.d.TestUtils_Equal(AI79,AM79)</f>
        <v>Ok</v>
      </c>
    </row>
    <row r="80" spans="2:43">
      <c r="G80" s="290"/>
      <c r="I80" s="441" t="s">
        <v>459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453</v>
      </c>
      <c r="J81" s="549" t="s">
        <v>454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365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ref="C89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ref="G94">_xll.d.TestUtils_Equal(E94,F94)</f>
        <v>Ok</v>
      </c>
      <c r="I94" s="122" t="s">
        <v>31</v>
      </c>
      <c r="J94" s="292">
        <v>44728</v>
      </c>
      <c r="L94" s="299" cm="1">
        <f t="array" ref="L94">_xll.d.Dates_ModFolDay(J94,J95)</f>
        <v>44729</v>
      </c>
      <c r="M94" s="300">
        <v>44729</v>
      </c>
      <c r="N94" s="301" t="str" cm="1">
        <f t="array" ref="N94">_xll.d.TestUtils_Equal(L94,M94)</f>
        <v>Ok</v>
      </c>
      <c r="P94" s="122" t="s">
        <v>31</v>
      </c>
      <c r="Q94" s="292">
        <v>44746</v>
      </c>
      <c r="S94" s="527" cm="1">
        <f t="array" ref="S94">_xll.d.Dates_ModFolDay(Q94,Q95)</f>
        <v>44747</v>
      </c>
      <c r="T94" s="528"/>
      <c r="U94" s="528">
        <v>44747</v>
      </c>
      <c r="V94" s="528"/>
      <c r="W94" s="301" t="str" cm="1">
        <f t="array" ref="W94">_xll.d.TestUtils_Equal(S94,U94)</f>
        <v>Ok</v>
      </c>
      <c r="Y94" s="122" t="s">
        <v>31</v>
      </c>
      <c r="Z94" s="292">
        <v>44746</v>
      </c>
      <c r="AB94" s="527" t="str" cm="1">
        <f t="array" ref="AB94">_xll.d.Dates_ModFolDay(Z94,Z95)</f>
        <v>#∂Excel Error: Unsupported calendar: 'WRE'</v>
      </c>
      <c r="AC94" s="528"/>
      <c r="AD94" s="528"/>
      <c r="AE94" s="528"/>
      <c r="AF94" s="528" t="s">
        <v>446</v>
      </c>
      <c r="AG94" s="528"/>
      <c r="AH94" s="528"/>
      <c r="AI94" s="528"/>
      <c r="AJ94" s="301" t="str" cm="1">
        <f t="array" ref="AJ94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366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ref="C104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ref="G109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ref="N109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ref="W109">_xll.d.TestUtils_Equal(S109,U109)</f>
        <v>Ok</v>
      </c>
      <c r="Y109" s="122" t="s">
        <v>31</v>
      </c>
      <c r="Z109" s="292">
        <v>44746</v>
      </c>
      <c r="AB109" s="527" t="str" cm="1">
        <f t="array" ref="AB109">_xll.d.Dates_PrevDay(Z109,Z110)</f>
        <v>#∂Excel Error: Unsupported calendar: 'WRE'</v>
      </c>
      <c r="AC109" s="528"/>
      <c r="AD109" s="528"/>
      <c r="AE109" s="528"/>
      <c r="AF109" s="528" t="s">
        <v>446</v>
      </c>
      <c r="AG109" s="528"/>
      <c r="AH109" s="528"/>
      <c r="AI109" s="528"/>
      <c r="AJ109" s="301" t="str" cm="1">
        <f t="array" ref="AJ109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367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ref="C119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225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226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ref="E124">_xll.d.Dates_AddTenorToDate(C124,C125,C126,C127)</f>
        <v>44652</v>
      </c>
      <c r="F124" s="300">
        <v>44652</v>
      </c>
      <c r="G124" s="301" t="str" cm="1">
        <f t="array" ref="G124">_xll.d.TestUtils_Equal(E124,F124)</f>
        <v>Ok</v>
      </c>
      <c r="I124" s="447" t="s">
        <v>31</v>
      </c>
      <c r="J124" s="529"/>
      <c r="K124" s="292">
        <v>44562</v>
      </c>
      <c r="M124" s="299" cm="1">
        <f t="array" ref="M124">_xll.d.Dates_AddTenorToDate(K124,K125,K126,K127)</f>
        <v>44652</v>
      </c>
      <c r="N124" s="300">
        <v>44652</v>
      </c>
      <c r="O124" s="301" t="str" cm="1">
        <f t="array" ref="O124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ref="U124">_xll.d.Dates_AddTenorToDate(S124,S125,S126,S127)</f>
        <v>#∂Excel Error: Unsupported calendar: 'WRE'</v>
      </c>
      <c r="V124" s="528"/>
      <c r="W124" s="528"/>
      <c r="X124" s="528"/>
      <c r="Y124" s="528" t="s">
        <v>446</v>
      </c>
      <c r="Z124" s="528"/>
      <c r="AA124" s="528"/>
      <c r="AB124" s="528"/>
      <c r="AC124" s="301" t="str" cm="1">
        <f t="array" ref="AC124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ref="AI124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447</v>
      </c>
      <c r="AO124" s="528"/>
      <c r="AP124" s="528"/>
      <c r="AQ124" s="528"/>
      <c r="AR124" s="528"/>
      <c r="AS124" s="301" t="str" cm="1">
        <f t="array" ref="AS124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227</v>
      </c>
    </row>
    <row r="128" spans="2:45">
      <c r="B128" s="198"/>
    </row>
    <row r="129" spans="2:30">
      <c r="B129" s="198"/>
    </row>
    <row r="131" spans="2:30" ht="18.75">
      <c r="B131" s="3" t="s">
        <v>368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230</v>
      </c>
      <c r="H138" s="282" t="s">
        <v>231</v>
      </c>
      <c r="I138" s="282" t="s">
        <v>240</v>
      </c>
      <c r="J138" s="119" t="s">
        <v>241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252</v>
      </c>
      <c r="H139" s="311" t="s">
        <v>253</v>
      </c>
      <c r="I139" s="311" t="s">
        <v>244</v>
      </c>
      <c r="J139" s="123" t="s">
        <v>244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254</v>
      </c>
      <c r="H140" s="270" t="s">
        <v>255</v>
      </c>
      <c r="I140" s="270" t="s">
        <v>244</v>
      </c>
      <c r="J140" s="125" t="s">
        <v>244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244</v>
      </c>
      <c r="H141" s="270" t="s">
        <v>692</v>
      </c>
      <c r="I141" s="270" t="s">
        <v>244</v>
      </c>
      <c r="J141" s="125" t="s">
        <v>244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256</v>
      </c>
      <c r="H142" s="270" t="s">
        <v>257</v>
      </c>
      <c r="I142" s="270" t="s">
        <v>244</v>
      </c>
      <c r="J142" s="125" t="s">
        <v>244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258</v>
      </c>
      <c r="H143" s="270" t="s">
        <v>259</v>
      </c>
      <c r="I143" s="270" t="s">
        <v>244</v>
      </c>
      <c r="J143" s="125" t="s">
        <v>244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260</v>
      </c>
      <c r="H144" s="270" t="s">
        <v>261</v>
      </c>
      <c r="I144" s="270" t="s">
        <v>244</v>
      </c>
      <c r="J144" s="125" t="s">
        <v>244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262</v>
      </c>
      <c r="H145" s="270" t="s">
        <v>263</v>
      </c>
      <c r="I145" s="270" t="s">
        <v>244</v>
      </c>
      <c r="J145" s="125" t="s">
        <v>244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693</v>
      </c>
      <c r="H146" s="270" t="s">
        <v>694</v>
      </c>
      <c r="I146" s="270" t="s">
        <v>244</v>
      </c>
      <c r="J146" s="125" t="s">
        <v>244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264</v>
      </c>
      <c r="H147" s="270" t="s">
        <v>265</v>
      </c>
      <c r="I147" s="270" t="s">
        <v>244</v>
      </c>
      <c r="J147" s="125" t="s">
        <v>244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266</v>
      </c>
      <c r="H148" s="270" t="s">
        <v>267</v>
      </c>
      <c r="I148" s="270" t="s">
        <v>244</v>
      </c>
      <c r="J148" s="125" t="s">
        <v>244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268</v>
      </c>
      <c r="H149" s="270" t="s">
        <v>269</v>
      </c>
      <c r="I149" s="270" t="s">
        <v>244</v>
      </c>
      <c r="J149" s="125" t="s">
        <v>244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270</v>
      </c>
      <c r="H150" s="270" t="s">
        <v>271</v>
      </c>
      <c r="I150" s="270" t="s">
        <v>244</v>
      </c>
      <c r="J150" s="125" t="s">
        <v>244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244</v>
      </c>
      <c r="H151" s="270" t="s">
        <v>695</v>
      </c>
      <c r="I151" s="270" t="s">
        <v>244</v>
      </c>
      <c r="J151" s="125" t="s">
        <v>244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244</v>
      </c>
      <c r="H152" s="270" t="s">
        <v>696</v>
      </c>
      <c r="I152" s="270" t="s">
        <v>244</v>
      </c>
      <c r="J152" s="125" t="s">
        <v>244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272</v>
      </c>
      <c r="H153" s="270" t="s">
        <v>273</v>
      </c>
      <c r="I153" s="270" t="s">
        <v>244</v>
      </c>
      <c r="J153" s="125" t="s">
        <v>244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244</v>
      </c>
      <c r="H154" s="270" t="s">
        <v>274</v>
      </c>
      <c r="I154" s="270" t="s">
        <v>244</v>
      </c>
      <c r="J154" s="125" t="s">
        <v>244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275</v>
      </c>
      <c r="H155" s="270" t="s">
        <v>276</v>
      </c>
      <c r="I155" s="270" t="s">
        <v>244</v>
      </c>
      <c r="J155" s="125" t="s">
        <v>244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277</v>
      </c>
      <c r="H156" s="270" t="s">
        <v>278</v>
      </c>
      <c r="I156" s="270" t="s">
        <v>244</v>
      </c>
      <c r="J156" s="125" t="s">
        <v>244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279</v>
      </c>
      <c r="H157" s="270" t="s">
        <v>280</v>
      </c>
      <c r="I157" s="270" t="s">
        <v>244</v>
      </c>
      <c r="J157" s="125" t="s">
        <v>244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244</v>
      </c>
      <c r="H158" s="270" t="s">
        <v>281</v>
      </c>
      <c r="I158" s="270" t="s">
        <v>244</v>
      </c>
      <c r="J158" s="125" t="s">
        <v>244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282</v>
      </c>
      <c r="H159" s="270" t="s">
        <v>283</v>
      </c>
      <c r="I159" s="270" t="s">
        <v>244</v>
      </c>
      <c r="J159" s="125" t="s">
        <v>244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284</v>
      </c>
      <c r="H160" s="270" t="s">
        <v>285</v>
      </c>
      <c r="I160" s="270" t="s">
        <v>244</v>
      </c>
      <c r="J160" s="125" t="s">
        <v>244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286</v>
      </c>
      <c r="H161" s="270" t="s">
        <v>287</v>
      </c>
      <c r="I161" s="270" t="s">
        <v>244</v>
      </c>
      <c r="J161" s="125" t="s">
        <v>244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288</v>
      </c>
      <c r="H162" s="270" t="s">
        <v>289</v>
      </c>
      <c r="I162" s="270" t="s">
        <v>244</v>
      </c>
      <c r="J162" s="125" t="s">
        <v>244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290</v>
      </c>
      <c r="H163" s="270" t="s">
        <v>291</v>
      </c>
      <c r="I163" s="270" t="s">
        <v>244</v>
      </c>
      <c r="J163" s="125" t="s">
        <v>244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292</v>
      </c>
      <c r="H164" s="270" t="s">
        <v>293</v>
      </c>
      <c r="I164" s="270" t="s">
        <v>244</v>
      </c>
      <c r="J164" s="125" t="s">
        <v>244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294</v>
      </c>
      <c r="H165" s="270" t="s">
        <v>295</v>
      </c>
      <c r="I165" s="270" t="s">
        <v>244</v>
      </c>
      <c r="J165" s="125" t="s">
        <v>244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296</v>
      </c>
      <c r="H166" s="270" t="s">
        <v>297</v>
      </c>
      <c r="I166" s="270" t="s">
        <v>244</v>
      </c>
      <c r="J166" s="125" t="s">
        <v>244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298</v>
      </c>
      <c r="H167" s="270" t="s">
        <v>299</v>
      </c>
      <c r="I167" s="270" t="s">
        <v>244</v>
      </c>
      <c r="J167" s="125" t="s">
        <v>244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300</v>
      </c>
      <c r="H168" s="270" t="s">
        <v>301</v>
      </c>
      <c r="I168" s="270" t="s">
        <v>244</v>
      </c>
      <c r="J168" s="125" t="s">
        <v>244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244</v>
      </c>
      <c r="H169" s="270" t="s">
        <v>697</v>
      </c>
      <c r="I169" s="270" t="s">
        <v>244</v>
      </c>
      <c r="J169" s="125" t="s">
        <v>244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302</v>
      </c>
      <c r="H170" s="270" t="s">
        <v>303</v>
      </c>
      <c r="I170" s="270" t="s">
        <v>244</v>
      </c>
      <c r="J170" s="125" t="s">
        <v>244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304</v>
      </c>
      <c r="H171" s="270" t="s">
        <v>305</v>
      </c>
      <c r="I171" s="270" t="s">
        <v>244</v>
      </c>
      <c r="J171" s="125" t="s">
        <v>244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306</v>
      </c>
      <c r="H172" s="270" t="s">
        <v>307</v>
      </c>
      <c r="I172" s="270" t="s">
        <v>244</v>
      </c>
      <c r="J172" s="125" t="s">
        <v>244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308</v>
      </c>
      <c r="H173" s="270" t="s">
        <v>309</v>
      </c>
      <c r="I173" s="270" t="s">
        <v>244</v>
      </c>
      <c r="J173" s="125" t="s">
        <v>244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310</v>
      </c>
      <c r="H174" s="270" t="s">
        <v>311</v>
      </c>
      <c r="I174" s="270" t="s">
        <v>312</v>
      </c>
      <c r="J174" s="125" t="s">
        <v>313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448</v>
      </c>
      <c r="H175" s="270" t="s">
        <v>244</v>
      </c>
      <c r="I175" s="270" t="s">
        <v>244</v>
      </c>
      <c r="J175" s="125" t="s">
        <v>244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314</v>
      </c>
      <c r="I176" s="190" t="s">
        <v>244</v>
      </c>
      <c r="J176" s="127" t="s">
        <v>244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369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ref="C181">_xll.d.TestUtils_And(G186:G194,N186:N203,AA186)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225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ref="E186:E195">_xll.d.Dates_GetListOfHolidays(C186,C187,C188)</f>
        <v>44641</v>
      </c>
      <c r="F186" s="306">
        <v>44641</v>
      </c>
      <c r="G186" s="123" t="str" cm="1">
        <f t="array" ref="G186">_xll.d.TestUtils_Equal(E186,F186)</f>
        <v>Ok</v>
      </c>
      <c r="I186" s="122" t="s">
        <v>218</v>
      </c>
      <c r="J186" s="292">
        <v>44562</v>
      </c>
      <c r="L186" s="305" cm="1">
        <f t="array" ref="L186:L204">_xll.d.Dates_GetListOfHolidays(J186,J187,J188)</f>
        <v>44578</v>
      </c>
      <c r="M186" s="306">
        <v>44578</v>
      </c>
      <c r="N186" s="123" t="str" cm="1">
        <f t="array" ref="N186">_xll.d.TestUtils_Equal(L186,M186)</f>
        <v>Ok</v>
      </c>
      <c r="P186" s="122" t="s">
        <v>218</v>
      </c>
      <c r="Q186" s="292">
        <v>44562</v>
      </c>
      <c r="S186" s="527" t="str" cm="1">
        <f t="array" ref="S186">_xll.d.Dates_GetListOfHolidays(Q186,Q187,Q188)</f>
        <v>#∂Excel Error: Unsupported calendar: 'WRE'</v>
      </c>
      <c r="T186" s="528"/>
      <c r="U186" s="528"/>
      <c r="V186" s="528"/>
      <c r="W186" s="528" t="s">
        <v>446</v>
      </c>
      <c r="X186" s="528"/>
      <c r="Y186" s="528"/>
      <c r="Z186" s="528"/>
      <c r="AA186" s="301" t="str" cm="1">
        <f t="array" ref="AA186">_xll.d.TestUtils_Equal(S186,W186)</f>
        <v>Ok</v>
      </c>
    </row>
    <row r="187" spans="2:27">
      <c r="B187" s="124" t="s">
        <v>219</v>
      </c>
      <c r="C187" s="304">
        <v>44926</v>
      </c>
      <c r="E187" s="307">
        <v>44666</v>
      </c>
      <c r="F187" s="308">
        <v>44666</v>
      </c>
      <c r="G187" s="125" t="str" cm="1">
        <f t="array" ref="G187">_xll.d.TestUtils_Equal(E187,F187)</f>
        <v>Ok</v>
      </c>
      <c r="I187" s="124" t="s">
        <v>219</v>
      </c>
      <c r="J187" s="304">
        <v>44926</v>
      </c>
      <c r="L187" s="307">
        <v>44613</v>
      </c>
      <c r="M187" s="308">
        <v>44613</v>
      </c>
      <c r="N187" s="125" t="str" cm="1">
        <f t="array" ref="N187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v>44669</v>
      </c>
      <c r="F188" s="308">
        <v>44669</v>
      </c>
      <c r="G188" s="125" t="str" cm="1">
        <f t="array" ref="G188">_xll.d.TestUtils_Equal(E188,F188)</f>
        <v>Ok</v>
      </c>
      <c r="I188" s="126" t="s">
        <v>201</v>
      </c>
      <c r="J188" s="127" t="s">
        <v>217</v>
      </c>
      <c r="L188" s="307">
        <v>44641</v>
      </c>
      <c r="M188" s="308">
        <v>44641</v>
      </c>
      <c r="N188" s="125" t="str" cm="1">
        <f t="array" ref="N188">_xll.d.TestUtils_Equal(L188,M188)</f>
        <v>Ok</v>
      </c>
      <c r="P188" s="126" t="s">
        <v>201</v>
      </c>
      <c r="Q188" s="127" t="s">
        <v>223</v>
      </c>
    </row>
    <row r="189" spans="2:27">
      <c r="E189" s="307">
        <v>44678</v>
      </c>
      <c r="F189" s="308">
        <v>44678</v>
      </c>
      <c r="G189" s="125" t="str" cm="1">
        <f t="array" ref="G189">_xll.d.TestUtils_Equal(E189,F189)</f>
        <v>Ok</v>
      </c>
      <c r="L189" s="307">
        <v>44666</v>
      </c>
      <c r="M189" s="308">
        <v>44666</v>
      </c>
      <c r="N189" s="125" t="str" cm="1">
        <f t="array" ref="N189">_xll.d.TestUtils_Equal(L189,M189)</f>
        <v>Ok</v>
      </c>
    </row>
    <row r="190" spans="2:27">
      <c r="E190" s="307">
        <v>44683</v>
      </c>
      <c r="F190" s="308">
        <v>44683</v>
      </c>
      <c r="G190" s="125" t="str" cm="1">
        <f t="array" ref="G190">_xll.d.TestUtils_Equal(E190,F190)</f>
        <v>Ok</v>
      </c>
      <c r="L190" s="307">
        <v>44669</v>
      </c>
      <c r="M190" s="308">
        <v>44669</v>
      </c>
      <c r="N190" s="125" t="str" cm="1">
        <f t="array" ref="N190">_xll.d.TestUtils_Equal(L190,M190)</f>
        <v>Ok</v>
      </c>
    </row>
    <row r="191" spans="2:27">
      <c r="E191" s="307">
        <v>44728</v>
      </c>
      <c r="F191" s="308">
        <v>44728</v>
      </c>
      <c r="G191" s="125" t="str" cm="1">
        <f t="array" ref="G191">_xll.d.TestUtils_Equal(E191,F191)</f>
        <v>Ok</v>
      </c>
      <c r="L191" s="307">
        <v>44678</v>
      </c>
      <c r="M191" s="308">
        <v>44678</v>
      </c>
      <c r="N191" s="125" t="str" cm="1">
        <f t="array" ref="N191">_xll.d.TestUtils_Equal(L191,M191)</f>
        <v>Ok</v>
      </c>
    </row>
    <row r="192" spans="2:27">
      <c r="E192" s="307">
        <v>44782</v>
      </c>
      <c r="F192" s="308">
        <v>44782</v>
      </c>
      <c r="G192" s="125" t="str" cm="1">
        <f t="array" ref="G192">_xll.d.TestUtils_Equal(E192,F192)</f>
        <v>Ok</v>
      </c>
      <c r="L192" s="307">
        <v>44683</v>
      </c>
      <c r="M192" s="308">
        <v>44683</v>
      </c>
      <c r="N192" s="125" t="str" cm="1">
        <f t="array" ref="N192">_xll.d.TestUtils_Equal(L192,M192)</f>
        <v>Ok</v>
      </c>
    </row>
    <row r="193" spans="2:35">
      <c r="E193" s="307">
        <v>44911</v>
      </c>
      <c r="F193" s="308">
        <v>44911</v>
      </c>
      <c r="G193" s="125" t="str" cm="1">
        <f t="array" ref="G193">_xll.d.TestUtils_Equal(E193,F193)</f>
        <v>Ok</v>
      </c>
      <c r="L193" s="307">
        <v>44711</v>
      </c>
      <c r="M193" s="308">
        <v>44711</v>
      </c>
      <c r="N193" s="125" t="str" cm="1">
        <f t="array" ref="N193">_xll.d.TestUtils_Equal(L193,M193)</f>
        <v>Ok</v>
      </c>
    </row>
    <row r="194" spans="2:35">
      <c r="E194" s="309">
        <v>44921</v>
      </c>
      <c r="F194" s="310">
        <v>44921</v>
      </c>
      <c r="G194" s="127" t="str" cm="1">
        <f t="array" ref="G194">_xll.d.TestUtils_Equal(E194,F194)</f>
        <v>Ok</v>
      </c>
      <c r="L194" s="307">
        <v>44728</v>
      </c>
      <c r="M194" s="308">
        <v>44728</v>
      </c>
      <c r="N194" s="125" t="str" cm="1">
        <f t="array" ref="N194">_xll.d.TestUtils_Equal(L194,M194)</f>
        <v>Ok</v>
      </c>
    </row>
    <row r="195" spans="2:35">
      <c r="E195" s="289">
        <v>44922</v>
      </c>
      <c r="G195" s="290"/>
      <c r="L195" s="307">
        <v>44732</v>
      </c>
      <c r="M195" s="308">
        <v>44732</v>
      </c>
      <c r="N195" s="125" t="str" cm="1">
        <f t="array" ref="N195">_xll.d.TestUtils_Equal(L195,M195)</f>
        <v>Ok</v>
      </c>
    </row>
    <row r="196" spans="2:35">
      <c r="G196" s="290"/>
      <c r="L196" s="307">
        <v>44746</v>
      </c>
      <c r="M196" s="308">
        <v>44746</v>
      </c>
      <c r="N196" s="125" t="str" cm="1">
        <f t="array" ref="N196">_xll.d.TestUtils_Equal(L196,M196)</f>
        <v>Ok</v>
      </c>
    </row>
    <row r="197" spans="2:35">
      <c r="G197" s="290"/>
      <c r="L197" s="307">
        <v>44782</v>
      </c>
      <c r="M197" s="308">
        <v>44782</v>
      </c>
      <c r="N197" s="125" t="str" cm="1">
        <f t="array" ref="N197">_xll.d.TestUtils_Equal(L197,M197)</f>
        <v>Ok</v>
      </c>
    </row>
    <row r="198" spans="2:35">
      <c r="G198" s="290"/>
      <c r="L198" s="307">
        <v>44809</v>
      </c>
      <c r="M198" s="308">
        <v>44809</v>
      </c>
      <c r="N198" s="125" t="str" cm="1">
        <f t="array" ref="N198">_xll.d.TestUtils_Equal(L198,M198)</f>
        <v>Ok</v>
      </c>
    </row>
    <row r="199" spans="2:35">
      <c r="G199" s="290"/>
      <c r="L199" s="307">
        <v>44844</v>
      </c>
      <c r="M199" s="308">
        <v>44844</v>
      </c>
      <c r="N199" s="125" t="str" cm="1">
        <f t="array" ref="N199">_xll.d.TestUtils_Equal(L199,M199)</f>
        <v>Ok</v>
      </c>
    </row>
    <row r="200" spans="2:35">
      <c r="G200" s="290"/>
      <c r="L200" s="307">
        <v>44876</v>
      </c>
      <c r="M200" s="308">
        <v>44876</v>
      </c>
      <c r="N200" s="125" t="str" cm="1">
        <f t="array" ref="N200">_xll.d.TestUtils_Equal(L200,M200)</f>
        <v>Ok</v>
      </c>
    </row>
    <row r="201" spans="2:35">
      <c r="G201" s="290"/>
      <c r="L201" s="307">
        <v>44889</v>
      </c>
      <c r="M201" s="308">
        <v>44889</v>
      </c>
      <c r="N201" s="125" t="str" cm="1">
        <f t="array" ref="N201">_xll.d.TestUtils_Equal(L201,M201)</f>
        <v>Ok</v>
      </c>
    </row>
    <row r="202" spans="2:35">
      <c r="G202" s="290"/>
      <c r="L202" s="307">
        <v>44911</v>
      </c>
      <c r="M202" s="308">
        <v>44911</v>
      </c>
      <c r="N202" s="125" t="str" cm="1">
        <f t="array" ref="N202">_xll.d.TestUtils_Equal(L202,M202)</f>
        <v>Ok</v>
      </c>
    </row>
    <row r="203" spans="2:35">
      <c r="G203" s="290"/>
      <c r="L203" s="309">
        <v>44921</v>
      </c>
      <c r="M203" s="310">
        <v>44921</v>
      </c>
      <c r="N203" s="127" t="str" cm="1">
        <f t="array" ref="N203">_xll.d.TestUtils_Equal(L203,M203)</f>
        <v>Ok</v>
      </c>
    </row>
    <row r="204" spans="2:35">
      <c r="L204" s="289">
        <v>44922</v>
      </c>
    </row>
    <row r="206" spans="2:35" ht="18.75">
      <c r="B206" s="3" t="s">
        <v>370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ref="C208">_xll.d.TestUtils_And(G213:G217,N213:N217,U213:U217)</f>
        <v>Ok</v>
      </c>
    </row>
    <row r="210" spans="2:35" ht="15.75">
      <c r="B210" s="4" t="s">
        <v>319</v>
      </c>
      <c r="C210" s="298"/>
      <c r="D210" s="298"/>
      <c r="E210" s="298"/>
      <c r="F210" s="298"/>
      <c r="G210" s="298"/>
      <c r="I210" s="4" t="s">
        <v>321</v>
      </c>
      <c r="J210" s="298"/>
      <c r="K210" s="298"/>
      <c r="L210" s="298"/>
      <c r="M210" s="298"/>
      <c r="N210" s="298"/>
      <c r="P210" s="4" t="s">
        <v>322</v>
      </c>
      <c r="Q210" s="298"/>
      <c r="R210" s="298"/>
      <c r="S210" s="298"/>
      <c r="T210" s="298"/>
      <c r="U210" s="298"/>
      <c r="W210" s="4" t="s">
        <v>225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ref="G213">_xll.d.TestUtils_Equal(E213,F213)</f>
        <v>Ok</v>
      </c>
      <c r="I213" s="122" t="s">
        <v>218</v>
      </c>
      <c r="J213" s="292">
        <v>44743</v>
      </c>
      <c r="L213" s="305">
        <f t="array" ref="L213:L217">_xll.d.Dates_GenerateSchedule(J213,J214,J215,J216,J217,J218)</f>
        <v>44743</v>
      </c>
      <c r="M213" s="292">
        <v>44743</v>
      </c>
      <c r="N213" s="291" t="str" cm="1">
        <f t="array" ref="N213">_xll.d.TestUtils_Equal(L213,M213)</f>
        <v>Ok</v>
      </c>
      <c r="P213" s="122" t="s">
        <v>218</v>
      </c>
      <c r="Q213" s="292">
        <v>44743</v>
      </c>
      <c r="S213" s="305">
        <f t="array" ref="S213:S217">_xll.d.Dates_GenerateSchedule(Q213,Q214,Q215,Q216,Q217,Q218)</f>
        <v>44743</v>
      </c>
      <c r="T213" s="292">
        <v>44743</v>
      </c>
      <c r="U213" s="291" t="str" cm="1">
        <f t="array" ref="U213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ref="AA213">_xll.d.Dates_GenerateSchedule(Y213,Y214,Y215,Y216,Y217,Y218)</f>
        <v>#∂Excel Error: Unsupported calendar: 'WRE'</v>
      </c>
      <c r="AB213" s="533"/>
      <c r="AC213" s="533"/>
      <c r="AD213" s="533"/>
      <c r="AE213" s="534" t="s">
        <v>224</v>
      </c>
      <c r="AF213" s="533"/>
      <c r="AG213" s="533"/>
      <c r="AH213" s="535"/>
      <c r="AI213" s="291" t="str" cm="1">
        <f t="array" ref="AI213">_xll.d.TestUtils_Equal(AA213,AE213)</f>
        <v>Error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ref="G214">_xll.d.TestUtils_Equal(E214,F214)</f>
        <v>Ok</v>
      </c>
      <c r="I214" s="124" t="s">
        <v>219</v>
      </c>
      <c r="J214" s="304">
        <v>45108</v>
      </c>
      <c r="L214" s="307">
        <v>44837</v>
      </c>
      <c r="M214" s="304">
        <v>44837</v>
      </c>
      <c r="N214" s="291" t="str" cm="1">
        <f t="array" ref="N214">_xll.d.TestUtils_Equal(L214,M214)</f>
        <v>Ok</v>
      </c>
      <c r="P214" s="124" t="s">
        <v>219</v>
      </c>
      <c r="Q214" s="304">
        <v>45108</v>
      </c>
      <c r="S214" s="307">
        <v>44824</v>
      </c>
      <c r="T214" s="304">
        <v>44824</v>
      </c>
      <c r="U214" s="291" t="str" cm="1">
        <f t="array" ref="U214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315</v>
      </c>
      <c r="C215" s="125" t="s">
        <v>24</v>
      </c>
      <c r="E215" s="307">
        <v>44929</v>
      </c>
      <c r="F215" s="304">
        <v>44929</v>
      </c>
      <c r="G215" s="291" t="str" cm="1">
        <f t="array" ref="G215">_xll.d.TestUtils_Equal(E215,F215)</f>
        <v>Ok</v>
      </c>
      <c r="I215" s="124" t="s">
        <v>315</v>
      </c>
      <c r="J215" s="125" t="s">
        <v>24</v>
      </c>
      <c r="L215" s="307">
        <v>44929</v>
      </c>
      <c r="M215" s="304">
        <v>44929</v>
      </c>
      <c r="N215" s="291" t="str" cm="1">
        <f t="array" ref="N215">_xll.d.TestUtils_Equal(L215,M215)</f>
        <v>Ok</v>
      </c>
      <c r="P215" s="124" t="s">
        <v>315</v>
      </c>
      <c r="Q215" s="125" t="s">
        <v>24</v>
      </c>
      <c r="S215" s="307">
        <v>44915</v>
      </c>
      <c r="T215" s="304">
        <v>44915</v>
      </c>
      <c r="U215" s="291" t="str" cm="1">
        <f t="array" ref="U215">_xll.d.TestUtils_Equal(S215,T215)</f>
        <v>Ok</v>
      </c>
      <c r="W215" s="448" t="s">
        <v>315</v>
      </c>
      <c r="X215" s="530"/>
      <c r="Y215" s="125" t="s">
        <v>24</v>
      </c>
    </row>
    <row r="216" spans="2:35">
      <c r="B216" s="124" t="s">
        <v>316</v>
      </c>
      <c r="C216" s="125" t="s">
        <v>217</v>
      </c>
      <c r="E216" s="307">
        <v>45019</v>
      </c>
      <c r="F216" s="304">
        <v>45019</v>
      </c>
      <c r="G216" s="291" t="str" cm="1">
        <f t="array" ref="G216">_xll.d.TestUtils_Equal(E216,F216)</f>
        <v>Ok</v>
      </c>
      <c r="I216" s="124" t="s">
        <v>316</v>
      </c>
      <c r="J216" s="125" t="s">
        <v>217</v>
      </c>
      <c r="L216" s="307">
        <v>45019</v>
      </c>
      <c r="M216" s="304">
        <v>45019</v>
      </c>
      <c r="N216" s="291" t="str" cm="1">
        <f t="array" ref="N216">_xll.d.TestUtils_Equal(L216,M216)</f>
        <v>Ok</v>
      </c>
      <c r="P216" s="124" t="s">
        <v>316</v>
      </c>
      <c r="Q216" s="125" t="s">
        <v>217</v>
      </c>
      <c r="S216" s="307">
        <v>45005</v>
      </c>
      <c r="T216" s="304">
        <v>45005</v>
      </c>
      <c r="U216" s="291" t="str" cm="1">
        <f t="array" ref="U216">_xll.d.TestUtils_Equal(S216,T216)</f>
        <v>Ok</v>
      </c>
      <c r="W216" s="448" t="s">
        <v>316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ref="G217">_xll.d.TestUtils_Equal(E217,F217)</f>
        <v>Ok</v>
      </c>
      <c r="I217" s="124" t="s">
        <v>202</v>
      </c>
      <c r="J217" s="125" t="s">
        <v>203</v>
      </c>
      <c r="L217" s="309">
        <v>45110</v>
      </c>
      <c r="M217" s="312">
        <v>45110</v>
      </c>
      <c r="N217" s="291" t="str" cm="1">
        <f t="array" ref="N217">_xll.d.TestUtils_Equal(L217,M217)</f>
        <v>Ok</v>
      </c>
      <c r="P217" s="124" t="s">
        <v>202</v>
      </c>
      <c r="Q217" s="125" t="s">
        <v>203</v>
      </c>
      <c r="S217" s="309">
        <v>45097</v>
      </c>
      <c r="T217" s="312">
        <v>45097</v>
      </c>
      <c r="U217" s="291" t="str" cm="1">
        <f t="array" ref="U217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317</v>
      </c>
      <c r="C218" s="127" t="s">
        <v>318</v>
      </c>
      <c r="I218" s="126" t="s">
        <v>317</v>
      </c>
      <c r="J218" s="127" t="s">
        <v>320</v>
      </c>
      <c r="P218" s="126" t="s">
        <v>317</v>
      </c>
      <c r="Q218" s="127" t="s">
        <v>323</v>
      </c>
      <c r="W218" s="449" t="s">
        <v>317</v>
      </c>
      <c r="X218" s="531"/>
      <c r="Y218" s="127" t="s">
        <v>323</v>
      </c>
    </row>
    <row r="222" spans="2:35" ht="18.75">
      <c r="B222" s="3" t="s">
        <v>371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ref="C224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ref="B229:C233">_xll.d.Dates_GetAvailableBusinessDayConventions()</f>
        <v>Variant 1</v>
      </c>
      <c r="C229" s="119" t="str">
        <v>Variant 2</v>
      </c>
      <c r="E229" s="118" t="s">
        <v>230</v>
      </c>
      <c r="F229" s="119" t="s">
        <v>231</v>
      </c>
      <c r="H229" s="291" t="str" cm="1">
        <f t="array" ref="H229">_xll.d.TestUtils_Equal(B229,E229)</f>
        <v>Ok</v>
      </c>
      <c r="I229" s="291" t="str" cm="1">
        <f t="array" ref="I229">_xll.d.TestUtils_Equal(C229,F229)</f>
        <v>Ok</v>
      </c>
    </row>
    <row r="230" spans="2:21">
      <c r="B230" s="122" t="str">
        <v>Fol</v>
      </c>
      <c r="C230" s="123" t="str">
        <v>Following</v>
      </c>
      <c r="E230" s="122" t="s">
        <v>232</v>
      </c>
      <c r="F230" s="123" t="s">
        <v>233</v>
      </c>
      <c r="H230" s="291" t="str" cm="1">
        <f t="array" ref="H230">_xll.d.TestUtils_Equal(B230,E230)</f>
        <v>Ok</v>
      </c>
      <c r="I230" s="291" t="str" cm="1">
        <f t="array" ref="I230">_xll.d.TestUtils_Equal(C230,F230)</f>
        <v>Ok</v>
      </c>
    </row>
    <row r="231" spans="2:21">
      <c r="B231" s="124" t="str">
        <v>ModFol</v>
      </c>
      <c r="C231" s="125" t="str">
        <v>ModifiedFollowing</v>
      </c>
      <c r="E231" s="124" t="s">
        <v>234</v>
      </c>
      <c r="F231" s="125" t="s">
        <v>235</v>
      </c>
      <c r="H231" s="291" t="str" cm="1">
        <f t="array" ref="H231">_xll.d.TestUtils_Equal(B231,E231)</f>
        <v>Ok</v>
      </c>
      <c r="I231" s="291" t="str" cm="1">
        <f t="array" ref="I231">_xll.d.TestUtils_Equal(C231,F231)</f>
        <v>Ok</v>
      </c>
    </row>
    <row r="232" spans="2:21">
      <c r="B232" s="124" t="str">
        <v>ModPrec</v>
      </c>
      <c r="C232" s="125" t="str">
        <v>ModPreceding</v>
      </c>
      <c r="E232" s="124" t="s">
        <v>236</v>
      </c>
      <c r="F232" s="125" t="s">
        <v>237</v>
      </c>
      <c r="H232" s="291" t="str" cm="1">
        <f t="array" ref="H232">_xll.d.TestUtils_Equal(B232,E232)</f>
        <v>Ok</v>
      </c>
      <c r="I232" s="291" t="str" cm="1">
        <f t="array" ref="I232">_xll.d.TestUtils_Equal(C232,F232)</f>
        <v>Ok</v>
      </c>
    </row>
    <row r="233" spans="2:21">
      <c r="B233" s="126" t="str">
        <v>Prec</v>
      </c>
      <c r="C233" s="127" t="str">
        <v>Preceding</v>
      </c>
      <c r="E233" s="126" t="s">
        <v>238</v>
      </c>
      <c r="F233" s="127" t="s">
        <v>239</v>
      </c>
      <c r="H233" s="291" t="str" cm="1">
        <f t="array" ref="H233">_xll.d.TestUtils_Equal(B233,E233)</f>
        <v>Ok</v>
      </c>
      <c r="I233" s="291" t="str" cm="1">
        <f t="array" ref="I233">_xll.d.TestUtils_Equal(C233,F233)</f>
        <v>Ok</v>
      </c>
    </row>
    <row r="237" spans="2:21" ht="18.75">
      <c r="B237" s="3" t="s">
        <v>372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ref="C239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ref="B244:E248">_xll.d.Dates_GetAvailableDayCountConventions()</f>
        <v>Variant 1</v>
      </c>
      <c r="C244" s="282" t="str">
        <v>Variant 2</v>
      </c>
      <c r="D244" s="282" t="str">
        <v>Variant 3</v>
      </c>
      <c r="E244" s="119" t="str">
        <v>Variant 4</v>
      </c>
      <c r="G244" s="118" t="s">
        <v>230</v>
      </c>
      <c r="H244" s="282" t="s">
        <v>231</v>
      </c>
      <c r="I244" s="282" t="s">
        <v>240</v>
      </c>
      <c r="J244" s="119" t="s">
        <v>241</v>
      </c>
      <c r="L244" s="291" t="str" cm="1">
        <f t="array" ref="L244">_xll.d.TestUtils_Equal(B244,G244)</f>
        <v>Ok</v>
      </c>
      <c r="M244" s="291" t="str" cm="1">
        <f t="array" ref="M244">_xll.d.TestUtils_Equal(C244,H244)</f>
        <v>Ok</v>
      </c>
      <c r="N244" s="291" t="str" cm="1">
        <f t="array" ref="N244">_xll.d.TestUtils_Equal(D244,I244)</f>
        <v>Ok</v>
      </c>
      <c r="O244" s="291" t="str" cm="1">
        <f t="array" ref="O244">_xll.d.TestUtils_Equal(E244,J244)</f>
        <v>Ok</v>
      </c>
    </row>
    <row r="245" spans="2:15">
      <c r="B245" s="122" t="str">
        <v>Act360</v>
      </c>
      <c r="C245" s="311" t="str">
        <v>Actual360</v>
      </c>
      <c r="D245" s="311" t="str">
        <v/>
      </c>
      <c r="E245" s="123" t="str">
        <v/>
      </c>
      <c r="G245" s="122" t="s">
        <v>242</v>
      </c>
      <c r="H245" s="311" t="s">
        <v>243</v>
      </c>
      <c r="I245" s="311" t="s">
        <v>244</v>
      </c>
      <c r="J245" s="123" t="s">
        <v>244</v>
      </c>
      <c r="L245" s="291" t="str" cm="1">
        <f t="array" ref="L245">_xll.d.TestUtils_Equal(B245,G245)</f>
        <v>Ok</v>
      </c>
      <c r="M245" s="291" t="str" cm="1">
        <f t="array" ref="M245">_xll.d.TestUtils_Equal(C245,H245)</f>
        <v>Ok</v>
      </c>
      <c r="N245" s="291" t="str" cm="1">
        <f t="array" ref="N245">_xll.d.TestUtils_Equal(D245,I245)</f>
        <v>Ok</v>
      </c>
      <c r="O245" s="291" t="str" cm="1">
        <f t="array" ref="O245">_xll.d.TestUtils_Equal(E245,J245)</f>
        <v>Ok</v>
      </c>
    </row>
    <row r="246" spans="2:15">
      <c r="B246" s="124" t="str">
        <v>Act365</v>
      </c>
      <c r="C246" s="270" t="str">
        <v>Act365F</v>
      </c>
      <c r="D246" s="270" t="str">
        <v>Actual365</v>
      </c>
      <c r="E246" s="125" t="str">
        <v>Actual365F</v>
      </c>
      <c r="G246" s="124" t="s">
        <v>245</v>
      </c>
      <c r="H246" s="270" t="s">
        <v>246</v>
      </c>
      <c r="I246" s="270" t="s">
        <v>56</v>
      </c>
      <c r="J246" s="125" t="s">
        <v>247</v>
      </c>
      <c r="L246" s="291" t="str" cm="1">
        <f t="array" ref="L246">_xll.d.TestUtils_Equal(B246,G246)</f>
        <v>Ok</v>
      </c>
      <c r="M246" s="291" t="str" cm="1">
        <f t="array" ref="M246">_xll.d.TestUtils_Equal(C246,H246)</f>
        <v>Ok</v>
      </c>
      <c r="N246" s="291" t="str" cm="1">
        <f t="array" ref="N246">_xll.d.TestUtils_Equal(D246,I246)</f>
        <v>Ok</v>
      </c>
      <c r="O246" s="291" t="str" cm="1">
        <f t="array" ref="O246">_xll.d.TestUtils_Equal(E246,J246)</f>
        <v>Ok</v>
      </c>
    </row>
    <row r="247" spans="2:15">
      <c r="B247" s="124" t="str">
        <v>ActAct</v>
      </c>
      <c r="C247" s="270" t="str">
        <v>ActualActual</v>
      </c>
      <c r="D247" s="270" t="str">
        <v/>
      </c>
      <c r="E247" s="125" t="str">
        <v/>
      </c>
      <c r="G247" s="124" t="s">
        <v>248</v>
      </c>
      <c r="H247" s="270" t="s">
        <v>249</v>
      </c>
      <c r="I247" s="270" t="s">
        <v>244</v>
      </c>
      <c r="J247" s="125" t="s">
        <v>244</v>
      </c>
      <c r="L247" s="291" t="str" cm="1">
        <f t="array" ref="L247">_xll.d.TestUtils_Equal(B247,G247)</f>
        <v>Ok</v>
      </c>
      <c r="M247" s="291" t="str" cm="1">
        <f t="array" ref="M247">_xll.d.TestUtils_Equal(C247,H247)</f>
        <v>Ok</v>
      </c>
      <c r="N247" s="291" t="str" cm="1">
        <f t="array" ref="N247">_xll.d.TestUtils_Equal(D247,I247)</f>
        <v>Ok</v>
      </c>
      <c r="O247" s="291" t="str" cm="1">
        <f t="array" ref="O247">_xll.d.TestUtils_Equal(E247,J247)</f>
        <v>Ok</v>
      </c>
    </row>
    <row r="248" spans="2:15">
      <c r="B248" s="126" t="str">
        <v>Bus252</v>
      </c>
      <c r="C248" s="190" t="str">
        <v>Business252</v>
      </c>
      <c r="D248" s="190" t="str">
        <v/>
      </c>
      <c r="E248" s="127" t="str">
        <v/>
      </c>
      <c r="G248" s="126" t="s">
        <v>250</v>
      </c>
      <c r="H248" s="190" t="s">
        <v>251</v>
      </c>
      <c r="I248" s="190" t="s">
        <v>244</v>
      </c>
      <c r="J248" s="127" t="s">
        <v>244</v>
      </c>
      <c r="L248" s="291" t="str" cm="1">
        <f t="array" ref="L248">_xll.d.TestUtils_Equal(B248,G248)</f>
        <v>Ok</v>
      </c>
      <c r="M248" s="291" t="str" cm="1">
        <f t="array" ref="M248">_xll.d.TestUtils_Equal(C248,H248)</f>
        <v>Ok</v>
      </c>
      <c r="N248" s="291" t="str" cm="1">
        <f t="array" ref="N248">_xll.d.TestUtils_Equal(D248,I248)</f>
        <v>Ok</v>
      </c>
      <c r="O248" s="291" t="str" cm="1">
        <f t="array" ref="O248">_xll.d.TestUtils_Equal(E248,J248)</f>
        <v>Ok</v>
      </c>
    </row>
    <row r="251" spans="2:15" ht="18.75">
      <c r="B251" s="3" t="s">
        <v>437</v>
      </c>
      <c r="C251" s="297"/>
      <c r="D251" s="297"/>
      <c r="E251" s="297"/>
    </row>
    <row r="253" spans="2:15">
      <c r="B253" s="50" t="s">
        <v>139</v>
      </c>
      <c r="C253" s="291" t="str" cm="1">
        <f t="array" ref="C253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5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5">
      <c r="B258" s="305">
        <v>44893</v>
      </c>
      <c r="C258" s="311" t="str" cm="1">
        <f t="array" ref="C258">_xll.d.Dates_GetWeekday(B258)</f>
        <v>Monday</v>
      </c>
      <c r="D258" s="311" t="str" cm="1">
        <f t="array" ref="D258">_xll.d.Dates_GetWeekday(B258)</f>
        <v>Monday</v>
      </c>
      <c r="E258" s="123" t="str" cm="1">
        <f t="array" ref="E258">_xll.d.TestUtils_Equal(C258,D258)</f>
        <v>Ok</v>
      </c>
    </row>
    <row r="259" spans="2:5">
      <c r="B259" s="307">
        <v>44894</v>
      </c>
      <c r="C259" s="270" t="str" cm="1">
        <f t="array" ref="C259">_xll.d.Dates_GetWeekday(B259)</f>
        <v>Tuesday</v>
      </c>
      <c r="D259" s="270" t="str" cm="1">
        <f t="array" ref="D259">_xll.d.Dates_GetWeekday(B259)</f>
        <v>Tuesday</v>
      </c>
      <c r="E259" s="125" t="str" cm="1">
        <f t="array" ref="E259">_xll.d.TestUtils_Equal(C259,D259)</f>
        <v>Ok</v>
      </c>
    </row>
    <row r="260" spans="2:5">
      <c r="B260" s="307">
        <v>44895</v>
      </c>
      <c r="C260" s="270" t="str" cm="1">
        <f t="array" ref="C260">_xll.d.Dates_GetWeekday(B260)</f>
        <v>Wednesday</v>
      </c>
      <c r="D260" s="270" t="str" cm="1">
        <f t="array" ref="D260">_xll.d.Dates_GetWeekday(B260)</f>
        <v>Wednesday</v>
      </c>
      <c r="E260" s="125" t="str" cm="1">
        <f t="array" ref="E260">_xll.d.TestUtils_Equal(C260,D260)</f>
        <v>Ok</v>
      </c>
    </row>
    <row r="261" spans="2:5">
      <c r="B261" s="307">
        <v>44896</v>
      </c>
      <c r="C261" s="270" t="str" cm="1">
        <f t="array" ref="C261">_xll.d.Dates_GetWeekday(B261)</f>
        <v>Thursday</v>
      </c>
      <c r="D261" s="270" t="str" cm="1">
        <f t="array" ref="D261">_xll.d.Dates_GetWeekday(B261)</f>
        <v>Thursday</v>
      </c>
      <c r="E261" s="125" t="str" cm="1">
        <f t="array" ref="E261">_xll.d.TestUtils_Equal(C261,D261)</f>
        <v>Ok</v>
      </c>
    </row>
    <row r="262" spans="2:5">
      <c r="B262" s="307">
        <v>44897</v>
      </c>
      <c r="C262" s="270" t="str" cm="1">
        <f t="array" ref="C262">_xll.d.Dates_GetWeekday(B262)</f>
        <v>Friday</v>
      </c>
      <c r="D262" s="270" t="str" cm="1">
        <f t="array" ref="D262">_xll.d.Dates_GetWeekday(B262)</f>
        <v>Friday</v>
      </c>
      <c r="E262" s="125" t="str" cm="1">
        <f t="array" ref="E262">_xll.d.TestUtils_Equal(C262,D262)</f>
        <v>Ok</v>
      </c>
    </row>
    <row r="263" spans="2:5">
      <c r="B263" s="307">
        <v>44898</v>
      </c>
      <c r="C263" s="270" t="str" cm="1">
        <f t="array" ref="C263">_xll.d.Dates_GetWeekday(B263)</f>
        <v>Saturday</v>
      </c>
      <c r="D263" s="270" t="str" cm="1">
        <f t="array" ref="D263">_xll.d.Dates_GetWeekday(B263)</f>
        <v>Saturday</v>
      </c>
      <c r="E263" s="125" t="str" cm="1">
        <f t="array" ref="E263">_xll.d.TestUtils_Equal(C263,D263)</f>
        <v>Ok</v>
      </c>
    </row>
    <row r="264" spans="2:5">
      <c r="B264" s="309">
        <v>44899</v>
      </c>
      <c r="C264" s="190" t="str" cm="1">
        <f t="array" ref="C264">_xll.d.Dates_GetWeekday(B264)</f>
        <v>Sunday</v>
      </c>
      <c r="D264" s="190" t="str" cm="1">
        <f t="array" ref="D264">_xll.d.Dates_GetWeekday(B264)</f>
        <v>Sunday</v>
      </c>
      <c r="E264" s="127" t="str" cm="1">
        <f t="array" ref="E264">_xll.d.TestUtils_Equal(C264,D264)</f>
        <v>Ok</v>
      </c>
    </row>
    <row r="274" spans="2:5">
      <c r="D274" s="543"/>
      <c r="E274" s="543"/>
    </row>
    <row r="275" spans="2:5">
      <c r="D275" s="543"/>
      <c r="E275" s="543"/>
    </row>
    <row r="276" spans="2:5">
      <c r="B276" s="543"/>
      <c r="D276" s="543"/>
      <c r="E276" s="543"/>
    </row>
    <row r="277" spans="2:5">
      <c r="B277" s="543"/>
      <c r="D277" s="543"/>
      <c r="E277" s="543"/>
    </row>
    <row r="278" spans="2:5">
      <c r="D278" s="543"/>
      <c r="E278" s="543"/>
    </row>
    <row r="279" spans="2:5">
      <c r="E279" s="543"/>
    </row>
  </sheetData>
  <conditionalFormatting sqref="D11:D17">
    <cfRule type="cellIs" dxfId="1038" priority="165" stopIfTrue="1" operator="equal">
      <formula>"ERROR"</formula>
    </cfRule>
    <cfRule type="cellIs" dxfId="1037" priority="166" stopIfTrue="1" operator="equal">
      <formula>"OK"</formula>
    </cfRule>
    <cfRule type="cellIs" dxfId="1036" priority="167" stopIfTrue="1" operator="equal">
      <formula>"WARNING"</formula>
    </cfRule>
  </conditionalFormatting>
  <conditionalFormatting sqref="C4">
    <cfRule type="cellIs" dxfId="1035" priority="139" stopIfTrue="1" operator="equal">
      <formula>"ERROR"</formula>
    </cfRule>
    <cfRule type="cellIs" dxfId="1034" priority="140" stopIfTrue="1" operator="equal">
      <formula>"OK"</formula>
    </cfRule>
    <cfRule type="cellIs" dxfId="1033" priority="141" stopIfTrue="1" operator="equal">
      <formula>"WARNING"</formula>
    </cfRule>
  </conditionalFormatting>
  <conditionalFormatting sqref="C74">
    <cfRule type="cellIs" dxfId="1032" priority="133" stopIfTrue="1" operator="equal">
      <formula>"ERROR"</formula>
    </cfRule>
  </conditionalFormatting>
  <conditionalFormatting sqref="C74">
    <cfRule type="cellIs" dxfId="1031" priority="134" stopIfTrue="1" operator="equal">
      <formula>"OK"</formula>
    </cfRule>
  </conditionalFormatting>
  <conditionalFormatting sqref="C74">
    <cfRule type="cellIs" dxfId="1030" priority="135" stopIfTrue="1" operator="equal">
      <formula>"WARNING"</formula>
    </cfRule>
  </conditionalFormatting>
  <conditionalFormatting sqref="G79">
    <cfRule type="cellIs" dxfId="1029" priority="168" stopIfTrue="1" operator="equal">
      <formula>"ERROR"</formula>
    </cfRule>
    <cfRule type="cellIs" dxfId="1028" priority="169" stopIfTrue="1" operator="equal">
      <formula>"OK"</formula>
    </cfRule>
    <cfRule type="cellIs" dxfId="1027" priority="170" stopIfTrue="1" operator="equal">
      <formula>"WARNING"</formula>
    </cfRule>
  </conditionalFormatting>
  <conditionalFormatting sqref="U79">
    <cfRule type="cellIs" dxfId="1026" priority="130" stopIfTrue="1" operator="equal">
      <formula>"ERROR"</formula>
    </cfRule>
    <cfRule type="cellIs" dxfId="1025" priority="131" stopIfTrue="1" operator="equal">
      <formula>"OK"</formula>
    </cfRule>
    <cfRule type="cellIs" dxfId="1024" priority="132" stopIfTrue="1" operator="equal">
      <formula>"WARNING"</formula>
    </cfRule>
  </conditionalFormatting>
  <conditionalFormatting sqref="AD79">
    <cfRule type="cellIs" dxfId="1023" priority="127" stopIfTrue="1" operator="equal">
      <formula>"ERROR"</formula>
    </cfRule>
    <cfRule type="cellIs" dxfId="1022" priority="128" stopIfTrue="1" operator="equal">
      <formula>"OK"</formula>
    </cfRule>
    <cfRule type="cellIs" dxfId="1021" priority="129" stopIfTrue="1" operator="equal">
      <formula>"WARNING"</formula>
    </cfRule>
  </conditionalFormatting>
  <conditionalFormatting sqref="G186:G194">
    <cfRule type="cellIs" dxfId="1020" priority="171" stopIfTrue="1" operator="equal">
      <formula>"ERROR"</formula>
    </cfRule>
    <cfRule type="cellIs" dxfId="1019" priority="172" stopIfTrue="1" operator="equal">
      <formula>"OK"</formula>
    </cfRule>
    <cfRule type="cellIs" dxfId="1018" priority="173" stopIfTrue="1" operator="equal">
      <formula>"WARNING"</formula>
    </cfRule>
  </conditionalFormatting>
  <conditionalFormatting sqref="C181">
    <cfRule type="cellIs" dxfId="1017" priority="124" stopIfTrue="1" operator="equal">
      <formula>"ERROR"</formula>
    </cfRule>
  </conditionalFormatting>
  <conditionalFormatting sqref="C181">
    <cfRule type="cellIs" dxfId="1016" priority="125" stopIfTrue="1" operator="equal">
      <formula>"OK"</formula>
    </cfRule>
  </conditionalFormatting>
  <conditionalFormatting sqref="C181">
    <cfRule type="cellIs" dxfId="1015" priority="126" stopIfTrue="1" operator="equal">
      <formula>"WARNING"</formula>
    </cfRule>
  </conditionalFormatting>
  <conditionalFormatting sqref="N186:N203">
    <cfRule type="cellIs" dxfId="1014" priority="121" stopIfTrue="1" operator="equal">
      <formula>"ERROR"</formula>
    </cfRule>
    <cfRule type="cellIs" dxfId="1013" priority="122" stopIfTrue="1" operator="equal">
      <formula>"OK"</formula>
    </cfRule>
    <cfRule type="cellIs" dxfId="1012" priority="123" stopIfTrue="1" operator="equal">
      <formula>"WARNING"</formula>
    </cfRule>
  </conditionalFormatting>
  <conditionalFormatting sqref="AQ79">
    <cfRule type="cellIs" dxfId="1011" priority="118" stopIfTrue="1" operator="equal">
      <formula>"ERROR"</formula>
    </cfRule>
    <cfRule type="cellIs" dxfId="1010" priority="119" stopIfTrue="1" operator="equal">
      <formula>"OK"</formula>
    </cfRule>
    <cfRule type="cellIs" dxfId="1009" priority="120" stopIfTrue="1" operator="equal">
      <formula>"WARNING"</formula>
    </cfRule>
  </conditionalFormatting>
  <conditionalFormatting sqref="C89">
    <cfRule type="cellIs" dxfId="1008" priority="112" stopIfTrue="1" operator="equal">
      <formula>"ERROR"</formula>
    </cfRule>
  </conditionalFormatting>
  <conditionalFormatting sqref="C89">
    <cfRule type="cellIs" dxfId="1007" priority="113" stopIfTrue="1" operator="equal">
      <formula>"OK"</formula>
    </cfRule>
  </conditionalFormatting>
  <conditionalFormatting sqref="C89">
    <cfRule type="cellIs" dxfId="1006" priority="114" stopIfTrue="1" operator="equal">
      <formula>"WARNING"</formula>
    </cfRule>
  </conditionalFormatting>
  <conditionalFormatting sqref="G94">
    <cfRule type="cellIs" dxfId="1005" priority="115" stopIfTrue="1" operator="equal">
      <formula>"ERROR"</formula>
    </cfRule>
    <cfRule type="cellIs" dxfId="1004" priority="116" stopIfTrue="1" operator="equal">
      <formula>"OK"</formula>
    </cfRule>
    <cfRule type="cellIs" dxfId="1003" priority="117" stopIfTrue="1" operator="equal">
      <formula>"WARNING"</formula>
    </cfRule>
  </conditionalFormatting>
  <conditionalFormatting sqref="N94">
    <cfRule type="cellIs" dxfId="1002" priority="109" stopIfTrue="1" operator="equal">
      <formula>"ERROR"</formula>
    </cfRule>
    <cfRule type="cellIs" dxfId="1001" priority="110" stopIfTrue="1" operator="equal">
      <formula>"OK"</formula>
    </cfRule>
    <cfRule type="cellIs" dxfId="1000" priority="111" stopIfTrue="1" operator="equal">
      <formula>"WARNING"</formula>
    </cfRule>
  </conditionalFormatting>
  <conditionalFormatting sqref="W94">
    <cfRule type="cellIs" dxfId="999" priority="106" stopIfTrue="1" operator="equal">
      <formula>"ERROR"</formula>
    </cfRule>
    <cfRule type="cellIs" dxfId="998" priority="107" stopIfTrue="1" operator="equal">
      <formula>"OK"</formula>
    </cfRule>
    <cfRule type="cellIs" dxfId="997" priority="108" stopIfTrue="1" operator="equal">
      <formula>"WARNING"</formula>
    </cfRule>
  </conditionalFormatting>
  <conditionalFormatting sqref="AJ94">
    <cfRule type="cellIs" dxfId="996" priority="103" stopIfTrue="1" operator="equal">
      <formula>"ERROR"</formula>
    </cfRule>
    <cfRule type="cellIs" dxfId="995" priority="104" stopIfTrue="1" operator="equal">
      <formula>"OK"</formula>
    </cfRule>
    <cfRule type="cellIs" dxfId="994" priority="105" stopIfTrue="1" operator="equal">
      <formula>"WARNING"</formula>
    </cfRule>
  </conditionalFormatting>
  <conditionalFormatting sqref="C104">
    <cfRule type="cellIs" dxfId="993" priority="97" stopIfTrue="1" operator="equal">
      <formula>"ERROR"</formula>
    </cfRule>
  </conditionalFormatting>
  <conditionalFormatting sqref="C104">
    <cfRule type="cellIs" dxfId="992" priority="98" stopIfTrue="1" operator="equal">
      <formula>"OK"</formula>
    </cfRule>
  </conditionalFormatting>
  <conditionalFormatting sqref="C104">
    <cfRule type="cellIs" dxfId="991" priority="99" stopIfTrue="1" operator="equal">
      <formula>"WARNING"</formula>
    </cfRule>
  </conditionalFormatting>
  <conditionalFormatting sqref="G109">
    <cfRule type="cellIs" dxfId="990" priority="100" stopIfTrue="1" operator="equal">
      <formula>"ERROR"</formula>
    </cfRule>
    <cfRule type="cellIs" dxfId="989" priority="101" stopIfTrue="1" operator="equal">
      <formula>"OK"</formula>
    </cfRule>
    <cfRule type="cellIs" dxfId="988" priority="102" stopIfTrue="1" operator="equal">
      <formula>"WARNING"</formula>
    </cfRule>
  </conditionalFormatting>
  <conditionalFormatting sqref="N109">
    <cfRule type="cellIs" dxfId="987" priority="94" stopIfTrue="1" operator="equal">
      <formula>"ERROR"</formula>
    </cfRule>
    <cfRule type="cellIs" dxfId="986" priority="95" stopIfTrue="1" operator="equal">
      <formula>"OK"</formula>
    </cfRule>
    <cfRule type="cellIs" dxfId="985" priority="96" stopIfTrue="1" operator="equal">
      <formula>"WARNING"</formula>
    </cfRule>
  </conditionalFormatting>
  <conditionalFormatting sqref="W109">
    <cfRule type="cellIs" dxfId="984" priority="91" stopIfTrue="1" operator="equal">
      <formula>"ERROR"</formula>
    </cfRule>
    <cfRule type="cellIs" dxfId="983" priority="92" stopIfTrue="1" operator="equal">
      <formula>"OK"</formula>
    </cfRule>
    <cfRule type="cellIs" dxfId="982" priority="93" stopIfTrue="1" operator="equal">
      <formula>"WARNING"</formula>
    </cfRule>
  </conditionalFormatting>
  <conditionalFormatting sqref="AJ109">
    <cfRule type="cellIs" dxfId="981" priority="88" stopIfTrue="1" operator="equal">
      <formula>"ERROR"</formula>
    </cfRule>
    <cfRule type="cellIs" dxfId="980" priority="89" stopIfTrue="1" operator="equal">
      <formula>"OK"</formula>
    </cfRule>
    <cfRule type="cellIs" dxfId="979" priority="90" stopIfTrue="1" operator="equal">
      <formula>"WARNING"</formula>
    </cfRule>
  </conditionalFormatting>
  <conditionalFormatting sqref="G124">
    <cfRule type="cellIs" dxfId="978" priority="82" stopIfTrue="1" operator="equal">
      <formula>"ERROR"</formula>
    </cfRule>
    <cfRule type="cellIs" dxfId="977" priority="83" stopIfTrue="1" operator="equal">
      <formula>"OK"</formula>
    </cfRule>
    <cfRule type="cellIs" dxfId="976" priority="84" stopIfTrue="1" operator="equal">
      <formula>"WARNING"</formula>
    </cfRule>
  </conditionalFormatting>
  <conditionalFormatting sqref="C119">
    <cfRule type="cellIs" dxfId="975" priority="79" stopIfTrue="1" operator="equal">
      <formula>"ERROR"</formula>
    </cfRule>
  </conditionalFormatting>
  <conditionalFormatting sqref="C119">
    <cfRule type="cellIs" dxfId="974" priority="80" stopIfTrue="1" operator="equal">
      <formula>"OK"</formula>
    </cfRule>
  </conditionalFormatting>
  <conditionalFormatting sqref="C119">
    <cfRule type="cellIs" dxfId="973" priority="81" stopIfTrue="1" operator="equal">
      <formula>"WARNING"</formula>
    </cfRule>
  </conditionalFormatting>
  <conditionalFormatting sqref="O124">
    <cfRule type="cellIs" dxfId="972" priority="76" stopIfTrue="1" operator="equal">
      <formula>"ERROR"</formula>
    </cfRule>
    <cfRule type="cellIs" dxfId="971" priority="77" stopIfTrue="1" operator="equal">
      <formula>"OK"</formula>
    </cfRule>
    <cfRule type="cellIs" dxfId="970" priority="78" stopIfTrue="1" operator="equal">
      <formula>"WARNING"</formula>
    </cfRule>
  </conditionalFormatting>
  <conditionalFormatting sqref="AC124">
    <cfRule type="cellIs" dxfId="969" priority="73" stopIfTrue="1" operator="equal">
      <formula>"ERROR"</formula>
    </cfRule>
    <cfRule type="cellIs" dxfId="968" priority="74" stopIfTrue="1" operator="equal">
      <formula>"OK"</formula>
    </cfRule>
    <cfRule type="cellIs" dxfId="967" priority="75" stopIfTrue="1" operator="equal">
      <formula>"WARNING"</formula>
    </cfRule>
  </conditionalFormatting>
  <conditionalFormatting sqref="AS124">
    <cfRule type="cellIs" dxfId="966" priority="70" stopIfTrue="1" operator="equal">
      <formula>"ERROR"</formula>
    </cfRule>
    <cfRule type="cellIs" dxfId="965" priority="71" stopIfTrue="1" operator="equal">
      <formula>"OK"</formula>
    </cfRule>
    <cfRule type="cellIs" dxfId="964" priority="72" stopIfTrue="1" operator="equal">
      <formula>"WARNING"</formula>
    </cfRule>
  </conditionalFormatting>
  <conditionalFormatting sqref="AA186">
    <cfRule type="cellIs" dxfId="963" priority="67" stopIfTrue="1" operator="equal">
      <formula>"ERROR"</formula>
    </cfRule>
    <cfRule type="cellIs" dxfId="962" priority="68" stopIfTrue="1" operator="equal">
      <formula>"OK"</formula>
    </cfRule>
    <cfRule type="cellIs" dxfId="961" priority="69" stopIfTrue="1" operator="equal">
      <formula>"WARNING"</formula>
    </cfRule>
  </conditionalFormatting>
  <conditionalFormatting sqref="C224">
    <cfRule type="cellIs" dxfId="960" priority="64" stopIfTrue="1" operator="equal">
      <formula>"ERROR"</formula>
    </cfRule>
  </conditionalFormatting>
  <conditionalFormatting sqref="C224">
    <cfRule type="cellIs" dxfId="959" priority="65" stopIfTrue="1" operator="equal">
      <formula>"OK"</formula>
    </cfRule>
  </conditionalFormatting>
  <conditionalFormatting sqref="C224">
    <cfRule type="cellIs" dxfId="958" priority="66" stopIfTrue="1" operator="equal">
      <formula>"WARNING"</formula>
    </cfRule>
  </conditionalFormatting>
  <conditionalFormatting sqref="H229:I233">
    <cfRule type="cellIs" dxfId="957" priority="174" stopIfTrue="1" operator="equal">
      <formula>"ERROR"</formula>
    </cfRule>
  </conditionalFormatting>
  <conditionalFormatting sqref="H229:I233">
    <cfRule type="cellIs" dxfId="956" priority="175" stopIfTrue="1" operator="equal">
      <formula>"OK"</formula>
    </cfRule>
  </conditionalFormatting>
  <conditionalFormatting sqref="H229:I233">
    <cfRule type="cellIs" dxfId="955" priority="176" stopIfTrue="1" operator="equal">
      <formula>"WARNING"</formula>
    </cfRule>
  </conditionalFormatting>
  <conditionalFormatting sqref="D16:D17">
    <cfRule type="cellIs" dxfId="954" priority="177" stopIfTrue="1" operator="equal">
      <formula>"ERROR"</formula>
    </cfRule>
    <cfRule type="cellIs" dxfId="953" priority="178" stopIfTrue="1" operator="equal">
      <formula>"OK"</formula>
    </cfRule>
    <cfRule type="cellIs" dxfId="952" priority="179" stopIfTrue="1" operator="equal">
      <formula>"WARNING"</formula>
    </cfRule>
  </conditionalFormatting>
  <conditionalFormatting sqref="D18:D19">
    <cfRule type="cellIs" dxfId="951" priority="180" stopIfTrue="1" operator="equal">
      <formula>"ERROR"</formula>
    </cfRule>
    <cfRule type="cellIs" dxfId="950" priority="181" stopIfTrue="1" operator="equal">
      <formula>"OK"</formula>
    </cfRule>
    <cfRule type="cellIs" dxfId="949" priority="182" stopIfTrue="1" operator="equal">
      <formula>"WARNING"</formula>
    </cfRule>
  </conditionalFormatting>
  <conditionalFormatting sqref="C239">
    <cfRule type="cellIs" dxfId="948" priority="58" stopIfTrue="1" operator="equal">
      <formula>"ERROR"</formula>
    </cfRule>
  </conditionalFormatting>
  <conditionalFormatting sqref="C239">
    <cfRule type="cellIs" dxfId="947" priority="59" stopIfTrue="1" operator="equal">
      <formula>"OK"</formula>
    </cfRule>
  </conditionalFormatting>
  <conditionalFormatting sqref="C239">
    <cfRule type="cellIs" dxfId="946" priority="60" stopIfTrue="1" operator="equal">
      <formula>"WARNING"</formula>
    </cfRule>
  </conditionalFormatting>
  <conditionalFormatting sqref="L244:O248">
    <cfRule type="cellIs" dxfId="945" priority="61" stopIfTrue="1" operator="equal">
      <formula>"ERROR"</formula>
    </cfRule>
  </conditionalFormatting>
  <conditionalFormatting sqref="L244:O248">
    <cfRule type="cellIs" dxfId="944" priority="62" stopIfTrue="1" operator="equal">
      <formula>"OK"</formula>
    </cfRule>
  </conditionalFormatting>
  <conditionalFormatting sqref="L244:O248">
    <cfRule type="cellIs" dxfId="943" priority="63" stopIfTrue="1" operator="equal">
      <formula>"WARNING"</formula>
    </cfRule>
  </conditionalFormatting>
  <conditionalFormatting sqref="C133">
    <cfRule type="cellIs" dxfId="942" priority="55" stopIfTrue="1" operator="equal">
      <formula>"ERROR"</formula>
    </cfRule>
  </conditionalFormatting>
  <conditionalFormatting sqref="C133">
    <cfRule type="cellIs" dxfId="941" priority="56" stopIfTrue="1" operator="equal">
      <formula>"OK"</formula>
    </cfRule>
  </conditionalFormatting>
  <conditionalFormatting sqref="C133">
    <cfRule type="cellIs" dxfId="940" priority="57" stopIfTrue="1" operator="equal">
      <formula>"WARNING"</formula>
    </cfRule>
  </conditionalFormatting>
  <conditionalFormatting sqref="L138:O176">
    <cfRule type="cellIs" dxfId="939" priority="183" stopIfTrue="1" operator="equal">
      <formula>"ERROR"</formula>
    </cfRule>
  </conditionalFormatting>
  <conditionalFormatting sqref="L138:O176">
    <cfRule type="cellIs" dxfId="938" priority="184" stopIfTrue="1" operator="equal">
      <formula>"OK"</formula>
    </cfRule>
  </conditionalFormatting>
  <conditionalFormatting sqref="L138:O176">
    <cfRule type="cellIs" dxfId="937" priority="185" stopIfTrue="1" operator="equal">
      <formula>"WARNING"</formula>
    </cfRule>
  </conditionalFormatting>
  <conditionalFormatting sqref="C208">
    <cfRule type="cellIs" dxfId="936" priority="52" stopIfTrue="1" operator="equal">
      <formula>"ERROR"</formula>
    </cfRule>
  </conditionalFormatting>
  <conditionalFormatting sqref="C208">
    <cfRule type="cellIs" dxfId="935" priority="53" stopIfTrue="1" operator="equal">
      <formula>"OK"</formula>
    </cfRule>
  </conditionalFormatting>
  <conditionalFormatting sqref="C208">
    <cfRule type="cellIs" dxfId="934" priority="54" stopIfTrue="1" operator="equal">
      <formula>"WARNING"</formula>
    </cfRule>
  </conditionalFormatting>
  <conditionalFormatting sqref="G213:G217">
    <cfRule type="cellIs" dxfId="933" priority="186" stopIfTrue="1" operator="equal">
      <formula>"ERROR"</formula>
    </cfRule>
  </conditionalFormatting>
  <conditionalFormatting sqref="G213:G217">
    <cfRule type="cellIs" dxfId="932" priority="187" stopIfTrue="1" operator="equal">
      <formula>"OK"</formula>
    </cfRule>
  </conditionalFormatting>
  <conditionalFormatting sqref="G213:G217">
    <cfRule type="cellIs" dxfId="931" priority="188" stopIfTrue="1" operator="equal">
      <formula>"WARNING"</formula>
    </cfRule>
  </conditionalFormatting>
  <conditionalFormatting sqref="N213:N217">
    <cfRule type="cellIs" dxfId="930" priority="49" stopIfTrue="1" operator="equal">
      <formula>"ERROR"</formula>
    </cfRule>
  </conditionalFormatting>
  <conditionalFormatting sqref="N213:N217">
    <cfRule type="cellIs" dxfId="929" priority="50" stopIfTrue="1" operator="equal">
      <formula>"OK"</formula>
    </cfRule>
  </conditionalFormatting>
  <conditionalFormatting sqref="N213:N217">
    <cfRule type="cellIs" dxfId="928" priority="51" stopIfTrue="1" operator="equal">
      <formula>"WARNING"</formula>
    </cfRule>
  </conditionalFormatting>
  <conditionalFormatting sqref="U213:U217">
    <cfRule type="cellIs" dxfId="927" priority="46" stopIfTrue="1" operator="equal">
      <formula>"ERROR"</formula>
    </cfRule>
  </conditionalFormatting>
  <conditionalFormatting sqref="U213:U217">
    <cfRule type="cellIs" dxfId="926" priority="47" stopIfTrue="1" operator="equal">
      <formula>"OK"</formula>
    </cfRule>
  </conditionalFormatting>
  <conditionalFormatting sqref="U213:U217">
    <cfRule type="cellIs" dxfId="925" priority="48" stopIfTrue="1" operator="equal">
      <formula>"WARNING"</formula>
    </cfRule>
  </conditionalFormatting>
  <conditionalFormatting sqref="AI213">
    <cfRule type="cellIs" dxfId="924" priority="43" stopIfTrue="1" operator="equal">
      <formula>"ERROR"</formula>
    </cfRule>
  </conditionalFormatting>
  <conditionalFormatting sqref="AI213">
    <cfRule type="cellIs" dxfId="923" priority="44" stopIfTrue="1" operator="equal">
      <formula>"OK"</formula>
    </cfRule>
  </conditionalFormatting>
  <conditionalFormatting sqref="AI213">
    <cfRule type="cellIs" dxfId="922" priority="45" stopIfTrue="1" operator="equal">
      <formula>"WARNING"</formula>
    </cfRule>
  </conditionalFormatting>
  <conditionalFormatting sqref="C253">
    <cfRule type="cellIs" dxfId="921" priority="40" stopIfTrue="1" operator="equal">
      <formula>"ERROR"</formula>
    </cfRule>
  </conditionalFormatting>
  <conditionalFormatting sqref="C253">
    <cfRule type="cellIs" dxfId="920" priority="41" stopIfTrue="1" operator="equal">
      <formula>"OK"</formula>
    </cfRule>
  </conditionalFormatting>
  <conditionalFormatting sqref="C253">
    <cfRule type="cellIs" dxfId="919" priority="42" stopIfTrue="1" operator="equal">
      <formula>"WARNING"</formula>
    </cfRule>
  </conditionalFormatting>
  <conditionalFormatting sqref="E258:E264">
    <cfRule type="cellIs" dxfId="918" priority="189" stopIfTrue="1" operator="equal">
      <formula>"ERROR"</formula>
    </cfRule>
  </conditionalFormatting>
  <conditionalFormatting sqref="E258:E264">
    <cfRule type="cellIs" dxfId="917" priority="190" stopIfTrue="1" operator="equal">
      <formula>"OK"</formula>
    </cfRule>
  </conditionalFormatting>
  <conditionalFormatting sqref="E258:E264">
    <cfRule type="cellIs" dxfId="916" priority="191" stopIfTrue="1" operator="equal">
      <formula>"WARNING"</formula>
    </cfRule>
  </conditionalFormatting>
  <conditionalFormatting sqref="D20">
    <cfRule type="cellIs" dxfId="915" priority="37" stopIfTrue="1" operator="equal">
      <formula>"ERROR"</formula>
    </cfRule>
    <cfRule type="cellIs" dxfId="914" priority="38" stopIfTrue="1" operator="equal">
      <formula>"OK"</formula>
    </cfRule>
    <cfRule type="cellIs" dxfId="913" priority="39" stopIfTrue="1" operator="equal">
      <formula>"WARNING"</formula>
    </cfRule>
  </conditionalFormatting>
  <conditionalFormatting sqref="C62">
    <cfRule type="cellIs" dxfId="912" priority="34" stopIfTrue="1" operator="equal">
      <formula>"ERROR"</formula>
    </cfRule>
  </conditionalFormatting>
  <conditionalFormatting sqref="C62">
    <cfRule type="cellIs" dxfId="911" priority="35" stopIfTrue="1" operator="equal">
      <formula>"OK"</formula>
    </cfRule>
  </conditionalFormatting>
  <conditionalFormatting sqref="C62">
    <cfRule type="cellIs" dxfId="910" priority="36" stopIfTrue="1" operator="equal">
      <formula>"WARNING"</formula>
    </cfRule>
  </conditionalFormatting>
  <conditionalFormatting sqref="G67">
    <cfRule type="cellIs" dxfId="909" priority="31" stopIfTrue="1" operator="equal">
      <formula>"ERROR"</formula>
    </cfRule>
    <cfRule type="cellIs" dxfId="908" priority="32" stopIfTrue="1" operator="equal">
      <formula>"OK"</formula>
    </cfRule>
    <cfRule type="cellIs" dxfId="907" priority="33" stopIfTrue="1" operator="equal">
      <formula>"WARNING"</formula>
    </cfRule>
  </conditionalFormatting>
  <conditionalFormatting sqref="C38">
    <cfRule type="cellIs" dxfId="906" priority="28" stopIfTrue="1" operator="equal">
      <formula>"ERROR"</formula>
    </cfRule>
  </conditionalFormatting>
  <conditionalFormatting sqref="C38">
    <cfRule type="cellIs" dxfId="905" priority="29" stopIfTrue="1" operator="equal">
      <formula>"OK"</formula>
    </cfRule>
  </conditionalFormatting>
  <conditionalFormatting sqref="C38">
    <cfRule type="cellIs" dxfId="904" priority="30" stopIfTrue="1" operator="equal">
      <formula>"WARNING"</formula>
    </cfRule>
  </conditionalFormatting>
  <conditionalFormatting sqref="G43">
    <cfRule type="cellIs" dxfId="903" priority="25" stopIfTrue="1" operator="equal">
      <formula>"ERROR"</formula>
    </cfRule>
    <cfRule type="cellIs" dxfId="902" priority="26" stopIfTrue="1" operator="equal">
      <formula>"OK"</formula>
    </cfRule>
    <cfRule type="cellIs" dxfId="901" priority="27" stopIfTrue="1" operator="equal">
      <formula>"WARNING"</formula>
    </cfRule>
  </conditionalFormatting>
  <conditionalFormatting sqref="D8:D10">
    <cfRule type="cellIs" dxfId="900" priority="22" stopIfTrue="1" operator="equal">
      <formula>"ERROR"</formula>
    </cfRule>
    <cfRule type="cellIs" dxfId="899" priority="23" stopIfTrue="1" operator="equal">
      <formula>"OK"</formula>
    </cfRule>
    <cfRule type="cellIs" dxfId="898" priority="24" stopIfTrue="1" operator="equal">
      <formula>"WARNING"</formula>
    </cfRule>
  </conditionalFormatting>
  <conditionalFormatting sqref="C50">
    <cfRule type="cellIs" dxfId="897" priority="19" stopIfTrue="1" operator="equal">
      <formula>"ERROR"</formula>
    </cfRule>
  </conditionalFormatting>
  <conditionalFormatting sqref="C50">
    <cfRule type="cellIs" dxfId="896" priority="20" stopIfTrue="1" operator="equal">
      <formula>"OK"</formula>
    </cfRule>
  </conditionalFormatting>
  <conditionalFormatting sqref="C50">
    <cfRule type="cellIs" dxfId="895" priority="21" stopIfTrue="1" operator="equal">
      <formula>"WARNING"</formula>
    </cfRule>
  </conditionalFormatting>
  <conditionalFormatting sqref="G55">
    <cfRule type="cellIs" dxfId="894" priority="16" stopIfTrue="1" operator="equal">
      <formula>"ERROR"</formula>
    </cfRule>
    <cfRule type="cellIs" dxfId="893" priority="17" stopIfTrue="1" operator="equal">
      <formula>"OK"</formula>
    </cfRule>
    <cfRule type="cellIs" dxfId="892" priority="18" stopIfTrue="1" operator="equal">
      <formula>"WARNING"</formula>
    </cfRule>
  </conditionalFormatting>
  <conditionalFormatting sqref="N79">
    <cfRule type="cellIs" dxfId="891" priority="13" stopIfTrue="1" operator="equal">
      <formula>"ERROR"</formula>
    </cfRule>
    <cfRule type="cellIs" dxfId="890" priority="14" stopIfTrue="1" operator="equal">
      <formula>"OK"</formula>
    </cfRule>
    <cfRule type="cellIs" dxfId="889" priority="15" stopIfTrue="1" operator="equal">
      <formula>"WARNING"</formula>
    </cfRule>
  </conditionalFormatting>
  <conditionalFormatting sqref="C26">
    <cfRule type="cellIs" dxfId="888" priority="10" stopIfTrue="1" operator="equal">
      <formula>"ERROR"</formula>
    </cfRule>
  </conditionalFormatting>
  <conditionalFormatting sqref="C26">
    <cfRule type="cellIs" dxfId="887" priority="11" stopIfTrue="1" operator="equal">
      <formula>"OK"</formula>
    </cfRule>
  </conditionalFormatting>
  <conditionalFormatting sqref="C26">
    <cfRule type="cellIs" dxfId="886" priority="12" stopIfTrue="1" operator="equal">
      <formula>"WARNING"</formula>
    </cfRule>
  </conditionalFormatting>
  <conditionalFormatting sqref="G31">
    <cfRule type="cellIs" dxfId="885" priority="7" stopIfTrue="1" operator="equal">
      <formula>"ERROR"</formula>
    </cfRule>
    <cfRule type="cellIs" dxfId="884" priority="8" stopIfTrue="1" operator="equal">
      <formula>"OK"</formula>
    </cfRule>
    <cfRule type="cellIs" dxfId="883" priority="9" stopIfTrue="1" operator="equal">
      <formula>"WARNING"</formula>
    </cfRule>
  </conditionalFormatting>
  <conditionalFormatting sqref="D7">
    <cfRule type="cellIs" dxfId="882" priority="1" stopIfTrue="1" operator="equal">
      <formula>"ERROR"</formula>
    </cfRule>
    <cfRule type="cellIs" dxfId="881" priority="2" stopIfTrue="1" operator="equal">
      <formula>"OK"</formula>
    </cfRule>
    <cfRule type="cellIs" dxfId="88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373</v>
      </c>
    </row>
    <row r="2" spans="1:87" ht="26.25">
      <c r="B2" s="2" t="s">
        <v>324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ref="C4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325</v>
      </c>
      <c r="C7" s="201"/>
      <c r="D7" s="291" t="str">
        <f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550</v>
      </c>
      <c r="C8" s="201"/>
      <c r="D8" s="291" t="str">
        <f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341</v>
      </c>
      <c r="C9" s="201"/>
      <c r="D9" s="291" t="str">
        <f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325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ref="C14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326</v>
      </c>
      <c r="C16" s="298"/>
      <c r="D16" s="298"/>
      <c r="E16" s="298"/>
      <c r="F16" s="298"/>
      <c r="G16" s="298"/>
      <c r="H16" s="298"/>
      <c r="J16" s="4" t="s">
        <v>330</v>
      </c>
      <c r="K16" s="298"/>
      <c r="L16" s="298"/>
      <c r="M16" s="298"/>
      <c r="N16" s="298"/>
      <c r="O16" s="298"/>
      <c r="P16" s="298"/>
      <c r="R16" s="4" t="s">
        <v>332</v>
      </c>
      <c r="S16" s="298"/>
      <c r="T16" s="298"/>
      <c r="U16" s="298"/>
      <c r="V16" s="298"/>
      <c r="W16" s="298"/>
      <c r="X16" s="298"/>
      <c r="Y16" s="298"/>
      <c r="AA16" s="4" t="s">
        <v>333</v>
      </c>
      <c r="AB16" s="298"/>
      <c r="AC16" s="298"/>
      <c r="AD16" s="298"/>
      <c r="AE16" s="298"/>
      <c r="AF16" s="298"/>
      <c r="AG16" s="298"/>
      <c r="AI16" s="4" t="s">
        <v>334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462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463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466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327</v>
      </c>
      <c r="C19" s="314" t="s">
        <v>328</v>
      </c>
      <c r="D19" s="119" t="s">
        <v>329</v>
      </c>
      <c r="F19" s="316" cm="1">
        <f t="array" ref="F19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ref="H19">_xll.d.TestUtils_Equal(F19,G19)</f>
        <v>Ok</v>
      </c>
      <c r="J19" s="313" t="s">
        <v>327</v>
      </c>
      <c r="K19" s="314" t="s">
        <v>328</v>
      </c>
      <c r="L19" s="119" t="s">
        <v>329</v>
      </c>
      <c r="N19" s="316" cm="1">
        <f t="array" ref="N19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ref="P19">_xll.d.TestUtils_Equal(N19,O19)</f>
        <v>Ok</v>
      </c>
      <c r="R19" s="313" t="s">
        <v>327</v>
      </c>
      <c r="S19" s="314" t="s">
        <v>328</v>
      </c>
      <c r="T19" s="314" t="s">
        <v>331</v>
      </c>
      <c r="U19" s="119" t="s">
        <v>329</v>
      </c>
      <c r="W19" s="316" cm="1">
        <f t="array" ref="W19">_xll.d.Math_Interpolate(R20:R21,T20:T21,U20,"exponential")-EXP(_xll.d.Math_Interpolate(R20:R21,S20:S21,U20,"linear"))</f>
        <v>0</v>
      </c>
      <c r="X19" s="317">
        <v>0</v>
      </c>
      <c r="Y19" s="301" t="str" cm="1">
        <f t="array" ref="Y19">_xll.d.TestUtils_Equal(W19,X19)</f>
        <v>Ok</v>
      </c>
      <c r="AA19" s="313" t="s">
        <v>327</v>
      </c>
      <c r="AB19" s="314" t="s">
        <v>328</v>
      </c>
      <c r="AC19" s="119" t="s">
        <v>329</v>
      </c>
      <c r="AE19" s="316" cm="1">
        <f t="array" ref="AE19">_xll.d.Math_Interpolate(AA20:AA21,AB20:AB21,AC20,"flat")</f>
        <v>0.05</v>
      </c>
      <c r="AF19" s="317">
        <f>IF(AC20&lt;AA21,AB20,AB21)</f>
        <v>0.05</v>
      </c>
      <c r="AG19" s="301" t="str" cm="1">
        <f t="array" ref="AG19">_xll.d.TestUtils_Equal(AE19,AF19)</f>
        <v>Ok</v>
      </c>
      <c r="AI19" s="313" t="s">
        <v>327</v>
      </c>
      <c r="AJ19" s="314" t="s">
        <v>328</v>
      </c>
      <c r="AK19" s="119" t="s">
        <v>329</v>
      </c>
      <c r="AM19" s="551" t="str" cm="1">
        <f t="array" ref="AM19">_xll.d.Math_Interpolate(AI20,AJ20:AJ21,AK20,"linear")</f>
        <v>#∂Excel Error: Dimensions of x and y ranges don't match.</v>
      </c>
      <c r="AN19" s="552"/>
      <c r="AO19" s="552"/>
      <c r="AP19" s="552"/>
      <c r="AQ19" s="552" t="s">
        <v>460</v>
      </c>
      <c r="AR19" s="552"/>
      <c r="AS19" s="552"/>
      <c r="AT19" s="552"/>
      <c r="AU19" s="301" t="str" cm="1">
        <f t="array" ref="AU19">_xll.d.TestUtils_Equal(AM19,AQ19)</f>
        <v>Ok</v>
      </c>
      <c r="AW19" s="313" t="s">
        <v>327</v>
      </c>
      <c r="AX19" s="314" t="s">
        <v>328</v>
      </c>
      <c r="AY19" s="119" t="s">
        <v>329</v>
      </c>
      <c r="BA19" s="551" t="str" cm="1">
        <f t="array" ref="BA19">_xll.d.Math_Interpolate(AW20:AX21,AX20:AX21,AY20,"linear")</f>
        <v>#∂Excel Error: x-value range has too many dimensions.</v>
      </c>
      <c r="BB19" s="552"/>
      <c r="BC19" s="552"/>
      <c r="BD19" s="552"/>
      <c r="BE19" s="552" t="s">
        <v>461</v>
      </c>
      <c r="BF19" s="552"/>
      <c r="BG19" s="552"/>
      <c r="BH19" s="552"/>
      <c r="BI19" s="301" t="str" cm="1">
        <f t="array" ref="BI19">_xll.d.TestUtils_Equal(BA19,BE19)</f>
        <v>Ok</v>
      </c>
      <c r="BK19" s="313" t="s">
        <v>327</v>
      </c>
      <c r="BL19" s="314" t="s">
        <v>328</v>
      </c>
      <c r="BM19" s="119" t="s">
        <v>329</v>
      </c>
      <c r="BN19" s="430"/>
      <c r="BO19" s="551" t="str" cm="1">
        <f t="array" ref="BO19">_xll.d.Math_Interpolate(BK20:BK22,BL20:BL22,BM20,"magic")</f>
        <v>#∂Excel Error: Duplicate values in x-values range.</v>
      </c>
      <c r="BP19" s="552"/>
      <c r="BQ19" s="552"/>
      <c r="BR19" s="552"/>
      <c r="BS19" s="552" t="s">
        <v>464</v>
      </c>
      <c r="BT19" s="552"/>
      <c r="BU19" s="552"/>
      <c r="BV19" s="552"/>
      <c r="BW19" s="301" t="str" cm="1">
        <f t="array" ref="BW19">_xll.d.TestUtils_Equal(BO19,BS19)</f>
        <v>Ok</v>
      </c>
      <c r="BX19" s="430"/>
      <c r="BY19" s="313" t="s">
        <v>327</v>
      </c>
      <c r="BZ19" s="314" t="s">
        <v>328</v>
      </c>
      <c r="CA19" s="119" t="s">
        <v>329</v>
      </c>
      <c r="CC19" s="551" t="str" cm="1">
        <f t="array" ref="CC19">_xll.d.Math_Interpolate(BY20:BY21,BZ20:BZ21,CA20,"magic")</f>
        <v>#∂Excel Error: Unsupported interpolation: 'magic'</v>
      </c>
      <c r="CD19" s="552"/>
      <c r="CE19" s="552"/>
      <c r="CF19" s="552" t="s">
        <v>450</v>
      </c>
      <c r="CG19" s="552"/>
      <c r="CH19" s="552"/>
      <c r="CI19" s="301" t="str" cm="1">
        <f t="array" ref="CI19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550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ref="C26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326</v>
      </c>
      <c r="C28" s="298"/>
      <c r="D28" s="298"/>
      <c r="E28" s="298"/>
      <c r="F28" s="298"/>
      <c r="G28" s="298"/>
      <c r="H28" s="298"/>
      <c r="I28" s="298"/>
      <c r="J28" s="298"/>
      <c r="L28" s="4" t="s">
        <v>564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566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327</v>
      </c>
      <c r="C31" s="629" t="s">
        <v>551</v>
      </c>
      <c r="D31" s="630"/>
      <c r="E31" s="630"/>
      <c r="F31" s="119" t="s">
        <v>329</v>
      </c>
      <c r="H31" s="316" cm="1">
        <f t="array" ref="H3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ref="J31">_xll.d.TestUtils_Equal(H31,I31)</f>
        <v>Ok</v>
      </c>
      <c r="L31" s="313" t="s">
        <v>327</v>
      </c>
      <c r="M31" s="629" t="s">
        <v>551</v>
      </c>
      <c r="N31" s="630"/>
      <c r="O31" s="630"/>
      <c r="P31" s="119" t="s">
        <v>329</v>
      </c>
      <c r="R31" s="551" t="str" cm="1">
        <f t="array" ref="R31">_xll.d.Math_InterpolateChosenColumn(L32:L33,M32:O33,-1,P32,"linear")</f>
        <v>#∂Excel Error: Column index &lt; 0. Must be between 0 and 2.</v>
      </c>
      <c r="S31" s="552"/>
      <c r="T31" s="552"/>
      <c r="U31" s="552" t="s">
        <v>565</v>
      </c>
      <c r="V31" s="552"/>
      <c r="W31" s="552"/>
      <c r="X31" s="301" t="str" cm="1">
        <f t="array" ref="X31">_xll.d.TestUtils_Equal(R31,U31)</f>
        <v>Ok</v>
      </c>
      <c r="Z31" s="313" t="s">
        <v>327</v>
      </c>
      <c r="AA31" s="629" t="s">
        <v>551</v>
      </c>
      <c r="AB31" s="630"/>
      <c r="AC31" s="630"/>
      <c r="AD31" s="119" t="s">
        <v>329</v>
      </c>
      <c r="AF31" s="551" t="str" cm="1">
        <f t="array" ref="AF31">_xll.d.Math_InterpolateChosenColumn(Z32:Z33,AA32:AC33,3,AD32,"linear")</f>
        <v>#∂Excel Error: Column index ≥ 3. Must be between 0 and 2.</v>
      </c>
      <c r="AG31" s="552"/>
      <c r="AH31" s="552"/>
      <c r="AI31" s="552" t="s">
        <v>567</v>
      </c>
      <c r="AJ31" s="552"/>
      <c r="AK31" s="552"/>
      <c r="AL31" s="301" t="str" cm="1">
        <f t="array" ref="AL3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341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ref="C38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342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343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344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345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335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339</v>
      </c>
      <c r="D43" s="330"/>
      <c r="E43" s="330"/>
      <c r="F43" s="328"/>
      <c r="G43" s="332" t="s">
        <v>340</v>
      </c>
      <c r="H43" s="331"/>
      <c r="J43" s="316" cm="1">
        <f t="array" ref="J43">_xll.d.Math_Interpolate2D(B44:F49,G45,H45,"linear")</f>
        <v>9.5</v>
      </c>
      <c r="K43" s="317">
        <v>9.5</v>
      </c>
      <c r="L43" s="301" t="str" cm="1">
        <f t="array" ref="L43">_xll.d.TestUtils_Equal(J43,K43)</f>
        <v>Ok</v>
      </c>
      <c r="N43" s="325"/>
      <c r="O43" s="327" t="s">
        <v>339</v>
      </c>
      <c r="P43" s="330"/>
      <c r="Q43" s="330"/>
      <c r="R43" s="328"/>
      <c r="S43" s="332" t="s">
        <v>340</v>
      </c>
      <c r="T43" s="331"/>
      <c r="W43" s="316" cm="1">
        <f t="array" ref="W43">_xll.d.Math_Interpolate2D(N44:R49,S45,T45,"exponential")</f>
        <v>9.2723643716594051</v>
      </c>
      <c r="X43" s="317">
        <v>9.272364616394043</v>
      </c>
      <c r="Y43" s="301" t="str" cm="1">
        <f t="array" ref="Y43">_xll.d.TestUtils_Equal(W43,X43,0.00001)</f>
        <v>Ok</v>
      </c>
      <c r="AA43" s="325"/>
      <c r="AB43" s="327" t="s">
        <v>339</v>
      </c>
      <c r="AC43" s="330"/>
      <c r="AD43" s="330"/>
      <c r="AE43" s="328"/>
      <c r="AF43" s="332" t="s">
        <v>340</v>
      </c>
      <c r="AG43" s="331"/>
      <c r="AI43" s="316" cm="1">
        <f t="array" ref="AI43">_xll.d.Math_Interpolate2D(AA44:AE49,AF45,AG45,"flat")</f>
        <v>7</v>
      </c>
      <c r="AJ43" s="317">
        <v>7</v>
      </c>
      <c r="AK43" s="301" t="str" cm="1">
        <f t="array" ref="AK43">_xll.d.TestUtils_Equal(AI43,AJ43)</f>
        <v>Ok</v>
      </c>
      <c r="AM43" s="325"/>
      <c r="AN43" s="327" t="s">
        <v>339</v>
      </c>
      <c r="AO43" s="330"/>
      <c r="AP43" s="330"/>
      <c r="AQ43" s="328"/>
      <c r="AR43" s="332" t="s">
        <v>340</v>
      </c>
      <c r="AS43" s="331"/>
      <c r="AU43" s="551" t="str" cm="1">
        <f t="array" ref="AU43">_xll.d.Math_Interpolate2D(AM44:AQ49,AR45,AS45,"linear")</f>
        <v>#∂Excel Error: Extrapolation not supported.</v>
      </c>
      <c r="AV43" s="552"/>
      <c r="AW43" s="552"/>
      <c r="AX43" s="552"/>
      <c r="AY43" s="552" t="s">
        <v>346</v>
      </c>
      <c r="AZ43" s="552"/>
      <c r="BA43" s="552"/>
      <c r="BB43" s="552"/>
      <c r="BC43" s="301" t="str" cm="1">
        <f t="array" ref="BC43">_xll.d.TestUtils_Equal(AU43,AY43)</f>
        <v>Ok</v>
      </c>
      <c r="BE43" s="325"/>
      <c r="BF43" s="327" t="s">
        <v>339</v>
      </c>
      <c r="BG43" s="330"/>
      <c r="BH43" s="330"/>
      <c r="BI43" s="328"/>
      <c r="BJ43" s="332" t="s">
        <v>340</v>
      </c>
      <c r="BK43" s="331"/>
      <c r="BM43" s="551" t="str" cm="1">
        <f t="array" ref="BM43">_xll.d.Math_Interpolate2D(BE44:BI49,BJ45,BK45,"magic")</f>
        <v>#∂Excel Error: Unsupported interpolation: 'magic'</v>
      </c>
      <c r="BN43" s="552"/>
      <c r="BO43" s="552"/>
      <c r="BP43" s="552"/>
      <c r="BQ43" s="552" t="s">
        <v>450</v>
      </c>
      <c r="BR43" s="552"/>
      <c r="BS43" s="552"/>
      <c r="BT43" s="552"/>
      <c r="BU43" s="301" t="str" cm="1">
        <f t="array" ref="BU43">_xll.d.TestUtils_Equal(BM43,BQ43)</f>
        <v>Ok</v>
      </c>
    </row>
    <row r="44" spans="1:82">
      <c r="A44" s="135"/>
      <c r="B44" s="326" t="s">
        <v>338</v>
      </c>
      <c r="C44" s="335">
        <v>0</v>
      </c>
      <c r="D44" s="336">
        <v>1</v>
      </c>
      <c r="E44" s="336">
        <v>2</v>
      </c>
      <c r="F44" s="337">
        <v>3</v>
      </c>
      <c r="G44" s="333" t="s">
        <v>337</v>
      </c>
      <c r="H44" s="119" t="s">
        <v>336</v>
      </c>
      <c r="N44" s="326" t="s">
        <v>338</v>
      </c>
      <c r="O44" s="335">
        <v>0</v>
      </c>
      <c r="P44" s="336">
        <v>1</v>
      </c>
      <c r="Q44" s="336">
        <v>2</v>
      </c>
      <c r="R44" s="337">
        <v>3</v>
      </c>
      <c r="S44" s="333" t="s">
        <v>337</v>
      </c>
      <c r="T44" s="119" t="s">
        <v>336</v>
      </c>
      <c r="AA44" s="326" t="s">
        <v>338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337</v>
      </c>
      <c r="AG44" s="119" t="s">
        <v>336</v>
      </c>
      <c r="AM44" s="326" t="s">
        <v>338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337</v>
      </c>
      <c r="AS44" s="119" t="s">
        <v>336</v>
      </c>
      <c r="AV44" s="430"/>
      <c r="AW44" s="430"/>
      <c r="AX44" s="430"/>
      <c r="AZ44" s="430"/>
      <c r="BA44" s="430"/>
      <c r="BB44" s="430"/>
      <c r="BE44" s="326" t="s">
        <v>338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337</v>
      </c>
      <c r="BK44" s="119" t="s">
        <v>336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879" priority="145" stopIfTrue="1" operator="equal">
      <formula>"ERROR"</formula>
    </cfRule>
    <cfRule type="cellIs" dxfId="878" priority="146" stopIfTrue="1" operator="equal">
      <formula>"OK"</formula>
    </cfRule>
    <cfRule type="cellIs" dxfId="877" priority="147" stopIfTrue="1" operator="equal">
      <formula>"WARNING"</formula>
    </cfRule>
  </conditionalFormatting>
  <conditionalFormatting sqref="C4">
    <cfRule type="cellIs" dxfId="876" priority="142" stopIfTrue="1" operator="equal">
      <formula>"ERROR"</formula>
    </cfRule>
    <cfRule type="cellIs" dxfId="875" priority="143" stopIfTrue="1" operator="equal">
      <formula>"OK"</formula>
    </cfRule>
    <cfRule type="cellIs" dxfId="874" priority="144" stopIfTrue="1" operator="equal">
      <formula>"WARNING"</formula>
    </cfRule>
  </conditionalFormatting>
  <conditionalFormatting sqref="C14">
    <cfRule type="cellIs" dxfId="873" priority="139" stopIfTrue="1" operator="equal">
      <formula>"ERROR"</formula>
    </cfRule>
  </conditionalFormatting>
  <conditionalFormatting sqref="C14">
    <cfRule type="cellIs" dxfId="872" priority="140" stopIfTrue="1" operator="equal">
      <formula>"OK"</formula>
    </cfRule>
  </conditionalFormatting>
  <conditionalFormatting sqref="C14">
    <cfRule type="cellIs" dxfId="871" priority="141" stopIfTrue="1" operator="equal">
      <formula>"WARNING"</formula>
    </cfRule>
  </conditionalFormatting>
  <conditionalFormatting sqref="H19">
    <cfRule type="cellIs" dxfId="870" priority="148" stopIfTrue="1" operator="equal">
      <formula>"ERROR"</formula>
    </cfRule>
    <cfRule type="cellIs" dxfId="869" priority="149" stopIfTrue="1" operator="equal">
      <formula>"OK"</formula>
    </cfRule>
    <cfRule type="cellIs" dxfId="868" priority="150" stopIfTrue="1" operator="equal">
      <formula>"WARNING"</formula>
    </cfRule>
  </conditionalFormatting>
  <conditionalFormatting sqref="C38">
    <cfRule type="cellIs" dxfId="867" priority="118" stopIfTrue="1" operator="equal">
      <formula>"ERROR"</formula>
    </cfRule>
  </conditionalFormatting>
  <conditionalFormatting sqref="C38">
    <cfRule type="cellIs" dxfId="866" priority="119" stopIfTrue="1" operator="equal">
      <formula>"OK"</formula>
    </cfRule>
  </conditionalFormatting>
  <conditionalFormatting sqref="C38">
    <cfRule type="cellIs" dxfId="865" priority="120" stopIfTrue="1" operator="equal">
      <formula>"WARNING"</formula>
    </cfRule>
  </conditionalFormatting>
  <conditionalFormatting sqref="P19">
    <cfRule type="cellIs" dxfId="864" priority="49" stopIfTrue="1" operator="equal">
      <formula>"ERROR"</formula>
    </cfRule>
    <cfRule type="cellIs" dxfId="863" priority="50" stopIfTrue="1" operator="equal">
      <formula>"OK"</formula>
    </cfRule>
    <cfRule type="cellIs" dxfId="862" priority="51" stopIfTrue="1" operator="equal">
      <formula>"WARNING"</formula>
    </cfRule>
  </conditionalFormatting>
  <conditionalFormatting sqref="Y19">
    <cfRule type="cellIs" dxfId="861" priority="46" stopIfTrue="1" operator="equal">
      <formula>"ERROR"</formula>
    </cfRule>
    <cfRule type="cellIs" dxfId="860" priority="47" stopIfTrue="1" operator="equal">
      <formula>"OK"</formula>
    </cfRule>
    <cfRule type="cellIs" dxfId="859" priority="48" stopIfTrue="1" operator="equal">
      <formula>"WARNING"</formula>
    </cfRule>
  </conditionalFormatting>
  <conditionalFormatting sqref="AG19">
    <cfRule type="cellIs" dxfId="858" priority="43" stopIfTrue="1" operator="equal">
      <formula>"ERROR"</formula>
    </cfRule>
    <cfRule type="cellIs" dxfId="857" priority="44" stopIfTrue="1" operator="equal">
      <formula>"OK"</formula>
    </cfRule>
    <cfRule type="cellIs" dxfId="856" priority="45" stopIfTrue="1" operator="equal">
      <formula>"WARNING"</formula>
    </cfRule>
  </conditionalFormatting>
  <conditionalFormatting sqref="AU19">
    <cfRule type="cellIs" dxfId="855" priority="40" stopIfTrue="1" operator="equal">
      <formula>"ERROR"</formula>
    </cfRule>
    <cfRule type="cellIs" dxfId="854" priority="41" stopIfTrue="1" operator="equal">
      <formula>"OK"</formula>
    </cfRule>
    <cfRule type="cellIs" dxfId="853" priority="42" stopIfTrue="1" operator="equal">
      <formula>"WARNING"</formula>
    </cfRule>
  </conditionalFormatting>
  <conditionalFormatting sqref="BI19">
    <cfRule type="cellIs" dxfId="852" priority="37" stopIfTrue="1" operator="equal">
      <formula>"ERROR"</formula>
    </cfRule>
    <cfRule type="cellIs" dxfId="851" priority="38" stopIfTrue="1" operator="equal">
      <formula>"OK"</formula>
    </cfRule>
    <cfRule type="cellIs" dxfId="850" priority="39" stopIfTrue="1" operator="equal">
      <formula>"WARNING"</formula>
    </cfRule>
  </conditionalFormatting>
  <conditionalFormatting sqref="CI19">
    <cfRule type="cellIs" dxfId="849" priority="34" stopIfTrue="1" operator="equal">
      <formula>"ERROR"</formula>
    </cfRule>
    <cfRule type="cellIs" dxfId="848" priority="35" stopIfTrue="1" operator="equal">
      <formula>"OK"</formula>
    </cfRule>
    <cfRule type="cellIs" dxfId="847" priority="36" stopIfTrue="1" operator="equal">
      <formula>"WARNING"</formula>
    </cfRule>
  </conditionalFormatting>
  <conditionalFormatting sqref="L43">
    <cfRule type="cellIs" dxfId="846" priority="28" stopIfTrue="1" operator="equal">
      <formula>"ERROR"</formula>
    </cfRule>
    <cfRule type="cellIs" dxfId="845" priority="29" stopIfTrue="1" operator="equal">
      <formula>"OK"</formula>
    </cfRule>
    <cfRule type="cellIs" dxfId="844" priority="30" stopIfTrue="1" operator="equal">
      <formula>"WARNING"</formula>
    </cfRule>
  </conditionalFormatting>
  <conditionalFormatting sqref="Y43">
    <cfRule type="cellIs" dxfId="843" priority="25" stopIfTrue="1" operator="equal">
      <formula>"ERROR"</formula>
    </cfRule>
    <cfRule type="cellIs" dxfId="842" priority="26" stopIfTrue="1" operator="equal">
      <formula>"OK"</formula>
    </cfRule>
    <cfRule type="cellIs" dxfId="841" priority="27" stopIfTrue="1" operator="equal">
      <formula>"WARNING"</formula>
    </cfRule>
  </conditionalFormatting>
  <conditionalFormatting sqref="AK43">
    <cfRule type="cellIs" dxfId="840" priority="22" stopIfTrue="1" operator="equal">
      <formula>"ERROR"</formula>
    </cfRule>
    <cfRule type="cellIs" dxfId="839" priority="23" stopIfTrue="1" operator="equal">
      <formula>"OK"</formula>
    </cfRule>
    <cfRule type="cellIs" dxfId="838" priority="24" stopIfTrue="1" operator="equal">
      <formula>"WARNING"</formula>
    </cfRule>
  </conditionalFormatting>
  <conditionalFormatting sqref="BC43">
    <cfRule type="cellIs" dxfId="837" priority="19" stopIfTrue="1" operator="equal">
      <formula>"ERROR"</formula>
    </cfRule>
    <cfRule type="cellIs" dxfId="836" priority="20" stopIfTrue="1" operator="equal">
      <formula>"OK"</formula>
    </cfRule>
    <cfRule type="cellIs" dxfId="835" priority="21" stopIfTrue="1" operator="equal">
      <formula>"WARNING"</formula>
    </cfRule>
  </conditionalFormatting>
  <conditionalFormatting sqref="BU43">
    <cfRule type="cellIs" dxfId="834" priority="16" stopIfTrue="1" operator="equal">
      <formula>"ERROR"</formula>
    </cfRule>
    <cfRule type="cellIs" dxfId="833" priority="17" stopIfTrue="1" operator="equal">
      <formula>"OK"</formula>
    </cfRule>
    <cfRule type="cellIs" dxfId="832" priority="18" stopIfTrue="1" operator="equal">
      <formula>"WARNING"</formula>
    </cfRule>
  </conditionalFormatting>
  <conditionalFormatting sqref="BW19">
    <cfRule type="cellIs" dxfId="831" priority="13" stopIfTrue="1" operator="equal">
      <formula>"ERROR"</formula>
    </cfRule>
    <cfRule type="cellIs" dxfId="830" priority="14" stopIfTrue="1" operator="equal">
      <formula>"OK"</formula>
    </cfRule>
    <cfRule type="cellIs" dxfId="829" priority="15" stopIfTrue="1" operator="equal">
      <formula>"WARNING"</formula>
    </cfRule>
  </conditionalFormatting>
  <conditionalFormatting sqref="C26">
    <cfRule type="cellIs" dxfId="828" priority="7" stopIfTrue="1" operator="equal">
      <formula>"ERROR"</formula>
    </cfRule>
  </conditionalFormatting>
  <conditionalFormatting sqref="C26">
    <cfRule type="cellIs" dxfId="827" priority="8" stopIfTrue="1" operator="equal">
      <formula>"OK"</formula>
    </cfRule>
  </conditionalFormatting>
  <conditionalFormatting sqref="C26">
    <cfRule type="cellIs" dxfId="826" priority="9" stopIfTrue="1" operator="equal">
      <formula>"WARNING"</formula>
    </cfRule>
  </conditionalFormatting>
  <conditionalFormatting sqref="J31">
    <cfRule type="cellIs" dxfId="825" priority="10" stopIfTrue="1" operator="equal">
      <formula>"ERROR"</formula>
    </cfRule>
    <cfRule type="cellIs" dxfId="824" priority="11" stopIfTrue="1" operator="equal">
      <formula>"OK"</formula>
    </cfRule>
    <cfRule type="cellIs" dxfId="823" priority="12" stopIfTrue="1" operator="equal">
      <formula>"WARNING"</formula>
    </cfRule>
  </conditionalFormatting>
  <conditionalFormatting sqref="X31">
    <cfRule type="cellIs" dxfId="822" priority="4" stopIfTrue="1" operator="equal">
      <formula>"ERROR"</formula>
    </cfRule>
    <cfRule type="cellIs" dxfId="821" priority="5" stopIfTrue="1" operator="equal">
      <formula>"OK"</formula>
    </cfRule>
    <cfRule type="cellIs" dxfId="820" priority="6" stopIfTrue="1" operator="equal">
      <formula>"WARNING"</formula>
    </cfRule>
  </conditionalFormatting>
  <conditionalFormatting sqref="AL31">
    <cfRule type="cellIs" dxfId="819" priority="1" stopIfTrue="1" operator="equal">
      <formula>"ERROR"</formula>
    </cfRule>
    <cfRule type="cellIs" dxfId="818" priority="2" stopIfTrue="1" operator="equal">
      <formula>"OK"</formula>
    </cfRule>
    <cfRule type="cellIs" dxfId="817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373</v>
      </c>
    </row>
    <row r="2" spans="1:52" ht="26.25">
      <c r="B2" s="2" t="s">
        <v>347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348</v>
      </c>
      <c r="C7" s="201"/>
      <c r="D7" s="201"/>
      <c r="E7" s="291" t="str">
        <f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349</v>
      </c>
      <c r="C8" s="201"/>
      <c r="D8" s="201"/>
      <c r="E8" s="291" t="str">
        <f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350</v>
      </c>
      <c r="C9" s="201"/>
      <c r="D9" s="201"/>
      <c r="E9" s="291" t="str">
        <f ca="1">C44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471</v>
      </c>
      <c r="C10" s="201"/>
      <c r="D10" s="201"/>
      <c r="E10" s="291" t="str">
        <f>C95</f>
        <v>Ok</v>
      </c>
    </row>
    <row r="11" spans="1:52" s="430" customFormat="1"/>
    <row r="13" spans="1:52" s="289" customFormat="1" ht="18.75">
      <c r="A13"/>
      <c r="B13" s="3" t="s">
        <v>348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ref="C15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351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353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354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355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352</v>
      </c>
      <c r="C20" s="353"/>
      <c r="D20" s="354"/>
      <c r="F20" s="351">
        <f t="array" ref="F20:H22">_xll.d.Stats_Cholesky(B21:D23)</f>
        <v>1</v>
      </c>
      <c r="G20" s="271">
        <v>0.75</v>
      </c>
      <c r="H20" s="272">
        <v>0.5</v>
      </c>
      <c r="I20" s="351">
        <v>1</v>
      </c>
      <c r="J20" s="271">
        <v>0.75</v>
      </c>
      <c r="K20" s="272">
        <v>0.5</v>
      </c>
      <c r="L20" s="301" t="str" cm="1">
        <f t="array" ref="L20">_xll.d.TestUtils_Equal(F20,I20)</f>
        <v>Ok</v>
      </c>
      <c r="M20" s="301" t="str" cm="1">
        <f t="array" ref="M20">_xll.d.TestUtils_Equal(G20,J20)</f>
        <v>Ok</v>
      </c>
      <c r="N20" s="301" t="str" cm="1">
        <f t="array" ref="N20">_xll.d.TestUtils_Equal(H20,K20)</f>
        <v>Ok</v>
      </c>
      <c r="P20" s="352" t="s">
        <v>352</v>
      </c>
      <c r="Q20" s="353"/>
      <c r="R20" s="354"/>
      <c r="T20" s="536" t="str" cm="1">
        <f t="array" ref="T20">_xll.d.Stats_Cholesky(P21:R22)</f>
        <v>#∂Excel Error: Matrix is not square.</v>
      </c>
      <c r="U20" s="538"/>
      <c r="V20" s="538"/>
      <c r="W20" s="538" t="s">
        <v>451</v>
      </c>
      <c r="X20" s="538"/>
      <c r="Y20" s="538"/>
      <c r="Z20" s="301" t="str" cm="1">
        <f t="array" ref="Z20">_xll.d.TestUtils_Equal(T20,W20)</f>
        <v>Ok</v>
      </c>
      <c r="AB20" s="352" t="s">
        <v>352</v>
      </c>
      <c r="AC20" s="353"/>
      <c r="AD20" s="354"/>
      <c r="AF20" s="539" t="str" cm="1">
        <f t="array" ref="AF20">_xll.d.Stats_Cholesky(AB21:AD23)</f>
        <v>#∂Excel Error: Matrix is not symmetric.</v>
      </c>
      <c r="AG20" s="540"/>
      <c r="AH20" s="540"/>
      <c r="AI20" s="542" t="s">
        <v>452</v>
      </c>
      <c r="AJ20" s="540"/>
      <c r="AK20" s="541"/>
      <c r="AL20" s="301" t="str" cm="1">
        <f t="array" ref="AL20">_xll.d.TestUtils_Equal(AF20,AI20)</f>
        <v>Ok</v>
      </c>
      <c r="AN20" s="352" t="s">
        <v>352</v>
      </c>
      <c r="AO20" s="353"/>
      <c r="AP20" s="354"/>
      <c r="AR20" s="539" t="str" cm="1">
        <f t="array" ref="AR20">_xll.d.Stats_Cholesky(AN21:AP23)</f>
        <v>#∂Excel Error: Diagonal elements of the correlation matrix must be 1.</v>
      </c>
      <c r="AS20" s="540"/>
      <c r="AT20" s="540"/>
      <c r="AU20" s="540"/>
      <c r="AV20" s="540" t="s">
        <v>477</v>
      </c>
      <c r="AW20" s="541"/>
      <c r="AX20" s="537"/>
      <c r="AY20" s="537"/>
      <c r="AZ20" s="301" t="str" cm="1">
        <f t="array" ref="AZ20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v>0</v>
      </c>
      <c r="G21" s="359">
        <v>0.66143782776614768</v>
      </c>
      <c r="H21" s="360"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ref="L21">_xll.d.TestUtils_Equal(F21,I21)</f>
        <v>Ok</v>
      </c>
      <c r="M21" s="301" t="str" cm="1">
        <f t="array" ref="M21">_xll.d.TestUtils_Equal(G21,J21)</f>
        <v>Ok</v>
      </c>
      <c r="N21" s="301" t="str" cm="1">
        <f t="array" ref="N2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v>0</v>
      </c>
      <c r="G22" s="356">
        <v>0</v>
      </c>
      <c r="H22" s="357"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ref="L22">_xll.d.TestUtils_Equal(F22,I22)</f>
        <v>Ok</v>
      </c>
      <c r="M22" s="301" t="str" cm="1">
        <f t="array" ref="M22">_xll.d.TestUtils_Equal(G22,J22)</f>
        <v>Ok</v>
      </c>
      <c r="N22" s="301" t="str" cm="1">
        <f t="array" ref="N22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349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ref="C28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356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358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1">
      <c r="B33" s="361" t="s">
        <v>337</v>
      </c>
      <c r="C33" s="362" t="s">
        <v>336</v>
      </c>
      <c r="E33" s="376"/>
      <c r="F33" s="374" t="s">
        <v>337</v>
      </c>
      <c r="G33" s="288" t="s">
        <v>336</v>
      </c>
      <c r="H33" s="376"/>
      <c r="I33" s="374" t="s">
        <v>337</v>
      </c>
      <c r="J33" s="288" t="s">
        <v>336</v>
      </c>
      <c r="K33" s="376"/>
      <c r="L33" s="374" t="s">
        <v>337</v>
      </c>
      <c r="M33" s="288" t="s">
        <v>336</v>
      </c>
      <c r="O33" s="361" t="s">
        <v>337</v>
      </c>
      <c r="P33" s="384" t="s">
        <v>336</v>
      </c>
      <c r="Q33" s="383" t="s">
        <v>357</v>
      </c>
      <c r="S33" s="376"/>
      <c r="T33" s="374" t="s">
        <v>337</v>
      </c>
      <c r="U33" s="387" t="s">
        <v>336</v>
      </c>
      <c r="V33" s="385" t="s">
        <v>357</v>
      </c>
      <c r="W33" s="376"/>
      <c r="X33" s="374" t="s">
        <v>337</v>
      </c>
      <c r="Y33" s="387" t="s">
        <v>336</v>
      </c>
      <c r="Z33" s="385" t="s">
        <v>357</v>
      </c>
      <c r="AA33" s="376"/>
      <c r="AB33" s="374" t="s">
        <v>337</v>
      </c>
      <c r="AC33" s="387" t="s">
        <v>336</v>
      </c>
      <c r="AD33" s="385" t="s">
        <v>357</v>
      </c>
    </row>
    <row r="34" spans="2:31">
      <c r="B34" s="363">
        <v>1</v>
      </c>
      <c r="C34" s="364">
        <v>0.5</v>
      </c>
      <c r="D34" s="289"/>
      <c r="E34" s="375" t="s">
        <v>337</v>
      </c>
      <c r="F34" s="370" cm="1">
        <f t="array" ref="F34:G35">_xll.d.Stats_CorrelationMatrix(B34:C39)</f>
        <v>1</v>
      </c>
      <c r="G34" s="369">
        <v>0.9855793842654561</v>
      </c>
      <c r="H34" s="375" t="s">
        <v>337</v>
      </c>
      <c r="I34" s="370">
        <f>CORREL(B34:B39,B34:B39)</f>
        <v>1</v>
      </c>
      <c r="J34" s="369">
        <f>CORREL(B34:B39,C34:C39)</f>
        <v>0.98557938426545633</v>
      </c>
      <c r="K34" s="375" t="s">
        <v>337</v>
      </c>
      <c r="L34" s="301" t="str" cm="1">
        <f t="array" ref="L34">_xll.d.TestUtils_Equal(F34,I34)</f>
        <v>Ok</v>
      </c>
      <c r="M34" s="301" t="str" cm="1">
        <f t="array" ref="M34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337</v>
      </c>
      <c r="T34" s="370" cm="1">
        <f t="array" ref="T34:V36">_xll.d.Stats_CorrelationMatrix(O34:Q39)</f>
        <v>1</v>
      </c>
      <c r="U34" s="389">
        <v>0.9855793842654561</v>
      </c>
      <c r="V34" s="388">
        <v>-0.96679334300694564</v>
      </c>
      <c r="W34" s="375" t="s">
        <v>337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337</v>
      </c>
      <c r="AB34" s="301" t="str" cm="1">
        <f t="array" ref="AB34">_xll.d.TestUtils_Equal(T34,X34)</f>
        <v>Ok</v>
      </c>
      <c r="AC34" s="301" t="str" cm="1">
        <f t="array" ref="AC34">_xll.d.TestUtils_Equal(U34,Y34)</f>
        <v>Ok</v>
      </c>
      <c r="AD34" s="301" t="str" cm="1">
        <f t="array" ref="AD34">_xll.d.TestUtils_Equal(V34,Z34)</f>
        <v>Ok</v>
      </c>
    </row>
    <row r="35" spans="2:31">
      <c r="B35" s="365">
        <v>2</v>
      </c>
      <c r="C35" s="366">
        <v>2.2000000000000002</v>
      </c>
      <c r="D35" s="289"/>
      <c r="E35" s="283" t="s">
        <v>336</v>
      </c>
      <c r="F35" s="371">
        <v>0.9855793842654561</v>
      </c>
      <c r="G35" s="357">
        <v>1</v>
      </c>
      <c r="H35" s="283" t="s">
        <v>336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336</v>
      </c>
      <c r="L35" s="301" t="str" cm="1">
        <f t="array" ref="L35">_xll.d.TestUtils_Equal(F35,I35)</f>
        <v>Ok</v>
      </c>
      <c r="M35" s="301" t="str" cm="1">
        <f t="array" ref="M35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336</v>
      </c>
      <c r="T35" s="390">
        <v>0.9855793842654561</v>
      </c>
      <c r="U35" s="392">
        <v>1</v>
      </c>
      <c r="V35" s="393">
        <v>-0.9461544177169412</v>
      </c>
      <c r="W35" s="372" t="s">
        <v>336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336</v>
      </c>
      <c r="AB35" s="301" t="str" cm="1">
        <f t="array" ref="AB35">_xll.d.TestUtils_Equal(T35,X35)</f>
        <v>Ok</v>
      </c>
      <c r="AC35" s="301" t="str" cm="1">
        <f t="array" ref="AC35">_xll.d.TestUtils_Equal(U35,Y35)</f>
        <v>Ok</v>
      </c>
      <c r="AD35" s="301" t="str" cm="1">
        <f t="array" ref="AD35">_xll.d.TestUtils_Equal(V35,Z35)</f>
        <v>Ok</v>
      </c>
    </row>
    <row r="36" spans="2:31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357</v>
      </c>
      <c r="T36" s="371">
        <v>-0.96679334300694564</v>
      </c>
      <c r="U36" s="391">
        <v>-0.9461544177169412</v>
      </c>
      <c r="V36" s="386">
        <v>1</v>
      </c>
      <c r="W36" s="373" t="s">
        <v>357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357</v>
      </c>
      <c r="AB36" s="301" t="str" cm="1">
        <f t="array" ref="AB36">_xll.d.TestUtils_Equal(T36,X36)</f>
        <v>Ok</v>
      </c>
      <c r="AC36" s="301" t="str" cm="1">
        <f t="array" ref="AC36">_xll.d.TestUtils_Equal(U36,Y36)</f>
        <v>Ok</v>
      </c>
      <c r="AD36" s="301" t="str" cm="1">
        <f t="array" ref="AD36">_xll.d.TestUtils_Equal(V36,Z36)</f>
        <v>Ok</v>
      </c>
    </row>
    <row r="37" spans="2:31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1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1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1" ht="18.75">
      <c r="B42" s="3" t="s">
        <v>350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</row>
    <row r="44" spans="2:31">
      <c r="B44" s="50" t="s">
        <v>139</v>
      </c>
      <c r="C44" s="291" t="str" cm="1">
        <f t="array" aca="1" ref="C44" ca="1">_xll.d.TestUtils_And(J53:K53,S53:T53,AD53:AE53)</f>
        <v>Ok</v>
      </c>
      <c r="D44" s="289"/>
      <c r="E44" s="289"/>
      <c r="F44" s="289"/>
      <c r="G44" s="289"/>
      <c r="H44" s="289"/>
      <c r="I44" s="289"/>
      <c r="J44" s="289"/>
      <c r="K44" s="289"/>
    </row>
    <row r="45" spans="2:31">
      <c r="B45" s="289"/>
      <c r="C45" s="289"/>
      <c r="D45" s="289"/>
      <c r="E45" s="289"/>
      <c r="F45" s="289"/>
      <c r="G45" s="289"/>
      <c r="H45" s="289"/>
      <c r="I45" s="290"/>
      <c r="J45" s="290"/>
      <c r="K45" s="290"/>
    </row>
    <row r="46" spans="2:31" ht="15.75">
      <c r="B46" s="4" t="s">
        <v>362</v>
      </c>
      <c r="C46" s="298"/>
      <c r="D46" s="298"/>
      <c r="E46" s="298"/>
      <c r="F46" s="298"/>
      <c r="G46" s="298"/>
      <c r="H46" s="298"/>
      <c r="I46" s="298"/>
      <c r="J46" s="298"/>
      <c r="K46" s="298"/>
      <c r="M46" s="4" t="s">
        <v>363</v>
      </c>
      <c r="N46" s="298"/>
      <c r="O46" s="298"/>
      <c r="P46" s="298"/>
      <c r="Q46" s="298"/>
      <c r="R46" s="298"/>
      <c r="S46" s="298"/>
      <c r="T46" s="298"/>
      <c r="V46" s="4" t="s">
        <v>465</v>
      </c>
      <c r="W46" s="298"/>
      <c r="X46" s="298"/>
      <c r="Y46" s="298"/>
      <c r="Z46" s="298"/>
      <c r="AA46" s="298"/>
      <c r="AB46" s="298"/>
      <c r="AC46" s="298"/>
      <c r="AD46" s="298"/>
      <c r="AE46" s="298"/>
    </row>
    <row r="47" spans="2:31">
      <c r="B47" s="472" t="s">
        <v>470</v>
      </c>
      <c r="V47" s="472" t="s">
        <v>469</v>
      </c>
      <c r="W47" s="430"/>
      <c r="X47" s="430"/>
      <c r="Y47" s="430"/>
      <c r="Z47" s="430"/>
      <c r="AA47" s="430"/>
      <c r="AB47" s="430"/>
      <c r="AC47" s="430"/>
      <c r="AD47" s="430"/>
      <c r="AE47" s="430"/>
    </row>
    <row r="48" spans="2:31" s="430" customFormat="1">
      <c r="B48" s="472" t="s">
        <v>467</v>
      </c>
      <c r="V48" s="472" t="s">
        <v>468</v>
      </c>
    </row>
    <row r="49" spans="2:31">
      <c r="B49" s="394" t="s">
        <v>212</v>
      </c>
      <c r="D49" s="120" t="s">
        <v>113</v>
      </c>
      <c r="E49" s="191"/>
      <c r="F49" s="191"/>
      <c r="G49" s="191"/>
      <c r="H49" s="121"/>
      <c r="J49" s="120" t="s">
        <v>360</v>
      </c>
      <c r="K49" s="121" t="s">
        <v>361</v>
      </c>
      <c r="M49" s="120" t="s">
        <v>113</v>
      </c>
      <c r="N49" s="191"/>
      <c r="O49" s="191"/>
      <c r="P49" s="191"/>
      <c r="Q49" s="121"/>
      <c r="S49" s="120" t="s">
        <v>360</v>
      </c>
      <c r="T49" s="121" t="s">
        <v>361</v>
      </c>
      <c r="V49" s="394" t="s">
        <v>212</v>
      </c>
      <c r="W49" s="430"/>
      <c r="X49" s="120" t="s">
        <v>113</v>
      </c>
      <c r="Y49" s="191"/>
      <c r="Z49" s="191"/>
      <c r="AA49" s="191"/>
      <c r="AB49" s="121"/>
      <c r="AC49" s="430"/>
      <c r="AD49" s="120" t="s">
        <v>360</v>
      </c>
      <c r="AE49" s="121" t="s">
        <v>361</v>
      </c>
    </row>
    <row r="50" spans="2:31">
      <c r="B50" s="395" t="s">
        <v>359</v>
      </c>
      <c r="D50" s="122">
        <f t="array" aca="1" ref="D50:H89" ca="1">_xll.d.Stats_NormalRandomNumbers(B51)</f>
        <v>-0.63711590014289476</v>
      </c>
      <c r="E50" s="311">
        <f ca="1"/>
        <v>0.70685522048944815</v>
      </c>
      <c r="F50" s="311">
        <f ca="1"/>
        <v>-0.31907668375768672</v>
      </c>
      <c r="G50" s="311">
        <f ca="1"/>
        <v>-0.40991003456258013</v>
      </c>
      <c r="H50" s="123">
        <f ca="1"/>
        <v>0.59461000541069997</v>
      </c>
      <c r="J50" s="396">
        <f ca="1">AVERAGE(D50:H89)</f>
        <v>9.2097931892436341E-2</v>
      </c>
      <c r="K50" s="329">
        <f ca="1">_xlfn.STDEV.S(D50:H89)</f>
        <v>0.96390177576967329</v>
      </c>
      <c r="M50" s="122">
        <f t="array" aca="1" ref="M50:Q89" ca="1">_xll.d.Stats_NormalRandomNumbers()</f>
        <v>0.12266422347557041</v>
      </c>
      <c r="N50" s="311">
        <f ca="1"/>
        <v>2.0260143493047735</v>
      </c>
      <c r="O50" s="311">
        <f ca="1"/>
        <v>-0.3597744598482463</v>
      </c>
      <c r="P50" s="311">
        <f ca="1"/>
        <v>-0.99870179068510367</v>
      </c>
      <c r="Q50" s="123">
        <f ca="1"/>
        <v>-0.47334600318902004</v>
      </c>
      <c r="S50" s="396">
        <f ca="1">AVERAGE(M50:Q89)</f>
        <v>4.7218542374995965E-3</v>
      </c>
      <c r="T50" s="329">
        <f ca="1">_xlfn.STDEV.S(M50:Q89)</f>
        <v>0.98785286456205679</v>
      </c>
      <c r="V50" s="395" t="s">
        <v>359</v>
      </c>
      <c r="W50" s="430"/>
      <c r="X50" s="122" cm="1">
        <f t="array" aca="1" ref="X50:AB89" ca="1">_xll.d.Stats_NormalRandomNumbers(V51,40,5)</f>
        <v>-0.63711590014289476</v>
      </c>
      <c r="Y50" s="311">
        <f ca="1"/>
        <v>0.70685522048944815</v>
      </c>
      <c r="Z50" s="311">
        <f ca="1"/>
        <v>-0.31907668375768672</v>
      </c>
      <c r="AA50" s="311">
        <f ca="1"/>
        <v>-0.40991003456258013</v>
      </c>
      <c r="AB50" s="123">
        <f ca="1"/>
        <v>0.59461000541069997</v>
      </c>
      <c r="AC50" s="430"/>
      <c r="AD50" s="396">
        <f ca="1">AVERAGE(X50:AB89)</f>
        <v>9.2097931892436341E-2</v>
      </c>
      <c r="AE50" s="329">
        <f ca="1">_xlfn.STDEV.S(X50:AB89)</f>
        <v>0.96390177576967329</v>
      </c>
    </row>
    <row r="51" spans="2:31">
      <c r="B51" s="397">
        <v>1337</v>
      </c>
      <c r="D51" s="124">
        <f ca="1"/>
        <v>0.15231246463563991</v>
      </c>
      <c r="E51" s="270">
        <f ca="1"/>
        <v>-0.33198021492010854</v>
      </c>
      <c r="F51" s="270">
        <f ca="1"/>
        <v>0.33468800840166441</v>
      </c>
      <c r="G51" s="270">
        <f ca="1"/>
        <v>2.1988514227094039E-2</v>
      </c>
      <c r="H51" s="125">
        <f ca="1"/>
        <v>-1.570800215687598</v>
      </c>
      <c r="M51" s="124">
        <f ca="1"/>
        <v>0.23486854106592239</v>
      </c>
      <c r="N51" s="270">
        <f ca="1"/>
        <v>-6.6203161185735923E-2</v>
      </c>
      <c r="O51" s="270">
        <f ca="1"/>
        <v>0.2873124687136604</v>
      </c>
      <c r="P51" s="270">
        <f ca="1"/>
        <v>-0.41790683497977721</v>
      </c>
      <c r="Q51" s="125">
        <f ca="1"/>
        <v>1.1773691096913981</v>
      </c>
      <c r="V51" s="397">
        <v>1337</v>
      </c>
      <c r="W51" s="430"/>
      <c r="X51" s="124">
        <f ca="1"/>
        <v>0.15231246463563991</v>
      </c>
      <c r="Y51" s="270">
        <f ca="1"/>
        <v>-0.33198021492010854</v>
      </c>
      <c r="Z51" s="270">
        <f ca="1"/>
        <v>0.33468800840166441</v>
      </c>
      <c r="AA51" s="270">
        <f ca="1"/>
        <v>2.1988514227094039E-2</v>
      </c>
      <c r="AB51" s="125">
        <f ca="1"/>
        <v>-1.570800215687598</v>
      </c>
      <c r="AC51" s="430"/>
      <c r="AD51" s="430"/>
      <c r="AE51" s="430"/>
    </row>
    <row r="52" spans="2:31">
      <c r="D52" s="124">
        <f ca="1"/>
        <v>-0.9998813019474484</v>
      </c>
      <c r="E52" s="270">
        <f ca="1"/>
        <v>-0.88600131746401845</v>
      </c>
      <c r="F52" s="270">
        <f ca="1"/>
        <v>0.50499676151927686</v>
      </c>
      <c r="G52" s="270">
        <f ca="1"/>
        <v>0.59135175634258896</v>
      </c>
      <c r="H52" s="125">
        <f ca="1"/>
        <v>0.81695537082956271</v>
      </c>
      <c r="J52" s="120" t="s">
        <v>67</v>
      </c>
      <c r="K52" s="120"/>
      <c r="M52" s="124">
        <f ca="1"/>
        <v>0.56860936194591039</v>
      </c>
      <c r="N52" s="270">
        <f ca="1"/>
        <v>0.83861948605974246</v>
      </c>
      <c r="O52" s="270">
        <f ca="1"/>
        <v>-0.15849862338941334</v>
      </c>
      <c r="P52" s="270">
        <f ca="1"/>
        <v>-1.2245355120079864</v>
      </c>
      <c r="Q52" s="125">
        <f ca="1"/>
        <v>-0.21659244148250961</v>
      </c>
      <c r="S52" s="120" t="s">
        <v>67</v>
      </c>
      <c r="T52" s="120"/>
      <c r="V52" s="430"/>
      <c r="W52" s="430"/>
      <c r="X52" s="124">
        <f ca="1"/>
        <v>-0.9998813019474484</v>
      </c>
      <c r="Y52" s="270">
        <f ca="1"/>
        <v>-0.88600131746401845</v>
      </c>
      <c r="Z52" s="270">
        <f ca="1"/>
        <v>0.50499676151927686</v>
      </c>
      <c r="AA52" s="270">
        <f ca="1"/>
        <v>0.59135175634258896</v>
      </c>
      <c r="AB52" s="125">
        <f ca="1"/>
        <v>0.81695537082956271</v>
      </c>
      <c r="AC52" s="430"/>
      <c r="AD52" s="120" t="s">
        <v>67</v>
      </c>
      <c r="AE52" s="120"/>
    </row>
    <row r="53" spans="2:31">
      <c r="D53" s="124">
        <f ca="1"/>
        <v>-0.79747485963926357</v>
      </c>
      <c r="E53" s="270">
        <f ca="1"/>
        <v>-6.1108551057670997E-2</v>
      </c>
      <c r="F53" s="270">
        <f ca="1"/>
        <v>0.863608628387463</v>
      </c>
      <c r="G53" s="270">
        <f ca="1"/>
        <v>-1.0507271193416956</v>
      </c>
      <c r="H53" s="125">
        <f ca="1"/>
        <v>0.4991414877992304</v>
      </c>
      <c r="J53" s="301" t="str" cm="1">
        <f t="array" aca="1" ref="J53" ca="1">_xll.d.TestUtils_Equal(ABS(J50-0)&lt;0.1,TRUE)</f>
        <v>Ok</v>
      </c>
      <c r="K53" s="301" t="str" cm="1">
        <f t="array" aca="1" ref="K53" ca="1">_xll.d.TestUtils_Equal(ABS(K50-1)&lt;0.1,TRUE)</f>
        <v>Ok</v>
      </c>
      <c r="M53" s="124">
        <f ca="1"/>
        <v>1.0121454543304982</v>
      </c>
      <c r="N53" s="270">
        <f ca="1"/>
        <v>0.84487883078025894</v>
      </c>
      <c r="O53" s="270">
        <f ca="1"/>
        <v>1.2950504002461061</v>
      </c>
      <c r="P53" s="270">
        <f ca="1"/>
        <v>0.45307414049496852</v>
      </c>
      <c r="Q53" s="125">
        <f ca="1"/>
        <v>1.3933001203930773</v>
      </c>
      <c r="S53" s="301" t="str" cm="1">
        <f t="array" aca="1" ref="S53" ca="1">_xll.d.TestUtils_Equal(ABS(S50-0)&lt;0.1,TRUE)</f>
        <v>Ok</v>
      </c>
      <c r="T53" s="301" t="str" cm="1">
        <f t="array" aca="1" ref="T53" ca="1">_xll.d.TestUtils_Equal(ABS(T50-1)&lt;0.1,TRUE)</f>
        <v>Ok</v>
      </c>
      <c r="V53" s="430"/>
      <c r="W53" s="430"/>
      <c r="X53" s="124">
        <f ca="1"/>
        <v>-0.79747485963926357</v>
      </c>
      <c r="Y53" s="270">
        <f ca="1"/>
        <v>-6.1108551057670997E-2</v>
      </c>
      <c r="Z53" s="270">
        <f ca="1"/>
        <v>0.863608628387463</v>
      </c>
      <c r="AA53" s="270">
        <f ca="1"/>
        <v>-1.0507271193416956</v>
      </c>
      <c r="AB53" s="125">
        <f ca="1"/>
        <v>0.4991414877992304</v>
      </c>
      <c r="AC53" s="430"/>
      <c r="AD53" s="301" t="str" cm="1">
        <f t="array" aca="1" ref="AD53" ca="1">_xll.d.TestUtils_Equal(ABS(AD50-0)&lt;0.1,TRUE)</f>
        <v>Ok</v>
      </c>
      <c r="AE53" s="301" t="str" cm="1">
        <f t="array" aca="1" ref="AE53" ca="1">_xll.d.TestUtils_Equal(ABS(AE50-1)&lt;0.1,TRUE)</f>
        <v>Ok</v>
      </c>
    </row>
    <row r="54" spans="2:31">
      <c r="D54" s="124">
        <f ca="1"/>
        <v>-0.5884160994078016</v>
      </c>
      <c r="E54" s="270">
        <f ca="1"/>
        <v>-0.55874715130596764</v>
      </c>
      <c r="F54" s="270">
        <f ca="1"/>
        <v>-2.7587630599172877</v>
      </c>
      <c r="G54" s="270">
        <f ca="1"/>
        <v>-2.2939473468112239</v>
      </c>
      <c r="H54" s="125">
        <f ca="1"/>
        <v>-0.38120894845031827</v>
      </c>
      <c r="M54" s="124">
        <f ca="1"/>
        <v>0.26050629623141941</v>
      </c>
      <c r="N54" s="270">
        <f ca="1"/>
        <v>-9.6707447133391369E-2</v>
      </c>
      <c r="O54" s="270">
        <f ca="1"/>
        <v>0.51759967418338659</v>
      </c>
      <c r="P54" s="270">
        <f ca="1"/>
        <v>0.40246639382141203</v>
      </c>
      <c r="Q54" s="125">
        <f ca="1"/>
        <v>-1.5208598870893701</v>
      </c>
      <c r="V54" s="430"/>
      <c r="W54" s="430"/>
      <c r="X54" s="124">
        <f ca="1"/>
        <v>-0.5884160994078016</v>
      </c>
      <c r="Y54" s="270">
        <f ca="1"/>
        <v>-0.55874715130596764</v>
      </c>
      <c r="Z54" s="270">
        <f ca="1"/>
        <v>-2.7587630599172877</v>
      </c>
      <c r="AA54" s="270">
        <f ca="1"/>
        <v>-2.2939473468112239</v>
      </c>
      <c r="AB54" s="125">
        <f ca="1"/>
        <v>-0.38120894845031827</v>
      </c>
      <c r="AC54" s="430"/>
      <c r="AD54" s="430"/>
      <c r="AE54" s="430"/>
    </row>
    <row r="55" spans="2:31">
      <c r="D55" s="124">
        <f ca="1"/>
        <v>0.10819798524690837</v>
      </c>
      <c r="E55" s="270">
        <f ca="1"/>
        <v>1.0965073943909254</v>
      </c>
      <c r="F55" s="270">
        <f ca="1"/>
        <v>0.46240265761130123</v>
      </c>
      <c r="G55" s="270">
        <f ca="1"/>
        <v>0.48984251587331651</v>
      </c>
      <c r="H55" s="125">
        <f ca="1"/>
        <v>-2.25076658419695</v>
      </c>
      <c r="M55" s="124">
        <f ca="1"/>
        <v>1.0711349389745428</v>
      </c>
      <c r="N55" s="270">
        <f ca="1"/>
        <v>5.1351992091935056E-2</v>
      </c>
      <c r="O55" s="270">
        <f ca="1"/>
        <v>-1.2856629896340797</v>
      </c>
      <c r="P55" s="270">
        <f ca="1"/>
        <v>-0.47553809167663869</v>
      </c>
      <c r="Q55" s="125">
        <f ca="1"/>
        <v>-0.78297078820803756</v>
      </c>
      <c r="V55" s="430"/>
      <c r="W55" s="430"/>
      <c r="X55" s="124">
        <f ca="1"/>
        <v>0.10819798524690837</v>
      </c>
      <c r="Y55" s="270">
        <f ca="1"/>
        <v>1.0965073943909254</v>
      </c>
      <c r="Z55" s="270">
        <f ca="1"/>
        <v>0.46240265761130123</v>
      </c>
      <c r="AA55" s="270">
        <f ca="1"/>
        <v>0.48984251587331651</v>
      </c>
      <c r="AB55" s="125">
        <f ca="1"/>
        <v>-2.25076658419695</v>
      </c>
      <c r="AC55" s="430"/>
      <c r="AD55" s="430"/>
      <c r="AE55" s="430"/>
    </row>
    <row r="56" spans="2:31">
      <c r="D56" s="124">
        <f ca="1"/>
        <v>-0.10215483425175563</v>
      </c>
      <c r="E56" s="270">
        <f ca="1"/>
        <v>0.44051757578957157</v>
      </c>
      <c r="F56" s="270">
        <f ca="1"/>
        <v>-0.33389589259671326</v>
      </c>
      <c r="G56" s="270">
        <f ca="1"/>
        <v>0.70615194140562998</v>
      </c>
      <c r="H56" s="125">
        <f ca="1"/>
        <v>1.3386245087251876</v>
      </c>
      <c r="M56" s="124">
        <f ca="1"/>
        <v>0.11274383783052491</v>
      </c>
      <c r="N56" s="270">
        <f ca="1"/>
        <v>0.77398164003109893</v>
      </c>
      <c r="O56" s="270">
        <f ca="1"/>
        <v>-1.5528836522498293</v>
      </c>
      <c r="P56" s="270">
        <f ca="1"/>
        <v>-1.0885193500170471</v>
      </c>
      <c r="Q56" s="125">
        <f ca="1"/>
        <v>0.50286987657510207</v>
      </c>
      <c r="V56" s="430"/>
      <c r="W56" s="430"/>
      <c r="X56" s="124">
        <f ca="1"/>
        <v>-0.10215483425175563</v>
      </c>
      <c r="Y56" s="270">
        <f ca="1"/>
        <v>0.44051757578957157</v>
      </c>
      <c r="Z56" s="270">
        <f ca="1"/>
        <v>-0.33389589259671326</v>
      </c>
      <c r="AA56" s="270">
        <f ca="1"/>
        <v>0.70615194140562998</v>
      </c>
      <c r="AB56" s="125">
        <f ca="1"/>
        <v>1.3386245087251876</v>
      </c>
      <c r="AC56" s="430"/>
      <c r="AD56" s="430"/>
      <c r="AE56" s="430"/>
    </row>
    <row r="57" spans="2:31">
      <c r="D57" s="124">
        <f ca="1"/>
        <v>-1.8253861328037648</v>
      </c>
      <c r="E57" s="270">
        <f ca="1"/>
        <v>-0.24037216180075424</v>
      </c>
      <c r="F57" s="270">
        <f ca="1"/>
        <v>1.028058069270616</v>
      </c>
      <c r="G57" s="270">
        <f ca="1"/>
        <v>1.2259167836294167</v>
      </c>
      <c r="H57" s="125">
        <f ca="1"/>
        <v>-0.33280389867021648</v>
      </c>
      <c r="M57" s="124">
        <f ca="1"/>
        <v>1.0247174529864618</v>
      </c>
      <c r="N57" s="270">
        <f ca="1"/>
        <v>0.46456788825317025</v>
      </c>
      <c r="O57" s="270">
        <f ca="1"/>
        <v>1.8779948997892317</v>
      </c>
      <c r="P57" s="270">
        <f ca="1"/>
        <v>0.7666173840357986</v>
      </c>
      <c r="Q57" s="125">
        <f ca="1"/>
        <v>0.16413830370427598</v>
      </c>
      <c r="V57" s="430"/>
      <c r="W57" s="430"/>
      <c r="X57" s="124">
        <f ca="1"/>
        <v>-1.8253861328037648</v>
      </c>
      <c r="Y57" s="270">
        <f ca="1"/>
        <v>-0.24037216180075424</v>
      </c>
      <c r="Z57" s="270">
        <f ca="1"/>
        <v>1.028058069270616</v>
      </c>
      <c r="AA57" s="270">
        <f ca="1"/>
        <v>1.2259167836294167</v>
      </c>
      <c r="AB57" s="125">
        <f ca="1"/>
        <v>-0.33280389867021648</v>
      </c>
      <c r="AC57" s="430"/>
      <c r="AD57" s="430"/>
      <c r="AE57" s="430"/>
    </row>
    <row r="58" spans="2:31">
      <c r="D58" s="124">
        <f ca="1"/>
        <v>-0.46490277119672319</v>
      </c>
      <c r="E58" s="270">
        <f ca="1"/>
        <v>-8.8166823894022877E-4</v>
      </c>
      <c r="F58" s="270">
        <f ca="1"/>
        <v>-1.5659571515789519</v>
      </c>
      <c r="G58" s="270">
        <f ca="1"/>
        <v>0.44378998344608472</v>
      </c>
      <c r="H58" s="125">
        <f ca="1"/>
        <v>0.56184004420843314</v>
      </c>
      <c r="M58" s="124">
        <f ca="1"/>
        <v>-0.19255231433210082</v>
      </c>
      <c r="N58" s="270">
        <f ca="1"/>
        <v>-1.1836570492378735</v>
      </c>
      <c r="O58" s="270">
        <f ca="1"/>
        <v>0.43100246597129827</v>
      </c>
      <c r="P58" s="270">
        <f ca="1"/>
        <v>-0.8538922151022309</v>
      </c>
      <c r="Q58" s="125">
        <f ca="1"/>
        <v>0.16772820889067627</v>
      </c>
      <c r="V58" s="430"/>
      <c r="W58" s="430"/>
      <c r="X58" s="124">
        <f ca="1"/>
        <v>-0.46490277119672319</v>
      </c>
      <c r="Y58" s="270">
        <f ca="1"/>
        <v>-8.8166823894022877E-4</v>
      </c>
      <c r="Z58" s="270">
        <f ca="1"/>
        <v>-1.5659571515789519</v>
      </c>
      <c r="AA58" s="270">
        <f ca="1"/>
        <v>0.44378998344608472</v>
      </c>
      <c r="AB58" s="125">
        <f ca="1"/>
        <v>0.56184004420843314</v>
      </c>
      <c r="AC58" s="430"/>
      <c r="AD58" s="430"/>
      <c r="AE58" s="430"/>
    </row>
    <row r="59" spans="2:31">
      <c r="D59" s="124">
        <f ca="1"/>
        <v>-0.72121450340504112</v>
      </c>
      <c r="E59" s="270">
        <f ca="1"/>
        <v>-0.14969739262215401</v>
      </c>
      <c r="F59" s="270">
        <f ca="1"/>
        <v>0.70609350471998489</v>
      </c>
      <c r="G59" s="270">
        <f ca="1"/>
        <v>9.6224928363146583E-2</v>
      </c>
      <c r="H59" s="125">
        <f ca="1"/>
        <v>0.2296039222600787</v>
      </c>
      <c r="M59" s="124">
        <f ca="1"/>
        <v>0.31485387088312511</v>
      </c>
      <c r="N59" s="270">
        <f ca="1"/>
        <v>0.58472194344902539</v>
      </c>
      <c r="O59" s="270">
        <f ca="1"/>
        <v>0.39381187617256991</v>
      </c>
      <c r="P59" s="270">
        <f ca="1"/>
        <v>1.6407087043700077</v>
      </c>
      <c r="Q59" s="125">
        <f ca="1"/>
        <v>1.1035350664825012</v>
      </c>
      <c r="V59" s="430"/>
      <c r="W59" s="430"/>
      <c r="X59" s="124">
        <f ca="1"/>
        <v>-0.72121450340504112</v>
      </c>
      <c r="Y59" s="270">
        <f ca="1"/>
        <v>-0.14969739262215401</v>
      </c>
      <c r="Z59" s="270">
        <f ca="1"/>
        <v>0.70609350471998489</v>
      </c>
      <c r="AA59" s="270">
        <f ca="1"/>
        <v>9.6224928363146583E-2</v>
      </c>
      <c r="AB59" s="125">
        <f ca="1"/>
        <v>0.2296039222600787</v>
      </c>
      <c r="AC59" s="430"/>
      <c r="AD59" s="430"/>
      <c r="AE59" s="430"/>
    </row>
    <row r="60" spans="2:31">
      <c r="D60" s="124">
        <f ca="1"/>
        <v>4.6120309846438508E-2</v>
      </c>
      <c r="E60" s="270">
        <f ca="1"/>
        <v>-0.92083350795883689</v>
      </c>
      <c r="F60" s="270">
        <f ca="1"/>
        <v>0.80411972151375544</v>
      </c>
      <c r="G60" s="270">
        <f ca="1"/>
        <v>-0.8762556877814629</v>
      </c>
      <c r="H60" s="125">
        <f ca="1"/>
        <v>1.2660233063563722</v>
      </c>
      <c r="M60" s="124">
        <f ca="1"/>
        <v>0.37425881531768923</v>
      </c>
      <c r="N60" s="270">
        <f ca="1"/>
        <v>0.35824768314912758</v>
      </c>
      <c r="O60" s="270">
        <f ca="1"/>
        <v>0.44167520776730484</v>
      </c>
      <c r="P60" s="270">
        <f ca="1"/>
        <v>-0.33523167286972566</v>
      </c>
      <c r="Q60" s="125">
        <f ca="1"/>
        <v>-0.6268173301884129</v>
      </c>
      <c r="V60" s="430"/>
      <c r="W60" s="430"/>
      <c r="X60" s="124">
        <f ca="1"/>
        <v>4.6120309846438508E-2</v>
      </c>
      <c r="Y60" s="270">
        <f ca="1"/>
        <v>-0.92083350795883689</v>
      </c>
      <c r="Z60" s="270">
        <f ca="1"/>
        <v>0.80411972151375544</v>
      </c>
      <c r="AA60" s="270">
        <f ca="1"/>
        <v>-0.8762556877814629</v>
      </c>
      <c r="AB60" s="125">
        <f ca="1"/>
        <v>1.2660233063563722</v>
      </c>
      <c r="AC60" s="430"/>
      <c r="AD60" s="430"/>
      <c r="AE60" s="430"/>
    </row>
    <row r="61" spans="2:31">
      <c r="D61" s="124">
        <f ca="1"/>
        <v>0.23298387080043784</v>
      </c>
      <c r="E61" s="270">
        <f ca="1"/>
        <v>-1.0764899712107359</v>
      </c>
      <c r="F61" s="270">
        <f ca="1"/>
        <v>1.7547755576057253</v>
      </c>
      <c r="G61" s="270">
        <f ca="1"/>
        <v>0.72810708935373014</v>
      </c>
      <c r="H61" s="125">
        <f ca="1"/>
        <v>-4.9122462980273743E-2</v>
      </c>
      <c r="M61" s="124">
        <f ca="1"/>
        <v>-0.2939927852261236</v>
      </c>
      <c r="N61" s="270">
        <f ca="1"/>
        <v>0.20706330738635537</v>
      </c>
      <c r="O61" s="270">
        <f ca="1"/>
        <v>-0.95057695384843033</v>
      </c>
      <c r="P61" s="270">
        <f ca="1"/>
        <v>0.41936929060152378</v>
      </c>
      <c r="Q61" s="125">
        <f ca="1"/>
        <v>2.248374531742604E-2</v>
      </c>
      <c r="V61" s="430"/>
      <c r="W61" s="430"/>
      <c r="X61" s="124">
        <f ca="1"/>
        <v>0.23298387080043784</v>
      </c>
      <c r="Y61" s="270">
        <f ca="1"/>
        <v>-1.0764899712107359</v>
      </c>
      <c r="Z61" s="270">
        <f ca="1"/>
        <v>1.7547755576057253</v>
      </c>
      <c r="AA61" s="270">
        <f ca="1"/>
        <v>0.72810708935373014</v>
      </c>
      <c r="AB61" s="125">
        <f ca="1"/>
        <v>-4.9122462980273743E-2</v>
      </c>
      <c r="AC61" s="430"/>
      <c r="AD61" s="430"/>
      <c r="AE61" s="430"/>
    </row>
    <row r="62" spans="2:31">
      <c r="D62" s="124">
        <f ca="1"/>
        <v>-0.63736695093064755</v>
      </c>
      <c r="E62" s="270">
        <f ca="1"/>
        <v>-0.21947173866600425</v>
      </c>
      <c r="F62" s="270">
        <f ca="1"/>
        <v>-0.3859436116857301</v>
      </c>
      <c r="G62" s="270">
        <f ca="1"/>
        <v>0.43017177828252023</v>
      </c>
      <c r="H62" s="125">
        <f ca="1"/>
        <v>-0.20136053851420513</v>
      </c>
      <c r="M62" s="124">
        <f ca="1"/>
        <v>-0.15708936381720576</v>
      </c>
      <c r="N62" s="270">
        <f ca="1"/>
        <v>-1.0653743242702789</v>
      </c>
      <c r="O62" s="270">
        <f ca="1"/>
        <v>-0.80509454519587287</v>
      </c>
      <c r="P62" s="270">
        <f ca="1"/>
        <v>0.91915684812891307</v>
      </c>
      <c r="Q62" s="125">
        <f ca="1"/>
        <v>5.8307248146102324E-2</v>
      </c>
      <c r="V62" s="430"/>
      <c r="W62" s="430"/>
      <c r="X62" s="124">
        <f ca="1"/>
        <v>-0.63736695093064755</v>
      </c>
      <c r="Y62" s="270">
        <f ca="1"/>
        <v>-0.21947173866600425</v>
      </c>
      <c r="Z62" s="270">
        <f ca="1"/>
        <v>-0.3859436116857301</v>
      </c>
      <c r="AA62" s="270">
        <f ca="1"/>
        <v>0.43017177828252023</v>
      </c>
      <c r="AB62" s="125">
        <f ca="1"/>
        <v>-0.20136053851420513</v>
      </c>
      <c r="AC62" s="430"/>
      <c r="AD62" s="430"/>
      <c r="AE62" s="430"/>
    </row>
    <row r="63" spans="2:31">
      <c r="D63" s="124">
        <f ca="1"/>
        <v>-0.42607435867377447</v>
      </c>
      <c r="E63" s="270">
        <f ca="1"/>
        <v>0.91605467339775526</v>
      </c>
      <c r="F63" s="270">
        <f ca="1"/>
        <v>-1.6169891726572032</v>
      </c>
      <c r="G63" s="270">
        <f ca="1"/>
        <v>-9.9853780857881491E-2</v>
      </c>
      <c r="H63" s="125">
        <f ca="1"/>
        <v>-0.83075713527444417</v>
      </c>
      <c r="M63" s="124">
        <f ca="1"/>
        <v>-0.53150451916000441</v>
      </c>
      <c r="N63" s="270">
        <f ca="1"/>
        <v>9.3818238275564306E-2</v>
      </c>
      <c r="O63" s="270">
        <f ca="1"/>
        <v>-0.36340235823986</v>
      </c>
      <c r="P63" s="270">
        <f ca="1"/>
        <v>-2.2094510474666582</v>
      </c>
      <c r="Q63" s="125">
        <f ca="1"/>
        <v>1.3833613776168325</v>
      </c>
      <c r="V63" s="430"/>
      <c r="W63" s="430"/>
      <c r="X63" s="124">
        <f ca="1"/>
        <v>-0.42607435867377447</v>
      </c>
      <c r="Y63" s="270">
        <f ca="1"/>
        <v>0.91605467339775526</v>
      </c>
      <c r="Z63" s="270">
        <f ca="1"/>
        <v>-1.6169891726572032</v>
      </c>
      <c r="AA63" s="270">
        <f ca="1"/>
        <v>-9.9853780857881491E-2</v>
      </c>
      <c r="AB63" s="125">
        <f ca="1"/>
        <v>-0.83075713527444417</v>
      </c>
      <c r="AC63" s="430"/>
      <c r="AD63" s="430"/>
      <c r="AE63" s="430"/>
    </row>
    <row r="64" spans="2:31">
      <c r="D64" s="124">
        <f ca="1"/>
        <v>1.9788808392213517</v>
      </c>
      <c r="E64" s="270">
        <f ca="1"/>
        <v>-0.8444992802006771</v>
      </c>
      <c r="F64" s="270">
        <f ca="1"/>
        <v>0.53167290579956916</v>
      </c>
      <c r="G64" s="270">
        <f ca="1"/>
        <v>1.3476990609315769</v>
      </c>
      <c r="H64" s="125">
        <f ca="1"/>
        <v>-8.1515249102279419E-2</v>
      </c>
      <c r="M64" s="124">
        <f ca="1"/>
        <v>1.2360122870119385</v>
      </c>
      <c r="N64" s="270">
        <f ca="1"/>
        <v>1.5952239593837385</v>
      </c>
      <c r="O64" s="270">
        <f ca="1"/>
        <v>-1.1314812360535402</v>
      </c>
      <c r="P64" s="270">
        <f ca="1"/>
        <v>-1.2982467961229738</v>
      </c>
      <c r="Q64" s="125">
        <f ca="1"/>
        <v>-1.3168735554115905</v>
      </c>
      <c r="V64" s="430"/>
      <c r="W64" s="430"/>
      <c r="X64" s="124">
        <f ca="1"/>
        <v>1.9788808392213517</v>
      </c>
      <c r="Y64" s="270">
        <f ca="1"/>
        <v>-0.8444992802006771</v>
      </c>
      <c r="Z64" s="270">
        <f ca="1"/>
        <v>0.53167290579956916</v>
      </c>
      <c r="AA64" s="270">
        <f ca="1"/>
        <v>1.3476990609315769</v>
      </c>
      <c r="AB64" s="125">
        <f ca="1"/>
        <v>-8.1515249102279419E-2</v>
      </c>
      <c r="AC64" s="430"/>
      <c r="AD64" s="430"/>
      <c r="AE64" s="430"/>
    </row>
    <row r="65" spans="4:31">
      <c r="D65" s="124">
        <f ca="1"/>
        <v>-0.61135617247427165</v>
      </c>
      <c r="E65" s="270">
        <f ca="1"/>
        <v>1.2682963768981825</v>
      </c>
      <c r="F65" s="270">
        <f ca="1"/>
        <v>6.5443228707294687E-2</v>
      </c>
      <c r="G65" s="270">
        <f ca="1"/>
        <v>0.43254942321321643</v>
      </c>
      <c r="H65" s="125">
        <f ca="1"/>
        <v>0.42060061179352987</v>
      </c>
      <c r="M65" s="124">
        <f ca="1"/>
        <v>-1.5829803137914036</v>
      </c>
      <c r="N65" s="270">
        <f ca="1"/>
        <v>0.70185633990212082</v>
      </c>
      <c r="O65" s="270">
        <f ca="1"/>
        <v>0.67665051211608307</v>
      </c>
      <c r="P65" s="270">
        <f ca="1"/>
        <v>0.31296426265648503</v>
      </c>
      <c r="Q65" s="125">
        <f ca="1"/>
        <v>1.4129012007575132</v>
      </c>
      <c r="V65" s="430"/>
      <c r="W65" s="430"/>
      <c r="X65" s="124">
        <f ca="1"/>
        <v>-0.61135617247427165</v>
      </c>
      <c r="Y65" s="270">
        <f ca="1"/>
        <v>1.2682963768981825</v>
      </c>
      <c r="Z65" s="270">
        <f ca="1"/>
        <v>6.5443228707294687E-2</v>
      </c>
      <c r="AA65" s="270">
        <f ca="1"/>
        <v>0.43254942321321643</v>
      </c>
      <c r="AB65" s="125">
        <f ca="1"/>
        <v>0.42060061179352987</v>
      </c>
      <c r="AC65" s="430"/>
      <c r="AD65" s="430"/>
      <c r="AE65" s="430"/>
    </row>
    <row r="66" spans="4:31">
      <c r="D66" s="124">
        <f ca="1"/>
        <v>0.62134768002507634</v>
      </c>
      <c r="E66" s="270">
        <f ca="1"/>
        <v>7.9542410013188777E-2</v>
      </c>
      <c r="F66" s="270">
        <f ca="1"/>
        <v>-2.1987215358931604E-2</v>
      </c>
      <c r="G66" s="270">
        <f ca="1"/>
        <v>-0.98579270828865395</v>
      </c>
      <c r="H66" s="125">
        <f ca="1"/>
        <v>1.3042580425018544</v>
      </c>
      <c r="M66" s="124">
        <f ca="1"/>
        <v>1.7948696412447682</v>
      </c>
      <c r="N66" s="270">
        <f ca="1"/>
        <v>5.4793042142818014E-2</v>
      </c>
      <c r="O66" s="270">
        <f ca="1"/>
        <v>-0.48052138707036213</v>
      </c>
      <c r="P66" s="270">
        <f ca="1"/>
        <v>0.98604672095167512</v>
      </c>
      <c r="Q66" s="125">
        <f ca="1"/>
        <v>0.19153430097807242</v>
      </c>
      <c r="V66" s="430"/>
      <c r="W66" s="430"/>
      <c r="X66" s="124">
        <f ca="1"/>
        <v>0.62134768002507634</v>
      </c>
      <c r="Y66" s="270">
        <f ca="1"/>
        <v>7.9542410013188777E-2</v>
      </c>
      <c r="Z66" s="270">
        <f ca="1"/>
        <v>-2.1987215358931604E-2</v>
      </c>
      <c r="AA66" s="270">
        <f ca="1"/>
        <v>-0.98579270828865395</v>
      </c>
      <c r="AB66" s="125">
        <f ca="1"/>
        <v>1.3042580425018544</v>
      </c>
      <c r="AC66" s="430"/>
      <c r="AD66" s="430"/>
      <c r="AE66" s="430"/>
    </row>
    <row r="67" spans="4:31">
      <c r="D67" s="124">
        <f ca="1"/>
        <v>-0.50308335820540317</v>
      </c>
      <c r="E67" s="270">
        <f ca="1"/>
        <v>1.4640300463756799</v>
      </c>
      <c r="F67" s="270">
        <f ca="1"/>
        <v>0.46256721575986759</v>
      </c>
      <c r="G67" s="270">
        <f ca="1"/>
        <v>0.13757711286725449</v>
      </c>
      <c r="H67" s="125">
        <f ca="1"/>
        <v>1.903663328597879</v>
      </c>
      <c r="M67" s="124">
        <f ca="1"/>
        <v>-0.60479895355841384</v>
      </c>
      <c r="N67" s="270">
        <f ca="1"/>
        <v>-1.2485896144281661</v>
      </c>
      <c r="O67" s="270">
        <f ca="1"/>
        <v>0.27366943766787372</v>
      </c>
      <c r="P67" s="270">
        <f ca="1"/>
        <v>0.45004119380308644</v>
      </c>
      <c r="Q67" s="125">
        <f ca="1"/>
        <v>-1.3844360616948774</v>
      </c>
      <c r="V67" s="430"/>
      <c r="W67" s="430"/>
      <c r="X67" s="124">
        <f ca="1"/>
        <v>-0.50308335820540317</v>
      </c>
      <c r="Y67" s="270">
        <f ca="1"/>
        <v>1.4640300463756799</v>
      </c>
      <c r="Z67" s="270">
        <f ca="1"/>
        <v>0.46256721575986759</v>
      </c>
      <c r="AA67" s="270">
        <f ca="1"/>
        <v>0.13757711286725449</v>
      </c>
      <c r="AB67" s="125">
        <f ca="1"/>
        <v>1.903663328597879</v>
      </c>
      <c r="AC67" s="430"/>
      <c r="AD67" s="430"/>
      <c r="AE67" s="430"/>
    </row>
    <row r="68" spans="4:31">
      <c r="D68" s="124">
        <f ca="1"/>
        <v>-1.198947290104817</v>
      </c>
      <c r="E68" s="270">
        <f ca="1"/>
        <v>0.96357590104857871</v>
      </c>
      <c r="F68" s="270">
        <f ca="1"/>
        <v>1.9247923185797389</v>
      </c>
      <c r="G68" s="270">
        <f ca="1"/>
        <v>1.3443248184039669</v>
      </c>
      <c r="H68" s="125">
        <f ca="1"/>
        <v>0.34126673979749322</v>
      </c>
      <c r="M68" s="124">
        <f ca="1"/>
        <v>-0.29645445691204342</v>
      </c>
      <c r="N68" s="270">
        <f ca="1"/>
        <v>-0.21556879453095484</v>
      </c>
      <c r="O68" s="270">
        <f ca="1"/>
        <v>-0.34855748958572064</v>
      </c>
      <c r="P68" s="270">
        <f ca="1"/>
        <v>-1.3041078808768987</v>
      </c>
      <c r="Q68" s="125">
        <f ca="1"/>
        <v>1.4705694003542786</v>
      </c>
      <c r="V68" s="430"/>
      <c r="W68" s="430"/>
      <c r="X68" s="124">
        <f ca="1"/>
        <v>-1.198947290104817</v>
      </c>
      <c r="Y68" s="270">
        <f ca="1"/>
        <v>0.96357590104857871</v>
      </c>
      <c r="Z68" s="270">
        <f ca="1"/>
        <v>1.9247923185797389</v>
      </c>
      <c r="AA68" s="270">
        <f ca="1"/>
        <v>1.3443248184039669</v>
      </c>
      <c r="AB68" s="125">
        <f ca="1"/>
        <v>0.34126673979749322</v>
      </c>
      <c r="AC68" s="430"/>
      <c r="AD68" s="430"/>
      <c r="AE68" s="430"/>
    </row>
    <row r="69" spans="4:31">
      <c r="D69" s="124">
        <f ca="1"/>
        <v>0.85011456561901899</v>
      </c>
      <c r="E69" s="270">
        <f ca="1"/>
        <v>0.30429192596407545</v>
      </c>
      <c r="F69" s="270">
        <f ca="1"/>
        <v>0.67152742633508133</v>
      </c>
      <c r="G69" s="270">
        <f ca="1"/>
        <v>0.80782203516718254</v>
      </c>
      <c r="H69" s="125">
        <f ca="1"/>
        <v>-8.2646524328612386E-2</v>
      </c>
      <c r="M69" s="124">
        <f ca="1"/>
        <v>-5.601454099387887E-2</v>
      </c>
      <c r="N69" s="270">
        <f ca="1"/>
        <v>-6.6222296794066063E-2</v>
      </c>
      <c r="O69" s="270">
        <f ca="1"/>
        <v>-0.45363097528494672</v>
      </c>
      <c r="P69" s="270">
        <f ca="1"/>
        <v>1.9101803048964361</v>
      </c>
      <c r="Q69" s="125">
        <f ca="1"/>
        <v>-0.58963239539706591</v>
      </c>
      <c r="V69" s="430"/>
      <c r="W69" s="430"/>
      <c r="X69" s="124">
        <f ca="1"/>
        <v>0.85011456561901899</v>
      </c>
      <c r="Y69" s="270">
        <f ca="1"/>
        <v>0.30429192596407545</v>
      </c>
      <c r="Z69" s="270">
        <f ca="1"/>
        <v>0.67152742633508133</v>
      </c>
      <c r="AA69" s="270">
        <f ca="1"/>
        <v>0.80782203516718254</v>
      </c>
      <c r="AB69" s="125">
        <f ca="1"/>
        <v>-8.2646524328612386E-2</v>
      </c>
      <c r="AC69" s="430"/>
      <c r="AD69" s="430"/>
      <c r="AE69" s="430"/>
    </row>
    <row r="70" spans="4:31">
      <c r="D70" s="124">
        <f ca="1"/>
        <v>-0.28904080804777654</v>
      </c>
      <c r="E70" s="270">
        <f ca="1"/>
        <v>-0.89553364635263466</v>
      </c>
      <c r="F70" s="270">
        <f ca="1"/>
        <v>0.9780203880833418</v>
      </c>
      <c r="G70" s="270">
        <f ca="1"/>
        <v>-0.45554694662875511</v>
      </c>
      <c r="H70" s="125">
        <f ca="1"/>
        <v>8.2384361896065766E-2</v>
      </c>
      <c r="M70" s="124">
        <f ca="1"/>
        <v>0.81242129145400976</v>
      </c>
      <c r="N70" s="270">
        <f ca="1"/>
        <v>-0.62936332454492938</v>
      </c>
      <c r="O70" s="270">
        <f ca="1"/>
        <v>0.17687516295823891</v>
      </c>
      <c r="P70" s="270">
        <f ca="1"/>
        <v>1.9855701869412921</v>
      </c>
      <c r="Q70" s="125">
        <f ca="1"/>
        <v>-0.47170424056666821</v>
      </c>
      <c r="V70" s="430"/>
      <c r="W70" s="430"/>
      <c r="X70" s="124">
        <f ca="1"/>
        <v>-0.28904080804777654</v>
      </c>
      <c r="Y70" s="270">
        <f ca="1"/>
        <v>-0.89553364635263466</v>
      </c>
      <c r="Z70" s="270">
        <f ca="1"/>
        <v>0.9780203880833418</v>
      </c>
      <c r="AA70" s="270">
        <f ca="1"/>
        <v>-0.45554694662875511</v>
      </c>
      <c r="AB70" s="125">
        <f ca="1"/>
        <v>8.2384361896065766E-2</v>
      </c>
      <c r="AC70" s="430"/>
      <c r="AD70" s="430"/>
      <c r="AE70" s="430"/>
    </row>
    <row r="71" spans="4:31">
      <c r="D71" s="124">
        <f ca="1"/>
        <v>-1.3097052116291188</v>
      </c>
      <c r="E71" s="270">
        <f ca="1"/>
        <v>1.7215300670511962</v>
      </c>
      <c r="F71" s="270">
        <f ca="1"/>
        <v>9.7776697591451453E-2</v>
      </c>
      <c r="G71" s="270">
        <f ca="1"/>
        <v>1.1490936456210052</v>
      </c>
      <c r="H71" s="125">
        <f ca="1"/>
        <v>-2.069075586550726</v>
      </c>
      <c r="M71" s="124">
        <f ca="1"/>
        <v>0.88591645744064973</v>
      </c>
      <c r="N71" s="270">
        <f ca="1"/>
        <v>-0.89149310470618126</v>
      </c>
      <c r="O71" s="270">
        <f ca="1"/>
        <v>-1.7692578677541684</v>
      </c>
      <c r="P71" s="270">
        <f ca="1"/>
        <v>1.1660034196083535</v>
      </c>
      <c r="Q71" s="125">
        <f ca="1"/>
        <v>-2.3511914329550483</v>
      </c>
      <c r="V71" s="430"/>
      <c r="W71" s="430"/>
      <c r="X71" s="124">
        <f ca="1"/>
        <v>-1.3097052116291188</v>
      </c>
      <c r="Y71" s="270">
        <f ca="1"/>
        <v>1.7215300670511962</v>
      </c>
      <c r="Z71" s="270">
        <f ca="1"/>
        <v>9.7776697591451453E-2</v>
      </c>
      <c r="AA71" s="270">
        <f ca="1"/>
        <v>1.1490936456210052</v>
      </c>
      <c r="AB71" s="125">
        <f ca="1"/>
        <v>-2.069075586550726</v>
      </c>
      <c r="AC71" s="430"/>
      <c r="AD71" s="430"/>
      <c r="AE71" s="430"/>
    </row>
    <row r="72" spans="4:31">
      <c r="D72" s="124">
        <f ca="1"/>
        <v>0.32788629545256831</v>
      </c>
      <c r="E72" s="270">
        <f ca="1"/>
        <v>1.720830635000675</v>
      </c>
      <c r="F72" s="270">
        <f ca="1"/>
        <v>0.27993766822148569</v>
      </c>
      <c r="G72" s="270">
        <f ca="1"/>
        <v>0.52525898259965065</v>
      </c>
      <c r="H72" s="125">
        <f ca="1"/>
        <v>-0.71433261283908289</v>
      </c>
      <c r="M72" s="124">
        <f ca="1"/>
        <v>7.249226999462359E-2</v>
      </c>
      <c r="N72" s="270">
        <f ca="1"/>
        <v>0.75286236290794595</v>
      </c>
      <c r="O72" s="270">
        <f ca="1"/>
        <v>-0.15451583480191308</v>
      </c>
      <c r="P72" s="270">
        <f ca="1"/>
        <v>-7.8660836787310617E-2</v>
      </c>
      <c r="Q72" s="125">
        <f ca="1"/>
        <v>0.43277360942751136</v>
      </c>
      <c r="V72" s="430"/>
      <c r="W72" s="430"/>
      <c r="X72" s="124">
        <f ca="1"/>
        <v>0.32788629545256831</v>
      </c>
      <c r="Y72" s="270">
        <f ca="1"/>
        <v>1.720830635000675</v>
      </c>
      <c r="Z72" s="270">
        <f ca="1"/>
        <v>0.27993766822148569</v>
      </c>
      <c r="AA72" s="270">
        <f ca="1"/>
        <v>0.52525898259965065</v>
      </c>
      <c r="AB72" s="125">
        <f ca="1"/>
        <v>-0.71433261283908289</v>
      </c>
      <c r="AC72" s="430"/>
      <c r="AD72" s="430"/>
      <c r="AE72" s="430"/>
    </row>
    <row r="73" spans="4:31">
      <c r="D73" s="124">
        <f ca="1"/>
        <v>-0.35007770185857218</v>
      </c>
      <c r="E73" s="270">
        <f ca="1"/>
        <v>1.1800027393927328</v>
      </c>
      <c r="F73" s="270">
        <f ca="1"/>
        <v>-0.62779716766341387</v>
      </c>
      <c r="G73" s="270">
        <f ca="1"/>
        <v>1.0849418236383948</v>
      </c>
      <c r="H73" s="125">
        <f ca="1"/>
        <v>-0.6285170754115107</v>
      </c>
      <c r="M73" s="124">
        <f ca="1"/>
        <v>-5.02108783691224E-2</v>
      </c>
      <c r="N73" s="270">
        <f ca="1"/>
        <v>0.63387309695275007</v>
      </c>
      <c r="O73" s="270">
        <f ca="1"/>
        <v>0.34319483017443847</v>
      </c>
      <c r="P73" s="270">
        <f ca="1"/>
        <v>2.4127062990016889E-2</v>
      </c>
      <c r="Q73" s="125">
        <f ca="1"/>
        <v>1.0041302391154621</v>
      </c>
      <c r="V73" s="430"/>
      <c r="W73" s="430"/>
      <c r="X73" s="124">
        <f ca="1"/>
        <v>-0.35007770185857218</v>
      </c>
      <c r="Y73" s="270">
        <f ca="1"/>
        <v>1.1800027393927328</v>
      </c>
      <c r="Z73" s="270">
        <f ca="1"/>
        <v>-0.62779716766341387</v>
      </c>
      <c r="AA73" s="270">
        <f ca="1"/>
        <v>1.0849418236383948</v>
      </c>
      <c r="AB73" s="125">
        <f ca="1"/>
        <v>-0.6285170754115107</v>
      </c>
      <c r="AC73" s="430"/>
      <c r="AD73" s="430"/>
      <c r="AE73" s="430"/>
    </row>
    <row r="74" spans="4:31">
      <c r="D74" s="124">
        <f ca="1"/>
        <v>-1.1500680545803554</v>
      </c>
      <c r="E74" s="270">
        <f ca="1"/>
        <v>-0.18806037521523697</v>
      </c>
      <c r="F74" s="270">
        <f ca="1"/>
        <v>0.16243660080584485</v>
      </c>
      <c r="G74" s="270">
        <f ca="1"/>
        <v>-0.62663170461412543</v>
      </c>
      <c r="H74" s="125">
        <f ca="1"/>
        <v>1.6118611296858081</v>
      </c>
      <c r="M74" s="124">
        <f ca="1"/>
        <v>0.17139794249924944</v>
      </c>
      <c r="N74" s="270">
        <f ca="1"/>
        <v>-0.11013706678339194</v>
      </c>
      <c r="O74" s="270">
        <f ca="1"/>
        <v>2.2692630137464183</v>
      </c>
      <c r="P74" s="270">
        <f ca="1"/>
        <v>1.9910279149762391</v>
      </c>
      <c r="Q74" s="125">
        <f ca="1"/>
        <v>-1.1179327323040036</v>
      </c>
      <c r="V74" s="430"/>
      <c r="W74" s="430"/>
      <c r="X74" s="124">
        <f ca="1"/>
        <v>-1.1500680545803554</v>
      </c>
      <c r="Y74" s="270">
        <f ca="1"/>
        <v>-0.18806037521523697</v>
      </c>
      <c r="Z74" s="270">
        <f ca="1"/>
        <v>0.16243660080584485</v>
      </c>
      <c r="AA74" s="270">
        <f ca="1"/>
        <v>-0.62663170461412543</v>
      </c>
      <c r="AB74" s="125">
        <f ca="1"/>
        <v>1.6118611296858081</v>
      </c>
      <c r="AC74" s="430"/>
      <c r="AD74" s="430"/>
      <c r="AE74" s="430"/>
    </row>
    <row r="75" spans="4:31">
      <c r="D75" s="124">
        <f ca="1"/>
        <v>0.64691193539250558</v>
      </c>
      <c r="E75" s="270">
        <f ca="1"/>
        <v>0.89115808668949248</v>
      </c>
      <c r="F75" s="270">
        <f ca="1"/>
        <v>0.9860723619258096</v>
      </c>
      <c r="G75" s="270">
        <f ca="1"/>
        <v>-0.506742454491937</v>
      </c>
      <c r="H75" s="125">
        <f ca="1"/>
        <v>7.2347348245717744E-2</v>
      </c>
      <c r="M75" s="124">
        <f ca="1"/>
        <v>-0.27206819213014455</v>
      </c>
      <c r="N75" s="270">
        <f ca="1"/>
        <v>-0.78389672192767001</v>
      </c>
      <c r="O75" s="270">
        <f ca="1"/>
        <v>1.7386209358168976</v>
      </c>
      <c r="P75" s="270">
        <f ca="1"/>
        <v>-1.5918011760197763</v>
      </c>
      <c r="Q75" s="125">
        <f ca="1"/>
        <v>0.37770234866728736</v>
      </c>
      <c r="V75" s="430"/>
      <c r="W75" s="430"/>
      <c r="X75" s="124">
        <f ca="1"/>
        <v>0.64691193539250558</v>
      </c>
      <c r="Y75" s="270">
        <f ca="1"/>
        <v>0.89115808668949248</v>
      </c>
      <c r="Z75" s="270">
        <f ca="1"/>
        <v>0.9860723619258096</v>
      </c>
      <c r="AA75" s="270">
        <f ca="1"/>
        <v>-0.506742454491937</v>
      </c>
      <c r="AB75" s="125">
        <f ca="1"/>
        <v>7.2347348245717744E-2</v>
      </c>
      <c r="AC75" s="430"/>
      <c r="AD75" s="430"/>
      <c r="AE75" s="430"/>
    </row>
    <row r="76" spans="4:31">
      <c r="D76" s="124">
        <f ca="1"/>
        <v>2.1332675037689501</v>
      </c>
      <c r="E76" s="270">
        <f ca="1"/>
        <v>1.0044329379325341E-2</v>
      </c>
      <c r="F76" s="270">
        <f ca="1"/>
        <v>2.7930281231195897</v>
      </c>
      <c r="G76" s="270">
        <f ca="1"/>
        <v>4.7540172641717976E-2</v>
      </c>
      <c r="H76" s="125">
        <f ca="1"/>
        <v>0.14952454772362248</v>
      </c>
      <c r="M76" s="124">
        <f ca="1"/>
        <v>1.4437591604313265</v>
      </c>
      <c r="N76" s="270">
        <f ca="1"/>
        <v>0.17238851165673519</v>
      </c>
      <c r="O76" s="270">
        <f ca="1"/>
        <v>-1.2699860097416114</v>
      </c>
      <c r="P76" s="270">
        <f ca="1"/>
        <v>0.26590942794695149</v>
      </c>
      <c r="Q76" s="125">
        <f ca="1"/>
        <v>0.57196512132722011</v>
      </c>
      <c r="V76" s="430"/>
      <c r="W76" s="430"/>
      <c r="X76" s="124">
        <f ca="1"/>
        <v>2.1332675037689501</v>
      </c>
      <c r="Y76" s="270">
        <f ca="1"/>
        <v>1.0044329379325341E-2</v>
      </c>
      <c r="Z76" s="270">
        <f ca="1"/>
        <v>2.7930281231195897</v>
      </c>
      <c r="AA76" s="270">
        <f ca="1"/>
        <v>4.7540172641717976E-2</v>
      </c>
      <c r="AB76" s="125">
        <f ca="1"/>
        <v>0.14952454772362248</v>
      </c>
      <c r="AC76" s="430"/>
      <c r="AD76" s="430"/>
      <c r="AE76" s="430"/>
    </row>
    <row r="77" spans="4:31">
      <c r="D77" s="124">
        <f ca="1"/>
        <v>-0.99466901445455624</v>
      </c>
      <c r="E77" s="270">
        <f ca="1"/>
        <v>0.50225278398034379</v>
      </c>
      <c r="F77" s="270">
        <f ca="1"/>
        <v>0.62792680297973469</v>
      </c>
      <c r="G77" s="270">
        <f ca="1"/>
        <v>2.0691183604794094</v>
      </c>
      <c r="H77" s="125">
        <f ca="1"/>
        <v>-1.04703872441546</v>
      </c>
      <c r="M77" s="124">
        <f ca="1"/>
        <v>0.97846890675398013</v>
      </c>
      <c r="N77" s="270">
        <f ca="1"/>
        <v>-1.1020582544619302</v>
      </c>
      <c r="O77" s="270">
        <f ca="1"/>
        <v>0.39286477148360299</v>
      </c>
      <c r="P77" s="270">
        <f ca="1"/>
        <v>-0.1227331305528255</v>
      </c>
      <c r="Q77" s="125">
        <f ca="1"/>
        <v>1.0001710109068307</v>
      </c>
      <c r="V77" s="430"/>
      <c r="W77" s="430"/>
      <c r="X77" s="124">
        <f ca="1"/>
        <v>-0.99466901445455624</v>
      </c>
      <c r="Y77" s="270">
        <f ca="1"/>
        <v>0.50225278398034379</v>
      </c>
      <c r="Z77" s="270">
        <f ca="1"/>
        <v>0.62792680297973469</v>
      </c>
      <c r="AA77" s="270">
        <f ca="1"/>
        <v>2.0691183604794094</v>
      </c>
      <c r="AB77" s="125">
        <f ca="1"/>
        <v>-1.04703872441546</v>
      </c>
      <c r="AC77" s="430"/>
      <c r="AD77" s="430"/>
      <c r="AE77" s="430"/>
    </row>
    <row r="78" spans="4:31">
      <c r="D78" s="124">
        <f ca="1"/>
        <v>-0.14279798956905393</v>
      </c>
      <c r="E78" s="270">
        <f ca="1"/>
        <v>2.6249780866021383E-2</v>
      </c>
      <c r="F78" s="270">
        <f ca="1"/>
        <v>-0.65969703489988807</v>
      </c>
      <c r="G78" s="270">
        <f ca="1"/>
        <v>-0.925057575262345</v>
      </c>
      <c r="H78" s="125">
        <f ca="1"/>
        <v>0.69780853400880927</v>
      </c>
      <c r="M78" s="124">
        <f ca="1"/>
        <v>-1.4681182045982457</v>
      </c>
      <c r="N78" s="270">
        <f ca="1"/>
        <v>-2.0794109376992451</v>
      </c>
      <c r="O78" s="270">
        <f ca="1"/>
        <v>-0.8103248144499442</v>
      </c>
      <c r="P78" s="270">
        <f ca="1"/>
        <v>0.64107672193829024</v>
      </c>
      <c r="Q78" s="125">
        <f ca="1"/>
        <v>-0.5551205874134405</v>
      </c>
      <c r="V78" s="430"/>
      <c r="W78" s="430"/>
      <c r="X78" s="124">
        <f ca="1"/>
        <v>-0.14279798956905393</v>
      </c>
      <c r="Y78" s="270">
        <f ca="1"/>
        <v>2.6249780866021383E-2</v>
      </c>
      <c r="Z78" s="270">
        <f ca="1"/>
        <v>-0.65969703489988807</v>
      </c>
      <c r="AA78" s="270">
        <f ca="1"/>
        <v>-0.925057575262345</v>
      </c>
      <c r="AB78" s="125">
        <f ca="1"/>
        <v>0.69780853400880927</v>
      </c>
      <c r="AC78" s="430"/>
      <c r="AD78" s="430"/>
      <c r="AE78" s="430"/>
    </row>
    <row r="79" spans="4:31">
      <c r="D79" s="124">
        <f ca="1"/>
        <v>1.092291704880513</v>
      </c>
      <c r="E79" s="270">
        <f ca="1"/>
        <v>0.50433622145908918</v>
      </c>
      <c r="F79" s="270">
        <f ca="1"/>
        <v>1.0826951457065646</v>
      </c>
      <c r="G79" s="270">
        <f ca="1"/>
        <v>0.59345089881883117</v>
      </c>
      <c r="H79" s="125">
        <f ca="1"/>
        <v>1.1610661581658341E-2</v>
      </c>
      <c r="M79" s="124">
        <f ca="1"/>
        <v>-0.41957997007360187</v>
      </c>
      <c r="N79" s="270">
        <f ca="1"/>
        <v>-0.45615015179100066</v>
      </c>
      <c r="O79" s="270">
        <f ca="1"/>
        <v>0.34528217502908681</v>
      </c>
      <c r="P79" s="270">
        <f ca="1"/>
        <v>-2.0540035856533874</v>
      </c>
      <c r="Q79" s="125">
        <f ca="1"/>
        <v>-0.62883004396016451</v>
      </c>
      <c r="V79" s="430"/>
      <c r="W79" s="430"/>
      <c r="X79" s="124">
        <f ca="1"/>
        <v>1.092291704880513</v>
      </c>
      <c r="Y79" s="270">
        <f ca="1"/>
        <v>0.50433622145908918</v>
      </c>
      <c r="Z79" s="270">
        <f ca="1"/>
        <v>1.0826951457065646</v>
      </c>
      <c r="AA79" s="270">
        <f ca="1"/>
        <v>0.59345089881883117</v>
      </c>
      <c r="AB79" s="125">
        <f ca="1"/>
        <v>1.1610661581658341E-2</v>
      </c>
      <c r="AC79" s="430"/>
      <c r="AD79" s="430"/>
      <c r="AE79" s="430"/>
    </row>
    <row r="80" spans="4:31">
      <c r="D80" s="124">
        <f ca="1"/>
        <v>0.80488972711453355</v>
      </c>
      <c r="E80" s="270">
        <f ca="1"/>
        <v>-2.1496502133888749</v>
      </c>
      <c r="F80" s="270">
        <f ca="1"/>
        <v>-2.1868193390200261</v>
      </c>
      <c r="G80" s="270">
        <f ca="1"/>
        <v>-8.0685653261843113E-2</v>
      </c>
      <c r="H80" s="125">
        <f ca="1"/>
        <v>-0.71874440154847874</v>
      </c>
      <c r="M80" s="124">
        <f ca="1"/>
        <v>-1.3586466223513398</v>
      </c>
      <c r="N80" s="270">
        <f ca="1"/>
        <v>0.29927661185537396</v>
      </c>
      <c r="O80" s="270">
        <f ca="1"/>
        <v>-0.98909017881296901</v>
      </c>
      <c r="P80" s="270">
        <f ca="1"/>
        <v>-1.7601901121971923</v>
      </c>
      <c r="Q80" s="125">
        <f ca="1"/>
        <v>-0.90326978799681523</v>
      </c>
      <c r="V80" s="430"/>
      <c r="W80" s="430"/>
      <c r="X80" s="124">
        <f ca="1"/>
        <v>0.80488972711453355</v>
      </c>
      <c r="Y80" s="270">
        <f ca="1"/>
        <v>-2.1496502133888749</v>
      </c>
      <c r="Z80" s="270">
        <f ca="1"/>
        <v>-2.1868193390200261</v>
      </c>
      <c r="AA80" s="270">
        <f ca="1"/>
        <v>-8.0685653261843113E-2</v>
      </c>
      <c r="AB80" s="125">
        <f ca="1"/>
        <v>-0.71874440154847874</v>
      </c>
      <c r="AC80" s="430"/>
      <c r="AD80" s="430"/>
      <c r="AE80" s="430"/>
    </row>
    <row r="81" spans="2:36">
      <c r="D81" s="124">
        <f ca="1"/>
        <v>0.80605770412109401</v>
      </c>
      <c r="E81" s="270">
        <f ca="1"/>
        <v>0.98500956747093471</v>
      </c>
      <c r="F81" s="270">
        <f ca="1"/>
        <v>-0.51374156559767825</v>
      </c>
      <c r="G81" s="270">
        <f ca="1"/>
        <v>-0.10210221862083954</v>
      </c>
      <c r="H81" s="125">
        <f ca="1"/>
        <v>-0.52081378098183195</v>
      </c>
      <c r="M81" s="124">
        <f ca="1"/>
        <v>0.38038958191513106</v>
      </c>
      <c r="N81" s="270">
        <f ca="1"/>
        <v>-1.0378288827691335</v>
      </c>
      <c r="O81" s="270">
        <f ca="1"/>
        <v>2.5971214142627637</v>
      </c>
      <c r="P81" s="270">
        <f ca="1"/>
        <v>-0.14663282522262747</v>
      </c>
      <c r="Q81" s="125">
        <f ca="1"/>
        <v>-0.25899188301456494</v>
      </c>
      <c r="V81" s="430"/>
      <c r="W81" s="430"/>
      <c r="X81" s="124">
        <f ca="1"/>
        <v>0.80605770412109401</v>
      </c>
      <c r="Y81" s="270">
        <f ca="1"/>
        <v>0.98500956747093471</v>
      </c>
      <c r="Z81" s="270">
        <f ca="1"/>
        <v>-0.51374156559767825</v>
      </c>
      <c r="AA81" s="270">
        <f ca="1"/>
        <v>-0.10210221862083954</v>
      </c>
      <c r="AB81" s="125">
        <f ca="1"/>
        <v>-0.52081378098183195</v>
      </c>
      <c r="AC81" s="430"/>
      <c r="AD81" s="430"/>
      <c r="AE81" s="430"/>
    </row>
    <row r="82" spans="2:36">
      <c r="D82" s="124">
        <f ca="1"/>
        <v>0.82079536005409337</v>
      </c>
      <c r="E82" s="270">
        <f ca="1"/>
        <v>0.61793246371250865</v>
      </c>
      <c r="F82" s="270">
        <f ca="1"/>
        <v>-1.3466588678274796</v>
      </c>
      <c r="G82" s="270">
        <f ca="1"/>
        <v>-0.12827791600451344</v>
      </c>
      <c r="H82" s="125">
        <f ca="1"/>
        <v>-0.17698844504820233</v>
      </c>
      <c r="M82" s="124">
        <f ca="1"/>
        <v>-2.0492589722121508</v>
      </c>
      <c r="N82" s="270">
        <f ca="1"/>
        <v>0.28478540431095722</v>
      </c>
      <c r="O82" s="270">
        <f ca="1"/>
        <v>0.39372598320848995</v>
      </c>
      <c r="P82" s="270">
        <f ca="1"/>
        <v>-0.5745230326962294</v>
      </c>
      <c r="Q82" s="125">
        <f ca="1"/>
        <v>0.21858397895859533</v>
      </c>
      <c r="V82" s="430"/>
      <c r="W82" s="430"/>
      <c r="X82" s="124">
        <f ca="1"/>
        <v>0.82079536005409337</v>
      </c>
      <c r="Y82" s="270">
        <f ca="1"/>
        <v>0.61793246371250865</v>
      </c>
      <c r="Z82" s="270">
        <f ca="1"/>
        <v>-1.3466588678274796</v>
      </c>
      <c r="AA82" s="270">
        <f ca="1"/>
        <v>-0.12827791600451344</v>
      </c>
      <c r="AB82" s="125">
        <f ca="1"/>
        <v>-0.17698844504820233</v>
      </c>
      <c r="AC82" s="430"/>
      <c r="AD82" s="430"/>
      <c r="AE82" s="430"/>
    </row>
    <row r="83" spans="2:36">
      <c r="D83" s="124">
        <f ca="1"/>
        <v>-2.5528312879719279</v>
      </c>
      <c r="E83" s="270">
        <f ca="1"/>
        <v>0.29691031563146875</v>
      </c>
      <c r="F83" s="270">
        <f ca="1"/>
        <v>0.27808394980380907</v>
      </c>
      <c r="G83" s="270">
        <f ca="1"/>
        <v>0.44539774631615076</v>
      </c>
      <c r="H83" s="125">
        <f ca="1"/>
        <v>-0.31079358334370855</v>
      </c>
      <c r="M83" s="124">
        <f ca="1"/>
        <v>-0.33651429357523716</v>
      </c>
      <c r="N83" s="270">
        <f ca="1"/>
        <v>-0.76437673134373885</v>
      </c>
      <c r="O83" s="270">
        <f ca="1"/>
        <v>0.20662935169266924</v>
      </c>
      <c r="P83" s="270">
        <f ca="1"/>
        <v>2.0452873304035442</v>
      </c>
      <c r="Q83" s="125">
        <f ca="1"/>
        <v>0.13279307440324442</v>
      </c>
      <c r="V83" s="430"/>
      <c r="W83" s="430"/>
      <c r="X83" s="124">
        <f ca="1"/>
        <v>-2.5528312879719279</v>
      </c>
      <c r="Y83" s="270">
        <f ca="1"/>
        <v>0.29691031563146875</v>
      </c>
      <c r="Z83" s="270">
        <f ca="1"/>
        <v>0.27808394980380907</v>
      </c>
      <c r="AA83" s="270">
        <f ca="1"/>
        <v>0.44539774631615076</v>
      </c>
      <c r="AB83" s="125">
        <f ca="1"/>
        <v>-0.31079358334370855</v>
      </c>
      <c r="AC83" s="430"/>
      <c r="AD83" s="430"/>
      <c r="AE83" s="430"/>
    </row>
    <row r="84" spans="2:36">
      <c r="D84" s="124">
        <f ca="1"/>
        <v>-0.35508869593067621</v>
      </c>
      <c r="E84" s="270">
        <f ca="1"/>
        <v>2.473226548926343</v>
      </c>
      <c r="F84" s="270">
        <f ca="1"/>
        <v>1.5462889736876682</v>
      </c>
      <c r="G84" s="270">
        <f ca="1"/>
        <v>-0.26354671448282113</v>
      </c>
      <c r="H84" s="125">
        <f ca="1"/>
        <v>-0.26861340529971534</v>
      </c>
      <c r="M84" s="124">
        <f ca="1"/>
        <v>0.96456983493745785</v>
      </c>
      <c r="N84" s="270">
        <f ca="1"/>
        <v>0.2974381744348194</v>
      </c>
      <c r="O84" s="270">
        <f ca="1"/>
        <v>-0.66416735827039775</v>
      </c>
      <c r="P84" s="270">
        <f ca="1"/>
        <v>-1.1740047346845341</v>
      </c>
      <c r="Q84" s="125">
        <f ca="1"/>
        <v>-2.0515326737820851</v>
      </c>
      <c r="V84" s="430"/>
      <c r="W84" s="430"/>
      <c r="X84" s="124">
        <f ca="1"/>
        <v>-0.35508869593067621</v>
      </c>
      <c r="Y84" s="270">
        <f ca="1"/>
        <v>2.473226548926343</v>
      </c>
      <c r="Z84" s="270">
        <f ca="1"/>
        <v>1.5462889736876682</v>
      </c>
      <c r="AA84" s="270">
        <f ca="1"/>
        <v>-0.26354671448282113</v>
      </c>
      <c r="AB84" s="125">
        <f ca="1"/>
        <v>-0.26861340529971534</v>
      </c>
      <c r="AC84" s="430"/>
      <c r="AD84" s="430"/>
      <c r="AE84" s="430"/>
    </row>
    <row r="85" spans="2:36">
      <c r="D85" s="124">
        <f ca="1"/>
        <v>-9.1431096942242635E-2</v>
      </c>
      <c r="E85" s="270">
        <f ca="1"/>
        <v>0.42641284474781083</v>
      </c>
      <c r="F85" s="270">
        <f ca="1"/>
        <v>-0.5923458699002222</v>
      </c>
      <c r="G85" s="270">
        <f ca="1"/>
        <v>1.2013235212028235</v>
      </c>
      <c r="H85" s="125">
        <f ca="1"/>
        <v>2.3611673657222285</v>
      </c>
      <c r="M85" s="124">
        <f ca="1"/>
        <v>1.7185865011779202</v>
      </c>
      <c r="N85" s="270">
        <f ca="1"/>
        <v>-0.2884818052458844</v>
      </c>
      <c r="O85" s="270">
        <f ca="1"/>
        <v>-0.21632146817917425</v>
      </c>
      <c r="P85" s="270">
        <f ca="1"/>
        <v>-0.3599440989690163</v>
      </c>
      <c r="Q85" s="125">
        <f ca="1"/>
        <v>-0.97435375802600133</v>
      </c>
      <c r="V85" s="430"/>
      <c r="W85" s="430"/>
      <c r="X85" s="124">
        <f ca="1"/>
        <v>-9.1431096942242635E-2</v>
      </c>
      <c r="Y85" s="270">
        <f ca="1"/>
        <v>0.42641284474781083</v>
      </c>
      <c r="Z85" s="270">
        <f ca="1"/>
        <v>-0.5923458699002222</v>
      </c>
      <c r="AA85" s="270">
        <f ca="1"/>
        <v>1.2013235212028235</v>
      </c>
      <c r="AB85" s="125">
        <f ca="1"/>
        <v>2.3611673657222285</v>
      </c>
      <c r="AC85" s="430"/>
      <c r="AD85" s="430"/>
      <c r="AE85" s="430"/>
    </row>
    <row r="86" spans="2:36">
      <c r="D86" s="124">
        <f ca="1"/>
        <v>-0.21187073507578053</v>
      </c>
      <c r="E86" s="270">
        <f ca="1"/>
        <v>-0.98270009982047668</v>
      </c>
      <c r="F86" s="270">
        <f ca="1"/>
        <v>1.9342596462199904</v>
      </c>
      <c r="G86" s="270">
        <f ca="1"/>
        <v>0.81312021724325545</v>
      </c>
      <c r="H86" s="125">
        <f ca="1"/>
        <v>2.6847701181165196E-2</v>
      </c>
      <c r="M86" s="124">
        <f ca="1"/>
        <v>0.76598288450363161</v>
      </c>
      <c r="N86" s="270">
        <f ca="1"/>
        <v>1.5870388345993123</v>
      </c>
      <c r="O86" s="270">
        <f ca="1"/>
        <v>-8.4546987876763791E-2</v>
      </c>
      <c r="P86" s="270">
        <f ca="1"/>
        <v>-0.53553436856164371</v>
      </c>
      <c r="Q86" s="125">
        <f ca="1"/>
        <v>0.94998486438860852</v>
      </c>
      <c r="V86" s="430"/>
      <c r="W86" s="430"/>
      <c r="X86" s="124">
        <f ca="1"/>
        <v>-0.21187073507578053</v>
      </c>
      <c r="Y86" s="270">
        <f ca="1"/>
        <v>-0.98270009982047668</v>
      </c>
      <c r="Z86" s="270">
        <f ca="1"/>
        <v>1.9342596462199904</v>
      </c>
      <c r="AA86" s="270">
        <f ca="1"/>
        <v>0.81312021724325545</v>
      </c>
      <c r="AB86" s="125">
        <f ca="1"/>
        <v>2.6847701181165196E-2</v>
      </c>
      <c r="AC86" s="430"/>
      <c r="AD86" s="430"/>
      <c r="AE86" s="430"/>
    </row>
    <row r="87" spans="2:36">
      <c r="D87" s="124">
        <f ca="1"/>
        <v>-0.30267530359008576</v>
      </c>
      <c r="E87" s="270">
        <f ca="1"/>
        <v>-0.10619811325803392</v>
      </c>
      <c r="F87" s="270">
        <f ca="1"/>
        <v>1.1920352851635663</v>
      </c>
      <c r="G87" s="270">
        <f ca="1"/>
        <v>-4.2323241996771725E-2</v>
      </c>
      <c r="H87" s="125">
        <f ca="1"/>
        <v>0.82332740776042657</v>
      </c>
      <c r="M87" s="124">
        <f ca="1"/>
        <v>-1.0787446958523739</v>
      </c>
      <c r="N87" s="270">
        <f ca="1"/>
        <v>1.2965006471377027</v>
      </c>
      <c r="O87" s="270">
        <f ca="1"/>
        <v>-6.3466530546962094E-2</v>
      </c>
      <c r="P87" s="270">
        <f ca="1"/>
        <v>-4.7911125790783098E-2</v>
      </c>
      <c r="Q87" s="125">
        <f ca="1"/>
        <v>-0.33236165203571055</v>
      </c>
      <c r="V87" s="430"/>
      <c r="W87" s="430"/>
      <c r="X87" s="124">
        <f ca="1"/>
        <v>-0.30267530359008576</v>
      </c>
      <c r="Y87" s="270">
        <f ca="1"/>
        <v>-0.10619811325803392</v>
      </c>
      <c r="Z87" s="270">
        <f ca="1"/>
        <v>1.1920352851635663</v>
      </c>
      <c r="AA87" s="270">
        <f ca="1"/>
        <v>-4.2323241996771725E-2</v>
      </c>
      <c r="AB87" s="125">
        <f ca="1"/>
        <v>0.82332740776042657</v>
      </c>
      <c r="AC87" s="430"/>
      <c r="AD87" s="430"/>
      <c r="AE87" s="430"/>
    </row>
    <row r="88" spans="2:36">
      <c r="D88" s="124">
        <f ca="1"/>
        <v>0.21279899182954726</v>
      </c>
      <c r="E88" s="270">
        <f ca="1"/>
        <v>-1.1424438777784323</v>
      </c>
      <c r="F88" s="270">
        <f ca="1"/>
        <v>-2.1354251794755204E-2</v>
      </c>
      <c r="G88" s="270">
        <f ca="1"/>
        <v>-1.6548896512828936E-2</v>
      </c>
      <c r="H88" s="125">
        <f ca="1"/>
        <v>-1.1483938988369959</v>
      </c>
      <c r="M88" s="124">
        <f ca="1"/>
        <v>1.1264485430315012</v>
      </c>
      <c r="N88" s="270">
        <f ca="1"/>
        <v>0.47279505230548646</v>
      </c>
      <c r="O88" s="270">
        <f ca="1"/>
        <v>-0.69213719375978666</v>
      </c>
      <c r="P88" s="270">
        <f ca="1"/>
        <v>-1.1813708606478739</v>
      </c>
      <c r="Q88" s="125">
        <f ca="1"/>
        <v>-2.5974834642072446</v>
      </c>
      <c r="V88" s="430"/>
      <c r="W88" s="430"/>
      <c r="X88" s="124">
        <f ca="1"/>
        <v>0.21279899182954726</v>
      </c>
      <c r="Y88" s="270">
        <f ca="1"/>
        <v>-1.1424438777784323</v>
      </c>
      <c r="Z88" s="270">
        <f ca="1"/>
        <v>-2.1354251794755204E-2</v>
      </c>
      <c r="AA88" s="270">
        <f ca="1"/>
        <v>-1.6548896512828936E-2</v>
      </c>
      <c r="AB88" s="125">
        <f ca="1"/>
        <v>-1.1483938988369959</v>
      </c>
      <c r="AC88" s="430"/>
      <c r="AD88" s="430"/>
      <c r="AE88" s="430"/>
    </row>
    <row r="89" spans="2:36">
      <c r="D89" s="126">
        <f ca="1"/>
        <v>5.1409210374823731E-2</v>
      </c>
      <c r="E89" s="190">
        <f ca="1"/>
        <v>-0.21243260074195636</v>
      </c>
      <c r="F89" s="190">
        <f ca="1"/>
        <v>-0.55942050834103574</v>
      </c>
      <c r="G89" s="190">
        <f ca="1"/>
        <v>-0.21798606731311601</v>
      </c>
      <c r="H89" s="127">
        <f ca="1"/>
        <v>-0.77437601649928833</v>
      </c>
      <c r="M89" s="126">
        <f ca="1"/>
        <v>1.126803671515602</v>
      </c>
      <c r="N89" s="190">
        <f ca="1"/>
        <v>-0.12578769910307161</v>
      </c>
      <c r="O89" s="190">
        <f ca="1"/>
        <v>0.31471271671617157</v>
      </c>
      <c r="P89" s="190">
        <f ca="1"/>
        <v>0.49205901100567589</v>
      </c>
      <c r="Q89" s="127">
        <f ca="1"/>
        <v>-1.051816981198425</v>
      </c>
      <c r="V89" s="430"/>
      <c r="W89" s="430"/>
      <c r="X89" s="126">
        <f ca="1"/>
        <v>5.1409210374823731E-2</v>
      </c>
      <c r="Y89" s="190">
        <f ca="1"/>
        <v>-0.21243260074195636</v>
      </c>
      <c r="Z89" s="190">
        <f ca="1"/>
        <v>-0.55942050834103574</v>
      </c>
      <c r="AA89" s="190">
        <f ca="1"/>
        <v>-0.21798606731311601</v>
      </c>
      <c r="AB89" s="127">
        <f ca="1"/>
        <v>-0.77437601649928833</v>
      </c>
      <c r="AC89" s="430"/>
      <c r="AD89" s="430"/>
      <c r="AE89" s="430"/>
    </row>
    <row r="93" spans="2:36" ht="18.75">
      <c r="B93" s="3" t="s">
        <v>471</v>
      </c>
      <c r="C93" s="297"/>
      <c r="D93" s="297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7"/>
    </row>
    <row r="94" spans="2:36"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2:36">
      <c r="B95" s="50" t="s">
        <v>139</v>
      </c>
      <c r="C95" s="291" t="str" cm="1">
        <f t="array" ref="C95">_xll.d.TestUtils_And(J100,U100)</f>
        <v>Ok</v>
      </c>
      <c r="D95" s="289"/>
      <c r="E95" s="289"/>
      <c r="F95" s="289"/>
      <c r="G95" s="289"/>
      <c r="H95" s="289"/>
      <c r="I95" s="289"/>
      <c r="J95" s="289"/>
      <c r="K95" s="289"/>
    </row>
    <row r="96" spans="2:36">
      <c r="B96" s="289"/>
      <c r="C96" s="289"/>
      <c r="D96" s="289"/>
      <c r="E96" s="289"/>
      <c r="F96" s="289"/>
      <c r="G96" s="289"/>
      <c r="H96" s="289"/>
      <c r="I96" s="290"/>
      <c r="J96" s="290"/>
      <c r="K96" s="430"/>
    </row>
    <row r="97" spans="2:36" ht="15.75">
      <c r="B97" s="4" t="s">
        <v>476</v>
      </c>
      <c r="C97" s="298"/>
      <c r="D97" s="298"/>
      <c r="E97" s="298"/>
      <c r="F97" s="298"/>
      <c r="G97" s="298"/>
      <c r="H97" s="298"/>
      <c r="I97" s="298"/>
      <c r="J97" s="298"/>
      <c r="K97" s="430"/>
      <c r="L97" s="4" t="s">
        <v>475</v>
      </c>
      <c r="M97" s="298"/>
      <c r="N97" s="298"/>
      <c r="O97" s="298"/>
      <c r="P97" s="298"/>
      <c r="Q97" s="298"/>
      <c r="R97" s="298"/>
      <c r="S97" s="298"/>
      <c r="T97" s="298"/>
      <c r="U97" s="298"/>
      <c r="W97" s="4" t="s">
        <v>478</v>
      </c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</row>
    <row r="98" spans="2:36">
      <c r="G98" s="430"/>
      <c r="H98" s="430"/>
      <c r="I98" s="430"/>
      <c r="K98" s="430"/>
      <c r="W98" s="430"/>
      <c r="X98" s="430"/>
      <c r="Y98" s="430"/>
      <c r="Z98" s="430"/>
      <c r="AA98" s="430"/>
      <c r="AB98" s="430"/>
      <c r="AC98" s="430"/>
      <c r="AD98" s="430"/>
      <c r="AE98" s="430"/>
      <c r="AF98" s="430"/>
    </row>
    <row r="99" spans="2:36">
      <c r="B99" s="394" t="s">
        <v>212</v>
      </c>
      <c r="C99" s="430"/>
      <c r="D99" s="430"/>
      <c r="E99" s="120" t="s">
        <v>113</v>
      </c>
      <c r="F99" s="121"/>
      <c r="H99" s="121" t="s">
        <v>474</v>
      </c>
      <c r="I99" s="120" t="s">
        <v>473</v>
      </c>
      <c r="J99" s="120" t="s">
        <v>67</v>
      </c>
      <c r="K99" s="430"/>
      <c r="L99" s="394" t="s">
        <v>212</v>
      </c>
      <c r="M99" s="430"/>
      <c r="N99" s="430"/>
      <c r="O99" s="121" t="s">
        <v>66</v>
      </c>
      <c r="P99" s="191"/>
      <c r="Q99" s="191"/>
      <c r="R99" s="120" t="s">
        <v>65</v>
      </c>
      <c r="S99" s="120"/>
      <c r="T99" s="120"/>
      <c r="U99" s="120" t="s">
        <v>67</v>
      </c>
      <c r="W99" s="394" t="s">
        <v>212</v>
      </c>
      <c r="X99" s="430"/>
      <c r="Y99" s="430"/>
      <c r="Z99" s="121" t="s">
        <v>66</v>
      </c>
      <c r="AA99" s="191"/>
      <c r="AB99" s="191"/>
      <c r="AC99" s="191"/>
      <c r="AD99" s="191"/>
      <c r="AE99" s="120" t="s">
        <v>65</v>
      </c>
      <c r="AF99" s="120"/>
      <c r="AG99" s="120"/>
      <c r="AH99" s="120"/>
      <c r="AI99" s="120"/>
      <c r="AJ99" s="120" t="s">
        <v>67</v>
      </c>
    </row>
    <row r="100" spans="2:36">
      <c r="B100" s="395" t="s">
        <v>359</v>
      </c>
      <c r="C100" s="430"/>
      <c r="D100" s="430"/>
      <c r="E100" s="122" cm="1">
        <f t="array" ref="E100:F1099">_xll.d.Stats_CorrelatedNormalRandomNumbers(B101,1000,B104:C105)</f>
        <v>-0.63711590014289476</v>
      </c>
      <c r="F100" s="123">
        <v>0.84456194899566184</v>
      </c>
      <c r="H100" s="396">
        <v>0.02</v>
      </c>
      <c r="I100" s="435">
        <f>CORREL(E100:E1099,F100:F1099)</f>
        <v>0.48560602595764718</v>
      </c>
      <c r="J100" s="301" t="str" cm="1">
        <f t="array" ref="J100">_xll.d.TestUtils_Equal(I100,C104,H100)</f>
        <v>Ok</v>
      </c>
      <c r="K100" s="430"/>
      <c r="L100" s="395" t="s">
        <v>359</v>
      </c>
      <c r="M100" s="430"/>
      <c r="N100" s="430"/>
      <c r="O100" s="539" t="s">
        <v>451</v>
      </c>
      <c r="P100" s="561"/>
      <c r="Q100" s="561"/>
      <c r="R100" s="562" t="str" cm="1">
        <f t="array" ref="R100">_xll.d.Stats_CorrelatedNormalRandomNumbers(L101,10000,L104:N105)</f>
        <v>#∂Excel Error: Matrix is not square.</v>
      </c>
      <c r="S100" s="522"/>
      <c r="T100" s="541"/>
      <c r="U100" s="301" t="str" cm="1">
        <f t="array" ref="U100">_xll.d.TestUtils_Equal(O100,R100)</f>
        <v>Ok</v>
      </c>
      <c r="W100" s="395" t="s">
        <v>359</v>
      </c>
      <c r="X100" s="430"/>
      <c r="Y100" s="430"/>
      <c r="Z100" s="539" t="s">
        <v>477</v>
      </c>
      <c r="AA100" s="561"/>
      <c r="AB100" s="561"/>
      <c r="AC100" s="561"/>
      <c r="AD100" s="561"/>
      <c r="AE100" s="562" t="str" cm="1">
        <f t="array" ref="AE100">_xll.d.Stats_CorrelatedNormalRandomNumbers(W101,10000,W104:X105)</f>
        <v>#∂Excel Error: Diagonal elements of the correlation matrix must be 1.</v>
      </c>
      <c r="AF100" s="522"/>
      <c r="AG100" s="541"/>
      <c r="AH100" s="541"/>
      <c r="AI100" s="541"/>
      <c r="AJ100" s="301" t="str" cm="1">
        <f t="array" ref="AJ100">_xll.d.TestUtils_Equal(Z100,AE100)</f>
        <v>Ok</v>
      </c>
    </row>
    <row r="101" spans="2:36">
      <c r="B101" s="397">
        <v>1337</v>
      </c>
      <c r="C101" s="430"/>
      <c r="D101" s="430"/>
      <c r="E101" s="124">
        <v>0.15231246463563991</v>
      </c>
      <c r="F101" s="125">
        <v>0.47829429270237378</v>
      </c>
      <c r="G101" s="430"/>
      <c r="H101" s="430"/>
      <c r="I101" s="430"/>
      <c r="K101" s="430"/>
      <c r="L101" s="397">
        <v>1337</v>
      </c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397">
        <v>1337</v>
      </c>
      <c r="X101" s="430"/>
      <c r="Y101" s="430"/>
      <c r="Z101" s="430"/>
      <c r="AA101" s="430"/>
      <c r="AB101" s="430"/>
      <c r="AC101" s="430"/>
      <c r="AD101" s="430"/>
      <c r="AE101" s="430"/>
      <c r="AF101" s="430"/>
      <c r="AG101" s="430"/>
      <c r="AH101" s="430"/>
    </row>
    <row r="102" spans="2:36">
      <c r="B102" s="430"/>
      <c r="C102" s="430"/>
      <c r="D102" s="430"/>
      <c r="E102" s="124">
        <v>-0.9998813019474484</v>
      </c>
      <c r="F102" s="125">
        <v>-0.42248079145312911</v>
      </c>
      <c r="G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</row>
    <row r="103" spans="2:36">
      <c r="B103" s="553" t="s">
        <v>472</v>
      </c>
      <c r="C103" s="554"/>
      <c r="D103" s="430"/>
      <c r="E103" s="124">
        <v>-0.79747485963926357</v>
      </c>
      <c r="F103" s="125">
        <v>-9.5083842356327608E-2</v>
      </c>
      <c r="G103" s="430"/>
      <c r="I103" s="430"/>
      <c r="J103" s="430"/>
      <c r="K103" s="430"/>
      <c r="L103" s="553" t="s">
        <v>472</v>
      </c>
      <c r="M103" s="554"/>
      <c r="N103" s="554"/>
      <c r="O103" s="430"/>
      <c r="P103" s="430"/>
      <c r="Q103" s="430"/>
      <c r="R103" s="430"/>
      <c r="S103" s="430"/>
      <c r="T103" s="430"/>
      <c r="W103" s="553" t="s">
        <v>472</v>
      </c>
      <c r="X103" s="554"/>
      <c r="Z103" s="430"/>
      <c r="AA103" s="430"/>
      <c r="AB103" s="430"/>
      <c r="AC103" s="430"/>
      <c r="AD103" s="430"/>
      <c r="AE103" s="430"/>
      <c r="AF103" s="430"/>
    </row>
    <row r="104" spans="2:36">
      <c r="B104" s="555">
        <v>1</v>
      </c>
      <c r="C104" s="556">
        <v>0.5</v>
      </c>
      <c r="D104" s="430"/>
      <c r="E104" s="124">
        <v>-0.5884160994078016</v>
      </c>
      <c r="F104" s="125">
        <v>-0.9023636271852018</v>
      </c>
      <c r="G104" s="430"/>
      <c r="H104" s="430"/>
      <c r="I104" s="430"/>
      <c r="J104" s="430"/>
      <c r="K104" s="430"/>
      <c r="L104" s="555">
        <v>1</v>
      </c>
      <c r="M104" s="559">
        <v>0.5</v>
      </c>
      <c r="N104" s="556">
        <v>0.1</v>
      </c>
      <c r="O104" s="430"/>
      <c r="P104" s="430"/>
      <c r="Q104" s="430"/>
      <c r="R104" s="430"/>
      <c r="S104" s="430"/>
      <c r="T104" s="430"/>
      <c r="W104" s="555">
        <v>1</v>
      </c>
      <c r="X104" s="556">
        <v>0.5</v>
      </c>
      <c r="Z104" s="430"/>
      <c r="AA104" s="430"/>
      <c r="AB104" s="430"/>
      <c r="AC104" s="430"/>
      <c r="AD104" s="430"/>
      <c r="AE104" s="430"/>
      <c r="AF104" s="430"/>
    </row>
    <row r="105" spans="2:36">
      <c r="B105" s="557">
        <v>0.5</v>
      </c>
      <c r="C105" s="558">
        <v>1</v>
      </c>
      <c r="D105" s="430"/>
      <c r="E105" s="124">
        <v>0.10819798524690837</v>
      </c>
      <c r="F105" s="125">
        <v>-0.16053601760642122</v>
      </c>
      <c r="G105" s="430"/>
      <c r="H105" s="430"/>
      <c r="I105" s="430"/>
      <c r="L105" s="557">
        <v>0.5</v>
      </c>
      <c r="M105" s="560">
        <v>1</v>
      </c>
      <c r="N105" s="558">
        <v>0.1</v>
      </c>
      <c r="O105" s="430"/>
      <c r="P105" s="430"/>
      <c r="Q105" s="430"/>
      <c r="R105" s="430"/>
      <c r="S105" s="430"/>
      <c r="T105" s="430"/>
      <c r="W105" s="557">
        <v>0.5</v>
      </c>
      <c r="X105" s="558">
        <v>0.1</v>
      </c>
      <c r="Z105" s="430"/>
      <c r="AA105" s="430"/>
      <c r="AB105" s="430"/>
      <c r="AC105" s="430"/>
      <c r="AD105" s="430"/>
      <c r="AE105" s="430"/>
      <c r="AF105" s="430"/>
    </row>
    <row r="106" spans="2:36">
      <c r="B106" s="430"/>
      <c r="C106" s="430"/>
      <c r="D106" s="430"/>
      <c r="E106" s="124">
        <v>-0.10215483425175563</v>
      </c>
      <c r="F106" s="125">
        <v>0.82298047661168872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</row>
    <row r="107" spans="2:36">
      <c r="B107" s="430"/>
      <c r="C107" s="430"/>
      <c r="D107" s="430"/>
      <c r="E107" s="124">
        <v>-1.8253861328037648</v>
      </c>
      <c r="F107" s="125">
        <v>-1.602159433313876</v>
      </c>
      <c r="G107" s="430"/>
      <c r="H107" s="430"/>
      <c r="I107" s="430"/>
      <c r="J107" s="430"/>
      <c r="O107" s="430"/>
      <c r="P107" s="430"/>
    </row>
    <row r="108" spans="2:36">
      <c r="B108" s="430"/>
      <c r="C108" s="430"/>
      <c r="D108" s="430"/>
      <c r="E108" s="124">
        <v>-0.46490277119672319</v>
      </c>
      <c r="F108" s="125">
        <v>0.54743340516363714</v>
      </c>
      <c r="G108" s="430"/>
      <c r="H108" s="430"/>
      <c r="I108" s="430"/>
      <c r="O108" s="430"/>
      <c r="P108" s="430"/>
    </row>
    <row r="109" spans="2:36">
      <c r="B109" s="430"/>
      <c r="C109" s="430"/>
      <c r="D109" s="430"/>
      <c r="E109" s="124">
        <v>-0.72121450340504112</v>
      </c>
      <c r="F109" s="125">
        <v>-0.64315233368067881</v>
      </c>
      <c r="G109" s="430"/>
      <c r="H109" s="430"/>
      <c r="I109" s="430"/>
      <c r="O109" s="430"/>
      <c r="P109" s="430"/>
    </row>
    <row r="110" spans="2:36">
      <c r="B110" s="430"/>
      <c r="C110" s="430"/>
      <c r="D110" s="430"/>
      <c r="E110" s="124">
        <v>4.6120309846438508E-2</v>
      </c>
      <c r="F110" s="125">
        <v>-0.5928001919386181</v>
      </c>
      <c r="G110" s="430"/>
      <c r="H110" s="430"/>
      <c r="I110" s="430"/>
    </row>
    <row r="111" spans="2:36">
      <c r="B111" s="430"/>
      <c r="C111" s="430"/>
      <c r="D111" s="430"/>
      <c r="E111" s="124">
        <v>0.23298387080043784</v>
      </c>
      <c r="F111" s="125">
        <v>1.1894164015965809</v>
      </c>
      <c r="G111" s="430"/>
      <c r="H111" s="430"/>
      <c r="I111" s="430"/>
    </row>
    <row r="112" spans="2:36">
      <c r="B112" s="430"/>
      <c r="C112" s="430"/>
      <c r="D112" s="430"/>
      <c r="E112" s="124">
        <v>-0.63736695093064755</v>
      </c>
      <c r="F112" s="125">
        <v>0.66553663357392834</v>
      </c>
      <c r="G112" s="430"/>
      <c r="H112" s="430"/>
      <c r="I112" s="430"/>
    </row>
    <row r="113" spans="2:11">
      <c r="B113" s="430"/>
      <c r="C113" s="430"/>
      <c r="D113" s="430"/>
      <c r="E113" s="124">
        <v>-0.42607435867377447</v>
      </c>
      <c r="F113" s="125">
        <v>-1.8109423534872184</v>
      </c>
      <c r="G113" s="430"/>
      <c r="H113" s="430"/>
      <c r="I113" s="430"/>
    </row>
    <row r="114" spans="2:11">
      <c r="B114" s="430"/>
      <c r="C114" s="430"/>
      <c r="D114" s="430"/>
      <c r="E114" s="124">
        <v>1.9788808392213517</v>
      </c>
      <c r="F114" s="125">
        <v>0.59982135212765764</v>
      </c>
      <c r="G114" s="430"/>
      <c r="H114" s="430">
        <v>999</v>
      </c>
      <c r="I114" s="430"/>
    </row>
    <row r="115" spans="2:11">
      <c r="B115" s="430"/>
      <c r="C115" s="430"/>
      <c r="D115" s="430"/>
      <c r="E115" s="124">
        <v>-0.61135617247427165</v>
      </c>
      <c r="F115" s="125">
        <v>-0.16199824588518494</v>
      </c>
      <c r="G115" s="430"/>
      <c r="H115" s="430"/>
      <c r="I115" s="430"/>
    </row>
    <row r="116" spans="2:11">
      <c r="B116" s="430"/>
      <c r="C116" s="430"/>
      <c r="D116" s="430"/>
      <c r="E116" s="124">
        <v>0.62134768002507634</v>
      </c>
      <c r="F116" s="125">
        <v>5.0881786810330065E-2</v>
      </c>
      <c r="G116" s="430"/>
      <c r="H116" s="430">
        <f t="array" aca="1" ref="H116:K121" ca="1">_xll.d.Stats_NormalRandomNumbers(H114)</f>
        <v>0.85392973639129077</v>
      </c>
      <c r="I116" s="430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0"/>
      <c r="C117" s="430"/>
      <c r="D117" s="430"/>
      <c r="E117" s="124">
        <v>-0.50308335820540317</v>
      </c>
      <c r="F117" s="125">
        <v>-1.7375185163355833</v>
      </c>
      <c r="G117" s="430"/>
      <c r="H117" s="430">
        <f ca="1"/>
        <v>-1.0322023815188879</v>
      </c>
      <c r="I117" s="430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0"/>
      <c r="C118" s="430"/>
      <c r="D118" s="430"/>
      <c r="E118" s="124">
        <v>-1.198947290104817</v>
      </c>
      <c r="F118" s="125">
        <v>-0.80776135102045443</v>
      </c>
      <c r="G118" s="430"/>
      <c r="H118" s="430">
        <f ca="1"/>
        <v>6.9042963498172613E-2</v>
      </c>
      <c r="I118" s="430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0"/>
      <c r="C119" s="430"/>
      <c r="D119" s="430"/>
      <c r="E119" s="124">
        <v>0.85011456561901899</v>
      </c>
      <c r="F119" s="125">
        <v>0.75433223195935672</v>
      </c>
      <c r="G119" s="430"/>
      <c r="H119" s="430">
        <f ca="1"/>
        <v>2.6411542062581432</v>
      </c>
      <c r="I119" s="430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0"/>
      <c r="C120" s="430"/>
      <c r="D120" s="430"/>
      <c r="E120" s="124">
        <v>-0.28904080804777654</v>
      </c>
      <c r="F120" s="125">
        <v>-0.13114332596663178</v>
      </c>
      <c r="G120" s="430"/>
      <c r="H120" s="430">
        <f ca="1"/>
        <v>-1.1794402126118952</v>
      </c>
      <c r="I120" s="430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0"/>
      <c r="C121" s="430"/>
      <c r="D121" s="430"/>
      <c r="E121" s="124">
        <v>-1.3097052116291188</v>
      </c>
      <c r="F121" s="125">
        <v>-0.77132035795250675</v>
      </c>
      <c r="G121" s="430"/>
      <c r="H121" s="430">
        <f ca="1"/>
        <v>-0.7897459322874546</v>
      </c>
      <c r="I121" s="430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0"/>
      <c r="C122" s="430"/>
      <c r="D122" s="430"/>
      <c r="E122" s="124">
        <v>0.32788629545256831</v>
      </c>
      <c r="F122" s="125">
        <v>-0.44640862778964918</v>
      </c>
      <c r="G122" s="430"/>
      <c r="H122" s="430"/>
      <c r="I122" s="430"/>
    </row>
    <row r="123" spans="2:11">
      <c r="B123" s="430"/>
      <c r="C123" s="430"/>
      <c r="D123" s="430"/>
      <c r="E123" s="124">
        <v>-0.35007770185857218</v>
      </c>
      <c r="F123" s="125">
        <v>-0.2158987628205247</v>
      </c>
      <c r="G123" s="430"/>
      <c r="H123" s="430"/>
      <c r="I123" s="430"/>
    </row>
    <row r="124" spans="2:11">
      <c r="B124" s="430"/>
      <c r="C124" s="430"/>
      <c r="D124" s="430"/>
      <c r="E124" s="124">
        <v>-1.1500680545803554</v>
      </c>
      <c r="F124" s="125">
        <v>-0.6318260811190054</v>
      </c>
      <c r="G124" s="430"/>
      <c r="H124" s="430"/>
      <c r="I124" s="430"/>
    </row>
    <row r="125" spans="2:11">
      <c r="B125" s="430"/>
      <c r="C125" s="430"/>
      <c r="D125" s="430"/>
      <c r="E125" s="124">
        <v>0.64691193539250558</v>
      </c>
      <c r="F125" s="125">
        <v>0.16330750234458277</v>
      </c>
      <c r="G125" s="430"/>
      <c r="H125" s="430" cm="1">
        <f t="array" aca="1" ref="H125:J126" ca="1">_xll.d.Stats_NormalRandomNumbers(H114,2,3)</f>
        <v>0.85392973639129077</v>
      </c>
      <c r="I125" s="430">
        <f ca="1"/>
        <v>6.9042963498172613E-2</v>
      </c>
      <c r="J125">
        <f ca="1"/>
        <v>-1.1794402126118952</v>
      </c>
    </row>
    <row r="126" spans="2:11">
      <c r="B126" s="430"/>
      <c r="C126" s="430"/>
      <c r="D126" s="430"/>
      <c r="E126" s="124">
        <v>2.1332675037689501</v>
      </c>
      <c r="F126" s="125">
        <v>0.5141581185646944</v>
      </c>
      <c r="G126" s="430"/>
      <c r="H126" s="430">
        <f ca="1"/>
        <v>-1.0322023815188879</v>
      </c>
      <c r="I126" s="430">
        <f ca="1"/>
        <v>2.6411542062581432</v>
      </c>
      <c r="J126">
        <f ca="1"/>
        <v>-0.7897459322874546</v>
      </c>
    </row>
    <row r="127" spans="2:11">
      <c r="B127" s="430"/>
      <c r="C127" s="430"/>
      <c r="D127" s="430"/>
      <c r="E127" s="124">
        <v>-0.99466901445455624</v>
      </c>
      <c r="F127" s="125">
        <v>-0.79085024171276141</v>
      </c>
      <c r="G127" s="430"/>
      <c r="H127" s="430"/>
      <c r="I127" s="430"/>
    </row>
    <row r="128" spans="2:11">
      <c r="B128" s="430"/>
      <c r="C128" s="430"/>
      <c r="D128" s="430"/>
      <c r="E128" s="124">
        <v>-0.14279798956905393</v>
      </c>
      <c r="F128" s="125">
        <v>-0.31071129788837526</v>
      </c>
      <c r="G128" s="430"/>
      <c r="H128" s="430"/>
      <c r="I128" s="430"/>
    </row>
    <row r="129" spans="2:9">
      <c r="B129" s="430"/>
      <c r="C129" s="430"/>
      <c r="D129" s="430"/>
      <c r="E129" s="124">
        <v>1.092291704880513</v>
      </c>
      <c r="F129" s="125">
        <v>0.93315283024169848</v>
      </c>
      <c r="G129" s="430"/>
      <c r="H129" s="430"/>
      <c r="I129" s="430"/>
    </row>
    <row r="130" spans="2:9">
      <c r="B130" s="430"/>
      <c r="C130" s="430"/>
      <c r="D130" s="430"/>
      <c r="E130" s="124">
        <v>0.80488972711453355</v>
      </c>
      <c r="F130" s="125">
        <v>1.4541362445210737</v>
      </c>
      <c r="G130" s="430"/>
      <c r="H130" s="430"/>
      <c r="I130" s="430"/>
    </row>
    <row r="131" spans="2:9">
      <c r="B131" s="430"/>
      <c r="C131" s="430"/>
      <c r="D131" s="430"/>
      <c r="E131" s="124">
        <v>0.80605770412109401</v>
      </c>
      <c r="F131" s="125">
        <v>0.30077271057027066</v>
      </c>
      <c r="G131" s="430"/>
      <c r="H131" s="430"/>
      <c r="I131" s="430"/>
    </row>
    <row r="132" spans="2:9">
      <c r="B132" s="430"/>
      <c r="C132" s="430"/>
      <c r="D132" s="430"/>
      <c r="E132" s="124">
        <v>0.82079536005409337</v>
      </c>
      <c r="F132" s="125">
        <v>6.0340443408998967E-2</v>
      </c>
      <c r="G132" s="430"/>
      <c r="H132" s="430"/>
      <c r="I132" s="430"/>
    </row>
    <row r="133" spans="2:9">
      <c r="B133" s="430"/>
      <c r="C133" s="430"/>
      <c r="D133" s="430"/>
      <c r="E133" s="124">
        <v>-2.5528312879719279</v>
      </c>
      <c r="F133" s="125">
        <v>-0.93906848741894711</v>
      </c>
      <c r="G133" s="430"/>
      <c r="H133" s="430"/>
      <c r="I133" s="430"/>
    </row>
    <row r="134" spans="2:9">
      <c r="B134" s="430"/>
      <c r="C134" s="430"/>
      <c r="D134" s="430"/>
      <c r="E134" s="124">
        <v>-0.35508869593067621</v>
      </c>
      <c r="F134" s="125">
        <v>-1.1014430688808257</v>
      </c>
      <c r="G134" s="430"/>
      <c r="H134" s="430"/>
      <c r="I134" s="430"/>
    </row>
    <row r="135" spans="2:9">
      <c r="B135" s="430"/>
      <c r="C135" s="430"/>
      <c r="D135" s="430"/>
      <c r="E135" s="124">
        <v>-9.1431096942242635E-2</v>
      </c>
      <c r="F135" s="125">
        <v>1.2131612383010271</v>
      </c>
      <c r="G135" s="430"/>
      <c r="H135" s="430"/>
      <c r="I135" s="430"/>
    </row>
    <row r="136" spans="2:9">
      <c r="B136" s="430"/>
      <c r="C136" s="430"/>
      <c r="D136" s="430"/>
      <c r="E136" s="124">
        <v>-0.21187073507578053</v>
      </c>
      <c r="F136" s="125">
        <v>0.41328272517271725</v>
      </c>
      <c r="G136" s="430"/>
      <c r="H136" s="430"/>
      <c r="I136" s="430"/>
    </row>
    <row r="137" spans="2:9">
      <c r="B137" s="430"/>
      <c r="C137" s="430"/>
      <c r="D137" s="430"/>
      <c r="E137" s="124">
        <v>-0.30267530359008576</v>
      </c>
      <c r="F137" s="125">
        <v>-1.288533726326472</v>
      </c>
      <c r="G137" s="430"/>
      <c r="H137" s="430"/>
      <c r="I137" s="430"/>
    </row>
    <row r="138" spans="2:9">
      <c r="B138" s="430"/>
      <c r="C138" s="430"/>
      <c r="D138" s="430"/>
      <c r="E138" s="124">
        <v>0.21279899182954726</v>
      </c>
      <c r="F138" s="125">
        <v>-0.3789423448663205</v>
      </c>
      <c r="G138" s="430"/>
      <c r="H138" s="430"/>
      <c r="I138" s="430"/>
    </row>
    <row r="139" spans="2:9">
      <c r="B139" s="430"/>
      <c r="C139" s="430"/>
      <c r="D139" s="430"/>
      <c r="E139" s="124">
        <v>5.1409210374823731E-2</v>
      </c>
      <c r="F139" s="125">
        <v>-1.8738822833676356</v>
      </c>
      <c r="G139" s="430"/>
      <c r="H139" s="430"/>
      <c r="I139" s="430"/>
    </row>
    <row r="140" spans="2:9">
      <c r="D140" s="430"/>
      <c r="E140" s="124">
        <v>0.70685522048944815</v>
      </c>
      <c r="F140" s="125">
        <v>1.0028923126608638</v>
      </c>
      <c r="G140" s="430"/>
      <c r="H140" s="430"/>
      <c r="I140" s="430"/>
    </row>
    <row r="141" spans="2:9">
      <c r="E141" s="124">
        <v>-0.33198021492010854</v>
      </c>
      <c r="F141" s="125">
        <v>-0.74412006725614055</v>
      </c>
    </row>
    <row r="142" spans="2:9">
      <c r="E142" s="124">
        <v>-0.88600131746401845</v>
      </c>
      <c r="F142" s="125">
        <v>1.931276287589698</v>
      </c>
    </row>
    <row r="143" spans="2:9">
      <c r="E143" s="124">
        <v>-6.1108551057670997E-2</v>
      </c>
      <c r="F143" s="125">
        <v>0.38857864712905388</v>
      </c>
    </row>
    <row r="144" spans="2:9">
      <c r="E144" s="124">
        <v>-0.55874715130596764</v>
      </c>
      <c r="F144" s="125">
        <v>-0.15289113445596356</v>
      </c>
    </row>
    <row r="145" spans="5:6">
      <c r="E145" s="124">
        <v>1.0965073943909254</v>
      </c>
      <c r="F145" s="125">
        <v>0.22389670655705418</v>
      </c>
    </row>
    <row r="146" spans="5:6">
      <c r="E146" s="124">
        <v>0.44051757578957157</v>
      </c>
      <c r="F146" s="125">
        <v>-0.59697631692200226</v>
      </c>
    </row>
    <row r="147" spans="5:6">
      <c r="E147" s="124">
        <v>-0.24037216180075424</v>
      </c>
      <c r="F147" s="125">
        <v>-1.0904447104487331</v>
      </c>
    </row>
    <row r="148" spans="5:6">
      <c r="E148" s="124">
        <v>-8.8166823894022877E-4</v>
      </c>
      <c r="F148" s="125">
        <v>-0.14206662939394221</v>
      </c>
    </row>
    <row r="149" spans="5:6">
      <c r="E149" s="124">
        <v>-0.14969739262215401</v>
      </c>
      <c r="F149" s="125">
        <v>-0.54389019516318227</v>
      </c>
    </row>
    <row r="150" spans="5:6">
      <c r="E150" s="124">
        <v>-0.92083350795883689</v>
      </c>
      <c r="F150" s="125">
        <v>-0.6532211587259702</v>
      </c>
    </row>
    <row r="151" spans="5:6">
      <c r="E151" s="124">
        <v>-1.0764899712107359</v>
      </c>
      <c r="F151" s="125">
        <v>-0.62558832667807129</v>
      </c>
    </row>
    <row r="152" spans="5:6">
      <c r="E152" s="124">
        <v>-0.21947173866600425</v>
      </c>
      <c r="F152" s="125">
        <v>-1.9825498064517193</v>
      </c>
    </row>
    <row r="153" spans="5:6">
      <c r="E153" s="124">
        <v>0.91605467339775526</v>
      </c>
      <c r="F153" s="125">
        <v>2.0018973536605671</v>
      </c>
    </row>
    <row r="154" spans="5:6">
      <c r="E154" s="124">
        <v>-0.8444992802006771</v>
      </c>
      <c r="F154" s="125">
        <v>-1.6568717233794024</v>
      </c>
    </row>
    <row r="155" spans="5:6">
      <c r="E155" s="124">
        <v>1.2682963768981825</v>
      </c>
      <c r="F155" s="125">
        <v>-0.31174255977801213</v>
      </c>
    </row>
    <row r="156" spans="5:6">
      <c r="E156" s="124">
        <v>7.9542410013188777E-2</v>
      </c>
      <c r="F156" s="125">
        <v>0.46488023069332784</v>
      </c>
    </row>
    <row r="157" spans="5:6">
      <c r="E157" s="124">
        <v>1.4640300463756799</v>
      </c>
      <c r="F157" s="125">
        <v>0.15418034983715145</v>
      </c>
    </row>
    <row r="158" spans="5:6">
      <c r="E158" s="124">
        <v>0.96357590104857871</v>
      </c>
      <c r="F158" s="125">
        <v>0.58988453502361859</v>
      </c>
    </row>
    <row r="159" spans="5:6">
      <c r="E159" s="124">
        <v>0.30429192596407545</v>
      </c>
      <c r="F159" s="125">
        <v>-0.5658548187915855</v>
      </c>
    </row>
    <row r="160" spans="5:6">
      <c r="E160" s="124">
        <v>-0.89553364635263466</v>
      </c>
      <c r="F160" s="125">
        <v>0.84636171659955217</v>
      </c>
    </row>
    <row r="161" spans="5:6">
      <c r="E161" s="124">
        <v>1.7215300670511962</v>
      </c>
      <c r="F161" s="125">
        <v>9.7436835425233292E-2</v>
      </c>
    </row>
    <row r="162" spans="5:6">
      <c r="E162" s="124">
        <v>1.720830635000675</v>
      </c>
      <c r="F162" s="125">
        <v>1.0680493815912231</v>
      </c>
    </row>
    <row r="163" spans="5:6">
      <c r="E163" s="124">
        <v>1.1800027393927328</v>
      </c>
      <c r="F163" s="125">
        <v>-0.68984026678608856</v>
      </c>
    </row>
    <row r="164" spans="5:6">
      <c r="E164" s="124">
        <v>-0.18806037521523697</v>
      </c>
      <c r="F164" s="125">
        <v>0.33552774842138905</v>
      </c>
    </row>
    <row r="165" spans="5:6">
      <c r="E165" s="124">
        <v>0.89115808668949248</v>
      </c>
      <c r="F165" s="125">
        <v>1.6116385324900733</v>
      </c>
    </row>
    <row r="166" spans="5:6">
      <c r="E166" s="124">
        <v>1.0044329379325341E-2</v>
      </c>
      <c r="F166" s="125">
        <v>8.7580589072781836E-2</v>
      </c>
    </row>
    <row r="167" spans="5:6">
      <c r="E167" s="124">
        <v>0.50225278398034379</v>
      </c>
      <c r="F167" s="125">
        <v>-1.0459785177088876</v>
      </c>
    </row>
    <row r="168" spans="5:6">
      <c r="E168" s="124">
        <v>2.6249780866021383E-2</v>
      </c>
      <c r="F168" s="125">
        <v>0.18348089637100526</v>
      </c>
    </row>
    <row r="169" spans="5:6">
      <c r="E169" s="124">
        <v>0.50433622145908918</v>
      </c>
      <c r="F169" s="125">
        <v>-0.79726646667356205</v>
      </c>
    </row>
    <row r="170" spans="5:6">
      <c r="E170" s="124">
        <v>-2.1496502133888749</v>
      </c>
      <c r="F170" s="125">
        <v>-2.6038828407039869</v>
      </c>
    </row>
    <row r="171" spans="5:6">
      <c r="E171" s="124">
        <v>0.98500956747093471</v>
      </c>
      <c r="F171" s="125">
        <v>0.25895359302116328</v>
      </c>
    </row>
    <row r="172" spans="5:6">
      <c r="E172" s="124">
        <v>0.61793246371250865</v>
      </c>
      <c r="F172" s="125">
        <v>-0.26116679452390029</v>
      </c>
    </row>
    <row r="173" spans="5:6">
      <c r="E173" s="124">
        <v>0.29691031563146875</v>
      </c>
      <c r="F173" s="125">
        <v>-0.36719619291951078</v>
      </c>
    </row>
    <row r="174" spans="5:6">
      <c r="E174" s="124">
        <v>2.473226548926343</v>
      </c>
      <c r="F174" s="125">
        <v>1.4788301555563361</v>
      </c>
    </row>
    <row r="175" spans="5:6">
      <c r="E175" s="124">
        <v>0.42641284474781083</v>
      </c>
      <c r="F175" s="125">
        <v>0.9917780957273985</v>
      </c>
    </row>
    <row r="176" spans="5:6">
      <c r="E176" s="124">
        <v>-0.98270009982047668</v>
      </c>
      <c r="F176" s="125">
        <v>-1.7597574684440569</v>
      </c>
    </row>
    <row r="177" spans="5:6">
      <c r="E177" s="124">
        <v>-0.10619811325803392</v>
      </c>
      <c r="F177" s="125">
        <v>0.78540808588238253</v>
      </c>
    </row>
    <row r="178" spans="5:6">
      <c r="E178" s="124">
        <v>-1.1424438777784323</v>
      </c>
      <c r="F178" s="125">
        <v>-0.67239730283557686</v>
      </c>
    </row>
    <row r="179" spans="5:6">
      <c r="E179" s="124">
        <v>-0.21243260074195636</v>
      </c>
      <c r="F179" s="125">
        <v>0.69779561595897988</v>
      </c>
    </row>
    <row r="180" spans="5:6">
      <c r="E180" s="124">
        <v>-0.31907668375768672</v>
      </c>
      <c r="F180" s="125">
        <v>0.40312133513288823</v>
      </c>
    </row>
    <row r="181" spans="5:6">
      <c r="E181" s="124">
        <v>0.33468800840166441</v>
      </c>
      <c r="F181" s="125">
        <v>-0.51737760632027097</v>
      </c>
    </row>
    <row r="182" spans="5:6">
      <c r="E182" s="124">
        <v>0.50499676151927686</v>
      </c>
      <c r="F182" s="125">
        <v>-1.3967719780239771</v>
      </c>
    </row>
    <row r="183" spans="5:6">
      <c r="E183" s="124">
        <v>0.863608628387463</v>
      </c>
      <c r="F183" s="125">
        <v>1.7669497901936559E-2</v>
      </c>
    </row>
    <row r="184" spans="5:6">
      <c r="E184" s="124">
        <v>-2.7587630599172877</v>
      </c>
      <c r="F184" s="125">
        <v>-0.36719850654584918</v>
      </c>
    </row>
    <row r="185" spans="5:6">
      <c r="E185" s="124">
        <v>0.46240265761130123</v>
      </c>
      <c r="F185" s="125">
        <v>0.41754659097565339</v>
      </c>
    </row>
    <row r="186" spans="5:6">
      <c r="E186" s="124">
        <v>-0.33389589259671326</v>
      </c>
      <c r="F186" s="125">
        <v>0.38993347773094911</v>
      </c>
    </row>
    <row r="187" spans="5:6">
      <c r="E187" s="124">
        <v>1.028058069270616</v>
      </c>
      <c r="F187" s="125">
        <v>-1.6547266679371242</v>
      </c>
    </row>
    <row r="188" spans="5:6">
      <c r="E188" s="124">
        <v>-1.5659571515789519</v>
      </c>
      <c r="F188" s="125">
        <v>-0.49870755076942025</v>
      </c>
    </row>
    <row r="189" spans="5:6">
      <c r="E189" s="124">
        <v>0.70609350471998489</v>
      </c>
      <c r="F189" s="125">
        <v>1.2108119898887917</v>
      </c>
    </row>
    <row r="190" spans="5:6">
      <c r="E190" s="124">
        <v>0.80411972151375544</v>
      </c>
      <c r="F190" s="125">
        <v>-7.3410643817291454E-2</v>
      </c>
    </row>
    <row r="191" spans="5:6">
      <c r="E191" s="124">
        <v>1.7547755576057253</v>
      </c>
      <c r="F191" s="125">
        <v>1.2650060777978471</v>
      </c>
    </row>
    <row r="192" spans="5:6">
      <c r="E192" s="124">
        <v>-0.3859436116857301</v>
      </c>
      <c r="F192" s="125">
        <v>-0.5140861535916883</v>
      </c>
    </row>
    <row r="193" spans="5:6">
      <c r="E193" s="124">
        <v>-1.6169891726572032</v>
      </c>
      <c r="F193" s="125">
        <v>-1.0241786448096504</v>
      </c>
    </row>
    <row r="194" spans="5:6">
      <c r="E194" s="124">
        <v>0.53167290579956916</v>
      </c>
      <c r="F194" s="125">
        <v>-0.66222878597165336</v>
      </c>
    </row>
    <row r="195" spans="5:6">
      <c r="E195" s="124">
        <v>6.5443228707294687E-2</v>
      </c>
      <c r="F195" s="125">
        <v>-0.50032654437531465</v>
      </c>
    </row>
    <row r="196" spans="5:6">
      <c r="E196" s="124">
        <v>-2.1987215358931604E-2</v>
      </c>
      <c r="F196" s="125">
        <v>-0.57793881436663241</v>
      </c>
    </row>
    <row r="197" spans="5:6">
      <c r="E197" s="124">
        <v>0.46256721575986759</v>
      </c>
      <c r="F197" s="125">
        <v>0.56688633803313615</v>
      </c>
    </row>
    <row r="198" spans="5:6">
      <c r="E198" s="124">
        <v>1.9247923185797389</v>
      </c>
      <c r="F198" s="125">
        <v>1.3529757645210971</v>
      </c>
    </row>
    <row r="199" spans="5:6">
      <c r="E199" s="124">
        <v>0.67152742633508133</v>
      </c>
      <c r="F199" s="125">
        <v>-0.95609413111295227</v>
      </c>
    </row>
    <row r="200" spans="5:6">
      <c r="E200" s="124">
        <v>0.9780203880833418</v>
      </c>
      <c r="F200" s="125">
        <v>-1.1819663997930725</v>
      </c>
    </row>
    <row r="201" spans="5:6">
      <c r="E201" s="124">
        <v>9.7776697591451453E-2</v>
      </c>
      <c r="F201" s="125">
        <v>0.35874386780712708</v>
      </c>
    </row>
    <row r="202" spans="5:6">
      <c r="E202" s="124">
        <v>0.27993766822148569</v>
      </c>
      <c r="F202" s="125">
        <v>1.4468935158775549</v>
      </c>
    </row>
    <row r="203" spans="5:6">
      <c r="E203" s="124">
        <v>-0.62779716766341387</v>
      </c>
      <c r="F203" s="125">
        <v>0.11048267487121821</v>
      </c>
    </row>
    <row r="204" spans="5:6">
      <c r="E204" s="124">
        <v>0.16243660080584485</v>
      </c>
      <c r="F204" s="125">
        <v>-1.1153858107005596</v>
      </c>
    </row>
    <row r="205" spans="5:6">
      <c r="E205" s="124">
        <v>0.9860723619258096</v>
      </c>
      <c r="F205" s="125">
        <v>0.65669165130257201</v>
      </c>
    </row>
    <row r="206" spans="5:6">
      <c r="E206" s="124">
        <v>2.7930281231195897</v>
      </c>
      <c r="F206" s="125">
        <v>-0.26820361808402216</v>
      </c>
    </row>
    <row r="207" spans="5:6">
      <c r="E207" s="124">
        <v>0.62792680297973469</v>
      </c>
      <c r="F207" s="125">
        <v>-0.31735748852766066</v>
      </c>
    </row>
    <row r="208" spans="5:6">
      <c r="E208" s="124">
        <v>-0.65969703489988807</v>
      </c>
      <c r="F208" s="125">
        <v>-1.2439226638226892</v>
      </c>
    </row>
    <row r="209" spans="5:6">
      <c r="E209" s="124">
        <v>1.0826951457065646</v>
      </c>
      <c r="F209" s="125">
        <v>-0.14723042317928869</v>
      </c>
    </row>
    <row r="210" spans="5:6">
      <c r="E210" s="124">
        <v>-2.1868193390200261</v>
      </c>
      <c r="F210" s="125">
        <v>-9.0250202716002148E-2</v>
      </c>
    </row>
    <row r="211" spans="5:6">
      <c r="E211" s="124">
        <v>-0.51374156559767825</v>
      </c>
      <c r="F211" s="125">
        <v>-0.38616334194847429</v>
      </c>
    </row>
    <row r="212" spans="5:6">
      <c r="E212" s="124">
        <v>-1.3466588678274796</v>
      </c>
      <c r="F212" s="125">
        <v>-1.4269074673359015</v>
      </c>
    </row>
    <row r="213" spans="5:6">
      <c r="E213" s="124">
        <v>0.27808394980380907</v>
      </c>
      <c r="F213" s="125">
        <v>-0.2313908448144856</v>
      </c>
    </row>
    <row r="214" spans="5:6">
      <c r="E214" s="124">
        <v>1.5462889736876682</v>
      </c>
      <c r="F214" s="125">
        <v>0.24550932458339358</v>
      </c>
    </row>
    <row r="215" spans="5:6">
      <c r="E215" s="124">
        <v>-0.5923458699002222</v>
      </c>
      <c r="F215" s="125">
        <v>-1.7487776314028172</v>
      </c>
    </row>
    <row r="216" spans="5:6">
      <c r="E216" s="124">
        <v>1.9342596462199904</v>
      </c>
      <c r="F216" s="125">
        <v>0.84098735904030919</v>
      </c>
    </row>
    <row r="217" spans="5:6">
      <c r="E217" s="124">
        <v>1.1920352851635663</v>
      </c>
      <c r="F217" s="125">
        <v>0.87536147648567963</v>
      </c>
    </row>
    <row r="218" spans="5:6">
      <c r="E218" s="124">
        <v>-2.1354251794755204E-2</v>
      </c>
      <c r="F218" s="125">
        <v>-1.3234815477346407</v>
      </c>
    </row>
    <row r="219" spans="5:6">
      <c r="E219" s="124">
        <v>-0.55942050834103574</v>
      </c>
      <c r="F219" s="125">
        <v>0.725925611984374</v>
      </c>
    </row>
    <row r="220" spans="5:6">
      <c r="E220" s="124">
        <v>-0.40991003456258013</v>
      </c>
      <c r="F220" s="125">
        <v>0.49322847009673576</v>
      </c>
    </row>
    <row r="221" spans="5:6">
      <c r="E221" s="124">
        <v>2.1988514227094039E-2</v>
      </c>
      <c r="F221" s="125">
        <v>-1.5016919635001784</v>
      </c>
    </row>
    <row r="222" spans="5:6">
      <c r="E222" s="124">
        <v>0.59135175634258896</v>
      </c>
      <c r="F222" s="125">
        <v>-0.1341985937313846</v>
      </c>
    </row>
    <row r="223" spans="5:6">
      <c r="E223" s="124">
        <v>-1.0507271193416956</v>
      </c>
      <c r="F223" s="125">
        <v>-0.51912754978794962</v>
      </c>
    </row>
    <row r="224" spans="5:6">
      <c r="E224" s="124">
        <v>-2.2939473468112239</v>
      </c>
      <c r="F224" s="125">
        <v>-0.43243086924508789</v>
      </c>
    </row>
    <row r="225" spans="5:6">
      <c r="E225" s="124">
        <v>0.48984251587331651</v>
      </c>
      <c r="F225" s="125">
        <v>0.3629032062244425</v>
      </c>
    </row>
    <row r="226" spans="5:6">
      <c r="E226" s="124">
        <v>0.70615194140562998</v>
      </c>
      <c r="F226" s="125">
        <v>9.2672912177603151E-2</v>
      </c>
    </row>
    <row r="227" spans="5:6">
      <c r="E227" s="124">
        <v>1.2259167836294167</v>
      </c>
      <c r="F227" s="125">
        <v>1.0843921508589793</v>
      </c>
    </row>
    <row r="228" spans="5:6">
      <c r="E228" s="124">
        <v>0.44378998344608472</v>
      </c>
      <c r="F228" s="125">
        <v>-1.0519840370414137</v>
      </c>
    </row>
    <row r="229" spans="5:6">
      <c r="E229" s="124">
        <v>9.6224928363146583E-2</v>
      </c>
      <c r="F229" s="125">
        <v>0.93412184024248879</v>
      </c>
    </row>
    <row r="230" spans="5:6">
      <c r="E230" s="124">
        <v>-0.8762556877814629</v>
      </c>
      <c r="F230" s="125">
        <v>0.36321090216841856</v>
      </c>
    </row>
    <row r="231" spans="5:6">
      <c r="E231" s="124">
        <v>0.72810708935373014</v>
      </c>
      <c r="F231" s="125">
        <v>-1.2747175556680839</v>
      </c>
    </row>
    <row r="232" spans="5:6">
      <c r="E232" s="124">
        <v>0.43017177828252023</v>
      </c>
      <c r="F232" s="125">
        <v>0.59960909012051</v>
      </c>
    </row>
    <row r="233" spans="5:6">
      <c r="E233" s="124">
        <v>-9.9853780857881491E-2</v>
      </c>
      <c r="F233" s="125">
        <v>8.641964573385108E-2</v>
      </c>
    </row>
    <row r="234" spans="5:6">
      <c r="E234" s="124">
        <v>1.3476990609315769</v>
      </c>
      <c r="F234" s="125">
        <v>0.72722292187024484</v>
      </c>
    </row>
    <row r="235" spans="5:6">
      <c r="E235" s="124">
        <v>0.43254942321321643</v>
      </c>
      <c r="F235" s="125">
        <v>0.6796151935048973</v>
      </c>
    </row>
    <row r="236" spans="5:6">
      <c r="E236" s="124">
        <v>-0.98579270828865395</v>
      </c>
      <c r="F236" s="125">
        <v>-1.1020004327000179</v>
      </c>
    </row>
    <row r="237" spans="5:6">
      <c r="E237" s="124">
        <v>0.13757711286725449</v>
      </c>
      <c r="F237" s="125">
        <v>0.55214171914025978</v>
      </c>
    </row>
    <row r="238" spans="5:6">
      <c r="E238" s="124">
        <v>1.3443248184039669</v>
      </c>
      <c r="F238" s="125">
        <v>2.0675126085644502</v>
      </c>
    </row>
    <row r="239" spans="5:6">
      <c r="E239" s="124">
        <v>0.80782203516718254</v>
      </c>
      <c r="F239" s="125">
        <v>0.96258203767303374</v>
      </c>
    </row>
    <row r="240" spans="5:6">
      <c r="E240" s="124">
        <v>-0.45554694662875511</v>
      </c>
      <c r="F240" s="125">
        <v>-0.26785985321647476</v>
      </c>
    </row>
    <row r="241" spans="5:6">
      <c r="E241" s="124">
        <v>1.1490936456210052</v>
      </c>
      <c r="F241" s="125">
        <v>0.64148097884025645</v>
      </c>
    </row>
    <row r="242" spans="5:6">
      <c r="E242" s="124">
        <v>0.52525898259965065</v>
      </c>
      <c r="F242" s="125">
        <v>1.4662366261009321</v>
      </c>
    </row>
    <row r="243" spans="5:6">
      <c r="E243" s="124">
        <v>1.0849418236383948</v>
      </c>
      <c r="F243" s="125">
        <v>1.711174537974709</v>
      </c>
    </row>
    <row r="244" spans="5:6">
      <c r="E244" s="124">
        <v>-0.62663170461412543</v>
      </c>
      <c r="F244" s="125">
        <v>0.39816504441769107</v>
      </c>
    </row>
    <row r="245" spans="5:6">
      <c r="E245" s="124">
        <v>-0.506742454491937</v>
      </c>
      <c r="F245" s="125">
        <v>0.6669141242949197</v>
      </c>
    </row>
    <row r="246" spans="5:6">
      <c r="E246" s="124">
        <v>4.7540172641717976E-2</v>
      </c>
      <c r="F246" s="125">
        <v>0.42288059296144903</v>
      </c>
    </row>
    <row r="247" spans="5:6">
      <c r="E247" s="124">
        <v>2.0691183604794094</v>
      </c>
      <c r="F247" s="125">
        <v>1.6587622090339909</v>
      </c>
    </row>
    <row r="248" spans="5:6">
      <c r="E248" s="124">
        <v>-0.925057575262345</v>
      </c>
      <c r="F248" s="125">
        <v>-0.42510486449910184</v>
      </c>
    </row>
    <row r="249" spans="5:6">
      <c r="E249" s="124">
        <v>0.59345089881883117</v>
      </c>
      <c r="F249" s="125">
        <v>0.72862405941001085</v>
      </c>
    </row>
    <row r="250" spans="5:6">
      <c r="E250" s="124">
        <v>-8.0685653261843113E-2</v>
      </c>
      <c r="F250" s="125">
        <v>1.731766618511305</v>
      </c>
    </row>
    <row r="251" spans="5:6">
      <c r="E251" s="124">
        <v>-0.10210221862083954</v>
      </c>
      <c r="F251" s="125">
        <v>-0.25689637294908702</v>
      </c>
    </row>
    <row r="252" spans="5:6">
      <c r="E252" s="124">
        <v>-0.12827791600451344</v>
      </c>
      <c r="F252" s="125">
        <v>-1.4127687455611357</v>
      </c>
    </row>
    <row r="253" spans="5:6">
      <c r="E253" s="124">
        <v>0.44539774631615076</v>
      </c>
      <c r="F253" s="125">
        <v>-0.39502098161145527</v>
      </c>
    </row>
    <row r="254" spans="5:6">
      <c r="E254" s="124">
        <v>-0.26354671448282113</v>
      </c>
      <c r="F254" s="125">
        <v>0.84554057148406003</v>
      </c>
    </row>
    <row r="255" spans="5:6">
      <c r="E255" s="124">
        <v>1.2013235212028235</v>
      </c>
      <c r="F255" s="125">
        <v>0.26351609490897043</v>
      </c>
    </row>
    <row r="256" spans="5:6">
      <c r="E256" s="124">
        <v>0.81312021724325545</v>
      </c>
      <c r="F256" s="125">
        <v>-1.0403167836372549</v>
      </c>
    </row>
    <row r="257" spans="5:6">
      <c r="E257" s="124">
        <v>-4.2323241996771725E-2</v>
      </c>
      <c r="F257" s="125">
        <v>-0.68121269443834886</v>
      </c>
    </row>
    <row r="258" spans="5:6">
      <c r="E258" s="124">
        <v>-1.6548896512828936E-2</v>
      </c>
      <c r="F258" s="125">
        <v>-0.23548378140150569</v>
      </c>
    </row>
    <row r="259" spans="5:6">
      <c r="E259" s="124">
        <v>-0.21798606731311601</v>
      </c>
      <c r="F259" s="125">
        <v>-0.73873213346534672</v>
      </c>
    </row>
    <row r="260" spans="5:6">
      <c r="E260" s="124">
        <v>0.59461000541069997</v>
      </c>
      <c r="F260" s="125">
        <v>0.45331957473435291</v>
      </c>
    </row>
    <row r="261" spans="5:6">
      <c r="E261" s="124">
        <v>-1.570800215687598</v>
      </c>
      <c r="F261" s="125">
        <v>-0.78302219841522325</v>
      </c>
    </row>
    <row r="262" spans="5:6">
      <c r="E262" s="124">
        <v>0.81695537082956271</v>
      </c>
      <c r="F262" s="125">
        <v>0.37735640894415962</v>
      </c>
    </row>
    <row r="263" spans="5:6">
      <c r="E263" s="124">
        <v>0.4991414877992304</v>
      </c>
      <c r="F263" s="125">
        <v>-0.68068778452307965</v>
      </c>
    </row>
    <row r="264" spans="5:6">
      <c r="E264" s="124">
        <v>-0.38120894845031827</v>
      </c>
      <c r="F264" s="125">
        <v>-0.34638739553559389</v>
      </c>
    </row>
    <row r="265" spans="5:6">
      <c r="E265" s="124">
        <v>-2.25076658419695</v>
      </c>
      <c r="F265" s="125">
        <v>0.10220883506805922</v>
      </c>
    </row>
    <row r="266" spans="5:6">
      <c r="E266" s="124">
        <v>1.3386245087251876</v>
      </c>
      <c r="F266" s="125">
        <v>0.53453828680107107</v>
      </c>
    </row>
    <row r="267" spans="5:6">
      <c r="E267" s="124">
        <v>-0.33280389867021648</v>
      </c>
      <c r="F267" s="125">
        <v>0.3316280478358099</v>
      </c>
    </row>
    <row r="268" spans="5:6">
      <c r="E268" s="124">
        <v>0.56184004420843314</v>
      </c>
      <c r="F268" s="125">
        <v>-0.77382383446858305</v>
      </c>
    </row>
    <row r="269" spans="5:6">
      <c r="E269" s="124">
        <v>0.2296039222600787</v>
      </c>
      <c r="F269" s="125">
        <v>0.18066190052338249</v>
      </c>
    </row>
    <row r="270" spans="5:6">
      <c r="E270" s="124">
        <v>1.2660233063563722</v>
      </c>
      <c r="F270" s="125">
        <v>-0.30548795135767115</v>
      </c>
    </row>
    <row r="271" spans="5:6">
      <c r="E271" s="124">
        <v>-4.9122462980273743E-2</v>
      </c>
      <c r="F271" s="125">
        <v>0.50578864005690882</v>
      </c>
    </row>
    <row r="272" spans="5:6">
      <c r="E272" s="124">
        <v>-0.20136053851420513</v>
      </c>
      <c r="F272" s="125">
        <v>-0.54954365689927509</v>
      </c>
    </row>
    <row r="273" spans="5:6">
      <c r="E273" s="124">
        <v>-0.83075713527444417</v>
      </c>
      <c r="F273" s="125">
        <v>-1.1717083101091978</v>
      </c>
    </row>
    <row r="274" spans="5:6">
      <c r="E274" s="124">
        <v>-8.1515249102279419E-2</v>
      </c>
      <c r="F274" s="125">
        <v>1.0304467363717635</v>
      </c>
    </row>
    <row r="275" spans="5:6">
      <c r="E275" s="124">
        <v>0.42060061179352987</v>
      </c>
      <c r="F275" s="125">
        <v>1.662823310112947</v>
      </c>
    </row>
    <row r="276" spans="5:6">
      <c r="E276" s="124">
        <v>1.3042580425018544</v>
      </c>
      <c r="F276" s="125">
        <v>1.3219954339398186</v>
      </c>
    </row>
    <row r="277" spans="5:6">
      <c r="E277" s="124">
        <v>1.903663328597879</v>
      </c>
      <c r="F277" s="125">
        <v>0.3503030131259961</v>
      </c>
    </row>
    <row r="278" spans="5:6">
      <c r="E278" s="124">
        <v>0.34126673979749322</v>
      </c>
      <c r="F278" s="125">
        <v>-0.51015126805654698</v>
      </c>
    </row>
    <row r="279" spans="5:6">
      <c r="E279" s="124">
        <v>-8.2646524328612386E-2</v>
      </c>
      <c r="F279" s="125">
        <v>1.8891529562242255</v>
      </c>
    </row>
    <row r="280" spans="5:6">
      <c r="E280" s="124">
        <v>8.2384361896065766E-2</v>
      </c>
      <c r="F280" s="125">
        <v>-1.1060452282207176</v>
      </c>
    </row>
    <row r="281" spans="5:6">
      <c r="E281" s="124">
        <v>-2.069075586550726</v>
      </c>
      <c r="F281" s="125">
        <v>-1.1617873239555496</v>
      </c>
    </row>
    <row r="282" spans="5:6">
      <c r="E282" s="124">
        <v>-0.71433261283908289</v>
      </c>
      <c r="F282" s="125">
        <v>-0.3154772543327985</v>
      </c>
    </row>
    <row r="283" spans="5:6">
      <c r="E283" s="124">
        <v>-0.6285170754115107</v>
      </c>
      <c r="F283" s="125">
        <v>0.23664941123335564</v>
      </c>
    </row>
    <row r="284" spans="5:6">
      <c r="E284" s="124">
        <v>1.6118611296858081</v>
      </c>
      <c r="F284" s="125">
        <v>6.1293097251867712E-3</v>
      </c>
    </row>
    <row r="285" spans="5:6">
      <c r="E285" s="124">
        <v>7.2347348245717744E-2</v>
      </c>
      <c r="F285" s="125">
        <v>-1.1190476668978369</v>
      </c>
    </row>
    <row r="286" spans="5:6">
      <c r="E286" s="124">
        <v>0.14952454772362248</v>
      </c>
      <c r="F286" s="125">
        <v>-0.35778871848984461</v>
      </c>
    </row>
    <row r="287" spans="5:6">
      <c r="E287" s="124">
        <v>-1.04703872441546</v>
      </c>
      <c r="F287" s="125">
        <v>-0.49072981931805509</v>
      </c>
    </row>
    <row r="288" spans="5:6">
      <c r="E288" s="124">
        <v>0.69780853400880927</v>
      </c>
      <c r="F288" s="125">
        <v>-0.48430682279217935</v>
      </c>
    </row>
    <row r="289" spans="5:6">
      <c r="E289" s="124">
        <v>1.1610661581658341E-2</v>
      </c>
      <c r="F289" s="125">
        <v>-7.9062556275647206E-2</v>
      </c>
    </row>
    <row r="290" spans="5:6">
      <c r="E290" s="124">
        <v>-0.71874440154847874</v>
      </c>
      <c r="F290" s="125">
        <v>-0.69988350515313436</v>
      </c>
    </row>
    <row r="291" spans="5:6">
      <c r="E291" s="124">
        <v>-0.52081378098183195</v>
      </c>
      <c r="F291" s="125">
        <v>-0.51517634276629454</v>
      </c>
    </row>
    <row r="292" spans="5:6">
      <c r="E292" s="124">
        <v>-0.17698844504820233</v>
      </c>
      <c r="F292" s="125">
        <v>0.15325060482800892</v>
      </c>
    </row>
    <row r="293" spans="5:6">
      <c r="E293" s="124">
        <v>-0.31079358334370855</v>
      </c>
      <c r="F293" s="125">
        <v>7.5188717718196796E-2</v>
      </c>
    </row>
    <row r="294" spans="5:6">
      <c r="E294" s="124">
        <v>-0.26861340529971534</v>
      </c>
      <c r="F294" s="125">
        <v>1.5618059561919606</v>
      </c>
    </row>
    <row r="295" spans="5:6">
      <c r="E295" s="124">
        <v>2.3611673657222285</v>
      </c>
      <c r="F295" s="125">
        <v>2.194633969150428E-2</v>
      </c>
    </row>
    <row r="296" spans="5:6">
      <c r="E296" s="124">
        <v>2.6847701181165196E-2</v>
      </c>
      <c r="F296" s="125">
        <v>0.38662050881752241</v>
      </c>
    </row>
    <row r="297" spans="5:6">
      <c r="E297" s="124">
        <v>0.82332740776042657</v>
      </c>
      <c r="F297" s="125">
        <v>-0.30786987564395546</v>
      </c>
    </row>
    <row r="298" spans="5:6">
      <c r="E298" s="124">
        <v>-1.1483938988369959</v>
      </c>
      <c r="F298" s="125">
        <v>-0.77532454628879621</v>
      </c>
    </row>
    <row r="299" spans="5:6">
      <c r="E299" s="124">
        <v>-0.77437601649928833</v>
      </c>
      <c r="F299" s="125">
        <v>-1.2493765056848987</v>
      </c>
    </row>
    <row r="300" spans="5:6">
      <c r="E300" s="124">
        <v>0.47793876571724281</v>
      </c>
      <c r="F300" s="125">
        <v>-9.84433017208729E-2</v>
      </c>
    </row>
    <row r="301" spans="5:6">
      <c r="E301" s="124">
        <v>0.15451206482047125</v>
      </c>
      <c r="F301" s="125">
        <v>-1.6415227916591519</v>
      </c>
    </row>
    <row r="302" spans="5:6">
      <c r="E302" s="124">
        <v>-1.9158873728185031</v>
      </c>
      <c r="F302" s="125">
        <v>-1.2632413955537953</v>
      </c>
    </row>
    <row r="303" spans="5:6">
      <c r="E303" s="124">
        <v>0.4028540647599621</v>
      </c>
      <c r="F303" s="125">
        <v>0.71918683690706331</v>
      </c>
    </row>
    <row r="304" spans="5:6">
      <c r="E304" s="124">
        <v>-0.72624949522512361</v>
      </c>
      <c r="F304" s="125">
        <v>0.75150367900425308</v>
      </c>
    </row>
    <row r="305" spans="5:6">
      <c r="E305" s="124">
        <v>0.55223779139543483</v>
      </c>
      <c r="F305" s="125">
        <v>-0.22940212486309941</v>
      </c>
    </row>
    <row r="306" spans="5:6">
      <c r="E306" s="124">
        <v>0.63241458886202251</v>
      </c>
      <c r="F306" s="125">
        <v>-4.0771594443522519E-2</v>
      </c>
    </row>
    <row r="307" spans="5:6">
      <c r="E307" s="124">
        <v>5.9104409101936206E-2</v>
      </c>
      <c r="F307" s="125">
        <v>0.14467709906444531</v>
      </c>
    </row>
    <row r="308" spans="5:6">
      <c r="E308" s="124">
        <v>1.507898960928489</v>
      </c>
      <c r="F308" s="125">
        <v>-0.56629228195706249</v>
      </c>
    </row>
    <row r="309" spans="5:6">
      <c r="E309" s="124">
        <v>-0.43997239473290289</v>
      </c>
      <c r="F309" s="125">
        <v>-0.26735067188611478</v>
      </c>
    </row>
    <row r="310" spans="5:6">
      <c r="E310" s="124">
        <v>0.28872453933468351</v>
      </c>
      <c r="F310" s="125">
        <v>0.14661009974409445</v>
      </c>
    </row>
    <row r="311" spans="5:6">
      <c r="E311" s="124">
        <v>-1.4093376067891694</v>
      </c>
      <c r="F311" s="125">
        <v>-1.4380910360360661</v>
      </c>
    </row>
    <row r="312" spans="5:6">
      <c r="E312" s="124">
        <v>-0.2340367390958944</v>
      </c>
      <c r="F312" s="125">
        <v>-1.2972709844735437</v>
      </c>
    </row>
    <row r="313" spans="5:6">
      <c r="E313" s="124">
        <v>-0.33699569757970882</v>
      </c>
      <c r="F313" s="125">
        <v>0.17840964047218894</v>
      </c>
    </row>
    <row r="314" spans="5:6">
      <c r="E314" s="124">
        <v>1.0533787882459225</v>
      </c>
      <c r="F314" s="125">
        <v>-0.67792648175601322</v>
      </c>
    </row>
    <row r="315" spans="5:6">
      <c r="E315" s="124">
        <v>-2.2302428189940606</v>
      </c>
      <c r="F315" s="125">
        <v>-1.9001586826091454</v>
      </c>
    </row>
    <row r="316" spans="5:6">
      <c r="E316" s="124">
        <v>2.4487218447697972</v>
      </c>
      <c r="F316" s="125">
        <v>2.7680137218041319</v>
      </c>
    </row>
    <row r="317" spans="5:6">
      <c r="E317" s="124">
        <v>0.33268729246838247</v>
      </c>
      <c r="F317" s="125">
        <v>-0.32913819587248988</v>
      </c>
    </row>
    <row r="318" spans="5:6">
      <c r="E318" s="124">
        <v>-0.53776338944151358</v>
      </c>
      <c r="F318" s="125">
        <v>-0.36007773875436555</v>
      </c>
    </row>
    <row r="319" spans="5:6">
      <c r="E319" s="124">
        <v>0.49610233281735061</v>
      </c>
      <c r="F319" s="125">
        <v>0.9443399986938511</v>
      </c>
    </row>
    <row r="320" spans="5:6">
      <c r="E320" s="124">
        <v>-0.27888247339020289</v>
      </c>
      <c r="F320" s="125">
        <v>1.2110076682404705</v>
      </c>
    </row>
    <row r="321" spans="5:6">
      <c r="E321" s="124">
        <v>0.67556043087452577</v>
      </c>
      <c r="F321" s="125">
        <v>-2.3928031493369417E-2</v>
      </c>
    </row>
    <row r="322" spans="5:6">
      <c r="E322" s="124">
        <v>0.52140248312778248</v>
      </c>
      <c r="F322" s="125">
        <v>0.81415544368704773</v>
      </c>
    </row>
    <row r="323" spans="5:6">
      <c r="E323" s="124">
        <v>-0.76429197845862151</v>
      </c>
      <c r="F323" s="125">
        <v>-1.3511450666976923</v>
      </c>
    </row>
    <row r="324" spans="5:6">
      <c r="E324" s="124">
        <v>-0.36643707694166455</v>
      </c>
      <c r="F324" s="125">
        <v>0.12894644704543731</v>
      </c>
    </row>
    <row r="325" spans="5:6">
      <c r="E325" s="124">
        <v>-0.76730083029351559</v>
      </c>
      <c r="F325" s="125">
        <v>0.53889541454143131</v>
      </c>
    </row>
    <row r="326" spans="5:6">
      <c r="E326" s="124">
        <v>-1.8532243552550569</v>
      </c>
      <c r="F326" s="125">
        <v>-1.0144990914822716</v>
      </c>
    </row>
    <row r="327" spans="5:6">
      <c r="E327" s="124">
        <v>-0.27939761908603583</v>
      </c>
      <c r="F327" s="125">
        <v>0.54708106755807184</v>
      </c>
    </row>
    <row r="328" spans="5:6">
      <c r="E328" s="124">
        <v>-0.38763901705038362</v>
      </c>
      <c r="F328" s="125">
        <v>-1.4196686679680255</v>
      </c>
    </row>
    <row r="329" spans="5:6">
      <c r="E329" s="124">
        <v>-2.6558832431474465E-2</v>
      </c>
      <c r="F329" s="125">
        <v>0.18705730378557356</v>
      </c>
    </row>
    <row r="330" spans="5:6">
      <c r="E330" s="124">
        <v>-3.8213189307249373E-2</v>
      </c>
      <c r="F330" s="125">
        <v>0.46981072422007369</v>
      </c>
    </row>
    <row r="331" spans="5:6">
      <c r="E331" s="124">
        <v>-0.8420425771643163</v>
      </c>
      <c r="F331" s="125">
        <v>-0.67921952806992247</v>
      </c>
    </row>
    <row r="332" spans="5:6">
      <c r="E332" s="124">
        <v>-1.6622123778485427</v>
      </c>
      <c r="F332" s="125">
        <v>-1.2817589196269876</v>
      </c>
    </row>
    <row r="333" spans="5:6">
      <c r="E333" s="124">
        <v>-0.41580223936053523</v>
      </c>
      <c r="F333" s="125">
        <v>-2.1888372797732508E-2</v>
      </c>
    </row>
    <row r="334" spans="5:6">
      <c r="E334" s="124">
        <v>1.3723670541294144</v>
      </c>
      <c r="F334" s="125">
        <v>1.3388257167632323</v>
      </c>
    </row>
    <row r="335" spans="5:6">
      <c r="E335" s="124">
        <v>1.1264675125350492</v>
      </c>
      <c r="F335" s="125">
        <v>0.98081150501679826</v>
      </c>
    </row>
    <row r="336" spans="5:6">
      <c r="E336" s="124">
        <v>0.59945913573707488</v>
      </c>
      <c r="F336" s="125">
        <v>-0.13716387951058512</v>
      </c>
    </row>
    <row r="337" spans="5:6">
      <c r="E337" s="124">
        <v>-6.8474406758944714E-2</v>
      </c>
      <c r="F337" s="125">
        <v>-0.46900407698589025</v>
      </c>
    </row>
    <row r="338" spans="5:6">
      <c r="E338" s="124">
        <v>0.74697762366328024</v>
      </c>
      <c r="F338" s="125">
        <v>0.35980603132346373</v>
      </c>
    </row>
    <row r="339" spans="5:6">
      <c r="E339" s="124">
        <v>-1.0667478741440652</v>
      </c>
      <c r="F339" s="125">
        <v>-1.4631375003716083</v>
      </c>
    </row>
    <row r="340" spans="5:6">
      <c r="E340" s="124">
        <v>-1.3020480236270826</v>
      </c>
      <c r="F340" s="125">
        <v>-0.36228207083499575</v>
      </c>
    </row>
    <row r="341" spans="5:6">
      <c r="E341" s="124">
        <v>1.6379760995005508</v>
      </c>
      <c r="F341" s="125">
        <v>1.2175726870916095</v>
      </c>
    </row>
    <row r="342" spans="5:6">
      <c r="E342" s="124">
        <v>-1.7837780415620021</v>
      </c>
      <c r="F342" s="125">
        <v>-1.7142314429626193</v>
      </c>
    </row>
    <row r="343" spans="5:6">
      <c r="E343" s="124">
        <v>0.59971259069205296</v>
      </c>
      <c r="F343" s="125">
        <v>-7.2856610912936937E-3</v>
      </c>
    </row>
    <row r="344" spans="5:6">
      <c r="E344" s="124">
        <v>-0.64392316407812211</v>
      </c>
      <c r="F344" s="125">
        <v>-4.038216627160518E-2</v>
      </c>
    </row>
    <row r="345" spans="5:6">
      <c r="E345" s="124">
        <v>-0.54650173232800903</v>
      </c>
      <c r="F345" s="125">
        <v>0.65182119951871864</v>
      </c>
    </row>
    <row r="346" spans="5:6">
      <c r="E346" s="124">
        <v>-1.1478863196236633</v>
      </c>
      <c r="F346" s="125">
        <v>-1.6277952507765612</v>
      </c>
    </row>
    <row r="347" spans="5:6">
      <c r="E347" s="124">
        <v>-2.816912761808112</v>
      </c>
      <c r="F347" s="125">
        <v>-1.4853231953970145</v>
      </c>
    </row>
    <row r="348" spans="5:6">
      <c r="E348" s="124">
        <v>-0.71226778205325059</v>
      </c>
      <c r="F348" s="125">
        <v>-0.67896214465801763</v>
      </c>
    </row>
    <row r="349" spans="5:6">
      <c r="E349" s="124">
        <v>-0.4205347574950945</v>
      </c>
      <c r="F349" s="125">
        <v>-0.55923458251973501</v>
      </c>
    </row>
    <row r="350" spans="5:6">
      <c r="E350" s="124">
        <v>0.47378583310436306</v>
      </c>
      <c r="F350" s="125">
        <v>2.0490349684748416E-2</v>
      </c>
    </row>
    <row r="351" spans="5:6">
      <c r="E351" s="124">
        <v>1.0203284978635467</v>
      </c>
      <c r="F351" s="125">
        <v>1.1508595267307975</v>
      </c>
    </row>
    <row r="352" spans="5:6">
      <c r="E352" s="124">
        <v>-4.7095303218222459E-2</v>
      </c>
      <c r="F352" s="125">
        <v>-0.64138692547319831</v>
      </c>
    </row>
    <row r="353" spans="5:6">
      <c r="E353" s="124">
        <v>-0.43725425890958614</v>
      </c>
      <c r="F353" s="125">
        <v>-0.64437933848146056</v>
      </c>
    </row>
    <row r="354" spans="5:6">
      <c r="E354" s="124">
        <v>1.5261069803668288</v>
      </c>
      <c r="F354" s="125">
        <v>2.6035212575611566</v>
      </c>
    </row>
    <row r="355" spans="5:6">
      <c r="E355" s="124">
        <v>-0.11423509080355126</v>
      </c>
      <c r="F355" s="125">
        <v>1.9467387963247442</v>
      </c>
    </row>
    <row r="356" spans="5:6">
      <c r="E356" s="124">
        <v>0.20547281109330207</v>
      </c>
      <c r="F356" s="125">
        <v>-1.2334676647309748</v>
      </c>
    </row>
    <row r="357" spans="5:6">
      <c r="E357" s="124">
        <v>-0.75723937004149722</v>
      </c>
      <c r="F357" s="125">
        <v>-0.52965750464294736</v>
      </c>
    </row>
    <row r="358" spans="5:6">
      <c r="E358" s="124">
        <v>-0.89233225234859082</v>
      </c>
      <c r="F358" s="125">
        <v>0.61190110772202899</v>
      </c>
    </row>
    <row r="359" spans="5:6">
      <c r="E359" s="124">
        <v>0.94409864879318917</v>
      </c>
      <c r="F359" s="125">
        <v>3.0574431314754298</v>
      </c>
    </row>
    <row r="360" spans="5:6">
      <c r="E360" s="124">
        <v>-0.88927294152300751</v>
      </c>
      <c r="F360" s="125">
        <v>-0.14650501604190769</v>
      </c>
    </row>
    <row r="361" spans="5:6">
      <c r="E361" s="124">
        <v>1.8249150071821576</v>
      </c>
      <c r="F361" s="125">
        <v>8.1369398164012785E-2</v>
      </c>
    </row>
    <row r="362" spans="5:6">
      <c r="E362" s="124">
        <v>-0.41641376865639523</v>
      </c>
      <c r="F362" s="125">
        <v>1.3128287730214394</v>
      </c>
    </row>
    <row r="363" spans="5:6">
      <c r="E363" s="124">
        <v>-1.8326970774029645</v>
      </c>
      <c r="F363" s="125">
        <v>-0.29293576651544306</v>
      </c>
    </row>
    <row r="364" spans="5:6">
      <c r="E364" s="124">
        <v>-0.16933322502957046</v>
      </c>
      <c r="F364" s="125">
        <v>9.5078948103964098E-2</v>
      </c>
    </row>
    <row r="365" spans="5:6">
      <c r="E365" s="124">
        <v>-0.77020397597716961</v>
      </c>
      <c r="F365" s="125">
        <v>-1.424632786719549</v>
      </c>
    </row>
    <row r="366" spans="5:6">
      <c r="E366" s="124">
        <v>-1.4271364012280947</v>
      </c>
      <c r="F366" s="125">
        <v>-0.23242795743256311</v>
      </c>
    </row>
    <row r="367" spans="5:6">
      <c r="E367" s="124">
        <v>-0.60255321107820359</v>
      </c>
      <c r="F367" s="125">
        <v>-0.49659072091763556</v>
      </c>
    </row>
    <row r="368" spans="5:6">
      <c r="E368" s="124">
        <v>0.34781034156649371</v>
      </c>
      <c r="F368" s="125">
        <v>1.0942415319747363</v>
      </c>
    </row>
    <row r="369" spans="5:6">
      <c r="E369" s="124">
        <v>-1.4811146865376488</v>
      </c>
      <c r="F369" s="125">
        <v>-1.0635526637467565</v>
      </c>
    </row>
    <row r="370" spans="5:6">
      <c r="E370" s="124">
        <v>-1.5682659273681963</v>
      </c>
      <c r="F370" s="125">
        <v>-4.801142896260302E-2</v>
      </c>
    </row>
    <row r="371" spans="5:6">
      <c r="E371" s="124">
        <v>-0.1002083679403357</v>
      </c>
      <c r="F371" s="125">
        <v>1.6720578672013466E-2</v>
      </c>
    </row>
    <row r="372" spans="5:6">
      <c r="E372" s="124">
        <v>0.5938083083628326</v>
      </c>
      <c r="F372" s="125">
        <v>-0.44429322787866349</v>
      </c>
    </row>
    <row r="373" spans="5:6">
      <c r="E373" s="124">
        <v>-0.39398208077432617</v>
      </c>
      <c r="F373" s="125">
        <v>0.32532985787285063</v>
      </c>
    </row>
    <row r="374" spans="5:6">
      <c r="E374" s="124">
        <v>0.41274150023525802</v>
      </c>
      <c r="F374" s="125">
        <v>0.24814628503148525</v>
      </c>
    </row>
    <row r="375" spans="5:6">
      <c r="E375" s="124">
        <v>-0.44529222467668156</v>
      </c>
      <c r="F375" s="125">
        <v>1.0276127322961017</v>
      </c>
    </row>
    <row r="376" spans="5:6">
      <c r="E376" s="124">
        <v>-2.3731492898390658</v>
      </c>
      <c r="F376" s="125">
        <v>-1.5559579409032342</v>
      </c>
    </row>
    <row r="377" spans="5:6">
      <c r="E377" s="124">
        <v>0.8585309218371564</v>
      </c>
      <c r="F377" s="125">
        <v>1.5039194962777063</v>
      </c>
    </row>
    <row r="378" spans="5:6">
      <c r="E378" s="124">
        <v>0.7165735899636142</v>
      </c>
      <c r="F378" s="125">
        <v>1.7004907840675434</v>
      </c>
    </row>
    <row r="379" spans="5:6">
      <c r="E379" s="124">
        <v>1.0427775323617456</v>
      </c>
      <c r="F379" s="125">
        <v>0.3508975991810282</v>
      </c>
    </row>
    <row r="380" spans="5:6">
      <c r="E380" s="124">
        <v>-0.41619963003800631</v>
      </c>
      <c r="F380" s="125">
        <v>0.1141580202238075</v>
      </c>
    </row>
    <row r="381" spans="5:6">
      <c r="E381" s="124">
        <v>0.62412841378082251</v>
      </c>
      <c r="F381" s="125">
        <v>1.3170559398187613</v>
      </c>
    </row>
    <row r="382" spans="5:6">
      <c r="E382" s="124">
        <v>0.75946497147707448</v>
      </c>
      <c r="F382" s="125">
        <v>0.42060300222375568</v>
      </c>
    </row>
    <row r="383" spans="5:6">
      <c r="E383" s="124">
        <v>0.16484754029036569</v>
      </c>
      <c r="F383" s="125">
        <v>1.5639964757333547</v>
      </c>
    </row>
    <row r="384" spans="5:6">
      <c r="E384" s="124">
        <v>-0.42396282723882878</v>
      </c>
      <c r="F384" s="125">
        <v>0.15187414223374537</v>
      </c>
    </row>
    <row r="385" spans="5:6">
      <c r="E385" s="124">
        <v>0.82212488409929452</v>
      </c>
      <c r="F385" s="125">
        <v>-0.15511018290071865</v>
      </c>
    </row>
    <row r="386" spans="5:6">
      <c r="E386" s="124">
        <v>0.2032805590590519</v>
      </c>
      <c r="F386" s="125">
        <v>-0.887595164298288</v>
      </c>
    </row>
    <row r="387" spans="5:6">
      <c r="E387" s="124">
        <v>-0.96521466572080006</v>
      </c>
      <c r="F387" s="125">
        <v>-1.0310709797400182</v>
      </c>
    </row>
    <row r="388" spans="5:6">
      <c r="E388" s="124">
        <v>-0.94638179305608572</v>
      </c>
      <c r="F388" s="125">
        <v>0.42160857955230063</v>
      </c>
    </row>
    <row r="389" spans="5:6">
      <c r="E389" s="124">
        <v>-0.37481746694047602</v>
      </c>
      <c r="F389" s="125">
        <v>0.40225705170794768</v>
      </c>
    </row>
    <row r="390" spans="5:6">
      <c r="E390" s="124">
        <v>1.0203454427556489</v>
      </c>
      <c r="F390" s="125">
        <v>8.2761730793269983E-2</v>
      </c>
    </row>
    <row r="391" spans="5:6">
      <c r="E391" s="124">
        <v>1.2122875615697541</v>
      </c>
      <c r="F391" s="125">
        <v>2.1337598499442154</v>
      </c>
    </row>
    <row r="392" spans="5:6">
      <c r="E392" s="124">
        <v>-0.61008422746338364</v>
      </c>
      <c r="F392" s="125">
        <v>-1.4951324940987814</v>
      </c>
    </row>
    <row r="393" spans="5:6">
      <c r="E393" s="124">
        <v>0.25360010840103347</v>
      </c>
      <c r="F393" s="125">
        <v>0.84452642821033641</v>
      </c>
    </row>
    <row r="394" spans="5:6">
      <c r="E394" s="124">
        <v>0.65771457655704002</v>
      </c>
      <c r="F394" s="125">
        <v>-0.17680400407349284</v>
      </c>
    </row>
    <row r="395" spans="5:6">
      <c r="E395" s="124">
        <v>0.79562070309514954</v>
      </c>
      <c r="F395" s="125">
        <v>1.3670033166023952</v>
      </c>
    </row>
    <row r="396" spans="5:6">
      <c r="E396" s="124">
        <v>0.15964512054854543</v>
      </c>
      <c r="F396" s="125">
        <v>0.35869269322408032</v>
      </c>
    </row>
    <row r="397" spans="5:6">
      <c r="E397" s="124">
        <v>0.30716203498462641</v>
      </c>
      <c r="F397" s="125">
        <v>7.1775285139438191E-2</v>
      </c>
    </row>
    <row r="398" spans="5:6">
      <c r="E398" s="124">
        <v>1.2820525247406487</v>
      </c>
      <c r="F398" s="125">
        <v>9.117266315684236E-2</v>
      </c>
    </row>
    <row r="399" spans="5:6">
      <c r="E399" s="124">
        <v>1.2766514939494396</v>
      </c>
      <c r="F399" s="125">
        <v>0.81468051900779337</v>
      </c>
    </row>
    <row r="400" spans="5:6">
      <c r="E400" s="124">
        <v>0.1214232245667097</v>
      </c>
      <c r="F400" s="125">
        <v>-1.196079981672342</v>
      </c>
    </row>
    <row r="401" spans="5:6">
      <c r="E401" s="124">
        <v>-0.84842911871676097</v>
      </c>
      <c r="F401" s="125">
        <v>-0.48524830102822308</v>
      </c>
    </row>
    <row r="402" spans="5:6">
      <c r="E402" s="124">
        <v>-1.9575510869949635</v>
      </c>
      <c r="F402" s="125">
        <v>0.6105422767707368</v>
      </c>
    </row>
    <row r="403" spans="5:6">
      <c r="E403" s="124">
        <v>0.95426945819312403</v>
      </c>
      <c r="F403" s="125">
        <v>1.4812235598750667</v>
      </c>
    </row>
    <row r="404" spans="5:6">
      <c r="E404" s="124">
        <v>-1.4007817731225873</v>
      </c>
      <c r="F404" s="125">
        <v>-0.30811608886996045</v>
      </c>
    </row>
    <row r="405" spans="5:6">
      <c r="E405" s="124">
        <v>0.16610460776679126</v>
      </c>
      <c r="F405" s="125">
        <v>0.24206284817396487</v>
      </c>
    </row>
    <row r="406" spans="5:6">
      <c r="E406" s="124">
        <v>1.7013245710079701</v>
      </c>
      <c r="F406" s="125">
        <v>-4.0753522870823788E-2</v>
      </c>
    </row>
    <row r="407" spans="5:6">
      <c r="E407" s="124">
        <v>0.23879193444384986</v>
      </c>
      <c r="F407" s="125">
        <v>0.79483117964936978</v>
      </c>
    </row>
    <row r="408" spans="5:6">
      <c r="E408" s="124">
        <v>-0.11043666306391657</v>
      </c>
      <c r="F408" s="125">
        <v>0.27038578095459903</v>
      </c>
    </row>
    <row r="409" spans="5:6">
      <c r="E409" s="124">
        <v>0.96681147464316997</v>
      </c>
      <c r="F409" s="125">
        <v>1.3508405019934788</v>
      </c>
    </row>
    <row r="410" spans="5:6">
      <c r="E410" s="124">
        <v>-1.0478788580489908</v>
      </c>
      <c r="F410" s="125">
        <v>-1.5616739524495953</v>
      </c>
    </row>
    <row r="411" spans="5:6">
      <c r="E411" s="124">
        <v>-1.3193775837977681</v>
      </c>
      <c r="F411" s="125">
        <v>-0.67327723591917421</v>
      </c>
    </row>
    <row r="412" spans="5:6">
      <c r="E412" s="124">
        <v>0.45365385120120438</v>
      </c>
      <c r="F412" s="125">
        <v>-0.61850761282423017</v>
      </c>
    </row>
    <row r="413" spans="5:6">
      <c r="E413" s="124">
        <v>0.51538325525712292</v>
      </c>
      <c r="F413" s="125">
        <v>0.75726649367435905</v>
      </c>
    </row>
    <row r="414" spans="5:6">
      <c r="E414" s="124">
        <v>0.31512512191013925</v>
      </c>
      <c r="F414" s="125">
        <v>-0.86889181493915923</v>
      </c>
    </row>
    <row r="415" spans="5:6">
      <c r="E415" s="124">
        <v>-0.23487561857698475</v>
      </c>
      <c r="F415" s="125">
        <v>0.83580957314203941</v>
      </c>
    </row>
    <row r="416" spans="5:6">
      <c r="E416" s="124">
        <v>0.12618235707861766</v>
      </c>
      <c r="F416" s="125">
        <v>-0.13105633203421146</v>
      </c>
    </row>
    <row r="417" spans="5:6">
      <c r="E417" s="124">
        <v>1.2794364232261854</v>
      </c>
      <c r="F417" s="125">
        <v>0.70016304424130749</v>
      </c>
    </row>
    <row r="418" spans="5:6">
      <c r="E418" s="124">
        <v>1.3150316095970227</v>
      </c>
      <c r="F418" s="125">
        <v>2.3263768518409407</v>
      </c>
    </row>
    <row r="419" spans="5:6">
      <c r="E419" s="124">
        <v>0.42794032694868117</v>
      </c>
      <c r="F419" s="125">
        <v>-0.11787280730305474</v>
      </c>
    </row>
    <row r="420" spans="5:6">
      <c r="E420" s="124">
        <v>1.2720308378563858</v>
      </c>
      <c r="F420" s="125">
        <v>-0.31788219781381233</v>
      </c>
    </row>
    <row r="421" spans="5:6">
      <c r="E421" s="124">
        <v>0.62638303757065517</v>
      </c>
      <c r="F421" s="125">
        <v>1.8797712261433646</v>
      </c>
    </row>
    <row r="422" spans="5:6">
      <c r="E422" s="124">
        <v>-0.63595629205145576</v>
      </c>
      <c r="F422" s="125">
        <v>-1.301986193700378</v>
      </c>
    </row>
    <row r="423" spans="5:6">
      <c r="E423" s="124">
        <v>-1.7176654948500003</v>
      </c>
      <c r="F423" s="125">
        <v>0.1342594201724191</v>
      </c>
    </row>
    <row r="424" spans="5:6">
      <c r="E424" s="124">
        <v>0.58033842441529793</v>
      </c>
      <c r="F424" s="125">
        <v>-0.54684976185867162</v>
      </c>
    </row>
    <row r="425" spans="5:6">
      <c r="E425" s="124">
        <v>0.75034376651255519</v>
      </c>
      <c r="F425" s="125">
        <v>0.22084495884753877</v>
      </c>
    </row>
    <row r="426" spans="5:6">
      <c r="E426" s="124">
        <v>-3.7240829376440396E-2</v>
      </c>
      <c r="F426" s="125">
        <v>0.27771497496192848</v>
      </c>
    </row>
    <row r="427" spans="5:6">
      <c r="E427" s="124">
        <v>0.62804230845938447</v>
      </c>
      <c r="F427" s="125">
        <v>-0.95043134086279468</v>
      </c>
    </row>
    <row r="428" spans="5:6">
      <c r="E428" s="124">
        <v>-0.58021495834759695</v>
      </c>
      <c r="F428" s="125">
        <v>0.13397702991985244</v>
      </c>
    </row>
    <row r="429" spans="5:6">
      <c r="E429" s="124">
        <v>0.46129267768354287</v>
      </c>
      <c r="F429" s="125">
        <v>0.24828566485135184</v>
      </c>
    </row>
    <row r="430" spans="5:6">
      <c r="E430" s="124">
        <v>-1.5693824766382021</v>
      </c>
      <c r="F430" s="125">
        <v>-0.52519540638787965</v>
      </c>
    </row>
    <row r="431" spans="5:6">
      <c r="E431" s="124">
        <v>-0.18799184158865603</v>
      </c>
      <c r="F431" s="125">
        <v>-0.84722342350651236</v>
      </c>
    </row>
    <row r="432" spans="5:6">
      <c r="E432" s="124">
        <v>-0.82368779904062694</v>
      </c>
      <c r="F432" s="125">
        <v>-2.0879157869850404</v>
      </c>
    </row>
    <row r="433" spans="5:6">
      <c r="E433" s="124">
        <v>5.4382983777492261E-2</v>
      </c>
      <c r="F433" s="125">
        <v>0.97964424340102119</v>
      </c>
    </row>
    <row r="434" spans="5:6">
      <c r="E434" s="124">
        <v>0.35856326940327554</v>
      </c>
      <c r="F434" s="125">
        <v>0.37227957511098925</v>
      </c>
    </row>
    <row r="435" spans="5:6">
      <c r="E435" s="124">
        <v>-1.7315312191141585</v>
      </c>
      <c r="F435" s="125">
        <v>-0.9651732043786927</v>
      </c>
    </row>
    <row r="436" spans="5:6">
      <c r="E436" s="124">
        <v>-0.5651839290270364</v>
      </c>
      <c r="F436" s="125">
        <v>-1.7556230708528242</v>
      </c>
    </row>
    <row r="437" spans="5:6">
      <c r="E437" s="124">
        <v>1.2932917013184373</v>
      </c>
      <c r="F437" s="125">
        <v>-0.66979576336270374</v>
      </c>
    </row>
    <row r="438" spans="5:6">
      <c r="E438" s="124">
        <v>-0.14453679957607185</v>
      </c>
      <c r="F438" s="125">
        <v>0.23126716457292276</v>
      </c>
    </row>
    <row r="439" spans="5:6">
      <c r="E439" s="124">
        <v>1.7455239138436411</v>
      </c>
      <c r="F439" s="125">
        <v>0.98062755314019923</v>
      </c>
    </row>
    <row r="440" spans="5:6">
      <c r="E440" s="124">
        <v>-0.39628966919317443</v>
      </c>
      <c r="F440" s="125">
        <v>-0.54935333593001967</v>
      </c>
    </row>
    <row r="441" spans="5:6">
      <c r="E441" s="124">
        <v>-0.61039041505612168</v>
      </c>
      <c r="F441" s="125">
        <v>0.33178131918224674</v>
      </c>
    </row>
    <row r="442" spans="5:6">
      <c r="E442" s="124">
        <v>-6.5899034374306887E-4</v>
      </c>
      <c r="F442" s="125">
        <v>1.5297592296757225</v>
      </c>
    </row>
    <row r="443" spans="5:6">
      <c r="E443" s="124">
        <v>1.7776739489750157</v>
      </c>
      <c r="F443" s="125">
        <v>-0.21108768081367291</v>
      </c>
    </row>
    <row r="444" spans="5:6">
      <c r="E444" s="124">
        <v>0.39905090172244245</v>
      </c>
      <c r="F444" s="125">
        <v>1.2019039283214754</v>
      </c>
    </row>
    <row r="445" spans="5:6">
      <c r="E445" s="124">
        <v>-0.14197279406271227</v>
      </c>
      <c r="F445" s="125">
        <v>0.29022449127691258</v>
      </c>
    </row>
    <row r="446" spans="5:6">
      <c r="E446" s="124">
        <v>1.6392070061059967</v>
      </c>
      <c r="F446" s="125">
        <v>1.4177578011356096</v>
      </c>
    </row>
    <row r="447" spans="5:6">
      <c r="E447" s="124">
        <v>-1.0805137516861905</v>
      </c>
      <c r="F447" s="125">
        <v>-0.52437027577736517</v>
      </c>
    </row>
    <row r="448" spans="5:6">
      <c r="E448" s="124">
        <v>-1.8374160228821486</v>
      </c>
      <c r="F448" s="125">
        <v>-9.5157419728425396E-2</v>
      </c>
    </row>
    <row r="449" spans="5:6">
      <c r="E449" s="124">
        <v>2.8110674448438715E-2</v>
      </c>
      <c r="F449" s="125">
        <v>-0.34765736247276907</v>
      </c>
    </row>
    <row r="450" spans="5:6">
      <c r="E450" s="124">
        <v>0.14169368122491893</v>
      </c>
      <c r="F450" s="125">
        <v>0.12509515370094457</v>
      </c>
    </row>
    <row r="451" spans="5:6">
      <c r="E451" s="124">
        <v>0.54098220064845237</v>
      </c>
      <c r="F451" s="125">
        <v>0.62652293647610136</v>
      </c>
    </row>
    <row r="452" spans="5:6">
      <c r="E452" s="124">
        <v>0.36059844328735646</v>
      </c>
      <c r="F452" s="125">
        <v>-3.0458324933541947E-2</v>
      </c>
    </row>
    <row r="453" spans="5:6">
      <c r="E453" s="124">
        <v>-0.46940947302301023</v>
      </c>
      <c r="F453" s="125">
        <v>-0.88153826675902569</v>
      </c>
    </row>
    <row r="454" spans="5:6">
      <c r="E454" s="124">
        <v>-1.0008858456717598</v>
      </c>
      <c r="F454" s="125">
        <v>-1.575585466938664</v>
      </c>
    </row>
    <row r="455" spans="5:6">
      <c r="E455" s="124">
        <v>-0.6118305160382792</v>
      </c>
      <c r="F455" s="125">
        <v>-0.69623538521639361</v>
      </c>
    </row>
    <row r="456" spans="5:6">
      <c r="E456" s="124">
        <v>0.60210413116869288</v>
      </c>
      <c r="F456" s="125">
        <v>0.29657465524302701</v>
      </c>
    </row>
    <row r="457" spans="5:6">
      <c r="E457" s="124">
        <v>1.3302877523830712</v>
      </c>
      <c r="F457" s="125">
        <v>1.5803641624571099</v>
      </c>
    </row>
    <row r="458" spans="5:6">
      <c r="E458" s="124">
        <v>-0.30936986502893016</v>
      </c>
      <c r="F458" s="125">
        <v>-0.94259087293907262</v>
      </c>
    </row>
    <row r="459" spans="5:6">
      <c r="E459" s="124">
        <v>0.25470283186382076</v>
      </c>
      <c r="F459" s="125">
        <v>-0.47174516619837803</v>
      </c>
    </row>
    <row r="460" spans="5:6">
      <c r="E460" s="124">
        <v>2.8963667605228768E-2</v>
      </c>
      <c r="F460" s="125">
        <v>0.69558515204390403</v>
      </c>
    </row>
    <row r="461" spans="5:6">
      <c r="E461" s="124">
        <v>-6.7523468957234933E-2</v>
      </c>
      <c r="F461" s="125">
        <v>0.72141236407741016</v>
      </c>
    </row>
    <row r="462" spans="5:6">
      <c r="E462" s="124">
        <v>0.19739572669703548</v>
      </c>
      <c r="F462" s="125">
        <v>-0.80577413090492134</v>
      </c>
    </row>
    <row r="463" spans="5:6">
      <c r="E463" s="124">
        <v>0.49249853099472807</v>
      </c>
      <c r="F463" s="125">
        <v>7.1716331895696234E-2</v>
      </c>
    </row>
    <row r="464" spans="5:6">
      <c r="E464" s="124">
        <v>1.0164010230836442</v>
      </c>
      <c r="F464" s="125">
        <v>-0.49811292714093247</v>
      </c>
    </row>
    <row r="465" spans="5:6">
      <c r="E465" s="124">
        <v>-1.8782591838694716E-2</v>
      </c>
      <c r="F465" s="125">
        <v>0.37538290454468493</v>
      </c>
    </row>
    <row r="466" spans="5:6">
      <c r="E466" s="124">
        <v>0.52966835377614285</v>
      </c>
      <c r="F466" s="125">
        <v>1.1468408566904909</v>
      </c>
    </row>
    <row r="467" spans="5:6">
      <c r="E467" s="124">
        <v>1.0123705132633896</v>
      </c>
      <c r="F467" s="125">
        <v>0.46285001498379419</v>
      </c>
    </row>
    <row r="468" spans="5:6">
      <c r="E468" s="124">
        <v>0.32970798732594658</v>
      </c>
      <c r="F468" s="125">
        <v>1.5047316242064428</v>
      </c>
    </row>
    <row r="469" spans="5:6">
      <c r="E469" s="124">
        <v>0.27627144305760887</v>
      </c>
      <c r="F469" s="125">
        <v>-0.25389837413519384</v>
      </c>
    </row>
    <row r="470" spans="5:6">
      <c r="E470" s="124">
        <v>-1.631968511684768</v>
      </c>
      <c r="F470" s="125">
        <v>-0.92548309095321191</v>
      </c>
    </row>
    <row r="471" spans="5:6">
      <c r="E471" s="124">
        <v>-0.2821549308531513</v>
      </c>
      <c r="F471" s="125">
        <v>2.2521514060652077</v>
      </c>
    </row>
    <row r="472" spans="5:6">
      <c r="E472" s="124">
        <v>-1.6858748399951016</v>
      </c>
      <c r="F472" s="125">
        <v>-1.744042901438106</v>
      </c>
    </row>
    <row r="473" spans="5:6">
      <c r="E473" s="124">
        <v>1.5404228050808739</v>
      </c>
      <c r="F473" s="125">
        <v>-8.4164498463586757E-2</v>
      </c>
    </row>
    <row r="474" spans="5:6">
      <c r="E474" s="124">
        <v>7.2794178960035844E-2</v>
      </c>
      <c r="F474" s="125">
        <v>0.14144676536374715</v>
      </c>
    </row>
    <row r="475" spans="5:6">
      <c r="E475" s="124">
        <v>-0.59915002942546591</v>
      </c>
      <c r="F475" s="125">
        <v>-0.56714182540733793</v>
      </c>
    </row>
    <row r="476" spans="5:6">
      <c r="E476" s="124">
        <v>0.78251084220922551</v>
      </c>
      <c r="F476" s="125">
        <v>-0.49877450612193819</v>
      </c>
    </row>
    <row r="477" spans="5:6">
      <c r="E477" s="124">
        <v>-0.18262582134128191</v>
      </c>
      <c r="F477" s="125">
        <v>0.92774255991090659</v>
      </c>
    </row>
    <row r="478" spans="5:6">
      <c r="E478" s="124">
        <v>0.53327350545119101</v>
      </c>
      <c r="F478" s="125">
        <v>-0.17323593039458418</v>
      </c>
    </row>
    <row r="479" spans="5:6">
      <c r="E479" s="124">
        <v>0.64848697873480743</v>
      </c>
      <c r="F479" s="125">
        <v>-0.48292700241347458</v>
      </c>
    </row>
    <row r="480" spans="5:6">
      <c r="E480" s="124">
        <v>-0.85376044926034456</v>
      </c>
      <c r="F480" s="125">
        <v>0.87240768624349763</v>
      </c>
    </row>
    <row r="481" spans="5:6">
      <c r="E481" s="124">
        <v>1.476767700044296</v>
      </c>
      <c r="F481" s="125">
        <v>1.2322440982717167</v>
      </c>
    </row>
    <row r="482" spans="5:6">
      <c r="E482" s="124">
        <v>-0.60754568754887572</v>
      </c>
      <c r="F482" s="125">
        <v>-1.5917508305783479</v>
      </c>
    </row>
    <row r="483" spans="5:6">
      <c r="E483" s="124">
        <v>-0.52861227075915107</v>
      </c>
      <c r="F483" s="125">
        <v>-0.77853497633383961</v>
      </c>
    </row>
    <row r="484" spans="5:6">
      <c r="E484" s="124">
        <v>-0.78833491323110949</v>
      </c>
      <c r="F484" s="125">
        <v>-1.828510825718042</v>
      </c>
    </row>
    <row r="485" spans="5:6">
      <c r="E485" s="124">
        <v>0.32088922094287226</v>
      </c>
      <c r="F485" s="125">
        <v>0.93654514015143986</v>
      </c>
    </row>
    <row r="486" spans="5:6">
      <c r="E486" s="124">
        <v>-0.23179933136875291</v>
      </c>
      <c r="F486" s="125">
        <v>-1.1759089611656941</v>
      </c>
    </row>
    <row r="487" spans="5:6">
      <c r="E487" s="124">
        <v>-1.8368854643578982</v>
      </c>
      <c r="F487" s="125">
        <v>-1.4091857974208923</v>
      </c>
    </row>
    <row r="488" spans="5:6">
      <c r="E488" s="124">
        <v>0.39960438985890434</v>
      </c>
      <c r="F488" s="125">
        <v>0.11849138164500016</v>
      </c>
    </row>
    <row r="489" spans="5:6">
      <c r="E489" s="124">
        <v>0.29787937708250284</v>
      </c>
      <c r="F489" s="125">
        <v>1.050240554126503</v>
      </c>
    </row>
    <row r="490" spans="5:6">
      <c r="E490" s="124">
        <v>-0.61184586763583992</v>
      </c>
      <c r="F490" s="125">
        <v>-1.010748312090173</v>
      </c>
    </row>
    <row r="491" spans="5:6">
      <c r="E491" s="124">
        <v>0.56835919475474372</v>
      </c>
      <c r="F491" s="125">
        <v>-0.11891012601110462</v>
      </c>
    </row>
    <row r="492" spans="5:6">
      <c r="E492" s="124">
        <v>-0.58152119729968532</v>
      </c>
      <c r="F492" s="125">
        <v>0.85638619876212774</v>
      </c>
    </row>
    <row r="493" spans="5:6">
      <c r="E493" s="124">
        <v>1.7496574241619562</v>
      </c>
      <c r="F493" s="125">
        <v>0.43369922248590431</v>
      </c>
    </row>
    <row r="494" spans="5:6">
      <c r="E494" s="124">
        <v>0.77818461740406419</v>
      </c>
      <c r="F494" s="125">
        <v>6.5467221893422689E-2</v>
      </c>
    </row>
    <row r="495" spans="5:6">
      <c r="E495" s="124">
        <v>-0.99913128278728125</v>
      </c>
      <c r="F495" s="125">
        <v>0.23677585215609626</v>
      </c>
    </row>
    <row r="496" spans="5:6">
      <c r="E496" s="124">
        <v>1.0455537126876344</v>
      </c>
      <c r="F496" s="125">
        <v>0.28056586343024936</v>
      </c>
    </row>
    <row r="497" spans="5:6">
      <c r="E497" s="124">
        <v>0.3274025177911099</v>
      </c>
      <c r="F497" s="125">
        <v>0.89499354249763408</v>
      </c>
    </row>
    <row r="498" spans="5:6">
      <c r="E498" s="124">
        <v>0.11918650195214993</v>
      </c>
      <c r="F498" s="125">
        <v>-0.37542215822853109</v>
      </c>
    </row>
    <row r="499" spans="5:6">
      <c r="E499" s="124">
        <v>0.25668394526922472</v>
      </c>
      <c r="F499" s="125">
        <v>0.77770587073569142</v>
      </c>
    </row>
    <row r="500" spans="5:6">
      <c r="E500" s="124">
        <v>0.59510787412768584</v>
      </c>
      <c r="F500" s="125">
        <v>0.47876973610142992</v>
      </c>
    </row>
    <row r="501" spans="5:6">
      <c r="E501" s="124">
        <v>1.0819883166849913</v>
      </c>
      <c r="F501" s="125">
        <v>2.6990173011220975E-2</v>
      </c>
    </row>
    <row r="502" spans="5:6">
      <c r="E502" s="124">
        <v>-0.16831494726574397</v>
      </c>
      <c r="F502" s="125">
        <v>0.90928356158596957</v>
      </c>
    </row>
    <row r="503" spans="5:6">
      <c r="E503" s="124">
        <v>0.98648201265970981</v>
      </c>
      <c r="F503" s="125">
        <v>0.16150321626483649</v>
      </c>
    </row>
    <row r="504" spans="5:6">
      <c r="E504" s="124">
        <v>0.91740090270899788</v>
      </c>
      <c r="F504" s="125">
        <v>-0.43756813476815298</v>
      </c>
    </row>
    <row r="505" spans="5:6">
      <c r="E505" s="124">
        <v>0.27009351894774897</v>
      </c>
      <c r="F505" s="125">
        <v>2.5936276630742883E-2</v>
      </c>
    </row>
    <row r="506" spans="5:6">
      <c r="E506" s="124">
        <v>0.93199148447996449</v>
      </c>
      <c r="F506" s="125">
        <v>0.95967859517904686</v>
      </c>
    </row>
    <row r="507" spans="5:6">
      <c r="E507" s="124">
        <v>1.0714782457169836</v>
      </c>
      <c r="F507" s="125">
        <v>1.0893527360686601</v>
      </c>
    </row>
    <row r="508" spans="5:6">
      <c r="E508" s="124">
        <v>-2.1310755486879769</v>
      </c>
      <c r="F508" s="125">
        <v>-0.44328916366344673</v>
      </c>
    </row>
    <row r="509" spans="5:6">
      <c r="E509" s="124">
        <v>6.6283066373473393E-2</v>
      </c>
      <c r="F509" s="125">
        <v>-0.96727655927269585</v>
      </c>
    </row>
    <row r="510" spans="5:6">
      <c r="E510" s="124">
        <v>0.62203390463647978</v>
      </c>
      <c r="F510" s="125">
        <v>0.8634521682950288</v>
      </c>
    </row>
    <row r="511" spans="5:6">
      <c r="E511" s="124">
        <v>-1.70007132492181</v>
      </c>
      <c r="F511" s="125">
        <v>-0.63864207734109901</v>
      </c>
    </row>
    <row r="512" spans="5:6">
      <c r="E512" s="124">
        <v>0.57467081534203923</v>
      </c>
      <c r="F512" s="125">
        <v>-0.56722802724315147</v>
      </c>
    </row>
    <row r="513" spans="5:6">
      <c r="E513" s="124">
        <v>-0.93994277312601715</v>
      </c>
      <c r="F513" s="125">
        <v>-0.58442155470256474</v>
      </c>
    </row>
    <row r="514" spans="5:6">
      <c r="E514" s="124">
        <v>0.58063681632367325</v>
      </c>
      <c r="F514" s="125">
        <v>0.43404811931694409</v>
      </c>
    </row>
    <row r="515" spans="5:6">
      <c r="E515" s="124">
        <v>0.52711449070637273</v>
      </c>
      <c r="F515" s="125">
        <v>-1.1992493390406191</v>
      </c>
    </row>
    <row r="516" spans="5:6">
      <c r="E516" s="124">
        <v>0.79287008804846304</v>
      </c>
      <c r="F516" s="125">
        <v>0.59735063425632884</v>
      </c>
    </row>
    <row r="517" spans="5:6">
      <c r="E517" s="124">
        <v>-0.10936686283402219</v>
      </c>
      <c r="F517" s="125">
        <v>-2.9338699073440995</v>
      </c>
    </row>
    <row r="518" spans="5:6">
      <c r="E518" s="124">
        <v>1.5316175819981852</v>
      </c>
      <c r="F518" s="125">
        <v>-0.64742169937710126</v>
      </c>
    </row>
    <row r="519" spans="5:6">
      <c r="E519" s="124">
        <v>-1.6584886700116099</v>
      </c>
      <c r="F519" s="125">
        <v>-1.7831197080886771</v>
      </c>
    </row>
    <row r="520" spans="5:6">
      <c r="E520" s="124">
        <v>0.40745480775865089</v>
      </c>
      <c r="F520" s="125">
        <v>0.17979802934497399</v>
      </c>
    </row>
    <row r="521" spans="5:6">
      <c r="E521" s="124">
        <v>-0.63808811867613024</v>
      </c>
      <c r="F521" s="125">
        <v>0.53645897073776994</v>
      </c>
    </row>
    <row r="522" spans="5:6">
      <c r="E522" s="124">
        <v>-0.88715442303554304</v>
      </c>
      <c r="F522" s="125">
        <v>0.14171242678279494</v>
      </c>
    </row>
    <row r="523" spans="5:6">
      <c r="E523" s="124">
        <v>0.51487977723489087</v>
      </c>
      <c r="F523" s="125">
        <v>0.87492676475980868</v>
      </c>
    </row>
    <row r="524" spans="5:6">
      <c r="E524" s="124">
        <v>0.49076983019943582</v>
      </c>
      <c r="F524" s="125">
        <v>-1.2394963079768988</v>
      </c>
    </row>
    <row r="525" spans="5:6">
      <c r="E525" s="124">
        <v>0.54304772347935637</v>
      </c>
      <c r="F525" s="125">
        <v>0.10366342426580225</v>
      </c>
    </row>
    <row r="526" spans="5:6">
      <c r="E526" s="124">
        <v>2.3412801116346875</v>
      </c>
      <c r="F526" s="125">
        <v>1.3648323900478658</v>
      </c>
    </row>
    <row r="527" spans="5:6">
      <c r="E527" s="124">
        <v>0.30367671889363423</v>
      </c>
      <c r="F527" s="125">
        <v>1.4320355883483584</v>
      </c>
    </row>
    <row r="528" spans="5:6">
      <c r="E528" s="124">
        <v>1.3681686998666871</v>
      </c>
      <c r="F528" s="125">
        <v>0.91467794474626685</v>
      </c>
    </row>
    <row r="529" spans="5:6">
      <c r="E529" s="124">
        <v>-1.2963494204835231</v>
      </c>
      <c r="F529" s="125">
        <v>-5.1132267751327731E-2</v>
      </c>
    </row>
    <row r="530" spans="5:6">
      <c r="E530" s="124">
        <v>1.1034404350665286</v>
      </c>
      <c r="F530" s="125">
        <v>-0.14309068980596473</v>
      </c>
    </row>
    <row r="531" spans="5:6">
      <c r="E531" s="124">
        <v>-2.2239700215606475</v>
      </c>
      <c r="F531" s="125">
        <v>-1.4290415452623773</v>
      </c>
    </row>
    <row r="532" spans="5:6">
      <c r="E532" s="124">
        <v>-1.6776975235025557</v>
      </c>
      <c r="F532" s="125">
        <v>-2.0953500956102125</v>
      </c>
    </row>
    <row r="533" spans="5:6">
      <c r="E533" s="124">
        <v>0.50571372204330467</v>
      </c>
      <c r="F533" s="125">
        <v>1.1590136526244463</v>
      </c>
    </row>
    <row r="534" spans="5:6">
      <c r="E534" s="124">
        <v>-2.4163268350119718</v>
      </c>
      <c r="F534" s="125">
        <v>-0.8833424859789798</v>
      </c>
    </row>
    <row r="535" spans="5:6">
      <c r="E535" s="124">
        <v>-0.34023578128976328</v>
      </c>
      <c r="F535" s="125">
        <v>-0.72635368973223402</v>
      </c>
    </row>
    <row r="536" spans="5:6">
      <c r="E536" s="124">
        <v>0.67293823244930562</v>
      </c>
      <c r="F536" s="125">
        <v>1.0182986366926594</v>
      </c>
    </row>
    <row r="537" spans="5:6">
      <c r="E537" s="124">
        <v>0.88664231768899004</v>
      </c>
      <c r="F537" s="125">
        <v>2.4129479818193245E-2</v>
      </c>
    </row>
    <row r="538" spans="5:6">
      <c r="E538" s="124">
        <v>0.62355455725873921</v>
      </c>
      <c r="F538" s="125">
        <v>0.47614272234368943</v>
      </c>
    </row>
    <row r="539" spans="5:6">
      <c r="E539" s="124">
        <v>1.4135536972890321</v>
      </c>
      <c r="F539" s="125">
        <v>1.9285791553803044</v>
      </c>
    </row>
    <row r="540" spans="5:6">
      <c r="E540" s="124">
        <v>0.54862960326667165</v>
      </c>
      <c r="F540" s="125">
        <v>-0.3352056666112419</v>
      </c>
    </row>
    <row r="541" spans="5:6">
      <c r="E541" s="124">
        <v>-1.808887111672864</v>
      </c>
      <c r="F541" s="125">
        <v>-0.9406231768743909</v>
      </c>
    </row>
    <row r="542" spans="5:6">
      <c r="E542" s="124">
        <v>-1.0065206421700699</v>
      </c>
      <c r="F542" s="125">
        <v>-1.2946597670809714</v>
      </c>
    </row>
    <row r="543" spans="5:6">
      <c r="E543" s="124">
        <v>-0.87970661174669629</v>
      </c>
      <c r="F543" s="125">
        <v>-0.576896682986626</v>
      </c>
    </row>
    <row r="544" spans="5:6">
      <c r="E544" s="124">
        <v>-1.1822859549942542</v>
      </c>
      <c r="F544" s="125">
        <v>-1.5169751002994043</v>
      </c>
    </row>
    <row r="545" spans="5:6">
      <c r="E545" s="124">
        <v>1.1138883659148964</v>
      </c>
      <c r="F545" s="125">
        <v>0.16845814595583203</v>
      </c>
    </row>
    <row r="546" spans="5:6">
      <c r="E546" s="124">
        <v>-0.99280715269201358</v>
      </c>
      <c r="F546" s="125">
        <v>-0.49516683458581473</v>
      </c>
    </row>
    <row r="547" spans="5:6">
      <c r="E547" s="124">
        <v>1.3052210506286146</v>
      </c>
      <c r="F547" s="125">
        <v>1.582931540877627</v>
      </c>
    </row>
    <row r="548" spans="5:6">
      <c r="E548" s="124">
        <v>0.92752437575258639</v>
      </c>
      <c r="F548" s="125">
        <v>-0.57944147149705061</v>
      </c>
    </row>
    <row r="549" spans="5:6">
      <c r="E549" s="124">
        <v>-0.19570435595384825</v>
      </c>
      <c r="F549" s="125">
        <v>5.6230863377170481E-3</v>
      </c>
    </row>
    <row r="550" spans="5:6">
      <c r="E550" s="124">
        <v>-0.24373509469983798</v>
      </c>
      <c r="F550" s="125">
        <v>-1.4494203760893749</v>
      </c>
    </row>
    <row r="551" spans="5:6">
      <c r="E551" s="124">
        <v>0.68054781050101509</v>
      </c>
      <c r="F551" s="125">
        <v>0.51002723575804199</v>
      </c>
    </row>
    <row r="552" spans="5:6">
      <c r="E552" s="124">
        <v>-0.91868296382385839</v>
      </c>
      <c r="F552" s="125">
        <v>-1.469908050985679</v>
      </c>
    </row>
    <row r="553" spans="5:6">
      <c r="E553" s="124">
        <v>-0.83992039283879549</v>
      </c>
      <c r="F553" s="125">
        <v>-0.50138876272684707</v>
      </c>
    </row>
    <row r="554" spans="5:6">
      <c r="E554" s="124">
        <v>0.3357127897145285</v>
      </c>
      <c r="F554" s="125">
        <v>-1.0017650264760796</v>
      </c>
    </row>
    <row r="555" spans="5:6">
      <c r="E555" s="124">
        <v>-0.99330728572901317</v>
      </c>
      <c r="F555" s="125">
        <v>0.89973405118510152</v>
      </c>
    </row>
    <row r="556" spans="5:6">
      <c r="E556" s="124">
        <v>-1.772906853495859</v>
      </c>
      <c r="F556" s="125">
        <v>-0.52697996150978721</v>
      </c>
    </row>
    <row r="557" spans="5:6">
      <c r="E557" s="124">
        <v>-0.57511258395991804</v>
      </c>
      <c r="F557" s="125">
        <v>0.14125370872759441</v>
      </c>
    </row>
    <row r="558" spans="5:6">
      <c r="E558" s="124">
        <v>-1.3159038568023889</v>
      </c>
      <c r="F558" s="125">
        <v>-0.85842581540082374</v>
      </c>
    </row>
    <row r="559" spans="5:6">
      <c r="E559" s="124">
        <v>-1.4281566293291261</v>
      </c>
      <c r="F559" s="125">
        <v>0.27276304150472142</v>
      </c>
    </row>
    <row r="560" spans="5:6">
      <c r="E560" s="124">
        <v>-1.2176005797675551</v>
      </c>
      <c r="F560" s="125">
        <v>-0.28225654275411521</v>
      </c>
    </row>
    <row r="561" spans="5:6">
      <c r="E561" s="124">
        <v>0.21209080988291254</v>
      </c>
      <c r="F561" s="125">
        <v>-0.29325702779834589</v>
      </c>
    </row>
    <row r="562" spans="5:6">
      <c r="E562" s="124">
        <v>0.49429998357602967</v>
      </c>
      <c r="F562" s="125">
        <v>-6.0836995058167254E-2</v>
      </c>
    </row>
    <row r="563" spans="5:6">
      <c r="E563" s="124">
        <v>-0.53283581276175473</v>
      </c>
      <c r="F563" s="125">
        <v>-1.1621399725945369</v>
      </c>
    </row>
    <row r="564" spans="5:6">
      <c r="E564" s="124">
        <v>0.29830790520411876</v>
      </c>
      <c r="F564" s="125">
        <v>0.63803783968138061</v>
      </c>
    </row>
    <row r="565" spans="5:6">
      <c r="E565" s="124">
        <v>-0.40534943554368286</v>
      </c>
      <c r="F565" s="125">
        <v>-1.8090050198141161</v>
      </c>
    </row>
    <row r="566" spans="5:6">
      <c r="E566" s="124">
        <v>0.18606429310036496</v>
      </c>
      <c r="F566" s="125">
        <v>8.650845498931492E-2</v>
      </c>
    </row>
    <row r="567" spans="5:6">
      <c r="E567" s="124">
        <v>0.70885383608893748</v>
      </c>
      <c r="F567" s="125">
        <v>6.5880209854856597E-2</v>
      </c>
    </row>
    <row r="568" spans="5:6">
      <c r="E568" s="124">
        <v>0.93890142260704867</v>
      </c>
      <c r="F568" s="125">
        <v>1.1712479198333452</v>
      </c>
    </row>
    <row r="569" spans="5:6">
      <c r="E569" s="124">
        <v>-0.16955580767934805</v>
      </c>
      <c r="F569" s="125">
        <v>-1.1459574023131796</v>
      </c>
    </row>
    <row r="570" spans="5:6">
      <c r="E570" s="124">
        <v>0.65814597689454402</v>
      </c>
      <c r="F570" s="125">
        <v>1.830065591382229</v>
      </c>
    </row>
    <row r="571" spans="5:6">
      <c r="E571" s="124">
        <v>-2.3745622684704184</v>
      </c>
      <c r="F571" s="125">
        <v>-0.65552084855278669</v>
      </c>
    </row>
    <row r="572" spans="5:6">
      <c r="E572" s="124">
        <v>-0.74992079320692184</v>
      </c>
      <c r="F572" s="125">
        <v>-1.0191057789724607</v>
      </c>
    </row>
    <row r="573" spans="5:6">
      <c r="E573" s="124">
        <v>0.45059404378993784</v>
      </c>
      <c r="F573" s="125">
        <v>1.0030534968388514</v>
      </c>
    </row>
    <row r="574" spans="5:6">
      <c r="E574" s="124">
        <v>-1.3538716909505515</v>
      </c>
      <c r="F574" s="125">
        <v>-1.3315785799127817</v>
      </c>
    </row>
    <row r="575" spans="5:6">
      <c r="E575" s="124">
        <v>-0.51512717048741752</v>
      </c>
      <c r="F575" s="125">
        <v>-0.74234443625711355</v>
      </c>
    </row>
    <row r="576" spans="5:6">
      <c r="E576" s="124">
        <v>2.346141208527512E-3</v>
      </c>
      <c r="F576" s="125">
        <v>8.1561781541329231E-2</v>
      </c>
    </row>
    <row r="577" spans="5:6">
      <c r="E577" s="124">
        <v>-0.32056864642645633</v>
      </c>
      <c r="F577" s="125">
        <v>-0.31745782275268969</v>
      </c>
    </row>
    <row r="578" spans="5:6">
      <c r="E578" s="124">
        <v>-0.48541273842812505</v>
      </c>
      <c r="F578" s="125">
        <v>-0.63999327893318592</v>
      </c>
    </row>
    <row r="579" spans="5:6">
      <c r="E579" s="124">
        <v>-0.27467842164818418</v>
      </c>
      <c r="F579" s="125">
        <v>-0.13480024913036695</v>
      </c>
    </row>
    <row r="580" spans="5:6">
      <c r="E580" s="124">
        <v>-0.61895365365792698</v>
      </c>
      <c r="F580" s="125">
        <v>0.31869369944853032</v>
      </c>
    </row>
    <row r="581" spans="5:6">
      <c r="E581" s="124">
        <v>-0.42099858688897612</v>
      </c>
      <c r="F581" s="125">
        <v>0.6553113714533132</v>
      </c>
    </row>
    <row r="582" spans="5:6">
      <c r="E582" s="124">
        <v>2.3669604334977962E-2</v>
      </c>
      <c r="F582" s="125">
        <v>0.79903556924693653</v>
      </c>
    </row>
    <row r="583" spans="5:6">
      <c r="E583" s="124">
        <v>-0.65413172199045899</v>
      </c>
      <c r="F583" s="125">
        <v>-0.26844555748145604</v>
      </c>
    </row>
    <row r="584" spans="5:6">
      <c r="E584" s="124">
        <v>0.52909047628311356</v>
      </c>
      <c r="F584" s="125">
        <v>0.18929726149970488</v>
      </c>
    </row>
    <row r="585" spans="5:6">
      <c r="E585" s="124">
        <v>-2.1349582977901185</v>
      </c>
      <c r="F585" s="125">
        <v>-1.2035856666735738</v>
      </c>
    </row>
    <row r="586" spans="5:6">
      <c r="E586" s="124">
        <v>1.3236115499402115</v>
      </c>
      <c r="F586" s="125">
        <v>-0.78482954958799367</v>
      </c>
    </row>
    <row r="587" spans="5:6">
      <c r="E587" s="124">
        <v>0.37698503060424793</v>
      </c>
      <c r="F587" s="125">
        <v>-6.6473858466971458E-2</v>
      </c>
    </row>
    <row r="588" spans="5:6">
      <c r="E588" s="124">
        <v>-0.1160836639570236</v>
      </c>
      <c r="F588" s="125">
        <v>0.95843082244680311</v>
      </c>
    </row>
    <row r="589" spans="5:6">
      <c r="E589" s="124">
        <v>0.23394400249552488</v>
      </c>
      <c r="F589" s="125">
        <v>0.24867749773033535</v>
      </c>
    </row>
    <row r="590" spans="5:6">
      <c r="E590" s="124">
        <v>8.3337931146245742E-2</v>
      </c>
      <c r="F590" s="125">
        <v>1.1018232839702713</v>
      </c>
    </row>
    <row r="591" spans="5:6">
      <c r="E591" s="124">
        <v>4.7557962215022995E-2</v>
      </c>
      <c r="F591" s="125">
        <v>-3.3608504714595692E-2</v>
      </c>
    </row>
    <row r="592" spans="5:6">
      <c r="E592" s="124">
        <v>0.87353851519282666</v>
      </c>
      <c r="F592" s="125">
        <v>1.8303968966992954</v>
      </c>
    </row>
    <row r="593" spans="5:6">
      <c r="E593" s="124">
        <v>-0.25648642773867775</v>
      </c>
      <c r="F593" s="125">
        <v>0.96420751701567042</v>
      </c>
    </row>
    <row r="594" spans="5:6">
      <c r="E594" s="124">
        <v>-0.28133909774973381</v>
      </c>
      <c r="F594" s="125">
        <v>0.62251004116959507</v>
      </c>
    </row>
    <row r="595" spans="5:6">
      <c r="E595" s="124">
        <v>2.7855582760265261</v>
      </c>
      <c r="F595" s="125">
        <v>0.48553980525895302</v>
      </c>
    </row>
    <row r="596" spans="5:6">
      <c r="E596" s="124">
        <v>0.65256548468871522</v>
      </c>
      <c r="F596" s="125">
        <v>1.4323826449984174</v>
      </c>
    </row>
    <row r="597" spans="5:6">
      <c r="E597" s="124">
        <v>1.1335059537729328</v>
      </c>
      <c r="F597" s="125">
        <v>-5.17379581212426E-2</v>
      </c>
    </row>
    <row r="598" spans="5:6">
      <c r="E598" s="124">
        <v>2.1677318398029177</v>
      </c>
      <c r="F598" s="125">
        <v>2.5094653486863034</v>
      </c>
    </row>
    <row r="599" spans="5:6">
      <c r="E599" s="124">
        <v>-0.20771792167601996</v>
      </c>
      <c r="F599" s="125">
        <v>-0.94109863874275324</v>
      </c>
    </row>
    <row r="600" spans="5:6">
      <c r="E600" s="124">
        <v>-0.80384816747636778</v>
      </c>
      <c r="F600" s="125">
        <v>0.60442393961541119</v>
      </c>
    </row>
    <row r="601" spans="5:6">
      <c r="E601" s="124">
        <v>-0.22709396730040968</v>
      </c>
      <c r="F601" s="125">
        <v>-0.83544040545604326</v>
      </c>
    </row>
    <row r="602" spans="5:6">
      <c r="E602" s="124">
        <v>0.19784024616249873</v>
      </c>
      <c r="F602" s="125">
        <v>1.6165634397724242</v>
      </c>
    </row>
    <row r="603" spans="5:6">
      <c r="E603" s="124">
        <v>0.51642378875029527</v>
      </c>
      <c r="F603" s="125">
        <v>0.2712984044210201</v>
      </c>
    </row>
    <row r="604" spans="5:6">
      <c r="E604" s="124">
        <v>0.5849745822475646</v>
      </c>
      <c r="F604" s="125">
        <v>0.17719673780483766</v>
      </c>
    </row>
    <row r="605" spans="5:6">
      <c r="E605" s="124">
        <v>-8.922179192956228E-3</v>
      </c>
      <c r="F605" s="125">
        <v>1.1875210566162337</v>
      </c>
    </row>
    <row r="606" spans="5:6">
      <c r="E606" s="124">
        <v>-1.1097039477077248</v>
      </c>
      <c r="F606" s="125">
        <v>0.30684351962798162</v>
      </c>
    </row>
    <row r="607" spans="5:6">
      <c r="E607" s="124">
        <v>1.3312568988070563</v>
      </c>
      <c r="F607" s="125">
        <v>0.35245812751375716</v>
      </c>
    </row>
    <row r="608" spans="5:6">
      <c r="E608" s="124">
        <v>0.88903848355515402</v>
      </c>
      <c r="F608" s="125">
        <v>-0.13087930397701636</v>
      </c>
    </row>
    <row r="609" spans="5:6">
      <c r="E609" s="124">
        <v>-1.1633426839551309</v>
      </c>
      <c r="F609" s="125">
        <v>-0.79229156037201121</v>
      </c>
    </row>
    <row r="610" spans="5:6">
      <c r="E610" s="124">
        <v>0.63447842899491647</v>
      </c>
      <c r="F610" s="125">
        <v>0.97318706153948265</v>
      </c>
    </row>
    <row r="611" spans="5:6">
      <c r="E611" s="124">
        <v>-3.0042403936360602E-2</v>
      </c>
      <c r="F611" s="125">
        <v>-0.22470169960502892</v>
      </c>
    </row>
    <row r="612" spans="5:6">
      <c r="E612" s="124">
        <v>0.65696489259749946</v>
      </c>
      <c r="F612" s="125">
        <v>1.5704649624275393</v>
      </c>
    </row>
    <row r="613" spans="5:6">
      <c r="E613" s="124">
        <v>0.35882324083142481</v>
      </c>
      <c r="F613" s="125">
        <v>1.4281691109883916</v>
      </c>
    </row>
    <row r="614" spans="5:6">
      <c r="E614" s="124">
        <v>1.0091136445186413</v>
      </c>
      <c r="F614" s="125">
        <v>0.17792907849528239</v>
      </c>
    </row>
    <row r="615" spans="5:6">
      <c r="E615" s="124">
        <v>0.36634260687185627</v>
      </c>
      <c r="F615" s="125">
        <v>-0.1997541937506746</v>
      </c>
    </row>
    <row r="616" spans="5:6">
      <c r="E616" s="124">
        <v>0.67373176346525798</v>
      </c>
      <c r="F616" s="125">
        <v>-9.477482584645669E-2</v>
      </c>
    </row>
    <row r="617" spans="5:6">
      <c r="E617" s="124">
        <v>1.0755921032471445</v>
      </c>
      <c r="F617" s="125">
        <v>1.165533681802299</v>
      </c>
    </row>
    <row r="618" spans="5:6">
      <c r="E618" s="124">
        <v>0.64678355354010419</v>
      </c>
      <c r="F618" s="125">
        <v>0.86306347725540156</v>
      </c>
    </row>
    <row r="619" spans="5:6">
      <c r="E619" s="124">
        <v>0.34226450270848835</v>
      </c>
      <c r="F619" s="125">
        <v>0.91251140988781854</v>
      </c>
    </row>
    <row r="620" spans="5:6">
      <c r="E620" s="124">
        <v>0.36355668137753389</v>
      </c>
      <c r="F620" s="125">
        <v>0.822821069928802</v>
      </c>
    </row>
    <row r="621" spans="5:6">
      <c r="E621" s="124">
        <v>0.85950675675927302</v>
      </c>
      <c r="F621" s="125">
        <v>-0.87184119189514719</v>
      </c>
    </row>
    <row r="622" spans="5:6">
      <c r="E622" s="124">
        <v>0.35772110983640232</v>
      </c>
      <c r="F622" s="125">
        <v>0.107451283095616</v>
      </c>
    </row>
    <row r="623" spans="5:6">
      <c r="E623" s="124">
        <v>-1.5749205377702338</v>
      </c>
      <c r="F623" s="125">
        <v>0.75311667738642396</v>
      </c>
    </row>
    <row r="624" spans="5:6">
      <c r="E624" s="124">
        <v>0.94571236399953085</v>
      </c>
      <c r="F624" s="125">
        <v>0.72685982769756796</v>
      </c>
    </row>
    <row r="625" spans="5:6">
      <c r="E625" s="124">
        <v>-0.75414777152852686</v>
      </c>
      <c r="F625" s="125">
        <v>0.59215665224779457</v>
      </c>
    </row>
    <row r="626" spans="5:6">
      <c r="E626" s="124">
        <v>0.97021960468023305</v>
      </c>
      <c r="F626" s="125">
        <v>0.87644480029004312</v>
      </c>
    </row>
    <row r="627" spans="5:6">
      <c r="E627" s="124">
        <v>0.49677948553435886</v>
      </c>
      <c r="F627" s="125">
        <v>0.51193638726422341</v>
      </c>
    </row>
    <row r="628" spans="5:6">
      <c r="E628" s="124">
        <v>-0.76716749546905572</v>
      </c>
      <c r="F628" s="125">
        <v>-2.4371213838828369</v>
      </c>
    </row>
    <row r="629" spans="5:6">
      <c r="E629" s="124">
        <v>0.86806008351821595</v>
      </c>
      <c r="F629" s="125">
        <v>0.90425099723330038</v>
      </c>
    </row>
    <row r="630" spans="5:6">
      <c r="E630" s="124">
        <v>0.41840801488730012</v>
      </c>
      <c r="F630" s="125">
        <v>-8.0162327561206087E-2</v>
      </c>
    </row>
    <row r="631" spans="5:6">
      <c r="E631" s="124">
        <v>5.7183003031015575E-2</v>
      </c>
      <c r="F631" s="125">
        <v>-0.45816494183104284</v>
      </c>
    </row>
    <row r="632" spans="5:6">
      <c r="E632" s="124">
        <v>-0.91834198369629816</v>
      </c>
      <c r="F632" s="125">
        <v>-1.026688397064647</v>
      </c>
    </row>
    <row r="633" spans="5:6">
      <c r="E633" s="124">
        <v>0.39661453094944737</v>
      </c>
      <c r="F633" s="125">
        <v>-1.4061469419275099</v>
      </c>
    </row>
    <row r="634" spans="5:6">
      <c r="E634" s="124">
        <v>0.92127644803521147</v>
      </c>
      <c r="F634" s="125">
        <v>1.3331643699914177</v>
      </c>
    </row>
    <row r="635" spans="5:6">
      <c r="E635" s="124">
        <v>1.3193650152388889</v>
      </c>
      <c r="F635" s="125">
        <v>0.27686982872269789</v>
      </c>
    </row>
    <row r="636" spans="5:6">
      <c r="E636" s="124">
        <v>-1.8545487079217677</v>
      </c>
      <c r="F636" s="125">
        <v>-1.5941190364041433</v>
      </c>
    </row>
    <row r="637" spans="5:6">
      <c r="E637" s="124">
        <v>-0.11261678514945145</v>
      </c>
      <c r="F637" s="125">
        <v>-0.32108962462141466</v>
      </c>
    </row>
    <row r="638" spans="5:6">
      <c r="E638" s="124">
        <v>-1.821751521077553</v>
      </c>
      <c r="F638" s="125">
        <v>0.89687640659927204</v>
      </c>
    </row>
    <row r="639" spans="5:6">
      <c r="E639" s="124">
        <v>-0.67974404914497155</v>
      </c>
      <c r="F639" s="125">
        <v>1.1006637552944893</v>
      </c>
    </row>
    <row r="640" spans="5:6">
      <c r="E640" s="124">
        <v>-2.0656730486305879</v>
      </c>
      <c r="F640" s="125">
        <v>1.2661813656590795</v>
      </c>
    </row>
    <row r="641" spans="5:6">
      <c r="E641" s="124">
        <v>0.20033802798598627</v>
      </c>
      <c r="F641" s="125">
        <v>1.1271334417022656</v>
      </c>
    </row>
    <row r="642" spans="5:6">
      <c r="E642" s="124">
        <v>0.3734156545682677</v>
      </c>
      <c r="F642" s="125">
        <v>0.41352805665766812</v>
      </c>
    </row>
    <row r="643" spans="5:6">
      <c r="E643" s="124">
        <v>0.23135284241091444</v>
      </c>
      <c r="F643" s="125">
        <v>1.7650983943787064</v>
      </c>
    </row>
    <row r="644" spans="5:6">
      <c r="E644" s="124">
        <v>7.9432059529035398E-2</v>
      </c>
      <c r="F644" s="125">
        <v>-0.73284186315632482</v>
      </c>
    </row>
    <row r="645" spans="5:6">
      <c r="E645" s="124">
        <v>-0.70498881488455245</v>
      </c>
      <c r="F645" s="125">
        <v>0.34030889500404249</v>
      </c>
    </row>
    <row r="646" spans="5:6">
      <c r="E646" s="124">
        <v>-1.9179098099513487</v>
      </c>
      <c r="F646" s="125">
        <v>-0.8869434108019324</v>
      </c>
    </row>
    <row r="647" spans="5:6">
      <c r="E647" s="124">
        <v>0.13119073115176408</v>
      </c>
      <c r="F647" s="125">
        <v>7.2102835418863767E-2</v>
      </c>
    </row>
    <row r="648" spans="5:6">
      <c r="E648" s="124">
        <v>-1.9358567139682981</v>
      </c>
      <c r="F648" s="125">
        <v>1.0402191886688068</v>
      </c>
    </row>
    <row r="649" spans="5:6">
      <c r="E649" s="124">
        <v>-0.23633259796979214</v>
      </c>
      <c r="F649" s="125">
        <v>0.75988717348832158</v>
      </c>
    </row>
    <row r="650" spans="5:6">
      <c r="E650" s="124">
        <v>0.66721366656468262</v>
      </c>
      <c r="F650" s="125">
        <v>1.9730810444561708E-2</v>
      </c>
    </row>
    <row r="651" spans="5:6">
      <c r="E651" s="124">
        <v>0.36726728991126817</v>
      </c>
      <c r="F651" s="125">
        <v>0.62231435496864718</v>
      </c>
    </row>
    <row r="652" spans="5:6">
      <c r="E652" s="124">
        <v>0.67039238190146622</v>
      </c>
      <c r="F652" s="125">
        <v>-0.47538140652588662</v>
      </c>
    </row>
    <row r="653" spans="5:6">
      <c r="E653" s="124">
        <v>0.33637730279307904</v>
      </c>
      <c r="F653" s="125">
        <v>0.87956769978268345</v>
      </c>
    </row>
    <row r="654" spans="5:6">
      <c r="E654" s="124">
        <v>-0.73417441449581999</v>
      </c>
      <c r="F654" s="125">
        <v>0.56531720575405464</v>
      </c>
    </row>
    <row r="655" spans="5:6">
      <c r="E655" s="124">
        <v>-0.499141935326328</v>
      </c>
      <c r="F655" s="125">
        <v>-1.7140881163327487E-2</v>
      </c>
    </row>
    <row r="656" spans="5:6">
      <c r="E656" s="124">
        <v>0.78757740390485687</v>
      </c>
      <c r="F656" s="125">
        <v>1.1591314757662581</v>
      </c>
    </row>
    <row r="657" spans="5:6">
      <c r="E657" s="124">
        <v>-1.6124967139573227</v>
      </c>
      <c r="F657" s="125">
        <v>-1.6454975205302391</v>
      </c>
    </row>
    <row r="658" spans="5:6">
      <c r="E658" s="124">
        <v>1.0120289991290257</v>
      </c>
      <c r="F658" s="125">
        <v>-2.2175065344089488</v>
      </c>
    </row>
    <row r="659" spans="5:6">
      <c r="E659" s="124">
        <v>-0.39126788739116197</v>
      </c>
      <c r="F659" s="125">
        <v>-1.7517223339358565</v>
      </c>
    </row>
    <row r="660" spans="5:6">
      <c r="E660" s="124">
        <v>0.95603674142959982</v>
      </c>
      <c r="F660" s="125">
        <v>0.22610364115217585</v>
      </c>
    </row>
    <row r="661" spans="5:6">
      <c r="E661" s="124">
        <v>-0.45498955255905987</v>
      </c>
      <c r="F661" s="125">
        <v>0.75221278530457647</v>
      </c>
    </row>
    <row r="662" spans="5:6">
      <c r="E662" s="124">
        <v>0.13856466382059041</v>
      </c>
      <c r="F662" s="125">
        <v>0.74252663078900261</v>
      </c>
    </row>
    <row r="663" spans="5:6">
      <c r="E663" s="124">
        <v>-0.81625182522560191</v>
      </c>
      <c r="F663" s="125">
        <v>0.21996431286004803</v>
      </c>
    </row>
    <row r="664" spans="5:6">
      <c r="E664" s="124">
        <v>0.50097083796694597</v>
      </c>
      <c r="F664" s="125">
        <v>0.15877684438022252</v>
      </c>
    </row>
    <row r="665" spans="5:6">
      <c r="E665" s="124">
        <v>0.61667177523241024</v>
      </c>
      <c r="F665" s="125">
        <v>-1.1974522096604709</v>
      </c>
    </row>
    <row r="666" spans="5:6">
      <c r="E666" s="124">
        <v>0.74571344593257649</v>
      </c>
      <c r="F666" s="125">
        <v>0.79970331221306579</v>
      </c>
    </row>
    <row r="667" spans="5:6">
      <c r="E667" s="124">
        <v>-7.0320070415996999E-2</v>
      </c>
      <c r="F667" s="125">
        <v>-0.34534414836041882</v>
      </c>
    </row>
    <row r="668" spans="5:6">
      <c r="E668" s="124">
        <v>0.6394791306955232</v>
      </c>
      <c r="F668" s="125">
        <v>1.2445636681077465</v>
      </c>
    </row>
    <row r="669" spans="5:6">
      <c r="E669" s="124">
        <v>0.32990704452931047</v>
      </c>
      <c r="F669" s="125">
        <v>0.45470837147766607</v>
      </c>
    </row>
    <row r="670" spans="5:6">
      <c r="E670" s="124">
        <v>-0.2350904842640453</v>
      </c>
      <c r="F670" s="125">
        <v>0.15301608670402328</v>
      </c>
    </row>
    <row r="671" spans="5:6">
      <c r="E671" s="124">
        <v>1.2364075964552455</v>
      </c>
      <c r="F671" s="125">
        <v>0.14959259028871569</v>
      </c>
    </row>
    <row r="672" spans="5:6">
      <c r="E672" s="124">
        <v>0.44360049594080414</v>
      </c>
      <c r="F672" s="125">
        <v>0.84555804053855899</v>
      </c>
    </row>
    <row r="673" spans="5:6">
      <c r="E673" s="124">
        <v>0.1199568799870797</v>
      </c>
      <c r="F673" s="125">
        <v>0.10158957799184373</v>
      </c>
    </row>
    <row r="674" spans="5:6">
      <c r="E674" s="124">
        <v>0.51558225295403004</v>
      </c>
      <c r="F674" s="125">
        <v>0.55188827268096396</v>
      </c>
    </row>
    <row r="675" spans="5:6">
      <c r="E675" s="124">
        <v>0.21664179465650021</v>
      </c>
      <c r="F675" s="125">
        <v>0.7999915123049347</v>
      </c>
    </row>
    <row r="676" spans="5:6">
      <c r="E676" s="124">
        <v>0.89671214306086222</v>
      </c>
      <c r="F676" s="125">
        <v>-1.0937368574540913</v>
      </c>
    </row>
    <row r="677" spans="5:6">
      <c r="E677" s="124">
        <v>-0.45097084511433105</v>
      </c>
      <c r="F677" s="125">
        <v>-0.19746876260281199</v>
      </c>
    </row>
    <row r="678" spans="5:6">
      <c r="E678" s="124">
        <v>-0.38713320184250749</v>
      </c>
      <c r="F678" s="125">
        <v>-0.79912696049559861</v>
      </c>
    </row>
    <row r="679" spans="5:6">
      <c r="E679" s="124">
        <v>-1.7524732631198998</v>
      </c>
      <c r="F679" s="125">
        <v>-1.2999065925448989</v>
      </c>
    </row>
    <row r="680" spans="5:6">
      <c r="E680" s="124">
        <v>5.9508977920886649E-2</v>
      </c>
      <c r="F680" s="125">
        <v>0.4894884041731698</v>
      </c>
    </row>
    <row r="681" spans="5:6">
      <c r="E681" s="124">
        <v>-0.79035738971277736</v>
      </c>
      <c r="F681" s="125">
        <v>0.99895253755351376</v>
      </c>
    </row>
    <row r="682" spans="5:6">
      <c r="E682" s="124">
        <v>-0.87129314665263657</v>
      </c>
      <c r="F682" s="125">
        <v>-1.5497848129095315</v>
      </c>
    </row>
    <row r="683" spans="5:6">
      <c r="E683" s="124">
        <v>-0.89091058747774865</v>
      </c>
      <c r="F683" s="125">
        <v>8.7736954960789204E-2</v>
      </c>
    </row>
    <row r="684" spans="5:6">
      <c r="E684" s="124">
        <v>-0.66681594628989771</v>
      </c>
      <c r="F684" s="125">
        <v>0.3839194351078844</v>
      </c>
    </row>
    <row r="685" spans="5:6">
      <c r="E685" s="124">
        <v>0.10624491263153957</v>
      </c>
      <c r="F685" s="125">
        <v>-2.5204315552371654</v>
      </c>
    </row>
    <row r="686" spans="5:6">
      <c r="E686" s="124">
        <v>0.10411860721996559</v>
      </c>
      <c r="F686" s="125">
        <v>-0.75425644155313998</v>
      </c>
    </row>
    <row r="687" spans="5:6">
      <c r="E687" s="124">
        <v>-0.32768291384012022</v>
      </c>
      <c r="F687" s="125">
        <v>7.0215086860729026E-3</v>
      </c>
    </row>
    <row r="688" spans="5:6">
      <c r="E688" s="124">
        <v>-0.52009497805568194</v>
      </c>
      <c r="F688" s="125">
        <v>-2.1595137612390172</v>
      </c>
    </row>
    <row r="689" spans="5:6">
      <c r="E689" s="124">
        <v>0.14302862334198838</v>
      </c>
      <c r="F689" s="125">
        <v>-0.71214000312006143</v>
      </c>
    </row>
    <row r="690" spans="5:6">
      <c r="E690" s="124">
        <v>0.37191885261550306</v>
      </c>
      <c r="F690" s="125">
        <v>0.21481994754934097</v>
      </c>
    </row>
    <row r="691" spans="5:6">
      <c r="E691" s="124">
        <v>-0.18768333209570695</v>
      </c>
      <c r="F691" s="125">
        <v>-1.1555630706649291</v>
      </c>
    </row>
    <row r="692" spans="5:6">
      <c r="E692" s="124">
        <v>-1.655594557462897</v>
      </c>
      <c r="F692" s="125">
        <v>-0.76656376216726785</v>
      </c>
    </row>
    <row r="693" spans="5:6">
      <c r="E693" s="124">
        <v>0.62761761999732901</v>
      </c>
      <c r="F693" s="125">
        <v>-0.73097393890505447</v>
      </c>
    </row>
    <row r="694" spans="5:6">
      <c r="E694" s="124">
        <v>-1.2298426523965771</v>
      </c>
      <c r="F694" s="125">
        <v>-0.65796620560440355</v>
      </c>
    </row>
    <row r="695" spans="5:6">
      <c r="E695" s="124">
        <v>-1.8164118834802758</v>
      </c>
      <c r="F695" s="125">
        <v>-0.6613330995100728</v>
      </c>
    </row>
    <row r="696" spans="5:6">
      <c r="E696" s="124">
        <v>0.69885054404216584</v>
      </c>
      <c r="F696" s="125">
        <v>-0.23598208838295892</v>
      </c>
    </row>
    <row r="697" spans="5:6">
      <c r="E697" s="124">
        <v>-0.31963333093881202</v>
      </c>
      <c r="F697" s="125">
        <v>-0.17750148960744727</v>
      </c>
    </row>
    <row r="698" spans="5:6">
      <c r="E698" s="124">
        <v>-0.14374047793981301</v>
      </c>
      <c r="F698" s="125">
        <v>-1.040724283686663</v>
      </c>
    </row>
    <row r="699" spans="5:6">
      <c r="E699" s="124">
        <v>-1.5615231796655122</v>
      </c>
      <c r="F699" s="125">
        <v>-1.5640959540036601</v>
      </c>
    </row>
    <row r="700" spans="5:6">
      <c r="E700" s="124">
        <v>1.8764620394916647</v>
      </c>
      <c r="F700" s="125">
        <v>0.80492422168931566</v>
      </c>
    </row>
    <row r="701" spans="5:6">
      <c r="E701" s="124">
        <v>0.482305940058461</v>
      </c>
      <c r="F701" s="125">
        <v>0.88194275940594169</v>
      </c>
    </row>
    <row r="702" spans="5:6">
      <c r="E702" s="124">
        <v>-1.1624067715601167</v>
      </c>
      <c r="F702" s="125">
        <v>-1.4273468963304108</v>
      </c>
    </row>
    <row r="703" spans="5:6">
      <c r="E703" s="124">
        <v>0.51182524772479943</v>
      </c>
      <c r="F703" s="125">
        <v>0.13207905463591821</v>
      </c>
    </row>
    <row r="704" spans="5:6">
      <c r="E704" s="124">
        <v>-0.36428225544888965</v>
      </c>
      <c r="F704" s="125">
        <v>-2.3135509873430662</v>
      </c>
    </row>
    <row r="705" spans="5:6">
      <c r="E705" s="124">
        <v>0.93789088354296912</v>
      </c>
      <c r="F705" s="125">
        <v>0.23611730549951548</v>
      </c>
    </row>
    <row r="706" spans="5:6">
      <c r="E706" s="124">
        <v>1.4289849366758101</v>
      </c>
      <c r="F706" s="125">
        <v>1.903258448405734</v>
      </c>
    </row>
    <row r="707" spans="5:6">
      <c r="E707" s="124">
        <v>-0.68880042528221042</v>
      </c>
      <c r="F707" s="125">
        <v>-1.2698580363166738</v>
      </c>
    </row>
    <row r="708" spans="5:6">
      <c r="E708" s="124">
        <v>0.97764472426192472</v>
      </c>
      <c r="F708" s="125">
        <v>0.30277175220695463</v>
      </c>
    </row>
    <row r="709" spans="5:6">
      <c r="E709" s="124">
        <v>0.34896917904497327</v>
      </c>
      <c r="F709" s="125">
        <v>-0.38223106537671631</v>
      </c>
    </row>
    <row r="710" spans="5:6">
      <c r="E710" s="124">
        <v>2.0172329913293359</v>
      </c>
      <c r="F710" s="125">
        <v>2.1537128315014842</v>
      </c>
    </row>
    <row r="711" spans="5:6">
      <c r="E711" s="124">
        <v>-0.92093321686615026</v>
      </c>
      <c r="F711" s="125">
        <v>-0.7396980089736116</v>
      </c>
    </row>
    <row r="712" spans="5:6">
      <c r="E712" s="124">
        <v>-0.85765813806681723</v>
      </c>
      <c r="F712" s="125">
        <v>-0.26789427625867535</v>
      </c>
    </row>
    <row r="713" spans="5:6">
      <c r="E713" s="124">
        <v>-0.409172751824599</v>
      </c>
      <c r="F713" s="125">
        <v>-1.1551360213279163</v>
      </c>
    </row>
    <row r="714" spans="5:6">
      <c r="E714" s="124">
        <v>-0.36017582771749446</v>
      </c>
      <c r="F714" s="125">
        <v>-0.4893143447106354</v>
      </c>
    </row>
    <row r="715" spans="5:6">
      <c r="E715" s="124">
        <v>-0.62360926598782229</v>
      </c>
      <c r="F715" s="125">
        <v>-0.77143373190472753</v>
      </c>
    </row>
    <row r="716" spans="5:6">
      <c r="E716" s="124">
        <v>0.37247588722079356</v>
      </c>
      <c r="F716" s="125">
        <v>0.4396157026926748</v>
      </c>
    </row>
    <row r="717" spans="5:6">
      <c r="E717" s="124">
        <v>-2.1125856404373629</v>
      </c>
      <c r="F717" s="125">
        <v>-1.5761859508585505</v>
      </c>
    </row>
    <row r="718" spans="5:6">
      <c r="E718" s="124">
        <v>-0.59156631753968525</v>
      </c>
      <c r="F718" s="125">
        <v>0.7096963108300095</v>
      </c>
    </row>
    <row r="719" spans="5:6">
      <c r="E719" s="124">
        <v>-0.53894631358487199</v>
      </c>
      <c r="F719" s="125">
        <v>1.1813376603987651</v>
      </c>
    </row>
    <row r="720" spans="5:6">
      <c r="E720" s="124">
        <v>-1.675854024937637</v>
      </c>
      <c r="F720" s="125">
        <v>-1.637228937411656</v>
      </c>
    </row>
    <row r="721" spans="5:6">
      <c r="E721" s="124">
        <v>0.43983770849369375</v>
      </c>
      <c r="F721" s="125">
        <v>-0.35218192894780709</v>
      </c>
    </row>
    <row r="722" spans="5:6">
      <c r="E722" s="124">
        <v>0.20589115095821617</v>
      </c>
      <c r="F722" s="125">
        <v>-0.48960180478224891</v>
      </c>
    </row>
    <row r="723" spans="5:6">
      <c r="E723" s="124">
        <v>-0.5165674054149284</v>
      </c>
      <c r="F723" s="125">
        <v>-0.10275256469030003</v>
      </c>
    </row>
    <row r="724" spans="5:6">
      <c r="E724" s="124">
        <v>-0.88659415807965947</v>
      </c>
      <c r="F724" s="125">
        <v>-0.4994768938677141</v>
      </c>
    </row>
    <row r="725" spans="5:6">
      <c r="E725" s="124">
        <v>-8.2201345688349678E-2</v>
      </c>
      <c r="F725" s="125">
        <v>1.3927362144984132</v>
      </c>
    </row>
    <row r="726" spans="5:6">
      <c r="E726" s="124">
        <v>0.80410462296080021</v>
      </c>
      <c r="F726" s="125">
        <v>-0.25851847549315243</v>
      </c>
    </row>
    <row r="727" spans="5:6">
      <c r="E727" s="124">
        <v>-0.29760529237507038</v>
      </c>
      <c r="F727" s="125">
        <v>0.38915471064444901</v>
      </c>
    </row>
    <row r="728" spans="5:6">
      <c r="E728" s="124">
        <v>-0.30456253197054955</v>
      </c>
      <c r="F728" s="125">
        <v>-0.15958800929359762</v>
      </c>
    </row>
    <row r="729" spans="5:6">
      <c r="E729" s="124">
        <v>-2.4223824488222339</v>
      </c>
      <c r="F729" s="125">
        <v>-1.4483041215113652</v>
      </c>
    </row>
    <row r="730" spans="5:6">
      <c r="E730" s="124">
        <v>-0.44970274160968715</v>
      </c>
      <c r="F730" s="125">
        <v>-0.41787378552392668</v>
      </c>
    </row>
    <row r="731" spans="5:6">
      <c r="E731" s="124">
        <v>-0.65974818584653061</v>
      </c>
      <c r="F731" s="125">
        <v>-1.4168503626872664E-2</v>
      </c>
    </row>
    <row r="732" spans="5:6">
      <c r="E732" s="124">
        <v>0.38884162041133297</v>
      </c>
      <c r="F732" s="125">
        <v>-0.17376773860693528</v>
      </c>
    </row>
    <row r="733" spans="5:6">
      <c r="E733" s="124">
        <v>0.94380921267153084</v>
      </c>
      <c r="F733" s="125">
        <v>0.49763567807569159</v>
      </c>
    </row>
    <row r="734" spans="5:6">
      <c r="E734" s="124">
        <v>0.31806139923398924</v>
      </c>
      <c r="F734" s="125">
        <v>-9.09808333981173E-2</v>
      </c>
    </row>
    <row r="735" spans="5:6">
      <c r="E735" s="124">
        <v>0.46668934218825903</v>
      </c>
      <c r="F735" s="125">
        <v>1.8463265345592478E-2</v>
      </c>
    </row>
    <row r="736" spans="5:6">
      <c r="E736" s="124">
        <v>-0.49138873058696908</v>
      </c>
      <c r="F736" s="125">
        <v>1.9915928210327243</v>
      </c>
    </row>
    <row r="737" spans="5:6">
      <c r="E737" s="124">
        <v>0.4672388376987438</v>
      </c>
      <c r="F737" s="125">
        <v>0.59931136086783432</v>
      </c>
    </row>
    <row r="738" spans="5:6">
      <c r="E738" s="124">
        <v>0.66797771263163352</v>
      </c>
      <c r="F738" s="125">
        <v>0.3280968042844104</v>
      </c>
    </row>
    <row r="739" spans="5:6">
      <c r="E739" s="124">
        <v>-0.85331049520578028</v>
      </c>
      <c r="F739" s="125">
        <v>-0.86702124078749154</v>
      </c>
    </row>
    <row r="740" spans="5:6">
      <c r="E740" s="124">
        <v>-0.24509754674739209</v>
      </c>
      <c r="F740" s="125">
        <v>-1.5939635438719062</v>
      </c>
    </row>
    <row r="741" spans="5:6">
      <c r="E741" s="124">
        <v>1.6006743809195825</v>
      </c>
      <c r="F741" s="125">
        <v>1.0867000724200897</v>
      </c>
    </row>
    <row r="742" spans="5:6">
      <c r="E742" s="124">
        <v>0.72236595540749882</v>
      </c>
      <c r="F742" s="125">
        <v>2.8945384689194991</v>
      </c>
    </row>
    <row r="743" spans="5:6">
      <c r="E743" s="124">
        <v>-1.4658548931423838</v>
      </c>
      <c r="F743" s="125">
        <v>-2.0922221008060129</v>
      </c>
    </row>
    <row r="744" spans="5:6">
      <c r="E744" s="124">
        <v>-1.7037069345371143</v>
      </c>
      <c r="F744" s="125">
        <v>-8.3418938389348218E-2</v>
      </c>
    </row>
    <row r="745" spans="5:6">
      <c r="E745" s="124">
        <v>-0.67114715330603636</v>
      </c>
      <c r="F745" s="125">
        <v>-1.8622002998030702</v>
      </c>
    </row>
    <row r="746" spans="5:6">
      <c r="E746" s="124">
        <v>1.3398182621243213</v>
      </c>
      <c r="F746" s="125">
        <v>0.27388476500841574</v>
      </c>
    </row>
    <row r="747" spans="5:6">
      <c r="E747" s="124">
        <v>1.4783601617840056</v>
      </c>
      <c r="F747" s="125">
        <v>3.8023218504483758E-2</v>
      </c>
    </row>
    <row r="748" spans="5:6">
      <c r="E748" s="124">
        <v>0.3755201863980544</v>
      </c>
      <c r="F748" s="125">
        <v>1.9762701171044228E-2</v>
      </c>
    </row>
    <row r="749" spans="5:6">
      <c r="E749" s="124">
        <v>-0.43689625480821592</v>
      </c>
      <c r="F749" s="125">
        <v>-1.1437531952406264</v>
      </c>
    </row>
    <row r="750" spans="5:6">
      <c r="E750" s="124">
        <v>-0.11901485316321511</v>
      </c>
      <c r="F750" s="125">
        <v>0.49327812169979479</v>
      </c>
    </row>
    <row r="751" spans="5:6">
      <c r="E751" s="124">
        <v>-0.5047413926978348</v>
      </c>
      <c r="F751" s="125">
        <v>-0.13620481961893172</v>
      </c>
    </row>
    <row r="752" spans="5:6">
      <c r="E752" s="124">
        <v>-2.0132325058297211</v>
      </c>
      <c r="F752" s="125">
        <v>-1.3527428623088</v>
      </c>
    </row>
    <row r="753" spans="5:6">
      <c r="E753" s="124">
        <v>-1.9317712641675995</v>
      </c>
      <c r="F753" s="125">
        <v>-2.3829018558136426</v>
      </c>
    </row>
    <row r="754" spans="5:6">
      <c r="E754" s="124">
        <v>-0.81052345347640753</v>
      </c>
      <c r="F754" s="125">
        <v>-0.57163982338454322</v>
      </c>
    </row>
    <row r="755" spans="5:6">
      <c r="E755" s="124">
        <v>-0.6600230342112875</v>
      </c>
      <c r="F755" s="125">
        <v>0.78729918684985045</v>
      </c>
    </row>
    <row r="756" spans="5:6">
      <c r="E756" s="124">
        <v>0.28790735796397721</v>
      </c>
      <c r="F756" s="125">
        <v>-0.18933826138829044</v>
      </c>
    </row>
    <row r="757" spans="5:6">
      <c r="E757" s="124">
        <v>1.2298529729089034</v>
      </c>
      <c r="F757" s="125">
        <v>-1.0616133714433997</v>
      </c>
    </row>
    <row r="758" spans="5:6">
      <c r="E758" s="124">
        <v>1.4614649768219821</v>
      </c>
      <c r="F758" s="125">
        <v>0.64344227706023482</v>
      </c>
    </row>
    <row r="759" spans="5:6">
      <c r="E759" s="124">
        <v>0.11569858570861982</v>
      </c>
      <c r="F759" s="125">
        <v>0.93709511093866615</v>
      </c>
    </row>
    <row r="760" spans="5:6">
      <c r="E760" s="124">
        <v>0.26436061114567871</v>
      </c>
      <c r="F760" s="125">
        <v>0.1990994079847089</v>
      </c>
    </row>
    <row r="761" spans="5:6">
      <c r="E761" s="124">
        <v>-1.0008545614824875</v>
      </c>
      <c r="F761" s="125">
        <v>-1.1201405882626276</v>
      </c>
    </row>
    <row r="762" spans="5:6">
      <c r="E762" s="124">
        <v>0.15462980173400975</v>
      </c>
      <c r="F762" s="125">
        <v>1.4837330237914987</v>
      </c>
    </row>
    <row r="763" spans="5:6">
      <c r="E763" s="124">
        <v>2.2409641360471886E-2</v>
      </c>
      <c r="F763" s="125">
        <v>6.6434042620954221E-3</v>
      </c>
    </row>
    <row r="764" spans="5:6">
      <c r="E764" s="124">
        <v>-0.21643576868054323</v>
      </c>
      <c r="F764" s="125">
        <v>-0.60431564673384264</v>
      </c>
    </row>
    <row r="765" spans="5:6">
      <c r="E765" s="124">
        <v>-0.42011740897379829</v>
      </c>
      <c r="F765" s="125">
        <v>0.21128656676022148</v>
      </c>
    </row>
    <row r="766" spans="5:6">
      <c r="E766" s="124">
        <v>0.97763904608158003</v>
      </c>
      <c r="F766" s="125">
        <v>1.0718748577485711</v>
      </c>
    </row>
    <row r="767" spans="5:6">
      <c r="E767" s="124">
        <v>0.9159252754513284</v>
      </c>
      <c r="F767" s="125">
        <v>-0.55670010398507785</v>
      </c>
    </row>
    <row r="768" spans="5:6">
      <c r="E768" s="124">
        <v>0.2051518584213454</v>
      </c>
      <c r="F768" s="125">
        <v>-0.76309593801460274</v>
      </c>
    </row>
    <row r="769" spans="5:6">
      <c r="E769" s="124">
        <v>-1.1226236558469003</v>
      </c>
      <c r="F769" s="125">
        <v>-0.48394730865702557</v>
      </c>
    </row>
    <row r="770" spans="5:6">
      <c r="E770" s="124">
        <v>0.65765065852585713</v>
      </c>
      <c r="F770" s="125">
        <v>-0.64071648275900239</v>
      </c>
    </row>
    <row r="771" spans="5:6">
      <c r="E771" s="124">
        <v>-0.80181136332307623</v>
      </c>
      <c r="F771" s="125">
        <v>-0.55602150856617705</v>
      </c>
    </row>
    <row r="772" spans="5:6">
      <c r="E772" s="124">
        <v>-0.68789645748621342</v>
      </c>
      <c r="F772" s="125">
        <v>-0.50893161852177093</v>
      </c>
    </row>
    <row r="773" spans="5:6">
      <c r="E773" s="124">
        <v>0.14634603009196692</v>
      </c>
      <c r="F773" s="125">
        <v>0.66931077579195153</v>
      </c>
    </row>
    <row r="774" spans="5:6">
      <c r="E774" s="124">
        <v>-1.2034085434772599</v>
      </c>
      <c r="F774" s="125">
        <v>0.23466332429931214</v>
      </c>
    </row>
    <row r="775" spans="5:6">
      <c r="E775" s="124">
        <v>-0.4520991190568675</v>
      </c>
      <c r="F775" s="125">
        <v>-1.3218114630701439</v>
      </c>
    </row>
    <row r="776" spans="5:6">
      <c r="E776" s="124">
        <v>2.3180931427348619</v>
      </c>
      <c r="F776" s="125">
        <v>0.74901201004858042</v>
      </c>
    </row>
    <row r="777" spans="5:6">
      <c r="E777" s="124">
        <v>0.11369894217055998</v>
      </c>
      <c r="F777" s="125">
        <v>-0.73060372695305764</v>
      </c>
    </row>
    <row r="778" spans="5:6">
      <c r="E778" s="124">
        <v>-1.8441017864872626</v>
      </c>
      <c r="F778" s="125">
        <v>4.1538217627457241E-2</v>
      </c>
    </row>
    <row r="779" spans="5:6">
      <c r="E779" s="124">
        <v>-1.6788411345939689</v>
      </c>
      <c r="F779" s="125">
        <v>-3.0719654168205088</v>
      </c>
    </row>
    <row r="780" spans="5:6">
      <c r="E780" s="124">
        <v>-0.7671942205618999</v>
      </c>
      <c r="F780" s="125">
        <v>-1.1097642244869752</v>
      </c>
    </row>
    <row r="781" spans="5:6">
      <c r="E781" s="124">
        <v>-0.60602629971539823</v>
      </c>
      <c r="F781" s="125">
        <v>-0.51669995913728872</v>
      </c>
    </row>
    <row r="782" spans="5:6">
      <c r="E782" s="124">
        <v>-0.21397666283234901</v>
      </c>
      <c r="F782" s="125">
        <v>-0.47917510628191784</v>
      </c>
    </row>
    <row r="783" spans="5:6">
      <c r="E783" s="124">
        <v>-0.97963536930867501</v>
      </c>
      <c r="F783" s="125">
        <v>0.16616047194844985</v>
      </c>
    </row>
    <row r="784" spans="5:6">
      <c r="E784" s="124">
        <v>-0.70865572833305812</v>
      </c>
      <c r="F784" s="125">
        <v>-0.16806210096015486</v>
      </c>
    </row>
    <row r="785" spans="5:6">
      <c r="E785" s="124">
        <v>0.20259830912181201</v>
      </c>
      <c r="F785" s="125">
        <v>7.3603763240734421E-2</v>
      </c>
    </row>
    <row r="786" spans="5:6">
      <c r="E786" s="124">
        <v>-0.62652272270366116</v>
      </c>
      <c r="F786" s="125">
        <v>0.254654803380295</v>
      </c>
    </row>
    <row r="787" spans="5:6">
      <c r="E787" s="124">
        <v>-1.6898547532849479</v>
      </c>
      <c r="F787" s="125">
        <v>-0.52357984051469053</v>
      </c>
    </row>
    <row r="788" spans="5:6">
      <c r="E788" s="124">
        <v>0.14023047586251819</v>
      </c>
      <c r="F788" s="125">
        <v>0.45699365001366121</v>
      </c>
    </row>
    <row r="789" spans="5:6">
      <c r="E789" s="124">
        <v>-0.8997642281415259</v>
      </c>
      <c r="F789" s="125">
        <v>0.46042784501222778</v>
      </c>
    </row>
    <row r="790" spans="5:6">
      <c r="E790" s="124">
        <v>0.27919233009738892</v>
      </c>
      <c r="F790" s="125">
        <v>-0.43224628928384179</v>
      </c>
    </row>
    <row r="791" spans="5:6">
      <c r="E791" s="124">
        <v>1.0676369177613463</v>
      </c>
      <c r="F791" s="125">
        <v>1.5396335650385997</v>
      </c>
    </row>
    <row r="792" spans="5:6">
      <c r="E792" s="124">
        <v>0.27086919367012419</v>
      </c>
      <c r="F792" s="125">
        <v>0.65942749575988779</v>
      </c>
    </row>
    <row r="793" spans="5:6">
      <c r="E793" s="124">
        <v>0.69793028345545249</v>
      </c>
      <c r="F793" s="125">
        <v>1.5446077054786964</v>
      </c>
    </row>
    <row r="794" spans="5:6">
      <c r="E794" s="124">
        <v>0.71099775173200241</v>
      </c>
      <c r="F794" s="125">
        <v>-0.11275098605175654</v>
      </c>
    </row>
    <row r="795" spans="5:6">
      <c r="E795" s="124">
        <v>-0.75773164258084824</v>
      </c>
      <c r="F795" s="125">
        <v>-0.69224759482030163</v>
      </c>
    </row>
    <row r="796" spans="5:6">
      <c r="E796" s="124">
        <v>-0.78823136240146652</v>
      </c>
      <c r="F796" s="125">
        <v>-1.0432770559144826</v>
      </c>
    </row>
    <row r="797" spans="5:6">
      <c r="E797" s="124">
        <v>-3.7045286346371602E-2</v>
      </c>
      <c r="F797" s="125">
        <v>-1.2056564611936202</v>
      </c>
    </row>
    <row r="798" spans="5:6">
      <c r="E798" s="124">
        <v>1.2457502037205124</v>
      </c>
      <c r="F798" s="125">
        <v>-0.49108931088415197</v>
      </c>
    </row>
    <row r="799" spans="5:6">
      <c r="E799" s="124">
        <v>-2.3360905223370052</v>
      </c>
      <c r="F799" s="125">
        <v>-0.37138504747926948</v>
      </c>
    </row>
    <row r="800" spans="5:6">
      <c r="E800" s="124">
        <v>0.41348061188453022</v>
      </c>
      <c r="F800" s="125">
        <v>-0.11812750942758704</v>
      </c>
    </row>
    <row r="801" spans="5:6">
      <c r="E801" s="124">
        <v>1.908004578692273</v>
      </c>
      <c r="F801" s="125">
        <v>1.4680252374659859</v>
      </c>
    </row>
    <row r="802" spans="5:6">
      <c r="E802" s="124">
        <v>-1.6928607957280342</v>
      </c>
      <c r="F802" s="125">
        <v>0.13226418908584614</v>
      </c>
    </row>
    <row r="803" spans="5:6">
      <c r="E803" s="124">
        <v>-1.8109609995966562</v>
      </c>
      <c r="F803" s="125">
        <v>-1.4319813709607279</v>
      </c>
    </row>
    <row r="804" spans="5:6">
      <c r="E804" s="124">
        <v>0.24528946720278347</v>
      </c>
      <c r="F804" s="125">
        <v>0.8330681668032095</v>
      </c>
    </row>
    <row r="805" spans="5:6">
      <c r="E805" s="124">
        <v>-3.1498759219615702E-2</v>
      </c>
      <c r="F805" s="125">
        <v>1.7912227615350296</v>
      </c>
    </row>
    <row r="806" spans="5:6">
      <c r="E806" s="124">
        <v>-0.31236676926780277</v>
      </c>
      <c r="F806" s="125">
        <v>-0.93710389041140363</v>
      </c>
    </row>
    <row r="807" spans="5:6">
      <c r="E807" s="124">
        <v>1.2164172750613722</v>
      </c>
      <c r="F807" s="125">
        <v>0.53117900287158915</v>
      </c>
    </row>
    <row r="808" spans="5:6">
      <c r="E808" s="124">
        <v>-0.40074942359894716</v>
      </c>
      <c r="F808" s="125">
        <v>-0.7428850376775431</v>
      </c>
    </row>
    <row r="809" spans="5:6">
      <c r="E809" s="124">
        <v>0.63871439481125303</v>
      </c>
      <c r="F809" s="125">
        <v>1.3072365138638087</v>
      </c>
    </row>
    <row r="810" spans="5:6">
      <c r="E810" s="124">
        <v>-0.84605534933011295</v>
      </c>
      <c r="F810" s="125">
        <v>3.4082927530286633E-2</v>
      </c>
    </row>
    <row r="811" spans="5:6">
      <c r="E811" s="124">
        <v>4.8322527933291878E-2</v>
      </c>
      <c r="F811" s="125">
        <v>-0.32429143185959258</v>
      </c>
    </row>
    <row r="812" spans="5:6">
      <c r="E812" s="124">
        <v>0.56928666849125287</v>
      </c>
      <c r="F812" s="125">
        <v>2.0937581379835319</v>
      </c>
    </row>
    <row r="813" spans="5:6">
      <c r="E813" s="124">
        <v>8.6905362569460867E-2</v>
      </c>
      <c r="F813" s="125">
        <v>0.20843974025467293</v>
      </c>
    </row>
    <row r="814" spans="5:6">
      <c r="E814" s="124">
        <v>2.0008803693171808</v>
      </c>
      <c r="F814" s="125">
        <v>1.2025076069881855</v>
      </c>
    </row>
    <row r="815" spans="5:6">
      <c r="E815" s="124">
        <v>-0.66785577005214214</v>
      </c>
      <c r="F815" s="125">
        <v>-4.7626004743464068E-2</v>
      </c>
    </row>
    <row r="816" spans="5:6">
      <c r="E816" s="124">
        <v>-0.5892216522265683</v>
      </c>
      <c r="F816" s="125">
        <v>-0.77485363778096694</v>
      </c>
    </row>
    <row r="817" spans="5:6">
      <c r="E817" s="124">
        <v>1.4106094260485573</v>
      </c>
      <c r="F817" s="125">
        <v>-0.28228413108701023</v>
      </c>
    </row>
    <row r="818" spans="5:6">
      <c r="E818" s="124">
        <v>0.40019655643053931</v>
      </c>
      <c r="F818" s="125">
        <v>-1.4207822792590481</v>
      </c>
    </row>
    <row r="819" spans="5:6">
      <c r="E819" s="124">
        <v>0.14637266840258498</v>
      </c>
      <c r="F819" s="125">
        <v>-0.93037646663766604</v>
      </c>
    </row>
    <row r="820" spans="5:6">
      <c r="E820" s="124">
        <v>-0.15797735194459211</v>
      </c>
      <c r="F820" s="125">
        <v>-0.14156132643476443</v>
      </c>
    </row>
    <row r="821" spans="5:6">
      <c r="E821" s="124">
        <v>0.50966492062826874</v>
      </c>
      <c r="F821" s="125">
        <v>-0.4981511849079559</v>
      </c>
    </row>
    <row r="822" spans="5:6">
      <c r="E822" s="124">
        <v>-0.16838180198423228</v>
      </c>
      <c r="F822" s="125">
        <v>-1.3578952446782713</v>
      </c>
    </row>
    <row r="823" spans="5:6">
      <c r="E823" s="124">
        <v>2.0327308474798893</v>
      </c>
      <c r="F823" s="125">
        <v>-0.40779650516471833</v>
      </c>
    </row>
    <row r="824" spans="5:6">
      <c r="E824" s="124">
        <v>-1.249476013517816</v>
      </c>
      <c r="F824" s="125">
        <v>-1.5430773867659644</v>
      </c>
    </row>
    <row r="825" spans="5:6">
      <c r="E825" s="124">
        <v>0.46931449220410321</v>
      </c>
      <c r="F825" s="125">
        <v>-0.38786397563548036</v>
      </c>
    </row>
    <row r="826" spans="5:6">
      <c r="E826" s="124">
        <v>-0.66977542666374179</v>
      </c>
      <c r="F826" s="125">
        <v>0.50232617824359038</v>
      </c>
    </row>
    <row r="827" spans="5:6">
      <c r="E827" s="124">
        <v>2.2331431904216999E-2</v>
      </c>
      <c r="F827" s="125">
        <v>0.67457243509395715</v>
      </c>
    </row>
    <row r="828" spans="5:6">
      <c r="E828" s="124">
        <v>1.1177620438016282</v>
      </c>
      <c r="F828" s="125">
        <v>1.5740501287626811</v>
      </c>
    </row>
    <row r="829" spans="5:6">
      <c r="E829" s="124">
        <v>-0.8080755776688362</v>
      </c>
      <c r="F829" s="125">
        <v>-2.8945471678394825</v>
      </c>
    </row>
    <row r="830" spans="5:6">
      <c r="E830" s="124">
        <v>-1.1958669947760785</v>
      </c>
      <c r="F830" s="125">
        <v>-0.17326773987977939</v>
      </c>
    </row>
    <row r="831" spans="5:6">
      <c r="E831" s="124">
        <v>1.392775010812155</v>
      </c>
      <c r="F831" s="125">
        <v>-0.38549225248423102</v>
      </c>
    </row>
    <row r="832" spans="5:6">
      <c r="E832" s="124">
        <v>-0.47734428245283511</v>
      </c>
      <c r="F832" s="125">
        <v>-2.1822760550982236</v>
      </c>
    </row>
    <row r="833" spans="5:6">
      <c r="E833" s="124">
        <v>-1.0753931836921622</v>
      </c>
      <c r="F833" s="125">
        <v>-1.4316584320832026</v>
      </c>
    </row>
    <row r="834" spans="5:6">
      <c r="E834" s="124">
        <v>0.56770013685439769</v>
      </c>
      <c r="F834" s="125">
        <v>-0.11269393106029235</v>
      </c>
    </row>
    <row r="835" spans="5:6">
      <c r="E835" s="124">
        <v>5.8982139655520766E-2</v>
      </c>
      <c r="F835" s="125">
        <v>0.50163689533314115</v>
      </c>
    </row>
    <row r="836" spans="5:6">
      <c r="E836" s="124">
        <v>-0.30696121774291818</v>
      </c>
      <c r="F836" s="125">
        <v>1.0406183354223641</v>
      </c>
    </row>
    <row r="837" spans="5:6">
      <c r="E837" s="124">
        <v>1.4656394754363404</v>
      </c>
      <c r="F837" s="125">
        <v>0.60292732982144914</v>
      </c>
    </row>
    <row r="838" spans="5:6">
      <c r="E838" s="124">
        <v>-0.61143981102221878</v>
      </c>
      <c r="F838" s="125">
        <v>1.6181090116416361</v>
      </c>
    </row>
    <row r="839" spans="5:6">
      <c r="E839" s="124">
        <v>-0.3490251531433049</v>
      </c>
      <c r="F839" s="125">
        <v>-1.7177860290568407</v>
      </c>
    </row>
    <row r="840" spans="5:6">
      <c r="E840" s="124">
        <v>1.6155442753352063</v>
      </c>
      <c r="F840" s="125">
        <v>1.1562042901739029</v>
      </c>
    </row>
    <row r="841" spans="5:6">
      <c r="E841" s="124">
        <v>-0.35441856846512226</v>
      </c>
      <c r="F841" s="125">
        <v>-0.25192255333013924</v>
      </c>
    </row>
    <row r="842" spans="5:6">
      <c r="E842" s="124">
        <v>1.3408133324989167</v>
      </c>
      <c r="F842" s="125">
        <v>1.3880270517177715</v>
      </c>
    </row>
    <row r="843" spans="5:6">
      <c r="E843" s="124">
        <v>-0.52196513447739312</v>
      </c>
      <c r="F843" s="125">
        <v>1.6139816543907768</v>
      </c>
    </row>
    <row r="844" spans="5:6">
      <c r="E844" s="124">
        <v>0.2800187176819357</v>
      </c>
      <c r="F844" s="125">
        <v>0.2699337482602498</v>
      </c>
    </row>
    <row r="845" spans="5:6">
      <c r="E845" s="124">
        <v>-0.3070237153097457</v>
      </c>
      <c r="F845" s="125">
        <v>0.48064294545393615</v>
      </c>
    </row>
    <row r="846" spans="5:6">
      <c r="E846" s="124">
        <v>2.6663688257208391</v>
      </c>
      <c r="F846" s="125">
        <v>1.2363644374450926</v>
      </c>
    </row>
    <row r="847" spans="5:6">
      <c r="E847" s="124">
        <v>-4.8929195081462026E-2</v>
      </c>
      <c r="F847" s="125">
        <v>-0.49601707862010724</v>
      </c>
    </row>
    <row r="848" spans="5:6">
      <c r="E848" s="124">
        <v>2.2144051398147506</v>
      </c>
      <c r="F848" s="125">
        <v>0.88976165760383585</v>
      </c>
    </row>
    <row r="849" spans="5:6">
      <c r="E849" s="124">
        <v>-1.1984626992709464</v>
      </c>
      <c r="F849" s="125">
        <v>-1.8629161713600841</v>
      </c>
    </row>
    <row r="850" spans="5:6">
      <c r="E850" s="124">
        <v>1.1648270654966475</v>
      </c>
      <c r="F850" s="125">
        <v>0.88556092806226427</v>
      </c>
    </row>
    <row r="851" spans="5:6">
      <c r="E851" s="124">
        <v>-1.820008747379485</v>
      </c>
      <c r="F851" s="125">
        <v>-1.7126005852587092</v>
      </c>
    </row>
    <row r="852" spans="5:6">
      <c r="E852" s="124">
        <v>3.6993746412362005E-3</v>
      </c>
      <c r="F852" s="125">
        <v>-1.4108765815194797</v>
      </c>
    </row>
    <row r="853" spans="5:6">
      <c r="E853" s="124">
        <v>0.99557268639311014</v>
      </c>
      <c r="F853" s="125">
        <v>-0.61130687833817743</v>
      </c>
    </row>
    <row r="854" spans="5:6">
      <c r="E854" s="124">
        <v>0.88400286592136945</v>
      </c>
      <c r="F854" s="125">
        <v>0.65913868967044265</v>
      </c>
    </row>
    <row r="855" spans="5:6">
      <c r="E855" s="124">
        <v>1.7154093538578313E-2</v>
      </c>
      <c r="F855" s="125">
        <v>2.2221840179678529</v>
      </c>
    </row>
    <row r="856" spans="5:6">
      <c r="E856" s="124">
        <v>0.82707513637710273</v>
      </c>
      <c r="F856" s="125">
        <v>1.0774535421017917</v>
      </c>
    </row>
    <row r="857" spans="5:6">
      <c r="E857" s="124">
        <v>-0.32785558621144639</v>
      </c>
      <c r="F857" s="125">
        <v>-0.70720267445503993</v>
      </c>
    </row>
    <row r="858" spans="5:6">
      <c r="E858" s="124">
        <v>-0.92460463480820265</v>
      </c>
      <c r="F858" s="125">
        <v>-1.3530442648319303</v>
      </c>
    </row>
    <row r="859" spans="5:6">
      <c r="E859" s="124">
        <v>0.18071795317835548</v>
      </c>
      <c r="F859" s="125">
        <v>-0.14243694093337372</v>
      </c>
    </row>
    <row r="860" spans="5:6">
      <c r="E860" s="124">
        <v>0.27258115751279971</v>
      </c>
      <c r="F860" s="125">
        <v>-0.21562361472700123</v>
      </c>
    </row>
    <row r="861" spans="5:6">
      <c r="E861" s="124">
        <v>-1.7083913597035749</v>
      </c>
      <c r="F861" s="125">
        <v>-2.6385968197114438</v>
      </c>
    </row>
    <row r="862" spans="5:6">
      <c r="E862" s="124">
        <v>-1.2937366604528329</v>
      </c>
      <c r="F862" s="125">
        <v>-1.8501606253288687</v>
      </c>
    </row>
    <row r="863" spans="5:6">
      <c r="E863" s="124">
        <v>-0.20015587003352661</v>
      </c>
      <c r="F863" s="125">
        <v>2.1165107681915276</v>
      </c>
    </row>
    <row r="864" spans="5:6">
      <c r="E864" s="124">
        <v>-0.74273499237847862</v>
      </c>
      <c r="F864" s="125">
        <v>-1.6664599887787308</v>
      </c>
    </row>
    <row r="865" spans="5:6">
      <c r="E865" s="124">
        <v>3.3554943321100861E-3</v>
      </c>
      <c r="F865" s="125">
        <v>-0.45825702246536187</v>
      </c>
    </row>
    <row r="866" spans="5:6">
      <c r="E866" s="124">
        <v>-1.0658668352751124</v>
      </c>
      <c r="F866" s="125">
        <v>-1.1643932741624687</v>
      </c>
    </row>
    <row r="867" spans="5:6">
      <c r="E867" s="124">
        <v>1.0500698989697324</v>
      </c>
      <c r="F867" s="125">
        <v>6.1324754117858704E-2</v>
      </c>
    </row>
    <row r="868" spans="5:6">
      <c r="E868" s="124">
        <v>-0.49707739114965199</v>
      </c>
      <c r="F868" s="125">
        <v>-1.9156501183096717</v>
      </c>
    </row>
    <row r="869" spans="5:6">
      <c r="E869" s="124">
        <v>-1.4052475284413819</v>
      </c>
      <c r="F869" s="125">
        <v>-0.5820984713139169</v>
      </c>
    </row>
    <row r="870" spans="5:6">
      <c r="E870" s="124">
        <v>-0.11699552866605131</v>
      </c>
      <c r="F870" s="125">
        <v>0.72712458010134906</v>
      </c>
    </row>
    <row r="871" spans="5:6">
      <c r="E871" s="124">
        <v>-0.88027932227239492</v>
      </c>
      <c r="F871" s="125">
        <v>1.3996909634652108</v>
      </c>
    </row>
    <row r="872" spans="5:6">
      <c r="E872" s="124">
        <v>-0.53483674666253345</v>
      </c>
      <c r="F872" s="125">
        <v>0.13079090519930908</v>
      </c>
    </row>
    <row r="873" spans="5:6">
      <c r="E873" s="124">
        <v>-0.33289810701493694</v>
      </c>
      <c r="F873" s="125">
        <v>0.69473592232276382</v>
      </c>
    </row>
    <row r="874" spans="5:6">
      <c r="E874" s="124">
        <v>0.1497233376845698</v>
      </c>
      <c r="F874" s="125">
        <v>0.43725671611263656</v>
      </c>
    </row>
    <row r="875" spans="5:6">
      <c r="E875" s="124">
        <v>0.59551536445071473</v>
      </c>
      <c r="F875" s="125">
        <v>1.0111406309864317</v>
      </c>
    </row>
    <row r="876" spans="5:6">
      <c r="E876" s="124">
        <v>1.1348800429962176</v>
      </c>
      <c r="F876" s="125">
        <v>2.1595275781221583</v>
      </c>
    </row>
    <row r="877" spans="5:6">
      <c r="E877" s="124">
        <v>-0.32935550363799487</v>
      </c>
      <c r="F877" s="125">
        <v>0.47662070191440298</v>
      </c>
    </row>
    <row r="878" spans="5:6">
      <c r="E878" s="124">
        <v>-0.81660412137318661</v>
      </c>
      <c r="F878" s="125">
        <v>-0.47072261952170885</v>
      </c>
    </row>
    <row r="879" spans="5:6">
      <c r="E879" s="124">
        <v>0.85095152154374287</v>
      </c>
      <c r="F879" s="125">
        <v>0.56060092771373693</v>
      </c>
    </row>
    <row r="880" spans="5:6">
      <c r="E880" s="124">
        <v>-1.5752380367152294</v>
      </c>
      <c r="F880" s="125">
        <v>-0.4370562488254513</v>
      </c>
    </row>
    <row r="881" spans="5:6">
      <c r="E881" s="124">
        <v>-0.9230549775444975</v>
      </c>
      <c r="F881" s="125">
        <v>-0.53748026388807557</v>
      </c>
    </row>
    <row r="882" spans="5:6">
      <c r="E882" s="124">
        <v>1.3288876445829085</v>
      </c>
      <c r="F882" s="125">
        <v>1.2930117905361769</v>
      </c>
    </row>
    <row r="883" spans="5:6">
      <c r="E883" s="124">
        <v>0.7388396637898218</v>
      </c>
      <c r="F883" s="125">
        <v>0.2461819642674935</v>
      </c>
    </row>
    <row r="884" spans="5:6">
      <c r="E884" s="124">
        <v>-0.41203560428467118</v>
      </c>
      <c r="F884" s="125">
        <v>-1.1863802446950074</v>
      </c>
    </row>
    <row r="885" spans="5:6">
      <c r="E885" s="124">
        <v>1.8971041251778748E-2</v>
      </c>
      <c r="F885" s="125">
        <v>-0.34760659974635832</v>
      </c>
    </row>
    <row r="886" spans="5:6">
      <c r="E886" s="124">
        <v>0.99960804165856432</v>
      </c>
      <c r="F886" s="125">
        <v>0.92145586093917542</v>
      </c>
    </row>
    <row r="887" spans="5:6">
      <c r="E887" s="124">
        <v>-0.6581944359583547</v>
      </c>
      <c r="F887" s="125">
        <v>-0.4646471314076821</v>
      </c>
    </row>
    <row r="888" spans="5:6">
      <c r="E888" s="124">
        <v>1.4934084491156721</v>
      </c>
      <c r="F888" s="125">
        <v>1.2883928018256616</v>
      </c>
    </row>
    <row r="889" spans="5:6">
      <c r="E889" s="124">
        <v>-0.41530830188617701</v>
      </c>
      <c r="F889" s="125">
        <v>-1.3422540249834432</v>
      </c>
    </row>
    <row r="890" spans="5:6">
      <c r="E890" s="124">
        <v>0.87608330713804106</v>
      </c>
      <c r="F890" s="125">
        <v>0.52456797920488019</v>
      </c>
    </row>
    <row r="891" spans="5:6">
      <c r="E891" s="124">
        <v>1.0144701611392382</v>
      </c>
      <c r="F891" s="125">
        <v>-0.1719569431585708</v>
      </c>
    </row>
    <row r="892" spans="5:6">
      <c r="E892" s="124">
        <v>-1.5320407387520263</v>
      </c>
      <c r="F892" s="125">
        <v>0.37631813705015904</v>
      </c>
    </row>
    <row r="893" spans="5:6">
      <c r="E893" s="124">
        <v>0.60999562142580754</v>
      </c>
      <c r="F893" s="125">
        <v>-0.55955458577943407</v>
      </c>
    </row>
    <row r="894" spans="5:6">
      <c r="E894" s="124">
        <v>-0.24598118165702612</v>
      </c>
      <c r="F894" s="125">
        <v>-0.16849528284276311</v>
      </c>
    </row>
    <row r="895" spans="5:6">
      <c r="E895" s="124">
        <v>6.5782924971133569E-2</v>
      </c>
      <c r="F895" s="125">
        <v>0.80057822193857442</v>
      </c>
    </row>
    <row r="896" spans="5:6">
      <c r="E896" s="124">
        <v>-0.65337215272134386</v>
      </c>
      <c r="F896" s="125">
        <v>0.57095846495196023</v>
      </c>
    </row>
    <row r="897" spans="5:6">
      <c r="E897" s="124">
        <v>-0.85554308157811898</v>
      </c>
      <c r="F897" s="125">
        <v>-1.0346333674821164</v>
      </c>
    </row>
    <row r="898" spans="5:6">
      <c r="E898" s="124">
        <v>0.36942475073400671</v>
      </c>
      <c r="F898" s="125">
        <v>1.0628539850377072</v>
      </c>
    </row>
    <row r="899" spans="5:6">
      <c r="E899" s="124">
        <v>1.4011246760926743</v>
      </c>
      <c r="F899" s="125">
        <v>0.70735094675241017</v>
      </c>
    </row>
    <row r="900" spans="5:6">
      <c r="E900" s="124">
        <v>0.18346438590087821</v>
      </c>
      <c r="F900" s="125">
        <v>0.98811612027629292</v>
      </c>
    </row>
    <row r="901" spans="5:6">
      <c r="E901" s="124">
        <v>-0.15009890730168202</v>
      </c>
      <c r="F901" s="125">
        <v>0.38397062180860586</v>
      </c>
    </row>
    <row r="902" spans="5:6">
      <c r="E902" s="124">
        <v>1.4435967883064578</v>
      </c>
      <c r="F902" s="125">
        <v>1.8933415746518054</v>
      </c>
    </row>
    <row r="903" spans="5:6">
      <c r="E903" s="124">
        <v>1.3707644335107885</v>
      </c>
      <c r="F903" s="125">
        <v>0.67746955413530308</v>
      </c>
    </row>
    <row r="904" spans="5:6">
      <c r="E904" s="124">
        <v>-0.26922420833929117</v>
      </c>
      <c r="F904" s="125">
        <v>0.39547025229273652</v>
      </c>
    </row>
    <row r="905" spans="5:6">
      <c r="E905" s="124">
        <v>0.30248355892634615</v>
      </c>
      <c r="F905" s="125">
        <v>-1.2350906986088872E-3</v>
      </c>
    </row>
    <row r="906" spans="5:6">
      <c r="E906" s="124">
        <v>0.98481233285899461</v>
      </c>
      <c r="F906" s="125">
        <v>1.3737050426386834</v>
      </c>
    </row>
    <row r="907" spans="5:6">
      <c r="E907" s="124">
        <v>1.3172790511607226</v>
      </c>
      <c r="F907" s="125">
        <v>1.3020950743868764</v>
      </c>
    </row>
    <row r="908" spans="5:6">
      <c r="E908" s="124">
        <v>0.47373301542969976</v>
      </c>
      <c r="F908" s="125">
        <v>-4.3668725629310318E-2</v>
      </c>
    </row>
    <row r="909" spans="5:6">
      <c r="E909" s="124">
        <v>1.3624639527954134</v>
      </c>
      <c r="F909" s="125">
        <v>0.20912725728298276</v>
      </c>
    </row>
    <row r="910" spans="5:6">
      <c r="E910" s="124">
        <v>-0.42967755818768039</v>
      </c>
      <c r="F910" s="125">
        <v>-0.33964946098457371</v>
      </c>
    </row>
    <row r="911" spans="5:6">
      <c r="E911" s="124">
        <v>-0.25601527497966403</v>
      </c>
      <c r="F911" s="125">
        <v>-1.4320325324868974</v>
      </c>
    </row>
    <row r="912" spans="5:6">
      <c r="E912" s="124">
        <v>-0.57081701206611424</v>
      </c>
      <c r="F912" s="125">
        <v>0.30153205405037564</v>
      </c>
    </row>
    <row r="913" spans="5:6">
      <c r="E913" s="124">
        <v>-0.66878944841048338</v>
      </c>
      <c r="F913" s="125">
        <v>-0.33503562167988632</v>
      </c>
    </row>
    <row r="914" spans="5:6">
      <c r="E914" s="124">
        <v>0.53943634671219665</v>
      </c>
      <c r="F914" s="125">
        <v>-0.17421112935000332</v>
      </c>
    </row>
    <row r="915" spans="5:6">
      <c r="E915" s="124">
        <v>1.1114569312909994</v>
      </c>
      <c r="F915" s="125">
        <v>0.82728096421762043</v>
      </c>
    </row>
    <row r="916" spans="5:6">
      <c r="E916" s="124">
        <v>0.1796988918512972</v>
      </c>
      <c r="F916" s="125">
        <v>-0.13866352415965771</v>
      </c>
    </row>
    <row r="917" spans="5:6">
      <c r="E917" s="124">
        <v>0.10663474097273695</v>
      </c>
      <c r="F917" s="125">
        <v>-0.25983364473945619</v>
      </c>
    </row>
    <row r="918" spans="5:6">
      <c r="E918" s="124">
        <v>1.9005320673450026</v>
      </c>
      <c r="F918" s="125">
        <v>0.25818392915719213</v>
      </c>
    </row>
    <row r="919" spans="5:6">
      <c r="E919" s="124">
        <v>0.64691723636414478</v>
      </c>
      <c r="F919" s="125">
        <v>0.11556659297153779</v>
      </c>
    </row>
    <row r="920" spans="5:6">
      <c r="E920" s="124">
        <v>-0.77308573079340204</v>
      </c>
      <c r="F920" s="125">
        <v>-0.57399313062471125</v>
      </c>
    </row>
    <row r="921" spans="5:6">
      <c r="E921" s="124">
        <v>-0.55208246169188924</v>
      </c>
      <c r="F921" s="125">
        <v>0.74058810674437825</v>
      </c>
    </row>
    <row r="922" spans="5:6">
      <c r="E922" s="124">
        <v>-0.71932189302143879</v>
      </c>
      <c r="F922" s="125">
        <v>-0.83784474213955262</v>
      </c>
    </row>
    <row r="923" spans="5:6">
      <c r="E923" s="124">
        <v>-0.68532566346819301</v>
      </c>
      <c r="F923" s="125">
        <v>-0.1555488103658457</v>
      </c>
    </row>
    <row r="924" spans="5:6">
      <c r="E924" s="124">
        <v>0.50647806558276254</v>
      </c>
      <c r="F924" s="125">
        <v>0.37270872060929811</v>
      </c>
    </row>
    <row r="925" spans="5:6">
      <c r="E925" s="124">
        <v>-0.52202489000232155</v>
      </c>
      <c r="F925" s="125">
        <v>0.8285098381005751</v>
      </c>
    </row>
    <row r="926" spans="5:6">
      <c r="E926" s="124">
        <v>0.41639580158199085</v>
      </c>
      <c r="F926" s="125">
        <v>-7.9342197852597385E-3</v>
      </c>
    </row>
    <row r="927" spans="5:6">
      <c r="E927" s="124">
        <v>-1.9875708142918405</v>
      </c>
      <c r="F927" s="125">
        <v>-1.6518679641375855</v>
      </c>
    </row>
    <row r="928" spans="5:6">
      <c r="E928" s="124">
        <v>1.4041636410982983</v>
      </c>
      <c r="F928" s="125">
        <v>-0.27679900265569801</v>
      </c>
    </row>
    <row r="929" spans="5:6">
      <c r="E929" s="124">
        <v>0.58909068655572328</v>
      </c>
      <c r="F929" s="125">
        <v>-0.67521823499238587</v>
      </c>
    </row>
    <row r="930" spans="5:6">
      <c r="E930" s="124">
        <v>1.4184869015897803</v>
      </c>
      <c r="F930" s="125">
        <v>-1.1559365408802622</v>
      </c>
    </row>
    <row r="931" spans="5:6">
      <c r="E931" s="124">
        <v>0.69448830892295887</v>
      </c>
      <c r="F931" s="125">
        <v>-1.182884491831482</v>
      </c>
    </row>
    <row r="932" spans="5:6">
      <c r="E932" s="124">
        <v>-0.66460228462568449</v>
      </c>
      <c r="F932" s="125">
        <v>0.61638575278195051</v>
      </c>
    </row>
    <row r="933" spans="5:6">
      <c r="E933" s="124">
        <v>-1.0443779085680358</v>
      </c>
      <c r="F933" s="125">
        <v>-1.9249219292410291</v>
      </c>
    </row>
    <row r="934" spans="5:6">
      <c r="E934" s="124">
        <v>9.4060056599708813E-2</v>
      </c>
      <c r="F934" s="125">
        <v>-0.53787287820862872</v>
      </c>
    </row>
    <row r="935" spans="5:6">
      <c r="E935" s="124">
        <v>0.35878286861800845</v>
      </c>
      <c r="F935" s="125">
        <v>0.77936379777124065</v>
      </c>
    </row>
    <row r="936" spans="5:6">
      <c r="E936" s="124">
        <v>-0.26492898054923614</v>
      </c>
      <c r="F936" s="125">
        <v>-0.2484384426209271</v>
      </c>
    </row>
    <row r="937" spans="5:6">
      <c r="E937" s="124">
        <v>-0.38514411063243742</v>
      </c>
      <c r="F937" s="125">
        <v>0.30574671953263721</v>
      </c>
    </row>
    <row r="938" spans="5:6">
      <c r="E938" s="124">
        <v>-1.3311135115879917</v>
      </c>
      <c r="F938" s="125">
        <v>-1.0832874227608236</v>
      </c>
    </row>
    <row r="939" spans="5:6">
      <c r="E939" s="124">
        <v>-0.41593394196892314</v>
      </c>
      <c r="F939" s="125">
        <v>1.0805672858900686</v>
      </c>
    </row>
    <row r="940" spans="5:6">
      <c r="E940" s="124">
        <v>-0.60348684203378555</v>
      </c>
      <c r="F940" s="125">
        <v>-1.3596085000564486</v>
      </c>
    </row>
    <row r="941" spans="5:6">
      <c r="E941" s="124">
        <v>-1.6689470167722735</v>
      </c>
      <c r="F941" s="125">
        <v>-1.8377234854620852</v>
      </c>
    </row>
    <row r="942" spans="5:6">
      <c r="E942" s="124">
        <v>-1.3661753431365495</v>
      </c>
      <c r="F942" s="125">
        <v>0.90923226325022921</v>
      </c>
    </row>
    <row r="943" spans="5:6">
      <c r="E943" s="124">
        <v>0.11868627205307963</v>
      </c>
      <c r="F943" s="125">
        <v>0.25842240441889308</v>
      </c>
    </row>
    <row r="944" spans="5:6">
      <c r="E944" s="124">
        <v>1.9830028447579422</v>
      </c>
      <c r="F944" s="125">
        <v>0.96148012745357447</v>
      </c>
    </row>
    <row r="945" spans="5:6">
      <c r="E945" s="124">
        <v>0.33955965836422591</v>
      </c>
      <c r="F945" s="125">
        <v>1.0473030512272796</v>
      </c>
    </row>
    <row r="946" spans="5:6">
      <c r="E946" s="124">
        <v>1.2807369108235562</v>
      </c>
      <c r="F946" s="125">
        <v>1.3238017935434654</v>
      </c>
    </row>
    <row r="947" spans="5:6">
      <c r="E947" s="124">
        <v>0.67495752791104946</v>
      </c>
      <c r="F947" s="125">
        <v>0.66762767618718288</v>
      </c>
    </row>
    <row r="948" spans="5:6">
      <c r="E948" s="124">
        <v>0.96930704182309846</v>
      </c>
      <c r="F948" s="125">
        <v>1.2307811200877095E-2</v>
      </c>
    </row>
    <row r="949" spans="5:6">
      <c r="E949" s="124">
        <v>0.22589041703542367</v>
      </c>
      <c r="F949" s="125">
        <v>-1.6809184231541124E-2</v>
      </c>
    </row>
    <row r="950" spans="5:6">
      <c r="E950" s="124">
        <v>2.0418447029558178</v>
      </c>
      <c r="F950" s="125">
        <v>0.54871722567136061</v>
      </c>
    </row>
    <row r="951" spans="5:6">
      <c r="E951" s="124">
        <v>1.5282236969986316</v>
      </c>
      <c r="F951" s="125">
        <v>0.32682148315005205</v>
      </c>
    </row>
    <row r="952" spans="5:6">
      <c r="E952" s="124">
        <v>0.24669680789681875</v>
      </c>
      <c r="F952" s="125">
        <v>-0.76350088937204963</v>
      </c>
    </row>
    <row r="953" spans="5:6">
      <c r="E953" s="124">
        <v>-0.27601408143542433</v>
      </c>
      <c r="F953" s="125">
        <v>-0.28748624238889903</v>
      </c>
    </row>
    <row r="954" spans="5:6">
      <c r="E954" s="124">
        <v>0.46725031041465409</v>
      </c>
      <c r="F954" s="125">
        <v>-0.22060077442365469</v>
      </c>
    </row>
    <row r="955" spans="5:6">
      <c r="E955" s="124">
        <v>0.56515057534851254</v>
      </c>
      <c r="F955" s="125">
        <v>0.22885705280342583</v>
      </c>
    </row>
    <row r="956" spans="5:6">
      <c r="E956" s="124">
        <v>-0.76669744648645599</v>
      </c>
      <c r="F956" s="125">
        <v>-1.302218868967453</v>
      </c>
    </row>
    <row r="957" spans="5:6">
      <c r="E957" s="124">
        <v>1.1231540971168574</v>
      </c>
      <c r="F957" s="125">
        <v>0.95929831264750343</v>
      </c>
    </row>
    <row r="958" spans="5:6">
      <c r="E958" s="124">
        <v>1.4469290359816005</v>
      </c>
      <c r="F958" s="125">
        <v>2.3535340129116298</v>
      </c>
    </row>
    <row r="959" spans="5:6">
      <c r="E959" s="124">
        <v>-1.778907445979655</v>
      </c>
      <c r="F959" s="125">
        <v>-0.42581497806757695</v>
      </c>
    </row>
    <row r="960" spans="5:6">
      <c r="E960" s="124">
        <v>-1.7681029579411152</v>
      </c>
      <c r="F960" s="125">
        <v>1.9877342608725646E-2</v>
      </c>
    </row>
    <row r="961" spans="5:6">
      <c r="E961" s="124">
        <v>0.48864957643417783</v>
      </c>
      <c r="F961" s="125">
        <v>-4.5066659867507852E-3</v>
      </c>
    </row>
    <row r="962" spans="5:6">
      <c r="E962" s="124">
        <v>0.33750507311236355</v>
      </c>
      <c r="F962" s="125">
        <v>-0.10889646325645919</v>
      </c>
    </row>
    <row r="963" spans="5:6">
      <c r="E963" s="124">
        <v>-0.31936023861956814</v>
      </c>
      <c r="F963" s="125">
        <v>-1.8776710144462527E-2</v>
      </c>
    </row>
    <row r="964" spans="5:6">
      <c r="E964" s="124">
        <v>-1.7541072476280659</v>
      </c>
      <c r="F964" s="125">
        <v>-0.12596208313222901</v>
      </c>
    </row>
    <row r="965" spans="5:6">
      <c r="E965" s="124">
        <v>0.25927991362533931</v>
      </c>
      <c r="F965" s="125">
        <v>0.19213930348456204</v>
      </c>
    </row>
    <row r="966" spans="5:6">
      <c r="E966" s="124">
        <v>1.9327298541495113</v>
      </c>
      <c r="F966" s="125">
        <v>2.0138538698417277</v>
      </c>
    </row>
    <row r="967" spans="5:6">
      <c r="E967" s="124">
        <v>0.64351262679725696</v>
      </c>
      <c r="F967" s="125">
        <v>0.35771277929199524</v>
      </c>
    </row>
    <row r="968" spans="5:6">
      <c r="E968" s="124">
        <v>1.1532688571458041</v>
      </c>
      <c r="F968" s="125">
        <v>-1.8143256110990853</v>
      </c>
    </row>
    <row r="969" spans="5:6">
      <c r="E969" s="124">
        <v>-1.5142687121399654</v>
      </c>
      <c r="F969" s="125">
        <v>-0.99888341956105131</v>
      </c>
    </row>
    <row r="970" spans="5:6">
      <c r="E970" s="124">
        <v>9.3657313354139071E-3</v>
      </c>
      <c r="F970" s="125">
        <v>6.2606480445846881E-3</v>
      </c>
    </row>
    <row r="971" spans="5:6">
      <c r="E971" s="124">
        <v>0.38557483358552824</v>
      </c>
      <c r="F971" s="125">
        <v>-1.1538883098057298</v>
      </c>
    </row>
    <row r="972" spans="5:6">
      <c r="E972" s="124">
        <v>0.22593533424321491</v>
      </c>
      <c r="F972" s="125">
        <v>-1.3041518321915366</v>
      </c>
    </row>
    <row r="973" spans="5:6">
      <c r="E973" s="124">
        <v>0.76168351430322701</v>
      </c>
      <c r="F973" s="125">
        <v>1.4035080023826385</v>
      </c>
    </row>
    <row r="974" spans="5:6">
      <c r="E974" s="124">
        <v>-0.58039105067212826</v>
      </c>
      <c r="F974" s="125">
        <v>-0.39522193205552114</v>
      </c>
    </row>
    <row r="975" spans="5:6">
      <c r="E975" s="124">
        <v>-1.3181407812017736</v>
      </c>
      <c r="F975" s="125">
        <v>-1.7245687166242389</v>
      </c>
    </row>
    <row r="976" spans="5:6">
      <c r="E976" s="124">
        <v>-1.0231638950514022</v>
      </c>
      <c r="F976" s="125">
        <v>0.24965949648201513</v>
      </c>
    </row>
    <row r="977" spans="5:6">
      <c r="E977" s="124">
        <v>-6.7789339578903249E-2</v>
      </c>
      <c r="F977" s="125">
        <v>-0.94700536475265829</v>
      </c>
    </row>
    <row r="978" spans="5:6">
      <c r="E978" s="124">
        <v>0.95150358888955644</v>
      </c>
      <c r="F978" s="125">
        <v>0.95244949694782033</v>
      </c>
    </row>
    <row r="979" spans="5:6">
      <c r="E979" s="124">
        <v>0.63059911393088619</v>
      </c>
      <c r="F979" s="125">
        <v>0.382668636203292</v>
      </c>
    </row>
    <row r="980" spans="5:6">
      <c r="E980" s="124">
        <v>-1.120080058425128</v>
      </c>
      <c r="F980" s="125">
        <v>-0.14960897512614979</v>
      </c>
    </row>
    <row r="981" spans="5:6">
      <c r="E981" s="124">
        <v>4.6759125972955999E-2</v>
      </c>
      <c r="F981" s="125">
        <v>-5.696904162514424E-2</v>
      </c>
    </row>
    <row r="982" spans="5:6">
      <c r="E982" s="124">
        <v>-1.1159900985096232</v>
      </c>
      <c r="F982" s="125">
        <v>-0.12047010173571632</v>
      </c>
    </row>
    <row r="983" spans="5:6">
      <c r="E983" s="124">
        <v>0.68413868864105554</v>
      </c>
      <c r="F983" s="125">
        <v>-0.5003489707840949</v>
      </c>
    </row>
    <row r="984" spans="5:6">
      <c r="E984" s="124">
        <v>-0.40080738660924131</v>
      </c>
      <c r="F984" s="125">
        <v>0.53809411787176487</v>
      </c>
    </row>
    <row r="985" spans="5:6">
      <c r="E985" s="124">
        <v>-2.1345196731122989E-4</v>
      </c>
      <c r="F985" s="125">
        <v>0.38398688023280592</v>
      </c>
    </row>
    <row r="986" spans="5:6">
      <c r="E986" s="124">
        <v>2.2622125708748788</v>
      </c>
      <c r="F986" s="125">
        <v>1.7117496008113526</v>
      </c>
    </row>
    <row r="987" spans="5:6">
      <c r="E987" s="124">
        <v>0.29203214597627164</v>
      </c>
      <c r="F987" s="125">
        <v>-0.1268538863018899</v>
      </c>
    </row>
    <row r="988" spans="5:6">
      <c r="E988" s="124">
        <v>-4.1913607793197277E-2</v>
      </c>
      <c r="F988" s="125">
        <v>-8.4902347913987791E-2</v>
      </c>
    </row>
    <row r="989" spans="5:6">
      <c r="E989" s="124">
        <v>0.47679028465583795</v>
      </c>
      <c r="F989" s="125">
        <v>0.44298094673181887</v>
      </c>
    </row>
    <row r="990" spans="5:6">
      <c r="E990" s="124">
        <v>-0.50290001122079087</v>
      </c>
      <c r="F990" s="125">
        <v>0.37929060940425163</v>
      </c>
    </row>
    <row r="991" spans="5:6">
      <c r="E991" s="124">
        <v>1.5502126375389775</v>
      </c>
      <c r="F991" s="125">
        <v>1.4850844326096082</v>
      </c>
    </row>
    <row r="992" spans="5:6">
      <c r="E992" s="124">
        <v>-0.6742358308147739</v>
      </c>
      <c r="F992" s="125">
        <v>-0.7031170984452968</v>
      </c>
    </row>
    <row r="993" spans="5:6">
      <c r="E993" s="124">
        <v>-0.31112641316221434</v>
      </c>
      <c r="F993" s="125">
        <v>9.1714870281294797E-2</v>
      </c>
    </row>
    <row r="994" spans="5:6">
      <c r="E994" s="124">
        <v>0.77732044425776636</v>
      </c>
      <c r="F994" s="125">
        <v>-0.65458176145659619</v>
      </c>
    </row>
    <row r="995" spans="5:6">
      <c r="E995" s="124">
        <v>3.7062361358497553E-2</v>
      </c>
      <c r="F995" s="125">
        <v>1.4701749971175762</v>
      </c>
    </row>
    <row r="996" spans="5:6">
      <c r="E996" s="124">
        <v>-1.0528896254639253</v>
      </c>
      <c r="F996" s="125">
        <v>-0.47733143421277457</v>
      </c>
    </row>
    <row r="997" spans="5:6">
      <c r="E997" s="124">
        <v>1.1429043347470784</v>
      </c>
      <c r="F997" s="125">
        <v>1.7579805816383987</v>
      </c>
    </row>
    <row r="998" spans="5:6">
      <c r="E998" s="124">
        <v>-0.15490310091825113</v>
      </c>
      <c r="F998" s="125">
        <v>0.44487417717625788</v>
      </c>
    </row>
    <row r="999" spans="5:6">
      <c r="E999" s="124">
        <v>2.4883574669753692</v>
      </c>
      <c r="F999" s="125">
        <v>1.8018586684956188</v>
      </c>
    </row>
    <row r="1000" spans="5:6">
      <c r="E1000" s="124">
        <v>1.1173303792085347</v>
      </c>
      <c r="F1000" s="125">
        <v>1.4336234482304842</v>
      </c>
    </row>
    <row r="1001" spans="5:6">
      <c r="E1001" s="124">
        <v>1.7669560206216963</v>
      </c>
      <c r="F1001" s="125">
        <v>1.7396255739815545</v>
      </c>
    </row>
    <row r="1002" spans="5:6">
      <c r="E1002" s="124">
        <v>-2.1998169952171409</v>
      </c>
      <c r="F1002" s="125">
        <v>-3.3339852212524508</v>
      </c>
    </row>
    <row r="1003" spans="5:6">
      <c r="E1003" s="124">
        <v>0.22821491843325686</v>
      </c>
      <c r="F1003" s="125">
        <v>-1.2626589576689478</v>
      </c>
    </row>
    <row r="1004" spans="5:6">
      <c r="E1004" s="124">
        <v>0.69806845053199618</v>
      </c>
      <c r="F1004" s="125">
        <v>-1.4136992272416438</v>
      </c>
    </row>
    <row r="1005" spans="5:6">
      <c r="E1005" s="124">
        <v>-0.3541576285259454</v>
      </c>
      <c r="F1005" s="125">
        <v>1.2225082181549258</v>
      </c>
    </row>
    <row r="1006" spans="5:6">
      <c r="E1006" s="124">
        <v>2.0335284786029693</v>
      </c>
      <c r="F1006" s="125">
        <v>0.86122854831880924</v>
      </c>
    </row>
    <row r="1007" spans="5:6">
      <c r="E1007" s="124">
        <v>-0.66509513510413576</v>
      </c>
      <c r="F1007" s="125">
        <v>0.39760016288803762</v>
      </c>
    </row>
    <row r="1008" spans="5:6">
      <c r="E1008" s="124">
        <v>-0.72881213789416555</v>
      </c>
      <c r="F1008" s="125">
        <v>-0.99907857173604087</v>
      </c>
    </row>
    <row r="1009" spans="5:6">
      <c r="E1009" s="124">
        <v>2.8289924598023791E-2</v>
      </c>
      <c r="F1009" s="125">
        <v>0.35047268144541294</v>
      </c>
    </row>
    <row r="1010" spans="5:6">
      <c r="E1010" s="124">
        <v>0.64539548267882985</v>
      </c>
      <c r="F1010" s="125">
        <v>1.9755747787938427E-3</v>
      </c>
    </row>
    <row r="1011" spans="5:6">
      <c r="E1011" s="124">
        <v>8.5112472924015581E-2</v>
      </c>
      <c r="F1011" s="125">
        <v>-0.74738058956393727</v>
      </c>
    </row>
    <row r="1012" spans="5:6">
      <c r="E1012" s="124">
        <v>0.84267896935954034</v>
      </c>
      <c r="F1012" s="125">
        <v>-0.72211598959218137</v>
      </c>
    </row>
    <row r="1013" spans="5:6">
      <c r="E1013" s="124">
        <v>0.68929760386056871</v>
      </c>
      <c r="F1013" s="125">
        <v>0.10073170694802638</v>
      </c>
    </row>
    <row r="1014" spans="5:6">
      <c r="E1014" s="124">
        <v>1.1321780423235346</v>
      </c>
      <c r="F1014" s="125">
        <v>1.0816940254081588</v>
      </c>
    </row>
    <row r="1015" spans="5:6">
      <c r="E1015" s="124">
        <v>0.62652909585114003</v>
      </c>
      <c r="F1015" s="125">
        <v>1.4738569659228484</v>
      </c>
    </row>
    <row r="1016" spans="5:6">
      <c r="E1016" s="124">
        <v>0.51306589709082862</v>
      </c>
      <c r="F1016" s="125">
        <v>-0.77771859601033266</v>
      </c>
    </row>
    <row r="1017" spans="5:6">
      <c r="E1017" s="124">
        <v>-0.18964552163107656</v>
      </c>
      <c r="F1017" s="125">
        <v>-0.26405227546656501</v>
      </c>
    </row>
    <row r="1018" spans="5:6">
      <c r="E1018" s="124">
        <v>-0.76875289510145228</v>
      </c>
      <c r="F1018" s="125">
        <v>-0.3395074829213201</v>
      </c>
    </row>
    <row r="1019" spans="5:6">
      <c r="E1019" s="124">
        <v>0.70793696451262678</v>
      </c>
      <c r="F1019" s="125">
        <v>1.1213983304431185</v>
      </c>
    </row>
    <row r="1020" spans="5:6">
      <c r="E1020" s="124">
        <v>-1.3960032854408593</v>
      </c>
      <c r="F1020" s="125">
        <v>0.92553608528290221</v>
      </c>
    </row>
    <row r="1021" spans="5:6">
      <c r="E1021" s="124">
        <v>-1.5491067085448353</v>
      </c>
      <c r="F1021" s="125">
        <v>-2.7090124091914931</v>
      </c>
    </row>
    <row r="1022" spans="5:6">
      <c r="E1022" s="124">
        <v>0.14879171329011839</v>
      </c>
      <c r="F1022" s="125">
        <v>1.0107116606679134</v>
      </c>
    </row>
    <row r="1023" spans="5:6">
      <c r="E1023" s="124">
        <v>0.35053171503284275</v>
      </c>
      <c r="F1023" s="125">
        <v>-0.2684987504374266</v>
      </c>
    </row>
    <row r="1024" spans="5:6">
      <c r="E1024" s="124">
        <v>0.14945613610375211</v>
      </c>
      <c r="F1024" s="125">
        <v>-1.0903628377157439</v>
      </c>
    </row>
    <row r="1025" spans="5:6">
      <c r="E1025" s="124">
        <v>-0.80201950649396447</v>
      </c>
      <c r="F1025" s="125">
        <v>-1.2366953716010141</v>
      </c>
    </row>
    <row r="1026" spans="5:6">
      <c r="E1026" s="124">
        <v>-0.25423996076315747</v>
      </c>
      <c r="F1026" s="125">
        <v>-1.426494048052859</v>
      </c>
    </row>
    <row r="1027" spans="5:6">
      <c r="E1027" s="124">
        <v>-1.7759911689892622</v>
      </c>
      <c r="F1027" s="125">
        <v>-0.22000611666203151</v>
      </c>
    </row>
    <row r="1028" spans="5:6">
      <c r="E1028" s="124">
        <v>0.11548781505500413</v>
      </c>
      <c r="F1028" s="125">
        <v>0.22737076760992347</v>
      </c>
    </row>
    <row r="1029" spans="5:6">
      <c r="E1029" s="124">
        <v>0.85400309247564354</v>
      </c>
      <c r="F1029" s="125">
        <v>1.0655824396157778</v>
      </c>
    </row>
    <row r="1030" spans="5:6">
      <c r="E1030" s="124">
        <v>-0.96862847862716228</v>
      </c>
      <c r="F1030" s="125">
        <v>-0.50949484591215488</v>
      </c>
    </row>
    <row r="1031" spans="5:6">
      <c r="E1031" s="124">
        <v>-0.23549379943611096</v>
      </c>
      <c r="F1031" s="125">
        <v>0.23468852281025837</v>
      </c>
    </row>
    <row r="1032" spans="5:6">
      <c r="E1032" s="124">
        <v>-0.94087386737967837</v>
      </c>
      <c r="F1032" s="125">
        <v>-0.94573493206026626</v>
      </c>
    </row>
    <row r="1033" spans="5:6">
      <c r="E1033" s="124">
        <v>1.2657470744069375</v>
      </c>
      <c r="F1033" s="125">
        <v>-1.0309263158436361</v>
      </c>
    </row>
    <row r="1034" spans="5:6">
      <c r="E1034" s="124">
        <v>0.56741368244107493</v>
      </c>
      <c r="F1034" s="125">
        <v>3.514292680607603E-2</v>
      </c>
    </row>
    <row r="1035" spans="5:6">
      <c r="E1035" s="124">
        <v>-0.92068016777507278</v>
      </c>
      <c r="F1035" s="125">
        <v>-0.18077186644999793</v>
      </c>
    </row>
    <row r="1036" spans="5:6">
      <c r="E1036" s="124">
        <v>2.7255409183518378</v>
      </c>
      <c r="F1036" s="125">
        <v>2.5418717122416012</v>
      </c>
    </row>
    <row r="1037" spans="5:6">
      <c r="E1037" s="124">
        <v>6.0465688385382473E-2</v>
      </c>
      <c r="F1037" s="125">
        <v>-0.20092510942400427</v>
      </c>
    </row>
    <row r="1038" spans="5:6">
      <c r="E1038" s="124">
        <v>0.84512711038791299</v>
      </c>
      <c r="F1038" s="125">
        <v>-0.33283306875655461</v>
      </c>
    </row>
    <row r="1039" spans="5:6">
      <c r="E1039" s="124">
        <v>-1.3778856743729531</v>
      </c>
      <c r="F1039" s="125">
        <v>-0.87479811778740757</v>
      </c>
    </row>
    <row r="1040" spans="5:6">
      <c r="E1040" s="124">
        <v>-0.96966933587626758</v>
      </c>
      <c r="F1040" s="125">
        <v>0.49793263945097921</v>
      </c>
    </row>
    <row r="1041" spans="5:6">
      <c r="E1041" s="124">
        <v>-0.47619708070716682</v>
      </c>
      <c r="F1041" s="125">
        <v>0.46145662846578622</v>
      </c>
    </row>
    <row r="1042" spans="5:6">
      <c r="E1042" s="124">
        <v>0.75183520337339038</v>
      </c>
      <c r="F1042" s="125">
        <v>1.7306750277955918</v>
      </c>
    </row>
    <row r="1043" spans="5:6">
      <c r="E1043" s="124">
        <v>-0.30678695498986031</v>
      </c>
      <c r="F1043" s="125">
        <v>0.15168929963534566</v>
      </c>
    </row>
    <row r="1044" spans="5:6">
      <c r="E1044" s="124">
        <v>-0.55217072252273591</v>
      </c>
      <c r="F1044" s="125">
        <v>0.86063028878541303</v>
      </c>
    </row>
    <row r="1045" spans="5:6">
      <c r="E1045" s="124">
        <v>-0.39979936718423686</v>
      </c>
      <c r="F1045" s="125">
        <v>-0.71370653176161847</v>
      </c>
    </row>
    <row r="1046" spans="5:6">
      <c r="E1046" s="124">
        <v>1.4573738048953857</v>
      </c>
      <c r="F1046" s="125">
        <v>0.42759069579865466</v>
      </c>
    </row>
    <row r="1047" spans="5:6">
      <c r="E1047" s="124">
        <v>-1.0077286941559815</v>
      </c>
      <c r="F1047" s="125">
        <v>-1.3173989197230505</v>
      </c>
    </row>
    <row r="1048" spans="5:6">
      <c r="E1048" s="124">
        <v>-6.766777143905793E-2</v>
      </c>
      <c r="F1048" s="125">
        <v>-0.3551134334389085</v>
      </c>
    </row>
    <row r="1049" spans="5:6">
      <c r="E1049" s="124">
        <v>-0.30992035202386808</v>
      </c>
      <c r="F1049" s="125">
        <v>-0.43600708653395448</v>
      </c>
    </row>
    <row r="1050" spans="5:6">
      <c r="E1050" s="124">
        <v>-0.25847058562660241</v>
      </c>
      <c r="F1050" s="125">
        <v>1.1322778773929314</v>
      </c>
    </row>
    <row r="1051" spans="5:6">
      <c r="E1051" s="124">
        <v>-1.0108143407609758</v>
      </c>
      <c r="F1051" s="125">
        <v>-1.292324703788938</v>
      </c>
    </row>
    <row r="1052" spans="5:6">
      <c r="E1052" s="124">
        <v>-1.2841231577281325</v>
      </c>
      <c r="F1052" s="125">
        <v>0.57619736820850176</v>
      </c>
    </row>
    <row r="1053" spans="5:6">
      <c r="E1053" s="124">
        <v>0.86476300443060339</v>
      </c>
      <c r="F1053" s="125">
        <v>0.56446788461309094</v>
      </c>
    </row>
    <row r="1054" spans="5:6">
      <c r="E1054" s="124">
        <v>1.2637197782937051E-2</v>
      </c>
      <c r="F1054" s="125">
        <v>-0.34806667667801394</v>
      </c>
    </row>
    <row r="1055" spans="5:6">
      <c r="E1055" s="124">
        <v>0.96996681484234981</v>
      </c>
      <c r="F1055" s="125">
        <v>1.0834011057858703</v>
      </c>
    </row>
    <row r="1056" spans="5:6">
      <c r="E1056" s="124">
        <v>-1.352881684039861</v>
      </c>
      <c r="F1056" s="125">
        <v>-1.5397719565325469</v>
      </c>
    </row>
    <row r="1057" spans="5:6">
      <c r="E1057" s="124">
        <v>0.54746257292755396</v>
      </c>
      <c r="F1057" s="125">
        <v>-0.36903819128092197</v>
      </c>
    </row>
    <row r="1058" spans="5:6">
      <c r="E1058" s="124">
        <v>0.4810057334739149</v>
      </c>
      <c r="F1058" s="125">
        <v>0.64308549903094137</v>
      </c>
    </row>
    <row r="1059" spans="5:6">
      <c r="E1059" s="124">
        <v>1.2543119877268241</v>
      </c>
      <c r="F1059" s="125">
        <v>1.0828506478482536</v>
      </c>
    </row>
    <row r="1060" spans="5:6">
      <c r="E1060" s="124">
        <v>-1.0907065635271749</v>
      </c>
      <c r="F1060" s="125">
        <v>-0.68738371248069607</v>
      </c>
    </row>
    <row r="1061" spans="5:6">
      <c r="E1061" s="124">
        <v>-0.57586171744543591</v>
      </c>
      <c r="F1061" s="125">
        <v>-0.42964846395570255</v>
      </c>
    </row>
    <row r="1062" spans="5:6">
      <c r="E1062" s="124">
        <v>-7.5107117368445039E-2</v>
      </c>
      <c r="F1062" s="125">
        <v>3.395100060958612E-2</v>
      </c>
    </row>
    <row r="1063" spans="5:6">
      <c r="E1063" s="124">
        <v>0.67243416477857554</v>
      </c>
      <c r="F1063" s="125">
        <v>0.52204596706434647</v>
      </c>
    </row>
    <row r="1064" spans="5:6">
      <c r="E1064" s="124">
        <v>-0.68233077081513216</v>
      </c>
      <c r="F1064" s="125">
        <v>4.689874187884302E-3</v>
      </c>
    </row>
    <row r="1065" spans="5:6">
      <c r="E1065" s="124">
        <v>0.202829617628388</v>
      </c>
      <c r="F1065" s="125">
        <v>0.39890092425258605</v>
      </c>
    </row>
    <row r="1066" spans="5:6">
      <c r="E1066" s="124">
        <v>3.2891605692585819</v>
      </c>
      <c r="F1066" s="125">
        <v>3.0543292412093006</v>
      </c>
    </row>
    <row r="1067" spans="5:6">
      <c r="E1067" s="124">
        <v>0.26802025360337417</v>
      </c>
      <c r="F1067" s="125">
        <v>-1.5013334732750012</v>
      </c>
    </row>
    <row r="1068" spans="5:6">
      <c r="E1068" s="124">
        <v>-0.60530746193241947</v>
      </c>
      <c r="F1068" s="125">
        <v>-0.35467989668212541</v>
      </c>
    </row>
    <row r="1069" spans="5:6">
      <c r="E1069" s="124">
        <v>1.6521590511209454</v>
      </c>
      <c r="F1069" s="125">
        <v>0.62284189125775313</v>
      </c>
    </row>
    <row r="1070" spans="5:6">
      <c r="E1070" s="124">
        <v>0.21512810827851075</v>
      </c>
      <c r="F1070" s="125">
        <v>-5.5159522106398517E-2</v>
      </c>
    </row>
    <row r="1071" spans="5:6">
      <c r="E1071" s="124">
        <v>-1.7593663378135522</v>
      </c>
      <c r="F1071" s="125">
        <v>-1.1892297791500146</v>
      </c>
    </row>
    <row r="1072" spans="5:6">
      <c r="E1072" s="124">
        <v>-2.1860931990288535</v>
      </c>
      <c r="F1072" s="125">
        <v>-1.6695954241530404</v>
      </c>
    </row>
    <row r="1073" spans="5:6">
      <c r="E1073" s="124">
        <v>-1.1467559763061839</v>
      </c>
      <c r="F1073" s="125">
        <v>-0.9785816400230678</v>
      </c>
    </row>
    <row r="1074" spans="5:6">
      <c r="E1074" s="124">
        <v>0.28218677824140337</v>
      </c>
      <c r="F1074" s="125">
        <v>6.6597956280619069E-2</v>
      </c>
    </row>
    <row r="1075" spans="5:6">
      <c r="E1075" s="124">
        <v>-0.67588357626587392</v>
      </c>
      <c r="F1075" s="125">
        <v>-0.56754009203020228</v>
      </c>
    </row>
    <row r="1076" spans="5:6">
      <c r="E1076" s="124">
        <v>2.739528079159069E-2</v>
      </c>
      <c r="F1076" s="125">
        <v>0.15717705740627533</v>
      </c>
    </row>
    <row r="1077" spans="5:6">
      <c r="E1077" s="124">
        <v>-0.46053942671286535</v>
      </c>
      <c r="F1077" s="125">
        <v>-0.15515739831031372</v>
      </c>
    </row>
    <row r="1078" spans="5:6">
      <c r="E1078" s="124">
        <v>-4.312872449996006E-2</v>
      </c>
      <c r="F1078" s="125">
        <v>8.6737966598677239E-3</v>
      </c>
    </row>
    <row r="1079" spans="5:6">
      <c r="E1079" s="124">
        <v>-0.44929716110418394</v>
      </c>
      <c r="F1079" s="125">
        <v>-1.7587138083726293</v>
      </c>
    </row>
    <row r="1080" spans="5:6">
      <c r="E1080" s="124">
        <v>-0.24599293287787138</v>
      </c>
      <c r="F1080" s="125">
        <v>-1.0888107402002967</v>
      </c>
    </row>
    <row r="1081" spans="5:6">
      <c r="E1081" s="124">
        <v>8.19582857885435E-2</v>
      </c>
      <c r="F1081" s="125">
        <v>0.46719749540315297</v>
      </c>
    </row>
    <row r="1082" spans="5:6">
      <c r="E1082" s="124">
        <v>1.2217496339352116</v>
      </c>
      <c r="F1082" s="125">
        <v>1.6275531049253971</v>
      </c>
    </row>
    <row r="1083" spans="5:6">
      <c r="E1083" s="124">
        <v>0.19611957355647883</v>
      </c>
      <c r="F1083" s="125">
        <v>-0.45968861582565396</v>
      </c>
    </row>
    <row r="1084" spans="5:6">
      <c r="E1084" s="124">
        <v>-0.90284326312837548</v>
      </c>
      <c r="F1084" s="125">
        <v>-0.83406739415465037</v>
      </c>
    </row>
    <row r="1085" spans="5:6">
      <c r="E1085" s="124">
        <v>-0.93512874075065122</v>
      </c>
      <c r="F1085" s="125">
        <v>-0.61793189198524423</v>
      </c>
    </row>
    <row r="1086" spans="5:6">
      <c r="E1086" s="124">
        <v>0.50605573730671227</v>
      </c>
      <c r="F1086" s="125">
        <v>-2.2963588369956875</v>
      </c>
    </row>
    <row r="1087" spans="5:6">
      <c r="E1087" s="124">
        <v>-0.73663363212446187</v>
      </c>
      <c r="F1087" s="125">
        <v>-1.6476277736914333</v>
      </c>
    </row>
    <row r="1088" spans="5:6">
      <c r="E1088" s="124">
        <v>0.76414804306847606</v>
      </c>
      <c r="F1088" s="125">
        <v>0.16141686581930406</v>
      </c>
    </row>
    <row r="1089" spans="5:6">
      <c r="E1089" s="124">
        <v>-0.37525104438083684</v>
      </c>
      <c r="F1089" s="125">
        <v>0.50036215134439654</v>
      </c>
    </row>
    <row r="1090" spans="5:6">
      <c r="E1090" s="124">
        <v>0.62607250440698947</v>
      </c>
      <c r="F1090" s="125">
        <v>-0.94026478448405382</v>
      </c>
    </row>
    <row r="1091" spans="5:6">
      <c r="E1091" s="124">
        <v>1.8871225589305352</v>
      </c>
      <c r="F1091" s="125">
        <v>6.470011817065302E-3</v>
      </c>
    </row>
    <row r="1092" spans="5:6">
      <c r="E1092" s="124">
        <v>0.27138443215840408</v>
      </c>
      <c r="F1092" s="125">
        <v>-1.3664982207844822</v>
      </c>
    </row>
    <row r="1093" spans="5:6">
      <c r="E1093" s="124">
        <v>0.17601001469129171</v>
      </c>
      <c r="F1093" s="125">
        <v>-0.72304768151381649</v>
      </c>
    </row>
    <row r="1094" spans="5:6">
      <c r="E1094" s="124">
        <v>0.525564815793514</v>
      </c>
      <c r="F1094" s="125">
        <v>8.0219357479038939E-2</v>
      </c>
    </row>
    <row r="1095" spans="5:6">
      <c r="E1095" s="124">
        <v>-1.6245675568350666</v>
      </c>
      <c r="F1095" s="125">
        <v>-0.67105364525878763</v>
      </c>
    </row>
    <row r="1096" spans="5:6">
      <c r="E1096" s="124">
        <v>-0.70391216617415986</v>
      </c>
      <c r="F1096" s="125">
        <v>0.22746050811041729</v>
      </c>
    </row>
    <row r="1097" spans="5:6">
      <c r="E1097" s="124">
        <v>1.2063921492957652</v>
      </c>
      <c r="F1097" s="125">
        <v>0.43658048517376324</v>
      </c>
    </row>
    <row r="1098" spans="5:6">
      <c r="E1098" s="124">
        <v>-1.3713741630261815</v>
      </c>
      <c r="F1098" s="125">
        <v>4.9346821716400258E-2</v>
      </c>
    </row>
    <row r="1099" spans="5:6">
      <c r="E1099" s="126">
        <v>1.3595403253334262</v>
      </c>
      <c r="F1099" s="127">
        <v>-1.5062132644018491</v>
      </c>
    </row>
  </sheetData>
  <conditionalFormatting sqref="E7:E8 I103 J100">
    <cfRule type="cellIs" dxfId="816" priority="106" stopIfTrue="1" operator="equal">
      <formula>"ERROR"</formula>
    </cfRule>
    <cfRule type="cellIs" dxfId="815" priority="107" stopIfTrue="1" operator="equal">
      <formula>"OK"</formula>
    </cfRule>
    <cfRule type="cellIs" dxfId="814" priority="108" stopIfTrue="1" operator="equal">
      <formula>"WARNING"</formula>
    </cfRule>
  </conditionalFormatting>
  <conditionalFormatting sqref="C4">
    <cfRule type="cellIs" dxfId="813" priority="103" stopIfTrue="1" operator="equal">
      <formula>"ERROR"</formula>
    </cfRule>
    <cfRule type="cellIs" dxfId="812" priority="104" stopIfTrue="1" operator="equal">
      <formula>"OK"</formula>
    </cfRule>
    <cfRule type="cellIs" dxfId="811" priority="105" stopIfTrue="1" operator="equal">
      <formula>"WARNING"</formula>
    </cfRule>
  </conditionalFormatting>
  <conditionalFormatting sqref="C15">
    <cfRule type="cellIs" dxfId="810" priority="100" stopIfTrue="1" operator="equal">
      <formula>"ERROR"</formula>
    </cfRule>
  </conditionalFormatting>
  <conditionalFormatting sqref="C15">
    <cfRule type="cellIs" dxfId="809" priority="101" stopIfTrue="1" operator="equal">
      <formula>"OK"</formula>
    </cfRule>
  </conditionalFormatting>
  <conditionalFormatting sqref="C15">
    <cfRule type="cellIs" dxfId="808" priority="102" stopIfTrue="1" operator="equal">
      <formula>"WARNING"</formula>
    </cfRule>
  </conditionalFormatting>
  <conditionalFormatting sqref="L20:N22">
    <cfRule type="cellIs" dxfId="807" priority="109" stopIfTrue="1" operator="equal">
      <formula>"ERROR"</formula>
    </cfRule>
    <cfRule type="cellIs" dxfId="806" priority="110" stopIfTrue="1" operator="equal">
      <formula>"OK"</formula>
    </cfRule>
    <cfRule type="cellIs" dxfId="805" priority="111" stopIfTrue="1" operator="equal">
      <formula>"WARNING"</formula>
    </cfRule>
  </conditionalFormatting>
  <conditionalFormatting sqref="E9">
    <cfRule type="cellIs" dxfId="804" priority="61" stopIfTrue="1" operator="equal">
      <formula>"ERROR"</formula>
    </cfRule>
    <cfRule type="cellIs" dxfId="803" priority="62" stopIfTrue="1" operator="equal">
      <formula>"OK"</formula>
    </cfRule>
    <cfRule type="cellIs" dxfId="802" priority="63" stopIfTrue="1" operator="equal">
      <formula>"WARNING"</formula>
    </cfRule>
  </conditionalFormatting>
  <conditionalFormatting sqref="Z20">
    <cfRule type="cellIs" dxfId="801" priority="58" stopIfTrue="1" operator="equal">
      <formula>"ERROR"</formula>
    </cfRule>
    <cfRule type="cellIs" dxfId="800" priority="59" stopIfTrue="1" operator="equal">
      <formula>"OK"</formula>
    </cfRule>
    <cfRule type="cellIs" dxfId="799" priority="60" stopIfTrue="1" operator="equal">
      <formula>"WARNING"</formula>
    </cfRule>
  </conditionalFormatting>
  <conditionalFormatting sqref="AL20">
    <cfRule type="cellIs" dxfId="798" priority="55" stopIfTrue="1" operator="equal">
      <formula>"ERROR"</formula>
    </cfRule>
    <cfRule type="cellIs" dxfId="797" priority="56" stopIfTrue="1" operator="equal">
      <formula>"OK"</formula>
    </cfRule>
    <cfRule type="cellIs" dxfId="796" priority="57" stopIfTrue="1" operator="equal">
      <formula>"WARNING"</formula>
    </cfRule>
  </conditionalFormatting>
  <conditionalFormatting sqref="AZ20">
    <cfRule type="cellIs" dxfId="795" priority="52" stopIfTrue="1" operator="equal">
      <formula>"ERROR"</formula>
    </cfRule>
    <cfRule type="cellIs" dxfId="794" priority="53" stopIfTrue="1" operator="equal">
      <formula>"OK"</formula>
    </cfRule>
    <cfRule type="cellIs" dxfId="793" priority="54" stopIfTrue="1" operator="equal">
      <formula>"WARNING"</formula>
    </cfRule>
  </conditionalFormatting>
  <conditionalFormatting sqref="C28">
    <cfRule type="cellIs" dxfId="792" priority="46" stopIfTrue="1" operator="equal">
      <formula>"ERROR"</formula>
    </cfRule>
  </conditionalFormatting>
  <conditionalFormatting sqref="C28">
    <cfRule type="cellIs" dxfId="791" priority="47" stopIfTrue="1" operator="equal">
      <formula>"OK"</formula>
    </cfRule>
  </conditionalFormatting>
  <conditionalFormatting sqref="C28">
    <cfRule type="cellIs" dxfId="790" priority="48" stopIfTrue="1" operator="equal">
      <formula>"WARNING"</formula>
    </cfRule>
  </conditionalFormatting>
  <conditionalFormatting sqref="L34:M35">
    <cfRule type="cellIs" dxfId="789" priority="49" stopIfTrue="1" operator="equal">
      <formula>"ERROR"</formula>
    </cfRule>
    <cfRule type="cellIs" dxfId="788" priority="50" stopIfTrue="1" operator="equal">
      <formula>"OK"</formula>
    </cfRule>
    <cfRule type="cellIs" dxfId="787" priority="51" stopIfTrue="1" operator="equal">
      <formula>"WARNING"</formula>
    </cfRule>
  </conditionalFormatting>
  <conditionalFormatting sqref="AB34:AD36">
    <cfRule type="cellIs" dxfId="786" priority="34" stopIfTrue="1" operator="equal">
      <formula>"ERROR"</formula>
    </cfRule>
    <cfRule type="cellIs" dxfId="785" priority="35" stopIfTrue="1" operator="equal">
      <formula>"OK"</formula>
    </cfRule>
    <cfRule type="cellIs" dxfId="784" priority="36" stopIfTrue="1" operator="equal">
      <formula>"WARNING"</formula>
    </cfRule>
  </conditionalFormatting>
  <conditionalFormatting sqref="C44">
    <cfRule type="cellIs" dxfId="783" priority="31" stopIfTrue="1" operator="equal">
      <formula>"ERROR"</formula>
    </cfRule>
  </conditionalFormatting>
  <conditionalFormatting sqref="C44">
    <cfRule type="cellIs" dxfId="782" priority="32" stopIfTrue="1" operator="equal">
      <formula>"OK"</formula>
    </cfRule>
  </conditionalFormatting>
  <conditionalFormatting sqref="C44">
    <cfRule type="cellIs" dxfId="781" priority="33" stopIfTrue="1" operator="equal">
      <formula>"WARNING"</formula>
    </cfRule>
  </conditionalFormatting>
  <conditionalFormatting sqref="J53:K53">
    <cfRule type="cellIs" dxfId="780" priority="28" stopIfTrue="1" operator="equal">
      <formula>"ERROR"</formula>
    </cfRule>
    <cfRule type="cellIs" dxfId="779" priority="29" stopIfTrue="1" operator="equal">
      <formula>"OK"</formula>
    </cfRule>
    <cfRule type="cellIs" dxfId="778" priority="30" stopIfTrue="1" operator="equal">
      <formula>"WARNING"</formula>
    </cfRule>
  </conditionalFormatting>
  <conditionalFormatting sqref="S53:T53">
    <cfRule type="cellIs" dxfId="777" priority="25" stopIfTrue="1" operator="equal">
      <formula>"ERROR"</formula>
    </cfRule>
    <cfRule type="cellIs" dxfId="776" priority="26" stopIfTrue="1" operator="equal">
      <formula>"OK"</formula>
    </cfRule>
    <cfRule type="cellIs" dxfId="775" priority="27" stopIfTrue="1" operator="equal">
      <formula>"WARNING"</formula>
    </cfRule>
  </conditionalFormatting>
  <conditionalFormatting sqref="AD53:AE53">
    <cfRule type="cellIs" dxfId="774" priority="16" stopIfTrue="1" operator="equal">
      <formula>"ERROR"</formula>
    </cfRule>
    <cfRule type="cellIs" dxfId="773" priority="17" stopIfTrue="1" operator="equal">
      <formula>"OK"</formula>
    </cfRule>
    <cfRule type="cellIs" dxfId="772" priority="18" stopIfTrue="1" operator="equal">
      <formula>"WARNING"</formula>
    </cfRule>
  </conditionalFormatting>
  <conditionalFormatting sqref="C95">
    <cfRule type="cellIs" dxfId="771" priority="13" stopIfTrue="1" operator="equal">
      <formula>"ERROR"</formula>
    </cfRule>
  </conditionalFormatting>
  <conditionalFormatting sqref="C95">
    <cfRule type="cellIs" dxfId="770" priority="14" stopIfTrue="1" operator="equal">
      <formula>"OK"</formula>
    </cfRule>
  </conditionalFormatting>
  <conditionalFormatting sqref="C95">
    <cfRule type="cellIs" dxfId="769" priority="15" stopIfTrue="1" operator="equal">
      <formula>"WARNING"</formula>
    </cfRule>
  </conditionalFormatting>
  <conditionalFormatting sqref="S103 U100">
    <cfRule type="cellIs" dxfId="768" priority="7" stopIfTrue="1" operator="equal">
      <formula>"ERROR"</formula>
    </cfRule>
    <cfRule type="cellIs" dxfId="767" priority="8" stopIfTrue="1" operator="equal">
      <formula>"OK"</formula>
    </cfRule>
    <cfRule type="cellIs" dxfId="766" priority="9" stopIfTrue="1" operator="equal">
      <formula>"WARNING"</formula>
    </cfRule>
  </conditionalFormatting>
  <conditionalFormatting sqref="E10">
    <cfRule type="cellIs" dxfId="765" priority="4" stopIfTrue="1" operator="equal">
      <formula>"ERROR"</formula>
    </cfRule>
    <cfRule type="cellIs" dxfId="764" priority="5" stopIfTrue="1" operator="equal">
      <formula>"OK"</formula>
    </cfRule>
    <cfRule type="cellIs" dxfId="763" priority="6" stopIfTrue="1" operator="equal">
      <formula>"WARNING"</formula>
    </cfRule>
  </conditionalFormatting>
  <conditionalFormatting sqref="AD103 AJ100">
    <cfRule type="cellIs" dxfId="762" priority="1" stopIfTrue="1" operator="equal">
      <formula>"ERROR"</formula>
    </cfRule>
    <cfRule type="cellIs" dxfId="761" priority="2" stopIfTrue="1" operator="equal">
      <formula>"OK"</formula>
    </cfRule>
    <cfRule type="cellIs" dxfId="76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379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405</v>
      </c>
      <c r="C17" s="123">
        <v>120</v>
      </c>
      <c r="D17" s="289"/>
      <c r="E17" s="396" cm="1">
        <f t="array" ref="E17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405</v>
      </c>
      <c r="L17" s="123">
        <v>120</v>
      </c>
      <c r="M17" s="289"/>
      <c r="N17" s="122" t="str" cm="1">
        <f t="array" ref="N17:O20">_xll.d.Equity_BlackScholesSpotOptionPricer(L17,L18,L19,L20,L21,L22,L23,L24,"VERBOSE")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405</v>
      </c>
      <c r="V17" s="123">
        <v>120</v>
      </c>
      <c r="W17" s="289"/>
      <c r="X17" s="450" t="str" cm="1">
        <f t="array" ref="X17">_xll.d.Equity_BlackScholesSpotOptionPricer(V17,V18,V19,V20,V21,V22,V23,V24)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405</v>
      </c>
      <c r="AE17" s="123">
        <v>120</v>
      </c>
      <c r="AF17" s="289"/>
      <c r="AG17" s="450" t="str" cm="1">
        <f t="array" ref="AG17">_xll.d.Equity_BlackScholesSpotOptionPricer(AE17,AE18,AE19,AE20,AE21,AE22,AE23,AE24)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406</v>
      </c>
      <c r="C18" s="125">
        <v>100</v>
      </c>
      <c r="D18" s="289"/>
      <c r="K18" s="433" t="s">
        <v>406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406</v>
      </c>
      <c r="V18" s="125">
        <v>100</v>
      </c>
      <c r="W18" s="289"/>
      <c r="AD18" s="433" t="s">
        <v>406</v>
      </c>
      <c r="AE18" s="125">
        <v>100</v>
      </c>
      <c r="AF18" s="289"/>
    </row>
    <row r="19" spans="2:37">
      <c r="B19" s="433" t="s">
        <v>415</v>
      </c>
      <c r="C19" s="125">
        <v>0.1</v>
      </c>
      <c r="D19" s="289"/>
      <c r="K19" s="433" t="s">
        <v>415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415</v>
      </c>
      <c r="V19" s="125">
        <v>0.1</v>
      </c>
      <c r="W19" s="289"/>
      <c r="AD19" s="433" t="s">
        <v>415</v>
      </c>
      <c r="AE19" s="125">
        <v>0.1</v>
      </c>
      <c r="AF19" s="289"/>
    </row>
    <row r="20" spans="2:37">
      <c r="B20" s="433" t="s">
        <v>414</v>
      </c>
      <c r="C20" s="125">
        <v>0.03</v>
      </c>
      <c r="D20" s="289"/>
      <c r="E20" s="290"/>
      <c r="K20" s="433" t="s">
        <v>414</v>
      </c>
      <c r="L20" s="125">
        <v>0.03</v>
      </c>
      <c r="M20" s="289"/>
      <c r="N20" s="126" t="str">
        <v>Discount Factor</v>
      </c>
      <c r="O20" s="569">
        <v>0.63635416972508707</v>
      </c>
      <c r="P20" s="126" t="s">
        <v>491</v>
      </c>
      <c r="Q20" s="569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414</v>
      </c>
      <c r="V20" s="125">
        <v>0.03</v>
      </c>
      <c r="W20" s="289"/>
      <c r="AD20" s="433" t="s">
        <v>414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F24" s="290"/>
      <c r="G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680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501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408</v>
      </c>
      <c r="G31" s="120" t="s">
        <v>409</v>
      </c>
      <c r="H31" s="191" t="s">
        <v>66</v>
      </c>
      <c r="I31" s="121" t="s">
        <v>67</v>
      </c>
    </row>
    <row r="32" spans="2:37">
      <c r="B32" s="432" t="s">
        <v>681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383</v>
      </c>
      <c r="C33" s="304">
        <f>EDATE(C32,12)</f>
        <v>45382</v>
      </c>
      <c r="D33" s="289"/>
      <c r="E33" s="895"/>
      <c r="F33" s="895"/>
      <c r="G33" s="895"/>
      <c r="H33" s="895"/>
      <c r="I33" s="895"/>
    </row>
    <row r="34" spans="2:9" s="54" customFormat="1">
      <c r="B34" s="433" t="s">
        <v>405</v>
      </c>
      <c r="C34" s="125">
        <v>130</v>
      </c>
      <c r="D34" s="667"/>
    </row>
    <row r="35" spans="2:9">
      <c r="B35" s="433" t="s">
        <v>406</v>
      </c>
      <c r="C35" s="125">
        <v>100</v>
      </c>
      <c r="D35" s="289"/>
    </row>
    <row r="36" spans="2:9">
      <c r="B36" s="433" t="s">
        <v>415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@@EquityEuropeanOption::16:08:58</v>
      </c>
    </row>
    <row r="37" spans="2:9">
      <c r="B37" s="433" t="s">
        <v>414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96" t="str" cm="1">
        <f t="array" ref="E39:F41">_xll.d.Equity_GetPrice(E36, TRUE)</f>
        <v>Price</v>
      </c>
      <c r="F39" s="430">
        <v>36.117493907875513</v>
      </c>
    </row>
    <row r="40" spans="2:9">
      <c r="B40" s="433" t="s">
        <v>682</v>
      </c>
      <c r="C40" s="125" t="s">
        <v>245</v>
      </c>
      <c r="D40" s="289"/>
      <c r="E40" s="290" t="str">
        <v>Delta</v>
      </c>
      <c r="F40" s="430">
        <v>0.9323765968934391</v>
      </c>
    </row>
    <row r="41" spans="2:9">
      <c r="B41" s="433" t="s">
        <v>404</v>
      </c>
      <c r="C41" s="125" t="s">
        <v>411</v>
      </c>
      <c r="D41" s="289"/>
      <c r="E41" s="290" t="str">
        <v>Vega</v>
      </c>
      <c r="F41" s="896">
        <v>10.696836617978546</v>
      </c>
      <c r="G41" s="290"/>
    </row>
    <row r="42" spans="2:9">
      <c r="B42" s="434" t="s">
        <v>410</v>
      </c>
      <c r="C42" s="127" t="s">
        <v>412</v>
      </c>
    </row>
  </sheetData>
  <conditionalFormatting sqref="D7">
    <cfRule type="cellIs" dxfId="759" priority="55" stopIfTrue="1" operator="equal">
      <formula>"ERROR"</formula>
    </cfRule>
    <cfRule type="cellIs" dxfId="758" priority="56" stopIfTrue="1" operator="equal">
      <formula>"OK"</formula>
    </cfRule>
    <cfRule type="cellIs" dxfId="757" priority="57" stopIfTrue="1" operator="equal">
      <formula>"WARNING"</formula>
    </cfRule>
  </conditionalFormatting>
  <conditionalFormatting sqref="C4">
    <cfRule type="cellIs" dxfId="756" priority="52" stopIfTrue="1" operator="equal">
      <formula>"ERROR"</formula>
    </cfRule>
    <cfRule type="cellIs" dxfId="755" priority="53" stopIfTrue="1" operator="equal">
      <formula>"OK"</formula>
    </cfRule>
    <cfRule type="cellIs" dxfId="754" priority="54" stopIfTrue="1" operator="equal">
      <formula>"WARNING"</formula>
    </cfRule>
  </conditionalFormatting>
  <conditionalFormatting sqref="C12">
    <cfRule type="cellIs" dxfId="753" priority="49" stopIfTrue="1" operator="equal">
      <formula>"ERROR"</formula>
    </cfRule>
  </conditionalFormatting>
  <conditionalFormatting sqref="C12">
    <cfRule type="cellIs" dxfId="752" priority="50" stopIfTrue="1" operator="equal">
      <formula>"OK"</formula>
    </cfRule>
  </conditionalFormatting>
  <conditionalFormatting sqref="C12">
    <cfRule type="cellIs" dxfId="751" priority="51" stopIfTrue="1" operator="equal">
      <formula>"WARNING"</formula>
    </cfRule>
  </conditionalFormatting>
  <conditionalFormatting sqref="I17:J17 T17">
    <cfRule type="cellIs" dxfId="750" priority="61" stopIfTrue="1" operator="equal">
      <formula>"ERROR"</formula>
    </cfRule>
    <cfRule type="cellIs" dxfId="749" priority="62" stopIfTrue="1" operator="equal">
      <formula>"OK"</formula>
    </cfRule>
    <cfRule type="cellIs" dxfId="748" priority="63" stopIfTrue="1" operator="equal">
      <formula>"WARNING"</formula>
    </cfRule>
  </conditionalFormatting>
  <conditionalFormatting sqref="AB17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AK17">
    <cfRule type="cellIs" dxfId="744" priority="31" stopIfTrue="1" operator="equal">
      <formula>"ERROR"</formula>
    </cfRule>
    <cfRule type="cellIs" dxfId="743" priority="32" stopIfTrue="1" operator="equal">
      <formula>"OK"</formula>
    </cfRule>
    <cfRule type="cellIs" dxfId="742" priority="33" stopIfTrue="1" operator="equal">
      <formula>"WARNING"</formula>
    </cfRule>
  </conditionalFormatting>
  <conditionalFormatting sqref="R17:S20">
    <cfRule type="cellIs" dxfId="741" priority="25" stopIfTrue="1" operator="equal">
      <formula>"ERROR"</formula>
    </cfRule>
    <cfRule type="cellIs" dxfId="740" priority="26" stopIfTrue="1" operator="equal">
      <formula>"OK"</formula>
    </cfRule>
    <cfRule type="cellIs" dxfId="739" priority="27" stopIfTrue="1" operator="equal">
      <formula>"WARNING"</formula>
    </cfRule>
  </conditionalFormatting>
  <conditionalFormatting sqref="I32:I33">
    <cfRule type="cellIs" dxfId="738" priority="1" stopIfTrue="1" operator="equal">
      <formula>"ERROR"</formula>
    </cfRule>
    <cfRule type="cellIs" dxfId="737" priority="2" stopIfTrue="1" operator="equal">
      <formula>"OK"</formula>
    </cfRule>
    <cfRule type="cellIs" dxfId="736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373</v>
      </c>
    </row>
    <row r="2" spans="1:28" ht="26.25">
      <c r="B2" s="2" t="s">
        <v>378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380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ref="C12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397</v>
      </c>
      <c r="C14" s="298"/>
      <c r="D14" s="298"/>
      <c r="E14" s="298"/>
      <c r="F14" s="298"/>
      <c r="G14" s="298"/>
      <c r="H14" s="298"/>
      <c r="I14" s="408"/>
      <c r="J14" s="4" t="s">
        <v>398</v>
      </c>
      <c r="K14" s="4"/>
      <c r="L14" s="4"/>
      <c r="M14" s="408"/>
      <c r="N14" s="4" t="s">
        <v>401</v>
      </c>
      <c r="O14" s="298"/>
      <c r="P14" s="298"/>
      <c r="Q14" s="298"/>
      <c r="R14" s="298"/>
      <c r="S14" s="298"/>
      <c r="T14" s="408"/>
      <c r="U14" s="4" t="s">
        <v>402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679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390</v>
      </c>
      <c r="G16" s="120" t="s">
        <v>214</v>
      </c>
      <c r="H16" s="120" t="s">
        <v>67</v>
      </c>
      <c r="I16" s="408"/>
      <c r="J16" s="429" t="s">
        <v>555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382</v>
      </c>
      <c r="C17" s="292">
        <v>44104</v>
      </c>
      <c r="E17" s="421" cm="1">
        <f t="array" ref="E17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ref="H17">_xll.d.TestUtils_Equal(E17,F17,0.00001)</f>
        <v>Ok</v>
      </c>
      <c r="I17" s="408"/>
      <c r="J17" s="429" t="s">
        <v>556</v>
      </c>
      <c r="K17" s="408"/>
      <c r="L17" s="408"/>
      <c r="M17" s="408"/>
      <c r="N17" s="122" t="s">
        <v>382</v>
      </c>
      <c r="O17" s="292">
        <v>44104</v>
      </c>
      <c r="P17" s="408"/>
      <c r="Q17" s="421" t="str" cm="1">
        <f t="array" ref="Q17">_xll.d.Equity_Volatility(O17,O18,O19,O20,O21,C25:C1273,D25:D1273)</f>
        <v>#∂Excel Error: Invalid weighting style: ASDF</v>
      </c>
      <c r="R17" s="422" t="s">
        <v>400</v>
      </c>
      <c r="S17" s="301" t="str" cm="1">
        <f t="array" ref="S17">_xll.d.TestUtils_Equal(Q17,R17)</f>
        <v>Ok</v>
      </c>
      <c r="T17" s="408"/>
      <c r="U17" s="122" t="s">
        <v>382</v>
      </c>
      <c r="V17" s="292">
        <v>44104</v>
      </c>
      <c r="W17" s="408"/>
      <c r="X17" s="421" t="str" cm="1">
        <f t="array" ref="X17">_xll.d.Equity_Volatility(V17,V18,V19,V20,V21,C25:C1273,D26:D1273)</f>
        <v>#∂Excel Error: Date array and stock price array have different sizes.</v>
      </c>
      <c r="Y17" s="422" t="s">
        <v>403</v>
      </c>
      <c r="Z17" s="301" t="str" cm="1">
        <f t="array" ref="Z17">_xll.d.TestUtils_Equal(X17,Y17)</f>
        <v>Ok</v>
      </c>
      <c r="AA17" s="408"/>
      <c r="AB17" s="408"/>
    </row>
    <row r="18" spans="2:28">
      <c r="B18" s="124" t="s">
        <v>383</v>
      </c>
      <c r="C18" s="304">
        <v>45930</v>
      </c>
      <c r="E18" s="289"/>
      <c r="F18" s="849" t="s">
        <v>643</v>
      </c>
      <c r="I18" s="408"/>
      <c r="J18" s="408"/>
      <c r="K18" s="408"/>
      <c r="L18" s="408"/>
      <c r="M18" s="408"/>
      <c r="N18" s="124" t="s">
        <v>383</v>
      </c>
      <c r="O18" s="304">
        <v>45930</v>
      </c>
      <c r="P18" s="408"/>
      <c r="Q18" s="289"/>
      <c r="R18" s="408"/>
      <c r="S18" s="408"/>
      <c r="T18" s="408"/>
      <c r="U18" s="124" t="s">
        <v>383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391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391</v>
      </c>
      <c r="O19" s="427">
        <f>C19</f>
        <v>250</v>
      </c>
      <c r="P19" s="408"/>
      <c r="Q19" s="408"/>
      <c r="R19" s="408"/>
      <c r="S19" s="408"/>
      <c r="T19" s="408"/>
      <c r="U19" s="124" t="s">
        <v>391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392</v>
      </c>
      <c r="C20" s="304" t="s">
        <v>413</v>
      </c>
      <c r="N20" s="124" t="s">
        <v>392</v>
      </c>
      <c r="O20" s="304" t="s">
        <v>399</v>
      </c>
      <c r="U20" s="124" t="s">
        <v>392</v>
      </c>
      <c r="V20" s="304" t="s">
        <v>393</v>
      </c>
    </row>
    <row r="21" spans="2:28" s="408" customFormat="1">
      <c r="B21" s="423" t="s">
        <v>381</v>
      </c>
      <c r="C21" s="424">
        <v>0.97</v>
      </c>
      <c r="N21" s="423" t="s">
        <v>381</v>
      </c>
      <c r="O21" s="424">
        <v>0.97</v>
      </c>
      <c r="U21" s="423" t="s">
        <v>381</v>
      </c>
      <c r="V21" s="424">
        <v>0.97</v>
      </c>
    </row>
    <row r="22" spans="2:28" s="408" customFormat="1"/>
    <row r="23" spans="2:28" s="408" customFormat="1"/>
    <row r="24" spans="2:28">
      <c r="B24" s="409" t="s">
        <v>384</v>
      </c>
      <c r="C24" s="410" t="s">
        <v>385</v>
      </c>
      <c r="D24" s="410" t="s">
        <v>386</v>
      </c>
      <c r="E24" s="410" t="s">
        <v>387</v>
      </c>
      <c r="F24" s="410" t="s">
        <v>388</v>
      </c>
      <c r="G24" s="408"/>
      <c r="J24" s="408"/>
      <c r="K24" s="408"/>
      <c r="L24" s="408"/>
      <c r="M24" s="408"/>
    </row>
    <row r="25" spans="2:28">
      <c r="B25" s="411" t="s">
        <v>389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389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389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389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389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389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389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389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389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389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389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389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389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389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389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389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389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389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389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389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389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389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389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389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389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389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389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389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389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389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389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389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389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389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389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389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389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389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389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389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389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389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389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389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389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389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389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389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389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389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389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389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389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389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389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389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389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389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389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389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389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389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389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389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389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389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389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389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389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389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389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389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389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389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389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389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389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389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389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389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389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389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389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389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389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389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389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389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389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389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389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389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389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389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389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389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389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389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389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389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389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389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389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389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389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389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389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389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389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389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389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389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389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389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389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389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389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389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389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389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389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389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389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389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389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389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389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389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389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389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389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389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389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389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389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389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389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389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389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389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389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389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389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389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389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389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389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389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389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389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389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389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389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389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389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389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389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389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389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389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389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389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389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389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389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389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389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389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389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389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389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389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389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389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389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389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389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389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389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389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389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389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389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389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389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389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389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389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389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389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389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389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389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389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389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389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389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389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389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389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389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389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389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389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389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389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389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389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389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389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389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389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389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389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389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389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389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389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389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389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389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389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389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389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389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389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389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389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389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389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389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389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389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389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389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389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389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389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389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389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389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389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389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389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389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389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389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389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389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389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389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389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389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389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389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389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389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389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389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389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389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389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389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389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389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389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389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389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389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389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389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389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389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389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389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389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389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389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389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389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389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389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389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389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389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389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389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389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389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389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389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389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389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389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389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389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389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389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389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389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389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389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389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389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389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389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389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389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389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389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389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389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389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389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389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389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389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389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389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389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389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389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389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389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389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389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389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389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389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389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389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389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389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389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389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389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389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389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389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389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389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389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389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389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389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389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389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389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389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389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389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389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389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389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389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389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389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389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389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389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389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389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389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389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389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389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389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389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389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389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389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389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389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389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389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389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389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389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389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389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389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389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389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389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389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389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389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389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389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389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389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389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389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389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389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389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389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389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389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389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389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389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389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389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389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389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389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389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389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389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389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389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389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389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389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389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389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389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389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389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389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389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389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389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389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389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389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389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389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389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389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389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389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389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389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389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389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389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389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389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389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389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389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389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389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389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389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389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389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389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389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389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389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389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389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389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389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389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389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389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389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389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389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389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389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389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389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389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389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389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389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389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389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389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389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389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389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389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389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389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389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389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389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389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389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389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389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389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389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389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389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389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389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389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389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389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389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389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389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389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389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389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389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389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389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389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389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389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389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389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389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389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389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389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389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389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389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389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389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389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389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389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389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389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389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389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389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389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389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389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389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389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389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389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389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389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389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389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389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389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389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389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389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389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389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389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389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389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389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389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389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389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389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389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389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389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389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389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389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389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389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389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389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389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389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389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389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389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389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389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389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389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389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389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389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389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389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389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389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389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389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389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389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389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389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389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389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389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389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389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389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389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389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389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389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389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389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389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389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389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389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389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389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389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389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389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389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389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389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389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389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389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389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389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389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389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389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389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389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389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389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389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389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389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389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389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389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389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389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389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389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389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389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389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389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389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389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389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389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389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389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389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389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389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389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389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389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389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389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389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389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389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389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389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389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389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389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389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389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389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389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389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389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389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389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389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389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389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389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389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389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389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389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389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389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389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389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389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389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389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389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389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389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389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389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389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389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389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389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389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389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389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389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389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389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389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389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389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389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389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389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389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389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389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389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389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389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389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389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389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389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389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389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389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389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389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389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389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389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389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389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389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389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389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389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389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389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389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389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389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389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389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389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389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389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389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389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389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389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389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389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389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389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389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389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389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389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389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389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389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389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389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389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389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389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389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389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389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389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389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389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389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389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389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389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389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389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389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389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389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389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389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389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389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389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389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389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389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389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389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389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389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389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389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389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389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389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389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389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389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389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389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389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389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389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389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389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389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389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389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389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389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389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389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389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389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389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389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389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389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389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389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389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389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389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389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389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389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389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389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389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389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389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389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389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389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389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389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389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389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389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389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389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389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389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389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389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389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389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389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389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389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389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389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389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389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389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389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389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389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389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389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389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389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389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389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389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389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389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389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389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389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389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389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389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389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389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389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389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389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389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389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389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389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389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389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389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389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389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389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389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389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389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389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389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389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389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389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389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389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389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389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389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389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389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389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389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389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389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389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389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389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389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389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389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389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389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389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389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389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389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389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389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389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389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389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389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389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389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389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389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389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389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389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389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389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389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389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389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389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389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389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389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389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389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389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389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389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389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389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389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389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389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389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389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389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389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389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389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389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389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389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389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389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389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389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389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389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389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389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389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389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389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389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389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389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389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389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389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389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389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389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389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389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389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389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389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389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389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389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389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389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389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389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389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389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389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389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389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389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389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389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389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389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389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389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389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389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389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389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389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389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389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389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389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389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389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389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389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389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389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389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389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389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389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389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389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389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389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389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389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389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389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389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389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389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389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389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389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389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389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389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389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389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389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389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389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389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389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389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389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389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389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389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389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389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389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389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389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389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389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389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389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389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389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389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389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389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389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389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389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389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389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389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389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389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389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389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389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389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389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389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389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389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389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389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389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389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389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389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389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389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389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389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389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389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389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389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389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389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389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389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389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389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389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389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389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389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389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389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389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389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389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389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389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389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389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389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389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389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389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389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389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389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389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389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389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389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389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389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389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389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389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389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389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389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389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389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389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389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389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389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389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389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389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389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389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389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389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389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389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389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389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389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389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389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389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389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389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389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389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389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389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389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389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389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389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389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389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389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389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389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389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389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389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389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389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389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389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389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389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389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389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389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389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389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389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389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389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389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389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389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389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389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389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389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389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389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389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389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389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389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389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389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389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389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389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389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389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389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389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389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389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389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389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389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389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389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389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389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389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389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389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389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389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389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389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389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389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389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389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389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389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389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389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389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389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389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389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389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389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389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389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389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389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389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389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389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389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389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389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389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389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389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389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389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389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389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389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35" priority="55" stopIfTrue="1" operator="equal">
      <formula>"ERROR"</formula>
    </cfRule>
    <cfRule type="cellIs" dxfId="734" priority="56" stopIfTrue="1" operator="equal">
      <formula>"OK"</formula>
    </cfRule>
    <cfRule type="cellIs" dxfId="733" priority="57" stopIfTrue="1" operator="equal">
      <formula>"WARNING"</formula>
    </cfRule>
  </conditionalFormatting>
  <conditionalFormatting sqref="C4">
    <cfRule type="cellIs" dxfId="732" priority="52" stopIfTrue="1" operator="equal">
      <formula>"ERROR"</formula>
    </cfRule>
    <cfRule type="cellIs" dxfId="731" priority="53" stopIfTrue="1" operator="equal">
      <formula>"OK"</formula>
    </cfRule>
    <cfRule type="cellIs" dxfId="730" priority="54" stopIfTrue="1" operator="equal">
      <formula>"WARNING"</formula>
    </cfRule>
  </conditionalFormatting>
  <conditionalFormatting sqref="H17">
    <cfRule type="cellIs" dxfId="729" priority="58" stopIfTrue="1" operator="equal">
      <formula>"ERROR"</formula>
    </cfRule>
    <cfRule type="cellIs" dxfId="728" priority="59" stopIfTrue="1" operator="equal">
      <formula>"OK"</formula>
    </cfRule>
    <cfRule type="cellIs" dxfId="727" priority="60" stopIfTrue="1" operator="equal">
      <formula>"WARNING"</formula>
    </cfRule>
  </conditionalFormatting>
  <conditionalFormatting sqref="C12">
    <cfRule type="cellIs" dxfId="726" priority="46" stopIfTrue="1" operator="equal">
      <formula>"ERROR"</formula>
    </cfRule>
  </conditionalFormatting>
  <conditionalFormatting sqref="C12">
    <cfRule type="cellIs" dxfId="725" priority="47" stopIfTrue="1" operator="equal">
      <formula>"OK"</formula>
    </cfRule>
  </conditionalFormatting>
  <conditionalFormatting sqref="C12">
    <cfRule type="cellIs" dxfId="724" priority="48" stopIfTrue="1" operator="equal">
      <formula>"WARNING"</formula>
    </cfRule>
  </conditionalFormatting>
  <conditionalFormatting sqref="S17">
    <cfRule type="cellIs" dxfId="723" priority="10" stopIfTrue="1" operator="equal">
      <formula>"ERROR"</formula>
    </cfRule>
    <cfRule type="cellIs" dxfId="722" priority="11" stopIfTrue="1" operator="equal">
      <formula>"OK"</formula>
    </cfRule>
    <cfRule type="cellIs" dxfId="721" priority="12" stopIfTrue="1" operator="equal">
      <formula>"WARNING"</formula>
    </cfRule>
  </conditionalFormatting>
  <conditionalFormatting sqref="Z17">
    <cfRule type="cellIs" dxfId="720" priority="7" stopIfTrue="1" operator="equal">
      <formula>"ERROR"</formula>
    </cfRule>
    <cfRule type="cellIs" dxfId="719" priority="8" stopIfTrue="1" operator="equal">
      <formula>"OK"</formula>
    </cfRule>
    <cfRule type="cellIs" dxfId="718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595</v>
      </c>
      <c r="C49" s="775"/>
      <c r="D49" s="1064" t="s">
        <v>596</v>
      </c>
      <c r="E49" s="1065"/>
      <c r="F49" s="1065"/>
      <c r="G49" s="1065"/>
      <c r="H49" s="1065"/>
      <c r="I49" s="1065"/>
      <c r="J49" s="1065"/>
      <c r="K49" s="1065"/>
      <c r="L49" s="1065"/>
      <c r="M49" s="1065"/>
      <c r="N49" s="1065"/>
      <c r="O49" s="1065"/>
      <c r="P49" s="1065"/>
      <c r="Q49" s="1066"/>
    </row>
    <row r="50" spans="2:17">
      <c r="B50" s="776"/>
      <c r="C50" s="777"/>
      <c r="D50" s="778" t="s">
        <v>597</v>
      </c>
      <c r="E50" s="778" t="s">
        <v>22</v>
      </c>
      <c r="F50" s="778" t="s">
        <v>598</v>
      </c>
      <c r="G50" s="778" t="s">
        <v>0</v>
      </c>
      <c r="H50" s="778" t="s">
        <v>599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67" t="s">
        <v>22</v>
      </c>
      <c r="C51" s="779" t="s">
        <v>600</v>
      </c>
      <c r="D51" s="780" t="s">
        <v>601</v>
      </c>
      <c r="E51" s="781" t="s">
        <v>602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68"/>
      <c r="C52" s="786" t="s">
        <v>603</v>
      </c>
      <c r="D52" s="780" t="s">
        <v>604</v>
      </c>
      <c r="E52" s="781" t="s">
        <v>605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68"/>
      <c r="C53" s="786" t="s">
        <v>606</v>
      </c>
      <c r="D53" s="780" t="s">
        <v>604</v>
      </c>
      <c r="E53" s="781" t="s">
        <v>605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68"/>
      <c r="C54" s="786" t="s">
        <v>607</v>
      </c>
      <c r="D54" s="780" t="s">
        <v>604</v>
      </c>
      <c r="E54" s="781" t="s">
        <v>605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68"/>
      <c r="C55" s="786" t="s">
        <v>608</v>
      </c>
      <c r="D55" s="780" t="s">
        <v>609</v>
      </c>
      <c r="E55" s="781" t="s">
        <v>610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68"/>
      <c r="C56" s="786" t="s">
        <v>611</v>
      </c>
      <c r="D56" s="780" t="s">
        <v>609</v>
      </c>
      <c r="E56" s="781" t="s">
        <v>610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68"/>
      <c r="C57" s="786" t="s">
        <v>612</v>
      </c>
      <c r="D57" s="780" t="s">
        <v>609</v>
      </c>
      <c r="E57" s="781" t="s">
        <v>610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68"/>
      <c r="C58" s="786" t="s">
        <v>613</v>
      </c>
      <c r="D58" s="780" t="s">
        <v>609</v>
      </c>
      <c r="E58" s="781" t="s">
        <v>610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68"/>
      <c r="C59" s="786" t="s">
        <v>614</v>
      </c>
      <c r="D59" s="780" t="s">
        <v>336</v>
      </c>
      <c r="E59" s="781" t="s">
        <v>615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68"/>
      <c r="C60" s="786" t="s">
        <v>616</v>
      </c>
      <c r="D60" s="788" t="s">
        <v>609</v>
      </c>
      <c r="E60" s="789" t="s">
        <v>610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68"/>
      <c r="C61" s="791" t="s">
        <v>617</v>
      </c>
      <c r="D61" s="792" t="s">
        <v>336</v>
      </c>
      <c r="E61" s="793" t="s">
        <v>615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17" priority="16" stopIfTrue="1" operator="equal">
      <formula>"ERROR"</formula>
    </cfRule>
    <cfRule type="cellIs" dxfId="716" priority="17" stopIfTrue="1" operator="equal">
      <formula>"OK"</formula>
    </cfRule>
    <cfRule type="cellIs" dxfId="715" priority="18" stopIfTrue="1" operator="equal">
      <formula>"WARNING"</formula>
    </cfRule>
  </conditionalFormatting>
  <conditionalFormatting sqref="C4">
    <cfRule type="cellIs" dxfId="714" priority="13" stopIfTrue="1" operator="equal">
      <formula>"ERROR"</formula>
    </cfRule>
    <cfRule type="cellIs" dxfId="713" priority="14" stopIfTrue="1" operator="equal">
      <formula>"OK"</formula>
    </cfRule>
    <cfRule type="cellIs" dxfId="712" priority="15" stopIfTrue="1" operator="equal">
      <formula>"WARNING"</formula>
    </cfRule>
  </conditionalFormatting>
  <conditionalFormatting sqref="C12">
    <cfRule type="cellIs" dxfId="711" priority="10" stopIfTrue="1" operator="equal">
      <formula>"ERROR"</formula>
    </cfRule>
  </conditionalFormatting>
  <conditionalFormatting sqref="C12">
    <cfRule type="cellIs" dxfId="710" priority="11" stopIfTrue="1" operator="equal">
      <formula>"OK"</formula>
    </cfRule>
  </conditionalFormatting>
  <conditionalFormatting sqref="C12">
    <cfRule type="cellIs" dxfId="709" priority="12" stopIfTrue="1" operator="equal">
      <formula>"WARNING"</formula>
    </cfRule>
  </conditionalFormatting>
  <conditionalFormatting sqref="I17:J17 T17">
    <cfRule type="cellIs" dxfId="708" priority="19" stopIfTrue="1" operator="equal">
      <formula>"ERROR"</formula>
    </cfRule>
    <cfRule type="cellIs" dxfId="707" priority="20" stopIfTrue="1" operator="equal">
      <formula>"OK"</formula>
    </cfRule>
    <cfRule type="cellIs" dxfId="706" priority="21" stopIfTrue="1" operator="equal">
      <formula>"WARNING"</formula>
    </cfRule>
  </conditionalFormatting>
  <conditionalFormatting sqref="AB17">
    <cfRule type="cellIs" dxfId="705" priority="7" stopIfTrue="1" operator="equal">
      <formula>"ERROR"</formula>
    </cfRule>
    <cfRule type="cellIs" dxfId="704" priority="8" stopIfTrue="1" operator="equal">
      <formula>"OK"</formula>
    </cfRule>
    <cfRule type="cellIs" dxfId="703" priority="9" stopIfTrue="1" operator="equal">
      <formula>"WARNING"</formula>
    </cfRule>
  </conditionalFormatting>
  <conditionalFormatting sqref="AK17">
    <cfRule type="cellIs" dxfId="702" priority="4" stopIfTrue="1" operator="equal">
      <formula>"ERROR"</formula>
    </cfRule>
    <cfRule type="cellIs" dxfId="701" priority="5" stopIfTrue="1" operator="equal">
      <formula>"OK"</formula>
    </cfRule>
    <cfRule type="cellIs" dxfId="700" priority="6" stopIfTrue="1" operator="equal">
      <formula>"WARNING"</formula>
    </cfRule>
  </conditionalFormatting>
  <conditionalFormatting sqref="R17:S21">
    <cfRule type="cellIs" dxfId="699" priority="1" stopIfTrue="1" operator="equal">
      <formula>"ERROR"</formula>
    </cfRule>
    <cfRule type="cellIs" dxfId="698" priority="2" stopIfTrue="1" operator="equal">
      <formula>"OK"</formula>
    </cfRule>
    <cfRule type="cellIs" dxfId="697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647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508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488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508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ref="AB17">_xll.d.TestUtils_Equal(X17,Z17)</f>
        <v>Ok</v>
      </c>
      <c r="AD17" s="432" t="s">
        <v>508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ref="AK17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v>d1</v>
      </c>
      <c r="O18" s="568">
        <v>1.0422804977154678</v>
      </c>
      <c r="P18" s="124" t="s">
        <v>489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v>d2</v>
      </c>
      <c r="O19" s="568">
        <v>0.29817029082404245</v>
      </c>
      <c r="P19" s="124" t="s">
        <v>490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510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511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600</v>
      </c>
      <c r="C31" s="8" cm="1">
        <f t="array" ref="C31">_xll.d.Dates_AddTenorToDate($B$28,B31,"ZAR","MODFOL")</f>
        <v>45019</v>
      </c>
      <c r="D31" s="860" cm="1">
        <f t="array" ref="D3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603</v>
      </c>
      <c r="C32" s="8" cm="1">
        <f t="array" ref="C32">_xll.d.Dates_AddTenorToDate($B$28,B32,"ZAR","MODFOL")</f>
        <v>45027</v>
      </c>
      <c r="D32" s="860" cm="1">
        <f t="array" ref="D32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606</v>
      </c>
      <c r="C33" s="8" cm="1">
        <f t="array" ref="C33">_xll.d.Dates_AddTenorToDate($B$28,B33,"ZAR","MODFOL")</f>
        <v>45030</v>
      </c>
      <c r="D33" s="860" cm="1">
        <f t="array" ref="D33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608</v>
      </c>
      <c r="C34" s="8" cm="1">
        <f t="array" ref="C34">_xll.d.Dates_AddTenorToDate($B$28,B34,"ZAR","MODFOL")</f>
        <v>45044</v>
      </c>
      <c r="D34" s="860" cm="1">
        <f t="array" ref="D34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611</v>
      </c>
      <c r="C35" s="8" cm="1">
        <f t="array" ref="C35">_xll.d.Dates_AddTenorToDate($B$28,B35,"ZAR","MODFOL")</f>
        <v>45077</v>
      </c>
      <c r="D35" s="860" cm="1">
        <f t="array" ref="D35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612</v>
      </c>
      <c r="C36" s="8" cm="1">
        <f t="array" ref="C36">_xll.d.Dates_AddTenorToDate($B$28,B36,"ZAR","MODFOL")</f>
        <v>45107</v>
      </c>
      <c r="D36" s="860" cm="1">
        <f t="array" ref="D36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613</v>
      </c>
      <c r="C37" s="8" cm="1">
        <f t="array" ref="C37">_xll.d.Dates_AddTenorToDate($B$28,B37,"ZAR","MODFOL")</f>
        <v>45198</v>
      </c>
      <c r="D37" s="860" cm="1">
        <f t="array" ref="D37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648</v>
      </c>
      <c r="C38" s="8" cm="1">
        <f t="array" ref="C38">_xll.d.Dates_AddTenorToDate($B$28,B38,"ZAR","MODFOL")</f>
        <v>45289</v>
      </c>
      <c r="D38" s="860" cm="1">
        <f t="array" ref="D38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614</v>
      </c>
      <c r="C39" s="8" cm="1">
        <f t="array" ref="C39">_xll.d.Dates_AddTenorToDate($B$28,B39,"ZAR","MODFOL")</f>
        <v>45379</v>
      </c>
      <c r="D39" s="860" cm="1">
        <f t="array" ref="D39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617</v>
      </c>
      <c r="C40" s="8" cm="1">
        <f t="array" ref="C40">_xll.d.Dates_AddTenorToDate($B$28,B40,"ZAR","MODFOL")</f>
        <v>45747</v>
      </c>
      <c r="D40" s="860" cm="1">
        <f t="array" ref="D40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630</v>
      </c>
      <c r="C41" s="8" cm="1">
        <f t="array" ref="C41">_xll.d.Dates_AddTenorToDate($B$28,B41,"ZAR","MODFOL")</f>
        <v>46112</v>
      </c>
      <c r="D41" s="860" cm="1">
        <f t="array" ref="D4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632</v>
      </c>
      <c r="C42" s="8" cm="1">
        <f t="array" ref="C42">_xll.d.Dates_AddTenorToDate($B$28,B42,"ZAR","MODFOL")</f>
        <v>46843</v>
      </c>
      <c r="D42" s="860" cm="1">
        <f t="array" ref="D42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634</v>
      </c>
      <c r="C43" s="8" cm="1">
        <f t="array" ref="C43">_xll.d.Dates_AddTenorToDate($B$28,B43,"ZAR","MODFOL")</f>
        <v>47571</v>
      </c>
      <c r="D43" s="860" cm="1">
        <f t="array" ref="D43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637</v>
      </c>
      <c r="C44" s="8" cm="1">
        <f t="array" ref="C44">_xll.d.Dates_AddTenorToDate($B$28,B44,"ZAR","MODFOL")</f>
        <v>48669</v>
      </c>
      <c r="D44" s="860" cm="1">
        <f t="array" ref="D44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ref="D46:BX60">_xll.d.FX_ConvertDeltaToMoneynessVolSurface(E31:U44,E30:U30,D31:D44,0,0)</f>
        <v>#VALUE!</v>
      </c>
      <c r="E46" s="430" t="e">
        <v>#VALUE!</v>
      </c>
      <c r="F46" s="430" t="e">
        <v>#VALUE!</v>
      </c>
      <c r="G46" s="430" t="e">
        <v>#VALUE!</v>
      </c>
      <c r="H46" s="430" t="e">
        <v>#VALUE!</v>
      </c>
      <c r="I46" s="430" t="e">
        <v>#VALUE!</v>
      </c>
      <c r="J46" s="430" t="e">
        <v>#VALUE!</v>
      </c>
      <c r="K46" s="430" t="e">
        <v>#VALUE!</v>
      </c>
      <c r="L46" s="430" t="e">
        <v>#VALUE!</v>
      </c>
      <c r="M46" s="430" t="e">
        <v>#VALUE!</v>
      </c>
      <c r="N46" s="430" t="e">
        <v>#VALUE!</v>
      </c>
      <c r="O46" s="430" t="e">
        <v>#VALUE!</v>
      </c>
      <c r="P46" s="430" t="e">
        <v>#VALUE!</v>
      </c>
      <c r="Q46" s="430" t="e">
        <v>#VALUE!</v>
      </c>
      <c r="R46" s="430" t="e">
        <v>#VALUE!</v>
      </c>
      <c r="S46" s="430" t="e">
        <v>#VALUE!</v>
      </c>
      <c r="T46" s="430" t="e">
        <v>#VALUE!</v>
      </c>
      <c r="U46" s="430" t="e">
        <v>#VALUE!</v>
      </c>
      <c r="V46" s="430" t="e">
        <v>#VALUE!</v>
      </c>
      <c r="W46" s="430" t="e">
        <v>#VALUE!</v>
      </c>
      <c r="X46" s="430" t="e">
        <v>#VALUE!</v>
      </c>
      <c r="Y46" s="430" t="e">
        <v>#VALUE!</v>
      </c>
      <c r="Z46" s="430" t="e">
        <v>#VALUE!</v>
      </c>
      <c r="AA46" s="430" t="e">
        <v>#VALUE!</v>
      </c>
      <c r="AB46" s="430" t="e">
        <v>#VALUE!</v>
      </c>
      <c r="AC46" s="430" t="e">
        <v>#VALUE!</v>
      </c>
      <c r="AD46" s="430" t="e">
        <v>#VALUE!</v>
      </c>
      <c r="AE46" s="430" t="e">
        <v>#VALUE!</v>
      </c>
      <c r="AF46" s="430" t="e">
        <v>#VALUE!</v>
      </c>
      <c r="AG46" s="430" t="e">
        <v>#VALUE!</v>
      </c>
      <c r="AH46" s="430" t="e">
        <v>#VALUE!</v>
      </c>
      <c r="AI46" s="430" t="e">
        <v>#VALUE!</v>
      </c>
      <c r="AJ46" s="430" t="e">
        <v>#VALUE!</v>
      </c>
      <c r="AK46" s="430" t="e">
        <v>#VALUE!</v>
      </c>
      <c r="AL46" s="430" t="e">
        <v>#VALUE!</v>
      </c>
      <c r="AM46" s="430" t="e">
        <v>#VALUE!</v>
      </c>
      <c r="AN46" s="430" t="e">
        <v>#VALUE!</v>
      </c>
      <c r="AO46" s="430" t="e">
        <v>#VALUE!</v>
      </c>
      <c r="AP46" s="430" t="e">
        <v>#VALUE!</v>
      </c>
      <c r="AQ46" s="430" t="e">
        <v>#VALUE!</v>
      </c>
      <c r="AR46" s="430" t="e">
        <v>#VALUE!</v>
      </c>
      <c r="AS46" s="430" t="e">
        <v>#VALUE!</v>
      </c>
      <c r="AT46" s="430" t="e">
        <v>#VALUE!</v>
      </c>
      <c r="AU46" s="430" t="e">
        <v>#VALUE!</v>
      </c>
      <c r="AV46" s="430" t="e">
        <v>#VALUE!</v>
      </c>
      <c r="AW46" s="430" t="e">
        <v>#VALUE!</v>
      </c>
      <c r="AX46" s="430" t="e">
        <v>#VALUE!</v>
      </c>
      <c r="AY46" s="430" t="e">
        <v>#VALUE!</v>
      </c>
      <c r="AZ46" s="430" t="e">
        <v>#VALUE!</v>
      </c>
      <c r="BA46" s="430" t="e">
        <v>#VALUE!</v>
      </c>
      <c r="BB46" s="430" t="e">
        <v>#VALUE!</v>
      </c>
      <c r="BC46" s="430" t="e">
        <v>#VALUE!</v>
      </c>
      <c r="BD46" s="430" t="e">
        <v>#VALUE!</v>
      </c>
      <c r="BE46" s="430" t="e">
        <v>#VALUE!</v>
      </c>
      <c r="BF46" s="430" t="e">
        <v>#VALUE!</v>
      </c>
      <c r="BG46" s="430" t="e">
        <v>#VALUE!</v>
      </c>
      <c r="BH46" s="430" t="e">
        <v>#VALUE!</v>
      </c>
      <c r="BI46" s="430" t="e">
        <v>#VALUE!</v>
      </c>
      <c r="BJ46" s="430" t="e">
        <v>#VALUE!</v>
      </c>
      <c r="BK46" s="430" t="e">
        <v>#VALUE!</v>
      </c>
      <c r="BL46" s="430" t="e">
        <v>#VALUE!</v>
      </c>
      <c r="BM46" s="430" t="e">
        <v>#VALUE!</v>
      </c>
      <c r="BN46" s="430" t="e">
        <v>#VALUE!</v>
      </c>
      <c r="BO46" s="430" t="e">
        <v>#VALUE!</v>
      </c>
      <c r="BP46" s="430" t="e">
        <v>#VALUE!</v>
      </c>
      <c r="BQ46" s="430" t="e">
        <v>#VALUE!</v>
      </c>
      <c r="BR46" s="430" t="e">
        <v>#VALUE!</v>
      </c>
      <c r="BS46" s="430" t="e">
        <v>#VALUE!</v>
      </c>
      <c r="BT46" s="430" t="e">
        <v>#VALUE!</v>
      </c>
      <c r="BU46" s="430" t="e">
        <v>#VALUE!</v>
      </c>
      <c r="BV46" s="430" t="e">
        <v>#VALUE!</v>
      </c>
      <c r="BW46" s="430" t="e">
        <v>#VALUE!</v>
      </c>
      <c r="BX46" s="430" t="e">
        <v>#VALUE!</v>
      </c>
    </row>
    <row r="47" spans="2:76">
      <c r="D47" s="430" t="e">
        <v>#VALUE!</v>
      </c>
      <c r="E47" s="430" t="e">
        <v>#VALUE!</v>
      </c>
      <c r="F47" s="430" t="e">
        <v>#VALUE!</v>
      </c>
      <c r="G47" s="430" t="e">
        <v>#VALUE!</v>
      </c>
      <c r="H47" s="430" t="e">
        <v>#VALUE!</v>
      </c>
      <c r="I47" s="430" t="e">
        <v>#VALUE!</v>
      </c>
      <c r="J47" s="430" t="e">
        <v>#VALUE!</v>
      </c>
      <c r="K47" s="430" t="e">
        <v>#VALUE!</v>
      </c>
      <c r="L47" s="430" t="e">
        <v>#VALUE!</v>
      </c>
      <c r="M47" s="430" t="e">
        <v>#VALUE!</v>
      </c>
      <c r="N47" s="430" t="e">
        <v>#VALUE!</v>
      </c>
      <c r="O47" s="430" t="e">
        <v>#VALUE!</v>
      </c>
      <c r="P47" s="430" t="e">
        <v>#VALUE!</v>
      </c>
      <c r="Q47" s="430" t="e">
        <v>#VALUE!</v>
      </c>
      <c r="R47" s="430" t="e">
        <v>#VALUE!</v>
      </c>
      <c r="S47" s="430" t="e">
        <v>#VALUE!</v>
      </c>
      <c r="T47" s="430" t="e">
        <v>#VALUE!</v>
      </c>
      <c r="U47" s="430" t="e">
        <v>#VALUE!</v>
      </c>
      <c r="V47" s="430" t="e">
        <v>#VALUE!</v>
      </c>
      <c r="W47" s="430" t="e">
        <v>#VALUE!</v>
      </c>
      <c r="X47" s="430" t="e">
        <v>#VALUE!</v>
      </c>
      <c r="Y47" s="430" t="e">
        <v>#VALUE!</v>
      </c>
      <c r="Z47" s="430" t="e">
        <v>#VALUE!</v>
      </c>
      <c r="AA47" s="430" t="e">
        <v>#VALUE!</v>
      </c>
      <c r="AB47" s="430" t="e">
        <v>#VALUE!</v>
      </c>
      <c r="AC47" s="430" t="e">
        <v>#VALUE!</v>
      </c>
      <c r="AD47" s="430" t="e">
        <v>#VALUE!</v>
      </c>
      <c r="AE47" s="430" t="e">
        <v>#VALUE!</v>
      </c>
      <c r="AF47" s="430" t="e">
        <v>#VALUE!</v>
      </c>
      <c r="AG47" s="430" t="e">
        <v>#VALUE!</v>
      </c>
      <c r="AH47" s="430" t="e">
        <v>#VALUE!</v>
      </c>
      <c r="AI47" s="430" t="e">
        <v>#VALUE!</v>
      </c>
      <c r="AJ47" s="430" t="e">
        <v>#VALUE!</v>
      </c>
      <c r="AK47" s="430" t="e">
        <v>#VALUE!</v>
      </c>
      <c r="AL47" s="430" t="e">
        <v>#VALUE!</v>
      </c>
      <c r="AM47" s="430" t="e">
        <v>#VALUE!</v>
      </c>
      <c r="AN47" s="430" t="e">
        <v>#VALUE!</v>
      </c>
      <c r="AO47" s="430" t="e">
        <v>#VALUE!</v>
      </c>
      <c r="AP47" s="430" t="e">
        <v>#VALUE!</v>
      </c>
      <c r="AQ47" s="430" t="e">
        <v>#VALUE!</v>
      </c>
      <c r="AR47" s="430" t="e">
        <v>#VALUE!</v>
      </c>
      <c r="AS47" s="430" t="e">
        <v>#VALUE!</v>
      </c>
      <c r="AT47" s="430" t="e">
        <v>#VALUE!</v>
      </c>
      <c r="AU47" s="430" t="e">
        <v>#VALUE!</v>
      </c>
      <c r="AV47" s="430" t="e">
        <v>#VALUE!</v>
      </c>
      <c r="AW47" s="430" t="e">
        <v>#VALUE!</v>
      </c>
      <c r="AX47" s="430" t="e">
        <v>#VALUE!</v>
      </c>
      <c r="AY47" s="430" t="e">
        <v>#VALUE!</v>
      </c>
      <c r="AZ47" s="430" t="e">
        <v>#VALUE!</v>
      </c>
      <c r="BA47" s="430" t="e">
        <v>#VALUE!</v>
      </c>
      <c r="BB47" s="430" t="e">
        <v>#VALUE!</v>
      </c>
      <c r="BC47" s="430" t="e">
        <v>#VALUE!</v>
      </c>
      <c r="BD47" s="430" t="e">
        <v>#VALUE!</v>
      </c>
      <c r="BE47" s="430" t="e">
        <v>#VALUE!</v>
      </c>
      <c r="BF47" s="430" t="e">
        <v>#VALUE!</v>
      </c>
      <c r="BG47" s="430" t="e">
        <v>#VALUE!</v>
      </c>
      <c r="BH47" s="430" t="e">
        <v>#VALUE!</v>
      </c>
      <c r="BI47" s="430" t="e">
        <v>#VALUE!</v>
      </c>
      <c r="BJ47" s="430" t="e">
        <v>#VALUE!</v>
      </c>
      <c r="BK47" s="430" t="e">
        <v>#VALUE!</v>
      </c>
      <c r="BL47" s="430" t="e">
        <v>#VALUE!</v>
      </c>
      <c r="BM47" s="430" t="e">
        <v>#VALUE!</v>
      </c>
      <c r="BN47" s="430" t="e">
        <v>#VALUE!</v>
      </c>
      <c r="BO47" s="430" t="e">
        <v>#VALUE!</v>
      </c>
      <c r="BP47" s="430" t="e">
        <v>#VALUE!</v>
      </c>
      <c r="BQ47" s="430" t="e">
        <v>#VALUE!</v>
      </c>
      <c r="BR47" s="430" t="e">
        <v>#VALUE!</v>
      </c>
      <c r="BS47" s="430" t="e">
        <v>#VALUE!</v>
      </c>
      <c r="BT47" s="430" t="e">
        <v>#VALUE!</v>
      </c>
      <c r="BU47" s="430" t="e">
        <v>#VALUE!</v>
      </c>
      <c r="BV47" s="430" t="e">
        <v>#VALUE!</v>
      </c>
      <c r="BW47" s="430" t="e">
        <v>#VALUE!</v>
      </c>
      <c r="BX47" s="430" t="e">
        <v>#VALUE!</v>
      </c>
    </row>
    <row r="48" spans="2:76">
      <c r="D48" s="430" t="e">
        <v>#VALUE!</v>
      </c>
      <c r="E48" s="430" t="e">
        <v>#VALUE!</v>
      </c>
      <c r="F48" s="430" t="e">
        <v>#VALUE!</v>
      </c>
      <c r="G48" s="430" t="e">
        <v>#VALUE!</v>
      </c>
      <c r="H48" s="430" t="e">
        <v>#VALUE!</v>
      </c>
      <c r="I48" s="430" t="e">
        <v>#VALUE!</v>
      </c>
      <c r="J48" s="430" t="e">
        <v>#VALUE!</v>
      </c>
      <c r="K48" s="430" t="e">
        <v>#VALUE!</v>
      </c>
      <c r="L48" s="430" t="e">
        <v>#VALUE!</v>
      </c>
      <c r="M48" s="430" t="e">
        <v>#VALUE!</v>
      </c>
      <c r="N48" s="430" t="e">
        <v>#VALUE!</v>
      </c>
      <c r="O48" s="430" t="e">
        <v>#VALUE!</v>
      </c>
      <c r="P48" s="430" t="e">
        <v>#VALUE!</v>
      </c>
      <c r="Q48" s="430" t="e">
        <v>#VALUE!</v>
      </c>
      <c r="R48" s="430" t="e">
        <v>#VALUE!</v>
      </c>
      <c r="S48" s="430" t="e">
        <v>#VALUE!</v>
      </c>
      <c r="T48" s="430" t="e">
        <v>#VALUE!</v>
      </c>
      <c r="U48" s="430" t="e">
        <v>#VALUE!</v>
      </c>
      <c r="V48" s="430" t="e">
        <v>#VALUE!</v>
      </c>
      <c r="W48" s="430" t="e">
        <v>#VALUE!</v>
      </c>
      <c r="X48" s="430" t="e">
        <v>#VALUE!</v>
      </c>
      <c r="Y48" s="430" t="e">
        <v>#VALUE!</v>
      </c>
      <c r="Z48" s="430" t="e">
        <v>#VALUE!</v>
      </c>
      <c r="AA48" s="430" t="e">
        <v>#VALUE!</v>
      </c>
      <c r="AB48" s="430" t="e">
        <v>#VALUE!</v>
      </c>
      <c r="AC48" s="430" t="e">
        <v>#VALUE!</v>
      </c>
      <c r="AD48" s="430" t="e">
        <v>#VALUE!</v>
      </c>
      <c r="AE48" s="430" t="e">
        <v>#VALUE!</v>
      </c>
      <c r="AF48" s="430" t="e">
        <v>#VALUE!</v>
      </c>
      <c r="AG48" s="430" t="e">
        <v>#VALUE!</v>
      </c>
      <c r="AH48" s="430" t="e">
        <v>#VALUE!</v>
      </c>
      <c r="AI48" s="430" t="e">
        <v>#VALUE!</v>
      </c>
      <c r="AJ48" s="430" t="e">
        <v>#VALUE!</v>
      </c>
      <c r="AK48" s="430" t="e">
        <v>#VALUE!</v>
      </c>
      <c r="AL48" s="430" t="e">
        <v>#VALUE!</v>
      </c>
      <c r="AM48" s="430" t="e">
        <v>#VALUE!</v>
      </c>
      <c r="AN48" s="430" t="e">
        <v>#VALUE!</v>
      </c>
      <c r="AO48" s="430" t="e">
        <v>#VALUE!</v>
      </c>
      <c r="AP48" s="430" t="e">
        <v>#VALUE!</v>
      </c>
      <c r="AQ48" s="430" t="e">
        <v>#VALUE!</v>
      </c>
      <c r="AR48" s="430" t="e">
        <v>#VALUE!</v>
      </c>
      <c r="AS48" s="430" t="e">
        <v>#VALUE!</v>
      </c>
      <c r="AT48" s="430" t="e">
        <v>#VALUE!</v>
      </c>
      <c r="AU48" s="430" t="e">
        <v>#VALUE!</v>
      </c>
      <c r="AV48" s="430" t="e">
        <v>#VALUE!</v>
      </c>
      <c r="AW48" s="430" t="e">
        <v>#VALUE!</v>
      </c>
      <c r="AX48" s="430" t="e">
        <v>#VALUE!</v>
      </c>
      <c r="AY48" s="430" t="e">
        <v>#VALUE!</v>
      </c>
      <c r="AZ48" s="430" t="e">
        <v>#VALUE!</v>
      </c>
      <c r="BA48" s="430" t="e">
        <v>#VALUE!</v>
      </c>
      <c r="BB48" s="430" t="e">
        <v>#VALUE!</v>
      </c>
      <c r="BC48" s="430" t="e">
        <v>#VALUE!</v>
      </c>
      <c r="BD48" s="430" t="e">
        <v>#VALUE!</v>
      </c>
      <c r="BE48" s="430" t="e">
        <v>#VALUE!</v>
      </c>
      <c r="BF48" s="430" t="e">
        <v>#VALUE!</v>
      </c>
      <c r="BG48" s="430" t="e">
        <v>#VALUE!</v>
      </c>
      <c r="BH48" s="430" t="e">
        <v>#VALUE!</v>
      </c>
      <c r="BI48" s="430" t="e">
        <v>#VALUE!</v>
      </c>
      <c r="BJ48" s="430" t="e">
        <v>#VALUE!</v>
      </c>
      <c r="BK48" s="430" t="e">
        <v>#VALUE!</v>
      </c>
      <c r="BL48" s="430" t="e">
        <v>#VALUE!</v>
      </c>
      <c r="BM48" s="430" t="e">
        <v>#VALUE!</v>
      </c>
      <c r="BN48" s="430" t="e">
        <v>#VALUE!</v>
      </c>
      <c r="BO48" s="430" t="e">
        <v>#VALUE!</v>
      </c>
      <c r="BP48" s="430" t="e">
        <v>#VALUE!</v>
      </c>
      <c r="BQ48" s="430" t="e">
        <v>#VALUE!</v>
      </c>
      <c r="BR48" s="430" t="e">
        <v>#VALUE!</v>
      </c>
      <c r="BS48" s="430" t="e">
        <v>#VALUE!</v>
      </c>
      <c r="BT48" s="430" t="e">
        <v>#VALUE!</v>
      </c>
      <c r="BU48" s="430" t="e">
        <v>#VALUE!</v>
      </c>
      <c r="BV48" s="430" t="e">
        <v>#VALUE!</v>
      </c>
      <c r="BW48" s="430" t="e">
        <v>#VALUE!</v>
      </c>
      <c r="BX48" s="430" t="e">
        <v>#VALUE!</v>
      </c>
    </row>
    <row r="49" spans="4:76">
      <c r="D49" s="430" t="e">
        <v>#VALUE!</v>
      </c>
      <c r="E49" s="430" t="e">
        <v>#VALUE!</v>
      </c>
      <c r="F49" s="430" t="e">
        <v>#VALUE!</v>
      </c>
      <c r="G49" s="430" t="e">
        <v>#VALUE!</v>
      </c>
      <c r="H49" s="430" t="e">
        <v>#VALUE!</v>
      </c>
      <c r="I49" s="430" t="e">
        <v>#VALUE!</v>
      </c>
      <c r="J49" s="430" t="e">
        <v>#VALUE!</v>
      </c>
      <c r="K49" s="430" t="e">
        <v>#VALUE!</v>
      </c>
      <c r="L49" s="430" t="e">
        <v>#VALUE!</v>
      </c>
      <c r="M49" s="430" t="e">
        <v>#VALUE!</v>
      </c>
      <c r="N49" s="430" t="e">
        <v>#VALUE!</v>
      </c>
      <c r="O49" s="430" t="e">
        <v>#VALUE!</v>
      </c>
      <c r="P49" s="430" t="e">
        <v>#VALUE!</v>
      </c>
      <c r="Q49" s="430" t="e">
        <v>#VALUE!</v>
      </c>
      <c r="R49" s="430" t="e">
        <v>#VALUE!</v>
      </c>
      <c r="S49" s="430" t="e">
        <v>#VALUE!</v>
      </c>
      <c r="T49" s="430" t="e">
        <v>#VALUE!</v>
      </c>
      <c r="U49" s="430" t="e">
        <v>#VALUE!</v>
      </c>
      <c r="V49" s="430" t="e">
        <v>#VALUE!</v>
      </c>
      <c r="W49" s="430" t="e">
        <v>#VALUE!</v>
      </c>
      <c r="X49" s="430" t="e">
        <v>#VALUE!</v>
      </c>
      <c r="Y49" s="430" t="e">
        <v>#VALUE!</v>
      </c>
      <c r="Z49" s="430" t="e">
        <v>#VALUE!</v>
      </c>
      <c r="AA49" s="430" t="e">
        <v>#VALUE!</v>
      </c>
      <c r="AB49" s="430" t="e">
        <v>#VALUE!</v>
      </c>
      <c r="AC49" s="430" t="e">
        <v>#VALUE!</v>
      </c>
      <c r="AD49" s="430" t="e">
        <v>#VALUE!</v>
      </c>
      <c r="AE49" s="430" t="e">
        <v>#VALUE!</v>
      </c>
      <c r="AF49" s="430" t="e">
        <v>#VALUE!</v>
      </c>
      <c r="AG49" s="430" t="e">
        <v>#VALUE!</v>
      </c>
      <c r="AH49" s="430" t="e">
        <v>#VALUE!</v>
      </c>
      <c r="AI49" s="430" t="e">
        <v>#VALUE!</v>
      </c>
      <c r="AJ49" s="430" t="e">
        <v>#VALUE!</v>
      </c>
      <c r="AK49" s="430" t="e">
        <v>#VALUE!</v>
      </c>
      <c r="AL49" s="430" t="e">
        <v>#VALUE!</v>
      </c>
      <c r="AM49" s="430" t="e">
        <v>#VALUE!</v>
      </c>
      <c r="AN49" s="430" t="e">
        <v>#VALUE!</v>
      </c>
      <c r="AO49" s="430" t="e">
        <v>#VALUE!</v>
      </c>
      <c r="AP49" s="430" t="e">
        <v>#VALUE!</v>
      </c>
      <c r="AQ49" s="430" t="e">
        <v>#VALUE!</v>
      </c>
      <c r="AR49" s="430" t="e">
        <v>#VALUE!</v>
      </c>
      <c r="AS49" s="430" t="e">
        <v>#VALUE!</v>
      </c>
      <c r="AT49" s="430" t="e">
        <v>#VALUE!</v>
      </c>
      <c r="AU49" s="430" t="e">
        <v>#VALUE!</v>
      </c>
      <c r="AV49" s="430" t="e">
        <v>#VALUE!</v>
      </c>
      <c r="AW49" s="430" t="e">
        <v>#VALUE!</v>
      </c>
      <c r="AX49" s="430" t="e">
        <v>#VALUE!</v>
      </c>
      <c r="AY49" s="430" t="e">
        <v>#VALUE!</v>
      </c>
      <c r="AZ49" s="430" t="e">
        <v>#VALUE!</v>
      </c>
      <c r="BA49" s="430" t="e">
        <v>#VALUE!</v>
      </c>
      <c r="BB49" s="430" t="e">
        <v>#VALUE!</v>
      </c>
      <c r="BC49" s="430" t="e">
        <v>#VALUE!</v>
      </c>
      <c r="BD49" s="430" t="e">
        <v>#VALUE!</v>
      </c>
      <c r="BE49" s="430" t="e">
        <v>#VALUE!</v>
      </c>
      <c r="BF49" s="430" t="e">
        <v>#VALUE!</v>
      </c>
      <c r="BG49" s="430" t="e">
        <v>#VALUE!</v>
      </c>
      <c r="BH49" s="430" t="e">
        <v>#VALUE!</v>
      </c>
      <c r="BI49" s="430" t="e">
        <v>#VALUE!</v>
      </c>
      <c r="BJ49" s="430" t="e">
        <v>#VALUE!</v>
      </c>
      <c r="BK49" s="430" t="e">
        <v>#VALUE!</v>
      </c>
      <c r="BL49" s="430" t="e">
        <v>#VALUE!</v>
      </c>
      <c r="BM49" s="430" t="e">
        <v>#VALUE!</v>
      </c>
      <c r="BN49" s="430" t="e">
        <v>#VALUE!</v>
      </c>
      <c r="BO49" s="430" t="e">
        <v>#VALUE!</v>
      </c>
      <c r="BP49" s="430" t="e">
        <v>#VALUE!</v>
      </c>
      <c r="BQ49" s="430" t="e">
        <v>#VALUE!</v>
      </c>
      <c r="BR49" s="430" t="e">
        <v>#VALUE!</v>
      </c>
      <c r="BS49" s="430" t="e">
        <v>#VALUE!</v>
      </c>
      <c r="BT49" s="430" t="e">
        <v>#VALUE!</v>
      </c>
      <c r="BU49" s="430" t="e">
        <v>#VALUE!</v>
      </c>
      <c r="BV49" s="430" t="e">
        <v>#VALUE!</v>
      </c>
      <c r="BW49" s="430" t="e">
        <v>#VALUE!</v>
      </c>
      <c r="BX49" s="430" t="e">
        <v>#VALUE!</v>
      </c>
    </row>
    <row r="50" spans="4:76">
      <c r="D50" s="430" t="e">
        <v>#VALUE!</v>
      </c>
      <c r="E50" s="430" t="e">
        <v>#VALUE!</v>
      </c>
      <c r="F50" s="430" t="e">
        <v>#VALUE!</v>
      </c>
      <c r="G50" s="430" t="e">
        <v>#VALUE!</v>
      </c>
      <c r="H50" s="430" t="e">
        <v>#VALUE!</v>
      </c>
      <c r="I50" s="430" t="e">
        <v>#VALUE!</v>
      </c>
      <c r="J50" s="430" t="e">
        <v>#VALUE!</v>
      </c>
      <c r="K50" s="430" t="e">
        <v>#VALUE!</v>
      </c>
      <c r="L50" s="430" t="e">
        <v>#VALUE!</v>
      </c>
      <c r="M50" s="430" t="e">
        <v>#VALUE!</v>
      </c>
      <c r="N50" s="430" t="e">
        <v>#VALUE!</v>
      </c>
      <c r="O50" s="430" t="e">
        <v>#VALUE!</v>
      </c>
      <c r="P50" s="430" t="e">
        <v>#VALUE!</v>
      </c>
      <c r="Q50" s="430" t="e">
        <v>#VALUE!</v>
      </c>
      <c r="R50" s="430" t="e">
        <v>#VALUE!</v>
      </c>
      <c r="S50" s="430" t="e">
        <v>#VALUE!</v>
      </c>
      <c r="T50" s="430" t="e">
        <v>#VALUE!</v>
      </c>
      <c r="U50" s="430" t="e">
        <v>#VALUE!</v>
      </c>
      <c r="V50" s="430" t="e">
        <v>#VALUE!</v>
      </c>
      <c r="W50" s="430" t="e">
        <v>#VALUE!</v>
      </c>
      <c r="X50" s="430" t="e">
        <v>#VALUE!</v>
      </c>
      <c r="Y50" s="430" t="e">
        <v>#VALUE!</v>
      </c>
      <c r="Z50" s="430" t="e">
        <v>#VALUE!</v>
      </c>
      <c r="AA50" s="430" t="e">
        <v>#VALUE!</v>
      </c>
      <c r="AB50" s="430" t="e">
        <v>#VALUE!</v>
      </c>
      <c r="AC50" s="430" t="e">
        <v>#VALUE!</v>
      </c>
      <c r="AD50" s="430" t="e">
        <v>#VALUE!</v>
      </c>
      <c r="AE50" s="430" t="e">
        <v>#VALUE!</v>
      </c>
      <c r="AF50" s="430" t="e">
        <v>#VALUE!</v>
      </c>
      <c r="AG50" s="430" t="e">
        <v>#VALUE!</v>
      </c>
      <c r="AH50" s="430" t="e">
        <v>#VALUE!</v>
      </c>
      <c r="AI50" s="430" t="e">
        <v>#VALUE!</v>
      </c>
      <c r="AJ50" s="430" t="e">
        <v>#VALUE!</v>
      </c>
      <c r="AK50" s="430" t="e">
        <v>#VALUE!</v>
      </c>
      <c r="AL50" s="430" t="e">
        <v>#VALUE!</v>
      </c>
      <c r="AM50" s="430" t="e">
        <v>#VALUE!</v>
      </c>
      <c r="AN50" s="430" t="e">
        <v>#VALUE!</v>
      </c>
      <c r="AO50" s="430" t="e">
        <v>#VALUE!</v>
      </c>
      <c r="AP50" s="430" t="e">
        <v>#VALUE!</v>
      </c>
      <c r="AQ50" s="430" t="e">
        <v>#VALUE!</v>
      </c>
      <c r="AR50" s="430" t="e">
        <v>#VALUE!</v>
      </c>
      <c r="AS50" s="430" t="e">
        <v>#VALUE!</v>
      </c>
      <c r="AT50" s="430" t="e">
        <v>#VALUE!</v>
      </c>
      <c r="AU50" s="430" t="e">
        <v>#VALUE!</v>
      </c>
      <c r="AV50" s="430" t="e">
        <v>#VALUE!</v>
      </c>
      <c r="AW50" s="430" t="e">
        <v>#VALUE!</v>
      </c>
      <c r="AX50" s="430" t="e">
        <v>#VALUE!</v>
      </c>
      <c r="AY50" s="430" t="e">
        <v>#VALUE!</v>
      </c>
      <c r="AZ50" s="430" t="e">
        <v>#VALUE!</v>
      </c>
      <c r="BA50" s="430" t="e">
        <v>#VALUE!</v>
      </c>
      <c r="BB50" s="430" t="e">
        <v>#VALUE!</v>
      </c>
      <c r="BC50" s="430" t="e">
        <v>#VALUE!</v>
      </c>
      <c r="BD50" s="430" t="e">
        <v>#VALUE!</v>
      </c>
      <c r="BE50" s="430" t="e">
        <v>#VALUE!</v>
      </c>
      <c r="BF50" s="430" t="e">
        <v>#VALUE!</v>
      </c>
      <c r="BG50" s="430" t="e">
        <v>#VALUE!</v>
      </c>
      <c r="BH50" s="430" t="e">
        <v>#VALUE!</v>
      </c>
      <c r="BI50" s="430" t="e">
        <v>#VALUE!</v>
      </c>
      <c r="BJ50" s="430" t="e">
        <v>#VALUE!</v>
      </c>
      <c r="BK50" s="430" t="e">
        <v>#VALUE!</v>
      </c>
      <c r="BL50" s="430" t="e">
        <v>#VALUE!</v>
      </c>
      <c r="BM50" s="430" t="e">
        <v>#VALUE!</v>
      </c>
      <c r="BN50" s="430" t="e">
        <v>#VALUE!</v>
      </c>
      <c r="BO50" s="430" t="e">
        <v>#VALUE!</v>
      </c>
      <c r="BP50" s="430" t="e">
        <v>#VALUE!</v>
      </c>
      <c r="BQ50" s="430" t="e">
        <v>#VALUE!</v>
      </c>
      <c r="BR50" s="430" t="e">
        <v>#VALUE!</v>
      </c>
      <c r="BS50" s="430" t="e">
        <v>#VALUE!</v>
      </c>
      <c r="BT50" s="430" t="e">
        <v>#VALUE!</v>
      </c>
      <c r="BU50" s="430" t="e">
        <v>#VALUE!</v>
      </c>
      <c r="BV50" s="430" t="e">
        <v>#VALUE!</v>
      </c>
      <c r="BW50" s="430" t="e">
        <v>#VALUE!</v>
      </c>
      <c r="BX50" s="430" t="e">
        <v>#VALUE!</v>
      </c>
    </row>
    <row r="51" spans="4:76">
      <c r="D51" s="430" t="e">
        <v>#VALUE!</v>
      </c>
      <c r="E51" s="430" t="e">
        <v>#VALUE!</v>
      </c>
      <c r="F51" s="430" t="e">
        <v>#VALUE!</v>
      </c>
      <c r="G51" s="430" t="e">
        <v>#VALUE!</v>
      </c>
      <c r="H51" s="430" t="e">
        <v>#VALUE!</v>
      </c>
      <c r="I51" s="430" t="e">
        <v>#VALUE!</v>
      </c>
      <c r="J51" s="430" t="e">
        <v>#VALUE!</v>
      </c>
      <c r="K51" s="430" t="e">
        <v>#VALUE!</v>
      </c>
      <c r="L51" s="430" t="e">
        <v>#VALUE!</v>
      </c>
      <c r="M51" s="430" t="e">
        <v>#VALUE!</v>
      </c>
      <c r="N51" s="430" t="e">
        <v>#VALUE!</v>
      </c>
      <c r="O51" s="430" t="e">
        <v>#VALUE!</v>
      </c>
      <c r="P51" s="430" t="e">
        <v>#VALUE!</v>
      </c>
      <c r="Q51" s="430" t="e">
        <v>#VALUE!</v>
      </c>
      <c r="R51" s="430" t="e">
        <v>#VALUE!</v>
      </c>
      <c r="S51" s="430" t="e">
        <v>#VALUE!</v>
      </c>
      <c r="T51" s="430" t="e">
        <v>#VALUE!</v>
      </c>
      <c r="U51" s="430" t="e">
        <v>#VALUE!</v>
      </c>
      <c r="V51" s="430" t="e">
        <v>#VALUE!</v>
      </c>
      <c r="W51" s="430" t="e">
        <v>#VALUE!</v>
      </c>
      <c r="X51" s="430" t="e">
        <v>#VALUE!</v>
      </c>
      <c r="Y51" s="430" t="e">
        <v>#VALUE!</v>
      </c>
      <c r="Z51" s="430" t="e">
        <v>#VALUE!</v>
      </c>
      <c r="AA51" s="430" t="e">
        <v>#VALUE!</v>
      </c>
      <c r="AB51" s="430" t="e">
        <v>#VALUE!</v>
      </c>
      <c r="AC51" s="430" t="e">
        <v>#VALUE!</v>
      </c>
      <c r="AD51" s="430" t="e">
        <v>#VALUE!</v>
      </c>
      <c r="AE51" s="430" t="e">
        <v>#VALUE!</v>
      </c>
      <c r="AF51" s="430" t="e">
        <v>#VALUE!</v>
      </c>
      <c r="AG51" s="430" t="e">
        <v>#VALUE!</v>
      </c>
      <c r="AH51" s="430" t="e">
        <v>#VALUE!</v>
      </c>
      <c r="AI51" s="430" t="e">
        <v>#VALUE!</v>
      </c>
      <c r="AJ51" s="430" t="e">
        <v>#VALUE!</v>
      </c>
      <c r="AK51" s="430" t="e">
        <v>#VALUE!</v>
      </c>
      <c r="AL51" s="430" t="e">
        <v>#VALUE!</v>
      </c>
      <c r="AM51" s="430" t="e">
        <v>#VALUE!</v>
      </c>
      <c r="AN51" s="430" t="e">
        <v>#VALUE!</v>
      </c>
      <c r="AO51" s="430" t="e">
        <v>#VALUE!</v>
      </c>
      <c r="AP51" s="430" t="e">
        <v>#VALUE!</v>
      </c>
      <c r="AQ51" s="430" t="e">
        <v>#VALUE!</v>
      </c>
      <c r="AR51" s="430" t="e">
        <v>#VALUE!</v>
      </c>
      <c r="AS51" s="430" t="e">
        <v>#VALUE!</v>
      </c>
      <c r="AT51" s="430" t="e">
        <v>#VALUE!</v>
      </c>
      <c r="AU51" s="430" t="e">
        <v>#VALUE!</v>
      </c>
      <c r="AV51" s="430" t="e">
        <v>#VALUE!</v>
      </c>
      <c r="AW51" s="430" t="e">
        <v>#VALUE!</v>
      </c>
      <c r="AX51" s="430" t="e">
        <v>#VALUE!</v>
      </c>
      <c r="AY51" s="430" t="e">
        <v>#VALUE!</v>
      </c>
      <c r="AZ51" s="430" t="e">
        <v>#VALUE!</v>
      </c>
      <c r="BA51" s="430" t="e">
        <v>#VALUE!</v>
      </c>
      <c r="BB51" s="430" t="e">
        <v>#VALUE!</v>
      </c>
      <c r="BC51" s="430" t="e">
        <v>#VALUE!</v>
      </c>
      <c r="BD51" s="430" t="e">
        <v>#VALUE!</v>
      </c>
      <c r="BE51" s="430" t="e">
        <v>#VALUE!</v>
      </c>
      <c r="BF51" s="430" t="e">
        <v>#VALUE!</v>
      </c>
      <c r="BG51" s="430" t="e">
        <v>#VALUE!</v>
      </c>
      <c r="BH51" s="430" t="e">
        <v>#VALUE!</v>
      </c>
      <c r="BI51" s="430" t="e">
        <v>#VALUE!</v>
      </c>
      <c r="BJ51" s="430" t="e">
        <v>#VALUE!</v>
      </c>
      <c r="BK51" s="430" t="e">
        <v>#VALUE!</v>
      </c>
      <c r="BL51" s="430" t="e">
        <v>#VALUE!</v>
      </c>
      <c r="BM51" s="430" t="e">
        <v>#VALUE!</v>
      </c>
      <c r="BN51" s="430" t="e">
        <v>#VALUE!</v>
      </c>
      <c r="BO51" s="430" t="e">
        <v>#VALUE!</v>
      </c>
      <c r="BP51" s="430" t="e">
        <v>#VALUE!</v>
      </c>
      <c r="BQ51" s="430" t="e">
        <v>#VALUE!</v>
      </c>
      <c r="BR51" s="430" t="e">
        <v>#VALUE!</v>
      </c>
      <c r="BS51" s="430" t="e">
        <v>#VALUE!</v>
      </c>
      <c r="BT51" s="430" t="e">
        <v>#VALUE!</v>
      </c>
      <c r="BU51" s="430" t="e">
        <v>#VALUE!</v>
      </c>
      <c r="BV51" s="430" t="e">
        <v>#VALUE!</v>
      </c>
      <c r="BW51" s="430" t="e">
        <v>#VALUE!</v>
      </c>
      <c r="BX51" s="430" t="e">
        <v>#VALUE!</v>
      </c>
    </row>
    <row r="52" spans="4:76">
      <c r="D52" s="430" t="e">
        <v>#VALUE!</v>
      </c>
      <c r="E52" s="430" t="e">
        <v>#VALUE!</v>
      </c>
      <c r="F52" s="430" t="e">
        <v>#VALUE!</v>
      </c>
      <c r="G52" s="430" t="e">
        <v>#VALUE!</v>
      </c>
      <c r="H52" s="430" t="e">
        <v>#VALUE!</v>
      </c>
      <c r="I52" s="430" t="e">
        <v>#VALUE!</v>
      </c>
      <c r="J52" s="430" t="e">
        <v>#VALUE!</v>
      </c>
      <c r="K52" s="430" t="e">
        <v>#VALUE!</v>
      </c>
      <c r="L52" s="430" t="e">
        <v>#VALUE!</v>
      </c>
      <c r="M52" s="430" t="e">
        <v>#VALUE!</v>
      </c>
      <c r="N52" s="430" t="e">
        <v>#VALUE!</v>
      </c>
      <c r="O52" s="430" t="e">
        <v>#VALUE!</v>
      </c>
      <c r="P52" s="430" t="e">
        <v>#VALUE!</v>
      </c>
      <c r="Q52" s="430" t="e">
        <v>#VALUE!</v>
      </c>
      <c r="R52" s="430" t="e">
        <v>#VALUE!</v>
      </c>
      <c r="S52" s="430" t="e">
        <v>#VALUE!</v>
      </c>
      <c r="T52" s="430" t="e">
        <v>#VALUE!</v>
      </c>
      <c r="U52" s="430" t="e">
        <v>#VALUE!</v>
      </c>
      <c r="V52" s="430" t="e">
        <v>#VALUE!</v>
      </c>
      <c r="W52" s="430" t="e">
        <v>#VALUE!</v>
      </c>
      <c r="X52" s="430" t="e">
        <v>#VALUE!</v>
      </c>
      <c r="Y52" s="430" t="e">
        <v>#VALUE!</v>
      </c>
      <c r="Z52" s="430" t="e">
        <v>#VALUE!</v>
      </c>
      <c r="AA52" s="430" t="e">
        <v>#VALUE!</v>
      </c>
      <c r="AB52" s="430" t="e">
        <v>#VALUE!</v>
      </c>
      <c r="AC52" s="430" t="e">
        <v>#VALUE!</v>
      </c>
      <c r="AD52" s="430" t="e">
        <v>#VALUE!</v>
      </c>
      <c r="AE52" s="430" t="e">
        <v>#VALUE!</v>
      </c>
      <c r="AF52" s="430" t="e">
        <v>#VALUE!</v>
      </c>
      <c r="AG52" s="430" t="e">
        <v>#VALUE!</v>
      </c>
      <c r="AH52" s="430" t="e">
        <v>#VALUE!</v>
      </c>
      <c r="AI52" s="430" t="e">
        <v>#VALUE!</v>
      </c>
      <c r="AJ52" s="430" t="e">
        <v>#VALUE!</v>
      </c>
      <c r="AK52" s="430" t="e">
        <v>#VALUE!</v>
      </c>
      <c r="AL52" s="430" t="e">
        <v>#VALUE!</v>
      </c>
      <c r="AM52" s="430" t="e">
        <v>#VALUE!</v>
      </c>
      <c r="AN52" s="430" t="e">
        <v>#VALUE!</v>
      </c>
      <c r="AO52" s="430" t="e">
        <v>#VALUE!</v>
      </c>
      <c r="AP52" s="430" t="e">
        <v>#VALUE!</v>
      </c>
      <c r="AQ52" s="430" t="e">
        <v>#VALUE!</v>
      </c>
      <c r="AR52" s="430" t="e">
        <v>#VALUE!</v>
      </c>
      <c r="AS52" s="430" t="e">
        <v>#VALUE!</v>
      </c>
      <c r="AT52" s="430" t="e">
        <v>#VALUE!</v>
      </c>
      <c r="AU52" s="430" t="e">
        <v>#VALUE!</v>
      </c>
      <c r="AV52" s="430" t="e">
        <v>#VALUE!</v>
      </c>
      <c r="AW52" s="430" t="e">
        <v>#VALUE!</v>
      </c>
      <c r="AX52" s="430" t="e">
        <v>#VALUE!</v>
      </c>
      <c r="AY52" s="430" t="e">
        <v>#VALUE!</v>
      </c>
      <c r="AZ52" s="430" t="e">
        <v>#VALUE!</v>
      </c>
      <c r="BA52" s="430" t="e">
        <v>#VALUE!</v>
      </c>
      <c r="BB52" s="430" t="e">
        <v>#VALUE!</v>
      </c>
      <c r="BC52" s="430" t="e">
        <v>#VALUE!</v>
      </c>
      <c r="BD52" s="430" t="e">
        <v>#VALUE!</v>
      </c>
      <c r="BE52" s="430" t="e">
        <v>#VALUE!</v>
      </c>
      <c r="BF52" s="430" t="e">
        <v>#VALUE!</v>
      </c>
      <c r="BG52" s="430" t="e">
        <v>#VALUE!</v>
      </c>
      <c r="BH52" s="430" t="e">
        <v>#VALUE!</v>
      </c>
      <c r="BI52" s="430" t="e">
        <v>#VALUE!</v>
      </c>
      <c r="BJ52" s="430" t="e">
        <v>#VALUE!</v>
      </c>
      <c r="BK52" s="430" t="e">
        <v>#VALUE!</v>
      </c>
      <c r="BL52" s="430" t="e">
        <v>#VALUE!</v>
      </c>
      <c r="BM52" s="430" t="e">
        <v>#VALUE!</v>
      </c>
      <c r="BN52" s="430" t="e">
        <v>#VALUE!</v>
      </c>
      <c r="BO52" s="430" t="e">
        <v>#VALUE!</v>
      </c>
      <c r="BP52" s="430" t="e">
        <v>#VALUE!</v>
      </c>
      <c r="BQ52" s="430" t="e">
        <v>#VALUE!</v>
      </c>
      <c r="BR52" s="430" t="e">
        <v>#VALUE!</v>
      </c>
      <c r="BS52" s="430" t="e">
        <v>#VALUE!</v>
      </c>
      <c r="BT52" s="430" t="e">
        <v>#VALUE!</v>
      </c>
      <c r="BU52" s="430" t="e">
        <v>#VALUE!</v>
      </c>
      <c r="BV52" s="430" t="e">
        <v>#VALUE!</v>
      </c>
      <c r="BW52" s="430" t="e">
        <v>#VALUE!</v>
      </c>
      <c r="BX52" s="430" t="e">
        <v>#VALUE!</v>
      </c>
    </row>
    <row r="53" spans="4:76">
      <c r="D53" s="430" t="e">
        <v>#VALUE!</v>
      </c>
      <c r="E53" s="430" t="e">
        <v>#VALUE!</v>
      </c>
      <c r="F53" s="430" t="e">
        <v>#VALUE!</v>
      </c>
      <c r="G53" s="430" t="e">
        <v>#VALUE!</v>
      </c>
      <c r="H53" s="430" t="e">
        <v>#VALUE!</v>
      </c>
      <c r="I53" s="430" t="e">
        <v>#VALUE!</v>
      </c>
      <c r="J53" s="430" t="e">
        <v>#VALUE!</v>
      </c>
      <c r="K53" s="430" t="e">
        <v>#VALUE!</v>
      </c>
      <c r="L53" s="430" t="e">
        <v>#VALUE!</v>
      </c>
      <c r="M53" s="430" t="e">
        <v>#VALUE!</v>
      </c>
      <c r="N53" s="430" t="e">
        <v>#VALUE!</v>
      </c>
      <c r="O53" s="430" t="e">
        <v>#VALUE!</v>
      </c>
      <c r="P53" s="430" t="e">
        <v>#VALUE!</v>
      </c>
      <c r="Q53" s="430" t="e">
        <v>#VALUE!</v>
      </c>
      <c r="R53" s="430" t="e">
        <v>#VALUE!</v>
      </c>
      <c r="S53" s="430" t="e">
        <v>#VALUE!</v>
      </c>
      <c r="T53" s="430" t="e">
        <v>#VALUE!</v>
      </c>
      <c r="U53" s="430" t="e">
        <v>#VALUE!</v>
      </c>
      <c r="V53" s="430" t="e">
        <v>#VALUE!</v>
      </c>
      <c r="W53" s="430" t="e">
        <v>#VALUE!</v>
      </c>
      <c r="X53" s="430" t="e">
        <v>#VALUE!</v>
      </c>
      <c r="Y53" s="430" t="e">
        <v>#VALUE!</v>
      </c>
      <c r="Z53" s="430" t="e">
        <v>#VALUE!</v>
      </c>
      <c r="AA53" s="430" t="e">
        <v>#VALUE!</v>
      </c>
      <c r="AB53" s="430" t="e">
        <v>#VALUE!</v>
      </c>
      <c r="AC53" s="430" t="e">
        <v>#VALUE!</v>
      </c>
      <c r="AD53" s="430" t="e">
        <v>#VALUE!</v>
      </c>
      <c r="AE53" s="430" t="e">
        <v>#VALUE!</v>
      </c>
      <c r="AF53" s="430" t="e">
        <v>#VALUE!</v>
      </c>
      <c r="AG53" s="430" t="e">
        <v>#VALUE!</v>
      </c>
      <c r="AH53" s="430" t="e">
        <v>#VALUE!</v>
      </c>
      <c r="AI53" s="430" t="e">
        <v>#VALUE!</v>
      </c>
      <c r="AJ53" s="430" t="e">
        <v>#VALUE!</v>
      </c>
      <c r="AK53" s="430" t="e">
        <v>#VALUE!</v>
      </c>
      <c r="AL53" s="430" t="e">
        <v>#VALUE!</v>
      </c>
      <c r="AM53" s="430" t="e">
        <v>#VALUE!</v>
      </c>
      <c r="AN53" s="430" t="e">
        <v>#VALUE!</v>
      </c>
      <c r="AO53" s="430" t="e">
        <v>#VALUE!</v>
      </c>
      <c r="AP53" s="430" t="e">
        <v>#VALUE!</v>
      </c>
      <c r="AQ53" s="430" t="e">
        <v>#VALUE!</v>
      </c>
      <c r="AR53" s="430" t="e">
        <v>#VALUE!</v>
      </c>
      <c r="AS53" s="430" t="e">
        <v>#VALUE!</v>
      </c>
      <c r="AT53" s="430" t="e">
        <v>#VALUE!</v>
      </c>
      <c r="AU53" s="430" t="e">
        <v>#VALUE!</v>
      </c>
      <c r="AV53" s="430" t="e">
        <v>#VALUE!</v>
      </c>
      <c r="AW53" s="430" t="e">
        <v>#VALUE!</v>
      </c>
      <c r="AX53" s="430" t="e">
        <v>#VALUE!</v>
      </c>
      <c r="AY53" s="430" t="e">
        <v>#VALUE!</v>
      </c>
      <c r="AZ53" s="430" t="e">
        <v>#VALUE!</v>
      </c>
      <c r="BA53" s="430" t="e">
        <v>#VALUE!</v>
      </c>
      <c r="BB53" s="430" t="e">
        <v>#VALUE!</v>
      </c>
      <c r="BC53" s="430" t="e">
        <v>#VALUE!</v>
      </c>
      <c r="BD53" s="430" t="e">
        <v>#VALUE!</v>
      </c>
      <c r="BE53" s="430" t="e">
        <v>#VALUE!</v>
      </c>
      <c r="BF53" s="430" t="e">
        <v>#VALUE!</v>
      </c>
      <c r="BG53" s="430" t="e">
        <v>#VALUE!</v>
      </c>
      <c r="BH53" s="430" t="e">
        <v>#VALUE!</v>
      </c>
      <c r="BI53" s="430" t="e">
        <v>#VALUE!</v>
      </c>
      <c r="BJ53" s="430" t="e">
        <v>#VALUE!</v>
      </c>
      <c r="BK53" s="430" t="e">
        <v>#VALUE!</v>
      </c>
      <c r="BL53" s="430" t="e">
        <v>#VALUE!</v>
      </c>
      <c r="BM53" s="430" t="e">
        <v>#VALUE!</v>
      </c>
      <c r="BN53" s="430" t="e">
        <v>#VALUE!</v>
      </c>
      <c r="BO53" s="430" t="e">
        <v>#VALUE!</v>
      </c>
      <c r="BP53" s="430" t="e">
        <v>#VALUE!</v>
      </c>
      <c r="BQ53" s="430" t="e">
        <v>#VALUE!</v>
      </c>
      <c r="BR53" s="430" t="e">
        <v>#VALUE!</v>
      </c>
      <c r="BS53" s="430" t="e">
        <v>#VALUE!</v>
      </c>
      <c r="BT53" s="430" t="e">
        <v>#VALUE!</v>
      </c>
      <c r="BU53" s="430" t="e">
        <v>#VALUE!</v>
      </c>
      <c r="BV53" s="430" t="e">
        <v>#VALUE!</v>
      </c>
      <c r="BW53" s="430" t="e">
        <v>#VALUE!</v>
      </c>
      <c r="BX53" s="430" t="e">
        <v>#VALUE!</v>
      </c>
    </row>
    <row r="54" spans="4:76">
      <c r="D54" s="430" t="e">
        <v>#VALUE!</v>
      </c>
      <c r="E54" s="430" t="e">
        <v>#VALUE!</v>
      </c>
      <c r="F54" s="430" t="e">
        <v>#VALUE!</v>
      </c>
      <c r="G54" s="430" t="e">
        <v>#VALUE!</v>
      </c>
      <c r="H54" s="430" t="e">
        <v>#VALUE!</v>
      </c>
      <c r="I54" s="430" t="e">
        <v>#VALUE!</v>
      </c>
      <c r="J54" s="430" t="e">
        <v>#VALUE!</v>
      </c>
      <c r="K54" s="430" t="e">
        <v>#VALUE!</v>
      </c>
      <c r="L54" s="430" t="e">
        <v>#VALUE!</v>
      </c>
      <c r="M54" s="430" t="e">
        <v>#VALUE!</v>
      </c>
      <c r="N54" s="430" t="e">
        <v>#VALUE!</v>
      </c>
      <c r="O54" s="430" t="e">
        <v>#VALUE!</v>
      </c>
      <c r="P54" s="430" t="e">
        <v>#VALUE!</v>
      </c>
      <c r="Q54" s="430" t="e">
        <v>#VALUE!</v>
      </c>
      <c r="R54" s="430" t="e">
        <v>#VALUE!</v>
      </c>
      <c r="S54" s="430" t="e">
        <v>#VALUE!</v>
      </c>
      <c r="T54" s="430" t="e">
        <v>#VALUE!</v>
      </c>
      <c r="U54" s="430" t="e">
        <v>#VALUE!</v>
      </c>
      <c r="V54" s="430" t="e">
        <v>#VALUE!</v>
      </c>
      <c r="W54" s="430" t="e">
        <v>#VALUE!</v>
      </c>
      <c r="X54" s="430" t="e">
        <v>#VALUE!</v>
      </c>
      <c r="Y54" s="430" t="e">
        <v>#VALUE!</v>
      </c>
      <c r="Z54" s="430" t="e">
        <v>#VALUE!</v>
      </c>
      <c r="AA54" s="430" t="e">
        <v>#VALUE!</v>
      </c>
      <c r="AB54" s="430" t="e">
        <v>#VALUE!</v>
      </c>
      <c r="AC54" s="430" t="e">
        <v>#VALUE!</v>
      </c>
      <c r="AD54" s="430" t="e">
        <v>#VALUE!</v>
      </c>
      <c r="AE54" s="430" t="e">
        <v>#VALUE!</v>
      </c>
      <c r="AF54" s="430" t="e">
        <v>#VALUE!</v>
      </c>
      <c r="AG54" s="430" t="e">
        <v>#VALUE!</v>
      </c>
      <c r="AH54" s="430" t="e">
        <v>#VALUE!</v>
      </c>
      <c r="AI54" s="430" t="e">
        <v>#VALUE!</v>
      </c>
      <c r="AJ54" s="430" t="e">
        <v>#VALUE!</v>
      </c>
      <c r="AK54" s="430" t="e">
        <v>#VALUE!</v>
      </c>
      <c r="AL54" s="430" t="e">
        <v>#VALUE!</v>
      </c>
      <c r="AM54" s="430" t="e">
        <v>#VALUE!</v>
      </c>
      <c r="AN54" s="430" t="e">
        <v>#VALUE!</v>
      </c>
      <c r="AO54" s="430" t="e">
        <v>#VALUE!</v>
      </c>
      <c r="AP54" s="430" t="e">
        <v>#VALUE!</v>
      </c>
      <c r="AQ54" s="430" t="e">
        <v>#VALUE!</v>
      </c>
      <c r="AR54" s="430" t="e">
        <v>#VALUE!</v>
      </c>
      <c r="AS54" s="430" t="e">
        <v>#VALUE!</v>
      </c>
      <c r="AT54" s="430" t="e">
        <v>#VALUE!</v>
      </c>
      <c r="AU54" s="430" t="e">
        <v>#VALUE!</v>
      </c>
      <c r="AV54" s="430" t="e">
        <v>#VALUE!</v>
      </c>
      <c r="AW54" s="430" t="e">
        <v>#VALUE!</v>
      </c>
      <c r="AX54" s="430" t="e">
        <v>#VALUE!</v>
      </c>
      <c r="AY54" s="430" t="e">
        <v>#VALUE!</v>
      </c>
      <c r="AZ54" s="430" t="e">
        <v>#VALUE!</v>
      </c>
      <c r="BA54" s="430" t="e">
        <v>#VALUE!</v>
      </c>
      <c r="BB54" s="430" t="e">
        <v>#VALUE!</v>
      </c>
      <c r="BC54" s="430" t="e">
        <v>#VALUE!</v>
      </c>
      <c r="BD54" s="430" t="e">
        <v>#VALUE!</v>
      </c>
      <c r="BE54" s="430" t="e">
        <v>#VALUE!</v>
      </c>
      <c r="BF54" s="430" t="e">
        <v>#VALUE!</v>
      </c>
      <c r="BG54" s="430" t="e">
        <v>#VALUE!</v>
      </c>
      <c r="BH54" s="430" t="e">
        <v>#VALUE!</v>
      </c>
      <c r="BI54" s="430" t="e">
        <v>#VALUE!</v>
      </c>
      <c r="BJ54" s="430" t="e">
        <v>#VALUE!</v>
      </c>
      <c r="BK54" s="430" t="e">
        <v>#VALUE!</v>
      </c>
      <c r="BL54" s="430" t="e">
        <v>#VALUE!</v>
      </c>
      <c r="BM54" s="430" t="e">
        <v>#VALUE!</v>
      </c>
      <c r="BN54" s="430" t="e">
        <v>#VALUE!</v>
      </c>
      <c r="BO54" s="430" t="e">
        <v>#VALUE!</v>
      </c>
      <c r="BP54" s="430" t="e">
        <v>#VALUE!</v>
      </c>
      <c r="BQ54" s="430" t="e">
        <v>#VALUE!</v>
      </c>
      <c r="BR54" s="430" t="e">
        <v>#VALUE!</v>
      </c>
      <c r="BS54" s="430" t="e">
        <v>#VALUE!</v>
      </c>
      <c r="BT54" s="430" t="e">
        <v>#VALUE!</v>
      </c>
      <c r="BU54" s="430" t="e">
        <v>#VALUE!</v>
      </c>
      <c r="BV54" s="430" t="e">
        <v>#VALUE!</v>
      </c>
      <c r="BW54" s="430" t="e">
        <v>#VALUE!</v>
      </c>
      <c r="BX54" s="430" t="e">
        <v>#VALUE!</v>
      </c>
    </row>
    <row r="55" spans="4:76">
      <c r="D55" s="430" t="e">
        <v>#VALUE!</v>
      </c>
      <c r="E55" s="430" t="e">
        <v>#VALUE!</v>
      </c>
      <c r="F55" s="430" t="e">
        <v>#VALUE!</v>
      </c>
      <c r="G55" s="430" t="e">
        <v>#VALUE!</v>
      </c>
      <c r="H55" s="430" t="e">
        <v>#VALUE!</v>
      </c>
      <c r="I55" s="430" t="e">
        <v>#VALUE!</v>
      </c>
      <c r="J55" s="430" t="e">
        <v>#VALUE!</v>
      </c>
      <c r="K55" s="430" t="e">
        <v>#VALUE!</v>
      </c>
      <c r="L55" s="430" t="e">
        <v>#VALUE!</v>
      </c>
      <c r="M55" s="430" t="e">
        <v>#VALUE!</v>
      </c>
      <c r="N55" s="430" t="e">
        <v>#VALUE!</v>
      </c>
      <c r="O55" s="430" t="e">
        <v>#VALUE!</v>
      </c>
      <c r="P55" s="430" t="e">
        <v>#VALUE!</v>
      </c>
      <c r="Q55" s="430" t="e">
        <v>#VALUE!</v>
      </c>
      <c r="R55" s="430" t="e">
        <v>#VALUE!</v>
      </c>
      <c r="S55" s="430" t="e">
        <v>#VALUE!</v>
      </c>
      <c r="T55" s="430" t="e">
        <v>#VALUE!</v>
      </c>
      <c r="U55" s="430" t="e">
        <v>#VALUE!</v>
      </c>
      <c r="V55" s="430" t="e">
        <v>#VALUE!</v>
      </c>
      <c r="W55" s="430" t="e">
        <v>#VALUE!</v>
      </c>
      <c r="X55" s="430" t="e">
        <v>#VALUE!</v>
      </c>
      <c r="Y55" s="430" t="e">
        <v>#VALUE!</v>
      </c>
      <c r="Z55" s="430" t="e">
        <v>#VALUE!</v>
      </c>
      <c r="AA55" s="430" t="e">
        <v>#VALUE!</v>
      </c>
      <c r="AB55" s="430" t="e">
        <v>#VALUE!</v>
      </c>
      <c r="AC55" s="430" t="e">
        <v>#VALUE!</v>
      </c>
      <c r="AD55" s="430" t="e">
        <v>#VALUE!</v>
      </c>
      <c r="AE55" s="430" t="e">
        <v>#VALUE!</v>
      </c>
      <c r="AF55" s="430" t="e">
        <v>#VALUE!</v>
      </c>
      <c r="AG55" s="430" t="e">
        <v>#VALUE!</v>
      </c>
      <c r="AH55" s="430" t="e">
        <v>#VALUE!</v>
      </c>
      <c r="AI55" s="430" t="e">
        <v>#VALUE!</v>
      </c>
      <c r="AJ55" s="430" t="e">
        <v>#VALUE!</v>
      </c>
      <c r="AK55" s="430" t="e">
        <v>#VALUE!</v>
      </c>
      <c r="AL55" s="430" t="e">
        <v>#VALUE!</v>
      </c>
      <c r="AM55" s="430" t="e">
        <v>#VALUE!</v>
      </c>
      <c r="AN55" s="430" t="e">
        <v>#VALUE!</v>
      </c>
      <c r="AO55" s="430" t="e">
        <v>#VALUE!</v>
      </c>
      <c r="AP55" s="430" t="e">
        <v>#VALUE!</v>
      </c>
      <c r="AQ55" s="430" t="e">
        <v>#VALUE!</v>
      </c>
      <c r="AR55" s="430" t="e">
        <v>#VALUE!</v>
      </c>
      <c r="AS55" s="430" t="e">
        <v>#VALUE!</v>
      </c>
      <c r="AT55" s="430" t="e">
        <v>#VALUE!</v>
      </c>
      <c r="AU55" s="430" t="e">
        <v>#VALUE!</v>
      </c>
      <c r="AV55" s="430" t="e">
        <v>#VALUE!</v>
      </c>
      <c r="AW55" s="430" t="e">
        <v>#VALUE!</v>
      </c>
      <c r="AX55" s="430" t="e">
        <v>#VALUE!</v>
      </c>
      <c r="AY55" s="430" t="e">
        <v>#VALUE!</v>
      </c>
      <c r="AZ55" s="430" t="e">
        <v>#VALUE!</v>
      </c>
      <c r="BA55" s="430" t="e">
        <v>#VALUE!</v>
      </c>
      <c r="BB55" s="430" t="e">
        <v>#VALUE!</v>
      </c>
      <c r="BC55" s="430" t="e">
        <v>#VALUE!</v>
      </c>
      <c r="BD55" s="430" t="e">
        <v>#VALUE!</v>
      </c>
      <c r="BE55" s="430" t="e">
        <v>#VALUE!</v>
      </c>
      <c r="BF55" s="430" t="e">
        <v>#VALUE!</v>
      </c>
      <c r="BG55" s="430" t="e">
        <v>#VALUE!</v>
      </c>
      <c r="BH55" s="430" t="e">
        <v>#VALUE!</v>
      </c>
      <c r="BI55" s="430" t="e">
        <v>#VALUE!</v>
      </c>
      <c r="BJ55" s="430" t="e">
        <v>#VALUE!</v>
      </c>
      <c r="BK55" s="430" t="e">
        <v>#VALUE!</v>
      </c>
      <c r="BL55" s="430" t="e">
        <v>#VALUE!</v>
      </c>
      <c r="BM55" s="430" t="e">
        <v>#VALUE!</v>
      </c>
      <c r="BN55" s="430" t="e">
        <v>#VALUE!</v>
      </c>
      <c r="BO55" s="430" t="e">
        <v>#VALUE!</v>
      </c>
      <c r="BP55" s="430" t="e">
        <v>#VALUE!</v>
      </c>
      <c r="BQ55" s="430" t="e">
        <v>#VALUE!</v>
      </c>
      <c r="BR55" s="430" t="e">
        <v>#VALUE!</v>
      </c>
      <c r="BS55" s="430" t="e">
        <v>#VALUE!</v>
      </c>
      <c r="BT55" s="430" t="e">
        <v>#VALUE!</v>
      </c>
      <c r="BU55" s="430" t="e">
        <v>#VALUE!</v>
      </c>
      <c r="BV55" s="430" t="e">
        <v>#VALUE!</v>
      </c>
      <c r="BW55" s="430" t="e">
        <v>#VALUE!</v>
      </c>
      <c r="BX55" s="430" t="e">
        <v>#VALUE!</v>
      </c>
    </row>
    <row r="56" spans="4:76">
      <c r="D56" s="430" t="e">
        <v>#VALUE!</v>
      </c>
      <c r="E56" s="430" t="e">
        <v>#VALUE!</v>
      </c>
      <c r="F56" s="430" t="e">
        <v>#VALUE!</v>
      </c>
      <c r="G56" s="430" t="e">
        <v>#VALUE!</v>
      </c>
      <c r="H56" s="430" t="e">
        <v>#VALUE!</v>
      </c>
      <c r="I56" s="430" t="e">
        <v>#VALUE!</v>
      </c>
      <c r="J56" s="430" t="e">
        <v>#VALUE!</v>
      </c>
      <c r="K56" s="430" t="e">
        <v>#VALUE!</v>
      </c>
      <c r="L56" s="430" t="e">
        <v>#VALUE!</v>
      </c>
      <c r="M56" s="430" t="e">
        <v>#VALUE!</v>
      </c>
      <c r="N56" s="430" t="e">
        <v>#VALUE!</v>
      </c>
      <c r="O56" s="430" t="e">
        <v>#VALUE!</v>
      </c>
      <c r="P56" s="430" t="e">
        <v>#VALUE!</v>
      </c>
      <c r="Q56" s="430" t="e">
        <v>#VALUE!</v>
      </c>
      <c r="R56" s="430" t="e">
        <v>#VALUE!</v>
      </c>
      <c r="S56" s="430" t="e">
        <v>#VALUE!</v>
      </c>
      <c r="T56" s="430" t="e">
        <v>#VALUE!</v>
      </c>
      <c r="U56" s="430" t="e">
        <v>#VALUE!</v>
      </c>
      <c r="V56" s="430" t="e">
        <v>#VALUE!</v>
      </c>
      <c r="W56" s="430" t="e">
        <v>#VALUE!</v>
      </c>
      <c r="X56" s="430" t="e">
        <v>#VALUE!</v>
      </c>
      <c r="Y56" s="430" t="e">
        <v>#VALUE!</v>
      </c>
      <c r="Z56" s="430" t="e">
        <v>#VALUE!</v>
      </c>
      <c r="AA56" s="430" t="e">
        <v>#VALUE!</v>
      </c>
      <c r="AB56" s="430" t="e">
        <v>#VALUE!</v>
      </c>
      <c r="AC56" s="430" t="e">
        <v>#VALUE!</v>
      </c>
      <c r="AD56" s="430" t="e">
        <v>#VALUE!</v>
      </c>
      <c r="AE56" s="430" t="e">
        <v>#VALUE!</v>
      </c>
      <c r="AF56" s="430" t="e">
        <v>#VALUE!</v>
      </c>
      <c r="AG56" s="430" t="e">
        <v>#VALUE!</v>
      </c>
      <c r="AH56" s="430" t="e">
        <v>#VALUE!</v>
      </c>
      <c r="AI56" s="430" t="e">
        <v>#VALUE!</v>
      </c>
      <c r="AJ56" s="430" t="e">
        <v>#VALUE!</v>
      </c>
      <c r="AK56" s="430" t="e">
        <v>#VALUE!</v>
      </c>
      <c r="AL56" s="430" t="e">
        <v>#VALUE!</v>
      </c>
      <c r="AM56" s="430" t="e">
        <v>#VALUE!</v>
      </c>
      <c r="AN56" s="430" t="e">
        <v>#VALUE!</v>
      </c>
      <c r="AO56" s="430" t="e">
        <v>#VALUE!</v>
      </c>
      <c r="AP56" s="430" t="e">
        <v>#VALUE!</v>
      </c>
      <c r="AQ56" s="430" t="e">
        <v>#VALUE!</v>
      </c>
      <c r="AR56" s="430" t="e">
        <v>#VALUE!</v>
      </c>
      <c r="AS56" s="430" t="e">
        <v>#VALUE!</v>
      </c>
      <c r="AT56" s="430" t="e">
        <v>#VALUE!</v>
      </c>
      <c r="AU56" s="430" t="e">
        <v>#VALUE!</v>
      </c>
      <c r="AV56" s="430" t="e">
        <v>#VALUE!</v>
      </c>
      <c r="AW56" s="430" t="e">
        <v>#VALUE!</v>
      </c>
      <c r="AX56" s="430" t="e">
        <v>#VALUE!</v>
      </c>
      <c r="AY56" s="430" t="e">
        <v>#VALUE!</v>
      </c>
      <c r="AZ56" s="430" t="e">
        <v>#VALUE!</v>
      </c>
      <c r="BA56" s="430" t="e">
        <v>#VALUE!</v>
      </c>
      <c r="BB56" s="430" t="e">
        <v>#VALUE!</v>
      </c>
      <c r="BC56" s="430" t="e">
        <v>#VALUE!</v>
      </c>
      <c r="BD56" s="430" t="e">
        <v>#VALUE!</v>
      </c>
      <c r="BE56" s="430" t="e">
        <v>#VALUE!</v>
      </c>
      <c r="BF56" s="430" t="e">
        <v>#VALUE!</v>
      </c>
      <c r="BG56" s="430" t="e">
        <v>#VALUE!</v>
      </c>
      <c r="BH56" s="430" t="e">
        <v>#VALUE!</v>
      </c>
      <c r="BI56" s="430" t="e">
        <v>#VALUE!</v>
      </c>
      <c r="BJ56" s="430" t="e">
        <v>#VALUE!</v>
      </c>
      <c r="BK56" s="430" t="e">
        <v>#VALUE!</v>
      </c>
      <c r="BL56" s="430" t="e">
        <v>#VALUE!</v>
      </c>
      <c r="BM56" s="430" t="e">
        <v>#VALUE!</v>
      </c>
      <c r="BN56" s="430" t="e">
        <v>#VALUE!</v>
      </c>
      <c r="BO56" s="430" t="e">
        <v>#VALUE!</v>
      </c>
      <c r="BP56" s="430" t="e">
        <v>#VALUE!</v>
      </c>
      <c r="BQ56" s="430" t="e">
        <v>#VALUE!</v>
      </c>
      <c r="BR56" s="430" t="e">
        <v>#VALUE!</v>
      </c>
      <c r="BS56" s="430" t="e">
        <v>#VALUE!</v>
      </c>
      <c r="BT56" s="430" t="e">
        <v>#VALUE!</v>
      </c>
      <c r="BU56" s="430" t="e">
        <v>#VALUE!</v>
      </c>
      <c r="BV56" s="430" t="e">
        <v>#VALUE!</v>
      </c>
      <c r="BW56" s="430" t="e">
        <v>#VALUE!</v>
      </c>
      <c r="BX56" s="430" t="e">
        <v>#VALUE!</v>
      </c>
    </row>
    <row r="57" spans="4:76">
      <c r="D57" s="430" t="e">
        <v>#VALUE!</v>
      </c>
      <c r="E57" s="430" t="e">
        <v>#VALUE!</v>
      </c>
      <c r="F57" s="430" t="e">
        <v>#VALUE!</v>
      </c>
      <c r="G57" s="430" t="e">
        <v>#VALUE!</v>
      </c>
      <c r="H57" s="430" t="e">
        <v>#VALUE!</v>
      </c>
      <c r="I57" s="430" t="e">
        <v>#VALUE!</v>
      </c>
      <c r="J57" s="430" t="e">
        <v>#VALUE!</v>
      </c>
      <c r="K57" s="430" t="e">
        <v>#VALUE!</v>
      </c>
      <c r="L57" s="430" t="e">
        <v>#VALUE!</v>
      </c>
      <c r="M57" s="430" t="e">
        <v>#VALUE!</v>
      </c>
      <c r="N57" s="430" t="e">
        <v>#VALUE!</v>
      </c>
      <c r="O57" s="430" t="e">
        <v>#VALUE!</v>
      </c>
      <c r="P57" s="430" t="e">
        <v>#VALUE!</v>
      </c>
      <c r="Q57" s="430" t="e">
        <v>#VALUE!</v>
      </c>
      <c r="R57" s="430" t="e">
        <v>#VALUE!</v>
      </c>
      <c r="S57" s="430" t="e">
        <v>#VALUE!</v>
      </c>
      <c r="T57" s="430" t="e">
        <v>#VALUE!</v>
      </c>
      <c r="U57" s="430" t="e">
        <v>#VALUE!</v>
      </c>
      <c r="V57" s="430" t="e">
        <v>#VALUE!</v>
      </c>
      <c r="W57" s="430" t="e">
        <v>#VALUE!</v>
      </c>
      <c r="X57" s="430" t="e">
        <v>#VALUE!</v>
      </c>
      <c r="Y57" s="430" t="e">
        <v>#VALUE!</v>
      </c>
      <c r="Z57" s="430" t="e">
        <v>#VALUE!</v>
      </c>
      <c r="AA57" s="430" t="e">
        <v>#VALUE!</v>
      </c>
      <c r="AB57" s="430" t="e">
        <v>#VALUE!</v>
      </c>
      <c r="AC57" s="430" t="e">
        <v>#VALUE!</v>
      </c>
      <c r="AD57" s="430" t="e">
        <v>#VALUE!</v>
      </c>
      <c r="AE57" s="430" t="e">
        <v>#VALUE!</v>
      </c>
      <c r="AF57" s="430" t="e">
        <v>#VALUE!</v>
      </c>
      <c r="AG57" s="430" t="e">
        <v>#VALUE!</v>
      </c>
      <c r="AH57" s="430" t="e">
        <v>#VALUE!</v>
      </c>
      <c r="AI57" s="430" t="e">
        <v>#VALUE!</v>
      </c>
      <c r="AJ57" s="430" t="e">
        <v>#VALUE!</v>
      </c>
      <c r="AK57" s="430" t="e">
        <v>#VALUE!</v>
      </c>
      <c r="AL57" s="430" t="e">
        <v>#VALUE!</v>
      </c>
      <c r="AM57" s="430" t="e">
        <v>#VALUE!</v>
      </c>
      <c r="AN57" s="430" t="e">
        <v>#VALUE!</v>
      </c>
      <c r="AO57" s="430" t="e">
        <v>#VALUE!</v>
      </c>
      <c r="AP57" s="430" t="e">
        <v>#VALUE!</v>
      </c>
      <c r="AQ57" s="430" t="e">
        <v>#VALUE!</v>
      </c>
      <c r="AR57" s="430" t="e">
        <v>#VALUE!</v>
      </c>
      <c r="AS57" s="430" t="e">
        <v>#VALUE!</v>
      </c>
      <c r="AT57" s="430" t="e">
        <v>#VALUE!</v>
      </c>
      <c r="AU57" s="430" t="e">
        <v>#VALUE!</v>
      </c>
      <c r="AV57" s="430" t="e">
        <v>#VALUE!</v>
      </c>
      <c r="AW57" s="430" t="e">
        <v>#VALUE!</v>
      </c>
      <c r="AX57" s="430" t="e">
        <v>#VALUE!</v>
      </c>
      <c r="AY57" s="430" t="e">
        <v>#VALUE!</v>
      </c>
      <c r="AZ57" s="430" t="e">
        <v>#VALUE!</v>
      </c>
      <c r="BA57" s="430" t="e">
        <v>#VALUE!</v>
      </c>
      <c r="BB57" s="430" t="e">
        <v>#VALUE!</v>
      </c>
      <c r="BC57" s="430" t="e">
        <v>#VALUE!</v>
      </c>
      <c r="BD57" s="430" t="e">
        <v>#VALUE!</v>
      </c>
      <c r="BE57" s="430" t="e">
        <v>#VALUE!</v>
      </c>
      <c r="BF57" s="430" t="e">
        <v>#VALUE!</v>
      </c>
      <c r="BG57" s="430" t="e">
        <v>#VALUE!</v>
      </c>
      <c r="BH57" s="430" t="e">
        <v>#VALUE!</v>
      </c>
      <c r="BI57" s="430" t="e">
        <v>#VALUE!</v>
      </c>
      <c r="BJ57" s="430" t="e">
        <v>#VALUE!</v>
      </c>
      <c r="BK57" s="430" t="e">
        <v>#VALUE!</v>
      </c>
      <c r="BL57" s="430" t="e">
        <v>#VALUE!</v>
      </c>
      <c r="BM57" s="430" t="e">
        <v>#VALUE!</v>
      </c>
      <c r="BN57" s="430" t="e">
        <v>#VALUE!</v>
      </c>
      <c r="BO57" s="430" t="e">
        <v>#VALUE!</v>
      </c>
      <c r="BP57" s="430" t="e">
        <v>#VALUE!</v>
      </c>
      <c r="BQ57" s="430" t="e">
        <v>#VALUE!</v>
      </c>
      <c r="BR57" s="430" t="e">
        <v>#VALUE!</v>
      </c>
      <c r="BS57" s="430" t="e">
        <v>#VALUE!</v>
      </c>
      <c r="BT57" s="430" t="e">
        <v>#VALUE!</v>
      </c>
      <c r="BU57" s="430" t="e">
        <v>#VALUE!</v>
      </c>
      <c r="BV57" s="430" t="e">
        <v>#VALUE!</v>
      </c>
      <c r="BW57" s="430" t="e">
        <v>#VALUE!</v>
      </c>
      <c r="BX57" s="430" t="e">
        <v>#VALUE!</v>
      </c>
    </row>
    <row r="58" spans="4:76">
      <c r="D58" s="430" t="e">
        <v>#VALUE!</v>
      </c>
      <c r="E58" s="430" t="e">
        <v>#VALUE!</v>
      </c>
      <c r="F58" s="430" t="e">
        <v>#VALUE!</v>
      </c>
      <c r="G58" s="430" t="e">
        <v>#VALUE!</v>
      </c>
      <c r="H58" s="430" t="e">
        <v>#VALUE!</v>
      </c>
      <c r="I58" s="430" t="e">
        <v>#VALUE!</v>
      </c>
      <c r="J58" s="430" t="e">
        <v>#VALUE!</v>
      </c>
      <c r="K58" s="430" t="e">
        <v>#VALUE!</v>
      </c>
      <c r="L58" s="430" t="e">
        <v>#VALUE!</v>
      </c>
      <c r="M58" s="430" t="e">
        <v>#VALUE!</v>
      </c>
      <c r="N58" s="430" t="e">
        <v>#VALUE!</v>
      </c>
      <c r="O58" s="430" t="e">
        <v>#VALUE!</v>
      </c>
      <c r="P58" s="430" t="e">
        <v>#VALUE!</v>
      </c>
      <c r="Q58" s="430" t="e">
        <v>#VALUE!</v>
      </c>
      <c r="R58" s="430" t="e">
        <v>#VALUE!</v>
      </c>
      <c r="S58" s="430" t="e">
        <v>#VALUE!</v>
      </c>
      <c r="T58" s="430" t="e">
        <v>#VALUE!</v>
      </c>
      <c r="U58" s="430" t="e">
        <v>#VALUE!</v>
      </c>
      <c r="V58" s="430" t="e">
        <v>#VALUE!</v>
      </c>
      <c r="W58" s="430" t="e">
        <v>#VALUE!</v>
      </c>
      <c r="X58" s="430" t="e">
        <v>#VALUE!</v>
      </c>
      <c r="Y58" s="430" t="e">
        <v>#VALUE!</v>
      </c>
      <c r="Z58" s="430" t="e">
        <v>#VALUE!</v>
      </c>
      <c r="AA58" s="430" t="e">
        <v>#VALUE!</v>
      </c>
      <c r="AB58" s="430" t="e">
        <v>#VALUE!</v>
      </c>
      <c r="AC58" s="430" t="e">
        <v>#VALUE!</v>
      </c>
      <c r="AD58" s="430" t="e">
        <v>#VALUE!</v>
      </c>
      <c r="AE58" s="430" t="e">
        <v>#VALUE!</v>
      </c>
      <c r="AF58" s="430" t="e">
        <v>#VALUE!</v>
      </c>
      <c r="AG58" s="430" t="e">
        <v>#VALUE!</v>
      </c>
      <c r="AH58" s="430" t="e">
        <v>#VALUE!</v>
      </c>
      <c r="AI58" s="430" t="e">
        <v>#VALUE!</v>
      </c>
      <c r="AJ58" s="430" t="e">
        <v>#VALUE!</v>
      </c>
      <c r="AK58" s="430" t="e">
        <v>#VALUE!</v>
      </c>
      <c r="AL58" s="430" t="e">
        <v>#VALUE!</v>
      </c>
      <c r="AM58" s="430" t="e">
        <v>#VALUE!</v>
      </c>
      <c r="AN58" s="430" t="e">
        <v>#VALUE!</v>
      </c>
      <c r="AO58" s="430" t="e">
        <v>#VALUE!</v>
      </c>
      <c r="AP58" s="430" t="e">
        <v>#VALUE!</v>
      </c>
      <c r="AQ58" s="430" t="e">
        <v>#VALUE!</v>
      </c>
      <c r="AR58" s="430" t="e">
        <v>#VALUE!</v>
      </c>
      <c r="AS58" s="430" t="e">
        <v>#VALUE!</v>
      </c>
      <c r="AT58" s="430" t="e">
        <v>#VALUE!</v>
      </c>
      <c r="AU58" s="430" t="e">
        <v>#VALUE!</v>
      </c>
      <c r="AV58" s="430" t="e">
        <v>#VALUE!</v>
      </c>
      <c r="AW58" s="430" t="e">
        <v>#VALUE!</v>
      </c>
      <c r="AX58" s="430" t="e">
        <v>#VALUE!</v>
      </c>
      <c r="AY58" s="430" t="e">
        <v>#VALUE!</v>
      </c>
      <c r="AZ58" s="430" t="e">
        <v>#VALUE!</v>
      </c>
      <c r="BA58" s="430" t="e">
        <v>#VALUE!</v>
      </c>
      <c r="BB58" s="430" t="e">
        <v>#VALUE!</v>
      </c>
      <c r="BC58" s="430" t="e">
        <v>#VALUE!</v>
      </c>
      <c r="BD58" s="430" t="e">
        <v>#VALUE!</v>
      </c>
      <c r="BE58" s="430" t="e">
        <v>#VALUE!</v>
      </c>
      <c r="BF58" s="430" t="e">
        <v>#VALUE!</v>
      </c>
      <c r="BG58" s="430" t="e">
        <v>#VALUE!</v>
      </c>
      <c r="BH58" s="430" t="e">
        <v>#VALUE!</v>
      </c>
      <c r="BI58" s="430" t="e">
        <v>#VALUE!</v>
      </c>
      <c r="BJ58" s="430" t="e">
        <v>#VALUE!</v>
      </c>
      <c r="BK58" s="430" t="e">
        <v>#VALUE!</v>
      </c>
      <c r="BL58" s="430" t="e">
        <v>#VALUE!</v>
      </c>
      <c r="BM58" s="430" t="e">
        <v>#VALUE!</v>
      </c>
      <c r="BN58" s="430" t="e">
        <v>#VALUE!</v>
      </c>
      <c r="BO58" s="430" t="e">
        <v>#VALUE!</v>
      </c>
      <c r="BP58" s="430" t="e">
        <v>#VALUE!</v>
      </c>
      <c r="BQ58" s="430" t="e">
        <v>#VALUE!</v>
      </c>
      <c r="BR58" s="430" t="e">
        <v>#VALUE!</v>
      </c>
      <c r="BS58" s="430" t="e">
        <v>#VALUE!</v>
      </c>
      <c r="BT58" s="430" t="e">
        <v>#VALUE!</v>
      </c>
      <c r="BU58" s="430" t="e">
        <v>#VALUE!</v>
      </c>
      <c r="BV58" s="430" t="e">
        <v>#VALUE!</v>
      </c>
      <c r="BW58" s="430" t="e">
        <v>#VALUE!</v>
      </c>
      <c r="BX58" s="430" t="e">
        <v>#VALUE!</v>
      </c>
    </row>
    <row r="59" spans="4:76">
      <c r="D59" s="430" t="e">
        <v>#VALUE!</v>
      </c>
      <c r="E59" s="430" t="e">
        <v>#VALUE!</v>
      </c>
      <c r="F59" s="430" t="e">
        <v>#VALUE!</v>
      </c>
      <c r="G59" s="430" t="e">
        <v>#VALUE!</v>
      </c>
      <c r="H59" s="430" t="e">
        <v>#VALUE!</v>
      </c>
      <c r="I59" s="430" t="e">
        <v>#VALUE!</v>
      </c>
      <c r="J59" s="430" t="e">
        <v>#VALUE!</v>
      </c>
      <c r="K59" s="430" t="e">
        <v>#VALUE!</v>
      </c>
      <c r="L59" s="430" t="e">
        <v>#VALUE!</v>
      </c>
      <c r="M59" s="430" t="e">
        <v>#VALUE!</v>
      </c>
      <c r="N59" s="430" t="e">
        <v>#VALUE!</v>
      </c>
      <c r="O59" s="430" t="e">
        <v>#VALUE!</v>
      </c>
      <c r="P59" s="430" t="e">
        <v>#VALUE!</v>
      </c>
      <c r="Q59" s="430" t="e">
        <v>#VALUE!</v>
      </c>
      <c r="R59" s="430" t="e">
        <v>#VALUE!</v>
      </c>
      <c r="S59" s="430" t="e">
        <v>#VALUE!</v>
      </c>
      <c r="T59" s="430" t="e">
        <v>#VALUE!</v>
      </c>
      <c r="U59" s="430" t="e">
        <v>#VALUE!</v>
      </c>
      <c r="V59" s="430" t="e">
        <v>#VALUE!</v>
      </c>
      <c r="W59" s="430" t="e">
        <v>#VALUE!</v>
      </c>
      <c r="X59" s="430" t="e">
        <v>#VALUE!</v>
      </c>
      <c r="Y59" s="430" t="e">
        <v>#VALUE!</v>
      </c>
      <c r="Z59" s="430" t="e">
        <v>#VALUE!</v>
      </c>
      <c r="AA59" s="430" t="e">
        <v>#VALUE!</v>
      </c>
      <c r="AB59" s="430" t="e">
        <v>#VALUE!</v>
      </c>
      <c r="AC59" s="430" t="e">
        <v>#VALUE!</v>
      </c>
      <c r="AD59" s="430" t="e">
        <v>#VALUE!</v>
      </c>
      <c r="AE59" s="430" t="e">
        <v>#VALUE!</v>
      </c>
      <c r="AF59" s="430" t="e">
        <v>#VALUE!</v>
      </c>
      <c r="AG59" s="430" t="e">
        <v>#VALUE!</v>
      </c>
      <c r="AH59" s="430" t="e">
        <v>#VALUE!</v>
      </c>
      <c r="AI59" s="430" t="e">
        <v>#VALUE!</v>
      </c>
      <c r="AJ59" s="430" t="e">
        <v>#VALUE!</v>
      </c>
      <c r="AK59" s="430" t="e">
        <v>#VALUE!</v>
      </c>
      <c r="AL59" s="430" t="e">
        <v>#VALUE!</v>
      </c>
      <c r="AM59" s="430" t="e">
        <v>#VALUE!</v>
      </c>
      <c r="AN59" s="430" t="e">
        <v>#VALUE!</v>
      </c>
      <c r="AO59" s="430" t="e">
        <v>#VALUE!</v>
      </c>
      <c r="AP59" s="430" t="e">
        <v>#VALUE!</v>
      </c>
      <c r="AQ59" s="430" t="e">
        <v>#VALUE!</v>
      </c>
      <c r="AR59" s="430" t="e">
        <v>#VALUE!</v>
      </c>
      <c r="AS59" s="430" t="e">
        <v>#VALUE!</v>
      </c>
      <c r="AT59" s="430" t="e">
        <v>#VALUE!</v>
      </c>
      <c r="AU59" s="430" t="e">
        <v>#VALUE!</v>
      </c>
      <c r="AV59" s="430" t="e">
        <v>#VALUE!</v>
      </c>
      <c r="AW59" s="430" t="e">
        <v>#VALUE!</v>
      </c>
      <c r="AX59" s="430" t="e">
        <v>#VALUE!</v>
      </c>
      <c r="AY59" s="430" t="e">
        <v>#VALUE!</v>
      </c>
      <c r="AZ59" s="430" t="e">
        <v>#VALUE!</v>
      </c>
      <c r="BA59" s="430" t="e">
        <v>#VALUE!</v>
      </c>
      <c r="BB59" s="430" t="e">
        <v>#VALUE!</v>
      </c>
      <c r="BC59" s="430" t="e">
        <v>#VALUE!</v>
      </c>
      <c r="BD59" s="430" t="e">
        <v>#VALUE!</v>
      </c>
      <c r="BE59" s="430" t="e">
        <v>#VALUE!</v>
      </c>
      <c r="BF59" s="430" t="e">
        <v>#VALUE!</v>
      </c>
      <c r="BG59" s="430" t="e">
        <v>#VALUE!</v>
      </c>
      <c r="BH59" s="430" t="e">
        <v>#VALUE!</v>
      </c>
      <c r="BI59" s="430" t="e">
        <v>#VALUE!</v>
      </c>
      <c r="BJ59" s="430" t="e">
        <v>#VALUE!</v>
      </c>
      <c r="BK59" s="430" t="e">
        <v>#VALUE!</v>
      </c>
      <c r="BL59" s="430" t="e">
        <v>#VALUE!</v>
      </c>
      <c r="BM59" s="430" t="e">
        <v>#VALUE!</v>
      </c>
      <c r="BN59" s="430" t="e">
        <v>#VALUE!</v>
      </c>
      <c r="BO59" s="430" t="e">
        <v>#VALUE!</v>
      </c>
      <c r="BP59" s="430" t="e">
        <v>#VALUE!</v>
      </c>
      <c r="BQ59" s="430" t="e">
        <v>#VALUE!</v>
      </c>
      <c r="BR59" s="430" t="e">
        <v>#VALUE!</v>
      </c>
      <c r="BS59" s="430" t="e">
        <v>#VALUE!</v>
      </c>
      <c r="BT59" s="430" t="e">
        <v>#VALUE!</v>
      </c>
      <c r="BU59" s="430" t="e">
        <v>#VALUE!</v>
      </c>
      <c r="BV59" s="430" t="e">
        <v>#VALUE!</v>
      </c>
      <c r="BW59" s="430" t="e">
        <v>#VALUE!</v>
      </c>
      <c r="BX59" s="430" t="e">
        <v>#VALUE!</v>
      </c>
    </row>
    <row r="60" spans="4:76">
      <c r="D60" s="430" t="e">
        <v>#VALUE!</v>
      </c>
      <c r="E60" s="430" t="e">
        <v>#VALUE!</v>
      </c>
      <c r="F60" s="430" t="e">
        <v>#VALUE!</v>
      </c>
      <c r="G60" s="430" t="e">
        <v>#VALUE!</v>
      </c>
      <c r="H60" s="430" t="e">
        <v>#VALUE!</v>
      </c>
      <c r="I60" s="430" t="e">
        <v>#VALUE!</v>
      </c>
      <c r="J60" s="430" t="e">
        <v>#VALUE!</v>
      </c>
      <c r="K60" s="430" t="e">
        <v>#VALUE!</v>
      </c>
      <c r="L60" s="430" t="e">
        <v>#VALUE!</v>
      </c>
      <c r="M60" s="430" t="e">
        <v>#VALUE!</v>
      </c>
      <c r="N60" s="430" t="e">
        <v>#VALUE!</v>
      </c>
      <c r="O60" s="430" t="e">
        <v>#VALUE!</v>
      </c>
      <c r="P60" s="430" t="e">
        <v>#VALUE!</v>
      </c>
      <c r="Q60" s="430" t="e">
        <v>#VALUE!</v>
      </c>
      <c r="R60" s="430" t="e">
        <v>#VALUE!</v>
      </c>
      <c r="S60" s="430" t="e">
        <v>#VALUE!</v>
      </c>
      <c r="T60" s="430" t="e">
        <v>#VALUE!</v>
      </c>
      <c r="U60" s="430" t="e">
        <v>#VALUE!</v>
      </c>
      <c r="V60" s="430" t="e">
        <v>#VALUE!</v>
      </c>
      <c r="W60" s="430" t="e">
        <v>#VALUE!</v>
      </c>
      <c r="X60" s="430" t="e">
        <v>#VALUE!</v>
      </c>
      <c r="Y60" s="430" t="e">
        <v>#VALUE!</v>
      </c>
      <c r="Z60" s="430" t="e">
        <v>#VALUE!</v>
      </c>
      <c r="AA60" s="430" t="e">
        <v>#VALUE!</v>
      </c>
      <c r="AB60" s="430" t="e">
        <v>#VALUE!</v>
      </c>
      <c r="AC60" s="430" t="e">
        <v>#VALUE!</v>
      </c>
      <c r="AD60" s="430" t="e">
        <v>#VALUE!</v>
      </c>
      <c r="AE60" s="430" t="e">
        <v>#VALUE!</v>
      </c>
      <c r="AF60" s="430" t="e">
        <v>#VALUE!</v>
      </c>
      <c r="AG60" s="430" t="e">
        <v>#VALUE!</v>
      </c>
      <c r="AH60" s="430" t="e">
        <v>#VALUE!</v>
      </c>
      <c r="AI60" s="430" t="e">
        <v>#VALUE!</v>
      </c>
      <c r="AJ60" s="430" t="e">
        <v>#VALUE!</v>
      </c>
      <c r="AK60" s="430" t="e">
        <v>#VALUE!</v>
      </c>
      <c r="AL60" s="430" t="e">
        <v>#VALUE!</v>
      </c>
      <c r="AM60" s="430" t="e">
        <v>#VALUE!</v>
      </c>
      <c r="AN60" s="430" t="e">
        <v>#VALUE!</v>
      </c>
      <c r="AO60" s="430" t="e">
        <v>#VALUE!</v>
      </c>
      <c r="AP60" s="430" t="e">
        <v>#VALUE!</v>
      </c>
      <c r="AQ60" s="430" t="e">
        <v>#VALUE!</v>
      </c>
      <c r="AR60" s="430" t="e">
        <v>#VALUE!</v>
      </c>
      <c r="AS60" s="430" t="e">
        <v>#VALUE!</v>
      </c>
      <c r="AT60" s="430" t="e">
        <v>#VALUE!</v>
      </c>
      <c r="AU60" s="430" t="e">
        <v>#VALUE!</v>
      </c>
      <c r="AV60" s="430" t="e">
        <v>#VALUE!</v>
      </c>
      <c r="AW60" s="430" t="e">
        <v>#VALUE!</v>
      </c>
      <c r="AX60" s="430" t="e">
        <v>#VALUE!</v>
      </c>
      <c r="AY60" s="430" t="e">
        <v>#VALUE!</v>
      </c>
      <c r="AZ60" s="430" t="e">
        <v>#VALUE!</v>
      </c>
      <c r="BA60" s="430" t="e">
        <v>#VALUE!</v>
      </c>
      <c r="BB60" s="430" t="e">
        <v>#VALUE!</v>
      </c>
      <c r="BC60" s="430" t="e">
        <v>#VALUE!</v>
      </c>
      <c r="BD60" s="430" t="e">
        <v>#VALUE!</v>
      </c>
      <c r="BE60" s="430" t="e">
        <v>#VALUE!</v>
      </c>
      <c r="BF60" s="430" t="e">
        <v>#VALUE!</v>
      </c>
      <c r="BG60" s="430" t="e">
        <v>#VALUE!</v>
      </c>
      <c r="BH60" s="430" t="e">
        <v>#VALUE!</v>
      </c>
      <c r="BI60" s="430" t="e">
        <v>#VALUE!</v>
      </c>
      <c r="BJ60" s="430" t="e">
        <v>#VALUE!</v>
      </c>
      <c r="BK60" s="430" t="e">
        <v>#VALUE!</v>
      </c>
      <c r="BL60" s="430" t="e">
        <v>#VALUE!</v>
      </c>
      <c r="BM60" s="430" t="e">
        <v>#VALUE!</v>
      </c>
      <c r="BN60" s="430" t="e">
        <v>#VALUE!</v>
      </c>
      <c r="BO60" s="430" t="e">
        <v>#VALUE!</v>
      </c>
      <c r="BP60" s="430" t="e">
        <v>#VALUE!</v>
      </c>
      <c r="BQ60" s="430" t="e">
        <v>#VALUE!</v>
      </c>
      <c r="BR60" s="430" t="e">
        <v>#VALUE!</v>
      </c>
      <c r="BS60" s="430" t="e">
        <v>#VALUE!</v>
      </c>
      <c r="BT60" s="430" t="e">
        <v>#VALUE!</v>
      </c>
      <c r="BU60" s="430" t="e">
        <v>#VALUE!</v>
      </c>
      <c r="BV60" s="430" t="e">
        <v>#VALUE!</v>
      </c>
      <c r="BW60" s="430" t="e">
        <v>#VALUE!</v>
      </c>
      <c r="BX60" s="430" t="e">
        <v>#VALUE!</v>
      </c>
    </row>
  </sheetData>
  <conditionalFormatting sqref="E7">
    <cfRule type="cellIs" dxfId="696" priority="16" stopIfTrue="1" operator="equal">
      <formula>"ERROR"</formula>
    </cfRule>
    <cfRule type="cellIs" dxfId="695" priority="17" stopIfTrue="1" operator="equal">
      <formula>"OK"</formula>
    </cfRule>
    <cfRule type="cellIs" dxfId="694" priority="18" stopIfTrue="1" operator="equal">
      <formula>"WARNING"</formula>
    </cfRule>
  </conditionalFormatting>
  <conditionalFormatting sqref="C4">
    <cfRule type="cellIs" dxfId="693" priority="13" stopIfTrue="1" operator="equal">
      <formula>"ERROR"</formula>
    </cfRule>
    <cfRule type="cellIs" dxfId="692" priority="14" stopIfTrue="1" operator="equal">
      <formula>"OK"</formula>
    </cfRule>
    <cfRule type="cellIs" dxfId="691" priority="15" stopIfTrue="1" operator="equal">
      <formula>"WARNING"</formula>
    </cfRule>
  </conditionalFormatting>
  <conditionalFormatting sqref="C12">
    <cfRule type="cellIs" dxfId="690" priority="10" stopIfTrue="1" operator="equal">
      <formula>"ERROR"</formula>
    </cfRule>
  </conditionalFormatting>
  <conditionalFormatting sqref="C12">
    <cfRule type="cellIs" dxfId="689" priority="11" stopIfTrue="1" operator="equal">
      <formula>"OK"</formula>
    </cfRule>
  </conditionalFormatting>
  <conditionalFormatting sqref="C12">
    <cfRule type="cellIs" dxfId="688" priority="12" stopIfTrue="1" operator="equal">
      <formula>"WARNING"</formula>
    </cfRule>
  </conditionalFormatting>
  <conditionalFormatting sqref="I17:J17 T17">
    <cfRule type="cellIs" dxfId="687" priority="19" stopIfTrue="1" operator="equal">
      <formula>"ERROR"</formula>
    </cfRule>
    <cfRule type="cellIs" dxfId="686" priority="20" stopIfTrue="1" operator="equal">
      <formula>"OK"</formula>
    </cfRule>
    <cfRule type="cellIs" dxfId="685" priority="21" stopIfTrue="1" operator="equal">
      <formula>"WARNING"</formula>
    </cfRule>
  </conditionalFormatting>
  <conditionalFormatting sqref="AB17">
    <cfRule type="cellIs" dxfId="684" priority="7" stopIfTrue="1" operator="equal">
      <formula>"ERROR"</formula>
    </cfRule>
    <cfRule type="cellIs" dxfId="683" priority="8" stopIfTrue="1" operator="equal">
      <formula>"OK"</formula>
    </cfRule>
    <cfRule type="cellIs" dxfId="682" priority="9" stopIfTrue="1" operator="equal">
      <formula>"WARNING"</formula>
    </cfRule>
  </conditionalFormatting>
  <conditionalFormatting sqref="AK17">
    <cfRule type="cellIs" dxfId="681" priority="4" stopIfTrue="1" operator="equal">
      <formula>"ERROR"</formula>
    </cfRule>
    <cfRule type="cellIs" dxfId="680" priority="5" stopIfTrue="1" operator="equal">
      <formula>"OK"</formula>
    </cfRule>
    <cfRule type="cellIs" dxfId="679" priority="6" stopIfTrue="1" operator="equal">
      <formula>"WARNING"</formula>
    </cfRule>
  </conditionalFormatting>
  <conditionalFormatting sqref="R17:S21">
    <cfRule type="cellIs" dxfId="678" priority="1" stopIfTrue="1" operator="equal">
      <formula>"ERROR"</formula>
    </cfRule>
    <cfRule type="cellIs" dxfId="677" priority="2" stopIfTrue="1" operator="equal">
      <formula>"OK"</formula>
    </cfRule>
    <cfRule type="cellIs" dxfId="676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F161"/>
  <sheetViews>
    <sheetView showGridLines="0" topLeftCell="AL83" zoomScaleNormal="100" workbookViewId="0">
      <selection activeCell="AP99" sqref="AP99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3" width="20.125" style="430" customWidth="1"/>
    <col min="14" max="14" width="14.75" style="430"/>
    <col min="15" max="15" width="10.875" style="430" customWidth="1"/>
    <col min="16" max="16" width="18.25" style="430" bestFit="1" customWidth="1"/>
    <col min="17" max="24" width="14.75" style="430"/>
    <col min="25" max="25" width="17" style="430" customWidth="1"/>
    <col min="26" max="26" width="19.5" style="430" customWidth="1"/>
    <col min="27" max="27" width="18.125" style="430" customWidth="1"/>
    <col min="28" max="28" width="10.625" style="430" customWidth="1"/>
    <col min="29" max="30" width="17" style="430" customWidth="1"/>
    <col min="31" max="31" width="18.375" style="430" customWidth="1"/>
    <col min="32" max="32" width="10.875" style="430" customWidth="1"/>
    <col min="33" max="33" width="19.25" style="430" customWidth="1"/>
    <col min="34" max="34" width="16.25" style="430" customWidth="1"/>
    <col min="35" max="35" width="16" style="430" customWidth="1"/>
    <col min="36" max="36" width="11.125" style="430" customWidth="1"/>
    <col min="37" max="37" width="27.75" style="430" customWidth="1"/>
    <col min="38" max="38" width="25.375" style="430" customWidth="1"/>
    <col min="39" max="39" width="14.75" style="430"/>
    <col min="40" max="40" width="17.75" style="430" customWidth="1"/>
    <col min="41" max="41" width="12.125" style="430" customWidth="1"/>
    <col min="42" max="50" width="14.75" style="430"/>
    <col min="51" max="52" width="6.125" style="430" customWidth="1"/>
    <col min="53" max="53" width="22" style="430" bestFit="1" customWidth="1"/>
    <col min="54" max="55" width="16.25" style="430" customWidth="1"/>
    <col min="56" max="57" width="8.875" style="430" customWidth="1"/>
    <col min="58" max="58" width="29" style="430" customWidth="1"/>
    <col min="59" max="59" width="14.75" style="430"/>
    <col min="60" max="60" width="10.125" style="430" customWidth="1"/>
    <col min="61" max="61" width="26.5" style="430" bestFit="1" customWidth="1"/>
    <col min="62" max="62" width="17.5" style="430" customWidth="1"/>
    <col min="63" max="67" width="14" style="430" customWidth="1"/>
    <col min="68" max="68" width="11.875" style="430" customWidth="1"/>
    <col min="69" max="69" width="26.5" style="430" bestFit="1" customWidth="1"/>
    <col min="70" max="70" width="14.75" style="430"/>
    <col min="71" max="75" width="15.5" style="430" customWidth="1"/>
    <col min="76" max="76" width="14.75" style="430"/>
    <col min="77" max="77" width="14.625" style="430" customWidth="1"/>
    <col min="78" max="78" width="44.5" style="430" bestFit="1" customWidth="1"/>
    <col min="79" max="16384" width="14.75" style="430"/>
  </cols>
  <sheetData>
    <row r="1" spans="1:79">
      <c r="B1" s="399" t="s">
        <v>373</v>
      </c>
    </row>
    <row r="2" spans="1:79" ht="26.25">
      <c r="B2" s="2" t="s">
        <v>750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</row>
    <row r="4" spans="1:79">
      <c r="B4" s="50" t="s">
        <v>139</v>
      </c>
      <c r="C4" s="291" t="str" cm="1">
        <f t="array" aca="1" ref="C4" ca="1">_xll.d.TestUtils_And(E7:E7)</f>
        <v>Error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Y4" s="202"/>
      <c r="AZ4" s="203"/>
    </row>
    <row r="5" spans="1:79">
      <c r="E5" s="289"/>
      <c r="F5" s="289"/>
      <c r="G5" s="289"/>
      <c r="AY5" s="202"/>
      <c r="AZ5" s="203"/>
    </row>
    <row r="6" spans="1:79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Y6" s="202"/>
      <c r="AZ6" s="203"/>
    </row>
    <row r="7" spans="1:79">
      <c r="B7" s="406"/>
      <c r="C7" s="406"/>
      <c r="D7" s="406"/>
      <c r="E7" s="291" t="str">
        <f ca="1">Z12</f>
        <v>Error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Y7" s="202"/>
      <c r="AZ7" s="203"/>
    </row>
    <row r="8" spans="1:79">
      <c r="E8" s="289"/>
      <c r="F8" s="289"/>
      <c r="G8" s="289"/>
      <c r="AY8" s="202"/>
      <c r="AZ8" s="203"/>
    </row>
    <row r="9" spans="1:79">
      <c r="E9" s="289"/>
      <c r="F9" s="289"/>
      <c r="G9" s="289"/>
      <c r="AY9" s="202"/>
      <c r="AZ9" s="203"/>
    </row>
    <row r="10" spans="1:79" s="289" customFormat="1" ht="18.75">
      <c r="A10" s="430"/>
      <c r="B10" s="3" t="s">
        <v>650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430"/>
      <c r="Y10" s="3" t="s">
        <v>740</v>
      </c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02"/>
      <c r="AZ10" s="203"/>
      <c r="BA10" s="3" t="s">
        <v>751</v>
      </c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</row>
    <row r="11" spans="1:79">
      <c r="AY11" s="202"/>
      <c r="AZ11" s="203"/>
    </row>
    <row r="12" spans="1:79">
      <c r="B12" s="50" t="s">
        <v>139</v>
      </c>
      <c r="C12" s="291" t="str" cm="1">
        <f t="array" ref="C12">_xll.d.TestUtils_And(#REF!,#REF!,#REF!,#REF!)</f>
        <v>Error</v>
      </c>
      <c r="D12" s="289"/>
      <c r="E12" s="289"/>
      <c r="Y12" s="50" t="s">
        <v>106</v>
      </c>
      <c r="Z12" s="163" t="str" cm="1">
        <f t="array" aca="1" ref="Z12" ca="1">_xll.d.TestUtils_And(AS20:AS45)</f>
        <v>Error</v>
      </c>
      <c r="AP12" s="901" t="s">
        <v>685</v>
      </c>
      <c r="AQ12" s="901"/>
      <c r="AR12" s="901"/>
      <c r="AS12" s="901"/>
      <c r="AT12" s="1044"/>
      <c r="AU12" s="1044"/>
      <c r="AV12" s="1044"/>
      <c r="AW12" s="1044"/>
      <c r="AX12" s="1044"/>
      <c r="AY12" s="202"/>
      <c r="AZ12" s="203"/>
      <c r="BA12" s="50" t="s">
        <v>139</v>
      </c>
      <c r="BB12" s="163" t="str" cm="1">
        <f t="array" aca="1" ref="BB12" ca="1">_xll.d.TestUtils_And(BG17,BO17,BW17)</f>
        <v>Ok</v>
      </c>
    </row>
    <row r="13" spans="1:79">
      <c r="A13" s="430" t="s">
        <v>752</v>
      </c>
      <c r="B13" s="289"/>
      <c r="C13" s="289"/>
      <c r="D13" s="289"/>
      <c r="E13" s="290"/>
      <c r="AP13" s="724" t="s">
        <v>688</v>
      </c>
      <c r="AY13" s="202"/>
      <c r="AZ13" s="203"/>
    </row>
    <row r="14" spans="1:79" ht="15.75">
      <c r="B14" s="604" t="s">
        <v>658</v>
      </c>
      <c r="C14" s="289"/>
      <c r="D14" s="289"/>
      <c r="E14" s="290"/>
      <c r="K14" s="289"/>
      <c r="L14" s="289"/>
      <c r="M14" s="289"/>
      <c r="N14" s="289"/>
      <c r="O14" s="289"/>
      <c r="P14" s="290"/>
      <c r="W14" s="289"/>
      <c r="AP14" s="850" t="s">
        <v>689</v>
      </c>
      <c r="AY14" s="202"/>
      <c r="AZ14" s="203"/>
      <c r="BA14" s="4" t="s">
        <v>754</v>
      </c>
      <c r="BB14" s="4"/>
      <c r="BC14" s="4"/>
      <c r="BD14" s="4"/>
      <c r="BE14" s="4"/>
      <c r="BF14" s="4"/>
      <c r="BG14" s="4"/>
      <c r="BI14" s="4" t="s">
        <v>756</v>
      </c>
      <c r="BJ14" s="4"/>
      <c r="BK14" s="4"/>
      <c r="BL14" s="4"/>
      <c r="BM14" s="4"/>
      <c r="BN14" s="4"/>
      <c r="BO14" s="4"/>
      <c r="BQ14" s="4" t="s">
        <v>759</v>
      </c>
      <c r="BR14" s="4"/>
      <c r="BS14" s="4"/>
      <c r="BT14" s="4"/>
      <c r="BU14" s="4"/>
      <c r="BV14" s="4"/>
      <c r="BW14" s="4"/>
    </row>
    <row r="15" spans="1:79">
      <c r="D15" s="604"/>
      <c r="Y15" s="55" t="s">
        <v>662</v>
      </c>
      <c r="Z15" s="55"/>
      <c r="AA15" s="55"/>
      <c r="AC15" s="55" t="s">
        <v>662</v>
      </c>
      <c r="AD15" s="55"/>
      <c r="AE15" s="55"/>
      <c r="AG15" s="55" t="s">
        <v>662</v>
      </c>
      <c r="AH15" s="55"/>
      <c r="AI15" s="55"/>
      <c r="AK15" s="55" t="s">
        <v>37</v>
      </c>
      <c r="AL15" s="55"/>
      <c r="AM15" s="55"/>
      <c r="AP15" s="120" t="s">
        <v>474</v>
      </c>
      <c r="AQ15" s="120"/>
      <c r="AR15" s="773">
        <v>1E-3</v>
      </c>
      <c r="AS15" s="730"/>
      <c r="AT15" s="730"/>
      <c r="AU15" s="730"/>
      <c r="AV15" s="730"/>
      <c r="AW15" s="730"/>
      <c r="AX15" s="730"/>
      <c r="AY15" s="202"/>
      <c r="AZ15" s="203"/>
    </row>
    <row r="16" spans="1:79">
      <c r="B16" s="55" t="s">
        <v>662</v>
      </c>
      <c r="C16" s="207" t="str" cm="1">
        <f t="array" aca="1" ref="C16" ca="1">_xll.d.Curve_CreateFromDiscountFactors("CCSZarSwapCurve",B19:C22,C26:C49,D26:D49)</f>
        <v>@@CCSZarSwapCurve::15:59:57</v>
      </c>
      <c r="D16" s="208"/>
      <c r="F16" s="55" t="s">
        <v>662</v>
      </c>
      <c r="G16" s="207" t="str" cm="1">
        <f t="array" aca="1" ref="G16" ca="1">_xll.d.Curve_CreateFromDiscountFactors("CCSUsdZarBasisCurve",F19:G22,G26:G49,H26:H49)</f>
        <v>@@CCSUsdZarBasisCurve::15:59:57</v>
      </c>
      <c r="H16" s="208"/>
      <c r="J16" s="55" t="s">
        <v>662</v>
      </c>
      <c r="K16" s="207" t="str" cm="1">
        <f t="array" aca="1" ref="K16" ca="1">_xll.d.Curve_CreateFromDiscountFactors("CCSUsdSwapCurve",J19:K22,K26:K51,L26:L51)</f>
        <v>@@CCSUsdSwapCurve::15:59:57</v>
      </c>
      <c r="L16" s="208"/>
      <c r="Y16" s="987" t="str" cm="1">
        <f t="array" aca="1" ref="Y16" ca="1">_xll.d.Curve_CreateFromDiscountFactors(_xll.d.Excel_GetSheetName()&amp;"_UsdOis",Y19:AA22,Y26:Y48,Z26:Z48)</f>
        <v>@@FXCurveBootstrapping_UsdOis::15:59:47</v>
      </c>
      <c r="Z16" s="522"/>
      <c r="AA16" s="988"/>
      <c r="AC16" s="987" t="str" cm="1">
        <f t="array" aca="1" ref="AC16" ca="1">_xll.d.Curve_CreateFromDiscountFactors(_xll.d.Excel_GetSheetName()&amp;"_UsdSwap",AC19:AE22,AC26:AC58,AD26:AD58)</f>
        <v>@@FXCurveBootstrapping_UsdSwap::15:59:47</v>
      </c>
      <c r="AD16" s="522"/>
      <c r="AE16" s="988"/>
      <c r="AG16" s="987" t="str" cm="1">
        <f t="array" aca="1" ref="AG16" ca="1">_xll.d.Curve_CreateFromDiscountFactors(_xll.d.Excel_GetSheetName()&amp;"_Zar",AG19:AI22,AG26:AG49,AH26:AH49)</f>
        <v>@@FXCurveBootstrapping_Zar::15:59:47</v>
      </c>
      <c r="AH16" s="522"/>
      <c r="AI16" s="988"/>
      <c r="AK16" s="990" t="str" cm="1">
        <f t="array" aca="1" ref="AK16" ca="1">_xll.d.Curve_BootstrapFxBasisAdjustedCurve("UsdZarFxBasisUsingOldValsTemplateData",AK18:AM29,,,AK32:AN41,AK44:AN57)</f>
        <v>@@UsdZarFxBasisUsingOldValsTemplateData::15:59:48</v>
      </c>
      <c r="AL16" s="991"/>
      <c r="AM16" s="992"/>
      <c r="AS16" s="730"/>
      <c r="AT16" s="730"/>
      <c r="AU16" s="730"/>
      <c r="AV16" s="730"/>
      <c r="AW16" s="730"/>
      <c r="AX16" s="730"/>
      <c r="AY16" s="202"/>
      <c r="AZ16" s="203"/>
      <c r="BA16" s="55" t="s">
        <v>65</v>
      </c>
      <c r="BB16" s="55"/>
      <c r="BC16" s="55"/>
      <c r="BD16" s="55" t="s">
        <v>66</v>
      </c>
      <c r="BE16" s="55"/>
      <c r="BF16" s="55"/>
      <c r="BG16" s="121" t="s">
        <v>67</v>
      </c>
      <c r="BI16" s="55" t="s">
        <v>65</v>
      </c>
      <c r="BJ16" s="55"/>
      <c r="BK16" s="55"/>
      <c r="BL16" s="55" t="s">
        <v>66</v>
      </c>
      <c r="BM16" s="55"/>
      <c r="BN16" s="55"/>
      <c r="BO16" s="121" t="s">
        <v>67</v>
      </c>
      <c r="BQ16" s="55" t="s">
        <v>65</v>
      </c>
      <c r="BR16" s="55"/>
      <c r="BS16" s="55"/>
      <c r="BT16" s="55" t="s">
        <v>66</v>
      </c>
      <c r="BU16" s="55"/>
      <c r="BV16" s="55"/>
      <c r="BW16" s="121" t="s">
        <v>67</v>
      </c>
    </row>
    <row r="17" spans="2:84">
      <c r="D17" s="604"/>
      <c r="AA17" s="604"/>
      <c r="AE17" s="604"/>
      <c r="AI17" s="604"/>
      <c r="AY17" s="202"/>
      <c r="AZ17" s="203"/>
      <c r="BA17" s="987" t="str" cm="1">
        <f t="array" aca="1" ref="BA17" ca="1">_xll.d.Curve_BootstrapFxBasisAdjustedCurve("UsdZarFxBasisUsingOldValsTemplateData",BA19:BC29,,,BA32:BD41,BA44:BD57)</f>
        <v>#∂Excel Error: Missing curve parameter: 'Base Date'.</v>
      </c>
      <c r="BB17" s="999"/>
      <c r="BC17" s="1000"/>
      <c r="BD17" s="987" t="s">
        <v>755</v>
      </c>
      <c r="BE17" s="999"/>
      <c r="BF17" s="1000"/>
      <c r="BG17" s="163" t="str" cm="1">
        <f t="array" aca="1" ref="BG17" ca="1">_xll.d.TestUtils_Equal(BA17,BD17)</f>
        <v>Ok</v>
      </c>
      <c r="BI17" s="987" t="str" cm="1">
        <f t="array" aca="1" ref="BI17" ca="1">_xll.d.Curve_BootstrapFxBasisAdjustedCurve("UsdZarFxBasisUsingOldValsTemplateData",BI19:BK29,,,BI32:BL41,BI44:BL57)</f>
        <v>#∂Excel Error: Missing curve parameter: 'Spot Fx'.</v>
      </c>
      <c r="BJ17" s="999"/>
      <c r="BK17" s="1000"/>
      <c r="BL17" s="987" t="s">
        <v>757</v>
      </c>
      <c r="BM17" s="999"/>
      <c r="BN17" s="1000"/>
      <c r="BO17" s="163" t="str" cm="1">
        <f t="array" aca="1" ref="BO17" ca="1">_xll.d.TestUtils_Equal(BI17,BL17)</f>
        <v>Ok</v>
      </c>
      <c r="BQ17" s="987" t="str" cm="1">
        <f t="array" aca="1" ref="BQ17" ca="1">_xll.d.Curve_BootstrapFxBasisAdjustedCurve("UsdZarFxBasisUsingOldValsTemplateData",BQ19:BS30,,,BQ33:BT42,BQ45:BT58)</f>
        <v>#∂Excel Error: Invalid instrument type: 'Forwards'</v>
      </c>
      <c r="BR17" s="999"/>
      <c r="BS17" s="1000"/>
      <c r="BT17" s="987" t="s">
        <v>761</v>
      </c>
      <c r="BU17" s="999"/>
      <c r="BV17" s="1000"/>
      <c r="BW17" s="163" t="str" cm="1">
        <f t="array" aca="1" ref="BW17" ca="1">_xll.d.TestUtils_Equal(BQ17,BT17)</f>
        <v>Ok</v>
      </c>
      <c r="BZ17" s="8">
        <v>41225</v>
      </c>
    </row>
    <row r="18" spans="2:84">
      <c r="B18" s="12" t="s">
        <v>654</v>
      </c>
      <c r="C18" s="136"/>
      <c r="D18" s="136"/>
      <c r="F18" s="12" t="s">
        <v>657</v>
      </c>
      <c r="G18" s="136"/>
      <c r="H18" s="136"/>
      <c r="J18" s="12" t="s">
        <v>47</v>
      </c>
      <c r="K18" s="136"/>
      <c r="L18" s="136"/>
      <c r="Y18" s="12" t="s">
        <v>707</v>
      </c>
      <c r="Z18" s="136"/>
      <c r="AA18" s="136"/>
      <c r="AC18" s="12" t="s">
        <v>709</v>
      </c>
      <c r="AD18" s="136"/>
      <c r="AE18" s="136"/>
      <c r="AF18" s="289"/>
      <c r="AG18" s="12" t="s">
        <v>710</v>
      </c>
      <c r="AH18" s="136"/>
      <c r="AI18" s="136"/>
      <c r="AK18" s="12" t="s">
        <v>47</v>
      </c>
      <c r="AL18" s="13"/>
      <c r="AM18" s="13"/>
      <c r="AP18" s="120" t="s">
        <v>31</v>
      </c>
      <c r="AQ18" s="744" t="s">
        <v>2</v>
      </c>
      <c r="AR18" s="745"/>
      <c r="AS18" s="121" t="s">
        <v>67</v>
      </c>
      <c r="AT18" s="332"/>
      <c r="AU18" s="332"/>
      <c r="AV18" s="332"/>
      <c r="AW18" s="332"/>
      <c r="AX18" s="332"/>
      <c r="AY18" s="202"/>
      <c r="AZ18" s="203"/>
    </row>
    <row r="19" spans="2:84">
      <c r="B19" s="61" t="s">
        <v>29</v>
      </c>
      <c r="C19" s="926" t="s">
        <v>30</v>
      </c>
      <c r="D19" s="926"/>
      <c r="F19" s="61" t="s">
        <v>29</v>
      </c>
      <c r="G19" s="926" t="s">
        <v>30</v>
      </c>
      <c r="H19" s="926"/>
      <c r="J19" s="61" t="s">
        <v>29</v>
      </c>
      <c r="K19" s="926" t="s">
        <v>30</v>
      </c>
      <c r="L19" s="926"/>
      <c r="Y19" s="61" t="s">
        <v>29</v>
      </c>
      <c r="Z19" s="926" t="s">
        <v>30</v>
      </c>
      <c r="AA19" s="926"/>
      <c r="AC19" s="61" t="s">
        <v>29</v>
      </c>
      <c r="AD19" s="926" t="s">
        <v>30</v>
      </c>
      <c r="AE19" s="926"/>
      <c r="AG19" s="61" t="s">
        <v>29</v>
      </c>
      <c r="AH19" s="926" t="s">
        <v>30</v>
      </c>
      <c r="AI19" s="926"/>
      <c r="AK19" s="61" t="s">
        <v>29</v>
      </c>
      <c r="AL19" s="906" t="s">
        <v>30</v>
      </c>
      <c r="AM19" s="906"/>
      <c r="AP19" s="742"/>
      <c r="AQ19" s="738" t="s">
        <v>583</v>
      </c>
      <c r="AR19" s="44" t="s">
        <v>584</v>
      </c>
      <c r="AS19" s="743"/>
      <c r="AT19" s="1045"/>
      <c r="AU19" s="1045"/>
      <c r="AV19" s="1045"/>
      <c r="AW19" s="1045"/>
      <c r="AX19" s="1045"/>
      <c r="AY19" s="202"/>
      <c r="AZ19" s="203"/>
      <c r="BA19" s="12" t="s">
        <v>47</v>
      </c>
      <c r="BB19" s="13"/>
      <c r="BC19" s="13"/>
      <c r="BI19" s="12" t="s">
        <v>47</v>
      </c>
      <c r="BJ19" s="13"/>
      <c r="BK19" s="13"/>
      <c r="BQ19" s="12" t="s">
        <v>47</v>
      </c>
      <c r="BR19" s="13"/>
      <c r="BS19" s="13"/>
      <c r="BZ19" s="55" t="s">
        <v>65</v>
      </c>
      <c r="CA19" s="55"/>
      <c r="CB19" s="55"/>
      <c r="CC19" s="55" t="s">
        <v>66</v>
      </c>
      <c r="CD19" s="55"/>
      <c r="CE19" s="55"/>
      <c r="CF19" s="121" t="s">
        <v>67</v>
      </c>
    </row>
    <row r="20" spans="2:84">
      <c r="B20" s="864" t="s">
        <v>57</v>
      </c>
      <c r="C20" s="927" t="s">
        <v>54</v>
      </c>
      <c r="D20" s="927"/>
      <c r="F20" s="864" t="s">
        <v>57</v>
      </c>
      <c r="G20" s="927" t="s">
        <v>54</v>
      </c>
      <c r="H20" s="927"/>
      <c r="J20" s="882" t="s">
        <v>57</v>
      </c>
      <c r="K20" s="927" t="s">
        <v>310</v>
      </c>
      <c r="L20" s="927"/>
      <c r="Y20" s="864" t="s">
        <v>57</v>
      </c>
      <c r="Z20" s="944" t="s">
        <v>310</v>
      </c>
      <c r="AA20" s="927"/>
      <c r="AC20" s="864" t="s">
        <v>57</v>
      </c>
      <c r="AD20" s="944" t="s">
        <v>310</v>
      </c>
      <c r="AE20" s="927"/>
      <c r="AG20" s="864" t="s">
        <v>57</v>
      </c>
      <c r="AH20" s="944" t="s">
        <v>54</v>
      </c>
      <c r="AI20" s="927"/>
      <c r="AK20" s="993" t="s">
        <v>753</v>
      </c>
      <c r="AL20" s="904">
        <v>44286</v>
      </c>
      <c r="AM20" s="904"/>
      <c r="AP20" s="764">
        <v>44286</v>
      </c>
      <c r="AQ20" s="984">
        <v>1</v>
      </c>
      <c r="AR20" s="766">
        <f t="array" aca="1" ref="AR20:AR45" ca="1">_xll.d.Curve_GetDiscountFactors(AK16,AP20:AP45)</f>
        <v>1</v>
      </c>
      <c r="AS20" s="737" t="str" cm="1">
        <f t="array" aca="1" ref="AS20" ca="1">_xll.d.TestUtils_Equal(AQ20,AR20,$AR$15)</f>
        <v>Ok</v>
      </c>
      <c r="AT20" s="1046"/>
      <c r="AU20" s="1050" cm="1">
        <f t="array" aca="1" ref="AU20:AU45" ca="1">_xll.d.Curve_GetZeroRates(AK16,AP20:AP45,"NACC")</f>
        <v>5.0418504743578139E-2</v>
      </c>
      <c r="AV20" s="1046"/>
      <c r="AW20" s="1046"/>
      <c r="AX20" s="1046"/>
      <c r="AY20" s="202"/>
      <c r="AZ20" s="203"/>
      <c r="BA20" s="61" t="s">
        <v>29</v>
      </c>
      <c r="BB20" s="906" t="s">
        <v>30</v>
      </c>
      <c r="BC20" s="906"/>
      <c r="BI20" s="61" t="s">
        <v>29</v>
      </c>
      <c r="BJ20" s="906" t="s">
        <v>30</v>
      </c>
      <c r="BK20" s="906"/>
      <c r="BQ20" s="61" t="s">
        <v>29</v>
      </c>
      <c r="BR20" s="906" t="s">
        <v>30</v>
      </c>
      <c r="BS20" s="906"/>
      <c r="BZ20" s="987" t="e" cm="1">
        <f t="array" aca="1" ref="BZ20" ca="1">_xll.d.Curve_BootstrapFxBasisAdjustedCurve("UsdZarFxBasisUsingOldValsTemplateData",BZ22:CB33,,,#REF!,BZ36:CC49)</f>
        <v>#VALUE!</v>
      </c>
      <c r="CA20" s="999"/>
      <c r="CB20" s="1000"/>
      <c r="CC20" s="987" t="s">
        <v>761</v>
      </c>
      <c r="CD20" s="999"/>
      <c r="CE20" s="1000"/>
      <c r="CF20" s="163" t="str" cm="1">
        <f t="array" aca="1" ref="CF20" ca="1">_xll.d.TestUtils_Equal(BZ20,CC20)</f>
        <v>Error</v>
      </c>
    </row>
    <row r="21" spans="2:84">
      <c r="B21" s="986" t="s">
        <v>682</v>
      </c>
      <c r="C21" s="928" t="s">
        <v>56</v>
      </c>
      <c r="D21" s="928"/>
      <c r="F21" s="986" t="s">
        <v>682</v>
      </c>
      <c r="G21" s="928" t="s">
        <v>56</v>
      </c>
      <c r="H21" s="928"/>
      <c r="J21" s="986" t="s">
        <v>682</v>
      </c>
      <c r="K21" s="928" t="s">
        <v>243</v>
      </c>
      <c r="L21" s="928"/>
      <c r="Y21" s="986" t="s">
        <v>682</v>
      </c>
      <c r="Z21" s="945" t="s">
        <v>243</v>
      </c>
      <c r="AA21" s="928"/>
      <c r="AC21" s="986" t="s">
        <v>682</v>
      </c>
      <c r="AD21" s="945" t="s">
        <v>243</v>
      </c>
      <c r="AE21" s="928"/>
      <c r="AG21" s="986" t="s">
        <v>682</v>
      </c>
      <c r="AH21" s="945" t="s">
        <v>56</v>
      </c>
      <c r="AI21" s="928"/>
      <c r="AK21" s="986" t="s">
        <v>742</v>
      </c>
      <c r="AL21" s="1077" t="s">
        <v>698</v>
      </c>
      <c r="AM21" s="1078"/>
      <c r="AP21" s="767">
        <v>44292</v>
      </c>
      <c r="AQ21" s="748">
        <v>0.99902033895462272</v>
      </c>
      <c r="AR21" s="768">
        <f ca="1"/>
        <v>0.99917154601940927</v>
      </c>
      <c r="AS21" s="737" t="str" cm="1">
        <f t="array" aca="1" ref="AS21" ca="1">_xll.d.TestUtils_Equal(AQ21,AR21,$AR$15)</f>
        <v>Ok</v>
      </c>
      <c r="AT21" s="1049">
        <f t="shared" ref="AT21:AT45" si="0">AY22/AX22</f>
        <v>7.1550309563325185E-2</v>
      </c>
      <c r="AU21" s="1050">
        <f ca="1"/>
        <v>5.0418504742946763E-2</v>
      </c>
      <c r="AV21" s="430" cm="1">
        <f t="array" aca="1" ref="AV21" ca="1">-LN(AR21)/_xll.d.Dates_Act365($AP$20,AP21)</f>
        <v>5.0418504742942079E-2</v>
      </c>
      <c r="AW21" s="767">
        <v>44287</v>
      </c>
      <c r="AX21" s="1046">
        <v>0</v>
      </c>
      <c r="AY21" s="1046">
        <v>0</v>
      </c>
      <c r="AZ21" s="1049"/>
      <c r="BA21" s="995" t="s">
        <v>742</v>
      </c>
      <c r="BB21" s="1081" t="s">
        <v>698</v>
      </c>
      <c r="BC21" s="1082"/>
      <c r="BI21" s="993" t="s">
        <v>753</v>
      </c>
      <c r="BJ21" s="904">
        <v>44286</v>
      </c>
      <c r="BK21" s="904"/>
      <c r="BQ21" s="993" t="s">
        <v>753</v>
      </c>
      <c r="BR21" s="904">
        <v>44286</v>
      </c>
      <c r="BS21" s="904"/>
    </row>
    <row r="22" spans="2:84">
      <c r="B22" s="865" t="s">
        <v>43</v>
      </c>
      <c r="C22" s="1075" t="s">
        <v>690</v>
      </c>
      <c r="D22" s="1076"/>
      <c r="F22" s="865" t="s">
        <v>43</v>
      </c>
      <c r="G22" s="1075" t="s">
        <v>690</v>
      </c>
      <c r="H22" s="1076"/>
      <c r="J22" s="883" t="s">
        <v>43</v>
      </c>
      <c r="K22" s="1075" t="s">
        <v>690</v>
      </c>
      <c r="L22" s="1076"/>
      <c r="Y22" s="865" t="s">
        <v>43</v>
      </c>
      <c r="Z22" s="1075" t="s">
        <v>691</v>
      </c>
      <c r="AA22" s="1076"/>
      <c r="AC22" s="865" t="s">
        <v>43</v>
      </c>
      <c r="AD22" s="1075" t="s">
        <v>691</v>
      </c>
      <c r="AE22" s="1076"/>
      <c r="AG22" s="865" t="s">
        <v>43</v>
      </c>
      <c r="AH22" s="1075" t="s">
        <v>691</v>
      </c>
      <c r="AI22" s="1076"/>
      <c r="AK22" s="986" t="s">
        <v>743</v>
      </c>
      <c r="AL22" s="981" t="s">
        <v>24</v>
      </c>
      <c r="AM22" s="947"/>
      <c r="AP22" s="767">
        <v>44293</v>
      </c>
      <c r="AQ22" s="748">
        <v>0.99886921280844809</v>
      </c>
      <c r="AR22" s="768">
        <f ca="1"/>
        <v>0.99903353709844989</v>
      </c>
      <c r="AS22" s="737" t="str" cm="1">
        <f t="array" aca="1" ref="AS22" ca="1">_xll.d.TestUtils_Equal(AQ22,AR22,$AR$15)</f>
        <v>Ok</v>
      </c>
      <c r="AT22" s="1049">
        <f t="shared" si="0"/>
        <v>6.8828476670939748E-2</v>
      </c>
      <c r="AU22" s="1050">
        <f ca="1"/>
        <v>5.0418504742947186E-2</v>
      </c>
      <c r="AV22" s="430" cm="1">
        <f t="array" aca="1" ref="AV22" ca="1">-LN(AR22)/_xll.d.Dates_Act365($AP$20,AP22)</f>
        <v>5.0418504742941829E-2</v>
      </c>
      <c r="AW22" s="767">
        <v>44292</v>
      </c>
      <c r="AX22" s="1046">
        <v>1.3698630136986301E-2</v>
      </c>
      <c r="AY22" s="1046">
        <v>9.8014122689486544E-4</v>
      </c>
      <c r="BA22" s="996" t="s">
        <v>743</v>
      </c>
      <c r="BB22" s="981" t="s">
        <v>24</v>
      </c>
      <c r="BC22" s="997"/>
      <c r="BI22" s="1002" t="s">
        <v>742</v>
      </c>
      <c r="BJ22" s="1069" t="s">
        <v>698</v>
      </c>
      <c r="BK22" s="1070"/>
      <c r="BQ22" s="1002" t="s">
        <v>742</v>
      </c>
      <c r="BR22" s="1069" t="s">
        <v>698</v>
      </c>
      <c r="BS22" s="1070"/>
      <c r="BZ22" s="12" t="s">
        <v>47</v>
      </c>
      <c r="CA22" s="13"/>
      <c r="CB22" s="13"/>
    </row>
    <row r="23" spans="2:84">
      <c r="AK23" s="986" t="s">
        <v>749</v>
      </c>
      <c r="AL23" s="946" t="str">
        <f ca="1">$Y$16</f>
        <v>@@FXCurveBootstrapping_UsdOis::15:59:47</v>
      </c>
      <c r="AM23" s="947"/>
      <c r="AP23" s="767">
        <v>44299</v>
      </c>
      <c r="AQ23" s="748">
        <v>0.99794543311442752</v>
      </c>
      <c r="AR23" s="768">
        <f ca="1"/>
        <v>0.99820588378789699</v>
      </c>
      <c r="AS23" s="737" t="str" cm="1">
        <f t="array" aca="1" ref="AS23" ca="1">_xll.d.TestUtils_Equal(AQ23,AR23,$AR$15)</f>
        <v>Ok</v>
      </c>
      <c r="AT23" s="1049">
        <f t="shared" si="0"/>
        <v>6.2557362273783196E-2</v>
      </c>
      <c r="AU23" s="1050">
        <f ca="1"/>
        <v>5.0418504742942342E-2</v>
      </c>
      <c r="AV23" s="430" cm="1">
        <f t="array" aca="1" ref="AV23" ca="1">-LN(AR23)/_xll.d.Dates_Act365($AP$20,AP23)</f>
        <v>5.0418504742943536E-2</v>
      </c>
      <c r="AW23" s="767">
        <v>44293</v>
      </c>
      <c r="AX23" s="1046">
        <v>1.643835616438356E-2</v>
      </c>
      <c r="AY23" s="1046">
        <v>1.1314270137688725E-3</v>
      </c>
      <c r="BA23" s="996" t="s">
        <v>749</v>
      </c>
      <c r="BB23" s="946" t="str">
        <f ca="1">$Y$16</f>
        <v>@@FXCurveBootstrapping_UsdOis::15:59:47</v>
      </c>
      <c r="BC23" s="997"/>
      <c r="BI23" s="996" t="s">
        <v>743</v>
      </c>
      <c r="BJ23" s="981" t="s">
        <v>24</v>
      </c>
      <c r="BK23" s="997"/>
      <c r="BQ23" s="996" t="s">
        <v>743</v>
      </c>
      <c r="BR23" s="981" t="s">
        <v>24</v>
      </c>
      <c r="BS23" s="997"/>
      <c r="BZ23" s="61" t="s">
        <v>29</v>
      </c>
      <c r="CA23" s="906" t="s">
        <v>30</v>
      </c>
      <c r="CB23" s="906"/>
    </row>
    <row r="24" spans="2:84">
      <c r="B24" s="120" t="s">
        <v>653</v>
      </c>
      <c r="C24" s="191"/>
      <c r="D24" s="121"/>
      <c r="F24" s="120" t="s">
        <v>655</v>
      </c>
      <c r="G24" s="191"/>
      <c r="H24" s="121"/>
      <c r="J24" s="120" t="s">
        <v>678</v>
      </c>
      <c r="K24" s="191"/>
      <c r="L24" s="121"/>
      <c r="Y24" s="120" t="s">
        <v>706</v>
      </c>
      <c r="Z24" s="121"/>
      <c r="AC24" s="120" t="s">
        <v>708</v>
      </c>
      <c r="AD24" s="121"/>
      <c r="AG24" s="120" t="s">
        <v>711</v>
      </c>
      <c r="AH24" s="121"/>
      <c r="AK24" s="986" t="s">
        <v>744</v>
      </c>
      <c r="AL24" s="946" t="str">
        <f ca="1">$AC$16</f>
        <v>@@FXCurveBootstrapping_UsdSwap::15:59:47</v>
      </c>
      <c r="AM24" s="947"/>
      <c r="AP24" s="767">
        <v>44306</v>
      </c>
      <c r="AQ24" s="748">
        <v>0.99703223970779542</v>
      </c>
      <c r="AR24" s="768">
        <f ca="1"/>
        <v>0.99724115483310694</v>
      </c>
      <c r="AS24" s="737" t="str" cm="1">
        <f t="array" aca="1" ref="AS24" ca="1">_xll.d.TestUtils_Equal(AQ24,AR24,$AR$15)</f>
        <v>Ok</v>
      </c>
      <c r="AT24" s="1049">
        <f t="shared" si="0"/>
        <v>5.7097004272999262E-2</v>
      </c>
      <c r="AU24" s="1050">
        <f ca="1"/>
        <v>5.0418504742942384E-2</v>
      </c>
      <c r="AV24" s="430" cm="1">
        <f t="array" aca="1" ref="AV24" ca="1">-LN(AR24)/_xll.d.Dates_Act365($AP$20,AP24)</f>
        <v>5.0418504742943016E-2</v>
      </c>
      <c r="AW24" s="767">
        <v>44299</v>
      </c>
      <c r="AX24" s="1046">
        <v>3.287671232876712E-2</v>
      </c>
      <c r="AY24" s="1046">
        <v>2.0566804035216392E-3</v>
      </c>
      <c r="BA24" s="996" t="s">
        <v>744</v>
      </c>
      <c r="BB24" s="946" t="str">
        <f ca="1">$AC$16</f>
        <v>@@FXCurveBootstrapping_UsdSwap::15:59:47</v>
      </c>
      <c r="BC24" s="997"/>
      <c r="BI24" s="996" t="s">
        <v>749</v>
      </c>
      <c r="BJ24" s="946" t="str">
        <f ca="1">$Y$16</f>
        <v>@@FXCurveBootstrapping_UsdOis::15:59:47</v>
      </c>
      <c r="BK24" s="997"/>
      <c r="BQ24" s="996" t="s">
        <v>749</v>
      </c>
      <c r="BR24" s="946" t="str">
        <f ca="1">$Y$16</f>
        <v>@@FXCurveBootstrapping_UsdOis::15:59:47</v>
      </c>
      <c r="BS24" s="997"/>
      <c r="BZ24" s="993" t="s">
        <v>753</v>
      </c>
      <c r="CA24" s="904">
        <v>44286</v>
      </c>
      <c r="CB24" s="904"/>
    </row>
    <row r="25" spans="2:84">
      <c r="B25" s="870" t="s">
        <v>22</v>
      </c>
      <c r="C25" s="871" t="s">
        <v>0</v>
      </c>
      <c r="D25" s="872" t="s">
        <v>2</v>
      </c>
      <c r="F25" s="870" t="s">
        <v>22</v>
      </c>
      <c r="G25" s="871" t="s">
        <v>0</v>
      </c>
      <c r="H25" s="872" t="s">
        <v>2</v>
      </c>
      <c r="J25" s="870" t="s">
        <v>22</v>
      </c>
      <c r="K25" s="871" t="s">
        <v>0</v>
      </c>
      <c r="L25" s="872" t="s">
        <v>2</v>
      </c>
      <c r="Y25" s="978" t="s">
        <v>0</v>
      </c>
      <c r="Z25" s="872" t="s">
        <v>2</v>
      </c>
      <c r="AC25" s="978" t="s">
        <v>0</v>
      </c>
      <c r="AD25" s="872" t="s">
        <v>2</v>
      </c>
      <c r="AG25" s="978" t="s">
        <v>0</v>
      </c>
      <c r="AH25" s="872" t="s">
        <v>2</v>
      </c>
      <c r="AK25" s="986" t="s">
        <v>745</v>
      </c>
      <c r="AL25" s="1077" t="s">
        <v>33</v>
      </c>
      <c r="AM25" s="1078"/>
      <c r="AP25" s="767">
        <v>44314</v>
      </c>
      <c r="AQ25" s="748">
        <v>0.99592489116962546</v>
      </c>
      <c r="AR25" s="768">
        <f ca="1"/>
        <v>0.99613974908701164</v>
      </c>
      <c r="AS25" s="737" t="str" cm="1">
        <f t="array" aca="1" ref="AS25" ca="1">_xll.d.TestUtils_Equal(AQ25,AR25,$AR$15)</f>
        <v>Ok</v>
      </c>
      <c r="AT25" s="1049">
        <f t="shared" si="0"/>
        <v>5.5201987791109922E-2</v>
      </c>
      <c r="AU25" s="1050">
        <f ca="1"/>
        <v>5.0418504742941732E-2</v>
      </c>
      <c r="AV25" s="430" cm="1">
        <f t="array" aca="1" ref="AV25" ca="1">-LN(AR25)/_xll.d.Dates_Act365($AP$20,AP25)</f>
        <v>5.0418504742941996E-2</v>
      </c>
      <c r="AW25" s="767">
        <v>44306</v>
      </c>
      <c r="AX25" s="1046">
        <v>5.2054794520547946E-2</v>
      </c>
      <c r="AY25" s="1046">
        <v>2.9721728251698248E-3</v>
      </c>
      <c r="BA25" s="996" t="s">
        <v>745</v>
      </c>
      <c r="BB25" s="1083" t="s">
        <v>33</v>
      </c>
      <c r="BC25" s="1072"/>
      <c r="BI25" s="996" t="s">
        <v>744</v>
      </c>
      <c r="BJ25" s="946" t="str">
        <f ca="1">$AC$16</f>
        <v>@@FXCurveBootstrapping_UsdSwap::15:59:47</v>
      </c>
      <c r="BK25" s="997"/>
      <c r="BQ25" s="996" t="s">
        <v>744</v>
      </c>
      <c r="BR25" s="946" t="str">
        <f ca="1">$AC$16</f>
        <v>@@FXCurveBootstrapping_UsdSwap::15:59:47</v>
      </c>
      <c r="BS25" s="997"/>
      <c r="BZ25" s="1002" t="s">
        <v>742</v>
      </c>
      <c r="CA25" s="1069" t="s">
        <v>698</v>
      </c>
      <c r="CB25" s="1070"/>
    </row>
    <row r="26" spans="2:84">
      <c r="B26" s="867" t="s">
        <v>656</v>
      </c>
      <c r="C26" s="861">
        <v>45016</v>
      </c>
      <c r="D26" s="455">
        <v>1</v>
      </c>
      <c r="F26" s="867" t="s">
        <v>656</v>
      </c>
      <c r="G26" s="866">
        <v>45016</v>
      </c>
      <c r="H26" s="884">
        <v>1</v>
      </c>
      <c r="J26" s="867" t="s">
        <v>656</v>
      </c>
      <c r="K26" s="862">
        <v>45016</v>
      </c>
      <c r="L26" s="885">
        <v>1</v>
      </c>
      <c r="Y26" s="979">
        <v>44286</v>
      </c>
      <c r="Z26" s="980">
        <v>1</v>
      </c>
      <c r="AC26" s="714">
        <v>44286</v>
      </c>
      <c r="AD26" s="884">
        <v>1</v>
      </c>
      <c r="AG26" s="979">
        <v>44286</v>
      </c>
      <c r="AH26" s="980">
        <v>1</v>
      </c>
      <c r="AK26" s="986" t="s">
        <v>746</v>
      </c>
      <c r="AL26" s="1043" t="s">
        <v>24</v>
      </c>
      <c r="AM26" s="947"/>
      <c r="AP26" s="767">
        <v>44322</v>
      </c>
      <c r="AQ26" s="748">
        <v>0.99484321796303365</v>
      </c>
      <c r="AR26" s="768">
        <f ca="1"/>
        <v>0.99503955979153269</v>
      </c>
      <c r="AS26" s="737" t="str" cm="1">
        <f t="array" aca="1" ref="AS26" ca="1">_xll.d.TestUtils_Equal(AQ26,AR26,$AR$15)</f>
        <v>Ok</v>
      </c>
      <c r="AT26" s="1049">
        <f t="shared" si="0"/>
        <v>5.3917008736120584E-2</v>
      </c>
      <c r="AU26" s="1050">
        <f ca="1"/>
        <v>5.0418504742942918E-2</v>
      </c>
      <c r="AV26" s="430" cm="1">
        <f t="array" aca="1" ref="AV26" ca="1">-LN(AR26)/_xll.d.Dates_Act365($AP$20,AP26)</f>
        <v>5.0418504742942322E-2</v>
      </c>
      <c r="AW26" s="767">
        <v>44314</v>
      </c>
      <c r="AX26" s="1046">
        <v>7.3972602739726029E-2</v>
      </c>
      <c r="AY26" s="1046">
        <v>4.0834347133149804E-3</v>
      </c>
      <c r="BA26" s="996" t="s">
        <v>746</v>
      </c>
      <c r="BB26" s="981" t="s">
        <v>24</v>
      </c>
      <c r="BC26" s="997"/>
      <c r="BI26" s="996" t="s">
        <v>745</v>
      </c>
      <c r="BJ26" s="1083" t="s">
        <v>33</v>
      </c>
      <c r="BK26" s="1072"/>
      <c r="BQ26" s="996" t="s">
        <v>745</v>
      </c>
      <c r="BR26" s="1071" t="s">
        <v>33</v>
      </c>
      <c r="BS26" s="1072"/>
      <c r="BZ26" s="996" t="s">
        <v>743</v>
      </c>
      <c r="CA26" s="981" t="s">
        <v>24</v>
      </c>
      <c r="CB26" s="997"/>
    </row>
    <row r="27" spans="2:84">
      <c r="B27" s="124" t="s">
        <v>600</v>
      </c>
      <c r="C27" s="862">
        <v>45019</v>
      </c>
      <c r="D27" s="456">
        <v>0.99941924199999999</v>
      </c>
      <c r="F27" s="867" t="s">
        <v>600</v>
      </c>
      <c r="G27" s="862">
        <v>45019</v>
      </c>
      <c r="H27" s="885">
        <v>0.99941919999999995</v>
      </c>
      <c r="J27" s="867" t="s">
        <v>600</v>
      </c>
      <c r="K27" s="862">
        <v>45019</v>
      </c>
      <c r="L27" s="885">
        <v>0.99959474800000003</v>
      </c>
      <c r="Y27" s="716">
        <v>44290.931506849316</v>
      </c>
      <c r="Z27" s="885">
        <v>0.99999166670833317</v>
      </c>
      <c r="AC27" s="716">
        <v>44287</v>
      </c>
      <c r="AD27" s="885">
        <v>0.99999779096378405</v>
      </c>
      <c r="AG27" s="716">
        <v>44287</v>
      </c>
      <c r="AH27" s="885">
        <v>0.99990932330355131</v>
      </c>
      <c r="AK27" s="986" t="s">
        <v>747</v>
      </c>
      <c r="AL27" s="946" t="str">
        <f ca="1">$AG$16</f>
        <v>@@FXCurveBootstrapping_Zar::15:59:47</v>
      </c>
      <c r="AM27" s="947"/>
      <c r="AP27" s="767">
        <v>44354</v>
      </c>
      <c r="AQ27" s="748">
        <v>0.99062450944270197</v>
      </c>
      <c r="AR27" s="768">
        <f ca="1"/>
        <v>0.99089664668173416</v>
      </c>
      <c r="AS27" s="737" t="str" cm="1">
        <f t="array" aca="1" ref="AS27" ca="1">_xll.d.TestUtils_Equal(AQ27,AR27,$AR$15)</f>
        <v>Ok</v>
      </c>
      <c r="AT27" s="1049">
        <f t="shared" si="0"/>
        <v>5.1316369365518776E-2</v>
      </c>
      <c r="AU27" s="892">
        <f ca="1"/>
        <v>4.908735799116435E-2</v>
      </c>
      <c r="AV27" s="430" cm="1">
        <f t="array" aca="1" ref="AV27" ca="1">-LN(AR27)/_xll.d.Dates_Act365($AP$20,AP27)</f>
        <v>4.9087357991164128E-2</v>
      </c>
      <c r="AW27" s="767">
        <v>44322</v>
      </c>
      <c r="AX27" s="1046">
        <v>9.5890410958904104E-2</v>
      </c>
      <c r="AY27" s="1046">
        <v>5.1701241253814256E-3</v>
      </c>
      <c r="BA27" s="1001" t="s">
        <v>747</v>
      </c>
      <c r="BB27" s="946" t="str">
        <f ca="1">$AG$16</f>
        <v>@@FXCurveBootstrapping_Zar::15:59:47</v>
      </c>
      <c r="BC27" s="997"/>
      <c r="BI27" s="996" t="s">
        <v>746</v>
      </c>
      <c r="BJ27" s="981" t="s">
        <v>24</v>
      </c>
      <c r="BK27" s="997"/>
      <c r="BQ27" s="996" t="s">
        <v>746</v>
      </c>
      <c r="BR27" s="981" t="s">
        <v>24</v>
      </c>
      <c r="BS27" s="997"/>
      <c r="BZ27" s="996" t="s">
        <v>749</v>
      </c>
      <c r="CA27" s="946" t="str">
        <f ca="1">$Y$16</f>
        <v>@@FXCurveBootstrapping_UsdOis::15:59:47</v>
      </c>
      <c r="CB27" s="997"/>
    </row>
    <row r="28" spans="2:84">
      <c r="B28" s="124" t="s">
        <v>651</v>
      </c>
      <c r="C28" s="862">
        <v>45020</v>
      </c>
      <c r="D28" s="456">
        <v>0.99922414500000001</v>
      </c>
      <c r="F28" s="867" t="s">
        <v>651</v>
      </c>
      <c r="G28" s="862">
        <v>45020</v>
      </c>
      <c r="H28" s="885">
        <v>0.99922449999999996</v>
      </c>
      <c r="J28" s="867" t="s">
        <v>651</v>
      </c>
      <c r="K28" s="862">
        <v>45020</v>
      </c>
      <c r="L28" s="885">
        <v>0.99945968200000002</v>
      </c>
      <c r="Y28" s="716">
        <v>44291.917808219179</v>
      </c>
      <c r="Z28" s="885">
        <v>0.99999000005833305</v>
      </c>
      <c r="AC28" s="716">
        <v>44298</v>
      </c>
      <c r="AD28" s="885">
        <v>0.99997123370423591</v>
      </c>
      <c r="AG28" s="716">
        <v>44316</v>
      </c>
      <c r="AH28" s="885">
        <v>0.99712500178214081</v>
      </c>
      <c r="AK28" s="986" t="s">
        <v>748</v>
      </c>
      <c r="AL28" s="948">
        <v>14.77675</v>
      </c>
      <c r="AM28" s="947"/>
      <c r="AP28" s="767">
        <v>44383</v>
      </c>
      <c r="AQ28" s="748">
        <v>0.98664541325082444</v>
      </c>
      <c r="AR28" s="768">
        <f ca="1"/>
        <v>0.98711903476010654</v>
      </c>
      <c r="AS28" s="737" t="str" cm="1">
        <f t="array" aca="1" ref="AS28" ca="1">_xll.d.TestUtils_Equal(AQ28,AR28,$AR$15)</f>
        <v>Ok</v>
      </c>
      <c r="AT28" s="1049">
        <f t="shared" si="0"/>
        <v>5.1117342018044624E-2</v>
      </c>
      <c r="AU28" s="892">
        <f ca="1"/>
        <v>4.8784486007826179E-2</v>
      </c>
      <c r="AV28" s="430" cm="1">
        <f t="array" aca="1" ref="AV28" ca="1">-LN(AR28)/_xll.d.Dates_Act365($AP$20,AP28)</f>
        <v>4.8784486007826061E-2</v>
      </c>
      <c r="AW28" s="767">
        <v>44354</v>
      </c>
      <c r="AX28" s="1046">
        <v>0.18356164383561643</v>
      </c>
      <c r="AY28" s="1046">
        <v>9.4197171164102957E-3</v>
      </c>
      <c r="BA28" s="996" t="s">
        <v>748</v>
      </c>
      <c r="BB28" s="948">
        <v>14.77675</v>
      </c>
      <c r="BC28" s="997"/>
      <c r="BI28" s="996" t="s">
        <v>747</v>
      </c>
      <c r="BJ28" s="946" t="str">
        <f ca="1">$AG$16</f>
        <v>@@FXCurveBootstrapping_Zar::15:59:47</v>
      </c>
      <c r="BK28" s="997"/>
      <c r="BQ28" s="996" t="s">
        <v>747</v>
      </c>
      <c r="BR28" s="946" t="str">
        <f ca="1">$AG$16</f>
        <v>@@FXCurveBootstrapping_Zar::15:59:47</v>
      </c>
      <c r="BS28" s="997"/>
      <c r="BZ28" s="996" t="s">
        <v>744</v>
      </c>
      <c r="CA28" s="946" t="str">
        <f ca="1">$AC$16</f>
        <v>@@FXCurveBootstrapping_UsdSwap::15:59:47</v>
      </c>
      <c r="CB28" s="997"/>
    </row>
    <row r="29" spans="2:84">
      <c r="B29" s="124" t="s">
        <v>652</v>
      </c>
      <c r="C29" s="862">
        <v>45027</v>
      </c>
      <c r="D29" s="456">
        <v>0.997834322</v>
      </c>
      <c r="F29" s="867" t="s">
        <v>652</v>
      </c>
      <c r="G29" s="862">
        <v>45027</v>
      </c>
      <c r="H29" s="885">
        <v>0.99784050000000002</v>
      </c>
      <c r="J29" s="867" t="s">
        <v>652</v>
      </c>
      <c r="K29" s="862">
        <v>45027</v>
      </c>
      <c r="L29" s="885">
        <v>0.99848547700000001</v>
      </c>
      <c r="Y29" s="716">
        <v>44320.520547945205</v>
      </c>
      <c r="Z29" s="885">
        <v>0.99994069771019323</v>
      </c>
      <c r="AC29" s="716">
        <v>44321</v>
      </c>
      <c r="AD29" s="885">
        <v>0.99989344834076721</v>
      </c>
      <c r="AG29" s="716">
        <v>44377</v>
      </c>
      <c r="AH29" s="885">
        <v>0.99092085729334145</v>
      </c>
      <c r="AK29" s="142" t="s">
        <v>43</v>
      </c>
      <c r="AL29" s="1079" t="s">
        <v>691</v>
      </c>
      <c r="AM29" s="1080"/>
      <c r="AP29" s="767">
        <v>44414</v>
      </c>
      <c r="AQ29" s="748">
        <v>0.98272345090717839</v>
      </c>
      <c r="AR29" s="768">
        <f ca="1"/>
        <v>0.98317352097589317</v>
      </c>
      <c r="AS29" s="737" t="str" cm="1">
        <f t="array" aca="1" ref="AS29" ca="1">_xll.d.TestUtils_Equal(AQ29,AR29,$AR$15)</f>
        <v>Ok</v>
      </c>
      <c r="AT29" s="1049">
        <f t="shared" si="0"/>
        <v>5.0086996095899533E-2</v>
      </c>
      <c r="AU29" s="892">
        <f ca="1"/>
        <v>4.8390024894725159E-2</v>
      </c>
      <c r="AV29" s="430" cm="1">
        <f t="array" aca="1" ref="AV29" ca="1">-LN(AR29)/_xll.d.Dates_Act365($AP$20,AP29)</f>
        <v>4.8390024894724916E-2</v>
      </c>
      <c r="AW29" s="767">
        <v>44383</v>
      </c>
      <c r="AX29" s="1046">
        <v>0.26301369863013696</v>
      </c>
      <c r="AY29" s="1046">
        <v>1.3444561188307625E-2</v>
      </c>
      <c r="BA29" s="998" t="s">
        <v>43</v>
      </c>
      <c r="BB29" s="1073" t="s">
        <v>691</v>
      </c>
      <c r="BC29" s="1074"/>
      <c r="BI29" s="998" t="s">
        <v>43</v>
      </c>
      <c r="BJ29" s="1073" t="s">
        <v>691</v>
      </c>
      <c r="BK29" s="1074"/>
      <c r="BQ29" s="996" t="s">
        <v>748</v>
      </c>
      <c r="BR29" s="948">
        <v>14.77675</v>
      </c>
      <c r="BS29" s="997"/>
      <c r="BZ29" s="996" t="s">
        <v>745</v>
      </c>
      <c r="CA29" s="1071" t="s">
        <v>33</v>
      </c>
      <c r="CB29" s="1072"/>
    </row>
    <row r="30" spans="2:84">
      <c r="B30" s="124" t="s">
        <v>608</v>
      </c>
      <c r="C30" s="862">
        <v>45044</v>
      </c>
      <c r="D30" s="456">
        <v>0.99436822499999999</v>
      </c>
      <c r="F30" s="867" t="s">
        <v>608</v>
      </c>
      <c r="G30" s="862">
        <v>45044</v>
      </c>
      <c r="H30" s="885">
        <v>0.99434610000000001</v>
      </c>
      <c r="J30" s="867" t="s">
        <v>608</v>
      </c>
      <c r="K30" s="862">
        <v>45050</v>
      </c>
      <c r="L30" s="885">
        <v>0.99523663699999998</v>
      </c>
      <c r="Y30" s="716">
        <v>44353.068493150684</v>
      </c>
      <c r="Z30" s="885">
        <v>0.9998791251863326</v>
      </c>
      <c r="AC30" s="716">
        <v>44354</v>
      </c>
      <c r="AD30" s="885">
        <v>0.99975110744237938</v>
      </c>
      <c r="AG30" s="716">
        <v>44469</v>
      </c>
      <c r="AH30" s="885">
        <v>0.98154428572109986</v>
      </c>
      <c r="AP30" s="767">
        <v>44446</v>
      </c>
      <c r="AQ30" s="748">
        <v>0.97861357338373778</v>
      </c>
      <c r="AR30" s="768">
        <f ca="1"/>
        <v>0.97901655029671197</v>
      </c>
      <c r="AS30" s="737" t="str" cm="1">
        <f t="array" aca="1" ref="AS30" ca="1">_xll.d.TestUtils_Equal(AQ30,AR30,$AR$15)</f>
        <v>Ok</v>
      </c>
      <c r="AT30" s="1049">
        <f t="shared" si="0"/>
        <v>4.9627213561393303E-2</v>
      </c>
      <c r="AU30" s="892">
        <f ca="1"/>
        <v>4.8377855746953961E-2</v>
      </c>
      <c r="AV30" s="430" cm="1">
        <f t="array" aca="1" ref="AV30" ca="1">-LN(AR30)/_xll.d.Dates_Act365($AP$20,AP30)</f>
        <v>4.8377855746953885E-2</v>
      </c>
      <c r="AW30" s="767">
        <v>44414</v>
      </c>
      <c r="AX30" s="1046">
        <v>0.34794520547945207</v>
      </c>
      <c r="AY30" s="1046">
        <v>1.7427530148436277E-2</v>
      </c>
      <c r="BQ30" s="998" t="s">
        <v>43</v>
      </c>
      <c r="BR30" s="1073" t="s">
        <v>691</v>
      </c>
      <c r="BS30" s="1074"/>
      <c r="BZ30" s="996" t="s">
        <v>746</v>
      </c>
      <c r="CA30" s="981" t="s">
        <v>24</v>
      </c>
      <c r="CB30" s="997"/>
    </row>
    <row r="31" spans="2:84">
      <c r="B31" s="124" t="s">
        <v>611</v>
      </c>
      <c r="C31" s="862">
        <v>45077</v>
      </c>
      <c r="D31" s="456">
        <v>0.98768435499999996</v>
      </c>
      <c r="F31" s="867" t="s">
        <v>611</v>
      </c>
      <c r="G31" s="862">
        <v>45077</v>
      </c>
      <c r="H31" s="885">
        <v>0.98719480000000004</v>
      </c>
      <c r="J31" s="867" t="s">
        <v>611</v>
      </c>
      <c r="K31" s="862">
        <v>45082</v>
      </c>
      <c r="L31" s="885">
        <v>0.99065656000000002</v>
      </c>
      <c r="N31" s="892"/>
      <c r="Y31" s="716">
        <v>44381.67123287671</v>
      </c>
      <c r="Z31" s="885">
        <v>0.99981950396701114</v>
      </c>
      <c r="AC31" s="716">
        <v>44383</v>
      </c>
      <c r="AD31" s="885">
        <v>0.9994840403244164</v>
      </c>
      <c r="AG31" s="716">
        <v>44560</v>
      </c>
      <c r="AH31" s="885">
        <v>0.97180440930321998</v>
      </c>
      <c r="AP31" s="767">
        <v>44475</v>
      </c>
      <c r="AQ31" s="748">
        <v>0.97485156715388177</v>
      </c>
      <c r="AR31" s="768">
        <f ca="1"/>
        <v>0.97551181989212432</v>
      </c>
      <c r="AS31" s="737" t="str" cm="1">
        <f t="array" aca="1" ref="AS31" ca="1">_xll.d.TestUtils_Equal(AQ31,AR31,$AR$15)</f>
        <v>Ok</v>
      </c>
      <c r="AT31" s="1049">
        <f t="shared" si="0"/>
        <v>4.9449847406750409E-2</v>
      </c>
      <c r="AU31" s="892">
        <f ca="1"/>
        <v>4.7880665701232478E-2</v>
      </c>
      <c r="AV31" s="430" cm="1">
        <f t="array" aca="1" ref="AV31" ca="1">-LN(AR31)/_xll.d.Dates_Act365($AP$20,AP31)</f>
        <v>4.7880665701232561E-2</v>
      </c>
      <c r="AW31" s="767">
        <v>44446</v>
      </c>
      <c r="AX31" s="1046">
        <v>0.43561643835616437</v>
      </c>
      <c r="AY31" s="1046">
        <v>2.161843001715489E-2</v>
      </c>
      <c r="BZ31" s="996" t="s">
        <v>747</v>
      </c>
      <c r="CA31" s="946" t="str">
        <f ca="1">$AG$16</f>
        <v>@@FXCurveBootstrapping_Zar::15:59:47</v>
      </c>
      <c r="CB31" s="997"/>
    </row>
    <row r="32" spans="2:84">
      <c r="B32" s="124" t="s">
        <v>612</v>
      </c>
      <c r="C32" s="862">
        <v>45107</v>
      </c>
      <c r="D32" s="456">
        <v>0.98146443900000002</v>
      </c>
      <c r="F32" s="867" t="s">
        <v>612</v>
      </c>
      <c r="G32" s="862">
        <v>45107</v>
      </c>
      <c r="H32" s="885">
        <v>0.98054549999999996</v>
      </c>
      <c r="J32" s="867" t="s">
        <v>612</v>
      </c>
      <c r="K32" s="862">
        <v>45112</v>
      </c>
      <c r="L32" s="885">
        <v>0.98638947300000002</v>
      </c>
      <c r="Y32" s="716">
        <v>44411.260273972606</v>
      </c>
      <c r="Z32" s="885">
        <v>0.99975311532231814</v>
      </c>
      <c r="AC32" s="716">
        <v>44407</v>
      </c>
      <c r="AD32" s="885">
        <v>0.99946382463338601</v>
      </c>
      <c r="AG32" s="716">
        <v>44651</v>
      </c>
      <c r="AH32" s="885">
        <v>0.9615672049033942</v>
      </c>
      <c r="AK32" s="12" t="s">
        <v>764</v>
      </c>
      <c r="AL32" s="27"/>
      <c r="AM32" s="27"/>
      <c r="AN32" s="13"/>
      <c r="AP32" s="767">
        <v>44567</v>
      </c>
      <c r="AQ32" s="748">
        <v>0.96320044759980061</v>
      </c>
      <c r="AR32" s="768">
        <f ca="1"/>
        <v>0.96417069968875002</v>
      </c>
      <c r="AS32" s="737" t="str" cm="1">
        <f t="array" aca="1" ref="AS32" ca="1">_xll.d.TestUtils_Equal(AQ32,AR32,$AR$15)</f>
        <v>Ok</v>
      </c>
      <c r="AT32" s="1049">
        <f t="shared" si="0"/>
        <v>4.8875767858278733E-2</v>
      </c>
      <c r="AU32" s="892">
        <f ca="1"/>
        <v>4.7394049372744988E-2</v>
      </c>
      <c r="AV32" s="430" cm="1">
        <f t="array" aca="1" ref="AV32" ca="1">-LN(AR32)/_xll.d.Dates_Act365($AP$20,AP32)</f>
        <v>4.7394049372745099E-2</v>
      </c>
      <c r="AW32" s="767">
        <v>44475</v>
      </c>
      <c r="AX32" s="1046">
        <v>0.51506849315068493</v>
      </c>
      <c r="AY32" s="1046">
        <v>2.5470058390326237E-2</v>
      </c>
      <c r="BA32" s="12" t="s">
        <v>739</v>
      </c>
      <c r="BB32" s="27"/>
      <c r="BC32" s="27"/>
      <c r="BD32" s="13"/>
      <c r="BI32" s="12" t="s">
        <v>739</v>
      </c>
      <c r="BJ32" s="27"/>
      <c r="BK32" s="27"/>
      <c r="BL32" s="13"/>
      <c r="BZ32" s="996" t="s">
        <v>748</v>
      </c>
      <c r="CA32" s="948">
        <v>14.77675</v>
      </c>
      <c r="CB32" s="997"/>
    </row>
    <row r="33" spans="2:81">
      <c r="B33" s="124" t="s">
        <v>613</v>
      </c>
      <c r="C33" s="862">
        <v>45198</v>
      </c>
      <c r="D33" s="456">
        <v>0.96091179299999996</v>
      </c>
      <c r="F33" s="867" t="s">
        <v>613</v>
      </c>
      <c r="G33" s="862">
        <v>45198</v>
      </c>
      <c r="H33" s="885">
        <v>0.96094789999999997</v>
      </c>
      <c r="J33" s="867" t="s">
        <v>613</v>
      </c>
      <c r="K33" s="862">
        <v>45203</v>
      </c>
      <c r="L33" s="885">
        <v>0.97355813899999999</v>
      </c>
      <c r="Y33" s="716">
        <v>44443.808219178085</v>
      </c>
      <c r="Z33" s="885">
        <v>0.99968010076842584</v>
      </c>
      <c r="AC33" s="716">
        <v>44440</v>
      </c>
      <c r="AD33" s="885">
        <v>0.99933870078552967</v>
      </c>
      <c r="AG33" s="716">
        <v>44742</v>
      </c>
      <c r="AH33" s="885">
        <v>0.95057079360873153</v>
      </c>
      <c r="AK33" s="61" t="s">
        <v>35</v>
      </c>
      <c r="AL33" s="495" t="s">
        <v>840</v>
      </c>
      <c r="AM33" s="949" t="s">
        <v>841</v>
      </c>
      <c r="AN33" s="63" t="s">
        <v>42</v>
      </c>
      <c r="AP33" s="767">
        <v>44657</v>
      </c>
      <c r="AQ33" s="748">
        <v>0.95191512062026107</v>
      </c>
      <c r="AR33" s="768">
        <f ca="1"/>
        <v>0.95327051072747526</v>
      </c>
      <c r="AS33" s="737" t="str" cm="1">
        <f t="array" aca="1" ref="AS33" ca="1">_xll.d.TestUtils_Equal(AQ33,AR33,$AR$15)</f>
        <v>Error</v>
      </c>
      <c r="AT33" s="1049">
        <f t="shared" si="0"/>
        <v>4.8613469243165612E-2</v>
      </c>
      <c r="AU33" s="892">
        <f ca="1"/>
        <v>4.7082603244735836E-2</v>
      </c>
      <c r="AV33" s="430" cm="1">
        <f t="array" aca="1" ref="AV33" ca="1">-LN(AR33)/_xll.d.Dates_Act365($AP$20,AP33)</f>
        <v>4.7082603244735746E-2</v>
      </c>
      <c r="AW33" s="767">
        <v>44567</v>
      </c>
      <c r="AX33" s="1046">
        <v>0.76712328767123283</v>
      </c>
      <c r="AY33" s="1046">
        <v>3.7493739726898755E-2</v>
      </c>
      <c r="BA33" s="61" t="s">
        <v>35</v>
      </c>
      <c r="BB33" s="495" t="s">
        <v>736</v>
      </c>
      <c r="BC33" s="949" t="s">
        <v>714</v>
      </c>
      <c r="BD33" s="63" t="s">
        <v>42</v>
      </c>
      <c r="BI33" s="61" t="s">
        <v>35</v>
      </c>
      <c r="BJ33" s="495" t="s">
        <v>736</v>
      </c>
      <c r="BK33" s="949" t="s">
        <v>714</v>
      </c>
      <c r="BL33" s="63" t="s">
        <v>42</v>
      </c>
      <c r="BQ33" s="12" t="s">
        <v>758</v>
      </c>
      <c r="BR33" s="27"/>
      <c r="BS33" s="27"/>
      <c r="BT33" s="13"/>
      <c r="BZ33" s="998" t="s">
        <v>43</v>
      </c>
      <c r="CA33" s="1073" t="s">
        <v>691</v>
      </c>
      <c r="CB33" s="1074"/>
    </row>
    <row r="34" spans="2:81">
      <c r="B34" s="124" t="s">
        <v>648</v>
      </c>
      <c r="C34" s="862">
        <v>45289</v>
      </c>
      <c r="D34" s="456">
        <v>0.94072104300000003</v>
      </c>
      <c r="F34" s="867" t="s">
        <v>648</v>
      </c>
      <c r="G34" s="862">
        <v>45289</v>
      </c>
      <c r="H34" s="885">
        <v>0.94165010000000005</v>
      </c>
      <c r="J34" s="867" t="s">
        <v>648</v>
      </c>
      <c r="K34" s="862">
        <v>45295</v>
      </c>
      <c r="L34" s="885">
        <v>0.96170955700000005</v>
      </c>
      <c r="Y34" s="716">
        <v>44471.424657534248</v>
      </c>
      <c r="Z34" s="885">
        <v>0.99961892112189865</v>
      </c>
      <c r="AC34" s="716">
        <v>44469</v>
      </c>
      <c r="AD34" s="885">
        <v>0.99910010175508768</v>
      </c>
      <c r="AG34" s="716">
        <v>44834</v>
      </c>
      <c r="AH34" s="885">
        <v>0.93911411596110872</v>
      </c>
      <c r="AK34" s="994" t="s">
        <v>608</v>
      </c>
      <c r="AL34" s="1007">
        <v>6.0600000000000001E-2</v>
      </c>
      <c r="AM34" s="950">
        <v>2</v>
      </c>
      <c r="AN34" s="247" t="b">
        <v>1</v>
      </c>
      <c r="AO34" s="1047"/>
      <c r="AP34" s="767">
        <v>45019</v>
      </c>
      <c r="AQ34" s="748">
        <v>0.90420401338243894</v>
      </c>
      <c r="AR34" s="768">
        <f ca="1"/>
        <v>0.9053990095740464</v>
      </c>
      <c r="AS34" s="737" t="str" cm="1">
        <f t="array" aca="1" ref="AS34" ca="1">_xll.d.TestUtils_Equal(AQ34,AR34,$AR$15)</f>
        <v>Error</v>
      </c>
      <c r="AT34" s="1049">
        <f t="shared" si="0"/>
        <v>5.0212564096806682E-2</v>
      </c>
      <c r="AU34" s="892">
        <f ca="1"/>
        <v>4.9486400177497253E-2</v>
      </c>
      <c r="AV34" s="430" cm="1">
        <f t="array" aca="1" ref="AV34" ca="1">-LN(AR34)/_xll.d.Dates_Act365($AP$20,AP34)</f>
        <v>4.9486400177497274E-2</v>
      </c>
      <c r="AW34" s="767">
        <v>44657</v>
      </c>
      <c r="AX34" s="1046">
        <v>1.0136986301369864</v>
      </c>
      <c r="AY34" s="1046">
        <v>4.9279407178003498E-2</v>
      </c>
      <c r="BA34" s="994" t="s">
        <v>608</v>
      </c>
      <c r="BB34" s="950">
        <v>6.0610999999999748E-2</v>
      </c>
      <c r="BC34" s="950">
        <v>2</v>
      </c>
      <c r="BD34" s="247" t="b">
        <v>1</v>
      </c>
      <c r="BI34" s="994" t="s">
        <v>608</v>
      </c>
      <c r="BJ34" s="950">
        <v>6.0610999999999748E-2</v>
      </c>
      <c r="BK34" s="950">
        <v>2</v>
      </c>
      <c r="BL34" s="247" t="b">
        <v>1</v>
      </c>
      <c r="BQ34" s="61" t="s">
        <v>35</v>
      </c>
      <c r="BR34" s="495" t="s">
        <v>736</v>
      </c>
      <c r="BS34" s="949" t="s">
        <v>714</v>
      </c>
      <c r="BT34" s="63" t="s">
        <v>42</v>
      </c>
    </row>
    <row r="35" spans="2:81">
      <c r="B35" s="124" t="s">
        <v>614</v>
      </c>
      <c r="C35" s="862">
        <v>45379</v>
      </c>
      <c r="D35" s="456">
        <v>0.92057749200000005</v>
      </c>
      <c r="F35" s="867" t="s">
        <v>614</v>
      </c>
      <c r="G35" s="862">
        <v>45379</v>
      </c>
      <c r="H35" s="885">
        <v>0.9232669</v>
      </c>
      <c r="J35" s="867" t="s">
        <v>614</v>
      </c>
      <c r="K35" s="862">
        <v>45386</v>
      </c>
      <c r="L35" s="885">
        <v>0.95118707199999997</v>
      </c>
      <c r="Y35" s="716">
        <v>44562.164383561641</v>
      </c>
      <c r="Z35" s="885">
        <v>0.99940923497933887</v>
      </c>
      <c r="AC35" s="716">
        <v>44502</v>
      </c>
      <c r="AD35" s="885">
        <v>0.99899920452018776</v>
      </c>
      <c r="AG35" s="716">
        <v>44925</v>
      </c>
      <c r="AH35" s="885">
        <v>0.927254656104601</v>
      </c>
      <c r="AK35" s="982" t="s">
        <v>611</v>
      </c>
      <c r="AL35" s="1008">
        <v>0.1217410000000001</v>
      </c>
      <c r="AM35" s="951">
        <v>2</v>
      </c>
      <c r="AN35" s="249" t="b">
        <v>1</v>
      </c>
      <c r="AP35" s="767">
        <v>45384</v>
      </c>
      <c r="AQ35" s="748">
        <v>0.85267887250625574</v>
      </c>
      <c r="AR35" s="768">
        <f ca="1"/>
        <v>0.85243350176084642</v>
      </c>
      <c r="AS35" s="737" t="str" cm="1">
        <f t="array" aca="1" ref="AS35" ca="1">_xll.d.TestUtils_Equal(AQ35,AR35,$AR$15)</f>
        <v>Ok</v>
      </c>
      <c r="AT35" s="1049">
        <f t="shared" si="0"/>
        <v>5.3027236836761762E-2</v>
      </c>
      <c r="AU35" s="892">
        <f ca="1"/>
        <v>5.3074615649615096E-2</v>
      </c>
      <c r="AV35" s="430" cm="1">
        <f t="array" aca="1" ref="AV35" ca="1">-LN(AR35)/_xll.d.Dates_Act365($AP$20,AP35)</f>
        <v>5.3074615649615124E-2</v>
      </c>
      <c r="AW35" s="767">
        <v>45019</v>
      </c>
      <c r="AX35" s="1046">
        <v>2.0054794520547947</v>
      </c>
      <c r="AY35" s="1046">
        <v>0.10070026553113012</v>
      </c>
      <c r="BA35" s="982" t="s">
        <v>611</v>
      </c>
      <c r="BB35" s="951">
        <v>0.1217410000000001</v>
      </c>
      <c r="BC35" s="951">
        <v>2</v>
      </c>
      <c r="BD35" s="249" t="b">
        <v>1</v>
      </c>
      <c r="BI35" s="982" t="s">
        <v>611</v>
      </c>
      <c r="BJ35" s="951">
        <v>0.1217410000000001</v>
      </c>
      <c r="BK35" s="951">
        <v>2</v>
      </c>
      <c r="BL35" s="249" t="b">
        <v>1</v>
      </c>
      <c r="BQ35" s="994" t="s">
        <v>608</v>
      </c>
      <c r="BR35" s="950">
        <v>6.0610999999999748E-2</v>
      </c>
      <c r="BS35" s="950">
        <v>2</v>
      </c>
      <c r="BT35" s="247" t="b">
        <v>1</v>
      </c>
    </row>
    <row r="36" spans="2:81">
      <c r="B36" s="124" t="s">
        <v>617</v>
      </c>
      <c r="C36" s="862">
        <v>45747</v>
      </c>
      <c r="D36" s="456">
        <v>0.85585145699999998</v>
      </c>
      <c r="F36" s="867" t="s">
        <v>617</v>
      </c>
      <c r="G36" s="862">
        <v>45747</v>
      </c>
      <c r="H36" s="885">
        <v>0.85543950000000002</v>
      </c>
      <c r="J36" s="867" t="s">
        <v>617</v>
      </c>
      <c r="K36" s="862">
        <v>45751</v>
      </c>
      <c r="L36" s="885">
        <v>0.91719768300000004</v>
      </c>
      <c r="Y36" s="716">
        <v>44650.931506849316</v>
      </c>
      <c r="Z36" s="885">
        <v>0.99917844871257111</v>
      </c>
      <c r="AC36" s="716">
        <v>44530</v>
      </c>
      <c r="AD36" s="885">
        <v>0.99886932915421978</v>
      </c>
      <c r="AG36" s="716">
        <v>45019</v>
      </c>
      <c r="AH36" s="885">
        <v>0.91469536953011721</v>
      </c>
      <c r="AK36" s="982" t="s">
        <v>612</v>
      </c>
      <c r="AL36" s="1008">
        <v>0.17783000000000015</v>
      </c>
      <c r="AM36" s="951">
        <v>2</v>
      </c>
      <c r="AN36" s="249" t="b">
        <v>1</v>
      </c>
      <c r="AP36" s="767">
        <v>45748</v>
      </c>
      <c r="AQ36" s="748">
        <v>0.79530748345081337</v>
      </c>
      <c r="AR36" s="768">
        <f ca="1"/>
        <v>0.7946889331888306</v>
      </c>
      <c r="AS36" s="737" t="str" cm="1">
        <f t="array" aca="1" ref="AS36" ca="1">_xll.d.TestUtils_Equal(AQ36,AR36,$AR$15)</f>
        <v>Ok</v>
      </c>
      <c r="AT36" s="1049">
        <f t="shared" si="0"/>
        <v>5.721742684871816E-2</v>
      </c>
      <c r="AU36" s="892">
        <f ca="1"/>
        <v>5.7372537459225159E-2</v>
      </c>
      <c r="AV36" s="430" cm="1">
        <f t="array" aca="1" ref="AV36" ca="1">-LN(AR36)/_xll.d.Dates_Act365($AP$20,AP36)</f>
        <v>5.7372537459225166E-2</v>
      </c>
      <c r="AW36" s="767">
        <v>45384</v>
      </c>
      <c r="AX36" s="1046">
        <v>3.0054794520547947</v>
      </c>
      <c r="AY36" s="1046">
        <v>0.15937227071213056</v>
      </c>
      <c r="BA36" s="982" t="s">
        <v>612</v>
      </c>
      <c r="BB36" s="951">
        <v>0.17783000000000015</v>
      </c>
      <c r="BC36" s="951">
        <v>2</v>
      </c>
      <c r="BD36" s="249" t="b">
        <v>1</v>
      </c>
      <c r="BI36" s="982" t="s">
        <v>612</v>
      </c>
      <c r="BJ36" s="951">
        <v>0.17783000000000015</v>
      </c>
      <c r="BK36" s="951">
        <v>2</v>
      </c>
      <c r="BL36" s="249" t="b">
        <v>1</v>
      </c>
      <c r="BQ36" s="982" t="s">
        <v>611</v>
      </c>
      <c r="BR36" s="951">
        <v>0.1217410000000001</v>
      </c>
      <c r="BS36" s="951">
        <v>2</v>
      </c>
      <c r="BT36" s="249" t="b">
        <v>1</v>
      </c>
      <c r="BZ36" s="12" t="s">
        <v>712</v>
      </c>
      <c r="CA36" s="27"/>
      <c r="CB36" s="27"/>
      <c r="CC36" s="13"/>
    </row>
    <row r="37" spans="2:81">
      <c r="B37" s="124" t="s">
        <v>630</v>
      </c>
      <c r="C37" s="862">
        <v>46112</v>
      </c>
      <c r="D37" s="456">
        <v>0.79235356700000004</v>
      </c>
      <c r="F37" s="867" t="s">
        <v>630</v>
      </c>
      <c r="G37" s="862">
        <v>46112</v>
      </c>
      <c r="H37" s="885">
        <v>0.79222870000000001</v>
      </c>
      <c r="J37" s="867" t="s">
        <v>630</v>
      </c>
      <c r="K37" s="862">
        <v>46118</v>
      </c>
      <c r="L37" s="885">
        <v>0.888698879</v>
      </c>
      <c r="Y37" s="716">
        <v>44831.424657534248</v>
      </c>
      <c r="Z37" s="885">
        <v>0.9984714980301832</v>
      </c>
      <c r="AC37" s="716">
        <v>44560</v>
      </c>
      <c r="AD37" s="885">
        <v>0.99857479669559857</v>
      </c>
      <c r="AG37" s="716">
        <v>45379</v>
      </c>
      <c r="AH37" s="885">
        <v>0.86234374883000919</v>
      </c>
      <c r="AK37" s="982" t="s">
        <v>737</v>
      </c>
      <c r="AL37" s="1008">
        <v>0.23681000000000016</v>
      </c>
      <c r="AM37" s="951">
        <v>2</v>
      </c>
      <c r="AN37" s="249" t="b">
        <v>1</v>
      </c>
      <c r="AP37" s="767">
        <v>46113</v>
      </c>
      <c r="AQ37" s="748">
        <v>0.73442996186163922</v>
      </c>
      <c r="AR37" s="768">
        <f ca="1"/>
        <v>0.73347556392918001</v>
      </c>
      <c r="AS37" s="737" t="str" cm="1">
        <f t="array" aca="1" ref="AS37" ca="1">_xll.d.TestUtils_Equal(AQ37,AR37,$AR$15)</f>
        <v>Ok</v>
      </c>
      <c r="AT37" s="1049">
        <f t="shared" si="0"/>
        <v>6.1698321253918408E-2</v>
      </c>
      <c r="AU37" s="892">
        <f ca="1"/>
        <v>6.1924336972376696E-2</v>
      </c>
      <c r="AV37" s="430" cm="1">
        <f t="array" aca="1" ref="AV37" ca="1">-LN(AR37)/_xll.d.Dates_Act365($AP$20,AP37)</f>
        <v>6.1924336972376696E-2</v>
      </c>
      <c r="AW37" s="767">
        <v>45748</v>
      </c>
      <c r="AX37" s="1046">
        <v>4.0027397260273974</v>
      </c>
      <c r="AY37" s="1046">
        <v>0.22902646746843078</v>
      </c>
      <c r="BA37" s="982" t="s">
        <v>737</v>
      </c>
      <c r="BB37" s="951">
        <v>0.23681000000000016</v>
      </c>
      <c r="BC37" s="951">
        <v>2</v>
      </c>
      <c r="BD37" s="249" t="b">
        <v>1</v>
      </c>
      <c r="BI37" s="982" t="s">
        <v>737</v>
      </c>
      <c r="BJ37" s="951">
        <v>0.23681000000000016</v>
      </c>
      <c r="BK37" s="951">
        <v>2</v>
      </c>
      <c r="BL37" s="249" t="b">
        <v>1</v>
      </c>
      <c r="BQ37" s="982" t="s">
        <v>612</v>
      </c>
      <c r="BR37" s="951">
        <v>0.17783000000000015</v>
      </c>
      <c r="BS37" s="951">
        <v>2</v>
      </c>
      <c r="BT37" s="249" t="b">
        <v>1</v>
      </c>
      <c r="BZ37" s="61" t="s">
        <v>35</v>
      </c>
      <c r="CA37" s="62" t="s">
        <v>713</v>
      </c>
      <c r="CB37" s="949" t="s">
        <v>714</v>
      </c>
      <c r="CC37" s="63" t="s">
        <v>42</v>
      </c>
    </row>
    <row r="38" spans="2:81">
      <c r="B38" s="124" t="s">
        <v>631</v>
      </c>
      <c r="C38" s="862">
        <v>46477</v>
      </c>
      <c r="D38" s="456">
        <v>0.72987643800000002</v>
      </c>
      <c r="F38" s="867" t="s">
        <v>631</v>
      </c>
      <c r="G38" s="862">
        <v>46477</v>
      </c>
      <c r="H38" s="885">
        <v>0.72975020000000002</v>
      </c>
      <c r="J38" s="867" t="s">
        <v>631</v>
      </c>
      <c r="K38" s="862">
        <v>46482</v>
      </c>
      <c r="L38" s="885">
        <v>0.86212352000000003</v>
      </c>
      <c r="Y38" s="716">
        <v>45010.931506849316</v>
      </c>
      <c r="Z38" s="885">
        <v>0.99704258580517213</v>
      </c>
      <c r="AC38" s="716">
        <v>44593</v>
      </c>
      <c r="AD38" s="885">
        <v>0.99840584430000068</v>
      </c>
      <c r="AG38" s="716">
        <v>45747</v>
      </c>
      <c r="AH38" s="885">
        <v>0.80211211609508848</v>
      </c>
      <c r="AK38" s="982" t="s">
        <v>738</v>
      </c>
      <c r="AL38" s="1008">
        <v>0.29763050000000035</v>
      </c>
      <c r="AM38" s="951">
        <v>2</v>
      </c>
      <c r="AN38" s="249" t="b">
        <v>1</v>
      </c>
      <c r="AP38" s="767">
        <v>46478</v>
      </c>
      <c r="AQ38" s="748">
        <v>0.67356811753159784</v>
      </c>
      <c r="AR38" s="768">
        <f ca="1"/>
        <v>0.67252369319679406</v>
      </c>
      <c r="AS38" s="737" t="str" cm="1">
        <f t="array" aca="1" ref="AS38" ca="1">_xll.d.TestUtils_Equal(AQ38,AR38,$AR$15)</f>
        <v>Error</v>
      </c>
      <c r="AT38" s="1049">
        <f t="shared" si="0"/>
        <v>6.5830964970252911E-2</v>
      </c>
      <c r="AU38" s="892">
        <f ca="1"/>
        <v>6.6059327947849966E-2</v>
      </c>
      <c r="AV38" s="430" cm="1">
        <f t="array" aca="1" ref="AV38" ca="1">-LN(AR38)/_xll.d.Dates_Act365($AP$20,AP38)</f>
        <v>6.6059327947849952E-2</v>
      </c>
      <c r="AW38" s="767">
        <v>46113</v>
      </c>
      <c r="AX38" s="1046">
        <v>5.0027397260273974</v>
      </c>
      <c r="AY38" s="1046">
        <v>0.30866064276617811</v>
      </c>
      <c r="BA38" s="982" t="s">
        <v>738</v>
      </c>
      <c r="BB38" s="951">
        <v>0.29763050000000035</v>
      </c>
      <c r="BC38" s="951">
        <v>2</v>
      </c>
      <c r="BD38" s="249" t="b">
        <v>1</v>
      </c>
      <c r="BI38" s="982" t="s">
        <v>738</v>
      </c>
      <c r="BJ38" s="951">
        <v>0.29763050000000035</v>
      </c>
      <c r="BK38" s="951">
        <v>2</v>
      </c>
      <c r="BL38" s="249" t="b">
        <v>1</v>
      </c>
      <c r="BQ38" s="982" t="s">
        <v>737</v>
      </c>
      <c r="BR38" s="951">
        <v>0.23681000000000016</v>
      </c>
      <c r="BS38" s="951">
        <v>2</v>
      </c>
      <c r="BT38" s="249" t="b">
        <v>1</v>
      </c>
      <c r="BZ38" s="1003" t="s">
        <v>24</v>
      </c>
      <c r="CA38" s="1004">
        <v>-2.7300000000000002E-3</v>
      </c>
      <c r="CB38" s="950">
        <v>2</v>
      </c>
      <c r="CC38" s="247" t="b">
        <v>1</v>
      </c>
    </row>
    <row r="39" spans="2:81">
      <c r="B39" s="124" t="s">
        <v>632</v>
      </c>
      <c r="C39" s="862">
        <v>46843</v>
      </c>
      <c r="D39" s="456">
        <v>0.66780551399999999</v>
      </c>
      <c r="F39" s="867" t="s">
        <v>632</v>
      </c>
      <c r="G39" s="862">
        <v>46843</v>
      </c>
      <c r="H39" s="885">
        <v>0.66768899999999998</v>
      </c>
      <c r="J39" s="867" t="s">
        <v>632</v>
      </c>
      <c r="K39" s="862">
        <v>46847</v>
      </c>
      <c r="L39" s="885">
        <v>0.83607659400000001</v>
      </c>
      <c r="Y39" s="716">
        <v>45371.917808219179</v>
      </c>
      <c r="Z39" s="885">
        <v>0.98995512228815885</v>
      </c>
      <c r="AC39" s="716">
        <v>44620</v>
      </c>
      <c r="AD39" s="885">
        <v>0.99823428805370984</v>
      </c>
      <c r="AG39" s="716">
        <v>46112</v>
      </c>
      <c r="AH39" s="885">
        <v>0.73811249343083374</v>
      </c>
      <c r="AK39" s="982" t="s">
        <v>613</v>
      </c>
      <c r="AL39" s="1008">
        <v>0.3526600000000002</v>
      </c>
      <c r="AM39" s="951">
        <v>2</v>
      </c>
      <c r="AN39" s="249" t="b">
        <v>1</v>
      </c>
      <c r="AP39" s="767">
        <v>46846</v>
      </c>
      <c r="AQ39" s="748">
        <v>0.61456523392712425</v>
      </c>
      <c r="AR39" s="768">
        <f ca="1"/>
        <v>0.61324651418545151</v>
      </c>
      <c r="AS39" s="737" t="str" cm="1">
        <f t="array" aca="1" ref="AS39" ca="1">_xll.d.TestUtils_Equal(AQ39,AR39,$AR$15)</f>
        <v>Error</v>
      </c>
      <c r="AT39" s="1049">
        <f t="shared" si="0"/>
        <v>6.943988754401241E-2</v>
      </c>
      <c r="AU39" s="892">
        <f ca="1"/>
        <v>6.9719032112979945E-2</v>
      </c>
      <c r="AV39" s="430" cm="1">
        <f t="array" aca="1" ref="AV39" ca="1">-LN(AR39)/_xll.d.Dates_Act365($AP$20,AP39)</f>
        <v>6.9719032112979945E-2</v>
      </c>
      <c r="AW39" s="767">
        <v>46478</v>
      </c>
      <c r="AX39" s="1046">
        <v>6.0027397260273974</v>
      </c>
      <c r="AY39" s="1046">
        <v>0.39516614862965516</v>
      </c>
      <c r="BA39" s="982" t="s">
        <v>613</v>
      </c>
      <c r="BB39" s="951">
        <v>0.3526600000000002</v>
      </c>
      <c r="BC39" s="951">
        <v>2</v>
      </c>
      <c r="BD39" s="249" t="b">
        <v>1</v>
      </c>
      <c r="BI39" s="982" t="s">
        <v>613</v>
      </c>
      <c r="BJ39" s="951">
        <v>0.3526600000000002</v>
      </c>
      <c r="BK39" s="951">
        <v>2</v>
      </c>
      <c r="BL39" s="249" t="b">
        <v>1</v>
      </c>
      <c r="BQ39" s="982" t="s">
        <v>738</v>
      </c>
      <c r="BR39" s="951">
        <v>0.29763050000000035</v>
      </c>
      <c r="BS39" s="951">
        <v>2</v>
      </c>
      <c r="BT39" s="249" t="b">
        <v>1</v>
      </c>
      <c r="BZ39" s="954" t="s">
        <v>27</v>
      </c>
      <c r="CA39" s="1005">
        <v>-2.6250000000000002E-3</v>
      </c>
      <c r="CB39" s="951">
        <v>2</v>
      </c>
      <c r="CC39" s="249" t="b">
        <v>1</v>
      </c>
    </row>
    <row r="40" spans="2:81">
      <c r="B40" s="124" t="s">
        <v>633</v>
      </c>
      <c r="C40" s="862">
        <v>47206</v>
      </c>
      <c r="D40" s="456">
        <v>0.60568792999999999</v>
      </c>
      <c r="F40" s="867" t="s">
        <v>633</v>
      </c>
      <c r="G40" s="862">
        <v>47206</v>
      </c>
      <c r="H40" s="885">
        <v>0.60557669999999997</v>
      </c>
      <c r="J40" s="867" t="s">
        <v>633</v>
      </c>
      <c r="K40" s="862">
        <v>47212</v>
      </c>
      <c r="L40" s="885">
        <v>0.81026768800000004</v>
      </c>
      <c r="Y40" s="716">
        <v>45733.890410958906</v>
      </c>
      <c r="Z40" s="885">
        <v>0.97638294403150039</v>
      </c>
      <c r="AC40" s="716">
        <v>44651</v>
      </c>
      <c r="AD40" s="885">
        <v>0.99791761253178113</v>
      </c>
      <c r="AG40" s="716">
        <v>46477</v>
      </c>
      <c r="AH40" s="885">
        <v>0.67405587880105278</v>
      </c>
      <c r="AK40" s="982" t="s">
        <v>648</v>
      </c>
      <c r="AL40" s="1008">
        <v>0.52735000000000021</v>
      </c>
      <c r="AM40" s="951">
        <v>2</v>
      </c>
      <c r="AN40" s="249" t="b">
        <v>1</v>
      </c>
      <c r="AP40" s="767">
        <v>47211</v>
      </c>
      <c r="AQ40" s="748">
        <v>0.55780791755217463</v>
      </c>
      <c r="AR40" s="768">
        <f ca="1"/>
        <v>0.55640712702539774</v>
      </c>
      <c r="AS40" s="737" t="str" cm="1">
        <f t="array" aca="1" ref="AS40" ca="1">_xll.d.TestUtils_Equal(AQ40,AR40,$AR$15)</f>
        <v>Error</v>
      </c>
      <c r="AT40" s="1049">
        <f t="shared" si="0"/>
        <v>7.2867757359344532E-2</v>
      </c>
      <c r="AU40" s="892">
        <f ca="1"/>
        <v>7.3156608065394119E-2</v>
      </c>
      <c r="AV40" s="430" cm="1">
        <f t="array" aca="1" ref="AV40" ca="1">-LN(AR40)/_xll.d.Dates_Act365($AP$20,AP40)</f>
        <v>7.3156608065394119E-2</v>
      </c>
      <c r="AW40" s="767">
        <v>46846</v>
      </c>
      <c r="AX40" s="1046">
        <v>7.0109589041095894</v>
      </c>
      <c r="AY40" s="1046">
        <v>0.48684019787706234</v>
      </c>
      <c r="BA40" s="982" t="s">
        <v>648</v>
      </c>
      <c r="BB40" s="951">
        <v>0.52735000000000021</v>
      </c>
      <c r="BC40" s="951">
        <v>2</v>
      </c>
      <c r="BD40" s="249" t="b">
        <v>1</v>
      </c>
      <c r="BI40" s="982" t="s">
        <v>648</v>
      </c>
      <c r="BJ40" s="951">
        <v>0.52735000000000021</v>
      </c>
      <c r="BK40" s="951">
        <v>2</v>
      </c>
      <c r="BL40" s="249" t="b">
        <v>1</v>
      </c>
      <c r="BQ40" s="982" t="s">
        <v>613</v>
      </c>
      <c r="BR40" s="951">
        <v>0.3526600000000002</v>
      </c>
      <c r="BS40" s="951">
        <v>2</v>
      </c>
      <c r="BT40" s="249" t="b">
        <v>1</v>
      </c>
      <c r="BZ40" s="954" t="s">
        <v>28</v>
      </c>
      <c r="CA40" s="1005">
        <v>-2.6750000000000003E-3</v>
      </c>
      <c r="CB40" s="951">
        <v>2</v>
      </c>
      <c r="CC40" s="249" t="b">
        <v>1</v>
      </c>
    </row>
    <row r="41" spans="2:81">
      <c r="B41" s="124" t="s">
        <v>634</v>
      </c>
      <c r="C41" s="862">
        <v>47571</v>
      </c>
      <c r="D41" s="456">
        <v>0.54612932300000006</v>
      </c>
      <c r="F41" s="867" t="s">
        <v>634</v>
      </c>
      <c r="G41" s="862">
        <v>47571</v>
      </c>
      <c r="H41" s="885">
        <v>0.54602439999999997</v>
      </c>
      <c r="J41" s="867" t="s">
        <v>634</v>
      </c>
      <c r="K41" s="862">
        <v>47577</v>
      </c>
      <c r="L41" s="885">
        <v>0.78501168799999999</v>
      </c>
      <c r="Y41" s="716">
        <v>46092.904109589042</v>
      </c>
      <c r="Z41" s="885">
        <v>0.95859840460182189</v>
      </c>
      <c r="AC41" s="716">
        <v>44742</v>
      </c>
      <c r="AD41" s="885">
        <v>0.99733079948384373</v>
      </c>
      <c r="AG41" s="716">
        <v>46843</v>
      </c>
      <c r="AH41" s="885">
        <v>0.61095284847423947</v>
      </c>
      <c r="AK41" s="983" t="s">
        <v>614</v>
      </c>
      <c r="AL41" s="1009">
        <v>0.69855000000000089</v>
      </c>
      <c r="AM41" s="952">
        <v>2</v>
      </c>
      <c r="AN41" s="252" t="b">
        <v>1</v>
      </c>
      <c r="AP41" s="767">
        <v>47574</v>
      </c>
      <c r="AQ41" s="748">
        <v>0.50643280863188</v>
      </c>
      <c r="AR41" s="768">
        <f ca="1"/>
        <v>0.50478847023280426</v>
      </c>
      <c r="AS41" s="737" t="str" cm="1">
        <f t="array" aca="1" ref="AS41" ca="1">_xll.d.TestUtils_Equal(AQ41,AR41,$AR$15)</f>
        <v>Error</v>
      </c>
      <c r="AT41" s="1049">
        <f t="shared" si="0"/>
        <v>7.5549961098177312E-2</v>
      </c>
      <c r="AU41" s="892">
        <f ca="1"/>
        <v>7.5888007914715908E-2</v>
      </c>
      <c r="AV41" s="430" cm="1">
        <f t="array" aca="1" ref="AV41" ca="1">-LN(AR41)/_xll.d.Dates_Act365($AP$20,AP41)</f>
        <v>7.5888007914715908E-2</v>
      </c>
      <c r="AW41" s="767">
        <v>47211</v>
      </c>
      <c r="AX41" s="1046">
        <v>8.0109589041095894</v>
      </c>
      <c r="AY41" s="1046">
        <v>0.58374060964033814</v>
      </c>
      <c r="BA41" s="983" t="s">
        <v>614</v>
      </c>
      <c r="BB41" s="952">
        <v>0.69855000000000089</v>
      </c>
      <c r="BC41" s="952">
        <v>2</v>
      </c>
      <c r="BD41" s="252" t="b">
        <v>1</v>
      </c>
      <c r="BI41" s="983" t="s">
        <v>614</v>
      </c>
      <c r="BJ41" s="952">
        <v>0.69855000000000089</v>
      </c>
      <c r="BK41" s="952">
        <v>2</v>
      </c>
      <c r="BL41" s="252" t="b">
        <v>1</v>
      </c>
      <c r="BQ41" s="982" t="s">
        <v>648</v>
      </c>
      <c r="BR41" s="951">
        <v>0.52735000000000021</v>
      </c>
      <c r="BS41" s="951">
        <v>2</v>
      </c>
      <c r="BT41" s="249" t="b">
        <v>1</v>
      </c>
      <c r="BZ41" s="954" t="s">
        <v>48</v>
      </c>
      <c r="CA41" s="1005">
        <v>-2.725E-3</v>
      </c>
      <c r="CB41" s="951">
        <v>2</v>
      </c>
      <c r="CC41" s="249" t="b">
        <v>1</v>
      </c>
    </row>
    <row r="42" spans="2:81">
      <c r="B42" s="124" t="s">
        <v>635</v>
      </c>
      <c r="C42" s="862">
        <v>47938</v>
      </c>
      <c r="D42" s="456">
        <v>0.49058402699999998</v>
      </c>
      <c r="F42" s="867" t="s">
        <v>635</v>
      </c>
      <c r="G42" s="862">
        <v>47938</v>
      </c>
      <c r="H42" s="885">
        <v>0.49048560000000002</v>
      </c>
      <c r="J42" s="867" t="s">
        <v>635</v>
      </c>
      <c r="K42" s="862">
        <v>47942</v>
      </c>
      <c r="L42" s="885">
        <v>0.76021046599999997</v>
      </c>
      <c r="Y42" s="716">
        <v>46812.904109589042</v>
      </c>
      <c r="Z42" s="885">
        <v>0.916847221922653</v>
      </c>
      <c r="AC42" s="716">
        <v>44834</v>
      </c>
      <c r="AD42" s="885">
        <v>0.99657069726588954</v>
      </c>
      <c r="AG42" s="716">
        <v>47206</v>
      </c>
      <c r="AH42" s="885">
        <v>0.55139451149271068</v>
      </c>
      <c r="AP42" s="767">
        <v>47939</v>
      </c>
      <c r="AQ42" s="748">
        <v>0.45879745811321393</v>
      </c>
      <c r="AR42" s="768">
        <f ca="1"/>
        <v>0.45695129494470083</v>
      </c>
      <c r="AS42" s="737" t="str" cm="1">
        <f t="array" aca="1" ref="AS42" ca="1">_xll.d.TestUtils_Equal(AQ42,AR42,$AR$15)</f>
        <v>Error</v>
      </c>
      <c r="AT42" s="1049">
        <f t="shared" si="0"/>
        <v>7.7871973828904067E-2</v>
      </c>
      <c r="AU42" s="892">
        <f ca="1"/>
        <v>7.825352896907059E-2</v>
      </c>
      <c r="AV42" s="430" cm="1">
        <f t="array" aca="1" ref="AV42" ca="1">-LN(AR42)/_xll.d.Dates_Act365($AP$20,AP42)</f>
        <v>7.825352896907059E-2</v>
      </c>
      <c r="AW42" s="767">
        <v>47574</v>
      </c>
      <c r="AX42" s="1046">
        <v>9.0054794520547947</v>
      </c>
      <c r="AY42" s="1046">
        <v>0.68036362227317493</v>
      </c>
      <c r="BQ42" s="983" t="s">
        <v>614</v>
      </c>
      <c r="BR42" s="952">
        <v>0.69855000000000089</v>
      </c>
      <c r="BS42" s="952">
        <v>2</v>
      </c>
      <c r="BT42" s="252" t="b">
        <v>1</v>
      </c>
      <c r="BZ42" s="954" t="s">
        <v>576</v>
      </c>
      <c r="CA42" s="1005">
        <v>-2.7000000000000001E-3</v>
      </c>
      <c r="CB42" s="951">
        <v>2</v>
      </c>
      <c r="CC42" s="249" t="b">
        <v>1</v>
      </c>
    </row>
    <row r="43" spans="2:81">
      <c r="B43" s="124" t="s">
        <v>636</v>
      </c>
      <c r="C43" s="862">
        <v>48304</v>
      </c>
      <c r="D43" s="456">
        <v>0.439981173</v>
      </c>
      <c r="F43" s="867" t="s">
        <v>636</v>
      </c>
      <c r="G43" s="862">
        <v>48304</v>
      </c>
      <c r="H43" s="885">
        <v>0.43988929999999998</v>
      </c>
      <c r="J43" s="867" t="s">
        <v>636</v>
      </c>
      <c r="K43" s="862">
        <v>48309</v>
      </c>
      <c r="L43" s="885">
        <v>0.73522727300000001</v>
      </c>
      <c r="Y43" s="716">
        <v>47894.876712328769</v>
      </c>
      <c r="Z43" s="885">
        <v>0.85313470404884062</v>
      </c>
      <c r="AC43" s="716">
        <v>44925</v>
      </c>
      <c r="AD43" s="885">
        <v>0.99561008355869274</v>
      </c>
      <c r="AG43" s="716">
        <v>47571</v>
      </c>
      <c r="AH43" s="885">
        <v>0.49551512522715596</v>
      </c>
      <c r="AP43" s="767">
        <v>48670</v>
      </c>
      <c r="AQ43" s="748">
        <v>0.37065541642190186</v>
      </c>
      <c r="AR43" s="768">
        <f ca="1"/>
        <v>0.36879945940954612</v>
      </c>
      <c r="AS43" s="737" t="str" cm="1">
        <f t="array" aca="1" ref="AS43" ca="1">_xll.d.TestUtils_Equal(AQ43,AR43,$AR$15)</f>
        <v>Error</v>
      </c>
      <c r="AT43" s="1049">
        <f t="shared" si="0"/>
        <v>8.2650260622458088E-2</v>
      </c>
      <c r="AU43" s="892">
        <f ca="1"/>
        <v>8.3049343609753801E-2</v>
      </c>
      <c r="AV43" s="430" cm="1">
        <f t="array" aca="1" ref="AV43" ca="1">-LN(AR43)/_xll.d.Dates_Act365($AP$20,AP43)</f>
        <v>8.3049343609753815E-2</v>
      </c>
      <c r="AW43" s="767">
        <v>47939</v>
      </c>
      <c r="AX43" s="1046">
        <v>10.005479452054795</v>
      </c>
      <c r="AY43" s="1046">
        <v>0.77914643403604844</v>
      </c>
      <c r="BZ43" s="954" t="s">
        <v>49</v>
      </c>
      <c r="CA43" s="1005">
        <v>-2.9749999999999998E-3</v>
      </c>
      <c r="CB43" s="951">
        <v>2</v>
      </c>
      <c r="CC43" s="249" t="b">
        <v>1</v>
      </c>
    </row>
    <row r="44" spans="2:81">
      <c r="B44" s="124" t="s">
        <v>637</v>
      </c>
      <c r="C44" s="862">
        <v>48669</v>
      </c>
      <c r="D44" s="456">
        <v>0.39577822400000001</v>
      </c>
      <c r="F44" s="888" t="s">
        <v>637</v>
      </c>
      <c r="G44" s="889">
        <v>48669</v>
      </c>
      <c r="H44" s="890">
        <v>0.39569320000000002</v>
      </c>
      <c r="J44" s="867" t="s">
        <v>637</v>
      </c>
      <c r="K44" s="862">
        <v>48673</v>
      </c>
      <c r="L44" s="885">
        <v>0.71099246900000002</v>
      </c>
      <c r="Y44" s="716">
        <v>48613.890410958906</v>
      </c>
      <c r="Z44" s="885">
        <v>0.81185356759498484</v>
      </c>
      <c r="AC44" s="716">
        <v>45019</v>
      </c>
      <c r="AD44" s="885">
        <v>0.99432385829745307</v>
      </c>
      <c r="AG44" s="716">
        <v>47938</v>
      </c>
      <c r="AH44" s="885">
        <v>0.44356851386849538</v>
      </c>
      <c r="AK44" s="12" t="s">
        <v>712</v>
      </c>
      <c r="AL44" s="27"/>
      <c r="AM44" s="27"/>
      <c r="AN44" s="13"/>
      <c r="AP44" s="767">
        <v>49766</v>
      </c>
      <c r="AQ44" s="748">
        <v>0.27227842714998868</v>
      </c>
      <c r="AR44" s="768">
        <f ca="1"/>
        <v>0.27044845890172453</v>
      </c>
      <c r="AS44" s="737" t="str" cm="1">
        <f t="array" aca="1" ref="AS44" ca="1">_xll.d.TestUtils_Equal(AQ44,AR44,$AR$15)</f>
        <v>Error</v>
      </c>
      <c r="AT44" s="1049">
        <f t="shared" si="0"/>
        <v>8.6665356645086025E-2</v>
      </c>
      <c r="AU44" s="892">
        <f ca="1"/>
        <v>8.7098707065446923E-2</v>
      </c>
      <c r="AV44" s="430" cm="1">
        <f t="array" aca="1" ref="AV44" ca="1">-LN(AR44)/_xll.d.Dates_Act365($AP$20,AP44)</f>
        <v>8.7098707065446923E-2</v>
      </c>
      <c r="AW44" s="767">
        <v>48670</v>
      </c>
      <c r="AX44" s="1046">
        <v>12.008219178082191</v>
      </c>
      <c r="AY44" s="1046">
        <v>0.99248244468009261</v>
      </c>
      <c r="BA44" s="12" t="s">
        <v>712</v>
      </c>
      <c r="BB44" s="27"/>
      <c r="BC44" s="27"/>
      <c r="BD44" s="13"/>
      <c r="BI44" s="12" t="s">
        <v>712</v>
      </c>
      <c r="BJ44" s="27"/>
      <c r="BK44" s="27"/>
      <c r="BL44" s="13"/>
      <c r="BZ44" s="954" t="s">
        <v>53</v>
      </c>
      <c r="CA44" s="1005">
        <v>-3.0499999999999998E-3</v>
      </c>
      <c r="CB44" s="951">
        <v>2</v>
      </c>
      <c r="CC44" s="249" t="b">
        <v>1</v>
      </c>
    </row>
    <row r="45" spans="2:81">
      <c r="B45" s="124" t="s">
        <v>638</v>
      </c>
      <c r="C45" s="862">
        <v>49398</v>
      </c>
      <c r="D45" s="456">
        <v>0.31771698599999998</v>
      </c>
      <c r="F45" s="867" t="s">
        <v>638</v>
      </c>
      <c r="G45" s="862">
        <v>49398</v>
      </c>
      <c r="H45" s="885">
        <v>0.3176445</v>
      </c>
      <c r="J45" s="867" t="s">
        <v>638</v>
      </c>
      <c r="K45" s="862">
        <v>49403</v>
      </c>
      <c r="L45" s="885">
        <v>0.663886482</v>
      </c>
      <c r="Y45" s="716">
        <v>49696.849315068495</v>
      </c>
      <c r="Z45" s="885">
        <v>0.75461329995598525</v>
      </c>
      <c r="AC45" s="716">
        <v>45387</v>
      </c>
      <c r="AD45" s="885">
        <v>0.98432727184694901</v>
      </c>
      <c r="AG45" s="716">
        <v>48669</v>
      </c>
      <c r="AH45" s="885">
        <v>0.35154932738557765</v>
      </c>
      <c r="AK45" s="61" t="s">
        <v>35</v>
      </c>
      <c r="AL45" s="62" t="s">
        <v>842</v>
      </c>
      <c r="AM45" s="949" t="s">
        <v>841</v>
      </c>
      <c r="AN45" s="63" t="s">
        <v>42</v>
      </c>
      <c r="AP45" s="769">
        <v>51592</v>
      </c>
      <c r="AQ45" s="985">
        <v>0.17400644459089204</v>
      </c>
      <c r="AR45" s="771">
        <f ca="1"/>
        <v>0.17223849355397164</v>
      </c>
      <c r="AS45" s="737" t="str" cm="1">
        <f t="array" aca="1" ref="AS45" ca="1">_xll.d.TestUtils_Equal(AQ45,AR45,$AR$15)</f>
        <v>Error</v>
      </c>
      <c r="AT45" s="1049">
        <f t="shared" si="0"/>
        <v>8.7373302401068206E-2</v>
      </c>
      <c r="AU45" s="892">
        <f ca="1"/>
        <v>8.7871535428566447E-2</v>
      </c>
      <c r="AV45" s="430" cm="1">
        <f t="array" aca="1" ref="AV45" ca="1">-LN(AR45)/_xll.d.Dates_Act365($AP$20,AP45)</f>
        <v>8.7871535428566447E-2</v>
      </c>
      <c r="AW45" s="767">
        <v>49766</v>
      </c>
      <c r="AX45" s="1046">
        <v>15.010958904109589</v>
      </c>
      <c r="AY45" s="1046">
        <v>1.3009301070093873</v>
      </c>
      <c r="BA45" s="61" t="s">
        <v>35</v>
      </c>
      <c r="BB45" s="62" t="s">
        <v>713</v>
      </c>
      <c r="BC45" s="949" t="s">
        <v>714</v>
      </c>
      <c r="BD45" s="63" t="s">
        <v>42</v>
      </c>
      <c r="BI45" s="61" t="s">
        <v>35</v>
      </c>
      <c r="BJ45" s="62" t="s">
        <v>713</v>
      </c>
      <c r="BK45" s="949" t="s">
        <v>714</v>
      </c>
      <c r="BL45" s="63" t="s">
        <v>42</v>
      </c>
      <c r="BQ45" s="12" t="s">
        <v>712</v>
      </c>
      <c r="BR45" s="27"/>
      <c r="BS45" s="27"/>
      <c r="BT45" s="13"/>
      <c r="BZ45" s="954" t="s">
        <v>573</v>
      </c>
      <c r="CA45" s="1005">
        <v>-3.0000000000000001E-3</v>
      </c>
      <c r="CB45" s="951">
        <v>2</v>
      </c>
      <c r="CC45" s="249" t="b">
        <v>1</v>
      </c>
    </row>
    <row r="46" spans="2:81">
      <c r="B46" s="124" t="s">
        <v>639</v>
      </c>
      <c r="C46" s="862">
        <v>50495</v>
      </c>
      <c r="D46" s="456">
        <v>0.23207609700000001</v>
      </c>
      <c r="F46" s="888" t="s">
        <v>639</v>
      </c>
      <c r="G46" s="889">
        <v>50495</v>
      </c>
      <c r="H46" s="890">
        <v>0.23202039999999999</v>
      </c>
      <c r="J46" s="867" t="s">
        <v>639</v>
      </c>
      <c r="K46" s="862">
        <v>50500</v>
      </c>
      <c r="L46" s="885">
        <v>0.59854510000000005</v>
      </c>
      <c r="Y46" s="716">
        <v>51495.863013698632</v>
      </c>
      <c r="Z46" s="885">
        <v>0.67259667371996701</v>
      </c>
      <c r="AC46" s="716">
        <v>45754</v>
      </c>
      <c r="AD46" s="885">
        <v>0.96844277265189782</v>
      </c>
      <c r="AG46" s="716">
        <v>49765</v>
      </c>
      <c r="AH46" s="885">
        <v>0.24855440058426634</v>
      </c>
      <c r="AK46" s="953" t="s">
        <v>617</v>
      </c>
      <c r="AL46" s="698">
        <f>69/10000</f>
        <v>6.8999999999999999E-3</v>
      </c>
      <c r="AM46" s="950">
        <v>2</v>
      </c>
      <c r="AN46" s="247" t="b">
        <v>1</v>
      </c>
      <c r="AW46" s="769">
        <v>51592</v>
      </c>
      <c r="AX46" s="1046">
        <v>20.013698630136986</v>
      </c>
      <c r="AY46" s="1046">
        <v>1.7486629425748035</v>
      </c>
      <c r="BA46" s="953" t="s">
        <v>617</v>
      </c>
      <c r="BB46" s="698">
        <f>69/10000</f>
        <v>6.8999999999999999E-3</v>
      </c>
      <c r="BC46" s="950">
        <v>2</v>
      </c>
      <c r="BD46" s="247" t="b">
        <v>1</v>
      </c>
      <c r="BI46" s="953" t="s">
        <v>617</v>
      </c>
      <c r="BJ46" s="698">
        <f>69/10000</f>
        <v>6.8999999999999999E-3</v>
      </c>
      <c r="BK46" s="950">
        <v>2</v>
      </c>
      <c r="BL46" s="247" t="b">
        <v>1</v>
      </c>
      <c r="BQ46" s="61" t="s">
        <v>35</v>
      </c>
      <c r="BR46" s="62" t="s">
        <v>713</v>
      </c>
      <c r="BS46" s="949" t="s">
        <v>714</v>
      </c>
      <c r="BT46" s="63" t="s">
        <v>42</v>
      </c>
      <c r="BZ46" s="954" t="s">
        <v>579</v>
      </c>
      <c r="CA46" s="1005">
        <v>-2.8249999999999998E-3</v>
      </c>
      <c r="CB46" s="951">
        <v>2</v>
      </c>
      <c r="CC46" s="249" t="b">
        <v>1</v>
      </c>
    </row>
    <row r="47" spans="2:81">
      <c r="B47" s="124" t="s">
        <v>640</v>
      </c>
      <c r="C47" s="862">
        <v>52321</v>
      </c>
      <c r="D47" s="456">
        <v>0.14914686399999999</v>
      </c>
      <c r="F47" s="867" t="s">
        <v>640</v>
      </c>
      <c r="G47" s="862">
        <v>52321</v>
      </c>
      <c r="H47" s="885">
        <v>0.14911199999999999</v>
      </c>
      <c r="J47" s="867" t="s">
        <v>640</v>
      </c>
      <c r="K47" s="862">
        <v>52327</v>
      </c>
      <c r="L47" s="885">
        <v>0.50990804499999998</v>
      </c>
      <c r="Y47" s="716">
        <v>53296.849315068495</v>
      </c>
      <c r="Z47" s="885">
        <v>0.60413888068019361</v>
      </c>
      <c r="AC47" s="716">
        <v>46118</v>
      </c>
      <c r="AD47" s="885">
        <v>0.94805319340061789</v>
      </c>
      <c r="AG47" s="716">
        <v>51589</v>
      </c>
      <c r="AH47" s="885">
        <v>0.1419763663614545</v>
      </c>
      <c r="AK47" s="954" t="s">
        <v>630</v>
      </c>
      <c r="AL47" s="699">
        <v>5.7000000000000002E-3</v>
      </c>
      <c r="AM47" s="951">
        <v>2</v>
      </c>
      <c r="AN47" s="249" t="b">
        <v>1</v>
      </c>
      <c r="AW47" s="1046"/>
      <c r="BA47" s="954" t="s">
        <v>630</v>
      </c>
      <c r="BB47" s="699">
        <v>5.7000000000000002E-3</v>
      </c>
      <c r="BC47" s="951">
        <v>2</v>
      </c>
      <c r="BD47" s="249" t="b">
        <v>1</v>
      </c>
      <c r="BI47" s="954" t="s">
        <v>630</v>
      </c>
      <c r="BJ47" s="699">
        <v>5.7000000000000002E-3</v>
      </c>
      <c r="BK47" s="951">
        <v>2</v>
      </c>
      <c r="BL47" s="249" t="b">
        <v>1</v>
      </c>
      <c r="BQ47" s="953" t="s">
        <v>617</v>
      </c>
      <c r="BR47" s="698">
        <f>69/10000</f>
        <v>6.8999999999999999E-3</v>
      </c>
      <c r="BS47" s="950">
        <v>2</v>
      </c>
      <c r="BT47" s="247" t="b">
        <v>1</v>
      </c>
      <c r="BZ47" s="954" t="s">
        <v>580</v>
      </c>
      <c r="CA47" s="1005">
        <v>-2.6250000000000002E-3</v>
      </c>
      <c r="CB47" s="951">
        <v>2</v>
      </c>
      <c r="CC47" s="249" t="b">
        <v>1</v>
      </c>
    </row>
    <row r="48" spans="2:81">
      <c r="B48" s="124" t="s">
        <v>641</v>
      </c>
      <c r="C48" s="862">
        <v>54148</v>
      </c>
      <c r="D48" s="456">
        <v>0.104645248</v>
      </c>
      <c r="F48" s="867" t="s">
        <v>641</v>
      </c>
      <c r="G48" s="862">
        <v>54148</v>
      </c>
      <c r="H48" s="885">
        <v>0.10462349999999999</v>
      </c>
      <c r="J48" s="867" t="s">
        <v>641</v>
      </c>
      <c r="K48" s="862">
        <v>54154</v>
      </c>
      <c r="L48" s="885">
        <v>0.44646429199999998</v>
      </c>
      <c r="Y48" s="719">
        <v>55097.835616438359</v>
      </c>
      <c r="Z48" s="886">
        <v>0.545474652384628</v>
      </c>
      <c r="AC48" s="716">
        <v>46482</v>
      </c>
      <c r="AD48" s="885">
        <v>0.9255257400239294</v>
      </c>
      <c r="AG48" s="716">
        <v>53416</v>
      </c>
      <c r="AH48" s="885">
        <v>8.2442215018176099E-2</v>
      </c>
      <c r="AK48" s="954" t="s">
        <v>631</v>
      </c>
      <c r="AL48" s="699">
        <f>46/10000</f>
        <v>4.5999999999999999E-3</v>
      </c>
      <c r="AM48" s="951">
        <v>2</v>
      </c>
      <c r="AN48" s="249" t="b">
        <v>1</v>
      </c>
      <c r="AU48" s="1046"/>
      <c r="AY48" s="202"/>
      <c r="AZ48" s="203"/>
      <c r="BA48" s="954" t="s">
        <v>631</v>
      </c>
      <c r="BB48" s="699">
        <f>46/10000</f>
        <v>4.5999999999999999E-3</v>
      </c>
      <c r="BC48" s="951">
        <v>2</v>
      </c>
      <c r="BD48" s="249" t="b">
        <v>1</v>
      </c>
      <c r="BI48" s="954" t="s">
        <v>631</v>
      </c>
      <c r="BJ48" s="699">
        <f>46/10000</f>
        <v>4.5999999999999999E-3</v>
      </c>
      <c r="BK48" s="951">
        <v>2</v>
      </c>
      <c r="BL48" s="249" t="b">
        <v>1</v>
      </c>
      <c r="BQ48" s="954" t="s">
        <v>630</v>
      </c>
      <c r="BR48" s="699">
        <v>5.7000000000000002E-3</v>
      </c>
      <c r="BS48" s="951">
        <v>2</v>
      </c>
      <c r="BT48" s="249" t="b">
        <v>1</v>
      </c>
      <c r="BZ48" s="954" t="s">
        <v>581</v>
      </c>
      <c r="CA48" s="1005">
        <v>-2.4250000000000001E-3</v>
      </c>
      <c r="CB48" s="951">
        <v>2</v>
      </c>
      <c r="CC48" s="249" t="b">
        <v>1</v>
      </c>
    </row>
    <row r="49" spans="2:81">
      <c r="B49" s="126" t="s">
        <v>642</v>
      </c>
      <c r="C49" s="863">
        <v>55974</v>
      </c>
      <c r="D49" s="887">
        <v>4.6601701000000002E-2</v>
      </c>
      <c r="F49" s="868" t="s">
        <v>642</v>
      </c>
      <c r="G49" s="869">
        <v>55974</v>
      </c>
      <c r="H49" s="886">
        <v>4.6587700000000003E-2</v>
      </c>
      <c r="J49" s="867" t="s">
        <v>642</v>
      </c>
      <c r="K49" s="862">
        <v>55978</v>
      </c>
      <c r="L49" s="885">
        <v>0.39598382399999998</v>
      </c>
      <c r="AC49" s="716">
        <v>46848</v>
      </c>
      <c r="AD49" s="885">
        <v>0.90252130465230229</v>
      </c>
      <c r="AG49" s="719">
        <v>55243</v>
      </c>
      <c r="AH49" s="886">
        <v>5.3272385379469156E-2</v>
      </c>
      <c r="AK49" s="954" t="s">
        <v>632</v>
      </c>
      <c r="AL49" s="699">
        <v>3.8E-3</v>
      </c>
      <c r="AM49" s="951">
        <v>2</v>
      </c>
      <c r="AN49" s="249" t="b">
        <v>1</v>
      </c>
      <c r="AP49" s="143"/>
      <c r="AU49" s="1046"/>
      <c r="AY49" s="202"/>
      <c r="AZ49" s="203"/>
      <c r="BA49" s="954" t="s">
        <v>632</v>
      </c>
      <c r="BB49" s="699">
        <v>3.8E-3</v>
      </c>
      <c r="BC49" s="951">
        <v>2</v>
      </c>
      <c r="BD49" s="249" t="b">
        <v>1</v>
      </c>
      <c r="BI49" s="954" t="s">
        <v>632</v>
      </c>
      <c r="BJ49" s="699">
        <v>3.8E-3</v>
      </c>
      <c r="BK49" s="951">
        <v>2</v>
      </c>
      <c r="BL49" s="249" t="b">
        <v>1</v>
      </c>
      <c r="BQ49" s="954" t="s">
        <v>631</v>
      </c>
      <c r="BR49" s="699">
        <f>46/10000</f>
        <v>4.5999999999999999E-3</v>
      </c>
      <c r="BS49" s="951">
        <v>2</v>
      </c>
      <c r="BT49" s="249" t="b">
        <v>1</v>
      </c>
      <c r="BZ49" s="954" t="s">
        <v>582</v>
      </c>
      <c r="CA49" s="1005">
        <v>-2.3080000000000002E-3</v>
      </c>
      <c r="CB49" s="951">
        <v>2</v>
      </c>
      <c r="CC49" s="249" t="b">
        <v>1</v>
      </c>
    </row>
    <row r="50" spans="2:81">
      <c r="J50" s="867" t="s">
        <v>676</v>
      </c>
      <c r="K50" s="862">
        <v>59630</v>
      </c>
      <c r="L50" s="885">
        <v>0.331760479</v>
      </c>
      <c r="AC50" s="716">
        <v>47213</v>
      </c>
      <c r="AD50" s="885">
        <v>0.87982117054757125</v>
      </c>
      <c r="AK50" s="954" t="s">
        <v>633</v>
      </c>
      <c r="AL50" s="699">
        <v>3.0000000000000001E-3</v>
      </c>
      <c r="AM50" s="951">
        <v>2</v>
      </c>
      <c r="AN50" s="249" t="b">
        <v>1</v>
      </c>
      <c r="AU50" s="1046"/>
      <c r="AY50" s="202"/>
      <c r="AZ50" s="203"/>
      <c r="BA50" s="954" t="s">
        <v>633</v>
      </c>
      <c r="BB50" s="699">
        <v>3.0000000000000001E-3</v>
      </c>
      <c r="BC50" s="951">
        <v>2</v>
      </c>
      <c r="BD50" s="249" t="b">
        <v>1</v>
      </c>
      <c r="BI50" s="954" t="s">
        <v>633</v>
      </c>
      <c r="BJ50" s="699">
        <v>3.0000000000000001E-3</v>
      </c>
      <c r="BK50" s="951">
        <v>2</v>
      </c>
      <c r="BL50" s="249" t="b">
        <v>1</v>
      </c>
      <c r="BQ50" s="954" t="s">
        <v>632</v>
      </c>
      <c r="BR50" s="699">
        <v>3.8E-3</v>
      </c>
      <c r="BS50" s="951">
        <v>2</v>
      </c>
      <c r="BT50" s="249" t="b">
        <v>1</v>
      </c>
      <c r="BZ50" s="954" t="s">
        <v>618</v>
      </c>
      <c r="CA50" s="1005">
        <v>-2.1919999999999999E-3</v>
      </c>
      <c r="CB50" s="951">
        <v>2</v>
      </c>
      <c r="CC50" s="249" t="b">
        <v>1</v>
      </c>
    </row>
    <row r="51" spans="2:81">
      <c r="J51" s="868" t="s">
        <v>677</v>
      </c>
      <c r="K51" s="869">
        <v>63283</v>
      </c>
      <c r="L51" s="886">
        <v>0.29387605100000003</v>
      </c>
      <c r="AC51" s="716">
        <v>47578</v>
      </c>
      <c r="AD51" s="885">
        <v>0.85705985574434451</v>
      </c>
      <c r="AK51" s="954" t="s">
        <v>634</v>
      </c>
      <c r="AL51" s="699">
        <v>2.3E-3</v>
      </c>
      <c r="AM51" s="951">
        <v>2</v>
      </c>
      <c r="AN51" s="249" t="b">
        <v>1</v>
      </c>
      <c r="AY51" s="202"/>
      <c r="AZ51" s="203"/>
      <c r="BA51" s="954" t="s">
        <v>634</v>
      </c>
      <c r="BB51" s="699">
        <v>2.3E-3</v>
      </c>
      <c r="BC51" s="951">
        <v>2</v>
      </c>
      <c r="BD51" s="249" t="b">
        <v>1</v>
      </c>
      <c r="BI51" s="954" t="s">
        <v>634</v>
      </c>
      <c r="BJ51" s="699">
        <v>2.3E-3</v>
      </c>
      <c r="BK51" s="951">
        <v>2</v>
      </c>
      <c r="BL51" s="249" t="b">
        <v>1</v>
      </c>
      <c r="BQ51" s="954" t="s">
        <v>633</v>
      </c>
      <c r="BR51" s="699">
        <v>3.0000000000000001E-3</v>
      </c>
      <c r="BS51" s="951">
        <v>2</v>
      </c>
      <c r="BT51" s="249" t="b">
        <v>1</v>
      </c>
      <c r="BZ51" s="954" t="s">
        <v>588</v>
      </c>
      <c r="CA51" s="1005">
        <v>-2.075E-3</v>
      </c>
      <c r="CB51" s="951">
        <v>2</v>
      </c>
      <c r="CC51" s="249" t="b">
        <v>1</v>
      </c>
    </row>
    <row r="52" spans="2:81">
      <c r="D52" s="875"/>
      <c r="F52" s="582" t="s">
        <v>666</v>
      </c>
      <c r="AC52" s="716">
        <v>47945</v>
      </c>
      <c r="AD52" s="885">
        <v>0.83425817976781114</v>
      </c>
      <c r="AK52" s="954" t="s">
        <v>635</v>
      </c>
      <c r="AL52" s="699">
        <v>1.6999999999999999E-3</v>
      </c>
      <c r="AM52" s="951">
        <v>2</v>
      </c>
      <c r="AN52" s="249" t="b">
        <v>1</v>
      </c>
      <c r="AY52" s="202"/>
      <c r="AZ52" s="203"/>
      <c r="BA52" s="954" t="s">
        <v>635</v>
      </c>
      <c r="BB52" s="699">
        <v>1.6999999999999999E-3</v>
      </c>
      <c r="BC52" s="951">
        <v>2</v>
      </c>
      <c r="BD52" s="249" t="b">
        <v>1</v>
      </c>
      <c r="BI52" s="954" t="s">
        <v>635</v>
      </c>
      <c r="BJ52" s="699">
        <v>1.6999999999999999E-3</v>
      </c>
      <c r="BK52" s="951">
        <v>2</v>
      </c>
      <c r="BL52" s="249" t="b">
        <v>1</v>
      </c>
      <c r="BQ52" s="954" t="s">
        <v>634</v>
      </c>
      <c r="BR52" s="699">
        <v>2.3E-3</v>
      </c>
      <c r="BS52" s="951">
        <v>2</v>
      </c>
      <c r="BT52" s="249" t="b">
        <v>1</v>
      </c>
      <c r="BZ52" s="954" t="s">
        <v>589</v>
      </c>
      <c r="CA52" s="1005">
        <v>-1.9550000000000001E-3</v>
      </c>
      <c r="CB52" s="951">
        <v>2</v>
      </c>
      <c r="CC52" s="249" t="b">
        <v>1</v>
      </c>
    </row>
    <row r="53" spans="2:81">
      <c r="F53" s="582" t="s">
        <v>667</v>
      </c>
      <c r="AC53" s="716">
        <v>48674</v>
      </c>
      <c r="AD53" s="885">
        <v>0.79040577506564624</v>
      </c>
      <c r="AK53" s="954" t="s">
        <v>636</v>
      </c>
      <c r="AL53" s="699">
        <v>1.1000000000000001E-3</v>
      </c>
      <c r="AM53" s="951">
        <v>2</v>
      </c>
      <c r="AN53" s="249" t="b">
        <v>1</v>
      </c>
      <c r="AY53" s="202"/>
      <c r="AZ53" s="203"/>
      <c r="BA53" s="954" t="s">
        <v>636</v>
      </c>
      <c r="BB53" s="699">
        <v>1.1000000000000001E-3</v>
      </c>
      <c r="BC53" s="951">
        <v>2</v>
      </c>
      <c r="BD53" s="249" t="b">
        <v>1</v>
      </c>
      <c r="BI53" s="954" t="s">
        <v>636</v>
      </c>
      <c r="BJ53" s="699">
        <v>1.1000000000000001E-3</v>
      </c>
      <c r="BK53" s="951">
        <v>2</v>
      </c>
      <c r="BL53" s="249" t="b">
        <v>1</v>
      </c>
      <c r="BQ53" s="954" t="s">
        <v>635</v>
      </c>
      <c r="BR53" s="699">
        <v>1.6999999999999999E-3</v>
      </c>
      <c r="BS53" s="951">
        <v>2</v>
      </c>
      <c r="BT53" s="249" t="b">
        <v>1</v>
      </c>
      <c r="BZ53" s="954" t="s">
        <v>590</v>
      </c>
      <c r="CA53" s="1005">
        <v>-1.7749999999999999E-3</v>
      </c>
      <c r="CB53" s="951">
        <v>2</v>
      </c>
      <c r="CC53" s="249" t="b">
        <v>1</v>
      </c>
    </row>
    <row r="54" spans="2:81">
      <c r="B54" s="120" t="s">
        <v>672</v>
      </c>
      <c r="C54" s="191"/>
      <c r="D54" s="121"/>
      <c r="E54" s="121"/>
      <c r="F54" s="121"/>
      <c r="G54" s="121"/>
      <c r="H54" s="121"/>
      <c r="I54" s="121"/>
      <c r="J54" s="121"/>
      <c r="K54" s="121"/>
      <c r="L54" s="191"/>
      <c r="M54" s="191"/>
      <c r="N54" s="120" t="s">
        <v>673</v>
      </c>
      <c r="O54" s="191"/>
      <c r="P54" s="121"/>
      <c r="Q54" s="121"/>
      <c r="R54" s="121"/>
      <c r="S54" s="121"/>
      <c r="T54" s="121"/>
      <c r="U54" s="121"/>
      <c r="V54" s="121"/>
      <c r="W54" s="121"/>
      <c r="AC54" s="716">
        <v>49772</v>
      </c>
      <c r="AD54" s="885">
        <v>0.72986767757360771</v>
      </c>
      <c r="AK54" s="954" t="s">
        <v>637</v>
      </c>
      <c r="AL54" s="699">
        <v>5.9999999999999995E-4</v>
      </c>
      <c r="AM54" s="951">
        <v>2</v>
      </c>
      <c r="AN54" s="249" t="b">
        <v>1</v>
      </c>
      <c r="AY54" s="202"/>
      <c r="AZ54" s="203"/>
      <c r="BA54" s="954" t="s">
        <v>637</v>
      </c>
      <c r="BB54" s="699">
        <v>5.9999999999999995E-4</v>
      </c>
      <c r="BC54" s="951">
        <v>2</v>
      </c>
      <c r="BD54" s="249" t="b">
        <v>1</v>
      </c>
      <c r="BI54" s="954" t="s">
        <v>637</v>
      </c>
      <c r="BJ54" s="699">
        <v>5.9999999999999995E-4</v>
      </c>
      <c r="BK54" s="951">
        <v>2</v>
      </c>
      <c r="BL54" s="249" t="b">
        <v>1</v>
      </c>
      <c r="BQ54" s="954" t="s">
        <v>636</v>
      </c>
      <c r="BR54" s="699">
        <v>1.1000000000000001E-3</v>
      </c>
      <c r="BS54" s="951">
        <v>2</v>
      </c>
      <c r="BT54" s="249" t="b">
        <v>1</v>
      </c>
      <c r="BZ54" s="954" t="s">
        <v>591</v>
      </c>
      <c r="CA54" s="1005">
        <v>-1.6250000000000001E-3</v>
      </c>
      <c r="CB54" s="951">
        <v>2</v>
      </c>
      <c r="CC54" s="249" t="b">
        <v>1</v>
      </c>
    </row>
    <row r="55" spans="2:81">
      <c r="B55" s="876" t="s">
        <v>659</v>
      </c>
      <c r="C55" s="877" t="s">
        <v>660</v>
      </c>
      <c r="D55" s="877" t="s">
        <v>663</v>
      </c>
      <c r="E55" s="877" t="s">
        <v>664</v>
      </c>
      <c r="F55" s="877" t="s">
        <v>668</v>
      </c>
      <c r="G55" s="877" t="s">
        <v>665</v>
      </c>
      <c r="H55" s="877" t="s">
        <v>669</v>
      </c>
      <c r="I55" s="877" t="s">
        <v>670</v>
      </c>
      <c r="J55" s="877" t="s">
        <v>671</v>
      </c>
      <c r="K55" s="878" t="s">
        <v>661</v>
      </c>
      <c r="L55" s="880" t="s">
        <v>674</v>
      </c>
      <c r="M55" s="880" t="s">
        <v>675</v>
      </c>
      <c r="N55" s="876" t="s">
        <v>659</v>
      </c>
      <c r="O55" s="877" t="s">
        <v>660</v>
      </c>
      <c r="P55" s="877" t="s">
        <v>663</v>
      </c>
      <c r="Q55" s="877" t="s">
        <v>664</v>
      </c>
      <c r="R55" s="877" t="s">
        <v>668</v>
      </c>
      <c r="S55" s="877" t="s">
        <v>665</v>
      </c>
      <c r="T55" s="877" t="s">
        <v>669</v>
      </c>
      <c r="U55" s="877" t="s">
        <v>670</v>
      </c>
      <c r="V55" s="877" t="s">
        <v>671</v>
      </c>
      <c r="W55" s="878" t="s">
        <v>661</v>
      </c>
      <c r="AC55" s="716">
        <v>51596</v>
      </c>
      <c r="AD55" s="885">
        <v>0.64279189430997974</v>
      </c>
      <c r="AK55" s="954" t="s">
        <v>638</v>
      </c>
      <c r="AL55" s="699">
        <v>0</v>
      </c>
      <c r="AM55" s="951">
        <v>2</v>
      </c>
      <c r="AN55" s="249" t="b">
        <v>1</v>
      </c>
      <c r="AP55" s="8"/>
      <c r="AY55" s="202"/>
      <c r="AZ55" s="203"/>
      <c r="BA55" s="954" t="s">
        <v>638</v>
      </c>
      <c r="BB55" s="699">
        <v>0</v>
      </c>
      <c r="BC55" s="951">
        <v>2</v>
      </c>
      <c r="BD55" s="249" t="b">
        <v>1</v>
      </c>
      <c r="BI55" s="954" t="s">
        <v>638</v>
      </c>
      <c r="BJ55" s="699">
        <v>0</v>
      </c>
      <c r="BK55" s="951">
        <v>2</v>
      </c>
      <c r="BL55" s="249" t="b">
        <v>1</v>
      </c>
      <c r="BQ55" s="954" t="s">
        <v>637</v>
      </c>
      <c r="BR55" s="699">
        <v>5.9999999999999995E-4</v>
      </c>
      <c r="BS55" s="951">
        <v>2</v>
      </c>
      <c r="BT55" s="249" t="b">
        <v>1</v>
      </c>
      <c r="BZ55" s="955" t="s">
        <v>593</v>
      </c>
      <c r="CA55" s="1006">
        <v>-1.5249999999999999E-3</v>
      </c>
      <c r="CB55" s="952">
        <v>2</v>
      </c>
      <c r="CC55" s="252" t="b">
        <v>1</v>
      </c>
    </row>
    <row r="56" spans="2:81">
      <c r="B56" s="929">
        <v>45016</v>
      </c>
      <c r="C56" s="930">
        <v>10000000</v>
      </c>
      <c r="D56" s="713"/>
      <c r="E56" s="713"/>
      <c r="F56" s="713"/>
      <c r="G56" s="713"/>
      <c r="H56" s="713"/>
      <c r="I56" s="713"/>
      <c r="J56" s="713"/>
      <c r="K56" s="930">
        <v>10000000</v>
      </c>
      <c r="L56" s="931">
        <v>17.792700000000011</v>
      </c>
      <c r="M56" s="931">
        <f>L56</f>
        <v>17.792700000000011</v>
      </c>
      <c r="N56" s="932">
        <f>M56-L56</f>
        <v>0</v>
      </c>
      <c r="Q56" s="874"/>
      <c r="R56" s="873"/>
      <c r="AC56" s="716">
        <v>53422</v>
      </c>
      <c r="AD56" s="885">
        <v>0.57213277271920826</v>
      </c>
      <c r="AK56" s="954" t="s">
        <v>639</v>
      </c>
      <c r="AL56" s="699">
        <v>-8.0000000000000004E-4</v>
      </c>
      <c r="AM56" s="951">
        <v>2</v>
      </c>
      <c r="AN56" s="249" t="b">
        <v>1</v>
      </c>
      <c r="AR56" s="881"/>
      <c r="AY56" s="202"/>
      <c r="AZ56" s="203"/>
      <c r="BA56" s="954" t="s">
        <v>639</v>
      </c>
      <c r="BB56" s="699">
        <v>-8.0000000000000004E-4</v>
      </c>
      <c r="BC56" s="951">
        <v>2</v>
      </c>
      <c r="BD56" s="249" t="b">
        <v>1</v>
      </c>
      <c r="BI56" s="954" t="s">
        <v>639</v>
      </c>
      <c r="BJ56" s="699">
        <v>-8.0000000000000004E-4</v>
      </c>
      <c r="BK56" s="951">
        <v>2</v>
      </c>
      <c r="BL56" s="249" t="b">
        <v>1</v>
      </c>
      <c r="BQ56" s="954" t="s">
        <v>638</v>
      </c>
      <c r="BR56" s="699">
        <v>0</v>
      </c>
      <c r="BS56" s="951">
        <v>2</v>
      </c>
      <c r="BT56" s="249" t="b">
        <v>1</v>
      </c>
    </row>
    <row r="57" spans="2:81">
      <c r="B57" s="929">
        <v>45107</v>
      </c>
      <c r="C57" s="879"/>
      <c r="D57" s="933">
        <v>7.9449336984840704E-2</v>
      </c>
      <c r="E57" s="934">
        <v>-1.3066301515926599</v>
      </c>
      <c r="F57" s="935">
        <f>D57</f>
        <v>7.9449336984840704E-2</v>
      </c>
      <c r="G57" s="291" t="str" cm="1">
        <f t="array" ref="G57">_xll.d.TestUtils_Equal(D57,F57)</f>
        <v>Ok</v>
      </c>
      <c r="H57" s="930">
        <v>-198079.16892110999</v>
      </c>
      <c r="I57" s="930" cm="1">
        <f t="array" ref="I57">-$C$56*_xll.d.Dates_Act365(B56,B57)*F57</f>
        <v>-198079.1689211097</v>
      </c>
      <c r="J57" s="446" t="str" cm="1">
        <f t="array" ref="J57">_xll.d.TestUtils_Equal(H57,I57)</f>
        <v>Ok</v>
      </c>
      <c r="K57" s="930">
        <v>-198079.16892110999</v>
      </c>
      <c r="L57" s="931">
        <v>17.894870650852098</v>
      </c>
      <c r="M57" s="931" cm="1">
        <f t="array" aca="1" ref="M57" ca="1">$M$56*_xll.d.Curve_GetDiscountFactors($K$16,B57)/_xll.d.Curve_GetDiscountFactors($G$16,B57)</f>
        <v>17.911641208201114</v>
      </c>
      <c r="N57" s="932">
        <f t="shared" ref="N57:N104" ca="1" si="1">M57-L57</f>
        <v>1.6770557349016002E-2</v>
      </c>
      <c r="O57" s="881">
        <f>L57-L56</f>
        <v>0.10217065085208787</v>
      </c>
      <c r="Q57" s="874"/>
      <c r="R57" s="873"/>
      <c r="AC57" s="716">
        <v>55248</v>
      </c>
      <c r="AD57" s="885">
        <v>0.51094493705605015</v>
      </c>
      <c r="AK57" s="955" t="s">
        <v>640</v>
      </c>
      <c r="AL57" s="700">
        <v>-2.3500000000000001E-3</v>
      </c>
      <c r="AM57" s="952">
        <v>2</v>
      </c>
      <c r="AN57" s="252" t="b">
        <v>1</v>
      </c>
      <c r="AS57" s="1048"/>
      <c r="AY57" s="202"/>
      <c r="AZ57" s="203"/>
      <c r="BA57" s="955" t="s">
        <v>640</v>
      </c>
      <c r="BB57" s="700">
        <v>-2.3500000000000001E-3</v>
      </c>
      <c r="BC57" s="952">
        <v>2</v>
      </c>
      <c r="BD57" s="252" t="b">
        <v>1</v>
      </c>
      <c r="BI57" s="955" t="s">
        <v>640</v>
      </c>
      <c r="BJ57" s="700">
        <v>-2.3500000000000001E-3</v>
      </c>
      <c r="BK57" s="952">
        <v>2</v>
      </c>
      <c r="BL57" s="252" t="b">
        <v>1</v>
      </c>
      <c r="BQ57" s="954" t="s">
        <v>639</v>
      </c>
      <c r="BR57" s="699">
        <v>-8.0000000000000004E-4</v>
      </c>
      <c r="BS57" s="951">
        <v>2</v>
      </c>
      <c r="BT57" s="249" t="b">
        <v>1</v>
      </c>
    </row>
    <row r="58" spans="2:81">
      <c r="B58" s="929">
        <v>45198</v>
      </c>
      <c r="C58" s="879"/>
      <c r="D58" s="933">
        <v>8.5659143971575508E-2</v>
      </c>
      <c r="E58" s="934">
        <v>-1.3066301515926599</v>
      </c>
      <c r="F58" s="936" cm="1">
        <f t="array" aca="1" ref="F58" ca="1">_xll.d.Curve_GetForwardRates($C$16,B57,B58,"Simple")+E58/10000</f>
        <v>8.5659143971575549E-2</v>
      </c>
      <c r="G58" s="291" t="str" cm="1">
        <f t="array" aca="1" ref="G58" ca="1">_xll.d.TestUtils_Equal(D58,F58)</f>
        <v>Ok</v>
      </c>
      <c r="H58" s="930">
        <v>-213561.15346338</v>
      </c>
      <c r="I58" s="930" cm="1">
        <f t="array" aca="1" ref="I58" ca="1">-$C$56*_xll.d.Dates_Act365(B57,B58)*F58</f>
        <v>-213561.15346338015</v>
      </c>
      <c r="J58" s="446" t="str" cm="1">
        <f t="array" aca="1" ref="J58" ca="1">_xll.d.TestUtils_Equal(H58,I58)</f>
        <v>Ok</v>
      </c>
      <c r="K58" s="930">
        <v>-213561.15346338</v>
      </c>
      <c r="L58" s="931">
        <v>18.039530362361127</v>
      </c>
      <c r="M58" s="931" cm="1">
        <f t="array" aca="1" ref="M58" ca="1">$M$56*_xll.d.Curve_GetDiscountFactors($K$16,B58)/_xll.d.Curve_GetDiscountFactors($G$16,B58)</f>
        <v>18.038852538596931</v>
      </c>
      <c r="N58" s="932">
        <f t="shared" ca="1" si="1"/>
        <v>-6.778237641960061E-4</v>
      </c>
      <c r="Q58" s="874"/>
      <c r="R58" s="873"/>
      <c r="AC58" s="719">
        <v>58901</v>
      </c>
      <c r="AD58" s="886">
        <v>0.42537340963061948</v>
      </c>
      <c r="AS58" s="1048"/>
      <c r="AY58" s="202"/>
      <c r="AZ58" s="203"/>
      <c r="BQ58" s="955" t="s">
        <v>640</v>
      </c>
      <c r="BR58" s="700">
        <v>-2.3500000000000001E-3</v>
      </c>
      <c r="BS58" s="952">
        <v>2</v>
      </c>
      <c r="BT58" s="252" t="b">
        <v>1</v>
      </c>
    </row>
    <row r="59" spans="2:81">
      <c r="B59" s="929">
        <v>45289</v>
      </c>
      <c r="C59" s="879"/>
      <c r="D59" s="933">
        <v>8.5957425452982406E-2</v>
      </c>
      <c r="E59" s="934">
        <v>-1.3066301515926599</v>
      </c>
      <c r="F59" s="935" cm="1">
        <f t="array" aca="1" ref="F59" ca="1">_xll.d.Curve_GetForwardRates($C$16,B58,B59,"Simple")+E59/10000</f>
        <v>8.5957425452982378E-2</v>
      </c>
      <c r="G59" s="291" t="str" cm="1">
        <f t="array" aca="1" ref="G59" ca="1">_xll.d.TestUtils_Equal(D59,F59)</f>
        <v>Ok</v>
      </c>
      <c r="H59" s="930">
        <v>-214304.814143052</v>
      </c>
      <c r="I59" s="930" cm="1">
        <f t="array" aca="1" ref="I59" ca="1">-$C$56*_xll.d.Dates_Act365(B58,B59)*F59</f>
        <v>-214304.81414305195</v>
      </c>
      <c r="J59" s="446" t="str" cm="1">
        <f t="array" aca="1" ref="J59" ca="1">_xll.d.TestUtils_Equal(H59,I59)</f>
        <v>Ok</v>
      </c>
      <c r="K59" s="930">
        <v>-214304.814143052</v>
      </c>
      <c r="L59" s="931">
        <v>18.203540394045042</v>
      </c>
      <c r="M59" s="931" cm="1">
        <f t="array" aca="1" ref="M59" ca="1">$M$56*_xll.d.Curve_GetDiscountFactors($K$16,B59)/_xll.d.Curve_GetDiscountFactors($G$16,B59)</f>
        <v>18.185580297584739</v>
      </c>
      <c r="N59" s="932">
        <f t="shared" ca="1" si="1"/>
        <v>-1.7960096460303276E-2</v>
      </c>
      <c r="Q59" s="874"/>
      <c r="R59" s="873"/>
      <c r="AS59" s="1048"/>
      <c r="AY59" s="202"/>
      <c r="AZ59" s="203"/>
    </row>
    <row r="60" spans="2:81">
      <c r="B60" s="929">
        <v>45379</v>
      </c>
      <c r="C60" s="879"/>
      <c r="D60" s="933">
        <v>8.8610687796257609E-2</v>
      </c>
      <c r="E60" s="934">
        <v>-1.3066301515926599</v>
      </c>
      <c r="F60" s="935" cm="1">
        <f t="array" aca="1" ref="F60" ca="1">_xll.d.Curve_GetForwardRates($C$16,B59,B60,"Simple")+E60/10000</f>
        <v>8.8610687796257651E-2</v>
      </c>
      <c r="G60" s="291" t="str" cm="1">
        <f t="array" aca="1" ref="G60" ca="1">_xll.d.TestUtils_Equal(D60,F60)</f>
        <v>Ok</v>
      </c>
      <c r="H60" s="930">
        <v>-218492.10689488199</v>
      </c>
      <c r="I60" s="930" cm="1">
        <f t="array" aca="1" ref="I60" ca="1">-$C$56*_xll.d.Dates_Act365(B59,B60)*F60</f>
        <v>-218492.1068948819</v>
      </c>
      <c r="J60" s="446" t="str" cm="1">
        <f t="array" aca="1" ref="J60" ca="1">_xll.d.TestUtils_Equal(H60,I60)</f>
        <v>Ok</v>
      </c>
      <c r="K60" s="930">
        <v>-218492.10689488199</v>
      </c>
      <c r="L60" s="931">
        <v>18.399227340008586</v>
      </c>
      <c r="M60" s="931" cm="1">
        <f t="array" aca="1" ref="M60" ca="1">$M$56*_xll.d.Curve_GetDiscountFactors($K$16,B60)/_xll.d.Curve_GetDiscountFactors($G$16,B60)</f>
        <v>18.345631755457656</v>
      </c>
      <c r="N60" s="932">
        <f t="shared" ca="1" si="1"/>
        <v>-5.3595584550929942E-2</v>
      </c>
      <c r="Q60" s="874"/>
      <c r="R60" s="873"/>
      <c r="AS60" s="1048"/>
      <c r="AY60" s="202"/>
      <c r="AZ60" s="203"/>
    </row>
    <row r="61" spans="2:81">
      <c r="B61" s="929">
        <v>45471</v>
      </c>
      <c r="C61" s="879"/>
      <c r="D61" s="933">
        <v>8.0897533127980897E-2</v>
      </c>
      <c r="E61" s="934">
        <v>-1.3066301515926599</v>
      </c>
      <c r="F61" s="935" cm="1">
        <f t="array" aca="1" ref="F61" ca="1">_xll.d.Curve_GetForwardRates($C$16,B60,B61,"Simple")+E61/10000</f>
        <v>8.0897533127980911E-2</v>
      </c>
      <c r="G61" s="291" t="str" cm="1">
        <f t="array" aca="1" ref="G61" ca="1">_xll.d.TestUtils_Equal(D61,F61)</f>
        <v>Ok</v>
      </c>
      <c r="H61" s="930">
        <v>-203906.11089792501</v>
      </c>
      <c r="I61" s="930" cm="1">
        <f t="array" aca="1" ref="I61" ca="1">-$C$56*_xll.d.Dates_Act365(B60,B61)*F61</f>
        <v>-203906.11089792452</v>
      </c>
      <c r="J61" s="446" t="str" cm="1">
        <f t="array" aca="1" ref="J61" ca="1">_xll.d.TestUtils_Equal(H61,I61)</f>
        <v>Ok</v>
      </c>
      <c r="K61" s="930">
        <v>-203906.11089792501</v>
      </c>
      <c r="L61" s="931">
        <v>18.58389929920898</v>
      </c>
      <c r="M61" s="931" cm="1">
        <f t="array" aca="1" ref="M61" ca="1">$M$56*_xll.d.Curve_GetDiscountFactors($K$16,B61)/_xll.d.Curve_GetDiscountFactors($G$16,B61)</f>
        <v>18.517634351562098</v>
      </c>
      <c r="N61" s="932">
        <f t="shared" ca="1" si="1"/>
        <v>-6.6264947646882177E-2</v>
      </c>
      <c r="Q61" s="874"/>
      <c r="R61" s="873"/>
      <c r="AS61" s="1048"/>
      <c r="AY61" s="202"/>
      <c r="AZ61" s="203"/>
    </row>
    <row r="62" spans="2:81">
      <c r="B62" s="929">
        <v>45565</v>
      </c>
      <c r="C62" s="879"/>
      <c r="D62" s="933">
        <v>7.271527497035471E-2</v>
      </c>
      <c r="E62" s="934">
        <v>-1.3066301515926599</v>
      </c>
      <c r="F62" s="935" cm="1">
        <f t="array" aca="1" ref="F62" ca="1">_xll.d.Curve_GetForwardRates($C$16,B61,B62,"Simple")+E62/10000</f>
        <v>7.2715274970354654E-2</v>
      </c>
      <c r="G62" s="291" t="str" cm="1">
        <f t="array" aca="1" ref="G62" ca="1">_xll.d.TestUtils_Equal(D62,F62)</f>
        <v>Ok</v>
      </c>
      <c r="H62" s="930">
        <v>-187266.735540091</v>
      </c>
      <c r="I62" s="930" cm="1">
        <f t="array" aca="1" ref="I62" ca="1">-$C$56*_xll.d.Dates_Act365(B61,B62)*F62</f>
        <v>-187266.73554009141</v>
      </c>
      <c r="J62" s="446" t="str" cm="1">
        <f t="array" aca="1" ref="J62" ca="1">_xll.d.TestUtils_Equal(H62,I62)</f>
        <v>Ok</v>
      </c>
      <c r="K62" s="930">
        <v>-187266.735540091</v>
      </c>
      <c r="L62" s="931">
        <v>18.751249058697272</v>
      </c>
      <c r="M62" s="931" cm="1">
        <f t="array" aca="1" ref="M62" ca="1">$M$56*_xll.d.Curve_GetDiscountFactors($K$16,B62)/_xll.d.Curve_GetDiscountFactors($G$16,B62)</f>
        <v>18.701706712006381</v>
      </c>
      <c r="N62" s="932">
        <f t="shared" ca="1" si="1"/>
        <v>-4.9542346690891748E-2</v>
      </c>
      <c r="Q62" s="874"/>
      <c r="R62" s="873"/>
      <c r="AS62" s="1048"/>
      <c r="AY62" s="202"/>
      <c r="AZ62" s="203"/>
    </row>
    <row r="63" spans="2:81">
      <c r="B63" s="929">
        <v>45657</v>
      </c>
      <c r="C63" s="879"/>
      <c r="D63" s="933">
        <v>6.8658062221273602E-2</v>
      </c>
      <c r="E63" s="934">
        <v>-1.3066301515926599</v>
      </c>
      <c r="F63" s="935" cm="1">
        <f t="array" aca="1" ref="F63" ca="1">_xll.d.Curve_GetForwardRates($C$16,B62,B63,"Simple")+E63/10000</f>
        <v>6.8658062221273589E-2</v>
      </c>
      <c r="G63" s="291" t="str" cm="1">
        <f t="array" aca="1" ref="G63" ca="1">_xll.d.TestUtils_Equal(D63,F63)</f>
        <v>Ok</v>
      </c>
      <c r="H63" s="930">
        <v>-173055.93765362099</v>
      </c>
      <c r="I63" s="930" cm="1">
        <f t="array" aca="1" ref="I63" ca="1">-$C$56*_xll.d.Dates_Act365(B62,B63)*F63</f>
        <v>-173055.93765362113</v>
      </c>
      <c r="J63" s="446" t="str" cm="1">
        <f t="array" aca="1" ref="J63" ca="1">_xll.d.TestUtils_Equal(H63,I63)</f>
        <v>Ok</v>
      </c>
      <c r="K63" s="930">
        <v>-173055.93765362099</v>
      </c>
      <c r="L63" s="931">
        <v>18.909355370341672</v>
      </c>
      <c r="M63" s="931" cm="1">
        <f t="array" aca="1" ref="M63" ca="1">$M$56*_xll.d.Curve_GetDiscountFactors($K$16,B63)/_xll.d.Curve_GetDiscountFactors($G$16,B63)</f>
        <v>18.890493401102717</v>
      </c>
      <c r="N63" s="932">
        <f t="shared" ca="1" si="1"/>
        <v>-1.8861969238955112E-2</v>
      </c>
      <c r="Q63" s="874"/>
      <c r="R63" s="873"/>
      <c r="AS63" s="1048"/>
      <c r="AY63" s="202"/>
      <c r="AZ63" s="203"/>
    </row>
    <row r="64" spans="2:81">
      <c r="B64" s="929">
        <v>45747</v>
      </c>
      <c r="C64" s="879"/>
      <c r="D64" s="933">
        <v>6.9032399758861301E-2</v>
      </c>
      <c r="E64" s="934">
        <v>-1.3066301515926599</v>
      </c>
      <c r="F64" s="935" cm="1">
        <f t="array" aca="1" ref="F64" ca="1">_xll.d.Curve_GetForwardRates($C$16,B63,B64,"Simple")+E64/10000</f>
        <v>6.9032399758860399E-2</v>
      </c>
      <c r="G64" s="291" t="str" cm="1">
        <f t="array" aca="1" ref="G64" ca="1">_xll.d.TestUtils_Equal(D64,F64)</f>
        <v>Ok</v>
      </c>
      <c r="H64" s="930">
        <v>-170216.87611774</v>
      </c>
      <c r="I64" s="930" cm="1">
        <f t="array" aca="1" ref="I64" ca="1">-$C$56*_xll.d.Dates_Act365(B63,B64)*F64</f>
        <v>-170216.87611773796</v>
      </c>
      <c r="J64" s="446" t="str" cm="1">
        <f t="array" aca="1" ref="J64" ca="1">_xll.d.TestUtils_Equal(H64,I64)</f>
        <v>Ok</v>
      </c>
      <c r="K64" s="930">
        <v>-170216.87611774</v>
      </c>
      <c r="L64" s="931">
        <v>19.074880531430914</v>
      </c>
      <c r="M64" s="931" cm="1">
        <f t="array" aca="1" ref="M64" ca="1">$M$56*_xll.d.Curve_GetDiscountFactors($K$16,B64)/_xll.d.Curve_GetDiscountFactors($G$16,B64)</f>
        <v>19.084066488543119</v>
      </c>
      <c r="N64" s="932">
        <f t="shared" ca="1" si="1"/>
        <v>9.1859571122050454E-3</v>
      </c>
      <c r="Q64" s="874"/>
      <c r="R64" s="873"/>
      <c r="AS64" s="1048"/>
      <c r="AY64" s="202"/>
      <c r="AZ64" s="203"/>
    </row>
    <row r="65" spans="2:52">
      <c r="B65" s="929">
        <v>45838</v>
      </c>
      <c r="C65" s="879"/>
      <c r="D65" s="933">
        <v>7.3022999924023294E-2</v>
      </c>
      <c r="E65" s="934">
        <v>-1.3066301515926599</v>
      </c>
      <c r="F65" s="935" cm="1">
        <f t="array" aca="1" ref="F65" ca="1">_xll.d.Curve_GetForwardRates($C$16,B64,B65,"Simple")+E65/10000</f>
        <v>7.3022999924023321E-2</v>
      </c>
      <c r="G65" s="291" t="str" cm="1">
        <f t="array" aca="1" ref="G65" ca="1">_xll.d.TestUtils_Equal(D65,F65)</f>
        <v>Ok</v>
      </c>
      <c r="H65" s="930">
        <v>-182057.342276332</v>
      </c>
      <c r="I65" s="930" cm="1">
        <f t="array" aca="1" ref="I65" ca="1">-$C$56*_xll.d.Dates_Act365(B64,B65)*F65</f>
        <v>-182057.34227633211</v>
      </c>
      <c r="J65" s="446" t="str" cm="1">
        <f t="array" aca="1" ref="J65" ca="1">_xll.d.TestUtils_Equal(H65,I65)</f>
        <v>Ok</v>
      </c>
      <c r="K65" s="930">
        <v>-182057.342276332</v>
      </c>
      <c r="L65" s="931">
        <v>19.267098857294766</v>
      </c>
      <c r="M65" s="931" cm="1">
        <f t="array" aca="1" ref="M65" ca="1">$M$56*_xll.d.Curve_GetDiscountFactors($K$16,B65)/_xll.d.Curve_GetDiscountFactors($G$16,B65)</f>
        <v>19.289380253939051</v>
      </c>
      <c r="N65" s="932">
        <f t="shared" ca="1" si="1"/>
        <v>2.2281396644284968E-2</v>
      </c>
      <c r="Q65" s="874"/>
      <c r="R65" s="873"/>
      <c r="AY65" s="202"/>
      <c r="AZ65" s="203"/>
    </row>
    <row r="66" spans="2:52">
      <c r="B66" s="929">
        <v>45930</v>
      </c>
      <c r="C66" s="879"/>
      <c r="D66" s="933">
        <v>7.6935608029885805E-2</v>
      </c>
      <c r="E66" s="934">
        <v>-1.3066301515926599</v>
      </c>
      <c r="F66" s="935" cm="1">
        <f t="array" aca="1" ref="F66" ca="1">_xll.d.Curve_GetForwardRates($C$16,B65,B66,"Simple")+E66/10000</f>
        <v>7.6935608029885846E-2</v>
      </c>
      <c r="G66" s="291" t="str" cm="1">
        <f t="array" aca="1" ref="G66" ca="1">_xll.d.TestUtils_Equal(D66,F66)</f>
        <v>Ok</v>
      </c>
      <c r="H66" s="930">
        <v>-193919.88873286301</v>
      </c>
      <c r="I66" s="930" cm="1">
        <f t="array" aca="1" ref="I66" ca="1">-$C$56*_xll.d.Dates_Act365(B65,B66)*F66</f>
        <v>-193919.88873286298</v>
      </c>
      <c r="J66" s="446" t="str" cm="1">
        <f t="array" aca="1" ref="J66" ca="1">_xll.d.TestUtils_Equal(H66,I66)</f>
        <v>Ok</v>
      </c>
      <c r="K66" s="930">
        <v>-193919.88873286301</v>
      </c>
      <c r="L66" s="931">
        <v>19.485576679626359</v>
      </c>
      <c r="M66" s="931" cm="1">
        <f t="array" aca="1" ref="M66" ca="1">$M$56*_xll.d.Curve_GetDiscountFactors($K$16,B66)/_xll.d.Curve_GetDiscountFactors($G$16,B66)</f>
        <v>19.507099658341769</v>
      </c>
      <c r="N66" s="932">
        <f t="shared" ca="1" si="1"/>
        <v>2.152297871541009E-2</v>
      </c>
      <c r="Q66" s="874"/>
      <c r="R66" s="873"/>
      <c r="AY66" s="202"/>
      <c r="AZ66" s="203"/>
    </row>
    <row r="67" spans="2:52">
      <c r="B67" s="929">
        <v>46022</v>
      </c>
      <c r="C67" s="879"/>
      <c r="D67" s="933">
        <v>7.9704697604764507E-2</v>
      </c>
      <c r="E67" s="934">
        <v>-1.3066301515926599</v>
      </c>
      <c r="F67" s="935" cm="1">
        <f t="array" aca="1" ref="F67" ca="1">_xll.d.Curve_GetForwardRates($C$16,B66,B67,"Simple")+E67/10000</f>
        <v>7.9704697604762759E-2</v>
      </c>
      <c r="G67" s="291" t="str" cm="1">
        <f t="array" aca="1" ref="G67" ca="1">_xll.d.TestUtils_Equal(D67,F67)</f>
        <v>Ok</v>
      </c>
      <c r="H67" s="930">
        <v>-200899.511770913</v>
      </c>
      <c r="I67" s="930" cm="1">
        <f t="array" aca="1" ref="I67" ca="1">-$C$56*_xll.d.Dates_Act365(B66,B67)*F67</f>
        <v>-200899.5117709089</v>
      </c>
      <c r="J67" s="446" t="str" cm="1">
        <f t="array" aca="1" ref="J67" ca="1">_xll.d.TestUtils_Equal(H67,I67)</f>
        <v>Ok</v>
      </c>
      <c r="K67" s="930">
        <v>-200899.511770913</v>
      </c>
      <c r="L67" s="931">
        <v>19.722612154705182</v>
      </c>
      <c r="M67" s="931" cm="1">
        <f t="array" aca="1" ref="M67" ca="1">$M$56*_xll.d.Curve_GetDiscountFactors($K$16,B67)/_xll.d.Curve_GetDiscountFactors($G$16,B67)</f>
        <v>19.735394531252524</v>
      </c>
      <c r="N67" s="932">
        <f t="shared" ca="1" si="1"/>
        <v>1.2782376547342267E-2</v>
      </c>
      <c r="Q67" s="874"/>
      <c r="R67" s="873"/>
      <c r="AY67" s="202"/>
      <c r="AZ67" s="203"/>
    </row>
    <row r="68" spans="2:52">
      <c r="B68" s="929">
        <v>46112</v>
      </c>
      <c r="C68" s="879"/>
      <c r="D68" s="933">
        <v>8.1190332260036413E-2</v>
      </c>
      <c r="E68" s="934">
        <v>-1.3066301515926599</v>
      </c>
      <c r="F68" s="935" cm="1">
        <f t="array" aca="1" ref="F68" ca="1">_xll.d.Curve_GetForwardRates($C$16,B67,B68,"Simple")+E68/10000</f>
        <v>8.1190332260037315E-2</v>
      </c>
      <c r="G68" s="291" t="str" cm="1">
        <f t="array" aca="1" ref="G68" ca="1">_xll.d.TestUtils_Equal(D68,F68)</f>
        <v>Ok</v>
      </c>
      <c r="H68" s="930">
        <v>-200195.339819268</v>
      </c>
      <c r="I68" s="930" cm="1">
        <f t="array" aca="1" ref="I68" ca="1">-$C$56*_xll.d.Dates_Act365(B67,B68)*F68</f>
        <v>-200195.3398192701</v>
      </c>
      <c r="J68" s="446" t="str" cm="1">
        <f t="array" aca="1" ref="J68" ca="1">_xll.d.TestUtils_Equal(H68,I68)</f>
        <v>Ok</v>
      </c>
      <c r="K68" s="930">
        <v>-200195.339819268</v>
      </c>
      <c r="L68" s="931">
        <v>19.966227236057911</v>
      </c>
      <c r="M68" s="931" cm="1">
        <f t="array" aca="1" ref="M68" ca="1">$M$56*_xll.d.Curve_GetDiscountFactors($K$16,B68)/_xll.d.Curve_GetDiscountFactors($G$16,B68)</f>
        <v>19.969374209774315</v>
      </c>
      <c r="N68" s="932">
        <f t="shared" ca="1" si="1"/>
        <v>3.1469737164044886E-3</v>
      </c>
      <c r="Q68" s="874"/>
      <c r="R68" s="873"/>
      <c r="AY68" s="202"/>
      <c r="AZ68" s="203"/>
    </row>
    <row r="69" spans="2:52">
      <c r="B69" s="929">
        <v>46203</v>
      </c>
      <c r="C69" s="879"/>
      <c r="D69" s="933">
        <v>8.1659487453250398E-2</v>
      </c>
      <c r="E69" s="934">
        <v>-1.3066301515926599</v>
      </c>
      <c r="F69" s="935" cm="1">
        <f t="array" aca="1" ref="F69" ca="1">_xll.d.Curve_GetForwardRates($C$16,B68,B69,"Simple")+E69/10000</f>
        <v>8.1659487453250357E-2</v>
      </c>
      <c r="G69" s="291" t="str" cm="1">
        <f t="array" aca="1" ref="G69" ca="1">_xll.d.TestUtils_Equal(D69,F69)</f>
        <v>Ok</v>
      </c>
      <c r="H69" s="930">
        <v>-203589.40707522701</v>
      </c>
      <c r="I69" s="930" cm="1">
        <f t="array" aca="1" ref="I69" ca="1">-$C$56*_xll.d.Dates_Act365(B68,B69)*F69</f>
        <v>-203589.40707522692</v>
      </c>
      <c r="J69" s="446" t="str" cm="1">
        <f t="array" aca="1" ref="J69" ca="1">_xll.d.TestUtils_Equal(H69,I69)</f>
        <v>Ok</v>
      </c>
      <c r="K69" s="930">
        <v>-203589.40707522701</v>
      </c>
      <c r="L69" s="931">
        <v>20.218802795100956</v>
      </c>
      <c r="M69" s="931" cm="1">
        <f t="array" aca="1" ref="M69" ca="1">$M$56*_xll.d.Curve_GetDiscountFactors($K$16,B69)/_xll.d.Curve_GetDiscountFactors($G$16,B69)</f>
        <v>20.217016497717818</v>
      </c>
      <c r="N69" s="932">
        <f t="shared" ca="1" si="1"/>
        <v>-1.786297383137736E-3</v>
      </c>
      <c r="Q69" s="874"/>
      <c r="R69" s="873"/>
      <c r="AY69" s="202"/>
      <c r="AZ69" s="203"/>
    </row>
    <row r="70" spans="2:52">
      <c r="B70" s="929">
        <v>46295</v>
      </c>
      <c r="C70" s="879"/>
      <c r="D70" s="933">
        <v>8.2205137998336897E-2</v>
      </c>
      <c r="E70" s="934">
        <v>-1.3066301515926599</v>
      </c>
      <c r="F70" s="935" cm="1">
        <f t="array" aca="1" ref="F70" ca="1">_xll.d.Curve_GetForwardRates($C$16,B69,B70,"Simple")+E70/10000</f>
        <v>8.2205137998337729E-2</v>
      </c>
      <c r="G70" s="291" t="str" cm="1">
        <f t="array" aca="1" ref="G70" ca="1">_xll.d.TestUtils_Equal(D70,F70)</f>
        <v>Ok</v>
      </c>
      <c r="H70" s="930">
        <v>-207201.991667041</v>
      </c>
      <c r="I70" s="930" cm="1">
        <f t="array" aca="1" ref="I70" ca="1">-$C$56*_xll.d.Dates_Act365(B69,B70)*F70</f>
        <v>-207201.99166704307</v>
      </c>
      <c r="J70" s="446" t="str" cm="1">
        <f t="array" aca="1" ref="J70" ca="1">_xll.d.TestUtils_Equal(H70,I70)</f>
        <v>Ok</v>
      </c>
      <c r="K70" s="930">
        <v>-207201.991667041</v>
      </c>
      <c r="L70" s="931">
        <v>20.480656329084113</v>
      </c>
      <c r="M70" s="931" cm="1">
        <f t="array" aca="1" ref="M70" ca="1">$M$56*_xll.d.Curve_GetDiscountFactors($K$16,B70)/_xll.d.Curve_GetDiscountFactors($G$16,B70)</f>
        <v>20.478651005478703</v>
      </c>
      <c r="N70" s="932">
        <f t="shared" ca="1" si="1"/>
        <v>-2.0053236054096146E-3</v>
      </c>
      <c r="Q70" s="874"/>
      <c r="R70" s="873"/>
      <c r="AY70" s="202"/>
      <c r="AZ70" s="203"/>
    </row>
    <row r="71" spans="2:52">
      <c r="B71" s="929">
        <v>46387</v>
      </c>
      <c r="C71" s="879"/>
      <c r="D71" s="933">
        <v>8.3128411196496596E-2</v>
      </c>
      <c r="E71" s="934">
        <v>-1.3066301515926599</v>
      </c>
      <c r="F71" s="935" cm="1">
        <f t="array" aca="1" ref="F71" ca="1">_xll.d.Curve_GetForwardRates($C$16,B70,B71,"Simple")+E71/10000</f>
        <v>8.312841119649568E-2</v>
      </c>
      <c r="G71" s="291" t="str" cm="1">
        <f t="array" aca="1" ref="G71" ca="1">_xll.d.TestUtils_Equal(D71,F71)</f>
        <v>Ok</v>
      </c>
      <c r="H71" s="930">
        <v>-209529.14602952599</v>
      </c>
      <c r="I71" s="930" cm="1">
        <f t="array" aca="1" ref="I71" ca="1">-$C$56*_xll.d.Dates_Act365(B70,B71)*F71</f>
        <v>-209529.1460295234</v>
      </c>
      <c r="J71" s="446" t="str" cm="1">
        <f t="array" aca="1" ref="J71" ca="1">_xll.d.TestUtils_Equal(H71,I71)</f>
        <v>Ok</v>
      </c>
      <c r="K71" s="930">
        <v>-209529.14602952599</v>
      </c>
      <c r="L71" s="931">
        <v>20.750881501400027</v>
      </c>
      <c r="M71" s="931" cm="1">
        <f t="array" aca="1" ref="M71" ca="1">$M$56*_xll.d.Curve_GetDiscountFactors($K$16,B71)/_xll.d.Curve_GetDiscountFactors($G$16,B71)</f>
        <v>20.751465664787908</v>
      </c>
      <c r="N71" s="932">
        <f t="shared" ca="1" si="1"/>
        <v>5.8416338788092048E-4</v>
      </c>
      <c r="Q71" s="874"/>
      <c r="R71" s="873"/>
      <c r="AY71" s="202"/>
      <c r="AZ71" s="203"/>
    </row>
    <row r="72" spans="2:52">
      <c r="B72" s="929">
        <v>46477</v>
      </c>
      <c r="C72" s="879"/>
      <c r="D72" s="933">
        <v>8.4432021788474504E-2</v>
      </c>
      <c r="E72" s="934">
        <v>-1.3066301515926599</v>
      </c>
      <c r="F72" s="935" cm="1">
        <f t="array" aca="1" ref="F72" ca="1">_xll.d.Curve_GetForwardRates($C$16,B71,B72,"Simple")+E72/10000</f>
        <v>8.4432021788474462E-2</v>
      </c>
      <c r="G72" s="291" t="str" cm="1">
        <f t="array" aca="1" ref="G72" ca="1">_xll.d.TestUtils_Equal(D72,F72)</f>
        <v>Ok</v>
      </c>
      <c r="H72" s="930">
        <v>-208188.54687568999</v>
      </c>
      <c r="I72" s="930" cm="1">
        <f t="array" aca="1" ref="I72" ca="1">-$C$56*_xll.d.Dates_Act365(B71,B72)*F72</f>
        <v>-208188.54687569046</v>
      </c>
      <c r="J72" s="446" t="str" cm="1">
        <f t="array" aca="1" ref="J72" ca="1">_xll.d.TestUtils_Equal(H72,I72)</f>
        <v>Ok</v>
      </c>
      <c r="K72" s="930">
        <v>-208188.54687568999</v>
      </c>
      <c r="L72" s="931">
        <v>21.025341056899961</v>
      </c>
      <c r="M72" s="931" cm="1">
        <f t="array" aca="1" ref="M72" ca="1">$M$56*_xll.d.Curve_GetDiscountFactors($K$16,B72)/_xll.d.Curve_GetDiscountFactors($G$16,B72)</f>
        <v>21.028978187803613</v>
      </c>
      <c r="N72" s="932">
        <f t="shared" ca="1" si="1"/>
        <v>3.6371309036518085E-3</v>
      </c>
      <c r="Q72" s="874"/>
      <c r="R72" s="873"/>
      <c r="AY72" s="202"/>
      <c r="AZ72" s="203"/>
    </row>
    <row r="73" spans="2:52">
      <c r="B73" s="929">
        <v>46568</v>
      </c>
      <c r="C73" s="879"/>
      <c r="D73" s="933">
        <v>8.6160459395043298E-2</v>
      </c>
      <c r="E73" s="934">
        <v>-1.3066301515926599</v>
      </c>
      <c r="F73" s="935" cm="1">
        <f t="array" aca="1" ref="F73" ca="1">_xll.d.Curve_GetForwardRates($C$16,B72,B73,"Simple")+E73/10000</f>
        <v>8.6160459395043285E-2</v>
      </c>
      <c r="G73" s="291" t="str" cm="1">
        <f t="array" aca="1" ref="G73" ca="1">_xll.d.TestUtils_Equal(D73,F73)</f>
        <v>Ok</v>
      </c>
      <c r="H73" s="930">
        <v>-214811.00835476501</v>
      </c>
      <c r="I73" s="930" cm="1">
        <f t="array" aca="1" ref="I73" ca="1">-$C$56*_xll.d.Dates_Act365(B72,B73)*F73</f>
        <v>-214811.00835476545</v>
      </c>
      <c r="J73" s="446" t="str" cm="1">
        <f t="array" aca="1" ref="J73" ca="1">_xll.d.TestUtils_Equal(H73,I73)</f>
        <v>Ok</v>
      </c>
      <c r="K73" s="930">
        <v>-214811.00835476501</v>
      </c>
      <c r="L73" s="931">
        <v>21.315127138378759</v>
      </c>
      <c r="M73" s="931" cm="1">
        <f t="array" aca="1" ref="M73" ca="1">$M$56*_xll.d.Curve_GetDiscountFactors($K$16,B73)/_xll.d.Curve_GetDiscountFactors($G$16,B73)</f>
        <v>21.32039849132174</v>
      </c>
      <c r="N73" s="932">
        <f t="shared" ca="1" si="1"/>
        <v>5.2713529429802009E-3</v>
      </c>
      <c r="Q73" s="874"/>
      <c r="R73" s="873"/>
      <c r="AY73" s="202"/>
      <c r="AZ73" s="203"/>
    </row>
    <row r="74" spans="2:52">
      <c r="B74" s="929">
        <v>46660</v>
      </c>
      <c r="C74" s="879"/>
      <c r="D74" s="933">
        <v>8.8198809336336906E-2</v>
      </c>
      <c r="E74" s="934">
        <v>-1.3066301515926599</v>
      </c>
      <c r="F74" s="935" cm="1">
        <f t="array" aca="1" ref="F74" ca="1">_xll.d.Curve_GetForwardRates($C$16,B73,B74,"Simple")+E74/10000</f>
        <v>8.8198809336336004E-2</v>
      </c>
      <c r="G74" s="291" t="str" cm="1">
        <f t="array" aca="1" ref="G74" ca="1">_xll.d.TestUtils_Equal(D74,F74)</f>
        <v>Ok</v>
      </c>
      <c r="H74" s="930">
        <v>-222309.327642274</v>
      </c>
      <c r="I74" s="930" cm="1">
        <f t="array" aca="1" ref="I74" ca="1">-$C$56*_xll.d.Dates_Act365(B73,B74)*F74</f>
        <v>-222309.32764227162</v>
      </c>
      <c r="J74" s="446" t="str" cm="1">
        <f t="array" aca="1" ref="J74" ca="1">_xll.d.TestUtils_Equal(H74,I74)</f>
        <v>Ok</v>
      </c>
      <c r="K74" s="930">
        <v>-222309.327642274</v>
      </c>
      <c r="L74" s="931">
        <v>21.622381323228868</v>
      </c>
      <c r="M74" s="931" cm="1">
        <f t="array" aca="1" ref="M74" ca="1">$M$56*_xll.d.Curve_GetDiscountFactors($K$16,B74)/_xll.d.Curve_GetDiscountFactors($G$16,B74)</f>
        <v>21.627826936473884</v>
      </c>
      <c r="N74" s="932">
        <f t="shared" ca="1" si="1"/>
        <v>5.4456132450155792E-3</v>
      </c>
      <c r="Q74" s="874"/>
      <c r="R74" s="873"/>
      <c r="AY74" s="202"/>
      <c r="AZ74" s="203"/>
    </row>
    <row r="75" spans="2:52">
      <c r="B75" s="929">
        <v>46752</v>
      </c>
      <c r="C75" s="879"/>
      <c r="D75" s="933">
        <v>9.0518256454501497E-2</v>
      </c>
      <c r="E75" s="934">
        <v>-1.3066301515926599</v>
      </c>
      <c r="F75" s="935" cm="1">
        <f t="array" aca="1" ref="F75" ca="1">_xll.d.Curve_GetForwardRates($C$16,B74,B75,"Simple")+E75/10000</f>
        <v>9.0518256454501511E-2</v>
      </c>
      <c r="G75" s="291" t="str" cm="1">
        <f t="array" aca="1" ref="G75" ca="1">_xll.d.TestUtils_Equal(D75,F75)</f>
        <v>Ok</v>
      </c>
      <c r="H75" s="930">
        <v>-228155.605309976</v>
      </c>
      <c r="I75" s="930" cm="1">
        <f t="array" aca="1" ref="I75" ca="1">-$C$56*_xll.d.Dates_Act365(B74,B75)*F75</f>
        <v>-228155.60530997644</v>
      </c>
      <c r="J75" s="446" t="str" cm="1">
        <f t="array" aca="1" ref="J75" ca="1">_xll.d.TestUtils_Equal(H75,I75)</f>
        <v>Ok</v>
      </c>
      <c r="K75" s="930">
        <v>-228155.605309976</v>
      </c>
      <c r="L75" s="931">
        <v>21.94580038898755</v>
      </c>
      <c r="M75" s="931" cm="1">
        <f t="array" aca="1" ref="M75" ca="1">$M$56*_xll.d.Curve_GetDiscountFactors($K$16,B75)/_xll.d.Curve_GetDiscountFactors($G$16,B75)</f>
        <v>21.950545229964025</v>
      </c>
      <c r="N75" s="932">
        <f t="shared" ca="1" si="1"/>
        <v>4.7448409764747623E-3</v>
      </c>
      <c r="Q75" s="874"/>
      <c r="R75" s="873"/>
      <c r="AY75" s="202"/>
      <c r="AZ75" s="203"/>
    </row>
    <row r="76" spans="2:52">
      <c r="B76" s="929">
        <v>46843</v>
      </c>
      <c r="C76" s="879"/>
      <c r="D76" s="933">
        <v>9.3116168113874298E-2</v>
      </c>
      <c r="E76" s="934">
        <v>-1.3066301515926599</v>
      </c>
      <c r="F76" s="935" cm="1">
        <f t="array" aca="1" ref="F76" ca="1">_xll.d.Curve_GetForwardRates($C$16,B75,B76,"Simple")+E76/10000</f>
        <v>9.3116168113875214E-2</v>
      </c>
      <c r="G76" s="291" t="str" cm="1">
        <f t="array" aca="1" ref="G76" ca="1">_xll.d.TestUtils_Equal(D76,F76)</f>
        <v>Ok</v>
      </c>
      <c r="H76" s="930">
        <v>-232152.63831130299</v>
      </c>
      <c r="I76" s="930" cm="1">
        <f t="array" aca="1" ref="I76" ca="1">-$C$56*_xll.d.Dates_Act365(B75,B76)*F76</f>
        <v>-232152.63831130532</v>
      </c>
      <c r="J76" s="446" t="str" cm="1">
        <f t="array" aca="1" ref="J76" ca="1">_xll.d.TestUtils_Equal(H76,I76)</f>
        <v>Ok</v>
      </c>
      <c r="K76" s="930">
        <v>-232152.63831130299</v>
      </c>
      <c r="L76" s="937">
        <v>22.283609961634713</v>
      </c>
      <c r="M76" s="937" cm="1">
        <f t="array" aca="1" ref="M76" ca="1">$M$56*_xll.d.Curve_GetDiscountFactors($K$16,B76)/_xll.d.Curve_GetDiscountFactors($G$16,B76)</f>
        <v>22.287498527315883</v>
      </c>
      <c r="N76" s="932">
        <f t="shared" ca="1" si="1"/>
        <v>3.8885656811693536E-3</v>
      </c>
      <c r="Q76" s="874"/>
      <c r="R76" s="873"/>
      <c r="AY76" s="202"/>
      <c r="AZ76" s="203"/>
    </row>
    <row r="77" spans="2:52">
      <c r="B77" s="929">
        <v>46934</v>
      </c>
      <c r="C77" s="879"/>
      <c r="D77" s="933">
        <v>9.5916829839174406E-2</v>
      </c>
      <c r="E77" s="934">
        <v>-1.3066301515926599</v>
      </c>
      <c r="F77" s="935" cm="1">
        <f t="array" aca="1" ref="F77" ca="1">_xll.d.Curve_GetForwardRates($C$16,B76,B77,"Simple")+E77/10000</f>
        <v>9.5916829839174364E-2</v>
      </c>
      <c r="G77" s="291" t="str" cm="1">
        <f t="array" aca="1" ref="G77" ca="1">_xll.d.TestUtils_Equal(D77,F77)</f>
        <v>Ok</v>
      </c>
      <c r="H77" s="930">
        <v>-239135.11000999599</v>
      </c>
      <c r="I77" s="930" cm="1">
        <f t="array" aca="1" ref="I77" ca="1">-$C$56*_xll.d.Dates_Act365(B76,B77)*F77</f>
        <v>-239135.11000999637</v>
      </c>
      <c r="J77" s="446" t="str" cm="1">
        <f t="array" aca="1" ref="J77" ca="1">_xll.d.TestUtils_Equal(H77,I77)</f>
        <v>Ok</v>
      </c>
      <c r="K77" s="930">
        <v>-239135.11000999599</v>
      </c>
      <c r="L77" s="934">
        <v>22.64087651628552</v>
      </c>
      <c r="M77" s="934" cm="1">
        <f t="array" aca="1" ref="M77" ca="1">$M$56*_xll.d.Curve_GetDiscountFactors($K$16,B77)/_xll.d.Curve_GetDiscountFactors($G$16,B77)</f>
        <v>22.644376176783336</v>
      </c>
      <c r="N77" s="932">
        <f t="shared" ca="1" si="1"/>
        <v>3.4996604978161372E-3</v>
      </c>
      <c r="Q77" s="874"/>
      <c r="R77" s="873"/>
      <c r="Y77" s="50" t="s">
        <v>106</v>
      </c>
      <c r="Z77" s="163" t="str" cm="1">
        <f t="array" aca="1" ref="Z77" ca="1">_xll.d.TestUtils_And(AS85:AS110)</f>
        <v>Error</v>
      </c>
      <c r="AP77" s="901" t="s">
        <v>685</v>
      </c>
      <c r="AQ77" s="901"/>
      <c r="AR77" s="901"/>
      <c r="AS77" s="901"/>
      <c r="AT77" s="1044"/>
      <c r="AU77" s="1044"/>
      <c r="AV77" s="1044"/>
      <c r="AW77" s="1044"/>
      <c r="AX77" s="1044"/>
      <c r="AY77" s="202"/>
      <c r="AZ77" s="203"/>
    </row>
    <row r="78" spans="2:52">
      <c r="B78" s="929">
        <v>47025</v>
      </c>
      <c r="C78" s="879"/>
      <c r="D78" s="933">
        <v>9.84430222561231E-2</v>
      </c>
      <c r="E78" s="934">
        <v>-1.3066301515926599</v>
      </c>
      <c r="F78" s="935" cm="1">
        <f t="array" aca="1" ref="F78" ca="1">_xll.d.Curve_GetForwardRates($C$16,B77,B78,"Simple")+E78/10000</f>
        <v>9.8443022256123114E-2</v>
      </c>
      <c r="G78" s="291" t="str" cm="1">
        <f t="array" aca="1" ref="G78" ca="1">_xll.d.TestUtils_Equal(D78,F78)</f>
        <v>Ok</v>
      </c>
      <c r="H78" s="930">
        <v>-245433.28836458101</v>
      </c>
      <c r="I78" s="930" cm="1">
        <f t="array" aca="1" ref="I78" ca="1">-$C$56*_xll.d.Dates_Act365(B77,B78)*F78</f>
        <v>-245433.28836458092</v>
      </c>
      <c r="J78" s="446" t="str" cm="1">
        <f t="array" aca="1" ref="J78" ca="1">_xll.d.TestUtils_Equal(H78,I78)</f>
        <v>Ok</v>
      </c>
      <c r="K78" s="930">
        <v>-245433.28836458101</v>
      </c>
      <c r="L78" s="934">
        <v>23.016971889839834</v>
      </c>
      <c r="M78" s="934" cm="1">
        <f t="array" aca="1" ref="M78" ca="1">$M$56*_xll.d.Curve_GetDiscountFactors($K$16,B78)/_xll.d.Curve_GetDiscountFactors($G$16,B78)</f>
        <v>23.020553715712257</v>
      </c>
      <c r="N78" s="932">
        <f t="shared" ca="1" si="1"/>
        <v>3.5818258724233942E-3</v>
      </c>
      <c r="Q78" s="874"/>
      <c r="R78" s="873"/>
      <c r="AP78" s="724" t="s">
        <v>688</v>
      </c>
      <c r="AY78" s="202"/>
      <c r="AZ78" s="203"/>
    </row>
    <row r="79" spans="2:52">
      <c r="B79" s="929">
        <v>47116</v>
      </c>
      <c r="C79" s="879"/>
      <c r="D79" s="933">
        <v>0.100536132711461</v>
      </c>
      <c r="E79" s="934">
        <v>-1.3066301515926599</v>
      </c>
      <c r="F79" s="935" cm="1">
        <f t="array" aca="1" ref="F79" ca="1">_xll.d.Curve_GetForwardRates($C$16,B78,B79,"Simple")+E79/10000</f>
        <v>0.10053613271146154</v>
      </c>
      <c r="G79" s="291" t="str" cm="1">
        <f t="array" aca="1" ref="G79" ca="1">_xll.d.TestUtils_Equal(D79,F79)</f>
        <v>Ok</v>
      </c>
      <c r="H79" s="930">
        <v>-250651.72812994299</v>
      </c>
      <c r="I79" s="930" cm="1">
        <f t="array" aca="1" ref="I79" ca="1">-$C$56*_xll.d.Dates_Act365(B78,B79)*F79</f>
        <v>-250651.72812994523</v>
      </c>
      <c r="J79" s="446" t="str" cm="1">
        <f t="array" aca="1" ref="J79" ca="1">_xll.d.TestUtils_Equal(H79,I79)</f>
        <v>Ok</v>
      </c>
      <c r="K79" s="930">
        <v>-250651.72812994299</v>
      </c>
      <c r="L79" s="934">
        <v>23.410419501963045</v>
      </c>
      <c r="M79" s="934" cm="1">
        <f t="array" aca="1" ref="M79" ca="1">$M$56*_xll.d.Curve_GetDiscountFactors($K$16,B79)/_xll.d.Curve_GetDiscountFactors($G$16,B79)</f>
        <v>23.414368031742956</v>
      </c>
      <c r="N79" s="932">
        <f t="shared" ca="1" si="1"/>
        <v>3.9485297799117802E-3</v>
      </c>
      <c r="Q79" s="874"/>
      <c r="R79" s="873"/>
      <c r="AP79" s="850" t="s">
        <v>689</v>
      </c>
      <c r="AY79" s="202"/>
      <c r="AZ79" s="203"/>
    </row>
    <row r="80" spans="2:52">
      <c r="B80" s="929">
        <v>47206</v>
      </c>
      <c r="C80" s="879"/>
      <c r="D80" s="933">
        <v>0.102126538084113</v>
      </c>
      <c r="E80" s="934">
        <v>-1.3066301515926599</v>
      </c>
      <c r="F80" s="935" cm="1">
        <f t="array" aca="1" ref="F80" ca="1">_xll.d.Curve_GetForwardRates($C$16,B79,B80,"Simple")+E80/10000</f>
        <v>0.10212653808411279</v>
      </c>
      <c r="G80" s="291" t="str" cm="1">
        <f t="array" aca="1" ref="G80" ca="1">_xll.d.TestUtils_Equal(D80,F80)</f>
        <v>Ok</v>
      </c>
      <c r="H80" s="930">
        <v>-251818.861029319</v>
      </c>
      <c r="I80" s="930" cm="1">
        <f t="array" aca="1" ref="I80" ca="1">-$C$56*_xll.d.Dates_Act365(B79,B80)*F80</f>
        <v>-251818.8610293192</v>
      </c>
      <c r="J80" s="446" t="str" cm="1">
        <f t="array" aca="1" ref="J80" ca="1">_xll.d.TestUtils_Equal(H80,I80)</f>
        <v>Ok</v>
      </c>
      <c r="K80" s="930">
        <v>-251818.861029319</v>
      </c>
      <c r="L80" s="934">
        <v>23.814793772397049</v>
      </c>
      <c r="M80" s="934" cm="1">
        <f t="array" aca="1" ref="M80" ca="1">$M$56*_xll.d.Curve_GetDiscountFactors($K$16,B80)/_xll.d.Curve_GetDiscountFactors($G$16,B80)</f>
        <v>23.819167982156607</v>
      </c>
      <c r="N80" s="932">
        <f t="shared" ca="1" si="1"/>
        <v>4.3742097595576013E-3</v>
      </c>
      <c r="Q80" s="874"/>
      <c r="R80" s="873"/>
      <c r="Y80" s="55" t="s">
        <v>662</v>
      </c>
      <c r="Z80" s="55"/>
      <c r="AA80" s="55"/>
      <c r="AC80" s="55" t="s">
        <v>662</v>
      </c>
      <c r="AD80" s="55"/>
      <c r="AE80" s="55"/>
      <c r="AG80" s="55" t="s">
        <v>662</v>
      </c>
      <c r="AH80" s="55"/>
      <c r="AI80" s="55"/>
      <c r="AK80" s="55" t="s">
        <v>37</v>
      </c>
      <c r="AL80" s="55"/>
      <c r="AM80" s="55"/>
      <c r="AP80" s="120" t="s">
        <v>474</v>
      </c>
      <c r="AQ80" s="120"/>
      <c r="AR80" s="773">
        <v>1E-4</v>
      </c>
      <c r="AS80" s="730"/>
      <c r="AT80" s="730"/>
      <c r="AU80" s="730"/>
      <c r="AV80" s="730"/>
      <c r="AW80" s="730"/>
      <c r="AX80" s="730"/>
      <c r="AY80" s="202"/>
      <c r="AZ80" s="203"/>
    </row>
    <row r="81" spans="2:52">
      <c r="B81" s="929">
        <v>47298</v>
      </c>
      <c r="C81" s="879"/>
      <c r="D81" s="933">
        <v>0.103319112272896</v>
      </c>
      <c r="E81" s="934">
        <v>-1.3066301515926599</v>
      </c>
      <c r="F81" s="935" cm="1">
        <f t="array" aca="1" ref="F81" ca="1">_xll.d.Curve_GetForwardRates($C$16,B80,B81,"Simple")+E81/10000</f>
        <v>0.10331911227289693</v>
      </c>
      <c r="G81" s="291" t="str" cm="1">
        <f t="array" aca="1" ref="G81" ca="1">_xll.d.TestUtils_Equal(D81,F81)</f>
        <v>Ok</v>
      </c>
      <c r="H81" s="930">
        <v>-260420.77613990201</v>
      </c>
      <c r="I81" s="930" cm="1">
        <f t="array" aca="1" ref="I81" ca="1">-$C$56*_xll.d.Dates_Act365(B80,B81)*F81</f>
        <v>-260420.77613990463</v>
      </c>
      <c r="J81" s="446" t="str" cm="1">
        <f t="array" aca="1" ref="J81" ca="1">_xll.d.TestUtils_Equal(H81,I81)</f>
        <v>Ok</v>
      </c>
      <c r="K81" s="930">
        <v>-260420.77613990201</v>
      </c>
      <c r="L81" s="934">
        <v>24.241969586046242</v>
      </c>
      <c r="M81" s="934" cm="1">
        <f t="array" aca="1" ref="M81" ca="1">$M$56*_xll.d.Curve_GetDiscountFactors($K$16,B81)/_xll.d.Curve_GetDiscountFactors($G$16,B81)</f>
        <v>24.246637092751342</v>
      </c>
      <c r="N81" s="932">
        <f t="shared" ca="1" si="1"/>
        <v>4.6675067051005215E-3</v>
      </c>
      <c r="Q81" s="874"/>
      <c r="R81" s="873"/>
      <c r="Y81" s="987" t="str" cm="1">
        <f t="array" aca="1" ref="Y81" ca="1">_xll.d.Curve_CreateFromDiscountFactors(_xll.d.Excel_GetSheetName()&amp;"_UsdOis",Y84:AA87,Y91:Y113,Z91:Z113)</f>
        <v>@@FXCurveBootstrapping_UsdOis::15:59:47</v>
      </c>
      <c r="Z81" s="522"/>
      <c r="AA81" s="988"/>
      <c r="AC81" s="987" t="str" cm="1">
        <f t="array" aca="1" ref="AC81" ca="1">_xll.d.Curve_CreateFromDiscountFactors(_xll.d.Excel_GetSheetName()&amp;"_UsdSwap",AC84:AE87,AC91:AC121,AD91:AD121)</f>
        <v>@@FXCurveBootstrapping_UsdSwap::15:59:47</v>
      </c>
      <c r="AD81" s="522"/>
      <c r="AE81" s="988"/>
      <c r="AG81" s="987" t="str" cm="1">
        <f t="array" aca="1" ref="AG81" ca="1">_xll.d.Curve_CreateFromDiscountFactors(_xll.d.Excel_GetSheetName()&amp;"_Zar",AG84:AI87,AG91:AG114,AH91:AH114)</f>
        <v>@@FXCurveBootstrapping_Zar::15:59:47</v>
      </c>
      <c r="AH81" s="522"/>
      <c r="AI81" s="988"/>
      <c r="AK81" s="990" t="str" cm="1">
        <f t="array" aca="1" ref="AK81" ca="1">_xll.d.Curve_BootstrapFxBasisAdjustedCurve("UsdZarFxBasisUsingOldValsTemplateData",AK83:AM94,,,AK97:AN111,AK115:AN128)</f>
        <v>@@UsdZarFxBasisUsingOldValsTemplateData::15:59:48</v>
      </c>
      <c r="AL81" s="991"/>
      <c r="AM81" s="992"/>
      <c r="AS81" s="730"/>
      <c r="AT81" s="730"/>
      <c r="AU81" s="730"/>
      <c r="AV81" s="730"/>
      <c r="AW81" s="730"/>
      <c r="AX81" s="730"/>
      <c r="AY81" s="202"/>
      <c r="AZ81" s="203"/>
    </row>
    <row r="82" spans="2:52">
      <c r="B82" s="929">
        <v>47389</v>
      </c>
      <c r="C82" s="879"/>
      <c r="D82" s="933">
        <v>0.10431805179244799</v>
      </c>
      <c r="E82" s="934">
        <v>-1.3066301515926599</v>
      </c>
      <c r="F82" s="935" cm="1">
        <f t="array" aca="1" ref="F82" ca="1">_xll.d.Curve_GetForwardRates($C$16,B81,B82,"Simple")+E82/10000</f>
        <v>0.10431805179244785</v>
      </c>
      <c r="G82" s="291" t="str" cm="1">
        <f t="array" aca="1" ref="G82" ca="1">_xll.d.TestUtils_Equal(D82,F82)</f>
        <v>Ok</v>
      </c>
      <c r="H82" s="930">
        <v>-260080.62227706201</v>
      </c>
      <c r="I82" s="930" cm="1">
        <f t="array" aca="1" ref="I82" ca="1">-$C$56*_xll.d.Dates_Act365(B81,B82)*F82</f>
        <v>-260080.62227706178</v>
      </c>
      <c r="J82" s="446" t="str" cm="1">
        <f t="array" aca="1" ref="J82" ca="1">_xll.d.TestUtils_Equal(H82,I82)</f>
        <v>Ok</v>
      </c>
      <c r="K82" s="930">
        <v>-260080.62227706201</v>
      </c>
      <c r="L82" s="934">
        <v>24.677823863857284</v>
      </c>
      <c r="M82" s="934" cm="1">
        <f t="array" aca="1" ref="M82" ca="1">$M$56*_xll.d.Curve_GetDiscountFactors($K$16,B82)/_xll.d.Curve_GetDiscountFactors($G$16,B82)</f>
        <v>24.682636891172152</v>
      </c>
      <c r="N82" s="932">
        <f t="shared" ca="1" si="1"/>
        <v>4.8130273148672131E-3</v>
      </c>
      <c r="Q82" s="874"/>
      <c r="R82" s="873"/>
      <c r="AA82" s="604"/>
      <c r="AE82" s="604"/>
      <c r="AI82" s="604"/>
      <c r="AY82" s="202"/>
      <c r="AZ82" s="203"/>
    </row>
    <row r="83" spans="2:52">
      <c r="B83" s="929">
        <v>47483</v>
      </c>
      <c r="C83" s="879"/>
      <c r="D83" s="933">
        <v>0.105296972766981</v>
      </c>
      <c r="E83" s="934">
        <v>-1.3066301515926599</v>
      </c>
      <c r="F83" s="935" cm="1">
        <f t="array" aca="1" ref="F83" ca="1">_xll.d.Curve_GetForwardRates($C$16,B82,B83,"Simple")+E83/10000</f>
        <v>0.1052969727669805</v>
      </c>
      <c r="G83" s="291" t="str" cm="1">
        <f t="array" aca="1" ref="G83" ca="1">_xll.d.TestUtils_Equal(D83,F83)</f>
        <v>Ok</v>
      </c>
      <c r="H83" s="930">
        <v>-271175.76548208902</v>
      </c>
      <c r="I83" s="930" cm="1">
        <f t="array" aca="1" ref="I83" ca="1">-$C$56*_xll.d.Dates_Act365(B82,B83)*F83</f>
        <v>-271175.76548208675</v>
      </c>
      <c r="J83" s="446" t="str" cm="1">
        <f t="array" aca="1" ref="J83" ca="1">_xll.d.TestUtils_Equal(H83,I83)</f>
        <v>Ok</v>
      </c>
      <c r="K83" s="930">
        <v>-271175.76548208902</v>
      </c>
      <c r="L83" s="934">
        <v>25.141844082817311</v>
      </c>
      <c r="M83" s="934" cm="1">
        <f t="array" aca="1" ref="M83" ca="1">$M$56*_xll.d.Curve_GetDiscountFactors($K$16,B83)/_xll.d.Curve_GetDiscountFactors($G$16,B83)</f>
        <v>25.146718287656991</v>
      </c>
      <c r="N83" s="932">
        <f t="shared" ca="1" si="1"/>
        <v>4.8742048396803739E-3</v>
      </c>
      <c r="Q83" s="874"/>
      <c r="R83" s="873"/>
      <c r="Y83" s="12" t="s">
        <v>707</v>
      </c>
      <c r="Z83" s="136"/>
      <c r="AA83" s="136"/>
      <c r="AC83" s="12" t="s">
        <v>709</v>
      </c>
      <c r="AD83" s="136"/>
      <c r="AE83" s="136"/>
      <c r="AF83" s="289"/>
      <c r="AG83" s="12" t="s">
        <v>710</v>
      </c>
      <c r="AH83" s="136"/>
      <c r="AI83" s="136"/>
      <c r="AK83" s="12" t="s">
        <v>47</v>
      </c>
      <c r="AL83" s="13"/>
      <c r="AM83" s="13"/>
      <c r="AP83" s="120" t="s">
        <v>31</v>
      </c>
      <c r="AQ83" s="744" t="s">
        <v>2</v>
      </c>
      <c r="AR83" s="745"/>
      <c r="AS83" s="121" t="s">
        <v>67</v>
      </c>
      <c r="AT83" s="332"/>
      <c r="AU83" s="332"/>
      <c r="AV83" s="332"/>
      <c r="AW83" s="332"/>
      <c r="AX83" s="332"/>
      <c r="AY83" s="202"/>
      <c r="AZ83" s="203"/>
    </row>
    <row r="84" spans="2:52">
      <c r="B84" s="929">
        <v>47571</v>
      </c>
      <c r="C84" s="879"/>
      <c r="D84" s="933">
        <v>0.10602518720704801</v>
      </c>
      <c r="E84" s="934">
        <v>-1.3066301515926599</v>
      </c>
      <c r="F84" s="935" cm="1">
        <f t="array" aca="1" ref="F84" ca="1">_xll.d.Curve_GetForwardRates($C$16,B83,B84,"Simple")+E84/10000</f>
        <v>0.10602518720704787</v>
      </c>
      <c r="G84" s="291" t="str" cm="1">
        <f t="array" aca="1" ref="G84" ca="1">_xll.d.TestUtils_Equal(D84,F84)</f>
        <v>Ok</v>
      </c>
      <c r="H84" s="930">
        <v>-255622.36915671799</v>
      </c>
      <c r="I84" s="930" cm="1">
        <f t="array" aca="1" ref="I84" ca="1">-$C$56*_xll.d.Dates_Act365(B83,B84)*F84</f>
        <v>-255622.3691567182</v>
      </c>
      <c r="J84" s="446" t="str" cm="1">
        <f t="array" aca="1" ref="J84" ca="1">_xll.d.TestUtils_Equal(H84,I84)</f>
        <v>Ok</v>
      </c>
      <c r="K84" s="930">
        <v>-255622.36915671799</v>
      </c>
      <c r="L84" s="934">
        <v>25.588761113787701</v>
      </c>
      <c r="M84" s="934" cm="1">
        <f t="array" aca="1" ref="M84" ca="1">$M$56*_xll.d.Curve_GetDiscountFactors($K$16,B84)/_xll.d.Curve_GetDiscountFactors($G$16,B84)</f>
        <v>25.593678200977099</v>
      </c>
      <c r="N84" s="932">
        <f t="shared" ca="1" si="1"/>
        <v>4.9170871893977619E-3</v>
      </c>
      <c r="Q84" s="874"/>
      <c r="R84" s="873"/>
      <c r="Y84" s="61" t="s">
        <v>29</v>
      </c>
      <c r="Z84" s="926" t="s">
        <v>30</v>
      </c>
      <c r="AA84" s="926"/>
      <c r="AC84" s="61" t="s">
        <v>29</v>
      </c>
      <c r="AD84" s="926" t="s">
        <v>30</v>
      </c>
      <c r="AE84" s="926"/>
      <c r="AG84" s="61" t="s">
        <v>29</v>
      </c>
      <c r="AH84" s="926" t="s">
        <v>30</v>
      </c>
      <c r="AI84" s="926"/>
      <c r="AK84" s="61" t="s">
        <v>29</v>
      </c>
      <c r="AL84" s="906" t="s">
        <v>30</v>
      </c>
      <c r="AM84" s="906"/>
      <c r="AP84" s="742"/>
      <c r="AQ84" s="738" t="s">
        <v>583</v>
      </c>
      <c r="AR84" s="44" t="s">
        <v>584</v>
      </c>
      <c r="AS84" s="743"/>
      <c r="AT84" s="1045"/>
      <c r="AU84" s="1045"/>
      <c r="AV84" s="1045"/>
      <c r="AW84" s="1045"/>
      <c r="AX84" s="1045"/>
      <c r="AY84" s="202"/>
      <c r="AZ84" s="203"/>
    </row>
    <row r="85" spans="2:52">
      <c r="B85" s="929">
        <v>47662</v>
      </c>
      <c r="C85" s="879"/>
      <c r="D85" s="933">
        <v>0.10679415523651499</v>
      </c>
      <c r="E85" s="934">
        <v>-1.3066301515926599</v>
      </c>
      <c r="F85" s="935" cm="1">
        <f t="array" aca="1" ref="F85" ca="1">_xll.d.Curve_GetForwardRates($C$16,B84,B85,"Simple")+E85/10000</f>
        <v>0.10679415523651541</v>
      </c>
      <c r="G85" s="291" t="str" cm="1">
        <f t="array" aca="1" ref="G85" ca="1">_xll.d.TestUtils_Equal(D85,F85)</f>
        <v>Ok</v>
      </c>
      <c r="H85" s="930">
        <v>-266253.92127460003</v>
      </c>
      <c r="I85" s="930" cm="1">
        <f t="array" aca="1" ref="I85" ca="1">-$C$56*_xll.d.Dates_Act365(B84,B85)*F85</f>
        <v>-266253.92127460008</v>
      </c>
      <c r="J85" s="446" t="str" cm="1">
        <f t="array" aca="1" ref="J85" ca="1">_xll.d.TestUtils_Equal(H85,I85)</f>
        <v>Ok</v>
      </c>
      <c r="K85" s="930">
        <v>-266253.92127460003</v>
      </c>
      <c r="L85" s="934">
        <v>26.063437853111168</v>
      </c>
      <c r="M85" s="934" cm="1">
        <f t="array" aca="1" ref="M85" ca="1">$M$56*_xll.d.Curve_GetDiscountFactors($K$16,B85)/_xll.d.Curve_GetDiscountFactors($G$16,B85)</f>
        <v>26.068448886374767</v>
      </c>
      <c r="N85" s="932">
        <f t="shared" ca="1" si="1"/>
        <v>5.0110332635995292E-3</v>
      </c>
      <c r="Q85" s="874"/>
      <c r="R85" s="873"/>
      <c r="Y85" s="864" t="s">
        <v>57</v>
      </c>
      <c r="Z85" s="944" t="s">
        <v>310</v>
      </c>
      <c r="AA85" s="927"/>
      <c r="AC85" s="864" t="s">
        <v>57</v>
      </c>
      <c r="AD85" s="944" t="s">
        <v>310</v>
      </c>
      <c r="AE85" s="927"/>
      <c r="AG85" s="864" t="s">
        <v>57</v>
      </c>
      <c r="AH85" s="944" t="s">
        <v>54</v>
      </c>
      <c r="AI85" s="927"/>
      <c r="AK85" s="993" t="s">
        <v>753</v>
      </c>
      <c r="AL85" s="904">
        <v>44651</v>
      </c>
      <c r="AM85" s="904"/>
      <c r="AP85" s="764">
        <v>44651</v>
      </c>
      <c r="AQ85" s="984">
        <f>EXP(-AO85)</f>
        <v>1</v>
      </c>
      <c r="AR85" s="766">
        <f t="array" aca="1" ref="AR85:AR110" ca="1">_xll.d.Curve_GetDiscountFactors(AK81,AP85:AP110)</f>
        <v>0.95399334068869812</v>
      </c>
      <c r="AS85" s="737" t="str" cm="1">
        <f t="array" aca="1" ref="AS85" ca="1">_xll.d.TestUtils_Equal(AQ85,AR85,$AR$80)</f>
        <v>Error</v>
      </c>
      <c r="AZ85" s="203"/>
    </row>
    <row r="86" spans="2:52">
      <c r="B86" s="929">
        <v>47756</v>
      </c>
      <c r="C86" s="879"/>
      <c r="D86" s="933">
        <v>0.10760383124936</v>
      </c>
      <c r="E86" s="934">
        <v>-1.3066301515926599</v>
      </c>
      <c r="F86" s="935" cm="1">
        <f t="array" aca="1" ref="F86" ca="1">_xll.d.Curve_GetForwardRates($C$16,B85,B86,"Simple")+E86/10000</f>
        <v>0.10760383124936003</v>
      </c>
      <c r="G86" s="291" t="str" cm="1">
        <f t="array" aca="1" ref="G86" ca="1">_xll.d.TestUtils_Equal(D86,F86)</f>
        <v>Ok</v>
      </c>
      <c r="H86" s="930">
        <v>-277116.716094242</v>
      </c>
      <c r="I86" s="930" cm="1">
        <f t="array" aca="1" ref="I86" ca="1">-$C$56*_xll.d.Dates_Act365(B85,B86)*F86</f>
        <v>-277116.71609424223</v>
      </c>
      <c r="J86" s="446" t="str" cm="1">
        <f t="array" aca="1" ref="J86" ca="1">_xll.d.TestUtils_Equal(H86,I86)</f>
        <v>Ok</v>
      </c>
      <c r="K86" s="930">
        <v>-277116.716094242</v>
      </c>
      <c r="L86" s="934">
        <v>26.567167201693945</v>
      </c>
      <c r="M86" s="934" cm="1">
        <f t="array" aca="1" ref="M86" ca="1">$M$56*_xll.d.Curve_GetDiscountFactors($K$16,B86)/_xll.d.Curve_GetDiscountFactors($G$16,B86)</f>
        <v>26.572329521124935</v>
      </c>
      <c r="N86" s="932">
        <f t="shared" ca="1" si="1"/>
        <v>5.1623194309904363E-3</v>
      </c>
      <c r="Q86" s="874"/>
      <c r="R86" s="873"/>
      <c r="Y86" s="986" t="s">
        <v>682</v>
      </c>
      <c r="Z86" s="945" t="s">
        <v>243</v>
      </c>
      <c r="AA86" s="928"/>
      <c r="AC86" s="986" t="s">
        <v>682</v>
      </c>
      <c r="AD86" s="945" t="s">
        <v>243</v>
      </c>
      <c r="AE86" s="928"/>
      <c r="AG86" s="986" t="s">
        <v>682</v>
      </c>
      <c r="AH86" s="945" t="s">
        <v>56</v>
      </c>
      <c r="AI86" s="928"/>
      <c r="AK86" s="986" t="s">
        <v>742</v>
      </c>
      <c r="AL86" s="1077" t="s">
        <v>698</v>
      </c>
      <c r="AM86" s="1078"/>
      <c r="AO86" s="430">
        <v>0</v>
      </c>
      <c r="AP86" s="767">
        <v>44652</v>
      </c>
      <c r="AQ86" s="748">
        <f t="shared" ref="AQ86:AQ110" si="2">EXP(-AO86)</f>
        <v>1</v>
      </c>
      <c r="AR86" s="768">
        <f ca="1"/>
        <v>0.95387283097753506</v>
      </c>
      <c r="AS86" s="737" t="str" cm="1">
        <f t="array" aca="1" ref="AS86" ca="1">_xll.d.TestUtils_Equal(AQ86,AR86,$AR$80)</f>
        <v>Error</v>
      </c>
      <c r="AT86" s="457">
        <v>5.72946351665986E-2</v>
      </c>
      <c r="AU86" s="457" t="e" cm="1">
        <f t="array" aca="1" ref="AU86" ca="1">_xll.d.Curve_GetZeroRates(AK81,AP86:AP111,"NACC")</f>
        <v>#VALUE!</v>
      </c>
      <c r="AV86" s="457" t="e">
        <f ca="1">AU86-AT86</f>
        <v>#VALUE!</v>
      </c>
      <c r="AZ86" s="203"/>
    </row>
    <row r="87" spans="2:52">
      <c r="B87" s="929">
        <v>47848</v>
      </c>
      <c r="C87" s="879"/>
      <c r="D87" s="933">
        <v>0.108382976383149</v>
      </c>
      <c r="E87" s="934">
        <v>-1.3066301515926599</v>
      </c>
      <c r="F87" s="935" cm="1">
        <f t="array" aca="1" ref="F87" ca="1">_xll.d.Curve_GetForwardRates($C$16,B86,B87,"Simple")+E87/10000</f>
        <v>0.10838297638314945</v>
      </c>
      <c r="G87" s="291" t="str" cm="1">
        <f t="array" aca="1" ref="G87" ca="1">_xll.d.TestUtils_Equal(D87,F87)</f>
        <v>Ok</v>
      </c>
      <c r="H87" s="930">
        <v>-273184.48841780098</v>
      </c>
      <c r="I87" s="930" cm="1">
        <f t="array" aca="1" ref="I87" ca="1">-$C$56*_xll.d.Dates_Act365(B86,B87)*F87</f>
        <v>-273184.48841780139</v>
      </c>
      <c r="J87" s="446" t="str" cm="1">
        <f t="array" aca="1" ref="J87" ca="1">_xll.d.TestUtils_Equal(H87,I87)</f>
        <v>Ok</v>
      </c>
      <c r="K87" s="930">
        <v>-273184.48841780098</v>
      </c>
      <c r="L87" s="934">
        <v>27.073447327814083</v>
      </c>
      <c r="M87" s="934" cm="1">
        <f t="array" aca="1" ref="M87" ca="1">$M$56*_xll.d.Curve_GetDiscountFactors($K$16,B87)/_xll.d.Curve_GetDiscountFactors($G$16,B87)</f>
        <v>27.078792283955217</v>
      </c>
      <c r="N87" s="932">
        <f t="shared" ca="1" si="1"/>
        <v>5.3449561411333946E-3</v>
      </c>
      <c r="Q87" s="874"/>
      <c r="R87" s="873"/>
      <c r="Y87" s="865" t="s">
        <v>43</v>
      </c>
      <c r="Z87" s="1075" t="s">
        <v>691</v>
      </c>
      <c r="AA87" s="1076"/>
      <c r="AC87" s="865" t="s">
        <v>43</v>
      </c>
      <c r="AD87" s="1075" t="s">
        <v>691</v>
      </c>
      <c r="AE87" s="1076"/>
      <c r="AG87" s="865" t="s">
        <v>43</v>
      </c>
      <c r="AH87" s="1075" t="s">
        <v>691</v>
      </c>
      <c r="AI87" s="1076"/>
      <c r="AK87" s="986" t="s">
        <v>743</v>
      </c>
      <c r="AL87" s="981" t="s">
        <v>24</v>
      </c>
      <c r="AM87" s="947"/>
      <c r="AO87" s="430">
        <v>4.7091480958848161E-4</v>
      </c>
      <c r="AP87" s="767">
        <v>44655</v>
      </c>
      <c r="AQ87" s="748">
        <f t="shared" si="2"/>
        <v>0.99952919605338741</v>
      </c>
      <c r="AR87" s="768">
        <f ca="1"/>
        <v>0.95351139317403877</v>
      </c>
      <c r="AS87" s="737" t="str" cm="1">
        <f t="array" aca="1" ref="AS87" ca="1">_xll.d.TestUtils_Equal(AQ87,AR87,$AR$80)</f>
        <v>Error</v>
      </c>
      <c r="AT87" s="457">
        <v>5.72946351665986E-2</v>
      </c>
      <c r="AU87" s="457"/>
      <c r="AV87" s="457">
        <f t="shared" ref="AV87:AV111" si="3">AU87-AT87</f>
        <v>-5.72946351665986E-2</v>
      </c>
      <c r="AZ87" s="203"/>
    </row>
    <row r="88" spans="2:52">
      <c r="B88" s="929">
        <v>47938</v>
      </c>
      <c r="C88" s="879"/>
      <c r="D88" s="933">
        <v>0.10919045348551699</v>
      </c>
      <c r="E88" s="934">
        <v>-1.3066301515926599</v>
      </c>
      <c r="F88" s="935" cm="1">
        <f t="array" aca="1" ref="F88" ca="1">_xll.d.Curve_GetForwardRates($C$16,B87,B88,"Simple")+E88/10000</f>
        <v>0.10919045348551651</v>
      </c>
      <c r="G88" s="291" t="str" cm="1">
        <f t="array" aca="1" ref="G88" ca="1">_xll.d.TestUtils_Equal(D88,F88)</f>
        <v>Ok</v>
      </c>
      <c r="H88" s="930">
        <v>-269236.73462182202</v>
      </c>
      <c r="I88" s="930" cm="1">
        <f t="array" aca="1" ref="I88" ca="1">-$C$56*_xll.d.Dates_Act365(B87,B88)*F88</f>
        <v>-269236.73462182155</v>
      </c>
      <c r="J88" s="446" t="str" cm="1">
        <f t="array" aca="1" ref="J88" ca="1">_xll.d.TestUtils_Equal(H88,I88)</f>
        <v>Ok</v>
      </c>
      <c r="K88" s="930">
        <v>-269236.73462182202</v>
      </c>
      <c r="L88" s="934">
        <v>27.581493358998397</v>
      </c>
      <c r="M88" s="934" cm="1">
        <f t="array" aca="1" ref="M88" ca="1">$M$56*_xll.d.Curve_GetDiscountFactors($K$16,B88)/_xll.d.Curve_GetDiscountFactors($G$16,B88)</f>
        <v>27.587028207823426</v>
      </c>
      <c r="N88" s="932">
        <f t="shared" ca="1" si="1"/>
        <v>5.5348488250288597E-3</v>
      </c>
      <c r="Q88" s="874"/>
      <c r="R88" s="873"/>
      <c r="AK88" s="986" t="s">
        <v>749</v>
      </c>
      <c r="AL88" s="946" t="str">
        <f ca="1">$Y$16</f>
        <v>@@FXCurveBootstrapping_UsdOis::15:59:47</v>
      </c>
      <c r="AM88" s="947"/>
      <c r="AO88" s="430">
        <v>6.0018507480078345E-4</v>
      </c>
      <c r="AP88" s="767">
        <v>44656</v>
      </c>
      <c r="AQ88" s="748">
        <f t="shared" si="2"/>
        <v>0.99939999500023335</v>
      </c>
      <c r="AR88" s="768">
        <f ca="1"/>
        <v>0.95339094434312854</v>
      </c>
      <c r="AS88" s="737" t="str" cm="1">
        <f t="array" aca="1" ref="AS88" ca="1">_xll.d.TestUtils_Equal(AQ88,AR88,$AR$80)</f>
        <v>Error</v>
      </c>
      <c r="AT88" s="457">
        <v>5.4766888075571486E-2</v>
      </c>
      <c r="AU88" s="457"/>
      <c r="AV88" s="457">
        <f t="shared" si="3"/>
        <v>-5.4766888075571486E-2</v>
      </c>
      <c r="AZ88" s="203"/>
    </row>
    <row r="89" spans="2:52">
      <c r="B89" s="929">
        <v>48029</v>
      </c>
      <c r="C89" s="879"/>
      <c r="D89" s="933">
        <v>0.10999728380375601</v>
      </c>
      <c r="E89" s="934">
        <v>-1.3066301515926599</v>
      </c>
      <c r="F89" s="935" cm="1">
        <f t="array" aca="1" ref="F89" ca="1">_xll.d.Curve_GetForwardRates($C$16,B88,B89,"Simple")+E89/10000</f>
        <v>0.10999728380375462</v>
      </c>
      <c r="G89" s="291" t="str" cm="1">
        <f t="array" aca="1" ref="G89" ca="1">_xll.d.TestUtils_Equal(D89,F89)</f>
        <v>Ok</v>
      </c>
      <c r="H89" s="930">
        <v>-274239.803455938</v>
      </c>
      <c r="I89" s="930" cm="1">
        <f t="array" aca="1" ref="I89" ca="1">-$C$56*_xll.d.Dates_Act365(B88,B89)*F89</f>
        <v>-274239.8034559362</v>
      </c>
      <c r="J89" s="446" t="str" cm="1">
        <f t="array" aca="1" ref="J89" ca="1">_xll.d.TestUtils_Equal(H89,I89)</f>
        <v>Ok</v>
      </c>
      <c r="K89" s="930">
        <v>-274239.803455938</v>
      </c>
      <c r="L89" s="934">
        <v>28.107644750890074</v>
      </c>
      <c r="M89" s="934" cm="1">
        <f t="array" aca="1" ref="M89" ca="1">$M$56*_xll.d.Curve_GetDiscountFactors($K$16,B89)/_xll.d.Curve_GetDiscountFactors($G$16,B89)</f>
        <v>28.113362105648271</v>
      </c>
      <c r="N89" s="932">
        <f t="shared" ca="1" si="1"/>
        <v>5.717354758196791E-3</v>
      </c>
      <c r="Q89" s="874"/>
      <c r="R89" s="873"/>
      <c r="Y89" s="120" t="s">
        <v>706</v>
      </c>
      <c r="Z89" s="121"/>
      <c r="AC89" s="120" t="s">
        <v>708</v>
      </c>
      <c r="AD89" s="121"/>
      <c r="AG89" s="120" t="s">
        <v>711</v>
      </c>
      <c r="AH89" s="121"/>
      <c r="AK89" s="986" t="s">
        <v>744</v>
      </c>
      <c r="AL89" s="946" t="str">
        <f ca="1">$AC$16</f>
        <v>@@FXCurveBootstrapping_UsdSwap::15:59:47</v>
      </c>
      <c r="AM89" s="947"/>
      <c r="AO89" s="430">
        <v>1.41298512753011E-3</v>
      </c>
      <c r="AP89" s="767">
        <v>44662</v>
      </c>
      <c r="AQ89" s="748">
        <f t="shared" si="2"/>
        <v>0.9985880126659441</v>
      </c>
      <c r="AR89" s="768">
        <f ca="1"/>
        <v>0.95259236349503651</v>
      </c>
      <c r="AS89" s="737" t="str" cm="1">
        <f t="array" aca="1" ref="AS89" ca="1">_xll.d.TestUtils_Equal(AQ89,AR89,$AR$80)</f>
        <v>Error</v>
      </c>
      <c r="AT89" s="457">
        <v>5.1573957154849019E-2</v>
      </c>
      <c r="AU89" s="457"/>
      <c r="AV89" s="457">
        <f t="shared" si="3"/>
        <v>-5.1573957154849019E-2</v>
      </c>
      <c r="AZ89" s="203"/>
    </row>
    <row r="90" spans="2:52">
      <c r="B90" s="929">
        <v>48121</v>
      </c>
      <c r="C90" s="879"/>
      <c r="D90" s="933">
        <v>0.11036981957537</v>
      </c>
      <c r="E90" s="934">
        <v>-1.3066301515926599</v>
      </c>
      <c r="F90" s="935" cm="1">
        <f t="array" aca="1" ref="F90" ca="1">_xll.d.Curve_GetForwardRates($C$16,B89,B90,"Simple")+E90/10000</f>
        <v>0.1103698195753722</v>
      </c>
      <c r="G90" s="291" t="str" cm="1">
        <f t="array" aca="1" ref="G90" ca="1">_xll.d.TestUtils_Equal(D90,F90)</f>
        <v>Ok</v>
      </c>
      <c r="H90" s="930">
        <v>-278192.42194339901</v>
      </c>
      <c r="I90" s="930" cm="1">
        <f t="array" aca="1" ref="I90" ca="1">-$C$56*_xll.d.Dates_Act365(B89,B90)*F90</f>
        <v>-278192.42194340396</v>
      </c>
      <c r="J90" s="446" t="str" cm="1">
        <f t="array" aca="1" ref="J90" ca="1">_xll.d.TestUtils_Equal(H90,I90)</f>
        <v>Ok</v>
      </c>
      <c r="K90" s="930">
        <v>-278192.42194339901</v>
      </c>
      <c r="L90" s="934">
        <v>28.649994302645634</v>
      </c>
      <c r="M90" s="934" cm="1">
        <f t="array" aca="1" ref="M90" ca="1">$M$56*_xll.d.Curve_GetDiscountFactors($K$16,B90)/_xll.d.Curve_GetDiscountFactors($G$16,B90)</f>
        <v>28.65588428503187</v>
      </c>
      <c r="N90" s="932">
        <f t="shared" ca="1" si="1"/>
        <v>5.88998238623617E-3</v>
      </c>
      <c r="Q90" s="874"/>
      <c r="R90" s="873"/>
      <c r="Y90" s="978" t="s">
        <v>0</v>
      </c>
      <c r="Z90" s="872" t="s">
        <v>2</v>
      </c>
      <c r="AC90" s="978" t="s">
        <v>0</v>
      </c>
      <c r="AD90" s="872" t="s">
        <v>2</v>
      </c>
      <c r="AG90" s="978" t="s">
        <v>0</v>
      </c>
      <c r="AH90" s="872" t="s">
        <v>2</v>
      </c>
      <c r="AK90" s="986" t="s">
        <v>745</v>
      </c>
      <c r="AL90" s="1084" t="s">
        <v>33</v>
      </c>
      <c r="AM90" s="1078"/>
      <c r="AO90" s="430">
        <v>2.5017300658228452E-3</v>
      </c>
      <c r="AP90" s="767">
        <v>44670</v>
      </c>
      <c r="AQ90" s="748">
        <f t="shared" si="2"/>
        <v>0.99750139665289272</v>
      </c>
      <c r="AR90" s="768">
        <f ca="1"/>
        <v>0.951508331229031</v>
      </c>
      <c r="AS90" s="737" t="str" cm="1">
        <f t="array" aca="1" ref="AS90" ca="1">_xll.d.TestUtils_Equal(AQ90,AR90,$AR$80)</f>
        <v>Error</v>
      </c>
      <c r="AT90" s="457">
        <v>5.0729526334741031E-2</v>
      </c>
      <c r="AU90" s="457"/>
      <c r="AV90" s="457">
        <f t="shared" si="3"/>
        <v>-5.0729526334741031E-2</v>
      </c>
      <c r="AZ90" s="203"/>
    </row>
    <row r="91" spans="2:52">
      <c r="B91" s="929">
        <v>48213</v>
      </c>
      <c r="C91" s="879"/>
      <c r="D91" s="933">
        <v>0.110127577694814</v>
      </c>
      <c r="E91" s="934">
        <v>-1.3066301515926599</v>
      </c>
      <c r="F91" s="935" cm="1">
        <f t="array" aca="1" ref="F91" ca="1">_xll.d.Curve_GetForwardRates($C$16,B90,B91,"Simple")+E91/10000</f>
        <v>0.11012757769481427</v>
      </c>
      <c r="G91" s="291" t="str" cm="1">
        <f t="array" aca="1" ref="G91" ca="1">_xll.d.TestUtils_Equal(D91,F91)</f>
        <v>Ok</v>
      </c>
      <c r="H91" s="930">
        <v>-277581.83966912102</v>
      </c>
      <c r="I91" s="930" cm="1">
        <f t="array" aca="1" ref="I91" ca="1">-$C$56*_xll.d.Dates_Act365(B90,B91)*F91</f>
        <v>-277581.83966912091</v>
      </c>
      <c r="J91" s="446" t="str" cm="1">
        <f t="array" aca="1" ref="J91" ca="1">_xll.d.TestUtils_Equal(H91,I91)</f>
        <v>Ok</v>
      </c>
      <c r="K91" s="930">
        <v>-277581.83966912102</v>
      </c>
      <c r="L91" s="934">
        <v>29.199476971657475</v>
      </c>
      <c r="M91" s="934" cm="1">
        <f t="array" aca="1" ref="M91" ca="1">$M$56*_xll.d.Curve_GetDiscountFactors($K$16,B91)/_xll.d.Curve_GetDiscountFactors($G$16,B91)</f>
        <v>29.205531159963734</v>
      </c>
      <c r="N91" s="932">
        <f t="shared" ca="1" si="1"/>
        <v>6.0541883062583679E-3</v>
      </c>
      <c r="Q91" s="874"/>
      <c r="R91" s="873"/>
      <c r="S91" s="430">
        <v>0</v>
      </c>
      <c r="T91" s="430">
        <v>0</v>
      </c>
      <c r="Y91" s="979">
        <v>44651</v>
      </c>
      <c r="Z91" s="980">
        <v>1</v>
      </c>
      <c r="AC91" s="714">
        <v>44651</v>
      </c>
      <c r="AD91" s="884">
        <v>1</v>
      </c>
      <c r="AG91" s="979">
        <v>44651</v>
      </c>
      <c r="AH91" s="980">
        <v>1</v>
      </c>
      <c r="AK91" s="986" t="s">
        <v>746</v>
      </c>
      <c r="AL91" s="1051" t="s">
        <v>24</v>
      </c>
      <c r="AM91" s="947"/>
      <c r="AO91" s="430">
        <v>3.3226176506539126E-3</v>
      </c>
      <c r="AP91" s="767">
        <v>44676</v>
      </c>
      <c r="AQ91" s="748">
        <f t="shared" si="2"/>
        <v>0.99668289613494798</v>
      </c>
      <c r="AR91" s="768">
        <f ca="1"/>
        <v>0.95069611666184672</v>
      </c>
      <c r="AS91" s="737" t="str" cm="1">
        <f t="array" aca="1" ref="AS91" ca="1">_xll.d.TestUtils_Equal(AQ91,AR91,$AR$80)</f>
        <v>Error</v>
      </c>
      <c r="AT91" s="457">
        <v>5.0531476770361593E-2</v>
      </c>
      <c r="AU91" s="457"/>
      <c r="AV91" s="457">
        <f t="shared" si="3"/>
        <v>-5.0531476770361593E-2</v>
      </c>
      <c r="AZ91" s="203"/>
    </row>
    <row r="92" spans="2:52">
      <c r="B92" s="929">
        <v>48304</v>
      </c>
      <c r="C92" s="879"/>
      <c r="D92" s="933">
        <v>0.10920837468591399</v>
      </c>
      <c r="E92" s="934">
        <v>-1.3066301515926599</v>
      </c>
      <c r="F92" s="935" cm="1">
        <f t="array" aca="1" ref="F92" ca="1">_xll.d.Curve_GetForwardRates($C$16,B91,B92,"Simple")+E92/10000</f>
        <v>0.10920837468591418</v>
      </c>
      <c r="G92" s="291" t="str" cm="1">
        <f t="array" aca="1" ref="G92" ca="1">_xll.d.TestUtils_Equal(D92,F92)</f>
        <v>Ok</v>
      </c>
      <c r="H92" s="930">
        <v>-272272.93414844398</v>
      </c>
      <c r="I92" s="930" cm="1">
        <f t="array" aca="1" ref="I92" ca="1">-$C$56*_xll.d.Dates_Act365(B91,B92)*F92</f>
        <v>-272272.93414844357</v>
      </c>
      <c r="J92" s="446" t="str" cm="1">
        <f t="array" aca="1" ref="J92" ca="1">_xll.d.TestUtils_Equal(H92,I92)</f>
        <v>Ok</v>
      </c>
      <c r="K92" s="930">
        <v>-272272.93414844398</v>
      </c>
      <c r="L92" s="934">
        <v>29.746012443954868</v>
      </c>
      <c r="M92" s="934" cm="1">
        <f t="array" aca="1" ref="M92" ca="1">$M$56*_xll.d.Curve_GetDiscountFactors($K$16,B92)/_xll.d.Curve_GetDiscountFactors($G$16,B92)</f>
        <v>29.752225041990982</v>
      </c>
      <c r="N92" s="932">
        <f t="shared" ca="1" si="1"/>
        <v>6.2125980361145139E-3</v>
      </c>
      <c r="Q92" s="874"/>
      <c r="R92" s="873"/>
      <c r="S92" s="430">
        <v>1.0958904109589041E-2</v>
      </c>
      <c r="T92" s="430">
        <v>3.6666498611934236E-5</v>
      </c>
      <c r="U92" s="430">
        <v>0.99996333417359595</v>
      </c>
      <c r="X92" s="8">
        <f>Y91+$S$92*365</f>
        <v>44655</v>
      </c>
      <c r="Y92" s="716">
        <f>$Y$91+S92*365</f>
        <v>44655</v>
      </c>
      <c r="Z92" s="885">
        <v>0.99996333417359595</v>
      </c>
      <c r="AA92" s="430">
        <v>2.7397260273972603E-3</v>
      </c>
      <c r="AC92" s="716">
        <f>$AC$91+AA92*365</f>
        <v>44652</v>
      </c>
      <c r="AD92" s="884">
        <v>0.99999091213738456</v>
      </c>
      <c r="AE92" s="430">
        <v>2.7397260273972603E-3</v>
      </c>
      <c r="AG92" s="716">
        <f>$AG$91+AE92*365</f>
        <v>44652</v>
      </c>
      <c r="AH92" s="885">
        <v>0.99988877950756305</v>
      </c>
      <c r="AK92" s="986" t="s">
        <v>747</v>
      </c>
      <c r="AL92" s="946" t="str">
        <f ca="1">$AG$16</f>
        <v>@@FXCurveBootstrapping_Zar::15:59:47</v>
      </c>
      <c r="AM92" s="947"/>
      <c r="AO92" s="430">
        <v>4.6308813722868878E-3</v>
      </c>
      <c r="AP92" s="1057">
        <v>44685</v>
      </c>
      <c r="AQ92" s="1058">
        <f t="shared" si="2"/>
        <v>0.99537982462640973</v>
      </c>
      <c r="AR92" s="1059">
        <f ca="1"/>
        <v>0.94947909458681545</v>
      </c>
      <c r="AS92" s="737" t="str" cm="1">
        <f t="array" aca="1" ref="AS92" ca="1">_xll.d.TestUtils_Equal(AQ92,AR92,$AR$80)</f>
        <v>Error</v>
      </c>
      <c r="AT92" s="457">
        <v>5.1220354572264058E-2</v>
      </c>
      <c r="AU92" s="457"/>
      <c r="AV92" s="457">
        <f t="shared" si="3"/>
        <v>-5.1220354572264058E-2</v>
      </c>
      <c r="AZ92" s="203"/>
    </row>
    <row r="93" spans="2:52">
      <c r="B93" s="929">
        <v>48395</v>
      </c>
      <c r="C93" s="879"/>
      <c r="D93" s="933">
        <v>0.10782235017127099</v>
      </c>
      <c r="E93" s="934">
        <v>-1.3066301515926599</v>
      </c>
      <c r="F93" s="935" cm="1">
        <f t="array" aca="1" ref="F93" ca="1">_xll.d.Curve_GetForwardRates($C$16,B92,B93,"Simple")+E93/10000</f>
        <v>0.10782235017127222</v>
      </c>
      <c r="G93" s="291" t="str" cm="1">
        <f t="array" aca="1" ref="G93" ca="1">_xll.d.TestUtils_Equal(D93,F93)</f>
        <v>Ok</v>
      </c>
      <c r="H93" s="930">
        <v>-268817.36618042999</v>
      </c>
      <c r="I93" s="930" cm="1">
        <f t="array" aca="1" ref="I93" ca="1">-$C$56*_xll.d.Dates_Act365(B92,B93)*F93</f>
        <v>-268817.36618043209</v>
      </c>
      <c r="J93" s="446" t="str" cm="1">
        <f t="array" aca="1" ref="J93" ca="1">_xll.d.TestUtils_Equal(H93,I93)</f>
        <v>Ok</v>
      </c>
      <c r="K93" s="930">
        <v>-268817.36618042999</v>
      </c>
      <c r="L93" s="934">
        <v>30.292403954859701</v>
      </c>
      <c r="M93" s="934" cm="1">
        <f t="array" aca="1" ref="M93" ca="1">$M$56*_xll.d.Curve_GetDiscountFactors($K$16,B93)/_xll.d.Curve_GetDiscountFactors($G$16,B93)</f>
        <v>30.298775340236435</v>
      </c>
      <c r="N93" s="932">
        <f t="shared" ca="1" si="1"/>
        <v>6.3713853767346507E-3</v>
      </c>
      <c r="Q93" s="874"/>
      <c r="R93" s="873"/>
      <c r="S93" s="430">
        <v>1.3698630136986301E-2</v>
      </c>
      <c r="T93" s="430">
        <v>4.583312326491779E-5</v>
      </c>
      <c r="U93" s="430">
        <v>0.9999541679270566</v>
      </c>
      <c r="Y93" s="716">
        <f t="shared" ref="Y93:Y113" si="4">$Y$91+S93*365</f>
        <v>44656</v>
      </c>
      <c r="Z93" s="885">
        <v>0.9999541679270566</v>
      </c>
      <c r="AA93" s="430">
        <v>9.3150684931506855E-2</v>
      </c>
      <c r="AC93" s="716">
        <f t="shared" ref="AC93:AC121" si="5">$AC$91+AA93*365</f>
        <v>44685</v>
      </c>
      <c r="AD93" s="885">
        <v>0.99957913610510507</v>
      </c>
      <c r="AE93" s="430">
        <v>9.0410958904109592E-2</v>
      </c>
      <c r="AG93" s="716">
        <f t="shared" ref="AG93:AG114" si="6">$AG$91+AE93*365</f>
        <v>44684</v>
      </c>
      <c r="AH93" s="885">
        <v>0.99616506469707111</v>
      </c>
      <c r="AK93" s="986" t="s">
        <v>748</v>
      </c>
      <c r="AL93" s="948">
        <v>14.6089</v>
      </c>
      <c r="AM93" s="947"/>
      <c r="AO93" s="430">
        <v>9.4632963903844222E-3</v>
      </c>
      <c r="AP93" s="767">
        <v>44718</v>
      </c>
      <c r="AQ93" s="748">
        <f t="shared" si="2"/>
        <v>0.99058133968645967</v>
      </c>
      <c r="AR93" s="768">
        <f ca="1"/>
        <v>0.94502999433173118</v>
      </c>
      <c r="AS93" s="737" t="str" cm="1">
        <f t="array" aca="1" ref="AS93" ca="1">_xll.d.TestUtils_Equal(AQ93,AR93,$AR$80)</f>
        <v>Error</v>
      </c>
      <c r="AT93" s="457">
        <v>5.2334896704398698E-2</v>
      </c>
      <c r="AU93" s="457"/>
      <c r="AV93" s="457">
        <f t="shared" si="3"/>
        <v>-5.2334896704398698E-2</v>
      </c>
      <c r="AZ93" s="203"/>
    </row>
    <row r="94" spans="2:52">
      <c r="B94" s="929">
        <v>48487</v>
      </c>
      <c r="C94" s="879"/>
      <c r="D94" s="933">
        <v>0.10688431637066</v>
      </c>
      <c r="E94" s="934">
        <v>-1.3066301515926599</v>
      </c>
      <c r="F94" s="935" cm="1">
        <f t="array" aca="1" ref="F94" ca="1">_xll.d.Curve_GetForwardRates($C$16,B93,B94,"Simple")+E94/10000</f>
        <v>0.10688431637066047</v>
      </c>
      <c r="G94" s="291" t="str" cm="1">
        <f t="array" aca="1" ref="G94" ca="1">_xll.d.TestUtils_Equal(D94,F94)</f>
        <v>Ok</v>
      </c>
      <c r="H94" s="930">
        <v>-269407.04400275799</v>
      </c>
      <c r="I94" s="930" cm="1">
        <f t="array" aca="1" ref="I94" ca="1">-$C$56*_xll.d.Dates_Act365(B93,B94)*F94</f>
        <v>-269407.04400276067</v>
      </c>
      <c r="J94" s="446" t="str" cm="1">
        <f t="array" aca="1" ref="J94" ca="1">_xll.d.TestUtils_Equal(H94,I94)</f>
        <v>Ok</v>
      </c>
      <c r="K94" s="930">
        <v>-269407.04400275799</v>
      </c>
      <c r="L94" s="934">
        <v>30.847524303546869</v>
      </c>
      <c r="M94" s="934" cm="1">
        <f t="array" aca="1" ref="M94" ca="1">$M$56*_xll.d.Curve_GetDiscountFactors($K$16,B94)/_xll.d.Curve_GetDiscountFactors($G$16,B94)</f>
        <v>30.854058634712992</v>
      </c>
      <c r="N94" s="932">
        <f t="shared" ca="1" si="1"/>
        <v>6.5343311661223424E-3</v>
      </c>
      <c r="Q94" s="874"/>
      <c r="R94" s="873"/>
      <c r="S94" s="430">
        <v>9.3150684931506855E-2</v>
      </c>
      <c r="T94" s="430">
        <v>3.2295398124345895E-4</v>
      </c>
      <c r="U94" s="430">
        <v>0.99967709816278005</v>
      </c>
      <c r="Y94" s="716">
        <f t="shared" si="4"/>
        <v>44685</v>
      </c>
      <c r="Z94" s="885">
        <v>0.99967709816278005</v>
      </c>
      <c r="AA94" s="430">
        <v>0.26301369863013696</v>
      </c>
      <c r="AC94" s="716">
        <f t="shared" si="5"/>
        <v>44747</v>
      </c>
      <c r="AD94" s="885">
        <v>0.9974773191912818</v>
      </c>
      <c r="AE94" s="430">
        <v>0.24931506849315069</v>
      </c>
      <c r="AG94" s="716">
        <f t="shared" si="6"/>
        <v>44742</v>
      </c>
      <c r="AH94" s="885">
        <v>0.98922967380217008</v>
      </c>
      <c r="AK94" s="142" t="s">
        <v>43</v>
      </c>
      <c r="AL94" s="1079" t="s">
        <v>691</v>
      </c>
      <c r="AM94" s="1080"/>
      <c r="AO94" s="430">
        <v>1.4010657672254444E-2</v>
      </c>
      <c r="AP94" s="767">
        <v>44747</v>
      </c>
      <c r="AQ94" s="748">
        <f t="shared" si="2"/>
        <v>0.9860870348144275</v>
      </c>
      <c r="AR94" s="768">
        <f ca="1"/>
        <v>0.94113739261179308</v>
      </c>
      <c r="AS94" s="737" t="str" cm="1">
        <f t="array" aca="1" ref="AS94" ca="1">_xll.d.TestUtils_Equal(AQ94,AR94,$AR$80)</f>
        <v>Error</v>
      </c>
      <c r="AT94" s="457">
        <v>5.3830421582872344E-2</v>
      </c>
      <c r="AU94" s="457"/>
      <c r="AV94" s="457">
        <f t="shared" si="3"/>
        <v>-5.3830421582872344E-2</v>
      </c>
      <c r="AZ94" s="203"/>
    </row>
    <row r="95" spans="2:52">
      <c r="B95" s="929">
        <v>48579</v>
      </c>
      <c r="C95" s="879"/>
      <c r="D95" s="933">
        <v>0.106677757608655</v>
      </c>
      <c r="E95" s="934">
        <v>-1.3066301515926599</v>
      </c>
      <c r="F95" s="935" cm="1">
        <f t="array" aca="1" ref="F95" ca="1">_xll.d.Curve_GetForwardRates($C$16,B94,B95,"Simple")+E95/10000</f>
        <v>0.10667775760865393</v>
      </c>
      <c r="G95" s="291" t="str" cm="1">
        <f t="array" aca="1" ref="G95" ca="1">_xll.d.TestUtils_Equal(D95,F95)</f>
        <v>Ok</v>
      </c>
      <c r="H95" s="930">
        <v>-268886.40273962298</v>
      </c>
      <c r="I95" s="930" cm="1">
        <f t="array" aca="1" ref="I95" ca="1">-$C$56*_xll.d.Dates_Act365(B94,B95)*F95</f>
        <v>-268886.40273962088</v>
      </c>
      <c r="J95" s="446" t="str" cm="1">
        <f t="array" aca="1" ref="J95" ca="1">_xll.d.TestUtils_Equal(H95,I95)</f>
        <v>Ok</v>
      </c>
      <c r="K95" s="930">
        <v>-268886.40273962298</v>
      </c>
      <c r="L95" s="934">
        <v>31.410653040406551</v>
      </c>
      <c r="M95" s="934" cm="1">
        <f t="array" aca="1" ref="M95" ca="1">$M$56*_xll.d.Curve_GetDiscountFactors($K$16,B95)/_xll.d.Curve_GetDiscountFactors($G$16,B95)</f>
        <v>31.417354395328481</v>
      </c>
      <c r="N95" s="932">
        <f t="shared" ca="1" si="1"/>
        <v>6.701354921929692E-3</v>
      </c>
      <c r="Q95" s="874"/>
      <c r="R95" s="873"/>
      <c r="S95" s="430">
        <v>0.18356164383561643</v>
      </c>
      <c r="T95" s="430">
        <v>1.0510082711459926E-3</v>
      </c>
      <c r="U95" s="430">
        <v>0.99894954384460399</v>
      </c>
      <c r="Y95" s="716">
        <f t="shared" si="4"/>
        <v>44718</v>
      </c>
      <c r="Z95" s="885">
        <v>0.99894954384460399</v>
      </c>
      <c r="AA95" s="430">
        <v>0.33972602739726027</v>
      </c>
      <c r="AC95" s="716">
        <f t="shared" si="5"/>
        <v>44775</v>
      </c>
      <c r="AD95" s="885">
        <v>0.99669994950952479</v>
      </c>
      <c r="AE95" s="430">
        <v>0.50136986301369868</v>
      </c>
      <c r="AG95" s="716">
        <f t="shared" si="6"/>
        <v>44834</v>
      </c>
      <c r="AH95" s="885">
        <v>0.97700295033516216</v>
      </c>
      <c r="AO95" s="430">
        <v>1.8662393620280569E-2</v>
      </c>
      <c r="AP95" s="767">
        <v>44777</v>
      </c>
      <c r="AQ95" s="748">
        <f t="shared" si="2"/>
        <v>0.9815106705779052</v>
      </c>
      <c r="AR95" s="768">
        <f ca="1"/>
        <v>0.93712743503162443</v>
      </c>
      <c r="AS95" s="737" t="str" cm="1">
        <f t="array" aca="1" ref="AS95" ca="1">_xll.d.TestUtils_Equal(AQ95,AR95,$AR$80)</f>
        <v>Error</v>
      </c>
      <c r="AT95" s="457">
        <v>5.4494189371219262E-2</v>
      </c>
      <c r="AU95" s="457"/>
      <c r="AV95" s="457">
        <f t="shared" si="3"/>
        <v>-5.4494189371219262E-2</v>
      </c>
      <c r="AZ95" s="203"/>
    </row>
    <row r="96" spans="2:52">
      <c r="B96" s="929">
        <v>48669</v>
      </c>
      <c r="C96" s="879"/>
      <c r="D96" s="933">
        <v>0.107269315396405</v>
      </c>
      <c r="E96" s="934">
        <v>-1.3066301515926599</v>
      </c>
      <c r="F96" s="935" cm="1">
        <f t="array" aca="1" ref="F96" ca="1">_xll.d.Curve_GetForwardRates($C$16,B95,B96,"Simple")+E96/10000</f>
        <v>0.10726931539640371</v>
      </c>
      <c r="G96" s="291" t="str" cm="1">
        <f t="array" aca="1" ref="G96" ca="1">_xll.d.TestUtils_Equal(D96,F96)</f>
        <v>Ok</v>
      </c>
      <c r="H96" s="930">
        <v>-264499.68179935397</v>
      </c>
      <c r="I96" s="930" cm="1">
        <f t="array" aca="1" ref="I96" ca="1">-$C$56*_xll.d.Dates_Act365(B95,B96)*F96</f>
        <v>-264499.68179935159</v>
      </c>
      <c r="J96" s="446" t="str" cm="1">
        <f t="array" aca="1" ref="J96" ca="1">_xll.d.TestUtils_Equal(H96,I96)</f>
        <v>Ok</v>
      </c>
      <c r="K96" s="938">
        <v>-264499.68179935397</v>
      </c>
      <c r="L96" s="939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40">
        <f t="shared" ca="1" si="1"/>
        <v>6.870665499530304E-3</v>
      </c>
      <c r="O96" s="893">
        <v>31.9753906851642</v>
      </c>
      <c r="Q96" s="874"/>
      <c r="R96" s="873"/>
      <c r="S96" s="430">
        <v>0.26301369863013696</v>
      </c>
      <c r="T96" s="430">
        <v>1.912912212195145E-3</v>
      </c>
      <c r="U96" s="430">
        <v>0.99808891623829643</v>
      </c>
      <c r="Y96" s="716">
        <f t="shared" si="4"/>
        <v>44747</v>
      </c>
      <c r="Z96" s="885">
        <v>0.99808891623829643</v>
      </c>
      <c r="AA96" s="430">
        <v>0.41917808219178082</v>
      </c>
      <c r="AC96" s="716">
        <f t="shared" si="5"/>
        <v>44804</v>
      </c>
      <c r="AD96" s="885">
        <v>0.99496919598427502</v>
      </c>
      <c r="AE96" s="430">
        <v>0.75068493150684934</v>
      </c>
      <c r="AG96" s="716">
        <f t="shared" si="6"/>
        <v>44925</v>
      </c>
      <c r="AH96" s="885">
        <v>0.9630529307538056</v>
      </c>
      <c r="AO96" s="430">
        <v>2.404895297566666E-2</v>
      </c>
      <c r="AP96" s="767">
        <v>44810</v>
      </c>
      <c r="AQ96" s="748">
        <f t="shared" si="2"/>
        <v>0.97623791883707922</v>
      </c>
      <c r="AR96" s="768">
        <f ca="1"/>
        <v>0.93273621258763795</v>
      </c>
      <c r="AS96" s="737" t="str" cm="1">
        <f t="array" aca="1" ref="AS96" ca="1">_xll.d.TestUtils_Equal(AQ96,AR96,$AR$80)</f>
        <v>Error</v>
      </c>
      <c r="AT96" s="457">
        <v>5.555612554505273E-2</v>
      </c>
      <c r="AU96" s="457"/>
      <c r="AV96" s="457">
        <f t="shared" si="3"/>
        <v>-5.555612554505273E-2</v>
      </c>
      <c r="AZ96" s="203"/>
    </row>
    <row r="97" spans="2:52">
      <c r="B97" s="929">
        <v>48760</v>
      </c>
      <c r="C97" s="879"/>
      <c r="D97" s="933">
        <v>0.108617774089257</v>
      </c>
      <c r="E97" s="934">
        <v>-1.3066301515926599</v>
      </c>
      <c r="F97" s="935" cm="1">
        <f t="array" aca="1" ref="F97" ca="1">_xll.d.Curve_GetForwardRates($C$16,B96,B97,"Simple")+E97/10000</f>
        <v>0.10861777408925705</v>
      </c>
      <c r="G97" s="291" t="str" cm="1">
        <f t="array" aca="1" ref="G97" ca="1">_xll.d.TestUtils_Equal(D97,F97)</f>
        <v>Ok</v>
      </c>
      <c r="H97" s="930">
        <v>-270800.47786636697</v>
      </c>
      <c r="I97" s="930" cm="1">
        <f t="array" aca="1" ref="I97" ca="1">-$C$56*_xll.d.Dates_Act365(B96,B97)*F97</f>
        <v>-270800.47786636691</v>
      </c>
      <c r="J97" s="446" t="str" cm="1">
        <f t="array" aca="1" ref="J97" ca="1">_xll.d.TestUtils_Equal(H97,I97)</f>
        <v>Ok</v>
      </c>
      <c r="K97" s="930">
        <v>-270800.47786636697</v>
      </c>
      <c r="L97" s="934">
        <v>32.566099783818196</v>
      </c>
      <c r="M97" s="934" cm="1">
        <f t="array" aca="1" ref="M97" ca="1">$M$56*_xll.d.Curve_GetDiscountFactors($K$16,B97)/_xll.d.Curve_GetDiscountFactors($G$16,B97)</f>
        <v>32.573149489688191</v>
      </c>
      <c r="N97" s="932">
        <f t="shared" ca="1" si="1"/>
        <v>7.0497058699956483E-3</v>
      </c>
      <c r="Q97" s="874"/>
      <c r="R97" s="873"/>
      <c r="S97" s="430">
        <v>0.34520547945205476</v>
      </c>
      <c r="T97" s="430">
        <v>2.991662854138699E-3</v>
      </c>
      <c r="U97" s="430">
        <v>0.9970128077099264</v>
      </c>
      <c r="Y97" s="716">
        <f t="shared" si="4"/>
        <v>44777</v>
      </c>
      <c r="Z97" s="885">
        <v>0.9970128077099264</v>
      </c>
      <c r="AA97" s="430">
        <v>0.50136986301369868</v>
      </c>
      <c r="AC97" s="716">
        <f t="shared" si="5"/>
        <v>44834</v>
      </c>
      <c r="AD97" s="885">
        <v>0.99347482445203428</v>
      </c>
      <c r="AE97" s="430">
        <v>1.0082191780821919</v>
      </c>
      <c r="AG97" s="716">
        <f t="shared" si="6"/>
        <v>45019</v>
      </c>
      <c r="AH97" s="885">
        <v>0.9478402520148993</v>
      </c>
      <c r="AK97" s="12" t="s">
        <v>764</v>
      </c>
      <c r="AL97" s="27"/>
      <c r="AM97" s="27"/>
      <c r="AN97" s="13"/>
      <c r="AO97" s="430">
        <v>2.872497815799362E-2</v>
      </c>
      <c r="AP97" s="767">
        <v>44838</v>
      </c>
      <c r="AQ97" s="748">
        <f t="shared" si="2"/>
        <v>0.97168366195290601</v>
      </c>
      <c r="AR97" s="768">
        <f ca="1"/>
        <v>0.92902646693665381</v>
      </c>
      <c r="AS97" s="737" t="str" cm="1">
        <f t="array" aca="1" ref="AS97" ca="1">_xll.d.TestUtils_Equal(AQ97,AR97,$AR$80)</f>
        <v>Error</v>
      </c>
      <c r="AT97" s="457">
        <v>5.6368908750901454E-2</v>
      </c>
      <c r="AU97" s="457"/>
      <c r="AV97" s="457">
        <f t="shared" si="3"/>
        <v>-5.6368908750901454E-2</v>
      </c>
      <c r="AZ97" s="203"/>
    </row>
    <row r="98" spans="2:52">
      <c r="B98" s="929">
        <v>48852</v>
      </c>
      <c r="C98" s="879"/>
      <c r="D98" s="933">
        <v>0.109963643040318</v>
      </c>
      <c r="E98" s="934">
        <v>-1.3066301515926599</v>
      </c>
      <c r="F98" s="935" cm="1">
        <f t="array" aca="1" ref="F98" ca="1">_xll.d.Curve_GetForwardRates($C$16,B97,B98,"Simple")+E98/10000</f>
        <v>0.10996364304031664</v>
      </c>
      <c r="G98" s="291" t="str" cm="1">
        <f t="array" aca="1" ref="G98" ca="1">_xll.d.TestUtils_Equal(D98,F98)</f>
        <v>Ok</v>
      </c>
      <c r="H98" s="930">
        <v>-277168.63451258099</v>
      </c>
      <c r="I98" s="930" cm="1">
        <f t="array" aca="1" ref="I98" ca="1">-$C$56*_xll.d.Dates_Act365(B97,B98)*F98</f>
        <v>-277168.63451257895</v>
      </c>
      <c r="J98" s="446" t="str" cm="1">
        <f t="array" aca="1" ref="J98" ca="1">_xll.d.TestUtils_Equal(H98,I98)</f>
        <v>Ok</v>
      </c>
      <c r="K98" s="930">
        <v>-277168.63451258099</v>
      </c>
      <c r="L98" s="934">
        <v>33.184031945225541</v>
      </c>
      <c r="M98" s="934" cm="1">
        <f t="array" aca="1" ref="M98" ca="1">$M$56*_xll.d.Curve_GetDiscountFactors($K$16,B98)/_xll.d.Curve_GetDiscountFactors($G$16,B98)</f>
        <v>33.191270803788093</v>
      </c>
      <c r="N98" s="932">
        <f t="shared" ca="1" si="1"/>
        <v>7.2388585625517976E-3</v>
      </c>
      <c r="Q98" s="874"/>
      <c r="R98" s="873"/>
      <c r="S98" s="430">
        <v>0.43561643835616437</v>
      </c>
      <c r="T98" s="430">
        <v>4.4467645930997288E-3</v>
      </c>
      <c r="U98" s="430">
        <v>0.99556310762600775</v>
      </c>
      <c r="Y98" s="716">
        <f t="shared" si="4"/>
        <v>44810</v>
      </c>
      <c r="Z98" s="885">
        <v>0.99556310762600775</v>
      </c>
      <c r="AA98" s="430">
        <v>0.58904109589041098</v>
      </c>
      <c r="AC98" s="716">
        <f t="shared" si="5"/>
        <v>44866</v>
      </c>
      <c r="AD98" s="885">
        <v>0.99204676359774979</v>
      </c>
      <c r="AE98" s="430">
        <v>1.2493150684931507</v>
      </c>
      <c r="AG98" s="716">
        <f t="shared" si="6"/>
        <v>45107</v>
      </c>
      <c r="AH98" s="885">
        <v>0.93299308198998976</v>
      </c>
      <c r="AK98" s="61" t="s">
        <v>35</v>
      </c>
      <c r="AL98" s="495" t="s">
        <v>840</v>
      </c>
      <c r="AM98" s="949" t="s">
        <v>841</v>
      </c>
      <c r="AN98" s="63" t="s">
        <v>42</v>
      </c>
      <c r="AO98" s="430">
        <v>4.4403647276508078E-2</v>
      </c>
      <c r="AP98" s="767">
        <v>44930</v>
      </c>
      <c r="AQ98" s="748">
        <f t="shared" si="2"/>
        <v>0.9565677635626727</v>
      </c>
      <c r="AR98" s="768">
        <f ca="1"/>
        <v>0.91694087315919726</v>
      </c>
      <c r="AS98" s="737" t="str" cm="1">
        <f t="array" aca="1" ref="AS98" ca="1">_xll.d.TestUtils_Equal(AQ98,AR98,$AR$80)</f>
        <v>Error</v>
      </c>
      <c r="AT98" s="457">
        <v>5.8299752719156293E-2</v>
      </c>
      <c r="AU98" s="457"/>
      <c r="AV98" s="457">
        <f t="shared" si="3"/>
        <v>-5.8299752719156293E-2</v>
      </c>
      <c r="AZ98" s="203"/>
    </row>
    <row r="99" spans="2:52">
      <c r="B99" s="929">
        <v>48943</v>
      </c>
      <c r="C99" s="879"/>
      <c r="D99" s="933">
        <v>0.111046637464129</v>
      </c>
      <c r="E99" s="934">
        <v>-1.3066301515926599</v>
      </c>
      <c r="F99" s="935" cm="1">
        <f t="array" aca="1" ref="F99" ca="1">_xll.d.Curve_GetForwardRates($C$16,B98,B99,"Simple")+E99/10000</f>
        <v>0.11104663746412834</v>
      </c>
      <c r="G99" s="291" t="str" cm="1">
        <f t="array" aca="1" ref="G99" ca="1">_xll.d.TestUtils_Equal(D99,F99)</f>
        <v>Ok</v>
      </c>
      <c r="H99" s="930">
        <v>-276856.00025303499</v>
      </c>
      <c r="I99" s="930" cm="1">
        <f t="array" aca="1" ref="I99" ca="1">-$C$56*_xll.d.Dates_Act365(B98,B99)*F99</f>
        <v>-276856.00025303231</v>
      </c>
      <c r="J99" s="446" t="str" cm="1">
        <f t="array" aca="1" ref="J99" ca="1">_xll.d.TestUtils_Equal(H99,I99)</f>
        <v>Ok</v>
      </c>
      <c r="K99" s="930">
        <v>-276856.00025303499</v>
      </c>
      <c r="L99" s="934">
        <v>33.814723403525171</v>
      </c>
      <c r="M99" s="934" cm="1">
        <f t="array" aca="1" ref="M99" ca="1">$M$56*_xll.d.Curve_GetDiscountFactors($K$16,B99)/_xll.d.Curve_GetDiscountFactors($G$16,B99)</f>
        <v>33.822156926896064</v>
      </c>
      <c r="N99" s="932">
        <f t="shared" ca="1" si="1"/>
        <v>7.4335233708922033E-3</v>
      </c>
      <c r="Q99" s="874"/>
      <c r="R99" s="873"/>
      <c r="S99" s="430">
        <v>0.51232876712328779</v>
      </c>
      <c r="T99" s="430">
        <v>5.7909489672118954E-3</v>
      </c>
      <c r="U99" s="430">
        <v>0.99422578625789704</v>
      </c>
      <c r="Y99" s="716">
        <f t="shared" si="4"/>
        <v>44838</v>
      </c>
      <c r="Z99" s="885">
        <v>0.99422578625789704</v>
      </c>
      <c r="AA99" s="430">
        <v>0.66849315068493154</v>
      </c>
      <c r="AC99" s="716">
        <f t="shared" si="5"/>
        <v>44895</v>
      </c>
      <c r="AD99" s="885">
        <v>0.98976495760349958</v>
      </c>
      <c r="AE99" s="430">
        <v>1.4986301369863013</v>
      </c>
      <c r="AG99" s="716">
        <f t="shared" si="6"/>
        <v>45198</v>
      </c>
      <c r="AH99" s="885">
        <v>0.91755181615747305</v>
      </c>
      <c r="AI99" s="430">
        <v>14.665044</v>
      </c>
      <c r="AJ99" s="881">
        <f>AI99-$AL$93</f>
        <v>5.614399999999975E-2</v>
      </c>
      <c r="AK99" s="994" t="s">
        <v>52</v>
      </c>
      <c r="AL99" s="1007">
        <f>(AI117-AI116)</f>
        <v>1.6730000000002576E-3</v>
      </c>
      <c r="AM99" s="950">
        <v>2</v>
      </c>
      <c r="AN99" s="247" t="b">
        <v>1</v>
      </c>
      <c r="AO99" s="1047">
        <v>6.042714131529886E-2</v>
      </c>
      <c r="AP99" s="767">
        <v>45020</v>
      </c>
      <c r="AQ99" s="748">
        <f t="shared" si="2"/>
        <v>0.9413623529427706</v>
      </c>
      <c r="AR99" s="768">
        <f ca="1"/>
        <v>0.90527015451853865</v>
      </c>
      <c r="AS99" s="737" t="str" cm="1">
        <f t="array" aca="1" ref="AS99" ca="1">_xll.d.TestUtils_Equal(AQ99,AR99,$AR$80)</f>
        <v>Error</v>
      </c>
      <c r="AT99" s="457">
        <v>5.9934528750228484E-2</v>
      </c>
      <c r="AU99" s="457"/>
      <c r="AV99" s="457">
        <f t="shared" si="3"/>
        <v>-5.9934528750228484E-2</v>
      </c>
      <c r="AZ99" s="203"/>
    </row>
    <row r="100" spans="2:52">
      <c r="B100" s="929">
        <v>49034</v>
      </c>
      <c r="C100" s="879"/>
      <c r="D100" s="933">
        <v>0.11188292615923701</v>
      </c>
      <c r="E100" s="934">
        <v>-1.3066301515926599</v>
      </c>
      <c r="F100" s="935" cm="1">
        <f t="array" aca="1" ref="F100" ca="1">_xll.d.Curve_GetForwardRates($C$16,B99,B100,"Simple")+E100/10000</f>
        <v>0.11188292615923909</v>
      </c>
      <c r="G100" s="291" t="str" cm="1">
        <f t="array" aca="1" ref="G100" ca="1">_xll.d.TestUtils_Equal(D100,F100)</f>
        <v>Ok</v>
      </c>
      <c r="H100" s="930">
        <v>-278940.99398604402</v>
      </c>
      <c r="I100" s="930" cm="1">
        <f t="array" aca="1" ref="I100" ca="1">-$C$56*_xll.d.Dates_Act365(B99,B100)*F100</f>
        <v>-278940.99398604815</v>
      </c>
      <c r="J100" s="446" t="str" cm="1">
        <f t="array" aca="1" ref="J100" ca="1">_xll.d.TestUtils_Equal(H100,I100)</f>
        <v>Ok</v>
      </c>
      <c r="K100" s="930">
        <v>-278940.99398604402</v>
      </c>
      <c r="L100" s="934">
        <v>34.463423907015134</v>
      </c>
      <c r="M100" s="934" cm="1">
        <f t="array" aca="1" ref="M100" ca="1">$M$56*_xll.d.Curve_GetDiscountFactors($K$16,B100)/_xll.d.Curve_GetDiscountFactors($G$16,B100)</f>
        <v>34.471058954160064</v>
      </c>
      <c r="N100" s="932">
        <f t="shared" ca="1" si="1"/>
        <v>7.6350471449302404E-3</v>
      </c>
      <c r="Q100" s="874"/>
      <c r="R100" s="873"/>
      <c r="S100" s="430">
        <v>0.76438356164383559</v>
      </c>
      <c r="T100" s="430">
        <v>1.1237039252526065E-2</v>
      </c>
      <c r="U100" s="430">
        <v>0.9888258604504544</v>
      </c>
      <c r="Y100" s="716">
        <f t="shared" si="4"/>
        <v>44930</v>
      </c>
      <c r="Z100" s="885">
        <v>0.9888258604504544</v>
      </c>
      <c r="AA100" s="430">
        <v>0.75068493150684934</v>
      </c>
      <c r="AC100" s="716">
        <f t="shared" si="5"/>
        <v>44925</v>
      </c>
      <c r="AD100" s="885">
        <v>0.9878139038333773</v>
      </c>
      <c r="AE100" s="430">
        <v>1.7589041095890412</v>
      </c>
      <c r="AG100" s="716">
        <f t="shared" si="6"/>
        <v>45293</v>
      </c>
      <c r="AH100" s="885">
        <v>0.90144053069472641</v>
      </c>
      <c r="AI100" s="430">
        <v>14.725020000000001</v>
      </c>
      <c r="AJ100" s="881">
        <f t="shared" ref="AJ100:AJ106" si="7">AI100-$AL$93</f>
        <v>0.11612000000000045</v>
      </c>
      <c r="AK100" s="982" t="s">
        <v>845</v>
      </c>
      <c r="AL100" s="1008">
        <v>0</v>
      </c>
      <c r="AM100" s="951">
        <v>2</v>
      </c>
      <c r="AN100" s="249" t="b">
        <v>1</v>
      </c>
      <c r="AO100" s="430">
        <v>0.12509598964037144</v>
      </c>
      <c r="AP100" s="767">
        <v>45384</v>
      </c>
      <c r="AQ100" s="748">
        <f t="shared" si="2"/>
        <v>0.88241219608982546</v>
      </c>
      <c r="AR100" s="768">
        <f ca="1"/>
        <v>0.85243350176084642</v>
      </c>
      <c r="AS100" s="737" t="str" cm="1">
        <f t="array" aca="1" ref="AS100" ca="1">_xll.d.TestUtils_Equal(AQ100,AR100,$AR$80)</f>
        <v>Error</v>
      </c>
      <c r="AT100" s="457">
        <v>6.2377098659474828E-2</v>
      </c>
      <c r="AU100" s="457"/>
      <c r="AV100" s="457">
        <f t="shared" si="3"/>
        <v>-6.2377098659474828E-2</v>
      </c>
      <c r="AZ100" s="203"/>
    </row>
    <row r="101" spans="2:52">
      <c r="B101" s="929">
        <v>49125</v>
      </c>
      <c r="C101" s="879"/>
      <c r="D101" s="933">
        <v>0.112432032365107</v>
      </c>
      <c r="E101" s="934">
        <v>-1.3066301515926599</v>
      </c>
      <c r="F101" s="935" cm="1">
        <f t="array" aca="1" ref="F101" ca="1">_xll.d.Curve_GetForwardRates($C$16,B100,B101,"Simple")+E101/10000</f>
        <v>0.11243203236510656</v>
      </c>
      <c r="G101" s="291" t="str" cm="1">
        <f t="array" aca="1" ref="G101" ca="1">_xll.d.TestUtils_Equal(D101,F101)</f>
        <v>Ok</v>
      </c>
      <c r="H101" s="930">
        <v>-280309.998499309</v>
      </c>
      <c r="I101" s="930" cm="1">
        <f t="array" aca="1" ref="I101" ca="1">-$C$56*_xll.d.Dates_Act365(B100,B101)*F101</f>
        <v>-280309.99849930673</v>
      </c>
      <c r="J101" s="446" t="str" cm="1">
        <f t="array" aca="1" ref="J101" ca="1">_xll.d.TestUtils_Equal(H101,I101)</f>
        <v>Ok</v>
      </c>
      <c r="K101" s="930">
        <v>-280309.998499309</v>
      </c>
      <c r="L101" s="934">
        <v>35.128389716353638</v>
      </c>
      <c r="M101" s="934" cm="1">
        <f t="array" aca="1" ref="M101" ca="1">$M$56*_xll.d.Curve_GetDiscountFactors($K$16,B101)/_xll.d.Curve_GetDiscountFactors($G$16,B101)</f>
        <v>35.136232266203308</v>
      </c>
      <c r="N101" s="932">
        <f t="shared" ca="1" si="1"/>
        <v>7.842549849669922E-3</v>
      </c>
      <c r="Q101" s="874"/>
      <c r="R101" s="873"/>
      <c r="S101" s="430">
        <v>1.010958904109589</v>
      </c>
      <c r="T101" s="430">
        <v>1.7588851715874858E-2</v>
      </c>
      <c r="U101" s="430">
        <v>0.98256492920654781</v>
      </c>
      <c r="Y101" s="716">
        <f t="shared" si="4"/>
        <v>45020</v>
      </c>
      <c r="Z101" s="885">
        <v>0.98256492920654781</v>
      </c>
      <c r="AA101" s="430">
        <v>0.83835616438356164</v>
      </c>
      <c r="AC101" s="716">
        <f t="shared" si="5"/>
        <v>44957</v>
      </c>
      <c r="AD101" s="885">
        <v>0.98591700151786266</v>
      </c>
      <c r="AE101" s="430">
        <v>2.0082191780821916</v>
      </c>
      <c r="AG101" s="716">
        <f t="shared" si="6"/>
        <v>45384</v>
      </c>
      <c r="AH101" s="885">
        <v>0.88604352179376744</v>
      </c>
      <c r="AI101" s="430">
        <v>14.779112</v>
      </c>
      <c r="AJ101" s="881">
        <f t="shared" si="7"/>
        <v>0.17021199999999936</v>
      </c>
      <c r="AK101" s="982" t="s">
        <v>652</v>
      </c>
      <c r="AL101" s="1008">
        <f>AI120-$AL$93</f>
        <v>1.2790999999999997E-2</v>
      </c>
      <c r="AM101" s="951">
        <v>2</v>
      </c>
      <c r="AN101" s="249" t="b">
        <v>1</v>
      </c>
      <c r="AO101" s="430">
        <v>0.18933408663741844</v>
      </c>
      <c r="AP101" s="767">
        <v>45748</v>
      </c>
      <c r="AQ101" s="748">
        <f t="shared" si="2"/>
        <v>0.82751000047529999</v>
      </c>
      <c r="AR101" s="768">
        <f ca="1"/>
        <v>0.7946889331888306</v>
      </c>
      <c r="AS101" s="737" t="str" cm="1">
        <f t="array" aca="1" ref="AS101" ca="1">_xll.d.TestUtils_Equal(AQ101,AR101,$AR$80)</f>
        <v>Error</v>
      </c>
      <c r="AT101" s="457">
        <v>6.3053778852789899E-2</v>
      </c>
      <c r="AU101" s="457"/>
      <c r="AV101" s="457">
        <f t="shared" si="3"/>
        <v>-6.3053778852789899E-2</v>
      </c>
      <c r="AZ101" s="203"/>
    </row>
    <row r="102" spans="2:52">
      <c r="B102" s="929">
        <v>49216</v>
      </c>
      <c r="C102" s="879"/>
      <c r="D102" s="933">
        <v>0.112660419539217</v>
      </c>
      <c r="E102" s="934">
        <v>-1.3066301515926599</v>
      </c>
      <c r="F102" s="935" cm="1">
        <f t="array" aca="1" ref="F102" ca="1">_xll.d.Curve_GetForwardRates($C$16,B101,B102,"Simple")+E102/10000</f>
        <v>0.11266041953921527</v>
      </c>
      <c r="G102" s="291" t="str" cm="1">
        <f t="array" aca="1" ref="G102" ca="1">_xll.d.TestUtils_Equal(D102,F102)</f>
        <v>Ok</v>
      </c>
      <c r="H102" s="930">
        <v>-280879.40213886998</v>
      </c>
      <c r="I102" s="930" cm="1">
        <f t="array" aca="1" ref="I102" ca="1">-$C$56*_xll.d.Dates_Act365(B101,B102)*F102</f>
        <v>-280879.40213886544</v>
      </c>
      <c r="J102" s="446" t="str" cm="1">
        <f t="array" aca="1" ref="J102" ca="1">_xll.d.TestUtils_Equal(H102,I102)</f>
        <v>Ok</v>
      </c>
      <c r="K102" s="930">
        <v>-280879.40213886998</v>
      </c>
      <c r="L102" s="934">
        <v>35.807432275510955</v>
      </c>
      <c r="M102" s="934" cm="1">
        <f t="array" aca="1" ref="M102" ca="1">$M$56*_xll.d.Curve_GetDiscountFactors($K$16,B102)/_xll.d.Curve_GetDiscountFactors($G$16,B102)</f>
        <v>35.815487177362833</v>
      </c>
      <c r="N102" s="932">
        <f t="shared" ca="1" si="1"/>
        <v>8.0549018518780713E-3</v>
      </c>
      <c r="Q102" s="874"/>
      <c r="R102" s="873"/>
      <c r="S102" s="430">
        <v>1.5123287671232877</v>
      </c>
      <c r="T102" s="430">
        <v>3.1866687191356019E-2</v>
      </c>
      <c r="U102" s="430">
        <v>0.96863570501852436</v>
      </c>
      <c r="Y102" s="716">
        <f t="shared" si="4"/>
        <v>45203</v>
      </c>
      <c r="Z102" s="885">
        <v>0.96863570501852436</v>
      </c>
      <c r="AA102" s="430">
        <v>0.91506849315068495</v>
      </c>
      <c r="AC102" s="716">
        <f t="shared" si="5"/>
        <v>44985</v>
      </c>
      <c r="AD102" s="885">
        <v>0.98337330056715566</v>
      </c>
      <c r="AE102" s="430">
        <v>3.0027397260273974</v>
      </c>
      <c r="AG102" s="716">
        <f t="shared" si="6"/>
        <v>45747</v>
      </c>
      <c r="AH102" s="885">
        <v>0.82531707866202242</v>
      </c>
      <c r="AI102" s="430">
        <v>14.83165</v>
      </c>
      <c r="AJ102" s="881">
        <f t="shared" si="7"/>
        <v>0.22274999999999956</v>
      </c>
      <c r="AK102" s="982" t="s">
        <v>606</v>
      </c>
      <c r="AL102" s="1008">
        <f>AI121-$AL$93</f>
        <v>2.7599999999999625E-2</v>
      </c>
      <c r="AM102" s="951">
        <v>2</v>
      </c>
      <c r="AN102" s="249" t="b">
        <v>1</v>
      </c>
      <c r="AO102" s="430">
        <v>0.26038942817777749</v>
      </c>
      <c r="AP102" s="767">
        <v>46113</v>
      </c>
      <c r="AQ102" s="748">
        <f t="shared" si="2"/>
        <v>0.77075137504859204</v>
      </c>
      <c r="AR102" s="768">
        <f ca="1"/>
        <v>0.73347556392918001</v>
      </c>
      <c r="AS102" s="737" t="str" cm="1">
        <f t="array" aca="1" ref="AS102" ca="1">_xll.d.TestUtils_Equal(AQ102,AR102,$AR$80)</f>
        <v>Error</v>
      </c>
      <c r="AT102" s="457">
        <v>6.5052800331888289E-2</v>
      </c>
      <c r="AU102" s="457"/>
      <c r="AV102" s="457">
        <f t="shared" si="3"/>
        <v>-6.5052800331888289E-2</v>
      </c>
      <c r="AZ102" s="203"/>
    </row>
    <row r="103" spans="2:52">
      <c r="B103" s="929">
        <v>49307</v>
      </c>
      <c r="C103" s="879"/>
      <c r="D103" s="941">
        <v>0.112531968219763</v>
      </c>
      <c r="E103" s="934">
        <v>-1.3066301515926599</v>
      </c>
      <c r="F103" s="942" cm="1">
        <f t="array" aca="1" ref="F103" ca="1">_xll.d.Curve_GetForwardRates($C$16,B102,B103,"Simple")+E103/10000</f>
        <v>0.11253196821976262</v>
      </c>
      <c r="G103" s="291" t="str" cm="1">
        <f t="array" aca="1" ref="G103" ca="1">_xll.d.TestUtils_Equal(D103,F103)</f>
        <v>Ok</v>
      </c>
      <c r="H103" s="930">
        <v>-280559.15364379197</v>
      </c>
      <c r="I103" s="930" cm="1">
        <f t="array" aca="1" ref="I103" ca="1">-$C$56*_xll.d.Dates_Act365(B102,B103)*F103</f>
        <v>-280559.15364379174</v>
      </c>
      <c r="J103" s="446" t="str" cm="1">
        <f t="array" aca="1" ref="J103" ca="1">_xll.d.TestUtils_Equal(H103,I103)</f>
        <v>Ok</v>
      </c>
      <c r="K103" s="930">
        <v>-280559.15364379197</v>
      </c>
      <c r="L103" s="934">
        <v>36.497857628159117</v>
      </c>
      <c r="M103" s="934" cm="1">
        <f t="array" aca="1" ref="M103" ca="1">$M$56*_xll.d.Curve_GetDiscountFactors($K$16,B103)/_xll.d.Curve_GetDiscountFactors($G$16,B103)</f>
        <v>36.506128314919714</v>
      </c>
      <c r="N103" s="932">
        <f t="shared" ca="1" si="1"/>
        <v>8.2706867605963907E-3</v>
      </c>
      <c r="Q103" s="874"/>
      <c r="R103" s="873"/>
      <c r="S103" s="430">
        <v>2.0136986301369864</v>
      </c>
      <c r="T103" s="430">
        <v>4.6593851158359199E-2</v>
      </c>
      <c r="U103" s="430">
        <v>0.95447497778402202</v>
      </c>
      <c r="Y103" s="716">
        <f t="shared" si="4"/>
        <v>45386</v>
      </c>
      <c r="Z103" s="885">
        <v>0.95447497778402202</v>
      </c>
      <c r="AA103" s="430">
        <v>1.0082191780821919</v>
      </c>
      <c r="AC103" s="716">
        <f t="shared" si="5"/>
        <v>45019</v>
      </c>
      <c r="AD103" s="885">
        <v>0.98088883775516589</v>
      </c>
      <c r="AE103" s="430">
        <v>4.0027397260273974</v>
      </c>
      <c r="AG103" s="716">
        <f t="shared" si="6"/>
        <v>46112</v>
      </c>
      <c r="AH103" s="885">
        <v>0.76474492797167737</v>
      </c>
      <c r="AI103" s="430">
        <v>14.889900000000001</v>
      </c>
      <c r="AJ103" s="881">
        <f t="shared" si="7"/>
        <v>0.28100000000000058</v>
      </c>
      <c r="AK103" s="982" t="s">
        <v>607</v>
      </c>
      <c r="AL103" s="1008">
        <f>AI122-$AL$93</f>
        <v>3.8779999999999148E-2</v>
      </c>
      <c r="AM103" s="951">
        <v>2</v>
      </c>
      <c r="AN103" s="249" t="b">
        <v>1</v>
      </c>
      <c r="AO103" s="430">
        <v>0.33689905316132029</v>
      </c>
      <c r="AP103" s="767">
        <v>46478</v>
      </c>
      <c r="AQ103" s="748">
        <f t="shared" si="2"/>
        <v>0.71398091038079603</v>
      </c>
      <c r="AR103" s="768">
        <f ca="1"/>
        <v>0.67252369319679406</v>
      </c>
      <c r="AS103" s="737" t="str" cm="1">
        <f t="array" aca="1" ref="AS103" ca="1">_xll.d.TestUtils_Equal(AQ103,AR103,$AR$80)</f>
        <v>Error</v>
      </c>
      <c r="AT103" s="457">
        <v>6.73429104073833E-2</v>
      </c>
      <c r="AU103" s="457"/>
      <c r="AV103" s="457">
        <f t="shared" si="3"/>
        <v>-6.73429104073833E-2</v>
      </c>
      <c r="AZ103" s="203"/>
    </row>
    <row r="104" spans="2:52">
      <c r="B104" s="929">
        <v>49398</v>
      </c>
      <c r="C104" s="930">
        <v>-10000000</v>
      </c>
      <c r="D104" s="933">
        <v>0.11200812610859601</v>
      </c>
      <c r="E104" s="934">
        <v>-1.3066301515926599</v>
      </c>
      <c r="F104" s="935" cm="1">
        <f t="array" aca="1" ref="F104" ca="1">_xll.d.Curve_GetForwardRates($C$16,B103,B104,"Simple")+E104/10000</f>
        <v>0.11200812610859552</v>
      </c>
      <c r="G104" s="291" t="str" cm="1">
        <f t="array" aca="1" ref="G104" ca="1">_xll.d.TestUtils_Equal(D104,F104)</f>
        <v>Ok</v>
      </c>
      <c r="H104" s="930">
        <v>-279253.13632554002</v>
      </c>
      <c r="I104" s="930" cm="1">
        <f t="array" aca="1" ref="I104" ca="1">-$C$56*_xll.d.Dates_Act365(B103,B104)*F104</f>
        <v>-279253.1363255395</v>
      </c>
      <c r="J104" s="446" t="str" cm="1">
        <f t="array" aca="1" ref="J104" ca="1">_xll.d.TestUtils_Equal(H104,I104)</f>
        <v>Ok</v>
      </c>
      <c r="K104" s="930">
        <v>-10279253.136325501</v>
      </c>
      <c r="L104" s="934">
        <v>37.196404259593756</v>
      </c>
      <c r="M104" s="934" cm="1">
        <f t="array" aca="1" ref="M104" ca="1">$M$56*_xll.d.Curve_GetDiscountFactors($K$16,B104)/_xll.d.Curve_GetDiscountFactors($G$16,B104)</f>
        <v>37.204892423434622</v>
      </c>
      <c r="N104" s="932">
        <f t="shared" ca="1" si="1"/>
        <v>8.4881638408660365E-3</v>
      </c>
      <c r="Q104" s="874"/>
      <c r="R104" s="873"/>
      <c r="S104" s="430">
        <v>3.0136986301369864</v>
      </c>
      <c r="T104" s="430">
        <v>7.0941208334511965E-2</v>
      </c>
      <c r="U104" s="430">
        <v>0.93151665593338084</v>
      </c>
      <c r="Y104" s="716">
        <f t="shared" si="4"/>
        <v>45751</v>
      </c>
      <c r="Z104" s="885">
        <v>0.93151665593338084</v>
      </c>
      <c r="AA104" s="430">
        <v>1.2493150684931507</v>
      </c>
      <c r="AC104" s="716">
        <f t="shared" si="5"/>
        <v>45107</v>
      </c>
      <c r="AD104" s="885">
        <v>0.97369160685788303</v>
      </c>
      <c r="AE104" s="430">
        <v>5.0027397260273974</v>
      </c>
      <c r="AG104" s="716">
        <f t="shared" si="6"/>
        <v>46477</v>
      </c>
      <c r="AH104" s="885">
        <v>0.70425813299898943</v>
      </c>
      <c r="AI104" s="430">
        <v>14.939092</v>
      </c>
      <c r="AJ104" s="881">
        <f t="shared" si="7"/>
        <v>0.33019200000000026</v>
      </c>
      <c r="AK104" s="982" t="s">
        <v>608</v>
      </c>
      <c r="AL104" s="1008">
        <v>5.614399999999975E-2</v>
      </c>
      <c r="AM104" s="951">
        <v>2</v>
      </c>
      <c r="AN104" s="249" t="b">
        <v>1</v>
      </c>
      <c r="AO104" s="430">
        <v>0.41683539216028986</v>
      </c>
      <c r="AP104" s="767">
        <v>46846</v>
      </c>
      <c r="AQ104" s="748">
        <f t="shared" si="2"/>
        <v>0.65912940888289639</v>
      </c>
      <c r="AR104" s="768">
        <f ca="1"/>
        <v>0.61324651418545151</v>
      </c>
      <c r="AS104" s="737" t="str" cm="1">
        <f t="array" aca="1" ref="AS104" ca="1">_xll.d.TestUtils_Equal(AQ104,AR104,$AR$80)</f>
        <v>Error</v>
      </c>
      <c r="AT104" s="457">
        <v>6.9345906170695443E-2</v>
      </c>
      <c r="AU104" s="457"/>
      <c r="AV104" s="457">
        <f t="shared" si="3"/>
        <v>-6.9345906170695443E-2</v>
      </c>
      <c r="AZ104" s="203"/>
    </row>
    <row r="105" spans="2:52">
      <c r="S105" s="430">
        <v>4.0191780821917806</v>
      </c>
      <c r="T105" s="430">
        <v>9.2071393540232638E-2</v>
      </c>
      <c r="U105" s="430">
        <v>0.91204003345386175</v>
      </c>
      <c r="Y105" s="716">
        <f t="shared" si="4"/>
        <v>46118</v>
      </c>
      <c r="Z105" s="885">
        <v>0.91204003345386175</v>
      </c>
      <c r="AA105" s="430">
        <v>1.5068493150684932</v>
      </c>
      <c r="AC105" s="716">
        <f t="shared" si="5"/>
        <v>45201</v>
      </c>
      <c r="AD105" s="885">
        <v>0.96577558625277415</v>
      </c>
      <c r="AE105" s="430">
        <v>6.0054794520547947</v>
      </c>
      <c r="AG105" s="716">
        <f t="shared" si="6"/>
        <v>46843</v>
      </c>
      <c r="AH105" s="885">
        <v>0.64488853017959991</v>
      </c>
      <c r="AI105" s="430">
        <v>15.092227000000001</v>
      </c>
      <c r="AJ105" s="881">
        <f t="shared" si="7"/>
        <v>0.48332700000000095</v>
      </c>
      <c r="AK105" s="982" t="s">
        <v>611</v>
      </c>
      <c r="AL105" s="1008">
        <v>0.11612000000000045</v>
      </c>
      <c r="AM105" s="951">
        <v>2</v>
      </c>
      <c r="AN105" s="249" t="b">
        <v>1</v>
      </c>
      <c r="AO105" s="430">
        <v>0.49852168838647992</v>
      </c>
      <c r="AP105" s="767">
        <v>47211</v>
      </c>
      <c r="AQ105" s="748">
        <f t="shared" si="2"/>
        <v>0.60742796411518774</v>
      </c>
      <c r="AR105" s="768">
        <f ca="1"/>
        <v>0.55640712702539774</v>
      </c>
      <c r="AS105" s="737" t="str" cm="1">
        <f t="array" aca="1" ref="AS105" ca="1">_xll.d.TestUtils_Equal(AQ105,AR105,$AR$80)</f>
        <v>Error</v>
      </c>
      <c r="AT105" s="457">
        <v>7.1106063407997327E-2</v>
      </c>
      <c r="AU105" s="457"/>
      <c r="AV105" s="457">
        <f t="shared" si="3"/>
        <v>-7.1106063407997327E-2</v>
      </c>
      <c r="AZ105" s="203"/>
    </row>
    <row r="106" spans="2:52">
      <c r="M106" s="891"/>
      <c r="S106" s="430">
        <v>5.0164383561643833</v>
      </c>
      <c r="T106" s="430">
        <v>0.11101120359453355</v>
      </c>
      <c r="U106" s="430">
        <v>0.89492872245432198</v>
      </c>
      <c r="Y106" s="716">
        <f t="shared" si="4"/>
        <v>46482</v>
      </c>
      <c r="Z106" s="885">
        <v>0.89492872245432198</v>
      </c>
      <c r="AA106" s="430">
        <v>1.7589041095890412</v>
      </c>
      <c r="AC106" s="716">
        <f t="shared" si="5"/>
        <v>45293</v>
      </c>
      <c r="AD106" s="885">
        <v>0.95817039097527645</v>
      </c>
      <c r="AE106" s="430">
        <v>7</v>
      </c>
      <c r="AG106" s="716">
        <f t="shared" si="6"/>
        <v>47206</v>
      </c>
      <c r="AH106" s="885">
        <v>0.58892306279157181</v>
      </c>
      <c r="AI106" s="430">
        <v>15.238562</v>
      </c>
      <c r="AJ106" s="881">
        <f t="shared" si="7"/>
        <v>0.62966199999999972</v>
      </c>
      <c r="AK106" s="982" t="s">
        <v>612</v>
      </c>
      <c r="AL106" s="1008">
        <v>0.17021199999999936</v>
      </c>
      <c r="AM106" s="951">
        <v>2</v>
      </c>
      <c r="AN106" s="249" t="b">
        <v>1</v>
      </c>
      <c r="AO106" s="430">
        <v>0.57801728332349489</v>
      </c>
      <c r="AP106" s="767">
        <v>47574</v>
      </c>
      <c r="AQ106" s="748">
        <f t="shared" si="2"/>
        <v>0.56100958764819253</v>
      </c>
      <c r="AR106" s="768">
        <f ca="1"/>
        <v>0.50478847023280426</v>
      </c>
      <c r="AS106" s="737" t="str" cm="1">
        <f t="array" aca="1" ref="AS106" ca="1">_xll.d.TestUtils_Equal(AQ106,AR106,$AR$80)</f>
        <v>Error</v>
      </c>
      <c r="AT106" s="457">
        <v>7.2202706506870509E-2</v>
      </c>
      <c r="AU106" s="457"/>
      <c r="AV106" s="457">
        <f t="shared" si="3"/>
        <v>-7.2202706506870509E-2</v>
      </c>
      <c r="AZ106" s="203"/>
    </row>
    <row r="107" spans="2:52">
      <c r="S107" s="430">
        <v>7.0164383561643833</v>
      </c>
      <c r="T107" s="430">
        <v>0.15004782746774567</v>
      </c>
      <c r="U107" s="430">
        <v>0.86066681192648165</v>
      </c>
      <c r="Y107" s="716">
        <f t="shared" si="4"/>
        <v>47212</v>
      </c>
      <c r="Z107" s="885">
        <v>0.86066681192648165</v>
      </c>
      <c r="AA107" s="430">
        <v>2.0082191780821916</v>
      </c>
      <c r="AC107" s="716">
        <f t="shared" si="5"/>
        <v>45384</v>
      </c>
      <c r="AD107" s="885">
        <v>0.9510334710287156</v>
      </c>
      <c r="AE107" s="430">
        <v>8</v>
      </c>
      <c r="AG107" s="716">
        <f t="shared" si="6"/>
        <v>47571</v>
      </c>
      <c r="AH107" s="885">
        <v>0.53658165123667312</v>
      </c>
      <c r="AK107" s="982" t="s">
        <v>737</v>
      </c>
      <c r="AL107" s="1008">
        <v>0.22274999999999956</v>
      </c>
      <c r="AM107" s="951">
        <v>2</v>
      </c>
      <c r="AN107" s="249" t="b">
        <v>1</v>
      </c>
      <c r="AO107" s="430">
        <v>0.66583697787713225</v>
      </c>
      <c r="AP107" s="767">
        <v>47939</v>
      </c>
      <c r="AQ107" s="748">
        <f t="shared" si="2"/>
        <v>0.51384327222342452</v>
      </c>
      <c r="AR107" s="768">
        <f ca="1"/>
        <v>0.45695129494470083</v>
      </c>
      <c r="AS107" s="737" t="str" cm="1">
        <f t="array" aca="1" ref="AS107" ca="1">_xll.d.TestUtils_Equal(AQ107,AR107,$AR$80)</f>
        <v>Error</v>
      </c>
      <c r="AT107" s="457">
        <v>7.3936871592684292E-2</v>
      </c>
      <c r="AU107" s="457"/>
      <c r="AV107" s="457">
        <f t="shared" si="3"/>
        <v>-7.3936871592684292E-2</v>
      </c>
      <c r="AZ107" s="203"/>
    </row>
    <row r="108" spans="2:52">
      <c r="S108" s="430">
        <v>10.021917808219179</v>
      </c>
      <c r="T108" s="430">
        <v>0.21010925790587764</v>
      </c>
      <c r="U108" s="430">
        <v>0.81049568807084837</v>
      </c>
      <c r="Y108" s="716">
        <f t="shared" si="4"/>
        <v>48309</v>
      </c>
      <c r="Z108" s="885">
        <v>0.81049568807084837</v>
      </c>
      <c r="AA108" s="430">
        <v>3.0136986301369864</v>
      </c>
      <c r="AC108" s="716">
        <f t="shared" si="5"/>
        <v>45751</v>
      </c>
      <c r="AD108" s="885">
        <v>0.923270995464053</v>
      </c>
      <c r="AE108" s="430">
        <v>9.0054794520547947</v>
      </c>
      <c r="AG108" s="716">
        <f t="shared" si="6"/>
        <v>47938</v>
      </c>
      <c r="AH108" s="885">
        <v>0.48821818889868129</v>
      </c>
      <c r="AK108" s="982" t="s">
        <v>738</v>
      </c>
      <c r="AL108" s="1008">
        <v>0.28100000000000058</v>
      </c>
      <c r="AM108" s="951">
        <v>2</v>
      </c>
      <c r="AN108" s="249" t="b">
        <v>1</v>
      </c>
      <c r="AO108" s="430">
        <v>0.75190095548955993</v>
      </c>
      <c r="AP108" s="767">
        <v>48305</v>
      </c>
      <c r="AQ108" s="748">
        <f t="shared" si="2"/>
        <v>0.47146945788833711</v>
      </c>
      <c r="AR108" s="768">
        <f ca="1"/>
        <v>0.41048103567121547</v>
      </c>
      <c r="AS108" s="737" t="str" cm="1">
        <f t="array" aca="1" ref="AS108" ca="1">_xll.d.TestUtils_Equal(AQ108,AR108,$AR$80)</f>
        <v>Error</v>
      </c>
      <c r="AT108" s="457">
        <v>7.5128346223293022E-2</v>
      </c>
      <c r="AU108" s="457"/>
      <c r="AV108" s="457">
        <f t="shared" si="3"/>
        <v>-7.5128346223293022E-2</v>
      </c>
      <c r="AZ108" s="203"/>
    </row>
    <row r="109" spans="2:52">
      <c r="S109" s="430">
        <v>12.019178082191781</v>
      </c>
      <c r="T109" s="430">
        <v>0.25252661183739455</v>
      </c>
      <c r="U109" s="430">
        <v>0.77683553954317675</v>
      </c>
      <c r="Y109" s="716">
        <f t="shared" si="4"/>
        <v>49038</v>
      </c>
      <c r="Z109" s="885">
        <v>0.77683553954317675</v>
      </c>
      <c r="AA109" s="430">
        <v>4.0191780821917806</v>
      </c>
      <c r="AC109" s="716">
        <f t="shared" si="5"/>
        <v>46118</v>
      </c>
      <c r="AD109" s="885">
        <v>0.90125850333530744</v>
      </c>
      <c r="AE109" s="430">
        <v>10.008219178082191</v>
      </c>
      <c r="AG109" s="716">
        <f t="shared" si="6"/>
        <v>48304</v>
      </c>
      <c r="AH109" s="885">
        <v>0.44288287474195237</v>
      </c>
      <c r="AK109" s="982" t="s">
        <v>613</v>
      </c>
      <c r="AL109" s="1008">
        <v>0.33019200000000026</v>
      </c>
      <c r="AM109" s="951">
        <v>2</v>
      </c>
      <c r="AN109" s="249" t="b">
        <v>1</v>
      </c>
      <c r="AO109" s="430">
        <v>0.90966836951560948</v>
      </c>
      <c r="AP109" s="767">
        <v>49037</v>
      </c>
      <c r="AQ109" s="748">
        <f t="shared" si="2"/>
        <v>0.40265773547403938</v>
      </c>
      <c r="AR109" s="768">
        <f ca="1"/>
        <v>0.33240571434445454</v>
      </c>
      <c r="AS109" s="737" t="str" cm="1">
        <f t="array" aca="1" ref="AS109" ca="1">_xll.d.TestUtils_Equal(AQ109,AR109,$AR$80)</f>
        <v>Error</v>
      </c>
      <c r="AT109" s="457">
        <v>7.5719259948277648E-2</v>
      </c>
      <c r="AU109" s="457"/>
      <c r="AV109" s="457">
        <f t="shared" si="3"/>
        <v>-7.5719259948277648E-2</v>
      </c>
      <c r="AZ109" s="203"/>
    </row>
    <row r="110" spans="2:52">
      <c r="L110" s="881"/>
      <c r="S110" s="430">
        <v>15.027397260273972</v>
      </c>
      <c r="T110" s="430">
        <v>0.31522457672607546</v>
      </c>
      <c r="U110" s="430">
        <v>0.72962499907491318</v>
      </c>
      <c r="Y110" s="716">
        <f t="shared" si="4"/>
        <v>50136</v>
      </c>
      <c r="Z110" s="885">
        <v>0.72962499907491318</v>
      </c>
      <c r="AA110" s="430">
        <v>5.0164383561643833</v>
      </c>
      <c r="AC110" s="716">
        <f t="shared" si="5"/>
        <v>46482</v>
      </c>
      <c r="AD110" s="885">
        <v>0.88225466968349531</v>
      </c>
      <c r="AE110" s="430">
        <v>12.008219178082191</v>
      </c>
      <c r="AG110" s="716">
        <f t="shared" si="6"/>
        <v>49034</v>
      </c>
      <c r="AH110" s="885">
        <v>0.36719203810882445</v>
      </c>
      <c r="AK110" s="982" t="s">
        <v>648</v>
      </c>
      <c r="AL110" s="1008">
        <v>0.48332700000000095</v>
      </c>
      <c r="AM110" s="951">
        <v>2</v>
      </c>
      <c r="AN110" s="249" t="b">
        <v>1</v>
      </c>
      <c r="AO110" s="430">
        <v>1.125013897064048</v>
      </c>
      <c r="AP110" s="769">
        <v>50131</v>
      </c>
      <c r="AQ110" s="985">
        <f t="shared" si="2"/>
        <v>0.32464795567356719</v>
      </c>
      <c r="AR110" s="771">
        <f ca="1"/>
        <v>0.24708143193441973</v>
      </c>
      <c r="AS110" s="737" t="str" cm="1">
        <f t="array" aca="1" ref="AS110" ca="1">_xll.d.TestUtils_Equal(AQ110,AR110,$AR$80)</f>
        <v>Error</v>
      </c>
      <c r="AT110" s="457">
        <v>7.4946171277309265E-2</v>
      </c>
      <c r="AU110" s="457"/>
      <c r="AV110" s="457">
        <f t="shared" si="3"/>
        <v>-7.4946171277309265E-2</v>
      </c>
      <c r="AZ110" s="203"/>
    </row>
    <row r="111" spans="2:52">
      <c r="L111" s="881"/>
      <c r="S111" s="430">
        <v>20.032876712328768</v>
      </c>
      <c r="T111" s="430">
        <v>0.41744272905807633</v>
      </c>
      <c r="U111" s="430">
        <v>0.6587292168104727</v>
      </c>
      <c r="Y111" s="716">
        <f t="shared" si="4"/>
        <v>51963</v>
      </c>
      <c r="Z111" s="885">
        <v>0.6587292168104727</v>
      </c>
      <c r="AA111" s="430">
        <v>6.0164383561643833</v>
      </c>
      <c r="AC111" s="716">
        <f t="shared" si="5"/>
        <v>46847</v>
      </c>
      <c r="AD111" s="885">
        <v>0.86251492411733188</v>
      </c>
      <c r="AE111" s="430">
        <v>15.010958904109589</v>
      </c>
      <c r="AG111" s="716">
        <f t="shared" si="6"/>
        <v>50130</v>
      </c>
      <c r="AH111" s="885">
        <v>0.27886176782306094</v>
      </c>
      <c r="AK111" s="983" t="s">
        <v>614</v>
      </c>
      <c r="AL111" s="1009">
        <v>0.62966199999999972</v>
      </c>
      <c r="AM111" s="952">
        <v>2</v>
      </c>
      <c r="AN111" s="252" t="b">
        <v>1</v>
      </c>
      <c r="AO111" s="430">
        <v>1.5111262319062513</v>
      </c>
      <c r="AP111" s="430">
        <v>51957</v>
      </c>
      <c r="AT111" s="457">
        <v>7.5504596118519063E-2</v>
      </c>
      <c r="AU111" s="457"/>
      <c r="AV111" s="457">
        <f t="shared" si="3"/>
        <v>-7.5504596118519063E-2</v>
      </c>
      <c r="AZ111" s="203"/>
    </row>
    <row r="112" spans="2:52">
      <c r="L112" s="881"/>
      <c r="S112" s="430">
        <v>25.027397260273972</v>
      </c>
      <c r="T112" s="430">
        <v>0.50405824826058676</v>
      </c>
      <c r="U112" s="430">
        <v>0.60407419555991859</v>
      </c>
      <c r="Y112" s="716">
        <f t="shared" si="4"/>
        <v>53786</v>
      </c>
      <c r="Z112" s="885">
        <v>0.60407419555991859</v>
      </c>
      <c r="AA112" s="430">
        <v>7.0164383561643833</v>
      </c>
      <c r="AC112" s="716">
        <f t="shared" si="5"/>
        <v>47212</v>
      </c>
      <c r="AD112" s="885">
        <v>0.8430810545835562</v>
      </c>
      <c r="AE112" s="430">
        <v>20.013698630136986</v>
      </c>
      <c r="AG112" s="716">
        <f t="shared" si="6"/>
        <v>51956</v>
      </c>
      <c r="AH112" s="885">
        <v>0.17667227659813656</v>
      </c>
      <c r="AV112" s="457"/>
      <c r="AZ112" s="203"/>
    </row>
    <row r="113" spans="12:52">
      <c r="L113" s="881"/>
      <c r="S113" s="430">
        <v>30.032876712328768</v>
      </c>
      <c r="T113" s="430">
        <v>0.57901797099192764</v>
      </c>
      <c r="U113" s="430">
        <v>0.56044847306900425</v>
      </c>
      <c r="Y113" s="719">
        <f t="shared" si="4"/>
        <v>55613</v>
      </c>
      <c r="Z113" s="886">
        <v>0.56044847306900425</v>
      </c>
      <c r="AA113" s="430">
        <v>8.0164383561643842</v>
      </c>
      <c r="AC113" s="716">
        <f t="shared" si="5"/>
        <v>47577</v>
      </c>
      <c r="AD113" s="885">
        <v>0.82258311513880888</v>
      </c>
      <c r="AE113" s="430">
        <v>25.010958904109589</v>
      </c>
      <c r="AG113" s="716">
        <f t="shared" si="6"/>
        <v>53780</v>
      </c>
      <c r="AH113" s="885">
        <v>0.11582709046773146</v>
      </c>
      <c r="AV113" s="457"/>
      <c r="AZ113" s="203"/>
    </row>
    <row r="114" spans="12:52">
      <c r="AA114" s="430">
        <v>9.0164383561643842</v>
      </c>
      <c r="AC114" s="716">
        <f t="shared" si="5"/>
        <v>47942</v>
      </c>
      <c r="AD114" s="885">
        <v>0.80630543482996708</v>
      </c>
      <c r="AE114" s="430">
        <v>30.016438356164382</v>
      </c>
      <c r="AG114" s="719">
        <f t="shared" si="6"/>
        <v>55607</v>
      </c>
      <c r="AH114" s="886">
        <v>0.10371508176974314</v>
      </c>
      <c r="AP114" s="143"/>
      <c r="AU114" s="1046"/>
      <c r="AV114" s="457"/>
      <c r="AY114" s="202"/>
      <c r="AZ114" s="203"/>
    </row>
    <row r="115" spans="12:52">
      <c r="AA115" s="430">
        <v>10.021917808219179</v>
      </c>
      <c r="AC115" s="716">
        <f t="shared" si="5"/>
        <v>48309</v>
      </c>
      <c r="AD115" s="885">
        <v>0.78829443774006858</v>
      </c>
      <c r="AK115" s="12" t="s">
        <v>712</v>
      </c>
      <c r="AL115" s="27"/>
      <c r="AM115" s="27"/>
      <c r="AN115" s="13"/>
      <c r="AU115" s="1046"/>
      <c r="AV115" s="457"/>
      <c r="AY115" s="202"/>
      <c r="AZ115" s="203"/>
    </row>
    <row r="116" spans="12:52">
      <c r="AA116" s="430">
        <v>12.019178082191781</v>
      </c>
      <c r="AC116" s="716">
        <f t="shared" si="5"/>
        <v>49038</v>
      </c>
      <c r="AD116" s="885">
        <v>0.75068016849670094</v>
      </c>
      <c r="AG116" s="1052" t="s">
        <v>600</v>
      </c>
      <c r="AH116" s="1053">
        <v>44652</v>
      </c>
      <c r="AI116" s="1055">
        <v>14.602435</v>
      </c>
      <c r="AK116" s="61" t="s">
        <v>35</v>
      </c>
      <c r="AL116" s="62" t="s">
        <v>842</v>
      </c>
      <c r="AM116" s="949" t="s">
        <v>841</v>
      </c>
      <c r="AN116" s="63" t="s">
        <v>42</v>
      </c>
      <c r="AV116" s="457"/>
      <c r="AY116" s="202"/>
      <c r="AZ116" s="203"/>
    </row>
    <row r="117" spans="12:52">
      <c r="AA117" s="430">
        <v>15.027397260273972</v>
      </c>
      <c r="AC117" s="716">
        <f t="shared" si="5"/>
        <v>50136</v>
      </c>
      <c r="AD117" s="885">
        <v>0.69609689340997682</v>
      </c>
      <c r="AG117" s="1052" t="s">
        <v>651</v>
      </c>
      <c r="AH117" s="1054">
        <v>44655</v>
      </c>
      <c r="AI117" s="1056">
        <v>14.604108</v>
      </c>
      <c r="AK117" s="953" t="s">
        <v>617</v>
      </c>
      <c r="AL117" s="698">
        <v>4.15E-3</v>
      </c>
      <c r="AM117" s="950">
        <v>2</v>
      </c>
      <c r="AN117" s="247" t="b">
        <v>1</v>
      </c>
      <c r="AV117" s="457"/>
      <c r="AY117" s="202"/>
      <c r="AZ117" s="203"/>
    </row>
    <row r="118" spans="12:52">
      <c r="AA118" s="430">
        <v>20.024657534246575</v>
      </c>
      <c r="AC118" s="716">
        <f t="shared" si="5"/>
        <v>51960</v>
      </c>
      <c r="AD118" s="885">
        <v>0.62531491060254141</v>
      </c>
      <c r="AG118" s="1052" t="s">
        <v>844</v>
      </c>
      <c r="AH118" s="1054">
        <v>44655</v>
      </c>
      <c r="AI118" s="1056">
        <v>14.6089</v>
      </c>
      <c r="AK118" s="954" t="s">
        <v>630</v>
      </c>
      <c r="AL118" s="699">
        <v>2.4499999999999999E-3</v>
      </c>
      <c r="AM118" s="951">
        <v>2</v>
      </c>
      <c r="AN118" s="249" t="b">
        <v>1</v>
      </c>
      <c r="AV118" s="457"/>
      <c r="AY118" s="202"/>
      <c r="AZ118" s="203"/>
    </row>
    <row r="119" spans="12:52">
      <c r="AA119" s="430">
        <v>25.027397260273972</v>
      </c>
      <c r="AC119" s="716">
        <f t="shared" si="5"/>
        <v>53786</v>
      </c>
      <c r="AD119" s="885">
        <v>0.56079257529184201</v>
      </c>
      <c r="AG119" s="1052" t="s">
        <v>843</v>
      </c>
      <c r="AH119" s="1054">
        <v>44656</v>
      </c>
      <c r="AI119" s="1056">
        <v>14.610649</v>
      </c>
      <c r="AK119" s="954" t="s">
        <v>631</v>
      </c>
      <c r="AL119" s="699">
        <v>1.5E-3</v>
      </c>
      <c r="AM119" s="951">
        <v>2</v>
      </c>
      <c r="AN119" s="249" t="b">
        <v>1</v>
      </c>
      <c r="AV119" s="457"/>
      <c r="AY119" s="202"/>
      <c r="AZ119" s="203"/>
    </row>
    <row r="120" spans="12:52">
      <c r="AA120" s="430">
        <v>30.032876712328768</v>
      </c>
      <c r="AC120" s="716">
        <f t="shared" si="5"/>
        <v>55613</v>
      </c>
      <c r="AD120" s="885">
        <v>0.51807431299924245</v>
      </c>
      <c r="AG120" s="1052" t="s">
        <v>603</v>
      </c>
      <c r="AH120" s="1054">
        <v>44662</v>
      </c>
      <c r="AI120" s="1056">
        <v>14.621691</v>
      </c>
      <c r="AK120" s="954" t="s">
        <v>632</v>
      </c>
      <c r="AL120" s="699">
        <v>6.9999999999999999E-4</v>
      </c>
      <c r="AM120" s="951">
        <v>2</v>
      </c>
      <c r="AN120" s="249" t="b">
        <v>1</v>
      </c>
      <c r="AP120" s="8"/>
      <c r="AV120" s="457"/>
      <c r="AY120" s="202"/>
      <c r="AZ120" s="203"/>
    </row>
    <row r="121" spans="12:52">
      <c r="AA121" s="430">
        <v>40.038356164383565</v>
      </c>
      <c r="AC121" s="716">
        <f t="shared" si="5"/>
        <v>59265</v>
      </c>
      <c r="AD121" s="885">
        <v>0.4447551676336145</v>
      </c>
      <c r="AG121" s="1052" t="s">
        <v>606</v>
      </c>
      <c r="AH121" s="1054">
        <v>44670</v>
      </c>
      <c r="AI121" s="1056">
        <v>14.6365</v>
      </c>
      <c r="AK121" s="954" t="s">
        <v>633</v>
      </c>
      <c r="AL121" s="699">
        <v>-5.0000000000000002E-5</v>
      </c>
      <c r="AM121" s="951">
        <v>2</v>
      </c>
      <c r="AN121" s="249" t="b">
        <v>1</v>
      </c>
      <c r="AR121" s="881"/>
      <c r="AV121" s="457"/>
      <c r="AY121" s="202"/>
      <c r="AZ121" s="203"/>
    </row>
    <row r="122" spans="12:52">
      <c r="AC122" s="716"/>
      <c r="AD122" s="885"/>
      <c r="AG122" s="1052" t="s">
        <v>607</v>
      </c>
      <c r="AH122" s="1054">
        <v>44676</v>
      </c>
      <c r="AI122" s="1056">
        <v>14.647679999999999</v>
      </c>
      <c r="AK122" s="954" t="s">
        <v>634</v>
      </c>
      <c r="AL122" s="699">
        <v>-6.4999999999999997E-4</v>
      </c>
      <c r="AM122" s="951">
        <v>2</v>
      </c>
      <c r="AN122" s="249" t="b">
        <v>1</v>
      </c>
      <c r="AS122" s="1048"/>
      <c r="AV122" s="457"/>
      <c r="AY122" s="202"/>
      <c r="AZ122" s="203"/>
    </row>
    <row r="123" spans="12:52">
      <c r="AC123" s="719"/>
      <c r="AD123" s="886"/>
      <c r="AK123" s="954" t="s">
        <v>635</v>
      </c>
      <c r="AL123" s="699">
        <v>-1.1999999999999999E-3</v>
      </c>
      <c r="AM123" s="951">
        <v>2</v>
      </c>
      <c r="AN123" s="249" t="b">
        <v>1</v>
      </c>
      <c r="AS123" s="1048"/>
      <c r="AY123" s="202"/>
      <c r="AZ123" s="203"/>
    </row>
    <row r="124" spans="12:52">
      <c r="AK124" s="954" t="s">
        <v>636</v>
      </c>
      <c r="AL124" s="699">
        <v>-1.6000000000000001E-3</v>
      </c>
      <c r="AM124" s="951">
        <v>2</v>
      </c>
      <c r="AN124" s="249" t="b">
        <v>1</v>
      </c>
      <c r="AS124" s="1048"/>
      <c r="AY124" s="202"/>
      <c r="AZ124" s="203"/>
    </row>
    <row r="125" spans="12:52">
      <c r="AK125" s="954" t="s">
        <v>637</v>
      </c>
      <c r="AL125" s="699">
        <v>-2E-3</v>
      </c>
      <c r="AM125" s="951">
        <v>2</v>
      </c>
      <c r="AN125" s="249" t="b">
        <v>1</v>
      </c>
      <c r="AS125" s="1048"/>
      <c r="AY125" s="202"/>
      <c r="AZ125" s="203"/>
    </row>
    <row r="126" spans="12:52">
      <c r="AK126" s="954" t="s">
        <v>638</v>
      </c>
      <c r="AL126" s="699">
        <v>-2.8E-3</v>
      </c>
      <c r="AM126" s="951">
        <v>2</v>
      </c>
      <c r="AN126" s="249" t="b">
        <v>1</v>
      </c>
      <c r="AS126" s="1048"/>
      <c r="AY126" s="202"/>
      <c r="AZ126" s="203"/>
    </row>
    <row r="127" spans="12:52">
      <c r="AK127" s="954" t="s">
        <v>639</v>
      </c>
      <c r="AL127" s="699">
        <v>-3.8E-3</v>
      </c>
      <c r="AM127" s="951">
        <v>2</v>
      </c>
      <c r="AN127" s="249" t="b">
        <v>1</v>
      </c>
      <c r="AS127" s="1048"/>
      <c r="AY127" s="202"/>
      <c r="AZ127" s="203"/>
    </row>
    <row r="128" spans="12:52">
      <c r="AK128" s="955" t="s">
        <v>640</v>
      </c>
      <c r="AL128" s="700">
        <v>-4.7999999999999996E-3</v>
      </c>
      <c r="AM128" s="952">
        <v>2</v>
      </c>
      <c r="AN128" s="252" t="b">
        <v>1</v>
      </c>
      <c r="AS128" s="1048"/>
      <c r="AY128" s="202"/>
      <c r="AZ128" s="203"/>
    </row>
    <row r="129" spans="4:52">
      <c r="AS129" s="1048"/>
      <c r="AY129" s="202"/>
      <c r="AZ129" s="203"/>
    </row>
    <row r="130" spans="4:52">
      <c r="AY130" s="202"/>
      <c r="AZ130" s="203"/>
    </row>
    <row r="131" spans="4:52">
      <c r="AY131" s="202"/>
      <c r="AZ131" s="203"/>
    </row>
    <row r="132" spans="4:52">
      <c r="AY132" s="202"/>
      <c r="AZ132" s="203"/>
    </row>
    <row r="133" spans="4:52">
      <c r="AY133" s="202"/>
      <c r="AZ133" s="203"/>
    </row>
    <row r="134" spans="4:52">
      <c r="D134" s="8"/>
      <c r="AY134" s="202"/>
      <c r="AZ134" s="203"/>
    </row>
    <row r="135" spans="4:52">
      <c r="D135" s="8"/>
      <c r="AY135" s="202"/>
      <c r="AZ135" s="203"/>
    </row>
    <row r="136" spans="4:52">
      <c r="D136" s="8"/>
      <c r="AY136" s="202"/>
      <c r="AZ136" s="203"/>
    </row>
    <row r="137" spans="4:52">
      <c r="D137" s="8"/>
      <c r="AY137" s="202"/>
      <c r="AZ137" s="203"/>
    </row>
    <row r="138" spans="4:52">
      <c r="D138" s="8"/>
      <c r="AY138" s="202"/>
      <c r="AZ138" s="203"/>
    </row>
    <row r="139" spans="4:52">
      <c r="D139" s="8"/>
      <c r="AY139" s="202"/>
      <c r="AZ139" s="203"/>
    </row>
    <row r="140" spans="4:52">
      <c r="D140" s="8"/>
      <c r="AY140" s="202"/>
      <c r="AZ140" s="203"/>
    </row>
    <row r="141" spans="4:52">
      <c r="D141" s="8"/>
      <c r="AY141" s="202"/>
      <c r="AZ141" s="203"/>
    </row>
    <row r="142" spans="4:52">
      <c r="D142" s="8"/>
      <c r="AY142" s="202"/>
      <c r="AZ142" s="203"/>
    </row>
    <row r="143" spans="4:52">
      <c r="D143" s="8"/>
      <c r="AM143" s="593"/>
      <c r="AN143" s="593"/>
      <c r="AO143" s="593"/>
      <c r="AR143" s="593"/>
      <c r="AY143" s="202"/>
      <c r="AZ143" s="203"/>
    </row>
    <row r="144" spans="4:52">
      <c r="D144" s="8"/>
      <c r="AM144" s="593"/>
      <c r="AN144" s="593"/>
      <c r="AO144" s="593"/>
      <c r="AR144" s="593"/>
      <c r="AY144" s="202"/>
      <c r="AZ144" s="203"/>
    </row>
    <row r="145" spans="4:52">
      <c r="D145" s="8"/>
      <c r="AM145" s="593"/>
      <c r="AN145" s="593"/>
      <c r="AO145" s="593"/>
      <c r="AR145" s="593"/>
      <c r="AY145" s="202"/>
      <c r="AZ145" s="203"/>
    </row>
    <row r="146" spans="4:52">
      <c r="D146" s="8"/>
    </row>
    <row r="147" spans="4:52">
      <c r="D147" s="8"/>
    </row>
    <row r="148" spans="4:52">
      <c r="D148" s="8"/>
    </row>
    <row r="149" spans="4:52">
      <c r="D149" s="8"/>
    </row>
    <row r="150" spans="4:52">
      <c r="D150" s="8"/>
    </row>
    <row r="151" spans="4:52">
      <c r="D151" s="8"/>
    </row>
    <row r="152" spans="4:52">
      <c r="D152" s="8"/>
    </row>
    <row r="153" spans="4:52">
      <c r="D153" s="8"/>
    </row>
    <row r="154" spans="4:52">
      <c r="D154" s="8"/>
    </row>
    <row r="155" spans="4:52">
      <c r="D155" s="8"/>
    </row>
    <row r="156" spans="4:52">
      <c r="D156" s="8"/>
    </row>
    <row r="157" spans="4:52">
      <c r="D157" s="8"/>
    </row>
    <row r="158" spans="4:52">
      <c r="D158" s="8"/>
    </row>
    <row r="159" spans="4:52">
      <c r="D159" s="8"/>
    </row>
    <row r="160" spans="4:52">
      <c r="D160" s="8"/>
    </row>
    <row r="161" spans="4:4">
      <c r="D161" s="8"/>
    </row>
  </sheetData>
  <mergeCells count="27">
    <mergeCell ref="AL94:AM94"/>
    <mergeCell ref="AL86:AM86"/>
    <mergeCell ref="Z87:AA87"/>
    <mergeCell ref="AD87:AE87"/>
    <mergeCell ref="AH87:AI87"/>
    <mergeCell ref="AL90:AM90"/>
    <mergeCell ref="BB21:BC21"/>
    <mergeCell ref="BB25:BC25"/>
    <mergeCell ref="BB29:BC29"/>
    <mergeCell ref="BJ22:BK22"/>
    <mergeCell ref="BJ26:BK26"/>
    <mergeCell ref="BJ29:BK29"/>
    <mergeCell ref="AL21:AM21"/>
    <mergeCell ref="AL29:AM29"/>
    <mergeCell ref="C22:D22"/>
    <mergeCell ref="G22:H22"/>
    <mergeCell ref="K22:L22"/>
    <mergeCell ref="Z22:AA22"/>
    <mergeCell ref="AD22:AE22"/>
    <mergeCell ref="CA25:CB25"/>
    <mergeCell ref="CA29:CB29"/>
    <mergeCell ref="CA33:CB33"/>
    <mergeCell ref="AH22:AI22"/>
    <mergeCell ref="AL25:AM25"/>
    <mergeCell ref="BR22:BS22"/>
    <mergeCell ref="BR26:BS26"/>
    <mergeCell ref="BR30:BS30"/>
  </mergeCells>
  <conditionalFormatting sqref="E7 AS16:AX16 AP15:AR15 AX21:AZ21 AX22:AY22 AT21:AT45 AU48:AU50 AW47">
    <cfRule type="cellIs" dxfId="675" priority="142" stopIfTrue="1" operator="equal">
      <formula>"ERROR"</formula>
    </cfRule>
    <cfRule type="cellIs" dxfId="674" priority="143" stopIfTrue="1" operator="equal">
      <formula>"OK"</formula>
    </cfRule>
    <cfRule type="cellIs" dxfId="673" priority="144" stopIfTrue="1" operator="equal">
      <formula>"WARNING"</formula>
    </cfRule>
  </conditionalFormatting>
  <conditionalFormatting sqref="C4">
    <cfRule type="cellIs" dxfId="672" priority="139" stopIfTrue="1" operator="equal">
      <formula>"ERROR"</formula>
    </cfRule>
    <cfRule type="cellIs" dxfId="671" priority="140" stopIfTrue="1" operator="equal">
      <formula>"OK"</formula>
    </cfRule>
    <cfRule type="cellIs" dxfId="670" priority="141" stopIfTrue="1" operator="equal">
      <formula>"WARNING"</formula>
    </cfRule>
  </conditionalFormatting>
  <conditionalFormatting sqref="C12">
    <cfRule type="cellIs" dxfId="669" priority="136" stopIfTrue="1" operator="equal">
      <formula>"ERROR"</formula>
    </cfRule>
  </conditionalFormatting>
  <conditionalFormatting sqref="C12">
    <cfRule type="cellIs" dxfId="668" priority="137" stopIfTrue="1" operator="equal">
      <formula>"OK"</formula>
    </cfRule>
  </conditionalFormatting>
  <conditionalFormatting sqref="C12">
    <cfRule type="cellIs" dxfId="667" priority="138" stopIfTrue="1" operator="equal">
      <formula>"WARNING"</formula>
    </cfRule>
  </conditionalFormatting>
  <conditionalFormatting sqref="J57:J104">
    <cfRule type="cellIs" dxfId="666" priority="145" stopIfTrue="1" operator="equal">
      <formula>"ERROR"</formula>
    </cfRule>
    <cfRule type="cellIs" dxfId="665" priority="146" stopIfTrue="1" operator="equal">
      <formula>"OK"</formula>
    </cfRule>
    <cfRule type="cellIs" dxfId="664" priority="147" stopIfTrue="1" operator="equal">
      <formula>"WARNING"</formula>
    </cfRule>
  </conditionalFormatting>
  <conditionalFormatting sqref="G57:G104">
    <cfRule type="cellIs" dxfId="663" priority="148" stopIfTrue="1" operator="equal">
      <formula>"ERROR"</formula>
    </cfRule>
    <cfRule type="cellIs" dxfId="662" priority="149" stopIfTrue="1" operator="equal">
      <formula>"OK"</formula>
    </cfRule>
    <cfRule type="cellIs" dxfId="661" priority="150" stopIfTrue="1" operator="equal">
      <formula>"WARNING"</formula>
    </cfRule>
  </conditionalFormatting>
  <conditionalFormatting sqref="AP19:AQ19 AP20:AX20 AS15:AX15 AP21:AR36 AS21:AT45 AX23:AY46">
    <cfRule type="cellIs" dxfId="660" priority="121" stopIfTrue="1" operator="equal">
      <formula>"ERROR"</formula>
    </cfRule>
    <cfRule type="cellIs" dxfId="659" priority="122" stopIfTrue="1" operator="equal">
      <formula>"OK"</formula>
    </cfRule>
    <cfRule type="cellIs" dxfId="658" priority="123" stopIfTrue="1" operator="equal">
      <formula>"WARNING"</formula>
    </cfRule>
  </conditionalFormatting>
  <conditionalFormatting sqref="AR15">
    <cfRule type="cellIs" dxfId="657" priority="118" stopIfTrue="1" operator="equal">
      <formula>"ERROR"</formula>
    </cfRule>
    <cfRule type="cellIs" dxfId="656" priority="119" stopIfTrue="1" operator="equal">
      <formula>"OK"</formula>
    </cfRule>
    <cfRule type="cellIs" dxfId="655" priority="120" stopIfTrue="1" operator="equal">
      <formula>"WARNING"</formula>
    </cfRule>
  </conditionalFormatting>
  <conditionalFormatting sqref="AP30:AR42">
    <cfRule type="cellIs" dxfId="654" priority="115" stopIfTrue="1" operator="equal">
      <formula>"ERROR"</formula>
    </cfRule>
    <cfRule type="cellIs" dxfId="653" priority="116" stopIfTrue="1" operator="equal">
      <formula>"OK"</formula>
    </cfRule>
    <cfRule type="cellIs" dxfId="652" priority="117" stopIfTrue="1" operator="equal">
      <formula>"WARNING"</formula>
    </cfRule>
  </conditionalFormatting>
  <conditionalFormatting sqref="AP20:AR34">
    <cfRule type="cellIs" dxfId="651" priority="112" stopIfTrue="1" operator="equal">
      <formula>"ERROR"</formula>
    </cfRule>
    <cfRule type="cellIs" dxfId="650" priority="113" stopIfTrue="1" operator="equal">
      <formula>"OK"</formula>
    </cfRule>
    <cfRule type="cellIs" dxfId="649" priority="114" stopIfTrue="1" operator="equal">
      <formula>"WARNING"</formula>
    </cfRule>
  </conditionalFormatting>
  <conditionalFormatting sqref="AP43:AR45">
    <cfRule type="cellIs" dxfId="648" priority="109" stopIfTrue="1" operator="equal">
      <formula>"ERROR"</formula>
    </cfRule>
    <cfRule type="cellIs" dxfId="647" priority="110" stopIfTrue="1" operator="equal">
      <formula>"OK"</formula>
    </cfRule>
    <cfRule type="cellIs" dxfId="646" priority="111" stopIfTrue="1" operator="equal">
      <formula>"WARNING"</formula>
    </cfRule>
  </conditionalFormatting>
  <conditionalFormatting sqref="AP43:AR45">
    <cfRule type="cellIs" dxfId="645" priority="106" stopIfTrue="1" operator="equal">
      <formula>"ERROR"</formula>
    </cfRule>
    <cfRule type="cellIs" dxfId="644" priority="107" stopIfTrue="1" operator="equal">
      <formula>"OK"</formula>
    </cfRule>
    <cfRule type="cellIs" dxfId="643" priority="108" stopIfTrue="1" operator="equal">
      <formula>"WARNING"</formula>
    </cfRule>
  </conditionalFormatting>
  <conditionalFormatting sqref="Z12">
    <cfRule type="cellIs" dxfId="642" priority="103" stopIfTrue="1" operator="equal">
      <formula>"ERROR"</formula>
    </cfRule>
    <cfRule type="cellIs" dxfId="641" priority="104" stopIfTrue="1" operator="equal">
      <formula>"OK"</formula>
    </cfRule>
    <cfRule type="cellIs" dxfId="640" priority="105" stopIfTrue="1" operator="equal">
      <formula>"WARNING"</formula>
    </cfRule>
  </conditionalFormatting>
  <conditionalFormatting sqref="BG17">
    <cfRule type="cellIs" dxfId="639" priority="151" stopIfTrue="1" operator="equal">
      <formula>"ERROR"</formula>
    </cfRule>
  </conditionalFormatting>
  <conditionalFormatting sqref="BG17">
    <cfRule type="cellIs" dxfId="638" priority="152" stopIfTrue="1" operator="equal">
      <formula>"OK"</formula>
    </cfRule>
  </conditionalFormatting>
  <conditionalFormatting sqref="BG17">
    <cfRule type="cellIs" dxfId="637" priority="153" stopIfTrue="1" operator="equal">
      <formula>"WARNING"</formula>
    </cfRule>
  </conditionalFormatting>
  <conditionalFormatting sqref="BO17">
    <cfRule type="cellIs" dxfId="636" priority="100" stopIfTrue="1" operator="equal">
      <formula>"ERROR"</formula>
    </cfRule>
  </conditionalFormatting>
  <conditionalFormatting sqref="BO17">
    <cfRule type="cellIs" dxfId="635" priority="101" stopIfTrue="1" operator="equal">
      <formula>"OK"</formula>
    </cfRule>
  </conditionalFormatting>
  <conditionalFormatting sqref="BO17">
    <cfRule type="cellIs" dxfId="634" priority="102" stopIfTrue="1" operator="equal">
      <formula>"WARNING"</formula>
    </cfRule>
  </conditionalFormatting>
  <conditionalFormatting sqref="BB12">
    <cfRule type="cellIs" dxfId="633" priority="97" stopIfTrue="1" operator="equal">
      <formula>"ERROR"</formula>
    </cfRule>
    <cfRule type="cellIs" dxfId="632" priority="98" stopIfTrue="1" operator="equal">
      <formula>"OK"</formula>
    </cfRule>
    <cfRule type="cellIs" dxfId="631" priority="99" stopIfTrue="1" operator="equal">
      <formula>"WARNING"</formula>
    </cfRule>
  </conditionalFormatting>
  <conditionalFormatting sqref="BW17">
    <cfRule type="cellIs" dxfId="630" priority="94" stopIfTrue="1" operator="equal">
      <formula>"ERROR"</formula>
    </cfRule>
  </conditionalFormatting>
  <conditionalFormatting sqref="BW17">
    <cfRule type="cellIs" dxfId="629" priority="95" stopIfTrue="1" operator="equal">
      <formula>"OK"</formula>
    </cfRule>
  </conditionalFormatting>
  <conditionalFormatting sqref="BW17">
    <cfRule type="cellIs" dxfId="628" priority="96" stopIfTrue="1" operator="equal">
      <formula>"WARNING"</formula>
    </cfRule>
  </conditionalFormatting>
  <conditionalFormatting sqref="CF20">
    <cfRule type="cellIs" dxfId="627" priority="91" stopIfTrue="1" operator="equal">
      <formula>"ERROR"</formula>
    </cfRule>
  </conditionalFormatting>
  <conditionalFormatting sqref="CF20">
    <cfRule type="cellIs" dxfId="626" priority="92" stopIfTrue="1" operator="equal">
      <formula>"OK"</formula>
    </cfRule>
  </conditionalFormatting>
  <conditionalFormatting sqref="CF20">
    <cfRule type="cellIs" dxfId="625" priority="93" stopIfTrue="1" operator="equal">
      <formula>"WARNING"</formula>
    </cfRule>
  </conditionalFormatting>
  <conditionalFormatting sqref="AW21">
    <cfRule type="cellIs" dxfId="624" priority="58" stopIfTrue="1" operator="equal">
      <formula>"ERROR"</formula>
    </cfRule>
    <cfRule type="cellIs" dxfId="623" priority="59" stopIfTrue="1" operator="equal">
      <formula>"OK"</formula>
    </cfRule>
    <cfRule type="cellIs" dxfId="622" priority="60" stopIfTrue="1" operator="equal">
      <formula>"WARNING"</formula>
    </cfRule>
  </conditionalFormatting>
  <conditionalFormatting sqref="AW21:AW37">
    <cfRule type="cellIs" dxfId="621" priority="55" stopIfTrue="1" operator="equal">
      <formula>"ERROR"</formula>
    </cfRule>
    <cfRule type="cellIs" dxfId="620" priority="56" stopIfTrue="1" operator="equal">
      <formula>"OK"</formula>
    </cfRule>
    <cfRule type="cellIs" dxfId="619" priority="57" stopIfTrue="1" operator="equal">
      <formula>"WARNING"</formula>
    </cfRule>
  </conditionalFormatting>
  <conditionalFormatting sqref="AW31:AW43">
    <cfRule type="cellIs" dxfId="618" priority="52" stopIfTrue="1" operator="equal">
      <formula>"ERROR"</formula>
    </cfRule>
    <cfRule type="cellIs" dxfId="617" priority="53" stopIfTrue="1" operator="equal">
      <formula>"OK"</formula>
    </cfRule>
    <cfRule type="cellIs" dxfId="616" priority="54" stopIfTrue="1" operator="equal">
      <formula>"WARNING"</formula>
    </cfRule>
  </conditionalFormatting>
  <conditionalFormatting sqref="AW21:AW35">
    <cfRule type="cellIs" dxfId="615" priority="49" stopIfTrue="1" operator="equal">
      <formula>"ERROR"</formula>
    </cfRule>
    <cfRule type="cellIs" dxfId="614" priority="50" stopIfTrue="1" operator="equal">
      <formula>"OK"</formula>
    </cfRule>
    <cfRule type="cellIs" dxfId="613" priority="51" stopIfTrue="1" operator="equal">
      <formula>"WARNING"</formula>
    </cfRule>
  </conditionalFormatting>
  <conditionalFormatting sqref="AW44:AW46">
    <cfRule type="cellIs" dxfId="612" priority="46" stopIfTrue="1" operator="equal">
      <formula>"ERROR"</formula>
    </cfRule>
    <cfRule type="cellIs" dxfId="611" priority="47" stopIfTrue="1" operator="equal">
      <formula>"OK"</formula>
    </cfRule>
    <cfRule type="cellIs" dxfId="610" priority="48" stopIfTrue="1" operator="equal">
      <formula>"WARNING"</formula>
    </cfRule>
  </conditionalFormatting>
  <conditionalFormatting sqref="AW44:AW46">
    <cfRule type="cellIs" dxfId="609" priority="43" stopIfTrue="1" operator="equal">
      <formula>"ERROR"</formula>
    </cfRule>
    <cfRule type="cellIs" dxfId="608" priority="44" stopIfTrue="1" operator="equal">
      <formula>"OK"</formula>
    </cfRule>
    <cfRule type="cellIs" dxfId="607" priority="45" stopIfTrue="1" operator="equal">
      <formula>"WARNING"</formula>
    </cfRule>
  </conditionalFormatting>
  <conditionalFormatting sqref="AS81:AX81 AP80:AR80 AX86:AY87 AT86:AT110 AU113:AU115 AW112">
    <cfRule type="cellIs" dxfId="606" priority="40" stopIfTrue="1" operator="equal">
      <formula>"ERROR"</formula>
    </cfRule>
    <cfRule type="cellIs" dxfId="605" priority="41" stopIfTrue="1" operator="equal">
      <formula>"OK"</formula>
    </cfRule>
    <cfRule type="cellIs" dxfId="604" priority="42" stopIfTrue="1" operator="equal">
      <formula>"WARNING"</formula>
    </cfRule>
  </conditionalFormatting>
  <conditionalFormatting sqref="AP84:AQ84 AP85:AX85 AS80:AX80 AP86:AR101 AX88:AY111 AS86:AT110">
    <cfRule type="cellIs" dxfId="603" priority="37" stopIfTrue="1" operator="equal">
      <formula>"ERROR"</formula>
    </cfRule>
    <cfRule type="cellIs" dxfId="602" priority="38" stopIfTrue="1" operator="equal">
      <formula>"OK"</formula>
    </cfRule>
    <cfRule type="cellIs" dxfId="601" priority="39" stopIfTrue="1" operator="equal">
      <formula>"WARNING"</formula>
    </cfRule>
  </conditionalFormatting>
  <conditionalFormatting sqref="AR80">
    <cfRule type="cellIs" dxfId="600" priority="34" stopIfTrue="1" operator="equal">
      <formula>"ERROR"</formula>
    </cfRule>
    <cfRule type="cellIs" dxfId="599" priority="35" stopIfTrue="1" operator="equal">
      <formula>"OK"</formula>
    </cfRule>
    <cfRule type="cellIs" dxfId="598" priority="36" stopIfTrue="1" operator="equal">
      <formula>"WARNING"</formula>
    </cfRule>
  </conditionalFormatting>
  <conditionalFormatting sqref="AP95:AR107">
    <cfRule type="cellIs" dxfId="597" priority="31" stopIfTrue="1" operator="equal">
      <formula>"ERROR"</formula>
    </cfRule>
    <cfRule type="cellIs" dxfId="596" priority="32" stopIfTrue="1" operator="equal">
      <formula>"OK"</formula>
    </cfRule>
    <cfRule type="cellIs" dxfId="595" priority="33" stopIfTrue="1" operator="equal">
      <formula>"WARNING"</formula>
    </cfRule>
  </conditionalFormatting>
  <conditionalFormatting sqref="AP85:AR99">
    <cfRule type="cellIs" dxfId="594" priority="28" stopIfTrue="1" operator="equal">
      <formula>"ERROR"</formula>
    </cfRule>
    <cfRule type="cellIs" dxfId="593" priority="29" stopIfTrue="1" operator="equal">
      <formula>"OK"</formula>
    </cfRule>
    <cfRule type="cellIs" dxfId="592" priority="30" stopIfTrue="1" operator="equal">
      <formula>"WARNING"</formula>
    </cfRule>
  </conditionalFormatting>
  <conditionalFormatting sqref="AP108:AR110">
    <cfRule type="cellIs" dxfId="591" priority="25" stopIfTrue="1" operator="equal">
      <formula>"ERROR"</formula>
    </cfRule>
    <cfRule type="cellIs" dxfId="590" priority="26" stopIfTrue="1" operator="equal">
      <formula>"OK"</formula>
    </cfRule>
    <cfRule type="cellIs" dxfId="589" priority="27" stopIfTrue="1" operator="equal">
      <formula>"WARNING"</formula>
    </cfRule>
  </conditionalFormatting>
  <conditionalFormatting sqref="AP108:AR110">
    <cfRule type="cellIs" dxfId="588" priority="22" stopIfTrue="1" operator="equal">
      <formula>"ERROR"</formula>
    </cfRule>
    <cfRule type="cellIs" dxfId="587" priority="23" stopIfTrue="1" operator="equal">
      <formula>"OK"</formula>
    </cfRule>
    <cfRule type="cellIs" dxfId="586" priority="24" stopIfTrue="1" operator="equal">
      <formula>"WARNING"</formula>
    </cfRule>
  </conditionalFormatting>
  <conditionalFormatting sqref="Z77">
    <cfRule type="cellIs" dxfId="585" priority="19" stopIfTrue="1" operator="equal">
      <formula>"ERROR"</formula>
    </cfRule>
    <cfRule type="cellIs" dxfId="584" priority="20" stopIfTrue="1" operator="equal">
      <formula>"OK"</formula>
    </cfRule>
    <cfRule type="cellIs" dxfId="583" priority="21" stopIfTrue="1" operator="equal">
      <formula>"WARNING"</formula>
    </cfRule>
  </conditionalFormatting>
  <conditionalFormatting sqref="AW86">
    <cfRule type="cellIs" dxfId="582" priority="16" stopIfTrue="1" operator="equal">
      <formula>"ERROR"</formula>
    </cfRule>
    <cfRule type="cellIs" dxfId="581" priority="17" stopIfTrue="1" operator="equal">
      <formula>"OK"</formula>
    </cfRule>
    <cfRule type="cellIs" dxfId="580" priority="18" stopIfTrue="1" operator="equal">
      <formula>"WARNING"</formula>
    </cfRule>
  </conditionalFormatting>
  <conditionalFormatting sqref="AW86:AW102">
    <cfRule type="cellIs" dxfId="579" priority="13" stopIfTrue="1" operator="equal">
      <formula>"ERROR"</formula>
    </cfRule>
    <cfRule type="cellIs" dxfId="578" priority="14" stopIfTrue="1" operator="equal">
      <formula>"OK"</formula>
    </cfRule>
    <cfRule type="cellIs" dxfId="577" priority="15" stopIfTrue="1" operator="equal">
      <formula>"WARNING"</formula>
    </cfRule>
  </conditionalFormatting>
  <conditionalFormatting sqref="AW96:AW108">
    <cfRule type="cellIs" dxfId="576" priority="10" stopIfTrue="1" operator="equal">
      <formula>"ERROR"</formula>
    </cfRule>
    <cfRule type="cellIs" dxfId="575" priority="11" stopIfTrue="1" operator="equal">
      <formula>"OK"</formula>
    </cfRule>
    <cfRule type="cellIs" dxfId="574" priority="12" stopIfTrue="1" operator="equal">
      <formula>"WARNING"</formula>
    </cfRule>
  </conditionalFormatting>
  <conditionalFormatting sqref="AW86:AW100">
    <cfRule type="cellIs" dxfId="573" priority="7" stopIfTrue="1" operator="equal">
      <formula>"ERROR"</formula>
    </cfRule>
    <cfRule type="cellIs" dxfId="572" priority="8" stopIfTrue="1" operator="equal">
      <formula>"OK"</formula>
    </cfRule>
    <cfRule type="cellIs" dxfId="571" priority="9" stopIfTrue="1" operator="equal">
      <formula>"WARNING"</formula>
    </cfRule>
  </conditionalFormatting>
  <conditionalFormatting sqref="AW109:AW111">
    <cfRule type="cellIs" dxfId="570" priority="4" stopIfTrue="1" operator="equal">
      <formula>"ERROR"</formula>
    </cfRule>
    <cfRule type="cellIs" dxfId="569" priority="5" stopIfTrue="1" operator="equal">
      <formula>"OK"</formula>
    </cfRule>
    <cfRule type="cellIs" dxfId="568" priority="6" stopIfTrue="1" operator="equal">
      <formula>"WARNING"</formula>
    </cfRule>
  </conditionalFormatting>
  <conditionalFormatting sqref="AW109:AW111">
    <cfRule type="cellIs" dxfId="567" priority="1" stopIfTrue="1" operator="equal">
      <formula>"ERROR"</formula>
    </cfRule>
    <cfRule type="cellIs" dxfId="566" priority="2" stopIfTrue="1" operator="equal">
      <formula>"OK"</formula>
    </cfRule>
    <cfRule type="cellIs" dxfId="565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Z22:AA22 AD22:AE22 AH22:AI22 Z76:AA76 AD76:AE76 AH76:AI76 Z87:AA87 AD87:AE87 AH87:AI87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CA33:CB33 BB29:BC29 BJ29:BK29 BR30:BS30 AL94:AM94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CA25:CB25 CA29:CB29 BB21:BC21 BB25:BC25 BJ22:BK22 BJ26:BK26 BR22:BS22 BR26:BS26 AL75:AM75 AL86:AM86 AL90:AM90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topLeftCell="A19" zoomScaleNormal="100" workbookViewId="0">
      <selection activeCell="B26" sqref="B26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373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715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716</v>
      </c>
      <c r="C8" s="201"/>
      <c r="D8" s="163" t="str">
        <f ca="1">C45</f>
        <v>Ok</v>
      </c>
    </row>
    <row r="9" spans="2:22">
      <c r="B9" s="201" t="s">
        <v>433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438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620</v>
      </c>
      <c r="C11" s="201"/>
      <c r="D11" s="819" t="str">
        <f ca="1">C121</f>
        <v>Ok</v>
      </c>
    </row>
    <row r="12" spans="2:22" s="430" customFormat="1">
      <c r="B12" s="201" t="s">
        <v>721</v>
      </c>
      <c r="C12" s="201"/>
      <c r="D12" s="819" t="str">
        <f>C130</f>
        <v>Ok</v>
      </c>
    </row>
    <row r="13" spans="2:22" s="430" customFormat="1">
      <c r="B13" s="201" t="s">
        <v>730</v>
      </c>
      <c r="C13" s="201"/>
      <c r="D13" s="819" t="str">
        <f>C144</f>
        <v>Ok</v>
      </c>
    </row>
    <row r="14" spans="2:22" s="430" customFormat="1">
      <c r="B14" s="201" t="s">
        <v>732</v>
      </c>
      <c r="C14" s="201"/>
      <c r="D14" s="819" t="str">
        <f>C174</f>
        <v>Ok</v>
      </c>
    </row>
    <row r="15" spans="2:22" s="430" customFormat="1">
      <c r="B15" s="201" t="s">
        <v>734</v>
      </c>
      <c r="C15" s="201"/>
      <c r="D15" s="819" t="str">
        <f>C187</f>
        <v>Ok</v>
      </c>
    </row>
    <row r="18" spans="2:22" ht="18.75">
      <c r="B18" s="3" t="s">
        <v>715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163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766</v>
      </c>
      <c r="C22" s="4"/>
      <c r="E22" s="4" t="s">
        <v>765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87" t="str" cm="1">
        <f t="array" aca="1" ref="B25" ca="1">_xll.d.Curve_CreateFromDiscountFactors(_xll.d.Excel_GetSheetName()&amp;"_CreateFromDFsWOExtrap",B28:C31,B35:B40,C35:C40)</f>
        <v>@@Curves_CreateFromDFsWOExtrap::15:59:47</v>
      </c>
      <c r="C25" s="541"/>
      <c r="D25" s="430"/>
      <c r="E25" s="987" t="str" cm="1">
        <f t="array" aca="1" ref="E25" ca="1">_xll.d.Curve_CreateFromDiscountFactors(_xll.d.Excel_GetSheetName()&amp;"_CreateFromDFsWExtrap",E28:F31,E35:E40,F35:F40)</f>
        <v>@@Curves_CreateFromDFsWExtrap::15:59:52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1010" t="s">
        <v>682</v>
      </c>
      <c r="C30" s="141" t="s">
        <v>56</v>
      </c>
      <c r="E30" s="1010" t="s">
        <v>682</v>
      </c>
      <c r="F30" s="141" t="s">
        <v>56</v>
      </c>
    </row>
    <row r="31" spans="2:22">
      <c r="B31" s="142" t="s">
        <v>43</v>
      </c>
      <c r="C31" s="903" t="s">
        <v>691</v>
      </c>
      <c r="D31" s="1"/>
      <c r="E31" s="142" t="s">
        <v>43</v>
      </c>
      <c r="F31" s="903" t="s">
        <v>691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716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89" t="str" cm="1">
        <f t="array" aca="1" ref="B48" ca="1">_xll.d.Curve_CreateFromZeroRates(_xll.d.Excel_GetSheetName()&amp;"_CreateFromZeroRatesCurve",B51:C55,B59:B64,C59:C64)</f>
        <v>@@Curves_CreateFromZeroRatesCurve::15:59:52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1011"/>
      <c r="F53" s="289"/>
      <c r="G53" s="289"/>
      <c r="H53" s="289"/>
    </row>
    <row r="54" spans="2:8" s="430" customFormat="1">
      <c r="B54" s="956" t="s">
        <v>717</v>
      </c>
      <c r="C54" s="957" t="s">
        <v>62</v>
      </c>
      <c r="D54" s="289"/>
      <c r="E54" s="1011"/>
      <c r="F54" s="289"/>
      <c r="G54" s="289"/>
      <c r="H54" s="289"/>
    </row>
    <row r="55" spans="2:8" s="430" customFormat="1">
      <c r="B55" s="142" t="s">
        <v>43</v>
      </c>
      <c r="C55" s="958" t="s">
        <v>719</v>
      </c>
      <c r="D55" s="913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768</v>
      </c>
      <c r="F57" s="27"/>
      <c r="G57" s="27"/>
      <c r="H57" s="289"/>
    </row>
    <row r="58" spans="2:8" s="430" customFormat="1">
      <c r="B58" s="12" t="s">
        <v>0</v>
      </c>
      <c r="C58" s="13" t="s">
        <v>718</v>
      </c>
      <c r="D58" s="289"/>
      <c r="E58" s="520" t="s">
        <v>65</v>
      </c>
      <c r="F58" s="959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1012" t="s">
        <v>767</v>
      </c>
      <c r="E59" s="1013">
        <f t="array" aca="1" ref="E59:E64" ca="1">_xll.d.Curve_GetDiscountFactors(B48,B59:B64)</f>
        <v>1</v>
      </c>
      <c r="F59" s="1014">
        <f t="array" ref="F59">C35</f>
        <v>1</v>
      </c>
      <c r="G59" s="1015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1016">
        <f ca="1"/>
        <v>0.99</v>
      </c>
      <c r="F60" s="1017">
        <f t="shared" ref="F60:F64" si="0">C36</f>
        <v>0.99</v>
      </c>
      <c r="G60" s="1015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1016">
        <f ca="1"/>
        <v>0.98</v>
      </c>
      <c r="F61" s="1017">
        <f t="shared" si="0"/>
        <v>0.98</v>
      </c>
      <c r="G61" s="1015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1016">
        <f ca="1"/>
        <v>0.97</v>
      </c>
      <c r="F62" s="1017">
        <f t="shared" si="0"/>
        <v>0.97</v>
      </c>
      <c r="G62" s="1015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1016">
        <f ca="1"/>
        <v>0.96</v>
      </c>
      <c r="F63" s="1017">
        <f t="shared" si="0"/>
        <v>0.96</v>
      </c>
      <c r="G63" s="1015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1018">
        <f ca="1"/>
        <v>0.62</v>
      </c>
      <c r="F64" s="1019">
        <f t="shared" si="0"/>
        <v>0.62</v>
      </c>
      <c r="G64" s="1015" t="str" cm="1">
        <f t="array" aca="1" ref="G64" ca="1">_xll.d.TestUtils_Equal(E64,F64)</f>
        <v>Ok</v>
      </c>
      <c r="H64" s="289"/>
    </row>
    <row r="65" spans="2:20" s="430" customFormat="1">
      <c r="D65" s="1020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769</v>
      </c>
      <c r="C71" s="4"/>
      <c r="D71" s="4"/>
      <c r="E71" s="4"/>
      <c r="G71" s="4" t="s">
        <v>771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432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539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>B40</f>
        <v>46022</v>
      </c>
      <c r="C87" s="613">
        <f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433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770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539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438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440</v>
      </c>
      <c r="E111" s="495" t="s">
        <v>441</v>
      </c>
      <c r="F111" s="495" t="s">
        <v>439</v>
      </c>
      <c r="G111" s="495" t="s">
        <v>442</v>
      </c>
      <c r="H111" s="495"/>
      <c r="I111" s="495" t="s">
        <v>67</v>
      </c>
      <c r="J111" s="495" t="s">
        <v>439</v>
      </c>
      <c r="K111" s="495" t="s">
        <v>442</v>
      </c>
      <c r="L111" s="495"/>
      <c r="M111" s="495" t="s">
        <v>67</v>
      </c>
      <c r="N111" s="495" t="s">
        <v>439</v>
      </c>
      <c r="O111" s="495" t="s">
        <v>442</v>
      </c>
      <c r="P111" s="495" t="s">
        <v>67</v>
      </c>
      <c r="Q111" s="495" t="s">
        <v>439</v>
      </c>
      <c r="R111" s="495" t="s">
        <v>442</v>
      </c>
      <c r="S111" s="495" t="s">
        <v>67</v>
      </c>
      <c r="T111" s="495" t="s">
        <v>439</v>
      </c>
      <c r="U111" s="495" t="s">
        <v>442</v>
      </c>
      <c r="V111" s="495" t="s">
        <v>67</v>
      </c>
      <c r="W111" s="495" t="s">
        <v>439</v>
      </c>
      <c r="X111" s="495" t="s">
        <v>442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620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622</v>
      </c>
      <c r="C122" s="430"/>
    </row>
    <row r="123" spans="2:25">
      <c r="B123" s="470" t="s">
        <v>720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621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721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622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720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62" t="str" cm="1">
        <f t="array" ref="B134:B139">_xll.d.Curve_GetRateIndices()</f>
        <v>Rate Indices</v>
      </c>
      <c r="C134" s="963" t="s">
        <v>722</v>
      </c>
      <c r="D134" s="961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64" t="str">
        <v>EURIBOR</v>
      </c>
      <c r="C135" s="965" t="s">
        <v>723</v>
      </c>
      <c r="D135" s="961" t="str" cm="1">
        <f t="array" ref="D135">_xll.d.TestUtils_Equal(B135,C135)</f>
        <v>Ok</v>
      </c>
      <c r="E135" s="430"/>
      <c r="H135"/>
      <c r="L135"/>
    </row>
    <row r="136" spans="2:20">
      <c r="B136" s="964" t="str">
        <v>FEDFUND</v>
      </c>
      <c r="C136" s="965" t="s">
        <v>51</v>
      </c>
      <c r="D136" s="961" t="str" cm="1">
        <f t="array" ref="D136">_xll.d.TestUtils_Equal(B136,C136)</f>
        <v>Ok</v>
      </c>
      <c r="E136" s="430"/>
      <c r="H136"/>
      <c r="L136"/>
    </row>
    <row r="137" spans="2:20">
      <c r="B137" s="964" t="str">
        <v>JIBAR</v>
      </c>
      <c r="C137" s="965" t="s">
        <v>33</v>
      </c>
      <c r="D137" s="961" t="str" cm="1">
        <f t="array" ref="D137">_xll.d.TestUtils_Equal(B137,C137)</f>
        <v>Ok</v>
      </c>
      <c r="E137" s="430"/>
      <c r="H137"/>
      <c r="L137"/>
    </row>
    <row r="138" spans="2:20">
      <c r="B138" s="964" t="str">
        <v>SOFR</v>
      </c>
      <c r="C138" s="965" t="s">
        <v>773</v>
      </c>
      <c r="D138" s="961" t="str" cm="1">
        <f t="array" ref="D138">_xll.d.TestUtils_Equal(B138,C138)</f>
        <v>Ok</v>
      </c>
      <c r="E138" s="430"/>
      <c r="H138"/>
      <c r="L138"/>
    </row>
    <row r="139" spans="2:20">
      <c r="B139" s="966" t="str">
        <v>USD_LIBOR</v>
      </c>
      <c r="C139" s="967" t="s">
        <v>698</v>
      </c>
      <c r="D139" s="961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730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622</v>
      </c>
    </row>
    <row r="146" spans="2:14" s="430" customFormat="1">
      <c r="B146" s="470" t="s">
        <v>720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68" t="str" cm="1">
        <f t="array" ref="B148:B156">_xll.d.Curve_GetInterpolationMethodsForBootstrapping()</f>
        <v>IR Bootstrapping Interpolation Methods</v>
      </c>
      <c r="C148" s="960"/>
      <c r="D148" s="969" t="s">
        <v>724</v>
      </c>
      <c r="E148" s="970"/>
      <c r="F148" s="961" t="str" cm="1">
        <f t="array" ref="F148">_xll.d.TestUtils_Equal(B148,D148)</f>
        <v>Ok</v>
      </c>
    </row>
    <row r="149" spans="2:14" s="430" customFormat="1">
      <c r="B149" s="971" t="str">
        <v>Flat_On_ForwardRates</v>
      </c>
      <c r="C149" s="26"/>
      <c r="D149" s="972" t="s">
        <v>725</v>
      </c>
      <c r="E149" s="973"/>
      <c r="F149" s="961" t="str" cm="1">
        <f t="array" ref="F149">_xll.d.TestUtils_Equal(B149,D149)</f>
        <v>Ok</v>
      </c>
    </row>
    <row r="150" spans="2:14" s="430" customFormat="1">
      <c r="B150" s="971" t="str">
        <v>CubicSpline_On_DiscountFactors</v>
      </c>
      <c r="C150" s="26"/>
      <c r="D150" s="972" t="s">
        <v>690</v>
      </c>
      <c r="E150" s="973"/>
      <c r="F150" s="961" t="str" cm="1">
        <f t="array" ref="F150">_xll.d.TestUtils_Equal(B150,D150)</f>
        <v>Ok</v>
      </c>
    </row>
    <row r="151" spans="2:14" s="430" customFormat="1">
      <c r="B151" s="971" t="str">
        <v>Exponential_On_DiscountFactors</v>
      </c>
      <c r="C151" s="26"/>
      <c r="D151" s="972" t="s">
        <v>691</v>
      </c>
      <c r="E151" s="973"/>
      <c r="F151" s="961" t="str" cm="1">
        <f t="array" ref="F151">_xll.d.TestUtils_Equal(B151,D151)</f>
        <v>Ok</v>
      </c>
    </row>
    <row r="152" spans="2:14" s="430" customFormat="1">
      <c r="B152" s="971" t="str">
        <v>LogCubic_On_DiscountFactors</v>
      </c>
      <c r="C152" s="26"/>
      <c r="D152" s="972" t="s">
        <v>726</v>
      </c>
      <c r="E152" s="973"/>
      <c r="F152" s="961" t="str" cm="1">
        <f t="array" ref="F152">_xll.d.TestUtils_Equal(B152,D152)</f>
        <v>Ok</v>
      </c>
    </row>
    <row r="153" spans="2:14">
      <c r="B153" s="971" t="str">
        <v>NaturalLogCubic_On_DiscountFactors</v>
      </c>
      <c r="C153" s="26"/>
      <c r="D153" s="972" t="s">
        <v>727</v>
      </c>
      <c r="E153" s="973"/>
      <c r="F153" s="961" t="str" cm="1">
        <f t="array" ref="F153">_xll.d.TestUtils_Equal(B153,D153)</f>
        <v>Ok</v>
      </c>
      <c r="H153"/>
      <c r="J153" s="430"/>
      <c r="L153"/>
      <c r="N153" s="430"/>
    </row>
    <row r="154" spans="2:14">
      <c r="B154" s="971" t="str">
        <v>Cubic_On_ZeroRates</v>
      </c>
      <c r="C154" s="26"/>
      <c r="D154" s="972" t="s">
        <v>728</v>
      </c>
      <c r="E154" s="973"/>
      <c r="F154" s="961" t="str" cm="1">
        <f t="array" ref="F154">_xll.d.TestUtils_Equal(B154,D154)</f>
        <v>Ok</v>
      </c>
      <c r="H154"/>
      <c r="J154" s="430"/>
      <c r="L154"/>
      <c r="N154" s="430"/>
    </row>
    <row r="155" spans="2:14">
      <c r="B155" s="971" t="str">
        <v>Linear_On_ZeroRates</v>
      </c>
      <c r="C155" s="26"/>
      <c r="D155" s="972" t="s">
        <v>719</v>
      </c>
      <c r="E155" s="973"/>
      <c r="F155" s="961" t="str" cm="1">
        <f t="array" ref="F155">_xll.d.TestUtils_Equal(B155,D155)</f>
        <v>Ok</v>
      </c>
      <c r="H155"/>
      <c r="J155" s="430"/>
      <c r="L155"/>
      <c r="N155" s="430"/>
    </row>
    <row r="156" spans="2:14">
      <c r="B156" s="974" t="str">
        <v>NaturalCubic_On_ZeroRates</v>
      </c>
      <c r="C156" s="975"/>
      <c r="D156" s="976" t="s">
        <v>729</v>
      </c>
      <c r="E156" s="977"/>
      <c r="F156" s="961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730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622</v>
      </c>
      <c r="C162" s="430"/>
      <c r="D162" s="430"/>
      <c r="E162" s="430"/>
      <c r="F162" s="430"/>
    </row>
    <row r="163" spans="2:6">
      <c r="B163" s="470" t="s">
        <v>720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68" t="str" cm="1">
        <f t="array" ref="B165:B169">_xll.d.Curve_GetInterpolationMethodsForDiscountFactors()</f>
        <v>Interpolation Methods for Discount Factors</v>
      </c>
      <c r="C165" s="960"/>
      <c r="D165" s="969" t="s">
        <v>731</v>
      </c>
      <c r="E165" s="970"/>
      <c r="F165" s="961" t="str" cm="1">
        <f t="array" ref="F165">_xll.d.TestUtils_Equal(B165,D165)</f>
        <v>Ok</v>
      </c>
    </row>
    <row r="166" spans="2:6">
      <c r="B166" s="971" t="str">
        <v>CubicSpline_On_DiscountFactors</v>
      </c>
      <c r="C166" s="26"/>
      <c r="D166" s="972" t="s">
        <v>690</v>
      </c>
      <c r="E166" s="973"/>
      <c r="F166" s="961" t="str" cm="1">
        <f t="array" ref="F166">_xll.d.TestUtils_Equal(B166,D166)</f>
        <v>Ok</v>
      </c>
    </row>
    <row r="167" spans="2:6">
      <c r="B167" s="971" t="str">
        <v>Exponential_On_DiscountFactors</v>
      </c>
      <c r="C167" s="26"/>
      <c r="D167" s="972" t="s">
        <v>691</v>
      </c>
      <c r="E167" s="973"/>
      <c r="F167" s="961" t="str" cm="1">
        <f t="array" ref="F167">_xll.d.TestUtils_Equal(B167,D167)</f>
        <v>Ok</v>
      </c>
    </row>
    <row r="168" spans="2:6">
      <c r="B168" s="971" t="str">
        <v>LogCubic_On_DiscountFactors</v>
      </c>
      <c r="C168" s="26"/>
      <c r="D168" s="972" t="s">
        <v>726</v>
      </c>
      <c r="E168" s="973"/>
      <c r="F168" s="961" t="str" cm="1">
        <f t="array" ref="F168">_xll.d.TestUtils_Equal(B168,D168)</f>
        <v>Ok</v>
      </c>
    </row>
    <row r="169" spans="2:6">
      <c r="B169" s="974" t="str">
        <v>NaturalLogCubic_On_DiscountFactors</v>
      </c>
      <c r="C169" s="975"/>
      <c r="D169" s="976" t="s">
        <v>727</v>
      </c>
      <c r="E169" s="977"/>
      <c r="F169" s="961" t="str" cm="1">
        <f t="array" ref="F169">_xll.d.TestUtils_Equal(B169,D169)</f>
        <v>Ok</v>
      </c>
    </row>
    <row r="172" spans="2:6" ht="18.75">
      <c r="B172" s="3" t="s">
        <v>732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622</v>
      </c>
      <c r="C175" s="430"/>
      <c r="D175" s="430"/>
      <c r="E175" s="430"/>
      <c r="F175" s="430"/>
    </row>
    <row r="176" spans="2:6">
      <c r="B176" s="470" t="s">
        <v>720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68" t="str" cm="1">
        <f t="array" ref="B178:B182">_xll.d.Curve_GetInterpolationMethodsForDiscountFactors()</f>
        <v>Interpolation Methods for Discount Factors</v>
      </c>
      <c r="C178" s="960"/>
      <c r="D178" s="969" t="s">
        <v>731</v>
      </c>
      <c r="E178" s="970"/>
      <c r="F178" s="961" t="str" cm="1">
        <f t="array" ref="F178">_xll.d.TestUtils_Equal(B178,D178)</f>
        <v>Ok</v>
      </c>
    </row>
    <row r="179" spans="2:6">
      <c r="B179" s="971" t="str">
        <v>CubicSpline_On_DiscountFactors</v>
      </c>
      <c r="C179" s="26"/>
      <c r="D179" s="972" t="s">
        <v>690</v>
      </c>
      <c r="E179" s="973"/>
      <c r="F179" s="961" t="str" cm="1">
        <f t="array" ref="F179">_xll.d.TestUtils_Equal(B179,D179)</f>
        <v>Ok</v>
      </c>
    </row>
    <row r="180" spans="2:6">
      <c r="B180" s="971" t="str">
        <v>Exponential_On_DiscountFactors</v>
      </c>
      <c r="C180" s="26"/>
      <c r="D180" s="972" t="s">
        <v>691</v>
      </c>
      <c r="E180" s="973"/>
      <c r="F180" s="961" t="str" cm="1">
        <f t="array" ref="F180">_xll.d.TestUtils_Equal(B180,D180)</f>
        <v>Ok</v>
      </c>
    </row>
    <row r="181" spans="2:6">
      <c r="B181" s="971" t="str">
        <v>LogCubic_On_DiscountFactors</v>
      </c>
      <c r="C181" s="26"/>
      <c r="D181" s="972" t="s">
        <v>726</v>
      </c>
      <c r="E181" s="973"/>
      <c r="F181" s="961" t="str" cm="1">
        <f t="array" ref="F181">_xll.d.TestUtils_Equal(B181,D181)</f>
        <v>Ok</v>
      </c>
    </row>
    <row r="182" spans="2:6">
      <c r="B182" s="974" t="str">
        <v>NaturalLogCubic_On_DiscountFactors</v>
      </c>
      <c r="C182" s="975"/>
      <c r="D182" s="976" t="s">
        <v>727</v>
      </c>
      <c r="E182" s="977"/>
      <c r="F182" s="961" t="str" cm="1">
        <f t="array" ref="F182">_xll.d.TestUtils_Equal(B182,D182)</f>
        <v>Ok</v>
      </c>
    </row>
    <row r="185" spans="2:6" ht="18.75">
      <c r="B185" s="3" t="s">
        <v>734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622</v>
      </c>
      <c r="C188" s="430"/>
      <c r="D188" s="430"/>
      <c r="E188" s="430"/>
      <c r="F188" s="430"/>
    </row>
    <row r="189" spans="2:6">
      <c r="B189" s="470" t="s">
        <v>720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68" t="str" cm="1">
        <f t="array" ref="B191:B194">_xll.d.Curve_GetInterpolationMethodsForZeroRates()</f>
        <v>Interpolation Methods for Zero Rates</v>
      </c>
      <c r="C191" s="960"/>
      <c r="D191" s="969" t="s">
        <v>733</v>
      </c>
      <c r="E191" s="970"/>
      <c r="F191" s="961" t="str" cm="1">
        <f t="array" ref="F191">_xll.d.TestUtils_Equal(B191,D191)</f>
        <v>Ok</v>
      </c>
    </row>
    <row r="192" spans="2:6">
      <c r="B192" s="971" t="str">
        <v>Cubic_On_ZeroRates</v>
      </c>
      <c r="C192" s="26"/>
      <c r="D192" s="972" t="s">
        <v>728</v>
      </c>
      <c r="E192" s="973"/>
      <c r="F192" s="961" t="str" cm="1">
        <f t="array" ref="F192">_xll.d.TestUtils_Equal(B192,D192)</f>
        <v>Ok</v>
      </c>
    </row>
    <row r="193" spans="2:6">
      <c r="B193" s="971" t="str">
        <v>Linear_On_ZeroRates</v>
      </c>
      <c r="C193" s="26"/>
      <c r="D193" s="972" t="s">
        <v>719</v>
      </c>
      <c r="E193" s="973"/>
      <c r="F193" s="961" t="str" cm="1">
        <f t="array" ref="F193">_xll.d.TestUtils_Equal(B193,D193)</f>
        <v>Ok</v>
      </c>
    </row>
    <row r="194" spans="2:6">
      <c r="B194" s="974" t="str">
        <v>NaturalCubic_On_ZeroRates</v>
      </c>
      <c r="C194" s="975"/>
      <c r="D194" s="976" t="s">
        <v>729</v>
      </c>
      <c r="E194" s="977"/>
      <c r="F194" s="961" t="str" cm="1">
        <f t="array" ref="F194">_xll.d.TestUtils_Equal(B194,D194)</f>
        <v>Ok</v>
      </c>
    </row>
  </sheetData>
  <conditionalFormatting sqref="E77:E87">
    <cfRule type="cellIs" dxfId="564" priority="73" stopIfTrue="1" operator="equal">
      <formula>"OK"</formula>
    </cfRule>
    <cfRule type="cellIs" dxfId="563" priority="74" stopIfTrue="1" operator="equal">
      <formula>"ERROR"</formula>
    </cfRule>
  </conditionalFormatting>
  <conditionalFormatting sqref="C73">
    <cfRule type="cellIs" dxfId="562" priority="71" stopIfTrue="1" operator="equal">
      <formula>"OK"</formula>
    </cfRule>
    <cfRule type="cellIs" dxfId="561" priority="72" stopIfTrue="1" operator="equal">
      <formula>"ERROR"</formula>
    </cfRule>
  </conditionalFormatting>
  <conditionalFormatting sqref="C20">
    <cfRule type="cellIs" dxfId="560" priority="75" stopIfTrue="1" operator="equal">
      <formula>"OK"</formula>
    </cfRule>
    <cfRule type="cellIs" dxfId="559" priority="76" stopIfTrue="1" operator="equal">
      <formula>"ERROR"</formula>
    </cfRule>
  </conditionalFormatting>
  <conditionalFormatting sqref="E98:E102">
    <cfRule type="cellIs" dxfId="558" priority="69" stopIfTrue="1" operator="equal">
      <formula>"OK"</formula>
    </cfRule>
    <cfRule type="cellIs" dxfId="557" priority="70" stopIfTrue="1" operator="equal">
      <formula>"ERROR"</formula>
    </cfRule>
  </conditionalFormatting>
  <conditionalFormatting sqref="S98:S102">
    <cfRule type="cellIs" dxfId="556" priority="67" stopIfTrue="1" operator="equal">
      <formula>"OK"</formula>
    </cfRule>
    <cfRule type="cellIs" dxfId="555" priority="68" stopIfTrue="1" operator="equal">
      <formula>"ERROR"</formula>
    </cfRule>
  </conditionalFormatting>
  <conditionalFormatting sqref="P98:P102">
    <cfRule type="cellIs" dxfId="554" priority="65" stopIfTrue="1" operator="equal">
      <formula>"OK"</formula>
    </cfRule>
    <cfRule type="cellIs" dxfId="553" priority="66" stopIfTrue="1" operator="equal">
      <formula>"ERROR"</formula>
    </cfRule>
  </conditionalFormatting>
  <conditionalFormatting sqref="AD99">
    <cfRule type="cellIs" dxfId="552" priority="63" stopIfTrue="1" operator="equal">
      <formula>"OK"</formula>
    </cfRule>
    <cfRule type="cellIs" dxfId="551" priority="64" stopIfTrue="1" operator="equal">
      <formula>"ERROR"</formula>
    </cfRule>
  </conditionalFormatting>
  <conditionalFormatting sqref="D7:D8">
    <cfRule type="cellIs" dxfId="550" priority="77" stopIfTrue="1" operator="equal">
      <formula>"ERROR"</formula>
    </cfRule>
    <cfRule type="cellIs" dxfId="549" priority="78" stopIfTrue="1" operator="equal">
      <formula>"OK"</formula>
    </cfRule>
    <cfRule type="cellIs" dxfId="548" priority="79" stopIfTrue="1" operator="equal">
      <formula>"WARNING"</formula>
    </cfRule>
  </conditionalFormatting>
  <conditionalFormatting sqref="Y94:Y95">
    <cfRule type="cellIs" dxfId="547" priority="61" stopIfTrue="1" operator="equal">
      <formula>"OK"</formula>
    </cfRule>
    <cfRule type="cellIs" dxfId="546" priority="62" stopIfTrue="1" operator="equal">
      <formula>"ERROR"</formula>
    </cfRule>
  </conditionalFormatting>
  <conditionalFormatting sqref="I98:I102">
    <cfRule type="cellIs" dxfId="545" priority="59" stopIfTrue="1" operator="equal">
      <formula>"OK"</formula>
    </cfRule>
    <cfRule type="cellIs" dxfId="544" priority="60" stopIfTrue="1" operator="equal">
      <formula>"ERROR"</formula>
    </cfRule>
  </conditionalFormatting>
  <conditionalFormatting sqref="C92">
    <cfRule type="cellIs" dxfId="543" priority="57" stopIfTrue="1" operator="equal">
      <formula>"OK"</formula>
    </cfRule>
    <cfRule type="cellIs" dxfId="542" priority="58" stopIfTrue="1" operator="equal">
      <formula>"ERROR"</formula>
    </cfRule>
  </conditionalFormatting>
  <conditionalFormatting sqref="M98:M102">
    <cfRule type="cellIs" dxfId="541" priority="55" stopIfTrue="1" operator="equal">
      <formula>"OK"</formula>
    </cfRule>
    <cfRule type="cellIs" dxfId="540" priority="56" stopIfTrue="1" operator="equal">
      <formula>"ERROR"</formula>
    </cfRule>
  </conditionalFormatting>
  <conditionalFormatting sqref="V98:V102">
    <cfRule type="cellIs" dxfId="539" priority="53" stopIfTrue="1" operator="equal">
      <formula>"OK"</formula>
    </cfRule>
    <cfRule type="cellIs" dxfId="538" priority="54" stopIfTrue="1" operator="equal">
      <formula>"ERROR"</formula>
    </cfRule>
  </conditionalFormatting>
  <conditionalFormatting sqref="D9">
    <cfRule type="cellIs" dxfId="537" priority="80" stopIfTrue="1" operator="equal">
      <formula>"ERROR"</formula>
    </cfRule>
    <cfRule type="cellIs" dxfId="536" priority="81" stopIfTrue="1" operator="equal">
      <formula>"OK"</formula>
    </cfRule>
    <cfRule type="cellIs" dxfId="535" priority="82" stopIfTrue="1" operator="equal">
      <formula>"WARNING"</formula>
    </cfRule>
  </conditionalFormatting>
  <conditionalFormatting sqref="C4">
    <cfRule type="cellIs" dxfId="534" priority="51" stopIfTrue="1" operator="equal">
      <formula>"OK"</formula>
    </cfRule>
    <cfRule type="cellIs" dxfId="533" priority="52" stopIfTrue="1" operator="equal">
      <formula>"ERROR"</formula>
    </cfRule>
  </conditionalFormatting>
  <conditionalFormatting sqref="I112:I116">
    <cfRule type="cellIs" dxfId="532" priority="49" stopIfTrue="1" operator="equal">
      <formula>"OK"</formula>
    </cfRule>
    <cfRule type="cellIs" dxfId="531" priority="50" stopIfTrue="1" operator="equal">
      <formula>"ERROR"</formula>
    </cfRule>
  </conditionalFormatting>
  <conditionalFormatting sqref="V112:V116">
    <cfRule type="cellIs" dxfId="530" priority="47" stopIfTrue="1" operator="equal">
      <formula>"OK"</formula>
    </cfRule>
    <cfRule type="cellIs" dxfId="529" priority="48" stopIfTrue="1" operator="equal">
      <formula>"ERROR"</formula>
    </cfRule>
  </conditionalFormatting>
  <conditionalFormatting sqref="S112:S116">
    <cfRule type="cellIs" dxfId="528" priority="45" stopIfTrue="1" operator="equal">
      <formula>"OK"</formula>
    </cfRule>
    <cfRule type="cellIs" dxfId="527" priority="46" stopIfTrue="1" operator="equal">
      <formula>"ERROR"</formula>
    </cfRule>
  </conditionalFormatting>
  <conditionalFormatting sqref="M112:M116">
    <cfRule type="cellIs" dxfId="526" priority="43" stopIfTrue="1" operator="equal">
      <formula>"OK"</formula>
    </cfRule>
    <cfRule type="cellIs" dxfId="525" priority="44" stopIfTrue="1" operator="equal">
      <formula>"ERROR"</formula>
    </cfRule>
  </conditionalFormatting>
  <conditionalFormatting sqref="C107">
    <cfRule type="cellIs" dxfId="524" priority="41" stopIfTrue="1" operator="equal">
      <formula>"OK"</formula>
    </cfRule>
    <cfRule type="cellIs" dxfId="523" priority="42" stopIfTrue="1" operator="equal">
      <formula>"ERROR"</formula>
    </cfRule>
  </conditionalFormatting>
  <conditionalFormatting sqref="P112:P116">
    <cfRule type="cellIs" dxfId="522" priority="39" stopIfTrue="1" operator="equal">
      <formula>"OK"</formula>
    </cfRule>
    <cfRule type="cellIs" dxfId="521" priority="40" stopIfTrue="1" operator="equal">
      <formula>"ERROR"</formula>
    </cfRule>
  </conditionalFormatting>
  <conditionalFormatting sqref="Y112:Y116">
    <cfRule type="cellIs" dxfId="520" priority="37" stopIfTrue="1" operator="equal">
      <formula>"OK"</formula>
    </cfRule>
    <cfRule type="cellIs" dxfId="519" priority="38" stopIfTrue="1" operator="equal">
      <formula>"ERROR"</formula>
    </cfRule>
  </conditionalFormatting>
  <conditionalFormatting sqref="D10:D15">
    <cfRule type="cellIs" dxfId="518" priority="83" stopIfTrue="1" operator="equal">
      <formula>"ERROR"</formula>
    </cfRule>
    <cfRule type="cellIs" dxfId="517" priority="84" stopIfTrue="1" operator="equal">
      <formula>"OK"</formula>
    </cfRule>
    <cfRule type="cellIs" dxfId="516" priority="85" stopIfTrue="1" operator="equal">
      <formula>"WARNING"</formula>
    </cfRule>
  </conditionalFormatting>
  <conditionalFormatting sqref="C69">
    <cfRule type="cellIs" dxfId="515" priority="35" stopIfTrue="1" operator="equal">
      <formula>"OK"</formula>
    </cfRule>
    <cfRule type="cellIs" dxfId="514" priority="36" stopIfTrue="1" operator="equal">
      <formula>"ERROR"</formula>
    </cfRule>
  </conditionalFormatting>
  <conditionalFormatting sqref="C121">
    <cfRule type="cellIs" dxfId="513" priority="33" stopIfTrue="1" operator="equal">
      <formula>"OK"</formula>
    </cfRule>
    <cfRule type="cellIs" dxfId="512" priority="34" stopIfTrue="1" operator="equal">
      <formula>"ERROR"</formula>
    </cfRule>
  </conditionalFormatting>
  <conditionalFormatting sqref="K125">
    <cfRule type="cellIs" dxfId="511" priority="31" stopIfTrue="1" operator="equal">
      <formula>"OK"</formula>
    </cfRule>
    <cfRule type="cellIs" dxfId="510" priority="32" stopIfTrue="1" operator="equal">
      <formula>"ERROR"</formula>
    </cfRule>
  </conditionalFormatting>
  <conditionalFormatting sqref="C45">
    <cfRule type="cellIs" dxfId="509" priority="29" stopIfTrue="1" operator="equal">
      <formula>"OK"</formula>
    </cfRule>
    <cfRule type="cellIs" dxfId="508" priority="30" stopIfTrue="1" operator="equal">
      <formula>"ERROR"</formula>
    </cfRule>
  </conditionalFormatting>
  <conditionalFormatting sqref="G59:G64">
    <cfRule type="cellIs" dxfId="507" priority="27" stopIfTrue="1" operator="equal">
      <formula>"OK"</formula>
    </cfRule>
    <cfRule type="cellIs" dxfId="506" priority="28" stopIfTrue="1" operator="equal">
      <formula>"ERROR"</formula>
    </cfRule>
  </conditionalFormatting>
  <conditionalFormatting sqref="C130">
    <cfRule type="cellIs" dxfId="505" priority="25" stopIfTrue="1" operator="equal">
      <formula>"OK"</formula>
    </cfRule>
    <cfRule type="cellIs" dxfId="504" priority="26" stopIfTrue="1" operator="equal">
      <formula>"ERROR"</formula>
    </cfRule>
  </conditionalFormatting>
  <conditionalFormatting sqref="D134:D139">
    <cfRule type="cellIs" dxfId="503" priority="23" stopIfTrue="1" operator="equal">
      <formula>"OK"</formula>
    </cfRule>
    <cfRule type="cellIs" dxfId="502" priority="24" stopIfTrue="1" operator="equal">
      <formula>"ERROR"</formula>
    </cfRule>
  </conditionalFormatting>
  <conditionalFormatting sqref="C144">
    <cfRule type="cellIs" dxfId="501" priority="21" stopIfTrue="1" operator="equal">
      <formula>"OK"</formula>
    </cfRule>
    <cfRule type="cellIs" dxfId="500" priority="22" stopIfTrue="1" operator="equal">
      <formula>"ERROR"</formula>
    </cfRule>
  </conditionalFormatting>
  <conditionalFormatting sqref="F148:F156">
    <cfRule type="cellIs" dxfId="499" priority="19" stopIfTrue="1" operator="equal">
      <formula>"OK"</formula>
    </cfRule>
    <cfRule type="cellIs" dxfId="498" priority="20" stopIfTrue="1" operator="equal">
      <formula>"ERROR"</formula>
    </cfRule>
  </conditionalFormatting>
  <conditionalFormatting sqref="C161">
    <cfRule type="cellIs" dxfId="497" priority="17" stopIfTrue="1" operator="equal">
      <formula>"OK"</formula>
    </cfRule>
    <cfRule type="cellIs" dxfId="496" priority="18" stopIfTrue="1" operator="equal">
      <formula>"ERROR"</formula>
    </cfRule>
  </conditionalFormatting>
  <conditionalFormatting sqref="F165:F169">
    <cfRule type="cellIs" dxfId="495" priority="15" stopIfTrue="1" operator="equal">
      <formula>"OK"</formula>
    </cfRule>
    <cfRule type="cellIs" dxfId="494" priority="16" stopIfTrue="1" operator="equal">
      <formula>"ERROR"</formula>
    </cfRule>
  </conditionalFormatting>
  <conditionalFormatting sqref="C174">
    <cfRule type="cellIs" dxfId="493" priority="13" stopIfTrue="1" operator="equal">
      <formula>"OK"</formula>
    </cfRule>
    <cfRule type="cellIs" dxfId="492" priority="14" stopIfTrue="1" operator="equal">
      <formula>"ERROR"</formula>
    </cfRule>
  </conditionalFormatting>
  <conditionalFormatting sqref="F178:F182">
    <cfRule type="cellIs" dxfId="491" priority="11" stopIfTrue="1" operator="equal">
      <formula>"OK"</formula>
    </cfRule>
    <cfRule type="cellIs" dxfId="490" priority="12" stopIfTrue="1" operator="equal">
      <formula>"ERROR"</formula>
    </cfRule>
  </conditionalFormatting>
  <conditionalFormatting sqref="C187">
    <cfRule type="cellIs" dxfId="489" priority="9" stopIfTrue="1" operator="equal">
      <formula>"OK"</formula>
    </cfRule>
    <cfRule type="cellIs" dxfId="488" priority="10" stopIfTrue="1" operator="equal">
      <formula>"ERROR"</formula>
    </cfRule>
  </conditionalFormatting>
  <conditionalFormatting sqref="F191:F193">
    <cfRule type="cellIs" dxfId="487" priority="7" stopIfTrue="1" operator="equal">
      <formula>"OK"</formula>
    </cfRule>
    <cfRule type="cellIs" dxfId="486" priority="8" stopIfTrue="1" operator="equal">
      <formula>"ERROR"</formula>
    </cfRule>
  </conditionalFormatting>
  <conditionalFormatting sqref="F194">
    <cfRule type="cellIs" dxfId="485" priority="5" stopIfTrue="1" operator="equal">
      <formula>"OK"</formula>
    </cfRule>
    <cfRule type="cellIs" dxfId="484" priority="6" stopIfTrue="1" operator="equal">
      <formula>"ERROR"</formula>
    </cfRule>
  </conditionalFormatting>
  <conditionalFormatting sqref="M77">
    <cfRule type="cellIs" dxfId="483" priority="3" stopIfTrue="1" operator="equal">
      <formula>"OK"</formula>
    </cfRule>
    <cfRule type="cellIs" dxfId="482" priority="4" stopIfTrue="1" operator="equal">
      <formula>"ERROR"</formula>
    </cfRule>
  </conditionalFormatting>
  <conditionalFormatting sqref="H73">
    <cfRule type="cellIs" dxfId="481" priority="1" stopIfTrue="1" operator="equal">
      <formula>"OK"</formula>
    </cfRule>
    <cfRule type="cellIs" dxfId="480" priority="2" stopIfTrue="1" operator="equal">
      <formula>"ERROR"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R69"/>
  <sheetViews>
    <sheetView showGridLines="0" topLeftCell="A19" zoomScaleNormal="100" workbookViewId="0">
      <selection activeCell="F7" sqref="F7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6" width="16.125" style="430" customWidth="1"/>
    <col min="27" max="31" width="20.75" style="430" customWidth="1"/>
    <col min="32" max="33" width="45.5" style="430" bestFit="1" customWidth="1"/>
    <col min="34" max="35" width="20.75" style="430" customWidth="1"/>
    <col min="36" max="36" width="18.75" style="430" bestFit="1" customWidth="1"/>
    <col min="37" max="37" width="17.875" style="430" bestFit="1" customWidth="1"/>
    <col min="38" max="40" width="9" style="430"/>
    <col min="41" max="41" width="9.5" style="430" bestFit="1" customWidth="1"/>
    <col min="42" max="43" width="9" style="430"/>
    <col min="44" max="44" width="11.625" style="430" bestFit="1" customWidth="1"/>
    <col min="45" max="16384" width="9" style="430"/>
  </cols>
  <sheetData>
    <row r="1" spans="2:35">
      <c r="B1" s="399" t="s">
        <v>373</v>
      </c>
      <c r="C1" s="486"/>
    </row>
    <row r="2" spans="2:35" ht="26.25">
      <c r="B2" s="2" t="s">
        <v>735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5">
      <c r="B4" s="55" t="s">
        <v>139</v>
      </c>
      <c r="C4" s="163" t="str" cm="1">
        <f t="array" aca="1" ref="C4" ca="1">_xll.d.TestUtils_And(D7:D7)</f>
        <v>Ok</v>
      </c>
    </row>
    <row r="6" spans="2:35">
      <c r="B6" s="50" t="s">
        <v>139</v>
      </c>
      <c r="C6" s="50"/>
      <c r="D6" s="50"/>
    </row>
    <row r="7" spans="2:35">
      <c r="B7" s="201" t="s">
        <v>772</v>
      </c>
      <c r="C7" s="201"/>
      <c r="D7" s="163" t="str">
        <f ca="1">C12</f>
        <v>Ok</v>
      </c>
    </row>
    <row r="8" spans="2:35">
      <c r="B8" s="430" t="s">
        <v>623</v>
      </c>
    </row>
    <row r="10" spans="2:35" ht="18.75">
      <c r="B10" s="3" t="s">
        <v>836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2" spans="2:35">
      <c r="B12" s="55" t="s">
        <v>139</v>
      </c>
      <c r="C12" s="163" t="str" cm="1">
        <f t="array" aca="1" ref="C12" ca="1">_xll.d.TestUtils_And(J27:J54)</f>
        <v>Ok</v>
      </c>
      <c r="M12" s="55" t="s">
        <v>139</v>
      </c>
      <c r="N12" s="163" t="str" cm="1">
        <f t="array" aca="1" ref="N12" ca="1">_xll.d.TestUtils_And(U27:U54)</f>
        <v>Ok</v>
      </c>
    </row>
    <row r="14" spans="2:35">
      <c r="B14" s="55" t="s">
        <v>37</v>
      </c>
      <c r="C14" s="55"/>
      <c r="E14" s="5"/>
      <c r="M14" s="55" t="s">
        <v>37</v>
      </c>
      <c r="N14" s="55"/>
      <c r="P14" s="5"/>
      <c r="Y14" s="55" t="s">
        <v>37</v>
      </c>
      <c r="Z14" s="55"/>
      <c r="AG14" s="55" t="s">
        <v>37</v>
      </c>
      <c r="AH14" s="55"/>
    </row>
    <row r="15" spans="2:35">
      <c r="B15" s="918" t="str" cm="1">
        <f t="array" aca="1" ref="B15" ca="1">_xll.d.Curve_Bootstrap(_xll.d.Excel_GetSheetName()&amp;"_Vals",B18:D23,,B25:D54)</f>
        <v>@@SOFRBootstrapping_Vals::16:31:50</v>
      </c>
      <c r="C15" s="919"/>
      <c r="M15" s="918" t="str" cm="1">
        <f t="array" aca="1" ref="M15" ca="1">_xll.d.Curve_Bootstrap(_xll.d.Excel_GetSheetName()&amp;"_Get",M18:O23,,M25:O54)</f>
        <v>@@SOFRBootstrapping_Get::16:35:27</v>
      </c>
      <c r="N15" s="919"/>
      <c r="Y15" s="918" t="str" cm="1">
        <f t="array" aca="1" ref="Y15" ca="1">_xll.d.Curve_Bootstrap(_xll.d.Excel_GetSheetName()&amp;"_SOFRCurve2",Y18:AA22,,Y25:AD46)</f>
        <v>#∂Excel Error: Unknown instrument type: 'SOFR Swaps'</v>
      </c>
      <c r="Z15" s="919"/>
      <c r="AG15" s="918" t="str" cm="1">
        <f t="array" aca="1" ref="AG15" ca="1">_xll.d.Curve_Bootstrap(_xll.d.Excel_GetSheetName()&amp;"_SOFRCurve3",AG18:AI24,,AG25:AI54)</f>
        <v>@@SOFRBootstrapping_SOFRCurve3::15:59:49</v>
      </c>
      <c r="AH15" s="919"/>
    </row>
    <row r="16" spans="2:35">
      <c r="E16" s="5"/>
      <c r="L16" s="1"/>
      <c r="P16" s="5"/>
    </row>
    <row r="17" spans="1:44">
      <c r="B17" s="12" t="s">
        <v>47</v>
      </c>
      <c r="C17" s="13"/>
      <c r="D17" s="13"/>
      <c r="E17" s="5"/>
      <c r="M17" s="12" t="s">
        <v>47</v>
      </c>
      <c r="N17" s="13"/>
      <c r="O17" s="13"/>
      <c r="P17" s="5"/>
      <c r="Y17" s="12" t="s">
        <v>47</v>
      </c>
      <c r="Z17" s="13"/>
      <c r="AA17" s="13"/>
      <c r="AG17" s="12" t="s">
        <v>47</v>
      </c>
      <c r="AH17" s="13"/>
      <c r="AI17" s="13"/>
    </row>
    <row r="18" spans="1:44">
      <c r="B18" s="61" t="s">
        <v>29</v>
      </c>
      <c r="C18" s="906" t="s">
        <v>30</v>
      </c>
      <c r="D18" s="906"/>
      <c r="E18" s="5"/>
      <c r="M18" s="61" t="s">
        <v>29</v>
      </c>
      <c r="N18" s="906" t="s">
        <v>30</v>
      </c>
      <c r="O18" s="906"/>
      <c r="P18" s="5"/>
      <c r="Y18" s="61" t="s">
        <v>29</v>
      </c>
      <c r="Z18" s="906" t="s">
        <v>30</v>
      </c>
      <c r="AA18" s="906"/>
      <c r="AG18" s="61" t="s">
        <v>29</v>
      </c>
      <c r="AH18" s="906" t="s">
        <v>30</v>
      </c>
      <c r="AI18" s="906"/>
    </row>
    <row r="19" spans="1:44">
      <c r="B19" s="215" t="s">
        <v>182</v>
      </c>
      <c r="C19" s="904">
        <v>44767</v>
      </c>
      <c r="D19" s="904"/>
      <c r="E19" s="5"/>
      <c r="F19" s="901" t="s">
        <v>685</v>
      </c>
      <c r="G19" s="901"/>
      <c r="H19" s="901"/>
      <c r="I19" s="901"/>
      <c r="J19" s="901"/>
      <c r="K19" s="8"/>
      <c r="L19" s="1099"/>
      <c r="M19" s="215" t="s">
        <v>182</v>
      </c>
      <c r="N19" s="904">
        <v>44767</v>
      </c>
      <c r="O19" s="904"/>
      <c r="P19" s="5"/>
      <c r="Q19" s="901" t="s">
        <v>685</v>
      </c>
      <c r="R19" s="901"/>
      <c r="S19" s="901"/>
      <c r="T19" s="901"/>
      <c r="U19" s="901"/>
      <c r="Y19" s="215" t="s">
        <v>182</v>
      </c>
      <c r="Z19" s="904">
        <v>44767</v>
      </c>
      <c r="AA19" s="904"/>
      <c r="AG19" s="215" t="s">
        <v>182</v>
      </c>
      <c r="AH19" s="904">
        <v>44985</v>
      </c>
      <c r="AI19" s="904"/>
    </row>
    <row r="20" spans="1:44">
      <c r="B20" s="260" t="s">
        <v>204</v>
      </c>
      <c r="C20" s="1085" t="s">
        <v>773</v>
      </c>
      <c r="D20" s="1078"/>
      <c r="E20" s="5"/>
      <c r="F20" s="724" t="s">
        <v>837</v>
      </c>
      <c r="K20" s="8"/>
      <c r="L20" s="1099"/>
      <c r="M20" s="260" t="s">
        <v>204</v>
      </c>
      <c r="N20" s="1085" t="s">
        <v>773</v>
      </c>
      <c r="O20" s="1078"/>
      <c r="P20" s="5"/>
      <c r="Q20" s="724" t="s">
        <v>837</v>
      </c>
      <c r="Y20" s="260" t="s">
        <v>204</v>
      </c>
      <c r="Z20" s="1085" t="s">
        <v>773</v>
      </c>
      <c r="AA20" s="1078"/>
      <c r="AG20" s="260" t="s">
        <v>204</v>
      </c>
      <c r="AH20" s="1085" t="s">
        <v>773</v>
      </c>
      <c r="AI20" s="1078"/>
    </row>
    <row r="21" spans="1:44">
      <c r="B21" s="140" t="s">
        <v>43</v>
      </c>
      <c r="C21" s="1086" t="s">
        <v>691</v>
      </c>
      <c r="D21" s="1087"/>
      <c r="E21" s="5"/>
      <c r="F21" s="850" t="s">
        <v>838</v>
      </c>
      <c r="K21" s="8"/>
      <c r="L21" s="1099"/>
      <c r="M21" s="140" t="s">
        <v>43</v>
      </c>
      <c r="N21" s="1086" t="s">
        <v>691</v>
      </c>
      <c r="O21" s="1087"/>
      <c r="P21" s="5"/>
      <c r="Q21" s="850" t="s">
        <v>838</v>
      </c>
      <c r="Y21" s="260" t="s">
        <v>45</v>
      </c>
      <c r="Z21" s="1021" t="s">
        <v>52</v>
      </c>
      <c r="AA21" s="905"/>
      <c r="AG21" s="260" t="s">
        <v>45</v>
      </c>
      <c r="AH21" s="1021" t="s">
        <v>52</v>
      </c>
      <c r="AI21" s="905"/>
    </row>
    <row r="22" spans="1:44">
      <c r="B22" s="1034" t="s">
        <v>795</v>
      </c>
      <c r="C22" s="1037">
        <v>0</v>
      </c>
      <c r="D22" s="1038"/>
      <c r="E22" s="5"/>
      <c r="F22" s="850" t="s">
        <v>839</v>
      </c>
      <c r="I22" s="730"/>
      <c r="K22" s="8"/>
      <c r="L22" s="1099"/>
      <c r="M22" s="1034" t="s">
        <v>795</v>
      </c>
      <c r="N22" s="1037">
        <v>0</v>
      </c>
      <c r="O22" s="1038"/>
      <c r="P22" s="5"/>
      <c r="Q22" s="850" t="s">
        <v>839</v>
      </c>
      <c r="T22" s="730"/>
      <c r="Y22" s="142" t="s">
        <v>43</v>
      </c>
      <c r="Z22" s="1088" t="s">
        <v>691</v>
      </c>
      <c r="AA22" s="1080"/>
      <c r="AG22" s="142" t="s">
        <v>43</v>
      </c>
      <c r="AH22" s="1088" t="s">
        <v>727</v>
      </c>
      <c r="AI22" s="1080"/>
    </row>
    <row r="23" spans="1:44">
      <c r="B23" s="1035" t="s">
        <v>796</v>
      </c>
      <c r="C23" s="1039">
        <v>2</v>
      </c>
      <c r="D23" s="1040"/>
      <c r="E23" s="5"/>
      <c r="F23" s="120" t="s">
        <v>474</v>
      </c>
      <c r="G23" s="120"/>
      <c r="H23" s="773">
        <v>1.0000000000000001E-5</v>
      </c>
      <c r="I23" s="730"/>
      <c r="K23" s="8"/>
      <c r="L23" s="1099"/>
      <c r="M23" s="1035" t="s">
        <v>796</v>
      </c>
      <c r="N23" s="1039">
        <v>2</v>
      </c>
      <c r="O23" s="1040"/>
      <c r="P23" s="5"/>
      <c r="Q23" s="120" t="s">
        <v>474</v>
      </c>
      <c r="R23" s="120"/>
      <c r="S23" s="773">
        <v>1.0000000000000001E-5</v>
      </c>
      <c r="T23" s="730"/>
      <c r="AG23" s="1027" t="s">
        <v>795</v>
      </c>
      <c r="AH23" s="430">
        <v>0</v>
      </c>
    </row>
    <row r="24" spans="1:44">
      <c r="B24" s="1036"/>
      <c r="E24" s="5"/>
      <c r="K24" s="8"/>
      <c r="L24" s="1099"/>
      <c r="M24" s="1036"/>
      <c r="P24" s="5"/>
      <c r="AG24" s="1028" t="s">
        <v>796</v>
      </c>
      <c r="AH24" s="430">
        <v>2</v>
      </c>
    </row>
    <row r="25" spans="1:44">
      <c r="A25" s="54"/>
      <c r="B25" s="12" t="s">
        <v>781</v>
      </c>
      <c r="C25" s="27"/>
      <c r="D25" s="13"/>
      <c r="E25" s="5"/>
      <c r="F25" s="120" t="s">
        <v>31</v>
      </c>
      <c r="G25" s="744" t="s">
        <v>835</v>
      </c>
      <c r="H25" s="744" t="s">
        <v>2</v>
      </c>
      <c r="I25" s="745"/>
      <c r="J25" s="121" t="s">
        <v>67</v>
      </c>
      <c r="K25" s="8"/>
      <c r="L25" s="1099"/>
      <c r="M25" s="12" t="s">
        <v>781</v>
      </c>
      <c r="N25" s="27"/>
      <c r="O25" s="13"/>
      <c r="P25" s="5"/>
      <c r="Q25" s="120" t="s">
        <v>31</v>
      </c>
      <c r="R25" s="744" t="s">
        <v>835</v>
      </c>
      <c r="S25" s="744" t="s">
        <v>2</v>
      </c>
      <c r="T25" s="745"/>
      <c r="U25" s="121" t="s">
        <v>67</v>
      </c>
      <c r="Y25" s="12" t="s">
        <v>793</v>
      </c>
      <c r="Z25" s="27"/>
      <c r="AA25" s="27"/>
      <c r="AB25" s="27"/>
      <c r="AC25" s="27"/>
      <c r="AD25" s="13"/>
      <c r="AG25" s="12" t="s">
        <v>781</v>
      </c>
      <c r="AH25" s="27"/>
      <c r="AI25" s="13"/>
    </row>
    <row r="26" spans="1:44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583</v>
      </c>
      <c r="H26" s="738" t="s">
        <v>583</v>
      </c>
      <c r="I26" s="44" t="s">
        <v>584</v>
      </c>
      <c r="J26" s="743"/>
      <c r="K26" s="8"/>
      <c r="L26" s="1099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583</v>
      </c>
      <c r="S26" s="738" t="s">
        <v>583</v>
      </c>
      <c r="T26" s="44" t="s">
        <v>584</v>
      </c>
      <c r="U26" s="743"/>
      <c r="Y26" s="61" t="s">
        <v>35</v>
      </c>
      <c r="Z26" s="62" t="s">
        <v>36</v>
      </c>
      <c r="AA26" s="949" t="s">
        <v>780</v>
      </c>
      <c r="AB26" s="949" t="s">
        <v>779</v>
      </c>
      <c r="AC26" s="949" t="s">
        <v>794</v>
      </c>
      <c r="AD26" s="63" t="s">
        <v>42</v>
      </c>
      <c r="AG26" s="61" t="s">
        <v>35</v>
      </c>
      <c r="AH26" s="62" t="s">
        <v>36</v>
      </c>
      <c r="AI26" s="63" t="s">
        <v>42</v>
      </c>
      <c r="AR26" s="430">
        <v>10000</v>
      </c>
    </row>
    <row r="27" spans="1:44">
      <c r="B27" s="1024" t="s">
        <v>825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M27" s="1024" t="s">
        <v>825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 ca="1"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  <c r="Y27" s="248" t="s">
        <v>608</v>
      </c>
      <c r="Z27" s="221">
        <v>2.5567407022131474E-2</v>
      </c>
      <c r="AA27" s="1026" t="e">
        <f>MONTH(#REF!)</f>
        <v>#REF!</v>
      </c>
      <c r="AB27" s="1026" t="e">
        <f>YEAR(#REF!)</f>
        <v>#REF!</v>
      </c>
      <c r="AC27" s="1029" t="s">
        <v>608</v>
      </c>
      <c r="AD27" s="249" t="b">
        <v>1</v>
      </c>
      <c r="AE27" s="143">
        <v>44768</v>
      </c>
      <c r="AG27" s="1024" t="s">
        <v>825</v>
      </c>
      <c r="AH27" s="246">
        <v>4.5510000000000002E-2</v>
      </c>
      <c r="AI27" s="247" t="b">
        <v>1</v>
      </c>
      <c r="AJ27" s="430">
        <v>100</v>
      </c>
      <c r="AK27" s="430" t="s">
        <v>797</v>
      </c>
      <c r="AO27" s="143">
        <v>44985</v>
      </c>
      <c r="AP27" s="430" cm="1">
        <f t="array" aca="1" ref="AP27:AP54" ca="1">_xll.d.Curve_GetZeroRates(AG15,AO27:AO54,"NACC")</f>
        <v>4.5560810016613822E-2</v>
      </c>
      <c r="AQ27" s="430">
        <v>4.5514797943136218E-2</v>
      </c>
      <c r="AR27" s="1033">
        <f t="shared" ref="AR27:AR54" ca="1" si="0">(AP27-AQ27)*10000</f>
        <v>0.46012073477603999</v>
      </c>
    </row>
    <row r="28" spans="1:44">
      <c r="B28" s="1032" t="s">
        <v>826</v>
      </c>
      <c r="C28" s="1030">
        <v>2.2630499999999998E-2</v>
      </c>
      <c r="D28" s="1031" t="b">
        <v>1</v>
      </c>
      <c r="E28" s="8"/>
      <c r="F28" s="740">
        <v>44781</v>
      </c>
      <c r="G28" s="748">
        <v>8.7968796106271659E-4</v>
      </c>
      <c r="H28" s="748">
        <f t="shared" ref="H28:H54" si="1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M28" s="1032" t="s">
        <v>826</v>
      </c>
      <c r="N28" s="1030">
        <v>2.2630499999999998E-2</v>
      </c>
      <c r="O28" s="1031" t="b">
        <v>1</v>
      </c>
      <c r="P28" s="8"/>
      <c r="Q28" s="740">
        <v>44781</v>
      </c>
      <c r="R28" s="748">
        <v>8.7968796106271659E-4</v>
      </c>
      <c r="S28" s="748">
        <f t="shared" ref="S28:S54" ca="1" si="2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  <c r="Y28" s="248" t="s">
        <v>611</v>
      </c>
      <c r="Z28" s="221">
        <v>2.4052621280710777E-2</v>
      </c>
      <c r="AA28" s="1026">
        <f t="shared" ref="AA28:AA46" si="3">MONTH(G27)</f>
        <v>1</v>
      </c>
      <c r="AB28" s="1026">
        <f t="shared" ref="AB28:AB46" si="4">YEAR(G27)</f>
        <v>1900</v>
      </c>
      <c r="AC28" s="1029" t="s">
        <v>608</v>
      </c>
      <c r="AD28" s="249" t="b">
        <v>1</v>
      </c>
      <c r="AE28" s="143">
        <v>44774</v>
      </c>
      <c r="AG28" s="1032" t="s">
        <v>826</v>
      </c>
      <c r="AH28" s="1030">
        <v>4.5530000000000001E-2</v>
      </c>
      <c r="AI28" s="1031" t="b">
        <v>1</v>
      </c>
      <c r="AK28" s="430" t="s">
        <v>798</v>
      </c>
      <c r="AO28" s="143">
        <v>44998</v>
      </c>
      <c r="AP28" s="430">
        <f ca="1"/>
        <v>4.5460384303266307E-2</v>
      </c>
      <c r="AQ28" s="430">
        <v>4.5514797943136218E-2</v>
      </c>
      <c r="AR28" s="1033">
        <f t="shared" ca="1" si="0"/>
        <v>-0.54413639869910213</v>
      </c>
    </row>
    <row r="29" spans="1:44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1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ca="1" si="2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  <c r="Y29" s="248" t="s">
        <v>612</v>
      </c>
      <c r="Z29" s="221">
        <v>2.5714790069311023E-2</v>
      </c>
      <c r="AA29" s="1026">
        <f t="shared" si="3"/>
        <v>1</v>
      </c>
      <c r="AB29" s="1026">
        <f t="shared" si="4"/>
        <v>1900</v>
      </c>
      <c r="AC29" s="1029" t="s">
        <v>608</v>
      </c>
      <c r="AD29" s="249" t="b">
        <v>1</v>
      </c>
      <c r="AE29" s="143">
        <v>44798</v>
      </c>
      <c r="AG29" s="248" t="s">
        <v>25</v>
      </c>
      <c r="AH29" s="221">
        <v>4.6608999999999998E-2</v>
      </c>
      <c r="AI29" s="249" t="b">
        <v>1</v>
      </c>
      <c r="AK29" s="430" t="s">
        <v>799</v>
      </c>
      <c r="AO29" s="143">
        <v>45005</v>
      </c>
      <c r="AP29" s="430">
        <f ca="1"/>
        <v>4.5831385043735094E-2</v>
      </c>
      <c r="AQ29" s="430">
        <v>4.5574603914306615E-2</v>
      </c>
      <c r="AR29" s="1033">
        <f t="shared" ca="1" si="0"/>
        <v>2.5678112942847942</v>
      </c>
    </row>
    <row r="30" spans="1:44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1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ca="1" si="2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  <c r="Y30" s="248" t="s">
        <v>613</v>
      </c>
      <c r="Z30" s="221">
        <v>2.9211993321138739E-2</v>
      </c>
      <c r="AA30" s="1026">
        <f t="shared" si="3"/>
        <v>1</v>
      </c>
      <c r="AB30" s="1026">
        <f t="shared" si="4"/>
        <v>1900</v>
      </c>
      <c r="AC30" s="1029" t="s">
        <v>608</v>
      </c>
      <c r="AD30" s="249" t="b">
        <v>1</v>
      </c>
      <c r="AE30" s="143">
        <v>44830</v>
      </c>
      <c r="AG30" s="248" t="s">
        <v>26</v>
      </c>
      <c r="AH30" s="221">
        <v>4.7633999999999996E-2</v>
      </c>
      <c r="AI30" s="249" t="b">
        <v>1</v>
      </c>
      <c r="AK30" s="430" t="s">
        <v>800</v>
      </c>
      <c r="AO30" s="143">
        <v>45012</v>
      </c>
      <c r="AP30" s="430">
        <f ca="1"/>
        <v>4.629456731474093E-2</v>
      </c>
      <c r="AQ30" s="430">
        <v>4.5315415964147336E-2</v>
      </c>
      <c r="AR30" s="1033">
        <f t="shared" ca="1" si="0"/>
        <v>9.7915135059359333</v>
      </c>
    </row>
    <row r="31" spans="1:44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1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ca="1" si="2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  <c r="Y31" s="248" t="s">
        <v>648</v>
      </c>
      <c r="Z31" s="221">
        <v>3.0518691195819733E-2</v>
      </c>
      <c r="AA31" s="1026">
        <f t="shared" si="3"/>
        <v>1</v>
      </c>
      <c r="AB31" s="1026">
        <f t="shared" si="4"/>
        <v>1900</v>
      </c>
      <c r="AC31" s="1029" t="s">
        <v>608</v>
      </c>
      <c r="AD31" s="249" t="b">
        <v>1</v>
      </c>
      <c r="AE31" s="143">
        <v>44859</v>
      </c>
      <c r="AG31" s="248" t="s">
        <v>24</v>
      </c>
      <c r="AH31" s="221">
        <v>4.8905999999999998E-2</v>
      </c>
      <c r="AI31" s="249" t="b">
        <v>1</v>
      </c>
      <c r="AK31" s="430" t="s">
        <v>801</v>
      </c>
      <c r="AO31" s="143">
        <v>45021</v>
      </c>
      <c r="AP31" s="430">
        <f ca="1"/>
        <v>4.6729918565937605E-2</v>
      </c>
      <c r="AQ31" s="430">
        <v>4.6690992506109072E-2</v>
      </c>
      <c r="AR31" s="1033">
        <f t="shared" ca="1" si="0"/>
        <v>0.38926059828532644</v>
      </c>
    </row>
    <row r="32" spans="1:44">
      <c r="B32" s="248" t="s">
        <v>586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1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M32" s="248" t="s">
        <v>586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ca="1" si="2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  <c r="Y32" s="248" t="s">
        <v>614</v>
      </c>
      <c r="Z32" s="221">
        <v>3.0782307603966903E-2</v>
      </c>
      <c r="AA32" s="1026">
        <f t="shared" si="3"/>
        <v>1</v>
      </c>
      <c r="AB32" s="1026">
        <f t="shared" si="4"/>
        <v>1900</v>
      </c>
      <c r="AC32" s="1029" t="s">
        <v>608</v>
      </c>
      <c r="AD32" s="249" t="b">
        <v>1</v>
      </c>
      <c r="AE32" s="143">
        <v>44951</v>
      </c>
      <c r="AG32" s="248" t="s">
        <v>586</v>
      </c>
      <c r="AH32" s="221">
        <v>4.9905999999999999E-2</v>
      </c>
      <c r="AI32" s="249" t="b">
        <v>1</v>
      </c>
      <c r="AK32" s="430" t="s">
        <v>802</v>
      </c>
      <c r="AO32" s="143">
        <v>45050</v>
      </c>
      <c r="AP32" s="430">
        <f ca="1"/>
        <v>4.7651403614554028E-2</v>
      </c>
      <c r="AQ32" s="430">
        <v>4.7609158407722806E-2</v>
      </c>
      <c r="AR32" s="1033">
        <f t="shared" ca="1" si="0"/>
        <v>0.42245206831222071</v>
      </c>
    </row>
    <row r="33" spans="2:44">
      <c r="B33" s="248" t="s">
        <v>587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1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M33" s="248" t="s">
        <v>587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ca="1" si="2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  <c r="Y33" s="1023" t="s">
        <v>782</v>
      </c>
      <c r="Z33" s="221">
        <v>3.0596774218433532E-2</v>
      </c>
      <c r="AA33" s="1026">
        <f t="shared" si="3"/>
        <v>1</v>
      </c>
      <c r="AB33" s="1026">
        <f t="shared" si="4"/>
        <v>1900</v>
      </c>
      <c r="AC33" s="1029" t="s">
        <v>608</v>
      </c>
      <c r="AD33" s="249" t="b">
        <v>1</v>
      </c>
      <c r="AE33" s="143">
        <v>45041</v>
      </c>
      <c r="AG33" s="248" t="s">
        <v>587</v>
      </c>
      <c r="AH33" s="221">
        <v>5.0730000000000004E-2</v>
      </c>
      <c r="AI33" s="249" t="b">
        <v>1</v>
      </c>
      <c r="AK33" s="430" t="s">
        <v>803</v>
      </c>
      <c r="AO33" s="143">
        <v>45083</v>
      </c>
      <c r="AP33" s="430">
        <f ca="1"/>
        <v>4.880062883346678E-2</v>
      </c>
      <c r="AQ33" s="430">
        <v>4.8521556949704232E-2</v>
      </c>
      <c r="AR33" s="1033">
        <f t="shared" ca="1" si="0"/>
        <v>2.7907188376254806</v>
      </c>
    </row>
    <row r="34" spans="2:44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1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ca="1" si="2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  <c r="Y34" s="1023" t="s">
        <v>616</v>
      </c>
      <c r="Z34" s="221">
        <v>3.0276001693079983E-2</v>
      </c>
      <c r="AA34" s="1026">
        <f t="shared" si="3"/>
        <v>1</v>
      </c>
      <c r="AB34" s="1026">
        <f t="shared" si="4"/>
        <v>1900</v>
      </c>
      <c r="AC34" s="1029" t="s">
        <v>608</v>
      </c>
      <c r="AD34" s="249" t="b">
        <v>1</v>
      </c>
      <c r="AE34" s="143">
        <v>45132</v>
      </c>
      <c r="AG34" s="248" t="s">
        <v>27</v>
      </c>
      <c r="AH34" s="221">
        <v>5.1527999999999997E-2</v>
      </c>
      <c r="AI34" s="249" t="b">
        <v>1</v>
      </c>
      <c r="AK34" s="430" t="s">
        <v>804</v>
      </c>
      <c r="AO34" s="143">
        <v>45113</v>
      </c>
      <c r="AP34" s="430">
        <f ca="1"/>
        <v>4.9632217223124546E-2</v>
      </c>
      <c r="AQ34" s="430">
        <v>4.9385747680664734E-2</v>
      </c>
      <c r="AR34" s="1033">
        <f t="shared" ca="1" si="0"/>
        <v>2.4646954245981236</v>
      </c>
    </row>
    <row r="35" spans="2:44">
      <c r="B35" s="248" t="s">
        <v>827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1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M35" s="248" t="s">
        <v>827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ca="1" si="2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  <c r="Y35" s="1023" t="s">
        <v>783</v>
      </c>
      <c r="Z35" s="221">
        <v>2.9734240426349267E-2</v>
      </c>
      <c r="AA35" s="1026">
        <f t="shared" si="3"/>
        <v>1</v>
      </c>
      <c r="AB35" s="1026">
        <f t="shared" si="4"/>
        <v>1900</v>
      </c>
      <c r="AC35" s="1029" t="s">
        <v>608</v>
      </c>
      <c r="AD35" s="249" t="b">
        <v>1</v>
      </c>
      <c r="AE35" s="143">
        <v>45224</v>
      </c>
      <c r="AG35" s="248" t="s">
        <v>827</v>
      </c>
      <c r="AH35" s="221">
        <v>5.2027000000000004E-2</v>
      </c>
      <c r="AI35" s="249" t="b">
        <v>1</v>
      </c>
      <c r="AK35" s="430" t="s">
        <v>805</v>
      </c>
      <c r="AO35" s="143">
        <v>45142</v>
      </c>
      <c r="AP35" s="430">
        <f ca="1"/>
        <v>5.0283824729093686E-2</v>
      </c>
      <c r="AQ35" s="430">
        <v>4.9951723107925547E-2</v>
      </c>
      <c r="AR35" s="1033">
        <f t="shared" ca="1" si="0"/>
        <v>3.3210162116813908</v>
      </c>
    </row>
    <row r="36" spans="2:44">
      <c r="B36" s="1023" t="s">
        <v>828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1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M36" s="1023" t="s">
        <v>828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ca="1" si="2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  <c r="Y36" s="248" t="s">
        <v>617</v>
      </c>
      <c r="Z36" s="221">
        <v>2.9162247355750754E-2</v>
      </c>
      <c r="AA36" s="1026">
        <f t="shared" si="3"/>
        <v>1</v>
      </c>
      <c r="AB36" s="1026">
        <f t="shared" si="4"/>
        <v>1900</v>
      </c>
      <c r="AC36" s="1029" t="s">
        <v>608</v>
      </c>
      <c r="AD36" s="249" t="b">
        <v>1</v>
      </c>
      <c r="AE36" s="143">
        <v>45316</v>
      </c>
      <c r="AG36" s="1023" t="s">
        <v>828</v>
      </c>
      <c r="AH36" s="221">
        <v>5.2511000000000002E-2</v>
      </c>
      <c r="AI36" s="249" t="b">
        <v>1</v>
      </c>
      <c r="AK36" s="430" t="s">
        <v>806</v>
      </c>
      <c r="AO36" s="143">
        <v>45176</v>
      </c>
      <c r="AP36" s="430">
        <f ca="1"/>
        <v>5.0970939784602563E-2</v>
      </c>
      <c r="AQ36" s="430">
        <v>5.0791249894266213E-2</v>
      </c>
      <c r="AR36" s="1033">
        <f t="shared" ca="1" si="0"/>
        <v>1.7968989033635001</v>
      </c>
    </row>
    <row r="37" spans="2:44">
      <c r="B37" s="102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1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M37" s="1023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ca="1" si="2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  <c r="Y37" s="1023" t="s">
        <v>784</v>
      </c>
      <c r="Z37" s="221">
        <v>2.8566187497871692E-2</v>
      </c>
      <c r="AA37" s="1026">
        <f t="shared" si="3"/>
        <v>1</v>
      </c>
      <c r="AB37" s="1026">
        <f t="shared" si="4"/>
        <v>1900</v>
      </c>
      <c r="AC37" s="1029" t="s">
        <v>608</v>
      </c>
      <c r="AD37" s="249" t="b">
        <v>1</v>
      </c>
      <c r="AE37" s="143">
        <v>45407</v>
      </c>
      <c r="AG37" s="1023" t="s">
        <v>28</v>
      </c>
      <c r="AH37" s="221">
        <v>5.2868999999999999E-2</v>
      </c>
      <c r="AI37" s="249" t="b">
        <v>1</v>
      </c>
      <c r="AK37" s="430" t="s">
        <v>807</v>
      </c>
      <c r="AO37" s="143">
        <v>45203</v>
      </c>
      <c r="AP37" s="430">
        <f ca="1"/>
        <v>5.1299872075637819E-2</v>
      </c>
      <c r="AQ37" s="430">
        <v>5.1225410796829872E-2</v>
      </c>
      <c r="AR37" s="1033">
        <f t="shared" ca="1" si="0"/>
        <v>0.7446127880794684</v>
      </c>
    </row>
    <row r="38" spans="2:44">
      <c r="B38" s="1023" t="s">
        <v>829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1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M38" s="1023" t="s">
        <v>829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ca="1" si="2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  <c r="Y38" s="1023" t="s">
        <v>785</v>
      </c>
      <c r="Z38" s="221">
        <v>2.8013942546951453E-2</v>
      </c>
      <c r="AA38" s="1026">
        <f t="shared" si="3"/>
        <v>1</v>
      </c>
      <c r="AB38" s="1026">
        <f t="shared" si="4"/>
        <v>1900</v>
      </c>
      <c r="AC38" s="1029" t="s">
        <v>608</v>
      </c>
      <c r="AD38" s="249" t="b">
        <v>1</v>
      </c>
      <c r="AE38" s="143">
        <v>45498</v>
      </c>
      <c r="AG38" s="1023" t="s">
        <v>829</v>
      </c>
      <c r="AH38" s="221">
        <v>5.3101000000000002E-2</v>
      </c>
      <c r="AI38" s="249" t="b">
        <v>1</v>
      </c>
      <c r="AK38" s="430" t="s">
        <v>808</v>
      </c>
      <c r="AO38" s="143">
        <v>45236</v>
      </c>
      <c r="AP38" s="430">
        <f ca="1"/>
        <v>5.1651152637734128E-2</v>
      </c>
      <c r="AQ38" s="430">
        <v>5.1570798602472795E-2</v>
      </c>
      <c r="AR38" s="1033">
        <f t="shared" ca="1" si="0"/>
        <v>0.80354035261333279</v>
      </c>
    </row>
    <row r="39" spans="2:44">
      <c r="B39" s="248" t="s">
        <v>830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1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M39" s="248" t="s">
        <v>830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ca="1" si="2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  <c r="Y39" s="1023" t="s">
        <v>786</v>
      </c>
      <c r="Z39" s="221">
        <v>2.7574407191450986E-2</v>
      </c>
      <c r="AA39" s="1026">
        <f t="shared" si="3"/>
        <v>1</v>
      </c>
      <c r="AB39" s="1026">
        <f t="shared" si="4"/>
        <v>1900</v>
      </c>
      <c r="AC39" s="1029" t="s">
        <v>608</v>
      </c>
      <c r="AD39" s="249" t="b">
        <v>1</v>
      </c>
      <c r="AE39" s="143">
        <v>45590</v>
      </c>
      <c r="AG39" s="248" t="s">
        <v>830</v>
      </c>
      <c r="AH39" s="221">
        <v>5.3296000000000003E-2</v>
      </c>
      <c r="AI39" s="249" t="b">
        <v>1</v>
      </c>
      <c r="AK39" s="430" t="s">
        <v>809</v>
      </c>
      <c r="AO39" s="143">
        <v>45266</v>
      </c>
      <c r="AP39" s="430">
        <f ca="1"/>
        <v>5.1860446462587459E-2</v>
      </c>
      <c r="AQ39" s="430">
        <v>5.183303686960692E-2</v>
      </c>
      <c r="AR39" s="1033">
        <f t="shared" ca="1" si="0"/>
        <v>0.27409592980538744</v>
      </c>
    </row>
    <row r="40" spans="2:44">
      <c r="B40" s="102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1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M40" s="1023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ca="1" si="2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  <c r="Y40" s="248" t="s">
        <v>630</v>
      </c>
      <c r="Z40" s="221">
        <v>2.7167433245627471E-2</v>
      </c>
      <c r="AA40" s="1026">
        <f t="shared" si="3"/>
        <v>1</v>
      </c>
      <c r="AB40" s="1026">
        <f t="shared" si="4"/>
        <v>1900</v>
      </c>
      <c r="AC40" s="1029" t="s">
        <v>608</v>
      </c>
      <c r="AD40" s="249" t="b">
        <v>1</v>
      </c>
      <c r="AE40" s="143">
        <v>45684</v>
      </c>
      <c r="AG40" s="1023" t="s">
        <v>48</v>
      </c>
      <c r="AH40" s="221">
        <v>5.3380000000000004E-2</v>
      </c>
      <c r="AI40" s="249" t="b">
        <v>1</v>
      </c>
      <c r="AK40" s="430" t="s">
        <v>810</v>
      </c>
      <c r="AO40" s="143">
        <v>45295</v>
      </c>
      <c r="AP40" s="430">
        <f ca="1"/>
        <v>5.1961739729600831E-2</v>
      </c>
      <c r="AQ40" s="430">
        <v>5.1982723076446642E-2</v>
      </c>
      <c r="AR40" s="1033">
        <f t="shared" ca="1" si="0"/>
        <v>-0.20983346845811213</v>
      </c>
    </row>
    <row r="41" spans="2:44">
      <c r="B41" s="102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1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M41" s="1023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ca="1" si="2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  <c r="Y41" s="1023" t="s">
        <v>787</v>
      </c>
      <c r="Z41" s="221">
        <v>2.680579794253753E-2</v>
      </c>
      <c r="AA41" s="1026">
        <f t="shared" si="3"/>
        <v>1</v>
      </c>
      <c r="AB41" s="1026">
        <f t="shared" si="4"/>
        <v>1900</v>
      </c>
      <c r="AC41" s="1029" t="s">
        <v>608</v>
      </c>
      <c r="AD41" s="249" t="b">
        <v>1</v>
      </c>
      <c r="AE41" s="143">
        <v>45772</v>
      </c>
      <c r="AG41" s="1023" t="s">
        <v>49</v>
      </c>
      <c r="AH41" s="221">
        <v>4.9100000000000005E-2</v>
      </c>
      <c r="AI41" s="249" t="b">
        <v>1</v>
      </c>
      <c r="AK41" s="430" t="s">
        <v>811</v>
      </c>
      <c r="AO41" s="143">
        <v>45328</v>
      </c>
      <c r="AP41" s="430">
        <f ca="1"/>
        <v>5.2010947239026419E-2</v>
      </c>
      <c r="AQ41" s="430">
        <v>5.207953439542342E-2</v>
      </c>
      <c r="AR41" s="1033">
        <f t="shared" ca="1" si="0"/>
        <v>-0.68587156397001414</v>
      </c>
    </row>
    <row r="42" spans="2:44">
      <c r="B42" s="102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1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M42" s="1023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ca="1" si="2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  <c r="Y42" s="1023" t="s">
        <v>788</v>
      </c>
      <c r="Z42" s="221">
        <v>2.6522484895813662E-2</v>
      </c>
      <c r="AA42" s="1026">
        <f t="shared" si="3"/>
        <v>1</v>
      </c>
      <c r="AB42" s="1026">
        <f t="shared" si="4"/>
        <v>1900</v>
      </c>
      <c r="AC42" s="1029" t="s">
        <v>608</v>
      </c>
      <c r="AD42" s="249" t="b">
        <v>1</v>
      </c>
      <c r="AE42" s="143">
        <v>45863</v>
      </c>
      <c r="AG42" s="1023" t="s">
        <v>53</v>
      </c>
      <c r="AH42" s="221">
        <v>4.4589999999999998E-2</v>
      </c>
      <c r="AI42" s="249" t="b">
        <v>1</v>
      </c>
      <c r="AK42" s="430" t="s">
        <v>812</v>
      </c>
      <c r="AO42" s="143">
        <v>45357</v>
      </c>
      <c r="AP42" s="430">
        <f ca="1"/>
        <v>5.1964423666942275E-2</v>
      </c>
      <c r="AQ42" s="430">
        <v>5.2043099445927873E-2</v>
      </c>
      <c r="AR42" s="1033">
        <f t="shared" ca="1" si="0"/>
        <v>-0.78675778985598521</v>
      </c>
    </row>
    <row r="43" spans="2:44">
      <c r="B43" s="248" t="s">
        <v>573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1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M43" s="248" t="s">
        <v>573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ca="1" si="2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  <c r="Y43" s="1023" t="s">
        <v>789</v>
      </c>
      <c r="Z43" s="221">
        <v>2.6289591843286057E-2</v>
      </c>
      <c r="AA43" s="1026">
        <f t="shared" si="3"/>
        <v>1</v>
      </c>
      <c r="AB43" s="1026">
        <f t="shared" si="4"/>
        <v>1900</v>
      </c>
      <c r="AC43" s="1029" t="s">
        <v>608</v>
      </c>
      <c r="AD43" s="249" t="b">
        <v>1</v>
      </c>
      <c r="AE43" s="143">
        <v>45957</v>
      </c>
      <c r="AG43" s="248" t="s">
        <v>573</v>
      </c>
      <c r="AH43" s="221">
        <v>4.1759999999999999E-2</v>
      </c>
      <c r="AI43" s="249" t="b">
        <v>1</v>
      </c>
      <c r="AK43" s="430" t="s">
        <v>813</v>
      </c>
      <c r="AO43" s="143">
        <v>45540</v>
      </c>
      <c r="AP43" s="430">
        <f ca="1"/>
        <v>5.0238621369314722E-2</v>
      </c>
      <c r="AQ43" s="430">
        <v>5.0610500828567072E-2</v>
      </c>
      <c r="AR43" s="1033">
        <f t="shared" ca="1" si="0"/>
        <v>-3.7187945925235</v>
      </c>
    </row>
    <row r="44" spans="2:44">
      <c r="B44" s="1023" t="s">
        <v>579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1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M44" s="1023" t="s">
        <v>579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ca="1" si="2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  <c r="Y44" s="248" t="s">
        <v>631</v>
      </c>
      <c r="Z44" s="221">
        <v>2.6089967514167586E-2</v>
      </c>
      <c r="AA44" s="1026">
        <f t="shared" si="3"/>
        <v>1</v>
      </c>
      <c r="AB44" s="1026">
        <f t="shared" si="4"/>
        <v>1900</v>
      </c>
      <c r="AC44" s="1029" t="s">
        <v>608</v>
      </c>
      <c r="AD44" s="249" t="b">
        <v>1</v>
      </c>
      <c r="AE44" s="143">
        <v>46048</v>
      </c>
      <c r="AG44" s="1023" t="s">
        <v>579</v>
      </c>
      <c r="AH44" s="221">
        <v>3.984E-2</v>
      </c>
      <c r="AI44" s="249" t="b">
        <v>1</v>
      </c>
      <c r="AK44" s="430" t="s">
        <v>814</v>
      </c>
      <c r="AO44" s="143">
        <v>45721</v>
      </c>
      <c r="AP44" s="430">
        <f ca="1"/>
        <v>4.7744136136823635E-2</v>
      </c>
      <c r="AQ44" s="430">
        <v>4.8033549401028212E-2</v>
      </c>
      <c r="AR44" s="1033">
        <f t="shared" ca="1" si="0"/>
        <v>-2.8941326420457711</v>
      </c>
    </row>
    <row r="45" spans="2:44">
      <c r="B45" s="1023" t="s">
        <v>580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1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M45" s="1023" t="s">
        <v>580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ca="1" si="2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  <c r="Y45" s="1023" t="s">
        <v>790</v>
      </c>
      <c r="Z45" s="221">
        <v>2.5918468651992415E-2</v>
      </c>
      <c r="AA45" s="1026">
        <f t="shared" si="3"/>
        <v>1</v>
      </c>
      <c r="AB45" s="1026">
        <f t="shared" si="4"/>
        <v>1900</v>
      </c>
      <c r="AC45" s="1029" t="s">
        <v>608</v>
      </c>
      <c r="AD45" s="249" t="b">
        <v>1</v>
      </c>
      <c r="AE45" s="143">
        <v>46139</v>
      </c>
      <c r="AG45" s="1023" t="s">
        <v>580</v>
      </c>
      <c r="AH45" s="221">
        <v>3.8640000000000001E-2</v>
      </c>
      <c r="AI45" s="249" t="b">
        <v>1</v>
      </c>
      <c r="AK45" s="430" t="s">
        <v>815</v>
      </c>
      <c r="AO45" s="143">
        <v>46085</v>
      </c>
      <c r="AP45" s="430">
        <f ca="1"/>
        <v>4.3304348940873275E-2</v>
      </c>
      <c r="AQ45" s="430">
        <v>4.3728478444973955E-2</v>
      </c>
      <c r="AR45" s="1033">
        <f t="shared" ca="1" si="0"/>
        <v>-4.2412950410068015</v>
      </c>
    </row>
    <row r="46" spans="2:44">
      <c r="B46" s="1023" t="s">
        <v>581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1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M46" s="1023" t="s">
        <v>581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ca="1" si="2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  <c r="Y46" s="1023" t="s">
        <v>791</v>
      </c>
      <c r="Z46" s="221">
        <v>2.577413170990437E-2</v>
      </c>
      <c r="AA46" s="1026">
        <f t="shared" si="3"/>
        <v>1</v>
      </c>
      <c r="AB46" s="1026">
        <f t="shared" si="4"/>
        <v>1900</v>
      </c>
      <c r="AC46" s="1029" t="s">
        <v>608</v>
      </c>
      <c r="AD46" s="249" t="b">
        <v>1</v>
      </c>
      <c r="AE46" s="143">
        <v>46230</v>
      </c>
      <c r="AG46" s="1023" t="s">
        <v>581</v>
      </c>
      <c r="AH46" s="221">
        <v>3.771E-2</v>
      </c>
      <c r="AI46" s="249" t="b">
        <v>1</v>
      </c>
      <c r="AK46" s="430" t="s">
        <v>816</v>
      </c>
      <c r="AO46" s="143">
        <v>46450</v>
      </c>
      <c r="AP46" s="430">
        <f ca="1"/>
        <v>4.0506601194445352E-2</v>
      </c>
      <c r="AQ46" s="430">
        <v>4.095578699434415E-2</v>
      </c>
      <c r="AR46" s="1033">
        <f t="shared" ca="1" si="0"/>
        <v>-4.4918579989879772</v>
      </c>
    </row>
    <row r="47" spans="2:44">
      <c r="B47" s="248" t="s">
        <v>582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1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M47" s="248" t="s">
        <v>582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ca="1" si="2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  <c r="Y47" s="1025" t="s">
        <v>792</v>
      </c>
      <c r="Z47" s="221">
        <v>2.5657102138122726E-2</v>
      </c>
      <c r="AA47" s="1022"/>
      <c r="AB47" s="1022"/>
      <c r="AC47" s="1029" t="s">
        <v>608</v>
      </c>
      <c r="AD47" s="249" t="b">
        <v>1</v>
      </c>
      <c r="AE47" s="143">
        <v>46321</v>
      </c>
      <c r="AG47" s="248" t="s">
        <v>582</v>
      </c>
      <c r="AH47" s="221">
        <v>3.7170000000000002E-2</v>
      </c>
      <c r="AI47" s="249" t="b">
        <v>1</v>
      </c>
      <c r="AK47" s="430" t="s">
        <v>817</v>
      </c>
      <c r="AO47" s="143">
        <v>46818</v>
      </c>
      <c r="AP47" s="430">
        <f ca="1"/>
        <v>3.8607904059067784E-2</v>
      </c>
      <c r="AQ47" s="430">
        <v>3.9116164780903698E-2</v>
      </c>
      <c r="AR47" s="1033">
        <f t="shared" ca="1" si="0"/>
        <v>-5.0826072183591391</v>
      </c>
    </row>
    <row r="48" spans="2:44">
      <c r="B48" s="1023" t="s">
        <v>618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1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M48" s="1023" t="s">
        <v>618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ca="1" si="2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  <c r="Y48" s="248" t="s">
        <v>632</v>
      </c>
      <c r="Z48" s="221">
        <v>2.5561428749233298E-2</v>
      </c>
      <c r="AA48" s="1022"/>
      <c r="AB48" s="1022"/>
      <c r="AC48" s="1029" t="s">
        <v>608</v>
      </c>
      <c r="AD48" s="249" t="b">
        <v>1</v>
      </c>
      <c r="AE48" s="143">
        <v>46412</v>
      </c>
      <c r="AG48" s="1023" t="s">
        <v>618</v>
      </c>
      <c r="AH48" s="221">
        <v>3.6740000000000002E-2</v>
      </c>
      <c r="AI48" s="249" t="b">
        <v>1</v>
      </c>
      <c r="AK48" s="430" t="s">
        <v>818</v>
      </c>
      <c r="AO48" s="143">
        <v>47183</v>
      </c>
      <c r="AP48" s="430">
        <f ca="1"/>
        <v>3.7425148812077376E-2</v>
      </c>
      <c r="AQ48" s="430">
        <v>3.7973881034044817E-2</v>
      </c>
      <c r="AR48" s="1033">
        <f t="shared" ca="1" si="0"/>
        <v>-5.4873222196744065</v>
      </c>
    </row>
    <row r="49" spans="2:44">
      <c r="B49" s="1023" t="s">
        <v>588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1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M49" s="1023" t="s">
        <v>588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ca="1" si="2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  <c r="Y49" s="248" t="s">
        <v>774</v>
      </c>
      <c r="Z49" s="221">
        <v>2.5485969894224813E-2</v>
      </c>
      <c r="AA49" s="1022"/>
      <c r="AB49" s="1022"/>
      <c r="AC49" s="1029" t="s">
        <v>608</v>
      </c>
      <c r="AD49" s="249" t="b">
        <v>1</v>
      </c>
      <c r="AE49" s="143">
        <v>46503</v>
      </c>
      <c r="AG49" s="1023" t="s">
        <v>588</v>
      </c>
      <c r="AH49" s="221">
        <v>3.6429999999999997E-2</v>
      </c>
      <c r="AI49" s="249" t="b">
        <v>1</v>
      </c>
      <c r="AK49" s="430" t="s">
        <v>819</v>
      </c>
      <c r="AO49" s="143">
        <v>47548</v>
      </c>
      <c r="AP49" s="430">
        <f ca="1"/>
        <v>3.6503713161162139E-2</v>
      </c>
      <c r="AQ49" s="430">
        <v>3.7160418452469812E-2</v>
      </c>
      <c r="AR49" s="1033">
        <f t="shared" ca="1" si="0"/>
        <v>-6.5670529130767292</v>
      </c>
    </row>
    <row r="50" spans="2:44">
      <c r="B50" s="1025" t="s">
        <v>589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1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M50" s="1025" t="s">
        <v>589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ca="1" si="2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  <c r="Y50" s="248" t="s">
        <v>775</v>
      </c>
      <c r="Z50" s="221">
        <v>2.5428158034929406E-2</v>
      </c>
      <c r="AA50" s="1022"/>
      <c r="AB50" s="1022"/>
      <c r="AC50" s="1029" t="s">
        <v>608</v>
      </c>
      <c r="AD50" s="249" t="b">
        <v>1</v>
      </c>
      <c r="AE50" s="143">
        <v>46594</v>
      </c>
      <c r="AG50" s="1025" t="s">
        <v>589</v>
      </c>
      <c r="AH50" s="221">
        <v>3.6089999999999997E-2</v>
      </c>
      <c r="AI50" s="249" t="b">
        <v>1</v>
      </c>
      <c r="AK50" s="430" t="s">
        <v>820</v>
      </c>
      <c r="AO50" s="143">
        <v>47912</v>
      </c>
      <c r="AP50" s="430">
        <f ca="1"/>
        <v>3.5984314252294536E-2</v>
      </c>
      <c r="AQ50" s="430">
        <v>3.6563733294021156E-2</v>
      </c>
      <c r="AR50" s="1033">
        <f t="shared" ca="1" si="0"/>
        <v>-5.7941904172661989</v>
      </c>
    </row>
    <row r="51" spans="2:44">
      <c r="B51" s="248" t="s">
        <v>590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1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M51" s="248" t="s">
        <v>590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ca="1" si="2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  <c r="Y51" s="248" t="s">
        <v>776</v>
      </c>
      <c r="Z51" s="221">
        <v>2.5384766404927893E-2</v>
      </c>
      <c r="AA51" s="1022"/>
      <c r="AB51" s="1022"/>
      <c r="AC51" s="1029" t="s">
        <v>608</v>
      </c>
      <c r="AD51" s="249" t="b">
        <v>1</v>
      </c>
      <c r="AE51" s="143">
        <v>46685</v>
      </c>
      <c r="AG51" s="248" t="s">
        <v>590</v>
      </c>
      <c r="AH51" s="221">
        <v>3.5799999999999998E-2</v>
      </c>
      <c r="AI51" s="249" t="b">
        <v>1</v>
      </c>
      <c r="AK51" s="430" t="s">
        <v>821</v>
      </c>
      <c r="AO51" s="143">
        <v>48277</v>
      </c>
      <c r="AP51" s="430">
        <f ca="1"/>
        <v>3.5564504953788913E-2</v>
      </c>
      <c r="AQ51" s="430">
        <v>3.6167903639884091E-2</v>
      </c>
      <c r="AR51" s="1033">
        <f t="shared" ca="1" si="0"/>
        <v>-6.0339868609517868</v>
      </c>
    </row>
    <row r="52" spans="2:44">
      <c r="B52" s="248" t="s">
        <v>591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1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M52" s="248" t="s">
        <v>591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ca="1" si="2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  <c r="Y52" s="248" t="s">
        <v>633</v>
      </c>
      <c r="Z52" s="221">
        <v>2.5352114570574295E-2</v>
      </c>
      <c r="AA52" s="1022"/>
      <c r="AB52" s="1022"/>
      <c r="AC52" s="1029" t="s">
        <v>608</v>
      </c>
      <c r="AD52" s="249" t="b">
        <v>1</v>
      </c>
      <c r="AE52" s="143">
        <v>46777</v>
      </c>
      <c r="AG52" s="248" t="s">
        <v>591</v>
      </c>
      <c r="AH52" s="221">
        <v>3.4950000000000002E-2</v>
      </c>
      <c r="AI52" s="249" t="b">
        <v>1</v>
      </c>
      <c r="AK52" s="430" t="s">
        <v>822</v>
      </c>
      <c r="AO52" s="143">
        <v>48642</v>
      </c>
      <c r="AP52" s="430">
        <f ca="1"/>
        <v>3.5269543867096714E-2</v>
      </c>
      <c r="AQ52" s="430">
        <v>3.5880960648705794E-2</v>
      </c>
      <c r="AR52" s="1033">
        <f t="shared" ca="1" si="0"/>
        <v>-6.114167816090796</v>
      </c>
    </row>
    <row r="53" spans="2:44">
      <c r="B53" s="248" t="s">
        <v>592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1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M53" s="248" t="s">
        <v>592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ca="1" si="2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  <c r="Y53" s="248" t="s">
        <v>777</v>
      </c>
      <c r="Z53" s="221">
        <v>2.5327572015992096E-2</v>
      </c>
      <c r="AA53" s="1022"/>
      <c r="AB53" s="1022"/>
      <c r="AC53" s="1029" t="s">
        <v>608</v>
      </c>
      <c r="AD53" s="249" t="b">
        <v>1</v>
      </c>
      <c r="AE53" s="143">
        <v>46868</v>
      </c>
      <c r="AG53" s="248" t="s">
        <v>592</v>
      </c>
      <c r="AH53" s="221">
        <v>3.3669999999999999E-2</v>
      </c>
      <c r="AI53" s="249" t="b">
        <v>1</v>
      </c>
      <c r="AK53" s="430" t="s">
        <v>823</v>
      </c>
      <c r="AO53" s="143">
        <v>49374</v>
      </c>
      <c r="AP53" s="430">
        <f ca="1"/>
        <v>3.4964938074586907E-2</v>
      </c>
      <c r="AQ53" s="430">
        <v>3.5568349046846137E-2</v>
      </c>
      <c r="AR53" s="1033">
        <f t="shared" ca="1" si="0"/>
        <v>-6.0341097225923015</v>
      </c>
    </row>
    <row r="54" spans="2:44">
      <c r="B54" s="250" t="s">
        <v>593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1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M54" s="250" t="s">
        <v>593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ca="1" si="2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  <c r="Y54" s="248" t="s">
        <v>778</v>
      </c>
      <c r="Z54" s="221">
        <v>2.5330885976610335E-2</v>
      </c>
      <c r="AA54" s="1022"/>
      <c r="AB54" s="1022"/>
      <c r="AC54" s="1029" t="s">
        <v>608</v>
      </c>
      <c r="AD54" s="249" t="b">
        <v>1</v>
      </c>
      <c r="AE54" s="143">
        <v>46959</v>
      </c>
      <c r="AG54" s="248" t="s">
        <v>593</v>
      </c>
      <c r="AH54" s="221">
        <v>3.2419999999999997E-2</v>
      </c>
      <c r="AI54" s="249" t="b">
        <v>1</v>
      </c>
      <c r="AK54" s="430" t="s">
        <v>824</v>
      </c>
      <c r="AO54" s="143">
        <v>50468</v>
      </c>
      <c r="AP54" s="430">
        <f ca="1"/>
        <v>3.4713712564583513E-2</v>
      </c>
      <c r="AQ54" s="430">
        <v>3.5263854748626575E-2</v>
      </c>
      <c r="AR54" s="1033">
        <f t="shared" ca="1" si="0"/>
        <v>-5.5014218404306199</v>
      </c>
    </row>
    <row r="56" spans="2:44">
      <c r="E56" s="5"/>
      <c r="P56" s="5"/>
    </row>
    <row r="57" spans="2:44">
      <c r="D57" s="5"/>
      <c r="E57" s="5"/>
      <c r="O57" s="5"/>
      <c r="P57" s="5"/>
    </row>
    <row r="58" spans="2:44">
      <c r="D58" s="5"/>
      <c r="E58" s="5"/>
      <c r="O58" s="5"/>
      <c r="P58" s="5"/>
    </row>
    <row r="59" spans="2:44">
      <c r="D59" s="5"/>
      <c r="E59" s="5"/>
      <c r="O59" s="5"/>
      <c r="P59" s="5"/>
    </row>
    <row r="60" spans="2:44">
      <c r="D60" s="5"/>
      <c r="E60" s="5"/>
      <c r="O60" s="5"/>
      <c r="P60" s="5"/>
    </row>
    <row r="61" spans="2:44">
      <c r="D61" s="5"/>
      <c r="E61" s="5"/>
      <c r="O61" s="5"/>
      <c r="P61" s="5"/>
    </row>
    <row r="62" spans="2:44">
      <c r="D62" s="5"/>
      <c r="E62" s="5"/>
      <c r="O62" s="5"/>
      <c r="P62" s="5"/>
    </row>
    <row r="63" spans="2:44">
      <c r="D63" s="5"/>
      <c r="E63" s="5"/>
      <c r="O63" s="5"/>
      <c r="P63" s="5"/>
    </row>
    <row r="64" spans="2:44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8">
    <mergeCell ref="C20:D20"/>
    <mergeCell ref="C21:D21"/>
    <mergeCell ref="Z20:AA20"/>
    <mergeCell ref="Z22:AA22"/>
    <mergeCell ref="AH20:AI20"/>
    <mergeCell ref="AH22:AI22"/>
    <mergeCell ref="N20:O20"/>
    <mergeCell ref="N21:O21"/>
  </mergeCells>
  <conditionalFormatting sqref="D7 H26 F26:F54 H27:J54">
    <cfRule type="cellIs" dxfId="479" priority="104" stopIfTrue="1" operator="equal">
      <formula>"ERROR"</formula>
    </cfRule>
    <cfRule type="cellIs" dxfId="478" priority="105" stopIfTrue="1" operator="equal">
      <formula>"OK"</formula>
    </cfRule>
    <cfRule type="cellIs" dxfId="477" priority="106" stopIfTrue="1" operator="equal">
      <formula>"WARNING"</formula>
    </cfRule>
  </conditionalFormatting>
  <conditionalFormatting sqref="C4">
    <cfRule type="cellIs" dxfId="476" priority="78" stopIfTrue="1" operator="equal">
      <formula>"OK"</formula>
    </cfRule>
    <cfRule type="cellIs" dxfId="475" priority="79" stopIfTrue="1" operator="equal">
      <formula>"ERROR"</formula>
    </cfRule>
  </conditionalFormatting>
  <conditionalFormatting sqref="I22 F23:I23">
    <cfRule type="cellIs" dxfId="474" priority="29" stopIfTrue="1" operator="equal">
      <formula>"ERROR"</formula>
    </cfRule>
    <cfRule type="cellIs" dxfId="473" priority="30" stopIfTrue="1" operator="equal">
      <formula>"OK"</formula>
    </cfRule>
    <cfRule type="cellIs" dxfId="472" priority="31" stopIfTrue="1" operator="equal">
      <formula>"WARNING"</formula>
    </cfRule>
  </conditionalFormatting>
  <conditionalFormatting sqref="H23">
    <cfRule type="cellIs" dxfId="471" priority="26" stopIfTrue="1" operator="equal">
      <formula>"ERROR"</formula>
    </cfRule>
    <cfRule type="cellIs" dxfId="470" priority="27" stopIfTrue="1" operator="equal">
      <formula>"OK"</formula>
    </cfRule>
    <cfRule type="cellIs" dxfId="469" priority="28" stopIfTrue="1" operator="equal">
      <formula>"WARNING"</formula>
    </cfRule>
  </conditionalFormatting>
  <conditionalFormatting sqref="G26">
    <cfRule type="cellIs" dxfId="468" priority="23" stopIfTrue="1" operator="equal">
      <formula>"ERROR"</formula>
    </cfRule>
    <cfRule type="cellIs" dxfId="467" priority="24" stopIfTrue="1" operator="equal">
      <formula>"OK"</formula>
    </cfRule>
    <cfRule type="cellIs" dxfId="466" priority="25" stopIfTrue="1" operator="equal">
      <formula>"WARNING"</formula>
    </cfRule>
  </conditionalFormatting>
  <conditionalFormatting sqref="G27:G54">
    <cfRule type="cellIs" dxfId="465" priority="20" stopIfTrue="1" operator="equal">
      <formula>"ERROR"</formula>
    </cfRule>
    <cfRule type="cellIs" dxfId="464" priority="21" stopIfTrue="1" operator="equal">
      <formula>"OK"</formula>
    </cfRule>
    <cfRule type="cellIs" dxfId="463" priority="22" stopIfTrue="1" operator="equal">
      <formula>"WARNING"</formula>
    </cfRule>
  </conditionalFormatting>
  <conditionalFormatting sqref="C12">
    <cfRule type="cellIs" dxfId="462" priority="18" stopIfTrue="1" operator="equal">
      <formula>"OK"</formula>
    </cfRule>
    <cfRule type="cellIs" dxfId="461" priority="19" stopIfTrue="1" operator="equal">
      <formula>"ERROR"</formula>
    </cfRule>
  </conditionalFormatting>
  <conditionalFormatting sqref="S26 Q26:Q54 S27:U54">
    <cfRule type="cellIs" dxfId="16" priority="15" stopIfTrue="1" operator="equal">
      <formula>"ERROR"</formula>
    </cfRule>
    <cfRule type="cellIs" dxfId="15" priority="16" stopIfTrue="1" operator="equal">
      <formula>"OK"</formula>
    </cfRule>
    <cfRule type="cellIs" dxfId="14" priority="17" stopIfTrue="1" operator="equal">
      <formula>"WARNING"</formula>
    </cfRule>
  </conditionalFormatting>
  <conditionalFormatting sqref="T22 Q23:T23">
    <cfRule type="cellIs" dxfId="13" priority="12" stopIfTrue="1" operator="equal">
      <formula>"ERROR"</formula>
    </cfRule>
    <cfRule type="cellIs" dxfId="12" priority="13" stopIfTrue="1" operator="equal">
      <formula>"OK"</formula>
    </cfRule>
    <cfRule type="cellIs" dxfId="11" priority="14" stopIfTrue="1" operator="equal">
      <formula>"WARNING"</formula>
    </cfRule>
  </conditionalFormatting>
  <conditionalFormatting sqref="S23">
    <cfRule type="cellIs" dxfId="10" priority="9" stopIfTrue="1" operator="equal">
      <formula>"ERROR"</formula>
    </cfRule>
    <cfRule type="cellIs" dxfId="9" priority="10" stopIfTrue="1" operator="equal">
      <formula>"OK"</formula>
    </cfRule>
    <cfRule type="cellIs" dxfId="8" priority="11" stopIfTrue="1" operator="equal">
      <formula>"WARNING"</formula>
    </cfRule>
  </conditionalFormatting>
  <conditionalFormatting sqref="R26">
    <cfRule type="cellIs" dxfId="7" priority="6" stopIfTrue="1" operator="equal">
      <formula>"ERROR"</formula>
    </cfRule>
    <cfRule type="cellIs" dxfId="6" priority="7" stopIfTrue="1" operator="equal">
      <formula>"OK"</formula>
    </cfRule>
    <cfRule type="cellIs" dxfId="5" priority="8" stopIfTrue="1" operator="equal">
      <formula>"WARNING"</formula>
    </cfRule>
  </conditionalFormatting>
  <conditionalFormatting sqref="R27:R54">
    <cfRule type="cellIs" dxfId="4" priority="3" stopIfTrue="1" operator="equal">
      <formula>"ERROR"</formula>
    </cfRule>
    <cfRule type="cellIs" dxfId="3" priority="4" stopIfTrue="1" operator="equal">
      <formula>"OK"</formula>
    </cfRule>
    <cfRule type="cellIs" dxfId="2" priority="5" stopIfTrue="1" operator="equal">
      <formula>"WARNING"</formula>
    </cfRule>
  </conditionalFormatting>
  <conditionalFormatting sqref="N12">
    <cfRule type="cellIs" dxfId="1" priority="1" stopIfTrue="1" operator="equal">
      <formula>"OK"</formula>
    </cfRule>
    <cfRule type="cellIs" dxfId="0" priority="2" stopIfTrue="1" operator="equal">
      <formula>"ERROR"</formula>
    </cfRule>
  </conditionalFormatting>
  <dataValidations count="2">
    <dataValidation type="list" allowBlank="1" showInputMessage="1" showErrorMessage="1" sqref="C21 Z22 AH22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AH20:AI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T29" zoomScaleNormal="100" workbookViewId="0">
      <selection activeCell="AG30" sqref="AG3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373</v>
      </c>
    </row>
    <row r="2" spans="2:85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626</v>
      </c>
      <c r="C8" s="4"/>
      <c r="D8" s="4"/>
      <c r="F8" s="4" t="s">
        <v>627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623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620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568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568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585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901" t="s">
        <v>686</v>
      </c>
      <c r="R26" s="901"/>
      <c r="S26" s="901"/>
      <c r="T26" s="901"/>
      <c r="V26" s="901" t="s">
        <v>685</v>
      </c>
      <c r="W26" s="901"/>
      <c r="X26" s="901"/>
      <c r="Y26" s="901"/>
      <c r="Z26" s="202"/>
      <c r="AA26" s="203"/>
      <c r="AF26" s="901" t="s">
        <v>686</v>
      </c>
      <c r="AG26" s="901"/>
      <c r="AH26" s="901"/>
      <c r="AI26" s="901"/>
      <c r="AJ26" s="730"/>
      <c r="AK26" s="901" t="s">
        <v>685</v>
      </c>
      <c r="AL26" s="901"/>
      <c r="AM26" s="901"/>
      <c r="AN26" s="901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687</v>
      </c>
      <c r="V27" s="724" t="s">
        <v>688</v>
      </c>
      <c r="Z27" s="202"/>
      <c r="AA27" s="203"/>
      <c r="AF27" s="724" t="s">
        <v>687</v>
      </c>
      <c r="AG27" s="430"/>
      <c r="AH27" s="430"/>
      <c r="AI27" s="430"/>
      <c r="AK27" s="724" t="s">
        <v>688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474</v>
      </c>
      <c r="G28" s="897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689</v>
      </c>
      <c r="Y28" s="730"/>
      <c r="Z28" s="202"/>
      <c r="AA28" s="203"/>
      <c r="AB28" s="55" t="s">
        <v>37</v>
      </c>
      <c r="AC28" s="55"/>
      <c r="AD28" s="55"/>
      <c r="AF28" s="12" t="s">
        <v>594</v>
      </c>
      <c r="AG28" s="12"/>
      <c r="AH28" s="902" cm="1">
        <f t="array" ref="AH28">_xll.d.Dates_AddTenorToDate(AC33,"2d","USD","MODFOL")</f>
        <v>43923</v>
      </c>
      <c r="AK28" s="850" t="s">
        <v>689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8" t="str" cm="1">
        <f t="array" aca="1" ref="B29" ca="1">_xll.d.Curve_Bootstrap("ZARFlatCurve",B31:C36,,B39:D43,B45:D49,B51:D54)</f>
        <v>@@ZARFlatCurve::16:00:49</v>
      </c>
      <c r="C29" s="919"/>
      <c r="F29" s="430"/>
      <c r="G29" s="430"/>
      <c r="H29" s="430"/>
      <c r="I29" s="430"/>
      <c r="J29" s="202"/>
      <c r="K29" s="203"/>
      <c r="L29" s="918" t="str" cm="1">
        <f t="array" aca="1" ref="L29" ca="1">_xll.d.Curve_Bootstrap("ZARRealCurve",L31:M36,,L39:N43,L45:N53,L55:N62)</f>
        <v>@@ZARRealCurve::16:00:49</v>
      </c>
      <c r="M29" s="919"/>
      <c r="Q29" s="120" t="s">
        <v>474</v>
      </c>
      <c r="R29" s="120"/>
      <c r="S29" s="773">
        <v>1.0000000000000001E-5</v>
      </c>
      <c r="U29" s="730"/>
      <c r="V29" s="120" t="s">
        <v>474</v>
      </c>
      <c r="W29" s="120"/>
      <c r="X29" s="773">
        <v>1E-4</v>
      </c>
      <c r="Y29" s="730"/>
      <c r="Z29" s="202"/>
      <c r="AA29" s="203"/>
      <c r="AB29" s="918" t="str" cm="1">
        <f t="array" aca="1" ref="AB29" ca="1">_xll.d.Curve_Bootstrap(_xll.d.Excel_GetSheetName()&amp;"_USDOIS",AB31:AC35,,AB38:AD40,AB42:AD63)</f>
        <v>@@SingleCurveBootstrapping_USDOIS::16:00:48</v>
      </c>
      <c r="AC29" s="919"/>
      <c r="AD29" s="919"/>
      <c r="AF29" s="120" t="s">
        <v>474</v>
      </c>
      <c r="AG29" s="120"/>
      <c r="AH29" s="773">
        <v>1.0000000000000001E-5</v>
      </c>
      <c r="AK29" s="120" t="s">
        <v>474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906" t="s">
        <v>30</v>
      </c>
      <c r="D32" s="906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906" t="s">
        <v>30</v>
      </c>
      <c r="N32" s="906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583</v>
      </c>
      <c r="X32" s="44" t="s">
        <v>584</v>
      </c>
      <c r="Y32" s="743"/>
      <c r="Z32" s="202"/>
      <c r="AA32" s="203"/>
      <c r="AB32" s="61" t="s">
        <v>29</v>
      </c>
      <c r="AC32" s="906" t="s">
        <v>30</v>
      </c>
      <c r="AD32" s="906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583</v>
      </c>
      <c r="AM32" s="44" t="s">
        <v>584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60" t="s">
        <v>753</v>
      </c>
      <c r="C33" s="904">
        <v>44713</v>
      </c>
      <c r="D33" s="904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904">
        <v>43861</v>
      </c>
      <c r="N33" s="904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904">
        <v>43921</v>
      </c>
      <c r="AD33" s="904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61" t="s">
        <v>833</v>
      </c>
      <c r="C34" s="1085" t="s">
        <v>33</v>
      </c>
      <c r="D34" s="1078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85" t="s">
        <v>33</v>
      </c>
      <c r="N34" s="1078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85" t="s">
        <v>51</v>
      </c>
      <c r="AD34" s="1078"/>
      <c r="AE34" s="430"/>
      <c r="AF34" s="757">
        <f>EDATE(AH28,1)</f>
        <v>43953</v>
      </c>
      <c r="AG34" s="729" cm="1">
        <f t="array" ref="AG34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61" t="s">
        <v>832</v>
      </c>
      <c r="C35" s="905" t="s">
        <v>24</v>
      </c>
      <c r="D35" s="905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905" t="s">
        <v>24</v>
      </c>
      <c r="N35" s="905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88" t="s">
        <v>691</v>
      </c>
      <c r="AD35" s="1080"/>
      <c r="AF35" s="757">
        <f>EDATE(AF34,1)</f>
        <v>43984</v>
      </c>
      <c r="AG35" s="729" cm="1">
        <f t="array" ref="AG35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88" t="s">
        <v>691</v>
      </c>
      <c r="D36" s="1080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88" t="s">
        <v>691</v>
      </c>
      <c r="N36" s="1080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>EDATE(AF35,1)</f>
        <v>44014</v>
      </c>
      <c r="AG36" s="729" cm="1">
        <f t="array" ref="AG36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>EDATE(AF36,1)</f>
        <v>44045</v>
      </c>
      <c r="AG37" s="729" cm="1">
        <f t="array" ref="AG37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>EDATE(AF37,1)</f>
        <v>44076</v>
      </c>
      <c r="AG38" s="729" cm="1">
        <f t="array" ref="AG38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574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>EDATE(AF38,1)</f>
        <v>44106</v>
      </c>
      <c r="AG39" s="759" cm="1">
        <f t="array" ref="AG39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575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537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576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537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535</v>
      </c>
      <c r="H42" s="282" t="s">
        <v>536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577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535</v>
      </c>
      <c r="AH42" s="282" t="s">
        <v>536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578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ref="AF43:AF5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v>44288</v>
      </c>
      <c r="AG44" s="271" cm="1">
        <f t="array" ref="AG44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v>44655</v>
      </c>
      <c r="AG45" s="270" cm="1">
        <f t="array" ref="AG45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762</v>
      </c>
      <c r="M46" s="62" t="s">
        <v>36</v>
      </c>
      <c r="N46" s="63" t="s">
        <v>42</v>
      </c>
      <c r="Q46" s="120" t="s">
        <v>537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v>45019</v>
      </c>
      <c r="AG46" s="270" cm="1">
        <f t="array" ref="AG46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535</v>
      </c>
      <c r="S47" s="282" t="s">
        <v>536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586</v>
      </c>
      <c r="AC47" s="266">
        <v>6.7000000000000002E-4</v>
      </c>
      <c r="AD47" s="205" t="b">
        <v>1</v>
      </c>
      <c r="AE47" s="430"/>
      <c r="AF47" s="716">
        <v>45384</v>
      </c>
      <c r="AG47" s="270" cm="1">
        <f t="array" ref="AG47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587</v>
      </c>
      <c r="AC48" s="266">
        <v>6.6E-4</v>
      </c>
      <c r="AD48" s="205" t="b">
        <v>1</v>
      </c>
      <c r="AE48" s="430"/>
      <c r="AF48" s="716">
        <v>45749</v>
      </c>
      <c r="AG48" s="270" cm="1">
        <f t="array" ref="AG48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v>46114</v>
      </c>
      <c r="AG49" s="270" cm="1">
        <f t="array" ref="AG49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569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v>46479</v>
      </c>
      <c r="AG50" s="270" cm="1">
        <f t="array" ref="AG50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570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574</v>
      </c>
      <c r="AC51" s="266">
        <v>6.9000000000000008E-4</v>
      </c>
      <c r="AD51" s="205" t="b">
        <v>1</v>
      </c>
      <c r="AE51" s="430"/>
      <c r="AF51" s="719">
        <v>46846</v>
      </c>
      <c r="AG51" s="631" cm="1">
        <f t="array" ref="AG5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571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576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572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538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573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579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538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581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573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588</v>
      </c>
      <c r="AC58" s="266">
        <v>4.3299999999999996E-3</v>
      </c>
      <c r="AD58" s="205" t="b">
        <v>1</v>
      </c>
      <c r="AE58" s="430"/>
      <c r="AF58" s="733" t="s">
        <v>573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579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589</v>
      </c>
      <c r="AC59" s="266">
        <v>4.8799999999999998E-3</v>
      </c>
      <c r="AD59" s="205" t="b">
        <v>1</v>
      </c>
      <c r="AE59" s="430"/>
      <c r="AF59" s="735" t="s">
        <v>579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580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590</v>
      </c>
      <c r="AC60" s="266">
        <v>5.3300000000000005E-3</v>
      </c>
      <c r="AD60" s="205" t="b">
        <v>1</v>
      </c>
      <c r="AE60" s="430"/>
      <c r="AF60" s="618" t="s">
        <v>581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581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591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582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592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593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623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7" t="s">
        <v>3</v>
      </c>
      <c r="C78" s="908" t="s">
        <v>684</v>
      </c>
      <c r="D78" s="289"/>
      <c r="E78" s="289"/>
      <c r="F78" s="289"/>
      <c r="G78" s="430"/>
      <c r="H78" s="907" t="s">
        <v>3</v>
      </c>
      <c r="I78" s="908" t="s">
        <v>846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09" t="s">
        <v>44</v>
      </c>
      <c r="C79" s="910" t="s">
        <v>624</v>
      </c>
      <c r="D79" s="289"/>
      <c r="E79" s="289"/>
      <c r="F79" s="289"/>
      <c r="H79" s="909" t="s">
        <v>44</v>
      </c>
      <c r="I79" s="910" t="s">
        <v>847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1" t="s">
        <v>31</v>
      </c>
      <c r="C80" s="912">
        <v>45016</v>
      </c>
      <c r="D80" s="289"/>
      <c r="E80" s="289"/>
      <c r="F80" s="289"/>
      <c r="H80" s="911" t="s">
        <v>31</v>
      </c>
      <c r="I80" s="912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3"/>
      <c r="C81" s="914"/>
      <c r="D81" s="915"/>
      <c r="E81" s="916"/>
      <c r="F81" s="289"/>
      <c r="H81" s="913"/>
      <c r="I81" s="914"/>
      <c r="J81" s="915"/>
      <c r="K81" s="916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aca="1" ref="C82" ca="1">_xll.d.Curve_Get(C78,C79,C80)</f>
        <v>@@OmicronZARSwapCurve::16:00:48</v>
      </c>
      <c r="D82" s="917"/>
      <c r="E82" s="916"/>
      <c r="F82" s="289"/>
      <c r="H82" s="55" t="s">
        <v>12</v>
      </c>
      <c r="I82" s="207" t="str" cm="1">
        <f t="array" aca="1" ref="I82" ca="1">_xll.d.Curve_Get(I78,I79,I80)</f>
        <v>@@OmicronUsdSwapCurve::16:00:57:: Instruments with NaNs found</v>
      </c>
      <c r="J82" s="917"/>
      <c r="K82" s="916"/>
      <c r="L82" s="289"/>
      <c r="Q82" s="285" t="s">
        <v>538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699</v>
      </c>
      <c r="C83" s="914"/>
      <c r="D83" s="289"/>
      <c r="E83" s="916"/>
      <c r="F83" s="289"/>
      <c r="H83" s="724" t="s">
        <v>699</v>
      </c>
      <c r="I83" s="914"/>
      <c r="J83" s="289"/>
      <c r="K83" s="916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573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t="e" cm="1">
        <f t="array" aca="1" ref="I86" ca="1">_xll.d.Curve_GetDiscountFactors(I82,H86:H98)</f>
        <v>#VALUE!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Error</v>
      </c>
      <c r="Q86" s="735" t="s">
        <v>579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/>
      <c r="J87" s="843">
        <f t="shared" ref="J87:J98" si="2">H87</f>
        <v>45046</v>
      </c>
      <c r="K87" s="844">
        <v>0.99360206292619835</v>
      </c>
      <c r="L87" s="163" t="str" cm="1">
        <f t="array" ref="L87">_xll.d.TestUtils_Equal(I87,K87)</f>
        <v>Error</v>
      </c>
      <c r="Q87" s="733" t="s">
        <v>580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/>
      <c r="J88" s="843">
        <f t="shared" si="2"/>
        <v>45076</v>
      </c>
      <c r="K88" s="844">
        <v>0.98715921592479683</v>
      </c>
      <c r="L88" s="163" t="str" cm="1">
        <f t="array" ref="L88">_xll.d.TestUtils_Equal(I88,K88)</f>
        <v>Error</v>
      </c>
      <c r="Q88" s="735" t="s">
        <v>581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/>
      <c r="J89" s="843">
        <f t="shared" si="2"/>
        <v>45107</v>
      </c>
      <c r="K89" s="844">
        <v>0.980545493845425</v>
      </c>
      <c r="L89" s="163" t="str" cm="1">
        <f t="array" ref="L89">_xll.d.TestUtils_Equal(I89,K89)</f>
        <v>Error</v>
      </c>
      <c r="Q89" s="618" t="s">
        <v>582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/>
      <c r="J90" s="843">
        <f t="shared" si="2"/>
        <v>45137</v>
      </c>
      <c r="K90" s="844">
        <v>0.97404099755704809</v>
      </c>
      <c r="L90" s="163" t="str" cm="1">
        <f t="array" ref="L90">_xll.d.TestUtils_Equal(I90,K90)</f>
        <v>Error</v>
      </c>
      <c r="AQ90" s="892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/>
      <c r="J91" s="843">
        <f t="shared" si="2"/>
        <v>45168</v>
      </c>
      <c r="K91" s="844">
        <v>0.96736501063792357</v>
      </c>
      <c r="L91" s="163" t="str" cm="1">
        <f t="array" ref="L9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/>
      <c r="J92" s="843">
        <f t="shared" si="2"/>
        <v>45199</v>
      </c>
      <c r="K92" s="844">
        <v>0.96073374854954563</v>
      </c>
      <c r="L92" s="163" t="str" cm="1">
        <f t="array" ref="L92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/>
      <c r="J93" s="843">
        <f t="shared" si="2"/>
        <v>45229</v>
      </c>
      <c r="K93" s="844">
        <v>0.95432992729213328</v>
      </c>
      <c r="L93" s="163" t="str" cm="1">
        <f t="array" ref="L93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/>
      <c r="J94" s="843">
        <f t="shared" si="2"/>
        <v>45260</v>
      </c>
      <c r="K94" s="844">
        <v>0.94775748497078005</v>
      </c>
      <c r="L94" s="163" t="str" cm="1">
        <f t="array" ref="L94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/>
      <c r="J95" s="843">
        <f t="shared" si="2"/>
        <v>45290</v>
      </c>
      <c r="K95" s="844">
        <v>0.94144380075982581</v>
      </c>
      <c r="L95" s="163" t="str" cm="1">
        <f t="array" ref="L95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/>
      <c r="J96" s="843">
        <f t="shared" si="2"/>
        <v>45321</v>
      </c>
      <c r="K96" s="844">
        <v>0.93507226945889121</v>
      </c>
      <c r="L96" s="163" t="str" cm="1">
        <f t="array" ref="L96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/>
      <c r="J97" s="843">
        <f t="shared" si="2"/>
        <v>45351</v>
      </c>
      <c r="K97" s="844">
        <v>0.92894733177196143</v>
      </c>
      <c r="L97" s="163" t="str" cm="1">
        <f t="array" ref="L97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/>
      <c r="J98" s="847">
        <f t="shared" si="2"/>
        <v>45380</v>
      </c>
      <c r="K98" s="848">
        <v>0.92307131168996104</v>
      </c>
      <c r="L98" s="163" t="str" cm="1">
        <f t="array" ref="L98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620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aca="1" ref="B126:E156" ca="1">_xll.d.Curve_GetInstruments(C82)</f>
        <v>Deposits</v>
      </c>
      <c r="C126" s="823" t="str">
        <f ca="1"/>
        <v/>
      </c>
      <c r="D126" s="823" t="str">
        <f ca="1"/>
        <v/>
      </c>
      <c r="E126" s="823" t="str">
        <f ca="1"/>
        <v/>
      </c>
      <c r="F126" s="898" t="s">
        <v>21</v>
      </c>
      <c r="G126" s="823" t="s">
        <v>244</v>
      </c>
      <c r="H126" s="823" t="s">
        <v>244</v>
      </c>
      <c r="I126" s="75" t="s">
        <v>244</v>
      </c>
      <c r="J126" s="163" t="str" cm="1">
        <f t="array" aca="1" ref="J126" ca="1">_xll.d.TestUtils_Equal(B126,F126)</f>
        <v>Ok</v>
      </c>
      <c r="K126" s="163" t="str" cm="1">
        <f t="array" aca="1" ref="K126" ca="1">_xll.d.TestUtils_Equal(C126,G126)</f>
        <v>Ok</v>
      </c>
      <c r="L126" s="163" t="str" cm="1">
        <f t="array" aca="1" ref="L126" ca="1">_xll.d.TestUtils_Equal(D126,H126)</f>
        <v>Ok</v>
      </c>
      <c r="M126" s="163" t="str" cm="1">
        <f t="array" aca="1" ref="M126" ca="1">_xll.d.TestUtils_Equal(E126,I126)</f>
        <v>Ok</v>
      </c>
    </row>
    <row r="127" spans="2:13">
      <c r="B127" s="76" t="str">
        <f ca="1"/>
        <v>Tenors</v>
      </c>
      <c r="C127" s="54" t="str">
        <f ca="1"/>
        <v>Rate Index</v>
      </c>
      <c r="D127" s="54" t="str">
        <f ca="1"/>
        <v>Rates</v>
      </c>
      <c r="E127" s="54" t="str">
        <f ca="1"/>
        <v>Include</v>
      </c>
      <c r="F127" s="899" t="s">
        <v>35</v>
      </c>
      <c r="G127" s="54" t="s">
        <v>763</v>
      </c>
      <c r="H127" s="54" t="s">
        <v>36</v>
      </c>
      <c r="I127" s="77" t="s">
        <v>42</v>
      </c>
      <c r="J127" s="163" t="str" cm="1">
        <f t="array" aca="1" ref="J127" ca="1">_xll.d.TestUtils_Equal(B127,F127)</f>
        <v>Ok</v>
      </c>
      <c r="K127" s="163" t="str" cm="1">
        <f t="array" aca="1" ref="K127" ca="1">_xll.d.TestUtils_Equal(C127,G127)</f>
        <v>Ok</v>
      </c>
      <c r="L127" s="163" t="str" cm="1">
        <f t="array" aca="1" ref="L127" ca="1">_xll.d.TestUtils_Equal(D127,H127)</f>
        <v>Ok</v>
      </c>
      <c r="M127" s="163" t="str" cm="1">
        <f t="array" aca="1" ref="M127" ca="1">_xll.d.TestUtils_Equal(E127,I127)</f>
        <v>Ok</v>
      </c>
    </row>
    <row r="128" spans="2:13">
      <c r="B128" s="76" t="str">
        <f ca="1"/>
        <v>1D</v>
      </c>
      <c r="C128" s="54" t="str">
        <f ca="1"/>
        <v>JIBAR</v>
      </c>
      <c r="D128" s="54">
        <f ca="1"/>
        <v>7.0699999999999999E-2</v>
      </c>
      <c r="E128" s="54" t="str">
        <f ca="1"/>
        <v>TRUE</v>
      </c>
      <c r="F128" s="899" t="s">
        <v>628</v>
      </c>
      <c r="G128" s="54" t="s">
        <v>33</v>
      </c>
      <c r="H128" s="54">
        <v>7.0699999999999999E-2</v>
      </c>
      <c r="I128" s="77" t="s">
        <v>629</v>
      </c>
      <c r="J128" s="163" t="str" cm="1">
        <f t="array" aca="1" ref="J128" ca="1">_xll.d.TestUtils_Equal(B128,F128)</f>
        <v>Ok</v>
      </c>
      <c r="K128" s="163" t="str" cm="1">
        <f t="array" aca="1" ref="K128" ca="1">_xll.d.TestUtils_Equal(C128,G128)</f>
        <v>Ok</v>
      </c>
      <c r="L128" s="163" t="str" cm="1">
        <f t="array" aca="1" ref="L128" ca="1">_xll.d.TestUtils_Equal(D128,H128)</f>
        <v>Ok</v>
      </c>
      <c r="M128" s="163" t="str" cm="1">
        <f t="array" aca="1" ref="M128" ca="1">_xll.d.TestUtils_Equal(E128,I128)</f>
        <v>Ok</v>
      </c>
    </row>
    <row r="129" spans="2:13">
      <c r="B129" s="76" t="str">
        <f ca="1"/>
        <v>1M</v>
      </c>
      <c r="C129" s="54" t="str">
        <f ca="1"/>
        <v>JIBAR</v>
      </c>
      <c r="D129" s="54">
        <f ca="1"/>
        <v>7.825E-2</v>
      </c>
      <c r="E129" s="54" t="str">
        <f ca="1"/>
        <v>TRUE</v>
      </c>
      <c r="F129" s="899" t="s">
        <v>608</v>
      </c>
      <c r="G129" s="54" t="s">
        <v>33</v>
      </c>
      <c r="H129" s="54">
        <v>7.825E-2</v>
      </c>
      <c r="I129" s="77" t="s">
        <v>629</v>
      </c>
      <c r="J129" s="163" t="str" cm="1">
        <f t="array" aca="1" ref="J129" ca="1">_xll.d.TestUtils_Equal(B129,F129)</f>
        <v>Ok</v>
      </c>
      <c r="K129" s="163" t="str" cm="1">
        <f t="array" aca="1" ref="K129" ca="1">_xll.d.TestUtils_Equal(C129,G129)</f>
        <v>Ok</v>
      </c>
      <c r="L129" s="163" t="str" cm="1">
        <f t="array" aca="1" ref="L129" ca="1">_xll.d.TestUtils_Equal(D129,H129)</f>
        <v>Ok</v>
      </c>
      <c r="M129" s="163" t="str" cm="1">
        <f t="array" aca="1" ref="M129" ca="1">_xll.d.TestUtils_Equal(E129,I129)</f>
        <v>Ok</v>
      </c>
    </row>
    <row r="130" spans="2:13">
      <c r="B130" s="76" t="str">
        <f ca="1"/>
        <v>3M</v>
      </c>
      <c r="C130" s="54" t="str">
        <f ca="1"/>
        <v>JIBAR</v>
      </c>
      <c r="D130" s="54">
        <f ca="1"/>
        <v>7.9579999999999998E-2</v>
      </c>
      <c r="E130" s="54" t="str">
        <f ca="1"/>
        <v>TRUE</v>
      </c>
      <c r="F130" s="899" t="s">
        <v>612</v>
      </c>
      <c r="G130" s="54" t="s">
        <v>33</v>
      </c>
      <c r="H130" s="54">
        <v>7.9579999999999998E-2</v>
      </c>
      <c r="I130" s="77" t="s">
        <v>629</v>
      </c>
      <c r="J130" s="163" t="str" cm="1">
        <f t="array" aca="1" ref="J130" ca="1">_xll.d.TestUtils_Equal(B130,F130)</f>
        <v>Ok</v>
      </c>
      <c r="K130" s="163" t="str" cm="1">
        <f t="array" aca="1" ref="K130" ca="1">_xll.d.TestUtils_Equal(C130,G130)</f>
        <v>Ok</v>
      </c>
      <c r="L130" s="163" t="str" cm="1">
        <f t="array" aca="1" ref="L130" ca="1">_xll.d.TestUtils_Equal(D130,H130)</f>
        <v>Ok</v>
      </c>
      <c r="M130" s="163" t="str" cm="1">
        <f t="array" aca="1" ref="M130" ca="1">_xll.d.TestUtils_Equal(E130,I130)</f>
        <v>Ok</v>
      </c>
    </row>
    <row r="131" spans="2:13">
      <c r="B131" s="76" t="str">
        <f ca="1"/>
        <v/>
      </c>
      <c r="C131" s="54" t="str">
        <f ca="1"/>
        <v/>
      </c>
      <c r="D131" s="54" t="str">
        <f ca="1"/>
        <v/>
      </c>
      <c r="E131" s="54" t="str">
        <f ca="1"/>
        <v/>
      </c>
      <c r="F131" s="899" t="s">
        <v>244</v>
      </c>
      <c r="G131" s="54" t="s">
        <v>244</v>
      </c>
      <c r="H131" s="54" t="s">
        <v>244</v>
      </c>
      <c r="I131" s="77" t="s">
        <v>244</v>
      </c>
      <c r="J131" s="163" t="str" cm="1">
        <f t="array" aca="1" ref="J131" ca="1">_xll.d.TestUtils_Equal(B131,F131)</f>
        <v>Ok</v>
      </c>
      <c r="K131" s="163" t="str" cm="1">
        <f t="array" aca="1" ref="K131" ca="1">_xll.d.TestUtils_Equal(C131,G131)</f>
        <v>Ok</v>
      </c>
      <c r="L131" s="163" t="str" cm="1">
        <f t="array" aca="1" ref="L131" ca="1">_xll.d.TestUtils_Equal(D131,H131)</f>
        <v>Ok</v>
      </c>
      <c r="M131" s="163" t="str" cm="1">
        <f t="array" aca="1" ref="M131" ca="1">_xll.d.TestUtils_Equal(E131,I131)</f>
        <v>Ok</v>
      </c>
    </row>
    <row r="132" spans="2:13">
      <c r="B132" s="76" t="str">
        <f ca="1"/>
        <v>FRAs</v>
      </c>
      <c r="C132" s="54" t="str">
        <f ca="1"/>
        <v/>
      </c>
      <c r="D132" s="54" t="str">
        <f ca="1"/>
        <v/>
      </c>
      <c r="E132" s="54" t="str">
        <f ca="1"/>
        <v/>
      </c>
      <c r="F132" s="899" t="s">
        <v>34</v>
      </c>
      <c r="G132" s="54" t="s">
        <v>244</v>
      </c>
      <c r="H132" s="54" t="s">
        <v>244</v>
      </c>
      <c r="I132" s="77" t="s">
        <v>244</v>
      </c>
      <c r="J132" s="163" t="str" cm="1">
        <f t="array" aca="1" ref="J132" ca="1">_xll.d.TestUtils_Equal(B132,F132)</f>
        <v>Ok</v>
      </c>
      <c r="K132" s="163" t="str" cm="1">
        <f t="array" aca="1" ref="K132" ca="1">_xll.d.TestUtils_Equal(C132,G132)</f>
        <v>Ok</v>
      </c>
      <c r="L132" s="163" t="str" cm="1">
        <f t="array" aca="1" ref="L132" ca="1">_xll.d.TestUtils_Equal(D132,H132)</f>
        <v>Ok</v>
      </c>
      <c r="M132" s="163" t="str" cm="1">
        <f t="array" aca="1" ref="M132" ca="1">_xll.d.TestUtils_Equal(E132,I132)</f>
        <v>Ok</v>
      </c>
    </row>
    <row r="133" spans="2:13">
      <c r="B133" s="76" t="str">
        <f ca="1"/>
        <v>Fra Tenors</v>
      </c>
      <c r="C133" s="54" t="str">
        <f ca="1"/>
        <v>Rate Index</v>
      </c>
      <c r="D133" s="54" t="str">
        <f ca="1"/>
        <v>Rates</v>
      </c>
      <c r="E133" s="54" t="str">
        <f ca="1"/>
        <v>Include</v>
      </c>
      <c r="F133" s="899" t="s">
        <v>762</v>
      </c>
      <c r="G133" s="54" t="s">
        <v>763</v>
      </c>
      <c r="H133" s="54" t="s">
        <v>36</v>
      </c>
      <c r="I133" s="77" t="s">
        <v>42</v>
      </c>
      <c r="J133" s="163" t="str" cm="1">
        <f t="array" aca="1" ref="J133" ca="1">_xll.d.TestUtils_Equal(B133,F133)</f>
        <v>Ok</v>
      </c>
      <c r="K133" s="163" t="str" cm="1">
        <f t="array" aca="1" ref="K133" ca="1">_xll.d.TestUtils_Equal(C133,G133)</f>
        <v>Ok</v>
      </c>
      <c r="L133" s="163" t="str" cm="1">
        <f t="array" aca="1" ref="L133" ca="1">_xll.d.TestUtils_Equal(D133,H133)</f>
        <v>Ok</v>
      </c>
      <c r="M133" s="163" t="str" cm="1">
        <f t="array" aca="1" ref="M133" ca="1">_xll.d.TestUtils_Equal(E133,I133)</f>
        <v>Ok</v>
      </c>
    </row>
    <row r="134" spans="2:13">
      <c r="B134" s="76" t="str">
        <f ca="1"/>
        <v>3x6</v>
      </c>
      <c r="C134" s="54" t="str">
        <f ca="1"/>
        <v>JIBAR</v>
      </c>
      <c r="D134" s="54">
        <f ca="1"/>
        <v>8.1799999999999998E-2</v>
      </c>
      <c r="E134" s="54" t="str">
        <f ca="1"/>
        <v>TRUE</v>
      </c>
      <c r="F134" s="899" t="s">
        <v>192</v>
      </c>
      <c r="G134" s="54" t="s">
        <v>33</v>
      </c>
      <c r="H134" s="54">
        <v>8.1799999999999998E-2</v>
      </c>
      <c r="I134" s="77" t="s">
        <v>629</v>
      </c>
      <c r="J134" s="163" t="str" cm="1">
        <f t="array" aca="1" ref="J134" ca="1">_xll.d.TestUtils_Equal(B134,F134)</f>
        <v>Ok</v>
      </c>
      <c r="K134" s="163" t="str" cm="1">
        <f t="array" aca="1" ref="K134" ca="1">_xll.d.TestUtils_Equal(C134,G134)</f>
        <v>Ok</v>
      </c>
      <c r="L134" s="163" t="str" cm="1">
        <f t="array" aca="1" ref="L134" ca="1">_xll.d.TestUtils_Equal(D134,H134)</f>
        <v>Ok</v>
      </c>
      <c r="M134" s="163" t="str" cm="1">
        <f t="array" aca="1" ref="M134" ca="1">_xll.d.TestUtils_Equal(E134,I134)</f>
        <v>Ok</v>
      </c>
    </row>
    <row r="135" spans="2:13">
      <c r="B135" s="76" t="str">
        <f ca="1"/>
        <v>6x9</v>
      </c>
      <c r="C135" s="54" t="str">
        <f ca="1"/>
        <v>JIBAR</v>
      </c>
      <c r="D135" s="54">
        <f ca="1"/>
        <v>8.2200000000000009E-2</v>
      </c>
      <c r="E135" s="54" t="str">
        <f ca="1"/>
        <v>TRUE</v>
      </c>
      <c r="F135" s="899" t="s">
        <v>193</v>
      </c>
      <c r="G135" s="54" t="s">
        <v>33</v>
      </c>
      <c r="H135" s="54">
        <v>8.2200000000000009E-2</v>
      </c>
      <c r="I135" s="77" t="s">
        <v>629</v>
      </c>
      <c r="J135" s="163" t="str" cm="1">
        <f t="array" aca="1" ref="J135" ca="1">_xll.d.TestUtils_Equal(B135,F135)</f>
        <v>Ok</v>
      </c>
      <c r="K135" s="163" t="str" cm="1">
        <f t="array" aca="1" ref="K135" ca="1">_xll.d.TestUtils_Equal(C135,G135)</f>
        <v>Ok</v>
      </c>
      <c r="L135" s="163" t="str" cm="1">
        <f t="array" aca="1" ref="L135" ca="1">_xll.d.TestUtils_Equal(D135,H135)</f>
        <v>Ok</v>
      </c>
      <c r="M135" s="163" t="str" cm="1">
        <f t="array" aca="1" ref="M135" ca="1">_xll.d.TestUtils_Equal(E135,I135)</f>
        <v>Ok</v>
      </c>
    </row>
    <row r="136" spans="2:13">
      <c r="B136" s="76" t="str">
        <f ca="1"/>
        <v>9x12</v>
      </c>
      <c r="C136" s="54" t="str">
        <f ca="1"/>
        <v>JIBAR</v>
      </c>
      <c r="D136" s="54">
        <f ca="1"/>
        <v>8.0749999999999988E-2</v>
      </c>
      <c r="E136" s="54" t="str">
        <f ca="1"/>
        <v>TRUE</v>
      </c>
      <c r="F136" s="899" t="s">
        <v>194</v>
      </c>
      <c r="G136" s="54" t="s">
        <v>33</v>
      </c>
      <c r="H136" s="54">
        <v>8.0749999999999988E-2</v>
      </c>
      <c r="I136" s="77" t="s">
        <v>629</v>
      </c>
      <c r="J136" s="163" t="str" cm="1">
        <f t="array" aca="1" ref="J136" ca="1">_xll.d.TestUtils_Equal(B136,F136)</f>
        <v>Ok</v>
      </c>
      <c r="K136" s="163" t="str" cm="1">
        <f t="array" aca="1" ref="K136" ca="1">_xll.d.TestUtils_Equal(C136,G136)</f>
        <v>Ok</v>
      </c>
      <c r="L136" s="163" t="str" cm="1">
        <f t="array" aca="1" ref="L136" ca="1">_xll.d.TestUtils_Equal(D136,H136)</f>
        <v>Ok</v>
      </c>
      <c r="M136" s="163" t="str" cm="1">
        <f t="array" aca="1" ref="M136" ca="1">_xll.d.TestUtils_Equal(E136,I136)</f>
        <v>Ok</v>
      </c>
    </row>
    <row r="137" spans="2:13">
      <c r="B137" s="76" t="str">
        <f ca="1"/>
        <v>12x15</v>
      </c>
      <c r="C137" s="54" t="str">
        <f ca="1"/>
        <v>JIBAR</v>
      </c>
      <c r="D137" s="54">
        <f ca="1"/>
        <v>7.8100000000000003E-2</v>
      </c>
      <c r="E137" s="54" t="str">
        <f ca="1"/>
        <v>TRUE</v>
      </c>
      <c r="F137" s="899" t="s">
        <v>569</v>
      </c>
      <c r="G137" s="54" t="s">
        <v>33</v>
      </c>
      <c r="H137" s="54">
        <v>7.8100000000000003E-2</v>
      </c>
      <c r="I137" s="77" t="s">
        <v>629</v>
      </c>
      <c r="J137" s="163" t="str" cm="1">
        <f t="array" aca="1" ref="J137" ca="1">_xll.d.TestUtils_Equal(B137,F137)</f>
        <v>Ok</v>
      </c>
      <c r="K137" s="163" t="str" cm="1">
        <f t="array" aca="1" ref="K137" ca="1">_xll.d.TestUtils_Equal(C137,G137)</f>
        <v>Ok</v>
      </c>
      <c r="L137" s="163" t="str" cm="1">
        <f t="array" aca="1" ref="L137" ca="1">_xll.d.TestUtils_Equal(D137,H137)</f>
        <v>Ok</v>
      </c>
      <c r="M137" s="163" t="str" cm="1">
        <f t="array" aca="1" ref="M137" ca="1">_xll.d.TestUtils_Equal(E137,I137)</f>
        <v>Ok</v>
      </c>
    </row>
    <row r="138" spans="2:13">
      <c r="B138" s="76" t="str">
        <f ca="1"/>
        <v>15x18</v>
      </c>
      <c r="C138" s="54" t="str">
        <f ca="1"/>
        <v>JIBAR</v>
      </c>
      <c r="D138" s="54">
        <f ca="1"/>
        <v>7.6649999999999996E-2</v>
      </c>
      <c r="E138" s="54" t="str">
        <f ca="1"/>
        <v>TRUE</v>
      </c>
      <c r="F138" s="899" t="s">
        <v>570</v>
      </c>
      <c r="G138" s="54" t="s">
        <v>33</v>
      </c>
      <c r="H138" s="54">
        <v>7.6649999999999996E-2</v>
      </c>
      <c r="I138" s="77" t="s">
        <v>629</v>
      </c>
      <c r="J138" s="163" t="str" cm="1">
        <f t="array" aca="1" ref="J138" ca="1">_xll.d.TestUtils_Equal(B138,F138)</f>
        <v>Ok</v>
      </c>
      <c r="K138" s="163" t="str" cm="1">
        <f t="array" aca="1" ref="K138" ca="1">_xll.d.TestUtils_Equal(C138,G138)</f>
        <v>Ok</v>
      </c>
      <c r="L138" s="163" t="str" cm="1">
        <f t="array" aca="1" ref="L138" ca="1">_xll.d.TestUtils_Equal(D138,H138)</f>
        <v>Ok</v>
      </c>
      <c r="M138" s="163" t="str" cm="1">
        <f t="array" aca="1" ref="M138" ca="1">_xll.d.TestUtils_Equal(E138,I138)</f>
        <v>Ok</v>
      </c>
    </row>
    <row r="139" spans="2:13">
      <c r="B139" s="76" t="str">
        <f ca="1"/>
        <v>18x21</v>
      </c>
      <c r="C139" s="54" t="str">
        <f ca="1"/>
        <v>JIBAR</v>
      </c>
      <c r="D139" s="54">
        <f ca="1"/>
        <v>7.5649999999999995E-2</v>
      </c>
      <c r="E139" s="54" t="str">
        <f ca="1"/>
        <v>TRUE</v>
      </c>
      <c r="F139" s="899" t="s">
        <v>571</v>
      </c>
      <c r="G139" s="54" t="s">
        <v>33</v>
      </c>
      <c r="H139" s="54">
        <v>7.5649999999999995E-2</v>
      </c>
      <c r="I139" s="77" t="s">
        <v>629</v>
      </c>
      <c r="J139" s="163" t="str" cm="1">
        <f t="array" aca="1" ref="J139" ca="1">_xll.d.TestUtils_Equal(B139,F139)</f>
        <v>Ok</v>
      </c>
      <c r="K139" s="163" t="str" cm="1">
        <f t="array" aca="1" ref="K139" ca="1">_xll.d.TestUtils_Equal(C139,G139)</f>
        <v>Ok</v>
      </c>
      <c r="L139" s="163" t="str" cm="1">
        <f t="array" aca="1" ref="L139" ca="1">_xll.d.TestUtils_Equal(D139,H139)</f>
        <v>Ok</v>
      </c>
      <c r="M139" s="163" t="str" cm="1">
        <f t="array" aca="1" ref="M139" ca="1">_xll.d.TestUtils_Equal(E139,I139)</f>
        <v>Ok</v>
      </c>
    </row>
    <row r="140" spans="2:13">
      <c r="B140" s="76" t="str">
        <f ca="1"/>
        <v>21x24</v>
      </c>
      <c r="C140" s="54" t="str">
        <f ca="1"/>
        <v>JIBAR</v>
      </c>
      <c r="D140" s="54">
        <f ca="1"/>
        <v>7.5199999999999989E-2</v>
      </c>
      <c r="E140" s="54" t="str">
        <f ca="1"/>
        <v>TRUE</v>
      </c>
      <c r="F140" s="899" t="s">
        <v>572</v>
      </c>
      <c r="G140" s="54" t="s">
        <v>33</v>
      </c>
      <c r="H140" s="54">
        <v>7.5199999999999989E-2</v>
      </c>
      <c r="I140" s="77" t="s">
        <v>629</v>
      </c>
      <c r="J140" s="163" t="str" cm="1">
        <f t="array" aca="1" ref="J140" ca="1">_xll.d.TestUtils_Equal(B140,F140)</f>
        <v>Ok</v>
      </c>
      <c r="K140" s="163" t="str" cm="1">
        <f t="array" aca="1" ref="K140" ca="1">_xll.d.TestUtils_Equal(C140,G140)</f>
        <v>Ok</v>
      </c>
      <c r="L140" s="163" t="str" cm="1">
        <f t="array" aca="1" ref="L140" ca="1">_xll.d.TestUtils_Equal(D140,H140)</f>
        <v>Ok</v>
      </c>
      <c r="M140" s="163" t="str" cm="1">
        <f t="array" aca="1" ref="M140" ca="1">_xll.d.TestUtils_Equal(E140,I140)</f>
        <v>Ok</v>
      </c>
    </row>
    <row r="141" spans="2:13">
      <c r="B141" s="76" t="str">
        <f ca="1"/>
        <v/>
      </c>
      <c r="C141" s="54" t="str">
        <f ca="1"/>
        <v/>
      </c>
      <c r="D141" s="54" t="str">
        <f ca="1"/>
        <v/>
      </c>
      <c r="E141" s="54" t="str">
        <f ca="1"/>
        <v/>
      </c>
      <c r="F141" s="899" t="s">
        <v>244</v>
      </c>
      <c r="G141" s="54" t="s">
        <v>244</v>
      </c>
      <c r="H141" s="54" t="s">
        <v>244</v>
      </c>
      <c r="I141" s="77" t="s">
        <v>244</v>
      </c>
      <c r="J141" s="163" t="str" cm="1">
        <f t="array" aca="1" ref="J141" ca="1">_xll.d.TestUtils_Equal(B141,F141)</f>
        <v>Ok</v>
      </c>
      <c r="K141" s="163" t="str" cm="1">
        <f t="array" aca="1" ref="K141" ca="1">_xll.d.TestUtils_Equal(C141,G141)</f>
        <v>Ok</v>
      </c>
      <c r="L141" s="163" t="str" cm="1">
        <f t="array" aca="1" ref="L141" ca="1">_xll.d.TestUtils_Equal(D141,H141)</f>
        <v>Ok</v>
      </c>
      <c r="M141" s="163" t="str" cm="1">
        <f t="array" aca="1" ref="M141" ca="1">_xll.d.TestUtils_Equal(E141,I141)</f>
        <v>Ok</v>
      </c>
    </row>
    <row r="142" spans="2:13">
      <c r="B142" s="76" t="str">
        <f ca="1"/>
        <v>Interest Rate Swaps</v>
      </c>
      <c r="C142" s="54" t="str">
        <f ca="1"/>
        <v/>
      </c>
      <c r="D142" s="54" t="str">
        <f ca="1"/>
        <v/>
      </c>
      <c r="E142" s="54" t="str">
        <f ca="1"/>
        <v/>
      </c>
      <c r="F142" s="899" t="s">
        <v>40</v>
      </c>
      <c r="G142" s="54" t="s">
        <v>244</v>
      </c>
      <c r="H142" s="54" t="s">
        <v>244</v>
      </c>
      <c r="I142" s="77" t="s">
        <v>244</v>
      </c>
      <c r="J142" s="163" t="str" cm="1">
        <f t="array" aca="1" ref="J142" ca="1">_xll.d.TestUtils_Equal(B142,F142)</f>
        <v>Ok</v>
      </c>
      <c r="K142" s="163" t="str" cm="1">
        <f t="array" aca="1" ref="K142" ca="1">_xll.d.TestUtils_Equal(C142,G142)</f>
        <v>Ok</v>
      </c>
      <c r="L142" s="163" t="str" cm="1">
        <f t="array" aca="1" ref="L142" ca="1">_xll.d.TestUtils_Equal(D142,H142)</f>
        <v>Ok</v>
      </c>
      <c r="M142" s="163" t="str" cm="1">
        <f t="array" aca="1" ref="M142" ca="1">_xll.d.TestUtils_Equal(E142,I142)</f>
        <v>Ok</v>
      </c>
    </row>
    <row r="143" spans="2:13">
      <c r="B143" s="76" t="str">
        <f ca="1"/>
        <v>Tenors</v>
      </c>
      <c r="C143" s="54" t="str">
        <f ca="1"/>
        <v>Rate Index</v>
      </c>
      <c r="D143" s="54" t="str">
        <f ca="1"/>
        <v>Rates</v>
      </c>
      <c r="E143" s="54" t="str">
        <f ca="1"/>
        <v>Include</v>
      </c>
      <c r="F143" s="899" t="s">
        <v>35</v>
      </c>
      <c r="G143" s="54" t="s">
        <v>763</v>
      </c>
      <c r="H143" s="54" t="s">
        <v>36</v>
      </c>
      <c r="I143" s="77" t="s">
        <v>42</v>
      </c>
      <c r="J143" s="163" t="str" cm="1">
        <f t="array" aca="1" ref="J143" ca="1">_xll.d.TestUtils_Equal(B143,F143)</f>
        <v>Ok</v>
      </c>
      <c r="K143" s="163" t="str" cm="1">
        <f t="array" aca="1" ref="K143" ca="1">_xll.d.TestUtils_Equal(C143,G143)</f>
        <v>Ok</v>
      </c>
      <c r="L143" s="163" t="str" cm="1">
        <f t="array" aca="1" ref="L143" ca="1">_xll.d.TestUtils_Equal(D143,H143)</f>
        <v>Ok</v>
      </c>
      <c r="M143" s="163" t="str" cm="1">
        <f t="array" aca="1" ref="M143" ca="1">_xll.d.TestUtils_Equal(E143,I143)</f>
        <v>Ok</v>
      </c>
    </row>
    <row r="144" spans="2:13">
      <c r="B144" s="76" t="str">
        <f ca="1"/>
        <v>3Y</v>
      </c>
      <c r="C144" s="54" t="str">
        <f ca="1"/>
        <v>JIBAR</v>
      </c>
      <c r="D144" s="54">
        <f ca="1"/>
        <v>7.85E-2</v>
      </c>
      <c r="E144" s="54" t="str">
        <f ca="1"/>
        <v>TRUE</v>
      </c>
      <c r="F144" s="899" t="s">
        <v>630</v>
      </c>
      <c r="G144" s="54" t="s">
        <v>33</v>
      </c>
      <c r="H144" s="54">
        <v>7.85E-2</v>
      </c>
      <c r="I144" s="77" t="s">
        <v>629</v>
      </c>
      <c r="J144" s="163" t="str" cm="1">
        <f t="array" aca="1" ref="J144" ca="1">_xll.d.TestUtils_Equal(B144,F144)</f>
        <v>Ok</v>
      </c>
      <c r="K144" s="163" t="str" cm="1">
        <f t="array" aca="1" ref="K144" ca="1">_xll.d.TestUtils_Equal(C144,G144)</f>
        <v>Ok</v>
      </c>
      <c r="L144" s="163" t="str" cm="1">
        <f t="array" aca="1" ref="L144" ca="1">_xll.d.TestUtils_Equal(D144,H144)</f>
        <v>Ok</v>
      </c>
      <c r="M144" s="163" t="str" cm="1">
        <f t="array" aca="1" ref="M144" ca="1">_xll.d.TestUtils_Equal(E144,I144)</f>
        <v>Ok</v>
      </c>
    </row>
    <row r="145" spans="1:13">
      <c r="B145" s="76" t="str">
        <f ca="1"/>
        <v>4Y</v>
      </c>
      <c r="C145" s="54" t="str">
        <f ca="1"/>
        <v>JIBAR</v>
      </c>
      <c r="D145" s="54">
        <f ca="1"/>
        <v>7.9500000000000001E-2</v>
      </c>
      <c r="E145" s="54" t="str">
        <f ca="1"/>
        <v>TRUE</v>
      </c>
      <c r="F145" s="899" t="s">
        <v>631</v>
      </c>
      <c r="G145" s="54" t="s">
        <v>33</v>
      </c>
      <c r="H145" s="54">
        <v>7.9500000000000001E-2</v>
      </c>
      <c r="I145" s="77" t="s">
        <v>629</v>
      </c>
      <c r="J145" s="163" t="str" cm="1">
        <f t="array" aca="1" ref="J145" ca="1">_xll.d.TestUtils_Equal(B145,F145)</f>
        <v>Ok</v>
      </c>
      <c r="K145" s="163" t="str" cm="1">
        <f t="array" aca="1" ref="K145" ca="1">_xll.d.TestUtils_Equal(C145,G145)</f>
        <v>Ok</v>
      </c>
      <c r="L145" s="163" t="str" cm="1">
        <f t="array" aca="1" ref="L145" ca="1">_xll.d.TestUtils_Equal(D145,H145)</f>
        <v>Ok</v>
      </c>
      <c r="M145" s="163" t="str" cm="1">
        <f t="array" aca="1" ref="M145" ca="1">_xll.d.TestUtils_Equal(E145,I145)</f>
        <v>Ok</v>
      </c>
    </row>
    <row r="146" spans="1:13">
      <c r="B146" s="76" t="str">
        <f ca="1"/>
        <v>5Y</v>
      </c>
      <c r="C146" s="54" t="str">
        <f ca="1"/>
        <v>JIBAR</v>
      </c>
      <c r="D146" s="54">
        <f ca="1"/>
        <v>8.1199999999999994E-2</v>
      </c>
      <c r="E146" s="54" t="str">
        <f ca="1"/>
        <v>TRUE</v>
      </c>
      <c r="F146" s="899" t="s">
        <v>632</v>
      </c>
      <c r="G146" s="54" t="s">
        <v>33</v>
      </c>
      <c r="H146" s="54">
        <v>8.1199999999999994E-2</v>
      </c>
      <c r="I146" s="77" t="s">
        <v>629</v>
      </c>
      <c r="J146" s="163" t="str" cm="1">
        <f t="array" aca="1" ref="J146" ca="1">_xll.d.TestUtils_Equal(B146,F146)</f>
        <v>Ok</v>
      </c>
      <c r="K146" s="163" t="str" cm="1">
        <f t="array" aca="1" ref="K146" ca="1">_xll.d.TestUtils_Equal(C146,G146)</f>
        <v>Ok</v>
      </c>
      <c r="L146" s="163" t="str" cm="1">
        <f t="array" aca="1" ref="L146" ca="1">_xll.d.TestUtils_Equal(D146,H146)</f>
        <v>Ok</v>
      </c>
      <c r="M146" s="163" t="str" cm="1">
        <f t="array" aca="1" ref="M146" ca="1">_xll.d.TestUtils_Equal(E146,I146)</f>
        <v>Ok</v>
      </c>
    </row>
    <row r="147" spans="1:13">
      <c r="B147" s="76" t="str">
        <f ca="1"/>
        <v>6Y</v>
      </c>
      <c r="C147" s="54" t="str">
        <f ca="1"/>
        <v>JIBAR</v>
      </c>
      <c r="D147" s="54">
        <f ca="1"/>
        <v>8.3499999999999991E-2</v>
      </c>
      <c r="E147" s="54" t="str">
        <f ca="1"/>
        <v>TRUE</v>
      </c>
      <c r="F147" s="899" t="s">
        <v>633</v>
      </c>
      <c r="G147" s="54" t="s">
        <v>33</v>
      </c>
      <c r="H147" s="54">
        <v>8.3499999999999991E-2</v>
      </c>
      <c r="I147" s="77" t="s">
        <v>629</v>
      </c>
      <c r="J147" s="163" t="str" cm="1">
        <f t="array" aca="1" ref="J147" ca="1">_xll.d.TestUtils_Equal(B147,F147)</f>
        <v>Ok</v>
      </c>
      <c r="K147" s="163" t="str" cm="1">
        <f t="array" aca="1" ref="K147" ca="1">_xll.d.TestUtils_Equal(C147,G147)</f>
        <v>Ok</v>
      </c>
      <c r="L147" s="163" t="str" cm="1">
        <f t="array" aca="1" ref="L147" ca="1">_xll.d.TestUtils_Equal(D147,H147)</f>
        <v>Ok</v>
      </c>
      <c r="M147" s="163" t="str" cm="1">
        <f t="array" aca="1" ref="M147" ca="1">_xll.d.TestUtils_Equal(E147,I147)</f>
        <v>Ok</v>
      </c>
    </row>
    <row r="148" spans="1:13">
      <c r="B148" s="76" t="str">
        <f ca="1"/>
        <v>7Y</v>
      </c>
      <c r="C148" s="54" t="str">
        <f ca="1"/>
        <v>JIBAR</v>
      </c>
      <c r="D148" s="54">
        <f ca="1"/>
        <v>8.585000000000001E-2</v>
      </c>
      <c r="E148" s="54" t="str">
        <f ca="1"/>
        <v>TRUE</v>
      </c>
      <c r="F148" s="899" t="s">
        <v>634</v>
      </c>
      <c r="G148" s="54" t="s">
        <v>33</v>
      </c>
      <c r="H148" s="54">
        <v>8.585000000000001E-2</v>
      </c>
      <c r="I148" s="77" t="s">
        <v>629</v>
      </c>
      <c r="J148" s="163" t="str" cm="1">
        <f t="array" aca="1" ref="J148" ca="1">_xll.d.TestUtils_Equal(B148,F148)</f>
        <v>Ok</v>
      </c>
      <c r="K148" s="163" t="str" cm="1">
        <f t="array" aca="1" ref="K148" ca="1">_xll.d.TestUtils_Equal(C148,G148)</f>
        <v>Ok</v>
      </c>
      <c r="L148" s="163" t="str" cm="1">
        <f t="array" aca="1" ref="L148" ca="1">_xll.d.TestUtils_Equal(D148,H148)</f>
        <v>Ok</v>
      </c>
      <c r="M148" s="163" t="str" cm="1">
        <f t="array" aca="1" ref="M148" ca="1">_xll.d.TestUtils_Equal(E148,I148)</f>
        <v>Ok</v>
      </c>
    </row>
    <row r="149" spans="1:13">
      <c r="B149" s="76" t="str">
        <f ca="1"/>
        <v>8Y</v>
      </c>
      <c r="C149" s="54" t="str">
        <f ca="1"/>
        <v>JIBAR</v>
      </c>
      <c r="D149" s="54">
        <f ca="1"/>
        <v>8.7899999999999992E-2</v>
      </c>
      <c r="E149" s="54" t="str">
        <f ca="1"/>
        <v>TRUE</v>
      </c>
      <c r="F149" s="899" t="s">
        <v>635</v>
      </c>
      <c r="G149" s="54" t="s">
        <v>33</v>
      </c>
      <c r="H149" s="54">
        <v>8.7899999999999992E-2</v>
      </c>
      <c r="I149" s="77" t="s">
        <v>629</v>
      </c>
      <c r="J149" s="163" t="str" cm="1">
        <f t="array" aca="1" ref="J149" ca="1">_xll.d.TestUtils_Equal(B149,F149)</f>
        <v>Ok</v>
      </c>
      <c r="K149" s="163" t="str" cm="1">
        <f t="array" aca="1" ref="K149" ca="1">_xll.d.TestUtils_Equal(C149,G149)</f>
        <v>Ok</v>
      </c>
      <c r="L149" s="163" t="str" cm="1">
        <f t="array" aca="1" ref="L149" ca="1">_xll.d.TestUtils_Equal(D149,H149)</f>
        <v>Ok</v>
      </c>
      <c r="M149" s="163" t="str" cm="1">
        <f t="array" aca="1" ref="M149" ca="1">_xll.d.TestUtils_Equal(E149,I149)</f>
        <v>Ok</v>
      </c>
    </row>
    <row r="150" spans="1:13">
      <c r="B150" s="76" t="str">
        <f ca="1"/>
        <v>9Y</v>
      </c>
      <c r="C150" s="54" t="str">
        <f ca="1"/>
        <v>JIBAR</v>
      </c>
      <c r="D150" s="54">
        <f ca="1"/>
        <v>8.9499999999999996E-2</v>
      </c>
      <c r="E150" s="54" t="str">
        <f ca="1"/>
        <v>TRUE</v>
      </c>
      <c r="F150" s="899" t="s">
        <v>636</v>
      </c>
      <c r="G150" s="54" t="s">
        <v>33</v>
      </c>
      <c r="H150" s="54">
        <v>8.9499999999999996E-2</v>
      </c>
      <c r="I150" s="77" t="s">
        <v>629</v>
      </c>
      <c r="J150" s="163" t="str" cm="1">
        <f t="array" aca="1" ref="J150" ca="1">_xll.d.TestUtils_Equal(B150,F150)</f>
        <v>Ok</v>
      </c>
      <c r="K150" s="163" t="str" cm="1">
        <f t="array" aca="1" ref="K150" ca="1">_xll.d.TestUtils_Equal(C150,G150)</f>
        <v>Ok</v>
      </c>
      <c r="L150" s="163" t="str" cm="1">
        <f t="array" aca="1" ref="L150" ca="1">_xll.d.TestUtils_Equal(D150,H150)</f>
        <v>Ok</v>
      </c>
      <c r="M150" s="163" t="str" cm="1">
        <f t="array" aca="1" ref="M150" ca="1">_xll.d.TestUtils_Equal(E150,I150)</f>
        <v>Ok</v>
      </c>
    </row>
    <row r="151" spans="1:13">
      <c r="B151" s="76" t="str">
        <f ca="1"/>
        <v>10Y</v>
      </c>
      <c r="C151" s="54" t="str">
        <f ca="1"/>
        <v>JIBAR</v>
      </c>
      <c r="D151" s="54">
        <f ca="1"/>
        <v>9.06E-2</v>
      </c>
      <c r="E151" s="54" t="str">
        <f ca="1"/>
        <v>TRUE</v>
      </c>
      <c r="F151" s="899" t="s">
        <v>637</v>
      </c>
      <c r="G151" s="54" t="s">
        <v>33</v>
      </c>
      <c r="H151" s="54">
        <v>9.06E-2</v>
      </c>
      <c r="I151" s="77" t="s">
        <v>629</v>
      </c>
      <c r="J151" s="163" t="str" cm="1">
        <f t="array" aca="1" ref="J151" ca="1">_xll.d.TestUtils_Equal(B151,F151)</f>
        <v>Ok</v>
      </c>
      <c r="K151" s="163" t="str" cm="1">
        <f t="array" aca="1" ref="K151" ca="1">_xll.d.TestUtils_Equal(C151,G151)</f>
        <v>Ok</v>
      </c>
      <c r="L151" s="163" t="str" cm="1">
        <f t="array" aca="1" ref="L151" ca="1">_xll.d.TestUtils_Equal(D151,H151)</f>
        <v>Ok</v>
      </c>
      <c r="M151" s="163" t="str" cm="1">
        <f t="array" aca="1" ref="M151" ca="1">_xll.d.TestUtils_Equal(E151,I151)</f>
        <v>Ok</v>
      </c>
    </row>
    <row r="152" spans="1:13">
      <c r="B152" s="76" t="str">
        <f ca="1"/>
        <v>12Y</v>
      </c>
      <c r="C152" s="54" t="str">
        <f ca="1"/>
        <v>JIBAR</v>
      </c>
      <c r="D152" s="54">
        <f ca="1"/>
        <v>9.2600000000000002E-2</v>
      </c>
      <c r="E152" s="54" t="str">
        <f ca="1"/>
        <v>TRUE</v>
      </c>
      <c r="F152" s="899" t="s">
        <v>638</v>
      </c>
      <c r="G152" s="54" t="s">
        <v>33</v>
      </c>
      <c r="H152" s="54">
        <v>9.2600000000000002E-2</v>
      </c>
      <c r="I152" s="77" t="s">
        <v>629</v>
      </c>
      <c r="J152" s="163" t="str" cm="1">
        <f t="array" aca="1" ref="J152" ca="1">_xll.d.TestUtils_Equal(B152,F152)</f>
        <v>Ok</v>
      </c>
      <c r="K152" s="163" t="str" cm="1">
        <f t="array" aca="1" ref="K152" ca="1">_xll.d.TestUtils_Equal(C152,G152)</f>
        <v>Ok</v>
      </c>
      <c r="L152" s="163" t="str" cm="1">
        <f t="array" aca="1" ref="L152" ca="1">_xll.d.TestUtils_Equal(D152,H152)</f>
        <v>Ok</v>
      </c>
      <c r="M152" s="163" t="str" cm="1">
        <f t="array" aca="1" ref="M152" ca="1">_xll.d.TestUtils_Equal(E152,I152)</f>
        <v>Ok</v>
      </c>
    </row>
    <row r="153" spans="1:13">
      <c r="B153" s="76" t="str">
        <f ca="1"/>
        <v>15Y</v>
      </c>
      <c r="C153" s="54" t="str">
        <f ca="1"/>
        <v>JIBAR</v>
      </c>
      <c r="D153" s="54">
        <f ca="1"/>
        <v>9.3900000000000011E-2</v>
      </c>
      <c r="E153" s="54" t="str">
        <f ca="1"/>
        <v>TRUE</v>
      </c>
      <c r="F153" s="899" t="s">
        <v>639</v>
      </c>
      <c r="G153" s="54" t="s">
        <v>33</v>
      </c>
      <c r="H153" s="54">
        <v>9.3900000000000011E-2</v>
      </c>
      <c r="I153" s="77" t="s">
        <v>629</v>
      </c>
      <c r="J153" s="163" t="str" cm="1">
        <f t="array" aca="1" ref="J153" ca="1">_xll.d.TestUtils_Equal(B153,F153)</f>
        <v>Ok</v>
      </c>
      <c r="K153" s="163" t="str" cm="1">
        <f t="array" aca="1" ref="K153" ca="1">_xll.d.TestUtils_Equal(C153,G153)</f>
        <v>Ok</v>
      </c>
      <c r="L153" s="163" t="str" cm="1">
        <f t="array" aca="1" ref="L153" ca="1">_xll.d.TestUtils_Equal(D153,H153)</f>
        <v>Ok</v>
      </c>
      <c r="M153" s="163" t="str" cm="1">
        <f t="array" aca="1" ref="M153" ca="1">_xll.d.TestUtils_Equal(E153,I153)</f>
        <v>Ok</v>
      </c>
    </row>
    <row r="154" spans="1:13">
      <c r="B154" s="76" t="str">
        <f ca="1"/>
        <v>20Y</v>
      </c>
      <c r="C154" s="54" t="str">
        <f ca="1"/>
        <v>JIBAR</v>
      </c>
      <c r="D154" s="54">
        <f ca="1"/>
        <v>9.35E-2</v>
      </c>
      <c r="E154" s="54" t="str">
        <f ca="1"/>
        <v>TRUE</v>
      </c>
      <c r="F154" s="899" t="s">
        <v>640</v>
      </c>
      <c r="G154" s="54" t="s">
        <v>33</v>
      </c>
      <c r="H154" s="54">
        <v>9.35E-2</v>
      </c>
      <c r="I154" s="77" t="s">
        <v>629</v>
      </c>
      <c r="J154" s="163" t="str" cm="1">
        <f t="array" aca="1" ref="J154" ca="1">_xll.d.TestUtils_Equal(B154,F154)</f>
        <v>Ok</v>
      </c>
      <c r="K154" s="163" t="str" cm="1">
        <f t="array" aca="1" ref="K154" ca="1">_xll.d.TestUtils_Equal(C154,G154)</f>
        <v>Ok</v>
      </c>
      <c r="L154" s="163" t="str" cm="1">
        <f t="array" aca="1" ref="L154" ca="1">_xll.d.TestUtils_Equal(D154,H154)</f>
        <v>Ok</v>
      </c>
      <c r="M154" s="163" t="str" cm="1">
        <f t="array" aca="1" ref="M154" ca="1">_xll.d.TestUtils_Equal(E154,I154)</f>
        <v>Ok</v>
      </c>
    </row>
    <row r="155" spans="1:13">
      <c r="B155" s="76" t="str">
        <f ca="1"/>
        <v>25Y</v>
      </c>
      <c r="C155" s="54" t="str">
        <f ca="1"/>
        <v>JIBAR</v>
      </c>
      <c r="D155" s="54">
        <f ca="1"/>
        <v>9.2100000000000015E-2</v>
      </c>
      <c r="E155" s="54" t="str">
        <f ca="1"/>
        <v>TRUE</v>
      </c>
      <c r="F155" s="899" t="s">
        <v>641</v>
      </c>
      <c r="G155" s="54" t="s">
        <v>33</v>
      </c>
      <c r="H155" s="54">
        <v>9.2100000000000015E-2</v>
      </c>
      <c r="I155" s="77" t="s">
        <v>629</v>
      </c>
      <c r="J155" s="163" t="str" cm="1">
        <f t="array" aca="1" ref="J155" ca="1">_xll.d.TestUtils_Equal(B155,F155)</f>
        <v>Ok</v>
      </c>
      <c r="K155" s="163" t="str" cm="1">
        <f t="array" aca="1" ref="K155" ca="1">_xll.d.TestUtils_Equal(C155,G155)</f>
        <v>Ok</v>
      </c>
      <c r="L155" s="163" t="str" cm="1">
        <f t="array" aca="1" ref="L155" ca="1">_xll.d.TestUtils_Equal(D155,H155)</f>
        <v>Ok</v>
      </c>
      <c r="M155" s="163" t="str" cm="1">
        <f t="array" aca="1" ref="M155" ca="1">_xll.d.TestUtils_Equal(E155,I155)</f>
        <v>Ok</v>
      </c>
    </row>
    <row r="156" spans="1:13">
      <c r="B156" s="78" t="str">
        <f ca="1"/>
        <v>30Y</v>
      </c>
      <c r="C156" s="828" t="str">
        <f ca="1"/>
        <v>JIBAR</v>
      </c>
      <c r="D156" s="828">
        <f ca="1"/>
        <v>8.9700000000000002E-2</v>
      </c>
      <c r="E156" s="828" t="str">
        <f ca="1"/>
        <v>TRUE</v>
      </c>
      <c r="F156" s="900" t="s">
        <v>642</v>
      </c>
      <c r="G156" s="828" t="s">
        <v>33</v>
      </c>
      <c r="H156" s="828">
        <v>8.9700000000000002E-2</v>
      </c>
      <c r="I156" s="79" t="s">
        <v>629</v>
      </c>
      <c r="J156" s="163" t="str" cm="1">
        <f t="array" aca="1" ref="J156" ca="1">_xll.d.TestUtils_Equal(B156,F156)</f>
        <v>Ok</v>
      </c>
      <c r="K156" s="163" t="str" cm="1">
        <f t="array" aca="1" ref="K156" ca="1">_xll.d.TestUtils_Equal(C156,G156)</f>
        <v>Ok</v>
      </c>
      <c r="L156" s="163" t="str" cm="1">
        <f t="array" aca="1" ref="L156" ca="1">_xll.d.TestUtils_Equal(D156,H156)</f>
        <v>Ok</v>
      </c>
      <c r="M156" s="163" t="str" cm="1">
        <f t="array" aca="1" ref="M156" ca="1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624</v>
      </c>
    </row>
    <row r="235" spans="2:8">
      <c r="B235" t="str" cm="1">
        <f t="array" ref="B235">_xll.d.Curve_Get("MyZarCurve",B233,B232)</f>
        <v>@@MyZarCurve::16:08:59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E240" t="str">
        <v>Tenors</v>
      </c>
      <c r="F240" t="str">
        <v>Rate Index</v>
      </c>
      <c r="G240" t="str">
        <v>Rates</v>
      </c>
      <c r="H240" t="str">
        <v>Include</v>
      </c>
    </row>
    <row r="241" spans="2:8">
      <c r="B241" s="8">
        <f t="shared" ref="B241:B255" si="8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8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8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8"/>
        <v>45168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8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8"/>
        <v>45229</v>
      </c>
      <c r="E246" t="str">
        <v>Fra Tenors</v>
      </c>
      <c r="F246" t="str">
        <v>Rate Index</v>
      </c>
      <c r="G246" t="str">
        <v>Rates</v>
      </c>
      <c r="H246" t="str">
        <v>Include</v>
      </c>
    </row>
    <row r="247" spans="2:8">
      <c r="B247" s="8">
        <f t="shared" si="8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8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8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8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8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8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8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8"/>
        <v>45472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8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 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6">
      <c r="B273" t="str" cm="1">
        <f t="array" ref="B273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ref="F275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60" priority="199" stopIfTrue="1" operator="equal">
      <formula>"ERROR"</formula>
    </cfRule>
    <cfRule type="cellIs" dxfId="459" priority="200" stopIfTrue="1" operator="equal">
      <formula>"OK"</formula>
    </cfRule>
    <cfRule type="cellIs" dxfId="458" priority="201" stopIfTrue="1" operator="equal">
      <formula>"WARNING"</formula>
    </cfRule>
  </conditionalFormatting>
  <conditionalFormatting sqref="C6">
    <cfRule type="cellIs" dxfId="457" priority="196" stopIfTrue="1" operator="equal">
      <formula>"ERROR"</formula>
    </cfRule>
    <cfRule type="cellIs" dxfId="456" priority="197" stopIfTrue="1" operator="equal">
      <formula>"OK"</formula>
    </cfRule>
    <cfRule type="cellIs" dxfId="455" priority="198" stopIfTrue="1" operator="equal">
      <formula>"WARNING"</formula>
    </cfRule>
  </conditionalFormatting>
  <conditionalFormatting sqref="C25">
    <cfRule type="cellIs" dxfId="454" priority="193" stopIfTrue="1" operator="equal">
      <formula>"ERROR"</formula>
    </cfRule>
    <cfRule type="cellIs" dxfId="453" priority="194" stopIfTrue="1" operator="equal">
      <formula>"OK"</formula>
    </cfRule>
    <cfRule type="cellIs" dxfId="452" priority="195" stopIfTrue="1" operator="equal">
      <formula>"WARNING"</formula>
    </cfRule>
  </conditionalFormatting>
  <conditionalFormatting sqref="AC25">
    <cfRule type="cellIs" dxfId="451" priority="190" stopIfTrue="1" operator="equal">
      <formula>"ERROR"</formula>
    </cfRule>
    <cfRule type="cellIs" dxfId="450" priority="191" stopIfTrue="1" operator="equal">
      <formula>"OK"</formula>
    </cfRule>
    <cfRule type="cellIs" dxfId="449" priority="192" stopIfTrue="1" operator="equal">
      <formula>"WARNING"</formula>
    </cfRule>
  </conditionalFormatting>
  <conditionalFormatting sqref="I59:I60">
    <cfRule type="cellIs" dxfId="448" priority="205" stopIfTrue="1" operator="equal">
      <formula>"ERROR"</formula>
    </cfRule>
    <cfRule type="cellIs" dxfId="447" priority="206" stopIfTrue="1" operator="equal">
      <formula>"OK"</formula>
    </cfRule>
    <cfRule type="cellIs" dxfId="446" priority="207" stopIfTrue="1" operator="equal">
      <formula>"WARNING"</formula>
    </cfRule>
  </conditionalFormatting>
  <conditionalFormatting sqref="M25">
    <cfRule type="cellIs" dxfId="445" priority="181" stopIfTrue="1" operator="equal">
      <formula>"ERROR"</formula>
    </cfRule>
    <cfRule type="cellIs" dxfId="444" priority="182" stopIfTrue="1" operator="equal">
      <formula>"OK"</formula>
    </cfRule>
    <cfRule type="cellIs" dxfId="443" priority="183" stopIfTrue="1" operator="equal">
      <formula>"WARNING"</formula>
    </cfRule>
  </conditionalFormatting>
  <conditionalFormatting sqref="H13">
    <cfRule type="cellIs" dxfId="442" priority="208" stopIfTrue="1" operator="equal">
      <formula>"ERROR"</formula>
    </cfRule>
    <cfRule type="cellIs" dxfId="441" priority="209" stopIfTrue="1" operator="equal">
      <formula>"OK"</formula>
    </cfRule>
    <cfRule type="cellIs" dxfId="440" priority="210" stopIfTrue="1" operator="equal">
      <formula>"WARNING"</formula>
    </cfRule>
  </conditionalFormatting>
  <conditionalFormatting sqref="AI55:AI60">
    <cfRule type="cellIs" dxfId="439" priority="166" stopIfTrue="1" operator="equal">
      <formula>"ERROR"</formula>
    </cfRule>
    <cfRule type="cellIs" dxfId="438" priority="167" stopIfTrue="1" operator="equal">
      <formula>"OK"</formula>
    </cfRule>
    <cfRule type="cellIs" dxfId="437" priority="168" stopIfTrue="1" operator="equal">
      <formula>"WARNING"</formula>
    </cfRule>
  </conditionalFormatting>
  <conditionalFormatting sqref="AK32:AL32 AK33:AK48 AM33:AN33 AM34:AM48 AN34:AN52 AN54">
    <cfRule type="cellIs" dxfId="436" priority="151" stopIfTrue="1" operator="equal">
      <formula>"ERROR"</formula>
    </cfRule>
    <cfRule type="cellIs" dxfId="435" priority="152" stopIfTrue="1" operator="equal">
      <formula>"OK"</formula>
    </cfRule>
    <cfRule type="cellIs" dxfId="434" priority="153" stopIfTrue="1" operator="equal">
      <formula>"WARNING"</formula>
    </cfRule>
  </conditionalFormatting>
  <conditionalFormatting sqref="AL33:AL48">
    <cfRule type="cellIs" dxfId="433" priority="148" stopIfTrue="1" operator="equal">
      <formula>"ERROR"</formula>
    </cfRule>
    <cfRule type="cellIs" dxfId="432" priority="149" stopIfTrue="1" operator="equal">
      <formula>"OK"</formula>
    </cfRule>
    <cfRule type="cellIs" dxfId="431" priority="150" stopIfTrue="1" operator="equal">
      <formula>"WARNING"</formula>
    </cfRule>
  </conditionalFormatting>
  <conditionalFormatting sqref="AK54 AM54">
    <cfRule type="cellIs" dxfId="430" priority="145" stopIfTrue="1" operator="equal">
      <formula>"ERROR"</formula>
    </cfRule>
    <cfRule type="cellIs" dxfId="429" priority="146" stopIfTrue="1" operator="equal">
      <formula>"OK"</formula>
    </cfRule>
    <cfRule type="cellIs" dxfId="428" priority="147" stopIfTrue="1" operator="equal">
      <formula>"WARNING"</formula>
    </cfRule>
  </conditionalFormatting>
  <conditionalFormatting sqref="AL54">
    <cfRule type="cellIs" dxfId="427" priority="142" stopIfTrue="1" operator="equal">
      <formula>"ERROR"</formula>
    </cfRule>
    <cfRule type="cellIs" dxfId="426" priority="143" stopIfTrue="1" operator="equal">
      <formula>"OK"</formula>
    </cfRule>
    <cfRule type="cellIs" dxfId="425" priority="144" stopIfTrue="1" operator="equal">
      <formula>"WARNING"</formula>
    </cfRule>
  </conditionalFormatting>
  <conditionalFormatting sqref="AK49:AK52 AM49:AM52">
    <cfRule type="cellIs" dxfId="424" priority="139" stopIfTrue="1" operator="equal">
      <formula>"ERROR"</formula>
    </cfRule>
    <cfRule type="cellIs" dxfId="423" priority="140" stopIfTrue="1" operator="equal">
      <formula>"OK"</formula>
    </cfRule>
    <cfRule type="cellIs" dxfId="422" priority="141" stopIfTrue="1" operator="equal">
      <formula>"WARNING"</formula>
    </cfRule>
  </conditionalFormatting>
  <conditionalFormatting sqref="AL49:AL52">
    <cfRule type="cellIs" dxfId="421" priority="136" stopIfTrue="1" operator="equal">
      <formula>"ERROR"</formula>
    </cfRule>
    <cfRule type="cellIs" dxfId="420" priority="137" stopIfTrue="1" operator="equal">
      <formula>"OK"</formula>
    </cfRule>
    <cfRule type="cellIs" dxfId="419" priority="138" stopIfTrue="1" operator="equal">
      <formula>"WARNING"</formula>
    </cfRule>
  </conditionalFormatting>
  <conditionalFormatting sqref="H106:J121 J126:M156">
    <cfRule type="cellIs" dxfId="418" priority="211" stopIfTrue="1" operator="equal">
      <formula>"ERROR"</formula>
    </cfRule>
  </conditionalFormatting>
  <conditionalFormatting sqref="H106:J121 J126:M156">
    <cfRule type="cellIs" dxfId="417" priority="212" stopIfTrue="1" operator="equal">
      <formula>"OK"</formula>
    </cfRule>
  </conditionalFormatting>
  <conditionalFormatting sqref="H106:J121 J126:M156">
    <cfRule type="cellIs" dxfId="416" priority="213" stopIfTrue="1" operator="equal">
      <formula>"WARNING"</formula>
    </cfRule>
  </conditionalFormatting>
  <conditionalFormatting sqref="C102">
    <cfRule type="cellIs" dxfId="415" priority="73" stopIfTrue="1" operator="equal">
      <formula>"ERROR"</formula>
    </cfRule>
  </conditionalFormatting>
  <conditionalFormatting sqref="C102">
    <cfRule type="cellIs" dxfId="414" priority="74" stopIfTrue="1" operator="equal">
      <formula>"OK"</formula>
    </cfRule>
  </conditionalFormatting>
  <conditionalFormatting sqref="C102">
    <cfRule type="cellIs" dxfId="413" priority="75" stopIfTrue="1" operator="equal">
      <formula>"WARNING"</formula>
    </cfRule>
  </conditionalFormatting>
  <conditionalFormatting sqref="C103">
    <cfRule type="cellIs" dxfId="412" priority="70" stopIfTrue="1" operator="equal">
      <formula>"ERROR"</formula>
    </cfRule>
  </conditionalFormatting>
  <conditionalFormatting sqref="C103">
    <cfRule type="cellIs" dxfId="411" priority="71" stopIfTrue="1" operator="equal">
      <formula>"OK"</formula>
    </cfRule>
  </conditionalFormatting>
  <conditionalFormatting sqref="C103">
    <cfRule type="cellIs" dxfId="410" priority="72" stopIfTrue="1" operator="equal">
      <formula>"WARNING"</formula>
    </cfRule>
  </conditionalFormatting>
  <conditionalFormatting sqref="D12">
    <cfRule type="cellIs" dxfId="409" priority="67" stopIfTrue="1" operator="equal">
      <formula>"ERROR"</formula>
    </cfRule>
    <cfRule type="cellIs" dxfId="408" priority="68" stopIfTrue="1" operator="equal">
      <formula>"OK"</formula>
    </cfRule>
    <cfRule type="cellIs" dxfId="407" priority="69" stopIfTrue="1" operator="equal">
      <formula>"WARNING"</formula>
    </cfRule>
  </conditionalFormatting>
  <conditionalFormatting sqref="F86:F98">
    <cfRule type="cellIs" dxfId="406" priority="214" stopIfTrue="1" operator="equal">
      <formula>"ERROR"</formula>
    </cfRule>
  </conditionalFormatting>
  <conditionalFormatting sqref="F86:F98">
    <cfRule type="cellIs" dxfId="405" priority="215" stopIfTrue="1" operator="equal">
      <formula>"OK"</formula>
    </cfRule>
  </conditionalFormatting>
  <conditionalFormatting sqref="F86:F98">
    <cfRule type="cellIs" dxfId="404" priority="216" stopIfTrue="1" operator="equal">
      <formula>"WARNING"</formula>
    </cfRule>
  </conditionalFormatting>
  <conditionalFormatting sqref="C75">
    <cfRule type="cellIs" dxfId="403" priority="64" stopIfTrue="1" operator="equal">
      <formula>"ERROR"</formula>
    </cfRule>
  </conditionalFormatting>
  <conditionalFormatting sqref="C75">
    <cfRule type="cellIs" dxfId="402" priority="65" stopIfTrue="1" operator="equal">
      <formula>"OK"</formula>
    </cfRule>
  </conditionalFormatting>
  <conditionalFormatting sqref="C75">
    <cfRule type="cellIs" dxfId="401" priority="66" stopIfTrue="1" operator="equal">
      <formula>"WARNING"</formula>
    </cfRule>
  </conditionalFormatting>
  <conditionalFormatting sqref="D11">
    <cfRule type="cellIs" dxfId="400" priority="217" stopIfTrue="1" operator="equal">
      <formula>"ERROR"</formula>
    </cfRule>
    <cfRule type="cellIs" dxfId="399" priority="218" stopIfTrue="1" operator="equal">
      <formula>"OK"</formula>
    </cfRule>
    <cfRule type="cellIs" dxfId="398" priority="219" stopIfTrue="1" operator="equal">
      <formula>"WARNING"</formula>
    </cfRule>
  </conditionalFormatting>
  <conditionalFormatting sqref="G28">
    <cfRule type="cellIs" dxfId="397" priority="61" stopIfTrue="1" operator="equal">
      <formula>"ERROR"</formula>
    </cfRule>
    <cfRule type="cellIs" dxfId="396" priority="62" stopIfTrue="1" operator="equal">
      <formula>"OK"</formula>
    </cfRule>
    <cfRule type="cellIs" dxfId="395" priority="63" stopIfTrue="1" operator="equal">
      <formula>"WARNING"</formula>
    </cfRule>
  </conditionalFormatting>
  <conditionalFormatting sqref="X29">
    <cfRule type="cellIs" dxfId="394" priority="58" stopIfTrue="1" operator="equal">
      <formula>"ERROR"</formula>
    </cfRule>
    <cfRule type="cellIs" dxfId="393" priority="59" stopIfTrue="1" operator="equal">
      <formula>"OK"</formula>
    </cfRule>
    <cfRule type="cellIs" dxfId="392" priority="60" stopIfTrue="1" operator="equal">
      <formula>"WARNING"</formula>
    </cfRule>
  </conditionalFormatting>
  <conditionalFormatting sqref="AH29">
    <cfRule type="cellIs" dxfId="391" priority="55" stopIfTrue="1" operator="equal">
      <formula>"ERROR"</formula>
    </cfRule>
    <cfRule type="cellIs" dxfId="390" priority="56" stopIfTrue="1" operator="equal">
      <formula>"OK"</formula>
    </cfRule>
    <cfRule type="cellIs" dxfId="389" priority="57" stopIfTrue="1" operator="equal">
      <formula>"WARNING"</formula>
    </cfRule>
  </conditionalFormatting>
  <conditionalFormatting sqref="AH29">
    <cfRule type="cellIs" dxfId="388" priority="52" stopIfTrue="1" operator="equal">
      <formula>"ERROR"</formula>
    </cfRule>
    <cfRule type="cellIs" dxfId="387" priority="53" stopIfTrue="1" operator="equal">
      <formula>"OK"</formula>
    </cfRule>
    <cfRule type="cellIs" dxfId="386" priority="54" stopIfTrue="1" operator="equal">
      <formula>"WARNING"</formula>
    </cfRule>
  </conditionalFormatting>
  <conditionalFormatting sqref="AM29">
    <cfRule type="cellIs" dxfId="385" priority="49" stopIfTrue="1" operator="equal">
      <formula>"ERROR"</formula>
    </cfRule>
    <cfRule type="cellIs" dxfId="384" priority="50" stopIfTrue="1" operator="equal">
      <formula>"OK"</formula>
    </cfRule>
    <cfRule type="cellIs" dxfId="383" priority="51" stopIfTrue="1" operator="equal">
      <formula>"WARNING"</formula>
    </cfRule>
  </conditionalFormatting>
  <conditionalFormatting sqref="AM29">
    <cfRule type="cellIs" dxfId="382" priority="46" stopIfTrue="1" operator="equal">
      <formula>"ERROR"</formula>
    </cfRule>
    <cfRule type="cellIs" dxfId="381" priority="47" stopIfTrue="1" operator="equal">
      <formula>"OK"</formula>
    </cfRule>
    <cfRule type="cellIs" dxfId="380" priority="48" stopIfTrue="1" operator="equal">
      <formula>"WARNING"</formula>
    </cfRule>
  </conditionalFormatting>
  <conditionalFormatting sqref="AH28">
    <cfRule type="cellIs" dxfId="379" priority="43" stopIfTrue="1" operator="equal">
      <formula>"ERROR"</formula>
    </cfRule>
    <cfRule type="cellIs" dxfId="378" priority="44" stopIfTrue="1" operator="equal">
      <formula>"OK"</formula>
    </cfRule>
    <cfRule type="cellIs" dxfId="377" priority="45" stopIfTrue="1" operator="equal">
      <formula>"WARNING"</formula>
    </cfRule>
  </conditionalFormatting>
  <conditionalFormatting sqref="AH28">
    <cfRule type="cellIs" dxfId="376" priority="40" stopIfTrue="1" operator="equal">
      <formula>"ERROR"</formula>
    </cfRule>
    <cfRule type="cellIs" dxfId="375" priority="41" stopIfTrue="1" operator="equal">
      <formula>"OK"</formula>
    </cfRule>
    <cfRule type="cellIs" dxfId="374" priority="42" stopIfTrue="1" operator="equal">
      <formula>"WARNING"</formula>
    </cfRule>
  </conditionalFormatting>
  <conditionalFormatting sqref="AJ26 AN28">
    <cfRule type="cellIs" dxfId="373" priority="37" stopIfTrue="1" operator="equal">
      <formula>"ERROR"</formula>
    </cfRule>
    <cfRule type="cellIs" dxfId="372" priority="38" stopIfTrue="1" operator="equal">
      <formula>"OK"</formula>
    </cfRule>
    <cfRule type="cellIs" dxfId="371" priority="39" stopIfTrue="1" operator="equal">
      <formula>"WARNING"</formula>
    </cfRule>
  </conditionalFormatting>
  <conditionalFormatting sqref="L86:L98">
    <cfRule type="cellIs" dxfId="370" priority="13" stopIfTrue="1" operator="equal">
      <formula>"ERROR"</formula>
    </cfRule>
  </conditionalFormatting>
  <conditionalFormatting sqref="L86:L98">
    <cfRule type="cellIs" dxfId="369" priority="14" stopIfTrue="1" operator="equal">
      <formula>"OK"</formula>
    </cfRule>
  </conditionalFormatting>
  <conditionalFormatting sqref="L86:L98">
    <cfRule type="cellIs" dxfId="368" priority="15" stopIfTrue="1" operator="equal">
      <formula>"WARNING"</formula>
    </cfRule>
  </conditionalFormatting>
  <conditionalFormatting sqref="I75">
    <cfRule type="cellIs" dxfId="367" priority="10" stopIfTrue="1" operator="equal">
      <formula>"ERROR"</formula>
    </cfRule>
  </conditionalFormatting>
  <conditionalFormatting sqref="I75">
    <cfRule type="cellIs" dxfId="366" priority="11" stopIfTrue="1" operator="equal">
      <formula>"OK"</formula>
    </cfRule>
  </conditionalFormatting>
  <conditionalFormatting sqref="I75">
    <cfRule type="cellIs" dxfId="365" priority="12" stopIfTrue="1" operator="equal">
      <formula>"WARNING"</formula>
    </cfRule>
  </conditionalFormatting>
  <conditionalFormatting sqref="AN53">
    <cfRule type="cellIs" dxfId="364" priority="7" stopIfTrue="1" operator="equal">
      <formula>"ERROR"</formula>
    </cfRule>
    <cfRule type="cellIs" dxfId="363" priority="8" stopIfTrue="1" operator="equal">
      <formula>"OK"</formula>
    </cfRule>
    <cfRule type="cellIs" dxfId="362" priority="9" stopIfTrue="1" operator="equal">
      <formula>"WARNING"</formula>
    </cfRule>
  </conditionalFormatting>
  <conditionalFormatting sqref="AK53 AM53">
    <cfRule type="cellIs" dxfId="361" priority="4" stopIfTrue="1" operator="equal">
      <formula>"ERROR"</formula>
    </cfRule>
    <cfRule type="cellIs" dxfId="360" priority="5" stopIfTrue="1" operator="equal">
      <formula>"OK"</formula>
    </cfRule>
    <cfRule type="cellIs" dxfId="359" priority="6" stopIfTrue="1" operator="equal">
      <formula>"WARNING"</formula>
    </cfRule>
  </conditionalFormatting>
  <conditionalFormatting sqref="AL53">
    <cfRule type="cellIs" dxfId="358" priority="1" stopIfTrue="1" operator="equal">
      <formula>"ERROR"</formula>
    </cfRule>
    <cfRule type="cellIs" dxfId="357" priority="2" stopIfTrue="1" operator="equal">
      <formula>"OK"</formula>
    </cfRule>
    <cfRule type="cellIs" dxfId="356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E20" zoomScale="130" zoomScaleNormal="130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373</v>
      </c>
    </row>
    <row r="2" spans="1:23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701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700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683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700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901" t="s">
        <v>686</v>
      </c>
      <c r="G20" s="901"/>
      <c r="H20" s="901"/>
      <c r="I20" s="901"/>
      <c r="K20" s="901" t="s">
        <v>741</v>
      </c>
      <c r="L20" s="901"/>
      <c r="M20" s="901"/>
      <c r="N20" s="901"/>
      <c r="P20" s="901" t="s">
        <v>703</v>
      </c>
      <c r="Q20" s="901"/>
      <c r="R20" s="901"/>
      <c r="S20" s="54"/>
      <c r="T20" s="901" t="s">
        <v>704</v>
      </c>
      <c r="U20" s="901"/>
      <c r="V20" s="901"/>
      <c r="W20" s="901"/>
    </row>
    <row r="21" spans="1:23">
      <c r="A21" s="203"/>
      <c r="B21" s="55" t="s">
        <v>702</v>
      </c>
      <c r="C21" s="55"/>
      <c r="F21" s="724" t="s">
        <v>687</v>
      </c>
      <c r="K21" s="724" t="s">
        <v>688</v>
      </c>
      <c r="O21" s="54"/>
      <c r="S21" s="54"/>
      <c r="T21" s="54"/>
      <c r="U21" s="54"/>
      <c r="V21" s="54"/>
      <c r="W21" s="54"/>
    </row>
    <row r="22" spans="1:23">
      <c r="A22" s="203"/>
      <c r="B22" s="920" t="str">
        <f ca="1">P23</f>
        <v>@@USDSwap-Dual::16:00:00</v>
      </c>
      <c r="C22" s="921"/>
      <c r="F22" s="12" t="s">
        <v>594</v>
      </c>
      <c r="G22" s="12"/>
      <c r="H22" s="902" cm="1">
        <f t="array" ref="H22">_xll.d.Dates_AddTenorToDate(C29,"2d","USD","MODFOL")</f>
        <v>44655</v>
      </c>
      <c r="K22" s="850" t="s">
        <v>689</v>
      </c>
      <c r="N22" s="730"/>
      <c r="O22" s="54"/>
      <c r="P22" s="55" t="s">
        <v>702</v>
      </c>
      <c r="Q22" s="55"/>
      <c r="S22" s="54"/>
      <c r="T22" s="120" t="s">
        <v>474</v>
      </c>
      <c r="U22" s="54"/>
      <c r="V22" s="54"/>
      <c r="W22" s="54"/>
    </row>
    <row r="23" spans="1:23">
      <c r="A23" s="203"/>
      <c r="F23" s="120" t="s">
        <v>474</v>
      </c>
      <c r="G23" s="120"/>
      <c r="H23" s="773">
        <v>1E-3</v>
      </c>
      <c r="K23" s="120" t="s">
        <v>474</v>
      </c>
      <c r="O23" s="54"/>
      <c r="P23" s="920" t="str" cm="1">
        <f t="array" aca="1" ref="P23" ca="1">_xll.d.Curve_Bootstrap("USDSwap-Dual",P27:Q33,,P35:R39,P41:R48,P50:R64)</f>
        <v>@@USDSwap-Dual::16:00:00</v>
      </c>
      <c r="Q23" s="921"/>
      <c r="R23" s="54"/>
      <c r="S23" s="54"/>
      <c r="T23" s="943">
        <v>1E-3</v>
      </c>
      <c r="V23" s="54"/>
      <c r="W23" s="54"/>
    </row>
    <row r="24" spans="1:23">
      <c r="A24" s="203"/>
      <c r="B24" s="55" t="s">
        <v>37</v>
      </c>
      <c r="C24" s="55"/>
      <c r="K24" s="943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918" t="str" cm="1">
        <f t="array" aca="1" ref="B25" ca="1">_xll.d.Curve_Bootstrap("USDOIS-Dual",B27:C32,,B35:D37,B39:D60)</f>
        <v>@@USDOIS-Dual::15:59:58</v>
      </c>
      <c r="C25" s="919"/>
      <c r="S25" s="54"/>
      <c r="V25" s="54"/>
      <c r="W25" s="54"/>
    </row>
    <row r="26" spans="1:23">
      <c r="A26" s="203"/>
      <c r="B26" s="922"/>
      <c r="C26" s="923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906" t="s">
        <v>30</v>
      </c>
      <c r="D28" s="906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583</v>
      </c>
      <c r="M28" s="44" t="s">
        <v>584</v>
      </c>
      <c r="N28" s="743"/>
      <c r="O28" s="54"/>
      <c r="P28" s="61" t="s">
        <v>29</v>
      </c>
      <c r="Q28" s="906" t="s">
        <v>30</v>
      </c>
      <c r="R28" s="906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904">
        <v>44651</v>
      </c>
      <c r="D29" s="904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904">
        <f>C29</f>
        <v>44651</v>
      </c>
      <c r="R29" s="904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85" t="s">
        <v>51</v>
      </c>
      <c r="D30" s="1078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1042" t="s">
        <v>833</v>
      </c>
      <c r="Q30" s="1085" t="s">
        <v>698</v>
      </c>
      <c r="R30" s="1078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905" t="s">
        <v>52</v>
      </c>
      <c r="D31" s="905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1042" t="s">
        <v>832</v>
      </c>
      <c r="Q31" s="905" t="s">
        <v>24</v>
      </c>
      <c r="R31" s="905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88" t="s">
        <v>691</v>
      </c>
      <c r="D32" s="1080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89" t="s">
        <v>691</v>
      </c>
      <c r="R32" s="1090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1041" t="s">
        <v>831</v>
      </c>
      <c r="Q33" s="924" t="str">
        <f ca="1">B25</f>
        <v>@@USDOIS-Dual::15:59:58</v>
      </c>
      <c r="R33" s="925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574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575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576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537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577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535</v>
      </c>
      <c r="H39" s="282" t="s">
        <v>536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537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535</v>
      </c>
      <c r="V42" s="282" t="s">
        <v>536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586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587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569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570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574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571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576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538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573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579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581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573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588</v>
      </c>
      <c r="C55" s="266">
        <v>2.0969999999999999E-2</v>
      </c>
      <c r="D55" s="205" t="b">
        <v>1</v>
      </c>
      <c r="F55" s="733" t="s">
        <v>573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579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589</v>
      </c>
      <c r="C56" s="266">
        <v>2.1000000000000001E-2</v>
      </c>
      <c r="D56" s="205" t="b">
        <v>1</v>
      </c>
      <c r="F56" s="735" t="s">
        <v>579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580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590</v>
      </c>
      <c r="C57" s="266">
        <v>2.0959999999999999E-2</v>
      </c>
      <c r="D57" s="205" t="b">
        <v>1</v>
      </c>
      <c r="F57" s="618" t="s">
        <v>581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581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591</v>
      </c>
      <c r="C58" s="266">
        <v>2.0830000000000001E-2</v>
      </c>
      <c r="D58" s="205" t="b">
        <v>1</v>
      </c>
      <c r="J58" s="760"/>
      <c r="O58" s="54"/>
      <c r="P58" s="803" t="s">
        <v>582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592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618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593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588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589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590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591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592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593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619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538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573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579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580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581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582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55" priority="130" stopIfTrue="1" operator="equal">
      <formula>"ERROR"</formula>
    </cfRule>
    <cfRule type="cellIs" dxfId="354" priority="131" stopIfTrue="1" operator="equal">
      <formula>"OK"</formula>
    </cfRule>
    <cfRule type="cellIs" dxfId="353" priority="132" stopIfTrue="1" operator="equal">
      <formula>"WARNING"</formula>
    </cfRule>
  </conditionalFormatting>
  <conditionalFormatting sqref="C6">
    <cfRule type="cellIs" dxfId="352" priority="127" stopIfTrue="1" operator="equal">
      <formula>"ERROR"</formula>
    </cfRule>
    <cfRule type="cellIs" dxfId="351" priority="128" stopIfTrue="1" operator="equal">
      <formula>"OK"</formula>
    </cfRule>
    <cfRule type="cellIs" dxfId="350" priority="129" stopIfTrue="1" operator="equal">
      <formula>"WARNING"</formula>
    </cfRule>
  </conditionalFormatting>
  <conditionalFormatting sqref="I29:I35">
    <cfRule type="cellIs" dxfId="349" priority="94" stopIfTrue="1" operator="equal">
      <formula>"ERROR"</formula>
    </cfRule>
    <cfRule type="cellIs" dxfId="348" priority="95" stopIfTrue="1" operator="equal">
      <formula>"OK"</formula>
    </cfRule>
    <cfRule type="cellIs" dxfId="347" priority="96" stopIfTrue="1" operator="equal">
      <formula>"WARNING"</formula>
    </cfRule>
  </conditionalFormatting>
  <conditionalFormatting sqref="C19">
    <cfRule type="cellIs" dxfId="346" priority="91" stopIfTrue="1" operator="equal">
      <formula>"ERROR"</formula>
    </cfRule>
    <cfRule type="cellIs" dxfId="345" priority="92" stopIfTrue="1" operator="equal">
      <formula>"OK"</formula>
    </cfRule>
    <cfRule type="cellIs" dxfId="344" priority="93" stopIfTrue="1" operator="equal">
      <formula>"WARNING"</formula>
    </cfRule>
  </conditionalFormatting>
  <conditionalFormatting sqref="I52:I57">
    <cfRule type="cellIs" dxfId="343" priority="88" stopIfTrue="1" operator="equal">
      <formula>"ERROR"</formula>
    </cfRule>
    <cfRule type="cellIs" dxfId="342" priority="89" stopIfTrue="1" operator="equal">
      <formula>"OK"</formula>
    </cfRule>
    <cfRule type="cellIs" dxfId="341" priority="90" stopIfTrue="1" operator="equal">
      <formula>"WARNING"</formula>
    </cfRule>
  </conditionalFormatting>
  <conditionalFormatting sqref="K28:L28 K29:K44 M29:N29 M30:M44 N30:N50">
    <cfRule type="cellIs" dxfId="340" priority="85" stopIfTrue="1" operator="equal">
      <formula>"ERROR"</formula>
    </cfRule>
    <cfRule type="cellIs" dxfId="339" priority="86" stopIfTrue="1" operator="equal">
      <formula>"OK"</formula>
    </cfRule>
    <cfRule type="cellIs" dxfId="338" priority="87" stopIfTrue="1" operator="equal">
      <formula>"WARNING"</formula>
    </cfRule>
  </conditionalFormatting>
  <conditionalFormatting sqref="L29:L44">
    <cfRule type="cellIs" dxfId="337" priority="82" stopIfTrue="1" operator="equal">
      <formula>"ERROR"</formula>
    </cfRule>
    <cfRule type="cellIs" dxfId="336" priority="83" stopIfTrue="1" operator="equal">
      <formula>"OK"</formula>
    </cfRule>
    <cfRule type="cellIs" dxfId="335" priority="84" stopIfTrue="1" operator="equal">
      <formula>"WARNING"</formula>
    </cfRule>
  </conditionalFormatting>
  <conditionalFormatting sqref="K49:K50 M49:M50">
    <cfRule type="cellIs" dxfId="334" priority="79" stopIfTrue="1" operator="equal">
      <formula>"ERROR"</formula>
    </cfRule>
    <cfRule type="cellIs" dxfId="333" priority="80" stopIfTrue="1" operator="equal">
      <formula>"OK"</formula>
    </cfRule>
    <cfRule type="cellIs" dxfId="332" priority="81" stopIfTrue="1" operator="equal">
      <formula>"WARNING"</formula>
    </cfRule>
  </conditionalFormatting>
  <conditionalFormatting sqref="L49:L50">
    <cfRule type="cellIs" dxfId="331" priority="76" stopIfTrue="1" operator="equal">
      <formula>"ERROR"</formula>
    </cfRule>
    <cfRule type="cellIs" dxfId="330" priority="77" stopIfTrue="1" operator="equal">
      <formula>"OK"</formula>
    </cfRule>
    <cfRule type="cellIs" dxfId="329" priority="78" stopIfTrue="1" operator="equal">
      <formula>"WARNING"</formula>
    </cfRule>
  </conditionalFormatting>
  <conditionalFormatting sqref="K45:K48 M45:M48">
    <cfRule type="cellIs" dxfId="328" priority="73" stopIfTrue="1" operator="equal">
      <formula>"ERROR"</formula>
    </cfRule>
    <cfRule type="cellIs" dxfId="327" priority="74" stopIfTrue="1" operator="equal">
      <formula>"OK"</formula>
    </cfRule>
    <cfRule type="cellIs" dxfId="326" priority="75" stopIfTrue="1" operator="equal">
      <formula>"WARNING"</formula>
    </cfRule>
  </conditionalFormatting>
  <conditionalFormatting sqref="L45:L48">
    <cfRule type="cellIs" dxfId="325" priority="70" stopIfTrue="1" operator="equal">
      <formula>"ERROR"</formula>
    </cfRule>
    <cfRule type="cellIs" dxfId="324" priority="71" stopIfTrue="1" operator="equal">
      <formula>"OK"</formula>
    </cfRule>
    <cfRule type="cellIs" dxfId="323" priority="72" stopIfTrue="1" operator="equal">
      <formula>"WARNING"</formula>
    </cfRule>
  </conditionalFormatting>
  <conditionalFormatting sqref="W80:W85">
    <cfRule type="cellIs" dxfId="322" priority="67" stopIfTrue="1" operator="equal">
      <formula>"ERROR"</formula>
    </cfRule>
    <cfRule type="cellIs" dxfId="321" priority="68" stopIfTrue="1" operator="equal">
      <formula>"OK"</formula>
    </cfRule>
    <cfRule type="cellIs" dxfId="320" priority="69" stopIfTrue="1" operator="equal">
      <formula>"WARNING"</formula>
    </cfRule>
  </conditionalFormatting>
  <conditionalFormatting sqref="T23">
    <cfRule type="cellIs" dxfId="319" priority="64" stopIfTrue="1" operator="equal">
      <formula>"ERROR"</formula>
    </cfRule>
    <cfRule type="cellIs" dxfId="318" priority="65" stopIfTrue="1" operator="equal">
      <formula>"OK"</formula>
    </cfRule>
    <cfRule type="cellIs" dxfId="317" priority="66" stopIfTrue="1" operator="equal">
      <formula>"WARNING"</formula>
    </cfRule>
  </conditionalFormatting>
  <conditionalFormatting sqref="H23">
    <cfRule type="cellIs" dxfId="316" priority="22" stopIfTrue="1" operator="equal">
      <formula>"ERROR"</formula>
    </cfRule>
    <cfRule type="cellIs" dxfId="315" priority="23" stopIfTrue="1" operator="equal">
      <formula>"OK"</formula>
    </cfRule>
    <cfRule type="cellIs" dxfId="314" priority="24" stopIfTrue="1" operator="equal">
      <formula>"WARNING"</formula>
    </cfRule>
  </conditionalFormatting>
  <conditionalFormatting sqref="H23">
    <cfRule type="cellIs" dxfId="313" priority="19" stopIfTrue="1" operator="equal">
      <formula>"ERROR"</formula>
    </cfRule>
    <cfRule type="cellIs" dxfId="312" priority="20" stopIfTrue="1" operator="equal">
      <formula>"OK"</formula>
    </cfRule>
    <cfRule type="cellIs" dxfId="311" priority="21" stopIfTrue="1" operator="equal">
      <formula>"WARNING"</formula>
    </cfRule>
  </conditionalFormatting>
  <conditionalFormatting sqref="H22">
    <cfRule type="cellIs" dxfId="310" priority="16" stopIfTrue="1" operator="equal">
      <formula>"ERROR"</formula>
    </cfRule>
    <cfRule type="cellIs" dxfId="309" priority="17" stopIfTrue="1" operator="equal">
      <formula>"OK"</formula>
    </cfRule>
    <cfRule type="cellIs" dxfId="308" priority="18" stopIfTrue="1" operator="equal">
      <formula>"WARNING"</formula>
    </cfRule>
  </conditionalFormatting>
  <conditionalFormatting sqref="H22">
    <cfRule type="cellIs" dxfId="307" priority="13" stopIfTrue="1" operator="equal">
      <formula>"ERROR"</formula>
    </cfRule>
    <cfRule type="cellIs" dxfId="306" priority="14" stopIfTrue="1" operator="equal">
      <formula>"OK"</formula>
    </cfRule>
    <cfRule type="cellIs" dxfId="305" priority="15" stopIfTrue="1" operator="equal">
      <formula>"WARNING"</formula>
    </cfRule>
  </conditionalFormatting>
  <conditionalFormatting sqref="N22">
    <cfRule type="cellIs" dxfId="304" priority="4" stopIfTrue="1" operator="equal">
      <formula>"ERROR"</formula>
    </cfRule>
    <cfRule type="cellIs" dxfId="303" priority="5" stopIfTrue="1" operator="equal">
      <formula>"OK"</formula>
    </cfRule>
    <cfRule type="cellIs" dxfId="302" priority="6" stopIfTrue="1" operator="equal">
      <formula>"WARNING"</formula>
    </cfRule>
  </conditionalFormatting>
  <conditionalFormatting sqref="K24">
    <cfRule type="cellIs" dxfId="301" priority="1" stopIfTrue="1" operator="equal">
      <formula>"ERROR"</formula>
    </cfRule>
    <cfRule type="cellIs" dxfId="300" priority="2" stopIfTrue="1" operator="equal">
      <formula>"OK"</formula>
    </cfRule>
    <cfRule type="cellIs" dxfId="299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abSelected="1" zoomScale="130" zoomScaleNormal="130" workbookViewId="0">
      <selection activeCell="F11" sqref="F11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ref="C4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480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ref="C12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487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492</v>
      </c>
      <c r="M14" s="298"/>
      <c r="N14" s="298"/>
      <c r="O14" s="298"/>
      <c r="P14" s="298"/>
      <c r="Q14" s="298"/>
      <c r="R14" s="430"/>
      <c r="S14" s="4" t="s">
        <v>494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481</v>
      </c>
      <c r="C17" s="563">
        <v>0.1</v>
      </c>
      <c r="D17" s="430"/>
      <c r="E17" s="122" t="str">
        <f t="array" ref="E17:F20">_xll.d.IR_BlackForwardOptionPricer(C17,C18,C19,C20,C21,C22,C23,"VERBOSE")</f>
        <v>Price</v>
      </c>
      <c r="F17" s="567">
        <v>5.5832072827947171E-3</v>
      </c>
      <c r="G17" s="122" t="s">
        <v>488</v>
      </c>
      <c r="H17" s="567">
        <f>-1*EXP(-1*C19*C21)*C17*(_xlfn.NORM.S.DIST(-1*H18,TRUE)-(_xlfn.NORM.S.DIST(-1*H19,TRUE)))</f>
        <v>5.5832072827947232E-3</v>
      </c>
      <c r="I17" s="570" t="str" cm="1">
        <f t="array" ref="I17">_xll.d.TestUtils_Equal(E17,G17)</f>
        <v>Ok</v>
      </c>
      <c r="J17" s="570" t="str" cm="1">
        <f t="array" ref="J17">_xll.d.TestUtils_Equal(F17,H17)</f>
        <v>Ok</v>
      </c>
      <c r="K17" s="430"/>
      <c r="L17" s="122" t="s">
        <v>481</v>
      </c>
      <c r="M17" s="563">
        <v>0.1</v>
      </c>
      <c r="N17" s="430"/>
      <c r="O17" s="571" cm="1">
        <f t="array" ref="O17">_xll.d.IR_BlackForwardOptionPricer(M17,M18,M19,M20,M21,M22,M23)</f>
        <v>5.5832072827947171E-3</v>
      </c>
      <c r="P17" s="566">
        <f>H17</f>
        <v>5.5832072827947232E-3</v>
      </c>
      <c r="Q17" s="570" t="str" cm="1">
        <f t="array" ref="Q17">_xll.d.TestUtils_Equal(O17,P17)</f>
        <v>Ok</v>
      </c>
      <c r="R17" s="430"/>
      <c r="S17" s="122" t="s">
        <v>481</v>
      </c>
      <c r="T17" s="563">
        <v>0.1</v>
      </c>
      <c r="V17" s="576" t="str" cm="1">
        <f t="array" ref="V17">_xll.d.IR_BlackForwardOptionPricer(T17,T18,T19,T20,T21,T22,T23)</f>
        <v>#∂Excel Error: Invalid option type: 'Q'</v>
      </c>
      <c r="W17" s="577"/>
      <c r="X17" s="577"/>
      <c r="Y17" s="578" t="s">
        <v>495</v>
      </c>
      <c r="Z17" s="579"/>
      <c r="AA17" s="579"/>
      <c r="AB17" s="570" t="str" cm="1">
        <f t="array" ref="AB17">_xll.d.TestUtils_Equal(V17,Y17)</f>
        <v>Ok</v>
      </c>
      <c r="AD17" s="122" t="s">
        <v>481</v>
      </c>
      <c r="AE17" s="563">
        <v>0.1</v>
      </c>
      <c r="AF17" s="430"/>
      <c r="AG17" s="576" t="str" cm="1">
        <f t="array" ref="AG17">_xll.d.IR_BlackForwardOptionPricer(AE17,AE18,AE19,AE20,AE21,AE22,AE23)</f>
        <v>#∂Excel Error: Invalid direction: 'Q'</v>
      </c>
      <c r="AH17" s="577"/>
      <c r="AI17" s="577"/>
      <c r="AJ17" s="578" t="s">
        <v>499</v>
      </c>
      <c r="AK17" s="579"/>
      <c r="AL17" s="579"/>
      <c r="AM17" s="570" t="str" cm="1">
        <f t="array" ref="AM17">_xll.d.TestUtils_Equal(AG17,AJ17)</f>
        <v>Ok</v>
      </c>
    </row>
    <row r="18" spans="1:39">
      <c r="A18" s="430"/>
      <c r="B18" s="124" t="s">
        <v>482</v>
      </c>
      <c r="C18" s="564">
        <v>0.1</v>
      </c>
      <c r="D18" s="430"/>
      <c r="E18" s="124" t="str">
        <v>d1</v>
      </c>
      <c r="F18" s="568">
        <v>7.2168783648703216E-2</v>
      </c>
      <c r="G18" s="124" t="s">
        <v>489</v>
      </c>
      <c r="H18" s="568">
        <f>(LN(C17/C18)+0.5*C20*C20*C21)/(C20*SQRT(C21))</f>
        <v>7.2168783648703216E-2</v>
      </c>
      <c r="I18" s="570" t="str" cm="1">
        <f t="array" ref="I18">_xll.d.TestUtils_Equal(E18,G18)</f>
        <v>Ok</v>
      </c>
      <c r="J18" s="570" t="str" cm="1">
        <f t="array" ref="J18">_xll.d.TestUtils_Equal(F18,H18)</f>
        <v>Ok</v>
      </c>
      <c r="K18" s="430"/>
      <c r="L18" s="124" t="s">
        <v>482</v>
      </c>
      <c r="M18" s="564">
        <v>0.1</v>
      </c>
      <c r="N18" s="430"/>
      <c r="O18" s="430"/>
      <c r="P18" s="430"/>
      <c r="Q18" s="430"/>
      <c r="R18" s="430"/>
      <c r="S18" s="124" t="s">
        <v>482</v>
      </c>
      <c r="T18" s="564">
        <v>0.1</v>
      </c>
      <c r="AD18" s="124" t="s">
        <v>482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484</v>
      </c>
      <c r="C19" s="564">
        <v>0.09</v>
      </c>
      <c r="D19" s="430"/>
      <c r="E19" s="124" t="str">
        <v>d2</v>
      </c>
      <c r="F19" s="568">
        <v>-7.2168783648703216E-2</v>
      </c>
      <c r="G19" s="124" t="s">
        <v>490</v>
      </c>
      <c r="H19" s="568">
        <f>H18-C20*SQRT(C21)</f>
        <v>-7.2168783648703216E-2</v>
      </c>
      <c r="I19" s="570" t="str" cm="1">
        <f t="array" ref="I19">_xll.d.TestUtils_Equal(E19,G19)</f>
        <v>Ok</v>
      </c>
      <c r="J19" s="570" t="str" cm="1">
        <f t="array" ref="J19">_xll.d.TestUtils_Equal(F19,H19)</f>
        <v>Ok</v>
      </c>
      <c r="K19" s="430"/>
      <c r="L19" s="124" t="s">
        <v>484</v>
      </c>
      <c r="M19" s="564">
        <v>0.09</v>
      </c>
      <c r="N19" s="430"/>
      <c r="O19" s="430"/>
      <c r="P19" s="430"/>
      <c r="Q19" s="430"/>
      <c r="R19" s="430"/>
      <c r="S19" s="124" t="s">
        <v>484</v>
      </c>
      <c r="T19" s="564">
        <v>0.09</v>
      </c>
      <c r="AD19" s="124" t="s">
        <v>484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v>Discount Factor</v>
      </c>
      <c r="F20" s="569">
        <v>0.97044553354850815</v>
      </c>
      <c r="G20" s="126" t="s">
        <v>491</v>
      </c>
      <c r="H20" s="569">
        <v>0.97044553354850815</v>
      </c>
      <c r="I20" s="570" t="str" cm="1">
        <f t="array" ref="I20">_xll.d.TestUtils_Equal(E20,G20)</f>
        <v>Ok</v>
      </c>
      <c r="J20" s="570" t="str" cm="1">
        <f t="array" ref="J20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483</v>
      </c>
      <c r="C21" s="125">
        <f>4/12</f>
        <v>0.33333333333333331</v>
      </c>
      <c r="D21" s="430"/>
      <c r="G21" s="430"/>
      <c r="H21" s="430"/>
      <c r="I21" s="430"/>
      <c r="L21" s="124" t="s">
        <v>483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483</v>
      </c>
      <c r="T21" s="125">
        <f>4/12</f>
        <v>0.33333333333333331</v>
      </c>
      <c r="AD21" s="124" t="s">
        <v>483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404</v>
      </c>
      <c r="C22" s="125" t="s">
        <v>485</v>
      </c>
      <c r="L22" s="124" t="s">
        <v>404</v>
      </c>
      <c r="M22" s="125" t="s">
        <v>485</v>
      </c>
      <c r="S22" s="124" t="s">
        <v>404</v>
      </c>
      <c r="T22" s="125" t="s">
        <v>493</v>
      </c>
      <c r="AD22" s="124" t="s">
        <v>404</v>
      </c>
      <c r="AE22" s="125" t="s">
        <v>485</v>
      </c>
    </row>
    <row r="23" spans="1:39">
      <c r="A23" s="430"/>
      <c r="B23" s="126" t="s">
        <v>496</v>
      </c>
      <c r="C23" s="127" t="s">
        <v>497</v>
      </c>
      <c r="D23" s="430"/>
      <c r="G23" s="430"/>
      <c r="H23" s="430"/>
      <c r="I23" s="430"/>
      <c r="L23" s="126" t="s">
        <v>496</v>
      </c>
      <c r="M23" s="127" t="s">
        <v>497</v>
      </c>
      <c r="N23" s="430"/>
      <c r="O23" s="430"/>
      <c r="P23" s="430"/>
      <c r="Q23" s="430"/>
      <c r="R23" s="430"/>
      <c r="S23" s="126" t="s">
        <v>496</v>
      </c>
      <c r="T23" s="127" t="s">
        <v>497</v>
      </c>
      <c r="AD23" s="126" t="s">
        <v>496</v>
      </c>
      <c r="AE23" s="127" t="s">
        <v>493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234</v>
      </c>
    </row>
    <row r="33" spans="2:11">
      <c r="B33" t="s">
        <v>320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298" priority="19" stopIfTrue="1" operator="equal">
      <formula>"ERROR"</formula>
    </cfRule>
    <cfRule type="cellIs" dxfId="297" priority="20" stopIfTrue="1" operator="equal">
      <formula>"OK"</formula>
    </cfRule>
    <cfRule type="cellIs" dxfId="296" priority="21" stopIfTrue="1" operator="equal">
      <formula>"WARNING"</formula>
    </cfRule>
  </conditionalFormatting>
  <conditionalFormatting sqref="C4">
    <cfRule type="cellIs" dxfId="295" priority="16" stopIfTrue="1" operator="equal">
      <formula>"ERROR"</formula>
    </cfRule>
    <cfRule type="cellIs" dxfId="294" priority="17" stopIfTrue="1" operator="equal">
      <formula>"OK"</formula>
    </cfRule>
    <cfRule type="cellIs" dxfId="293" priority="18" stopIfTrue="1" operator="equal">
      <formula>"WARNING"</formula>
    </cfRule>
  </conditionalFormatting>
  <conditionalFormatting sqref="C12">
    <cfRule type="cellIs" dxfId="292" priority="13" stopIfTrue="1" operator="equal">
      <formula>"ERROR"</formula>
    </cfRule>
  </conditionalFormatting>
  <conditionalFormatting sqref="C12">
    <cfRule type="cellIs" dxfId="291" priority="14" stopIfTrue="1" operator="equal">
      <formula>"OK"</formula>
    </cfRule>
  </conditionalFormatting>
  <conditionalFormatting sqref="C12">
    <cfRule type="cellIs" dxfId="290" priority="15" stopIfTrue="1" operator="equal">
      <formula>"WARNING"</formula>
    </cfRule>
  </conditionalFormatting>
  <conditionalFormatting sqref="I17:J20">
    <cfRule type="cellIs" dxfId="289" priority="22" stopIfTrue="1" operator="equal">
      <formula>"ERROR"</formula>
    </cfRule>
    <cfRule type="cellIs" dxfId="288" priority="23" stopIfTrue="1" operator="equal">
      <formula>"OK"</formula>
    </cfRule>
    <cfRule type="cellIs" dxfId="287" priority="24" stopIfTrue="1" operator="equal">
      <formula>"WARNING"</formula>
    </cfRule>
  </conditionalFormatting>
  <conditionalFormatting sqref="AB17">
    <cfRule type="cellIs" dxfId="286" priority="4" stopIfTrue="1" operator="equal">
      <formula>"ERROR"</formula>
    </cfRule>
    <cfRule type="cellIs" dxfId="285" priority="5" stopIfTrue="1" operator="equal">
      <formula>"OK"</formula>
    </cfRule>
    <cfRule type="cellIs" dxfId="284" priority="6" stopIfTrue="1" operator="equal">
      <formula>"WARNING"</formula>
    </cfRule>
  </conditionalFormatting>
  <conditionalFormatting sqref="AM17">
    <cfRule type="cellIs" dxfId="283" priority="1" stopIfTrue="1" operator="equal">
      <formula>"ERROR"</formula>
    </cfRule>
    <cfRule type="cellIs" dxfId="282" priority="2" stopIfTrue="1" operator="equal">
      <formula>"OK"</formula>
    </cfRule>
    <cfRule type="cellIs" dxfId="281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373</v>
      </c>
    </row>
    <row r="2" spans="1:54" ht="26.25">
      <c r="B2" s="2" t="s">
        <v>374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ref="C4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375</v>
      </c>
      <c r="C7" s="406"/>
      <c r="D7" s="291" t="str">
        <f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376</v>
      </c>
      <c r="C8" s="406"/>
      <c r="D8" s="291" t="str">
        <f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375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ref="C13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419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424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ref="C17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>AP20</f>
        <v>Ok</v>
      </c>
      <c r="AR17" s="50" t="s">
        <v>139</v>
      </c>
      <c r="AS17" s="446" t="str">
        <f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534</v>
      </c>
      <c r="F19" s="289"/>
      <c r="G19" s="120" t="s">
        <v>417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417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417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ref="AJ20">_xll.d.IR_ConvertInterestRate(AH20,AH21,AH22,AH23)</f>
        <v>#∂Excel Error: Invalid old compounding convention: NACP</v>
      </c>
      <c r="AK20" s="451"/>
      <c r="AL20" s="451"/>
      <c r="AM20" s="452" t="s">
        <v>423</v>
      </c>
      <c r="AN20" s="453"/>
      <c r="AO20" s="453"/>
      <c r="AP20" s="329" t="str" cm="1">
        <f t="array" ref="AP20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ref="AV20">_xll.d.IR_ConvertInterestRate(AT20,AT21,AT22,AT23)</f>
        <v>#∂Excel Error: Invalid new compounding convention: NACP</v>
      </c>
      <c r="AW20" s="451"/>
      <c r="AX20" s="451"/>
      <c r="AY20" s="452" t="s">
        <v>422</v>
      </c>
      <c r="AZ20" s="453"/>
      <c r="BA20" s="453"/>
      <c r="BB20" s="329" t="str" cm="1">
        <f t="array" ref="BB20">_xll.d.TestUtils_Equal(AV20,AY20)</f>
        <v>Ok</v>
      </c>
    </row>
    <row r="21" spans="1:54" s="430" customFormat="1">
      <c r="B21" s="477" t="s">
        <v>434</v>
      </c>
      <c r="C21" s="479">
        <f>3/12</f>
        <v>0.25</v>
      </c>
      <c r="D21" s="605"/>
      <c r="E21" s="1091" t="s">
        <v>416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91" t="s">
        <v>416</v>
      </c>
      <c r="O21" s="279" t="s">
        <v>205</v>
      </c>
      <c r="P21" s="632" cm="1">
        <f t="array" ref="P21">_xll.d.IR_ConvertInterestRate($C$20,$O21,P$20,$C$21)</f>
        <v>1.15E-2</v>
      </c>
      <c r="Q21" s="633" cm="1">
        <f t="array" ref="Q21">_xll.d.IR_ConvertInterestRate($C$20,$O21,Q$20,$C$21)</f>
        <v>1.1549688873008002E-2</v>
      </c>
      <c r="R21" s="633" cm="1">
        <f t="array" ref="R21">_xll.d.IR_ConvertInterestRate($C$20,$O21,R$20,$C$21)</f>
        <v>1.1516531249999851E-2</v>
      </c>
      <c r="S21" s="633" cm="1">
        <f t="array" ref="S21">_xll.d.IR_ConvertInterestRate($C$20,$O21,S$20,$C$21)</f>
        <v>1.1499999999999844E-2</v>
      </c>
      <c r="T21" s="633" cm="1">
        <f t="array" ref="T21">_xll.d.IR_ConvertInterestRate($C$20,$O21,T$20,$C$21)</f>
        <v>1.1488996735719681E-2</v>
      </c>
      <c r="U21" s="636" cm="1">
        <f t="array" ref="U21">_xll.d.IR_ConvertInterestRate($C$20,$O21,U$20,$C$21)</f>
        <v>1.1483500366731883E-2</v>
      </c>
      <c r="W21" s="1091" t="s">
        <v>416</v>
      </c>
      <c r="X21" s="279" t="s">
        <v>205</v>
      </c>
      <c r="Y21" s="442" t="str" cm="1">
        <f t="array" ref="Y21">_xll.d.TestUtils_Equal(G21,P21)</f>
        <v>Ok</v>
      </c>
      <c r="Z21" s="442" t="str" cm="1">
        <f t="array" ref="Z21">_xll.d.TestUtils_Equal(H21,Q21)</f>
        <v>Ok</v>
      </c>
      <c r="AA21" s="442" t="str" cm="1">
        <f t="array" ref="AA21">_xll.d.TestUtils_Equal(I21,R21)</f>
        <v>Ok</v>
      </c>
      <c r="AB21" s="442" t="str" cm="1">
        <f t="array" ref="AB21">_xll.d.TestUtils_Equal(J21,S21)</f>
        <v>Ok</v>
      </c>
      <c r="AC21" s="442" t="str" cm="1">
        <f t="array" ref="AC21">_xll.d.TestUtils_Equal(K21,T21)</f>
        <v>Ok</v>
      </c>
      <c r="AD21" s="442" t="str" cm="1">
        <f t="array" ref="AD21">_xll.d.TestUtils_Equal(L21,U21)</f>
        <v>Ok</v>
      </c>
      <c r="AF21" s="448" t="s">
        <v>420</v>
      </c>
      <c r="AG21" s="448"/>
      <c r="AH21" s="125" t="s">
        <v>418</v>
      </c>
      <c r="AJ21" s="289"/>
      <c r="AK21" s="436"/>
      <c r="AM21" s="438"/>
      <c r="AN21" s="289"/>
      <c r="AO21" s="290"/>
      <c r="AR21" s="448" t="s">
        <v>420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92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92"/>
      <c r="O22" s="280" t="s">
        <v>78</v>
      </c>
      <c r="P22" s="634" cm="1">
        <f t="array" ref="P22">_xll.d.IR_ConvertInterestRate($C$20,$O22,P$20,$C$21)</f>
        <v>1.1450736333546985E-2</v>
      </c>
      <c r="Q22" s="482" cm="1">
        <f t="array" ref="Q22">_xll.d.IR_ConvertInterestRate($C$20,$O22,Q$20,$C$21)</f>
        <v>1.15E-2</v>
      </c>
      <c r="R22" s="482" cm="1">
        <f t="array" ref="R22">_xll.d.IR_ConvertInterestRate($C$20,$O22,R$20,$C$21)</f>
        <v>1.1467126253869697E-2</v>
      </c>
      <c r="S22" s="482" cm="1">
        <f t="array" ref="S22">_xll.d.IR_ConvertInterestRate($C$20,$O22,S$20,$C$21)</f>
        <v>1.1450736333546985E-2</v>
      </c>
      <c r="T22" s="482" cm="1">
        <f t="array" ref="T22">_xll.d.IR_ConvertInterestRate($C$20,$O22,T$20,$C$21)</f>
        <v>1.1439827064371855E-2</v>
      </c>
      <c r="U22" s="637" cm="1">
        <f t="array" ref="U22">_xll.d.IR_ConvertInterestRate($C$20,$O22,U$20,$C$21)</f>
        <v>1.143437762566317E-2</v>
      </c>
      <c r="W22" s="1092"/>
      <c r="X22" s="280" t="s">
        <v>78</v>
      </c>
      <c r="Y22" s="442" t="str" cm="1">
        <f t="array" ref="Y22">_xll.d.TestUtils_Equal(G22,P22)</f>
        <v>Ok</v>
      </c>
      <c r="Z22" s="442" t="str" cm="1">
        <f t="array" ref="Z22">_xll.d.TestUtils_Equal(H22,Q22)</f>
        <v>Ok</v>
      </c>
      <c r="AA22" s="442" t="str" cm="1">
        <f t="array" ref="AA22">_xll.d.TestUtils_Equal(I22,R22)</f>
        <v>Ok</v>
      </c>
      <c r="AB22" s="442" t="str" cm="1">
        <f t="array" ref="AB22">_xll.d.TestUtils_Equal(J22,S22)</f>
        <v>Ok</v>
      </c>
      <c r="AC22" s="442" t="str" cm="1">
        <f t="array" ref="AC22">_xll.d.TestUtils_Equal(K22,T22)</f>
        <v>Ok</v>
      </c>
      <c r="AD22" s="442" t="str" cm="1">
        <f t="array" ref="AD22">_xll.d.TestUtils_Equal(L22,U22)</f>
        <v>Ok</v>
      </c>
      <c r="AF22" s="448" t="s">
        <v>421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421</v>
      </c>
      <c r="AS22" s="448"/>
      <c r="AT22" s="125" t="s">
        <v>418</v>
      </c>
      <c r="AY22" s="289"/>
    </row>
    <row r="23" spans="1:54" s="430" customFormat="1">
      <c r="B23" s="289"/>
      <c r="D23" s="606">
        <v>2</v>
      </c>
      <c r="E23" s="1092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92"/>
      <c r="O23" s="280" t="s">
        <v>79</v>
      </c>
      <c r="P23" s="634" cm="1">
        <f t="array" ref="P23">_xll.d.IR_ConvertInterestRate($C$20,$O23,P$20,$C$21)</f>
        <v>1.1483516107226421E-2</v>
      </c>
      <c r="Q23" s="482" cm="1">
        <f t="array" ref="Q23">_xll.d.IR_ConvertInterestRate($C$20,$O23,Q$20,$C$21)</f>
        <v>1.1533062499999858E-2</v>
      </c>
      <c r="R23" s="482" cm="1">
        <f t="array" ref="R23">_xll.d.IR_ConvertInterestRate($C$20,$O23,R$20,$C$21)</f>
        <v>1.15E-2</v>
      </c>
      <c r="S23" s="482" cm="1">
        <f t="array" ref="S23">_xll.d.IR_ConvertInterestRate($C$20,$O23,S$20,$C$21)</f>
        <v>1.1483516107226421E-2</v>
      </c>
      <c r="T23" s="482" cm="1">
        <f t="array" ref="T23">_xll.d.IR_ConvertInterestRate($C$20,$O23,T$20,$C$21)</f>
        <v>1.1472544339037327E-2</v>
      </c>
      <c r="U23" s="637" cm="1">
        <f t="array" ref="U23">_xll.d.IR_ConvertInterestRate($C$20,$O23,U$20,$C$21)</f>
        <v>1.1467063695520934E-2</v>
      </c>
      <c r="W23" s="1092"/>
      <c r="X23" s="280" t="s">
        <v>79</v>
      </c>
      <c r="Y23" s="442" t="str" cm="1">
        <f t="array" ref="Y23">_xll.d.TestUtils_Equal(G23,P23)</f>
        <v>Ok</v>
      </c>
      <c r="Z23" s="442" t="str" cm="1">
        <f t="array" ref="Z23">_xll.d.TestUtils_Equal(H23,Q23)</f>
        <v>Ok</v>
      </c>
      <c r="AA23" s="442" t="str" cm="1">
        <f t="array" ref="AA23">_xll.d.TestUtils_Equal(I23,R23)</f>
        <v>Ok</v>
      </c>
      <c r="AB23" s="442" t="str" cm="1">
        <f t="array" ref="AB23">_xll.d.TestUtils_Equal(J23,S23)</f>
        <v>Ok</v>
      </c>
      <c r="AC23" s="442" t="str" cm="1">
        <f t="array" ref="AC23">_xll.d.TestUtils_Equal(K23,T23)</f>
        <v>Ok</v>
      </c>
      <c r="AD23" s="442" t="str" cm="1">
        <f t="array" ref="AD23">_xll.d.TestUtils_Equal(L23,U23)</f>
        <v>Ok</v>
      </c>
      <c r="AF23" s="449" t="s">
        <v>434</v>
      </c>
      <c r="AG23" s="449"/>
      <c r="AH23" s="127">
        <f>3/12</f>
        <v>0.25</v>
      </c>
      <c r="AR23" s="449" t="s">
        <v>434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92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92"/>
      <c r="O24" s="280" t="s">
        <v>64</v>
      </c>
      <c r="P24" s="634" cm="1">
        <f t="array" ref="P24">_xll.d.IR_ConvertInterestRate($C$20,$O24,P$20,$C$21)</f>
        <v>1.1499999999999844E-2</v>
      </c>
      <c r="Q24" s="482" cm="1">
        <f t="array" ref="Q24">_xll.d.IR_ConvertInterestRate($C$20,$O24,Q$20,$C$21)</f>
        <v>1.1549688873008002E-2</v>
      </c>
      <c r="R24" s="482" cm="1">
        <f t="array" ref="R24">_xll.d.IR_ConvertInterestRate($C$20,$O24,R$20,$C$21)</f>
        <v>1.1516531249999851E-2</v>
      </c>
      <c r="S24" s="482" cm="1">
        <f t="array" ref="S24">_xll.d.IR_ConvertInterestRate($C$20,$O24,S$20,$C$21)</f>
        <v>1.15E-2</v>
      </c>
      <c r="T24" s="482" cm="1">
        <f t="array" ref="T24">_xll.d.IR_ConvertInterestRate($C$20,$O24,T$20,$C$21)</f>
        <v>1.1488996735719681E-2</v>
      </c>
      <c r="U24" s="637" cm="1">
        <f t="array" ref="U24">_xll.d.IR_ConvertInterestRate($C$20,$O24,U$20,$C$21)</f>
        <v>1.1483500366731883E-2</v>
      </c>
      <c r="W24" s="1092"/>
      <c r="X24" s="280" t="s">
        <v>64</v>
      </c>
      <c r="Y24" s="442" t="str" cm="1">
        <f t="array" ref="Y24">_xll.d.TestUtils_Equal(G24,P24)</f>
        <v>Ok</v>
      </c>
      <c r="Z24" s="442" t="str" cm="1">
        <f t="array" ref="Z24">_xll.d.TestUtils_Equal(H24,Q24)</f>
        <v>Ok</v>
      </c>
      <c r="AA24" s="442" t="str" cm="1">
        <f t="array" ref="AA24">_xll.d.TestUtils_Equal(I24,R24)</f>
        <v>Ok</v>
      </c>
      <c r="AB24" s="442" t="str" cm="1">
        <f t="array" ref="AB24">_xll.d.TestUtils_Equal(J24,S24)</f>
        <v>Ok</v>
      </c>
      <c r="AC24" s="442" t="str" cm="1">
        <f t="array" ref="AC24">_xll.d.TestUtils_Equal(K24,T24)</f>
        <v>Ok</v>
      </c>
      <c r="AD24" s="442" t="str" cm="1">
        <f t="array" ref="AD24">_xll.d.TestUtils_Equal(L24,U24)</f>
        <v>Ok</v>
      </c>
    </row>
    <row r="25" spans="1:54" s="430" customFormat="1">
      <c r="B25" s="289"/>
      <c r="D25" s="607">
        <v>12</v>
      </c>
      <c r="E25" s="1092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92"/>
      <c r="O25" s="280" t="s">
        <v>63</v>
      </c>
      <c r="P25" s="634" cm="1">
        <f t="array" ref="P25">_xll.d.IR_ConvertInterestRate($C$20,$O25,P$20,$C$21)</f>
        <v>1.151102435387763E-2</v>
      </c>
      <c r="Q25" s="482" cm="1">
        <f t="array" ref="Q25">_xll.d.IR_ConvertInterestRate($C$20,$O25,Q$20,$C$21)</f>
        <v>1.1560808631408515E-2</v>
      </c>
      <c r="R25" s="482" cm="1">
        <f t="array" ref="R25">_xll.d.IR_ConvertInterestRate($C$20,$O25,R$20,$C$21)</f>
        <v>1.1527587314087651E-2</v>
      </c>
      <c r="S25" s="482" cm="1">
        <f t="array" ref="S25">_xll.d.IR_ConvertInterestRate($C$20,$O25,S$20,$C$21)</f>
        <v>1.151102435387763E-2</v>
      </c>
      <c r="T25" s="482" cm="1">
        <f t="array" ref="T25">_xll.d.IR_ConvertInterestRate($C$20,$O25,T$20,$C$21)</f>
        <v>1.15E-2</v>
      </c>
      <c r="U25" s="637" cm="1">
        <f t="array" ref="U25">_xll.d.IR_ConvertInterestRate($C$20,$O25,U$20,$C$21)</f>
        <v>1.1494493101349593E-2</v>
      </c>
      <c r="W25" s="1092"/>
      <c r="X25" s="280" t="s">
        <v>63</v>
      </c>
      <c r="Y25" s="442" t="str" cm="1">
        <f t="array" ref="Y25">_xll.d.TestUtils_Equal(G25,P25)</f>
        <v>Ok</v>
      </c>
      <c r="Z25" s="442" t="str" cm="1">
        <f t="array" ref="Z25">_xll.d.TestUtils_Equal(H25,Q25)</f>
        <v>Ok</v>
      </c>
      <c r="AA25" s="442" t="str" cm="1">
        <f t="array" ref="AA25">_xll.d.TestUtils_Equal(I25,R25)</f>
        <v>Ok</v>
      </c>
      <c r="AB25" s="442" t="str" cm="1">
        <f t="array" ref="AB25">_xll.d.TestUtils_Equal(J25,S25)</f>
        <v>Ok</v>
      </c>
      <c r="AC25" s="442" t="str" cm="1">
        <f t="array" ref="AC25">_xll.d.TestUtils_Equal(K25,T25)</f>
        <v>Ok</v>
      </c>
      <c r="AD25" s="442" t="str" cm="1">
        <f t="array" ref="AD25">_xll.d.TestUtils_Equal(L25,U25)</f>
        <v>Ok</v>
      </c>
    </row>
    <row r="26" spans="1:54" s="430" customFormat="1">
      <c r="B26" s="289"/>
      <c r="D26" s="607"/>
      <c r="E26" s="1093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93"/>
      <c r="O26" s="281" t="s">
        <v>62</v>
      </c>
      <c r="P26" s="638" cm="1">
        <f t="array" ref="P26">_xll.d.IR_ConvertInterestRate($C$20,$O26,P$20,$C$21)</f>
        <v>1.1516547103841646E-2</v>
      </c>
      <c r="Q26" s="639" cm="1">
        <f t="array" ref="Q26">_xll.d.IR_ConvertInterestRate($C$20,$O26,Q$20,$C$21)</f>
        <v>1.1566379209598576E-2</v>
      </c>
      <c r="R26" s="639" cm="1">
        <f t="array" ref="R26">_xll.d.IR_ConvertInterestRate($C$20,$O26,R$20,$C$21)</f>
        <v>1.1533125960990542E-2</v>
      </c>
      <c r="S26" s="639" cm="1">
        <f t="array" ref="S26">_xll.d.IR_ConvertInterestRate($C$20,$O26,S$20,$C$21)</f>
        <v>1.1516547103841646E-2</v>
      </c>
      <c r="T26" s="639" cm="1">
        <f t="array" ref="T26">_xll.d.IR_ConvertInterestRate($C$20,$O26,T$20,$C$21)</f>
        <v>1.1505512177360622E-2</v>
      </c>
      <c r="U26" s="640" cm="1">
        <f t="array" ref="U26">_xll.d.IR_ConvertInterestRate($C$20,$O26,U$20,$C$21)</f>
        <v>1.15E-2</v>
      </c>
      <c r="W26" s="1093"/>
      <c r="X26" s="281" t="s">
        <v>62</v>
      </c>
      <c r="Y26" s="442" t="str" cm="1">
        <f t="array" ref="Y26">_xll.d.TestUtils_Equal(G26,P26)</f>
        <v>Ok</v>
      </c>
      <c r="Z26" s="442" t="str" cm="1">
        <f t="array" ref="Z26">_xll.d.TestUtils_Equal(H26,Q26)</f>
        <v>Ok</v>
      </c>
      <c r="AA26" s="442" t="str" cm="1">
        <f t="array" ref="AA26">_xll.d.TestUtils_Equal(I26,R26)</f>
        <v>Ok</v>
      </c>
      <c r="AB26" s="442" t="str" cm="1">
        <f t="array" ref="AB26">_xll.d.TestUtils_Equal(J26,S26)</f>
        <v>Ok</v>
      </c>
      <c r="AC26" s="442" t="str" cm="1">
        <f t="array" ref="AC26">_xll.d.TestUtils_Equal(K26,T26)</f>
        <v>Ok</v>
      </c>
      <c r="AD26" s="442" t="str" cm="1">
        <f t="array" ref="AD26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376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ref="C3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428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ref="C35">_xll.d.TestUtils_And(H38:H43)</f>
        <v>Ok</v>
      </c>
      <c r="J35" s="50" t="s">
        <v>139</v>
      </c>
      <c r="K35" s="446" t="str">
        <f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425</v>
      </c>
      <c r="C38" s="455">
        <v>0.9993298952745</v>
      </c>
      <c r="D38" s="430"/>
      <c r="E38" s="394" t="s">
        <v>205</v>
      </c>
      <c r="F38" s="461" cm="1">
        <f t="array" ref="F38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ref="H38">_xll.d.TestUtils_Equal(F38,G38,0.0001)</f>
        <v>Ok</v>
      </c>
      <c r="I38" s="431"/>
      <c r="J38" s="122" t="s">
        <v>429</v>
      </c>
      <c r="K38" s="455" t="s">
        <v>418</v>
      </c>
      <c r="L38" s="430"/>
      <c r="M38" s="450" t="str" cm="1">
        <f t="array" ref="M38">_xll.d.IR_DiscountFactorsToForwardRate(K38,K39,K40,K41)</f>
        <v>#∂Excel Error: Invalid compounding convention: NACP</v>
      </c>
      <c r="N38" s="451"/>
      <c r="O38" s="451"/>
      <c r="P38" s="452" t="s">
        <v>430</v>
      </c>
      <c r="Q38" s="453"/>
      <c r="R38" s="453"/>
      <c r="S38" s="329" t="str" cm="1">
        <f t="array" ref="S38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426</v>
      </c>
      <c r="C39" s="456">
        <v>0.99640260231230005</v>
      </c>
      <c r="D39" s="430"/>
      <c r="E39" s="459" t="s">
        <v>62</v>
      </c>
      <c r="F39" s="464" cm="1">
        <f t="array" ref="F39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ref="H39">_xll.d.TestUtils_Equal(F39,G39,0.0001)</f>
        <v>Ok</v>
      </c>
      <c r="I39" s="430"/>
      <c r="J39" s="124" t="s">
        <v>425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427</v>
      </c>
      <c r="C40" s="127">
        <v>0.25</v>
      </c>
      <c r="D40" s="430"/>
      <c r="E40" s="459" t="s">
        <v>78</v>
      </c>
      <c r="F40" s="464" cm="1">
        <f t="array" ref="F40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ref="H40">_xll.d.TestUtils_Equal(F40,G40,0.0001)</f>
        <v>Ok</v>
      </c>
      <c r="I40" s="430"/>
      <c r="J40" s="124" t="s">
        <v>426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ref="F4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ref="H41">_xll.d.TestUtils_Equal(F41,G41,0.0001)</f>
        <v>Ok</v>
      </c>
      <c r="I41" s="430"/>
      <c r="J41" s="126" t="s">
        <v>427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ref="F42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ref="H42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ref="F43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ref="H43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280" priority="61" stopIfTrue="1" operator="equal">
      <formula>"ERROR"</formula>
    </cfRule>
    <cfRule type="cellIs" dxfId="279" priority="62" stopIfTrue="1" operator="equal">
      <formula>"OK"</formula>
    </cfRule>
    <cfRule type="cellIs" dxfId="278" priority="63" stopIfTrue="1" operator="equal">
      <formula>"WARNING"</formula>
    </cfRule>
  </conditionalFormatting>
  <conditionalFormatting sqref="C4">
    <cfRule type="cellIs" dxfId="277" priority="58" stopIfTrue="1" operator="equal">
      <formula>"ERROR"</formula>
    </cfRule>
    <cfRule type="cellIs" dxfId="276" priority="59" stopIfTrue="1" operator="equal">
      <formula>"OK"</formula>
    </cfRule>
    <cfRule type="cellIs" dxfId="275" priority="60" stopIfTrue="1" operator="equal">
      <formula>"WARNING"</formula>
    </cfRule>
  </conditionalFormatting>
  <conditionalFormatting sqref="C13">
    <cfRule type="cellIs" dxfId="274" priority="55" stopIfTrue="1" operator="equal">
      <formula>"ERROR"</formula>
    </cfRule>
  </conditionalFormatting>
  <conditionalFormatting sqref="C13">
    <cfRule type="cellIs" dxfId="273" priority="56" stopIfTrue="1" operator="equal">
      <formula>"OK"</formula>
    </cfRule>
  </conditionalFormatting>
  <conditionalFormatting sqref="C13">
    <cfRule type="cellIs" dxfId="272" priority="57" stopIfTrue="1" operator="equal">
      <formula>"WARNING"</formula>
    </cfRule>
  </conditionalFormatting>
  <conditionalFormatting sqref="C31">
    <cfRule type="cellIs" dxfId="271" priority="52" stopIfTrue="1" operator="equal">
      <formula>"ERROR"</formula>
    </cfRule>
  </conditionalFormatting>
  <conditionalFormatting sqref="C31">
    <cfRule type="cellIs" dxfId="270" priority="53" stopIfTrue="1" operator="equal">
      <formula>"OK"</formula>
    </cfRule>
  </conditionalFormatting>
  <conditionalFormatting sqref="C31">
    <cfRule type="cellIs" dxfId="269" priority="54" stopIfTrue="1" operator="equal">
      <formula>"WARNING"</formula>
    </cfRule>
  </conditionalFormatting>
  <conditionalFormatting sqref="Y21:AD26">
    <cfRule type="cellIs" dxfId="268" priority="64" stopIfTrue="1" operator="equal">
      <formula>"ERROR"</formula>
    </cfRule>
    <cfRule type="cellIs" dxfId="267" priority="65" stopIfTrue="1" operator="equal">
      <formula>"OK"</formula>
    </cfRule>
    <cfRule type="cellIs" dxfId="266" priority="66" stopIfTrue="1" operator="equal">
      <formula>"WARNING"</formula>
    </cfRule>
  </conditionalFormatting>
  <conditionalFormatting sqref="C17">
    <cfRule type="cellIs" dxfId="265" priority="16" stopIfTrue="1" operator="equal">
      <formula>"ERROR"</formula>
    </cfRule>
  </conditionalFormatting>
  <conditionalFormatting sqref="C17">
    <cfRule type="cellIs" dxfId="264" priority="17" stopIfTrue="1" operator="equal">
      <formula>"OK"</formula>
    </cfRule>
  </conditionalFormatting>
  <conditionalFormatting sqref="C17">
    <cfRule type="cellIs" dxfId="263" priority="18" stopIfTrue="1" operator="equal">
      <formula>"WARNING"</formula>
    </cfRule>
  </conditionalFormatting>
  <conditionalFormatting sqref="AP20">
    <cfRule type="cellIs" dxfId="262" priority="67" stopIfTrue="1" operator="equal">
      <formula>"ERROR"</formula>
    </cfRule>
    <cfRule type="cellIs" dxfId="261" priority="68" stopIfTrue="1" operator="equal">
      <formula>"OK"</formula>
    </cfRule>
    <cfRule type="cellIs" dxfId="260" priority="69" stopIfTrue="1" operator="equal">
      <formula>"WARNING"</formula>
    </cfRule>
  </conditionalFormatting>
  <conditionalFormatting sqref="AG17">
    <cfRule type="cellIs" dxfId="259" priority="13" stopIfTrue="1" operator="equal">
      <formula>"ERROR"</formula>
    </cfRule>
  </conditionalFormatting>
  <conditionalFormatting sqref="AG17">
    <cfRule type="cellIs" dxfId="258" priority="14" stopIfTrue="1" operator="equal">
      <formula>"OK"</formula>
    </cfRule>
  </conditionalFormatting>
  <conditionalFormatting sqref="AG17">
    <cfRule type="cellIs" dxfId="257" priority="15" stopIfTrue="1" operator="equal">
      <formula>"WARNING"</formula>
    </cfRule>
  </conditionalFormatting>
  <conditionalFormatting sqref="BB20">
    <cfRule type="cellIs" dxfId="256" priority="10" stopIfTrue="1" operator="equal">
      <formula>"ERROR"</formula>
    </cfRule>
    <cfRule type="cellIs" dxfId="255" priority="11" stopIfTrue="1" operator="equal">
      <formula>"OK"</formula>
    </cfRule>
    <cfRule type="cellIs" dxfId="254" priority="12" stopIfTrue="1" operator="equal">
      <formula>"WARNING"</formula>
    </cfRule>
  </conditionalFormatting>
  <conditionalFormatting sqref="AS17">
    <cfRule type="cellIs" dxfId="253" priority="7" stopIfTrue="1" operator="equal">
      <formula>"ERROR"</formula>
    </cfRule>
  </conditionalFormatting>
  <conditionalFormatting sqref="AS17">
    <cfRule type="cellIs" dxfId="252" priority="8" stopIfTrue="1" operator="equal">
      <formula>"OK"</formula>
    </cfRule>
  </conditionalFormatting>
  <conditionalFormatting sqref="AS17">
    <cfRule type="cellIs" dxfId="251" priority="9" stopIfTrue="1" operator="equal">
      <formula>"WARNING"</formula>
    </cfRule>
  </conditionalFormatting>
  <conditionalFormatting sqref="H38:H43">
    <cfRule type="cellIs" dxfId="250" priority="70" stopIfTrue="1" operator="equal">
      <formula>"ERROR"</formula>
    </cfRule>
  </conditionalFormatting>
  <conditionalFormatting sqref="H38:H43">
    <cfRule type="cellIs" dxfId="249" priority="71" stopIfTrue="1" operator="equal">
      <formula>"OK"</formula>
    </cfRule>
  </conditionalFormatting>
  <conditionalFormatting sqref="H38:H43">
    <cfRule type="cellIs" dxfId="248" priority="72" stopIfTrue="1" operator="equal">
      <formula>"WARNING"</formula>
    </cfRule>
  </conditionalFormatting>
  <conditionalFormatting sqref="C35">
    <cfRule type="cellIs" dxfId="247" priority="4" stopIfTrue="1" operator="equal">
      <formula>"ERROR"</formula>
    </cfRule>
  </conditionalFormatting>
  <conditionalFormatting sqref="C35">
    <cfRule type="cellIs" dxfId="246" priority="5" stopIfTrue="1" operator="equal">
      <formula>"OK"</formula>
    </cfRule>
  </conditionalFormatting>
  <conditionalFormatting sqref="C35">
    <cfRule type="cellIs" dxfId="245" priority="6" stopIfTrue="1" operator="equal">
      <formula>"WARNING"</formula>
    </cfRule>
  </conditionalFormatting>
  <conditionalFormatting sqref="K35">
    <cfRule type="cellIs" dxfId="244" priority="1" stopIfTrue="1" operator="equal">
      <formula>"ERROR"</formula>
    </cfRule>
  </conditionalFormatting>
  <conditionalFormatting sqref="K35">
    <cfRule type="cellIs" dxfId="243" priority="2" stopIfTrue="1" operator="equal">
      <formula>"OK"</formula>
    </cfRule>
  </conditionalFormatting>
  <conditionalFormatting sqref="K35">
    <cfRule type="cellIs" dxfId="242" priority="3" stopIfTrue="1" operator="equal">
      <formula>"WARNING"</formula>
    </cfRule>
  </conditionalFormatting>
  <conditionalFormatting sqref="S38">
    <cfRule type="cellIs" dxfId="241" priority="73" stopIfTrue="1" operator="equal">
      <formula>"ERROR"</formula>
    </cfRule>
  </conditionalFormatting>
  <conditionalFormatting sqref="S38">
    <cfRule type="cellIs" dxfId="240" priority="74" stopIfTrue="1" operator="equal">
      <formula>"OK"</formula>
    </cfRule>
  </conditionalFormatting>
  <conditionalFormatting sqref="S38">
    <cfRule type="cellIs" dxfId="239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373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373</v>
      </c>
    </row>
    <row r="2" spans="2:34" ht="26.25">
      <c r="B2" s="2" t="s">
        <v>545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436</v>
      </c>
      <c r="F5" s="588"/>
    </row>
    <row r="6" spans="2:34">
      <c r="E6" s="589" t="s">
        <v>435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548</v>
      </c>
      <c r="C8" s="163" t="str" cm="1">
        <f t="array" aca="1" ref="C8" ca="1">_xll.d.TestUtils_And(J20,J23,H26:J28,H31:J33,Y20,Y23,Y26,Y31)</f>
        <v>Ok</v>
      </c>
      <c r="E8" s="603" t="s">
        <v>552</v>
      </c>
    </row>
    <row r="9" spans="2:34">
      <c r="B9" s="471" t="s">
        <v>549</v>
      </c>
      <c r="C9" s="163" t="str" cm="1">
        <f t="array" aca="1" ref="C9" ca="1">_xll.d.TestUtils_And(J39,J42,H45:J47,H50:J52,Y39,Y42,Y45,Y50)</f>
        <v>Ok</v>
      </c>
      <c r="E9" s="603" t="s">
        <v>553</v>
      </c>
    </row>
    <row r="12" spans="2:34">
      <c r="B12" s="50" t="s">
        <v>557</v>
      </c>
      <c r="C12" s="50" t="s">
        <v>547</v>
      </c>
      <c r="D12" s="50"/>
      <c r="E12" s="50"/>
      <c r="F12" s="50"/>
      <c r="G12" s="50"/>
      <c r="H12" s="50"/>
    </row>
    <row r="13" spans="2:34">
      <c r="B13" s="644" t="s">
        <v>548</v>
      </c>
      <c r="C13" s="645" t="s">
        <v>544</v>
      </c>
      <c r="D13" s="625"/>
      <c r="E13" s="625"/>
      <c r="F13" s="625"/>
      <c r="G13" s="625"/>
      <c r="H13" s="626"/>
    </row>
    <row r="14" spans="2:34">
      <c r="B14" s="646" t="s">
        <v>549</v>
      </c>
      <c r="C14" s="647" t="s">
        <v>546</v>
      </c>
      <c r="D14" s="627"/>
      <c r="E14" s="627"/>
      <c r="F14" s="627"/>
      <c r="G14" s="627"/>
      <c r="H14" s="628"/>
    </row>
    <row r="17" spans="2:34" ht="18.75">
      <c r="B17" s="3" t="s">
        <v>548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540</v>
      </c>
      <c r="C19" s="50"/>
      <c r="D19" s="50"/>
      <c r="E19" s="50" t="s">
        <v>554</v>
      </c>
      <c r="F19" s="50"/>
      <c r="G19" s="50"/>
      <c r="H19" s="50" t="s">
        <v>558</v>
      </c>
      <c r="I19" s="50"/>
      <c r="J19" s="50"/>
      <c r="K19" s="50" t="s">
        <v>561</v>
      </c>
      <c r="L19" s="50"/>
      <c r="M19" s="50"/>
      <c r="N19" s="50"/>
      <c r="O19" s="50"/>
      <c r="P19" s="50"/>
      <c r="Q19" s="50"/>
      <c r="R19" s="50" t="s">
        <v>560</v>
      </c>
      <c r="S19" s="50"/>
      <c r="T19" s="50"/>
      <c r="U19" s="50"/>
      <c r="V19" s="50"/>
      <c r="W19" s="50"/>
      <c r="X19" s="50"/>
      <c r="Y19" s="50" t="s">
        <v>562</v>
      </c>
      <c r="AF19" s="624" t="s">
        <v>540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563</v>
      </c>
      <c r="L20" s="663"/>
      <c r="M20" s="663"/>
      <c r="N20" s="663"/>
      <c r="O20" s="663"/>
      <c r="P20" s="663"/>
      <c r="Q20" s="664"/>
      <c r="R20" s="663" t="s">
        <v>563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541</v>
      </c>
      <c r="C22" s="50"/>
      <c r="D22" s="50"/>
      <c r="E22" s="50" t="s">
        <v>554</v>
      </c>
      <c r="F22" s="50"/>
      <c r="G22" s="50"/>
      <c r="H22" s="50" t="s">
        <v>558</v>
      </c>
      <c r="I22" s="50"/>
      <c r="J22" s="50"/>
      <c r="K22" s="50" t="s">
        <v>561</v>
      </c>
      <c r="L22" s="50"/>
      <c r="M22" s="50"/>
      <c r="N22" s="50"/>
      <c r="O22" s="50"/>
      <c r="P22" s="50"/>
      <c r="Q22" s="50"/>
      <c r="R22" s="50" t="s">
        <v>560</v>
      </c>
      <c r="S22" s="50"/>
      <c r="T22" s="50"/>
      <c r="U22" s="50"/>
      <c r="V22" s="50"/>
      <c r="W22" s="50"/>
      <c r="X22" s="50"/>
      <c r="Y22" s="50" t="s">
        <v>562</v>
      </c>
      <c r="Z22" s="289"/>
      <c r="AA22" s="289"/>
      <c r="AB22" s="289"/>
      <c r="AC22" s="289"/>
      <c r="AD22" s="289"/>
      <c r="AE22" s="289"/>
      <c r="AF22" s="624" t="s">
        <v>541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563</v>
      </c>
      <c r="L23" s="663"/>
      <c r="M23" s="663"/>
      <c r="N23" s="663"/>
      <c r="O23" s="663"/>
      <c r="P23" s="663"/>
      <c r="Q23" s="664"/>
      <c r="R23" s="663" t="s">
        <v>563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542</v>
      </c>
      <c r="C25" s="50"/>
      <c r="D25" s="50"/>
      <c r="E25" s="50" t="s">
        <v>559</v>
      </c>
      <c r="F25" s="50"/>
      <c r="G25" s="50"/>
      <c r="H25" s="50" t="s">
        <v>558</v>
      </c>
      <c r="I25" s="50"/>
      <c r="J25" s="50"/>
      <c r="K25" s="50" t="s">
        <v>561</v>
      </c>
      <c r="L25" s="50"/>
      <c r="M25" s="50"/>
      <c r="N25" s="50"/>
      <c r="O25" s="50"/>
      <c r="P25" s="50"/>
      <c r="Q25" s="50"/>
      <c r="R25" s="50" t="s">
        <v>560</v>
      </c>
      <c r="S25" s="50"/>
      <c r="T25" s="50"/>
      <c r="U25" s="50"/>
      <c r="V25" s="50"/>
      <c r="W25" s="50"/>
      <c r="X25" s="50"/>
      <c r="Y25" s="50" t="s">
        <v>562</v>
      </c>
      <c r="Z25" s="289"/>
      <c r="AA25" s="289"/>
      <c r="AB25" s="289"/>
      <c r="AC25" s="289"/>
      <c r="AD25" s="289"/>
      <c r="AE25" s="289"/>
      <c r="AF25" s="624" t="s">
        <v>542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563</v>
      </c>
      <c r="L26" s="665"/>
      <c r="M26" s="665"/>
      <c r="N26" s="665"/>
      <c r="O26" s="665"/>
      <c r="P26" s="665"/>
      <c r="Q26" s="666"/>
      <c r="R26" s="665" t="s">
        <v>563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543</v>
      </c>
      <c r="C30" s="50"/>
      <c r="D30" s="50"/>
      <c r="E30" s="50" t="s">
        <v>559</v>
      </c>
      <c r="F30" s="50"/>
      <c r="G30" s="50"/>
      <c r="H30" s="50" t="s">
        <v>558</v>
      </c>
      <c r="I30" s="50"/>
      <c r="J30" s="50"/>
      <c r="K30" s="50" t="s">
        <v>561</v>
      </c>
      <c r="L30" s="50"/>
      <c r="M30" s="50"/>
      <c r="N30" s="50"/>
      <c r="O30" s="50"/>
      <c r="P30" s="50"/>
      <c r="Q30" s="50"/>
      <c r="R30" s="50" t="s">
        <v>560</v>
      </c>
      <c r="S30" s="50"/>
      <c r="T30" s="50"/>
      <c r="U30" s="50"/>
      <c r="V30" s="50"/>
      <c r="W30" s="50"/>
      <c r="X30" s="50"/>
      <c r="Y30" s="50" t="s">
        <v>562</v>
      </c>
      <c r="Z30" s="289"/>
      <c r="AA30" s="289"/>
      <c r="AB30" s="289"/>
      <c r="AC30" s="289"/>
      <c r="AD30" s="289"/>
      <c r="AE30" s="289"/>
      <c r="AF30" s="624" t="s">
        <v>543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563</v>
      </c>
      <c r="L31" s="665"/>
      <c r="M31" s="665"/>
      <c r="N31" s="665"/>
      <c r="O31" s="665"/>
      <c r="P31" s="665"/>
      <c r="Q31" s="666"/>
      <c r="R31" s="665" t="s">
        <v>563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540</v>
      </c>
      <c r="C38" s="50"/>
      <c r="D38" s="50"/>
      <c r="E38" s="50" t="s">
        <v>554</v>
      </c>
      <c r="F38" s="50"/>
      <c r="G38" s="50"/>
      <c r="H38" s="50" t="s">
        <v>558</v>
      </c>
      <c r="I38" s="50"/>
      <c r="J38" s="50"/>
      <c r="K38" s="50" t="s">
        <v>561</v>
      </c>
      <c r="L38" s="50"/>
      <c r="M38" s="50"/>
      <c r="N38" s="50"/>
      <c r="O38" s="50"/>
      <c r="P38" s="50"/>
      <c r="Q38" s="50"/>
      <c r="R38" s="50" t="s">
        <v>560</v>
      </c>
      <c r="S38" s="50"/>
      <c r="T38" s="50"/>
      <c r="U38" s="50"/>
      <c r="V38" s="50"/>
      <c r="W38" s="50"/>
      <c r="X38" s="50"/>
      <c r="Y38" s="50" t="s">
        <v>562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563</v>
      </c>
      <c r="L39" s="663"/>
      <c r="M39" s="663"/>
      <c r="N39" s="663"/>
      <c r="O39" s="663"/>
      <c r="P39" s="663"/>
      <c r="Q39" s="664"/>
      <c r="R39" s="663" t="s">
        <v>563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541</v>
      </c>
      <c r="C41" s="50"/>
      <c r="D41" s="50"/>
      <c r="E41" s="50" t="s">
        <v>554</v>
      </c>
      <c r="F41" s="50"/>
      <c r="G41" s="50"/>
      <c r="H41" s="50" t="s">
        <v>558</v>
      </c>
      <c r="I41" s="50"/>
      <c r="J41" s="50"/>
      <c r="K41" s="50" t="s">
        <v>561</v>
      </c>
      <c r="L41" s="50"/>
      <c r="M41" s="50"/>
      <c r="N41" s="50"/>
      <c r="O41" s="50"/>
      <c r="P41" s="50"/>
      <c r="Q41" s="50"/>
      <c r="R41" s="50" t="s">
        <v>560</v>
      </c>
      <c r="S41" s="50"/>
      <c r="T41" s="50"/>
      <c r="U41" s="50"/>
      <c r="V41" s="50"/>
      <c r="W41" s="50"/>
      <c r="X41" s="50"/>
      <c r="Y41" s="50" t="s">
        <v>562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563</v>
      </c>
      <c r="L42" s="663"/>
      <c r="M42" s="663"/>
      <c r="N42" s="663"/>
      <c r="O42" s="663"/>
      <c r="P42" s="663"/>
      <c r="Q42" s="664"/>
      <c r="R42" s="663" t="s">
        <v>563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542</v>
      </c>
      <c r="C44" s="50"/>
      <c r="D44" s="50"/>
      <c r="E44" s="50" t="s">
        <v>559</v>
      </c>
      <c r="F44" s="50"/>
      <c r="G44" s="50"/>
      <c r="H44" s="50" t="s">
        <v>558</v>
      </c>
      <c r="I44" s="50"/>
      <c r="J44" s="50"/>
      <c r="K44" s="50" t="s">
        <v>561</v>
      </c>
      <c r="L44" s="50"/>
      <c r="M44" s="50"/>
      <c r="N44" s="50"/>
      <c r="O44" s="50"/>
      <c r="P44" s="50"/>
      <c r="Q44" s="50"/>
      <c r="R44" s="50" t="s">
        <v>560</v>
      </c>
      <c r="S44" s="50"/>
      <c r="T44" s="50"/>
      <c r="U44" s="50"/>
      <c r="V44" s="50"/>
      <c r="W44" s="50"/>
      <c r="X44" s="50"/>
      <c r="Y44" s="50" t="s">
        <v>562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563</v>
      </c>
      <c r="L45" s="665"/>
      <c r="M45" s="665"/>
      <c r="N45" s="665"/>
      <c r="O45" s="665"/>
      <c r="P45" s="665"/>
      <c r="Q45" s="666"/>
      <c r="R45" s="665" t="s">
        <v>563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543</v>
      </c>
      <c r="C49" s="50"/>
      <c r="D49" s="50"/>
      <c r="E49" s="50" t="s">
        <v>559</v>
      </c>
      <c r="F49" s="50"/>
      <c r="G49" s="50"/>
      <c r="H49" s="50" t="s">
        <v>558</v>
      </c>
      <c r="I49" s="50"/>
      <c r="J49" s="50"/>
      <c r="K49" s="50" t="s">
        <v>561</v>
      </c>
      <c r="L49" s="50"/>
      <c r="M49" s="50"/>
      <c r="N49" s="50"/>
      <c r="O49" s="50"/>
      <c r="P49" s="50"/>
      <c r="Q49" s="50"/>
      <c r="R49" s="50" t="s">
        <v>560</v>
      </c>
      <c r="S49" s="50"/>
      <c r="T49" s="50"/>
      <c r="U49" s="50"/>
      <c r="V49" s="50"/>
      <c r="W49" s="50"/>
      <c r="X49" s="50"/>
      <c r="Y49" s="50" t="s">
        <v>562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563</v>
      </c>
      <c r="L50" s="665"/>
      <c r="M50" s="665"/>
      <c r="N50" s="665"/>
      <c r="O50" s="665"/>
      <c r="P50" s="665"/>
      <c r="Q50" s="666"/>
      <c r="R50" s="665" t="s">
        <v>563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38" priority="64" stopIfTrue="1" operator="equal">
      <formula>"ERROR"</formula>
    </cfRule>
    <cfRule type="cellIs" dxfId="237" priority="65" stopIfTrue="1" operator="equal">
      <formula>"OK"</formula>
    </cfRule>
    <cfRule type="cellIs" dxfId="236" priority="66" stopIfTrue="1" operator="equal">
      <formula>"WARNING"</formula>
    </cfRule>
  </conditionalFormatting>
  <conditionalFormatting sqref="C8">
    <cfRule type="cellIs" dxfId="235" priority="61" stopIfTrue="1" operator="equal">
      <formula>"ERROR"</formula>
    </cfRule>
    <cfRule type="cellIs" dxfId="234" priority="62" stopIfTrue="1" operator="equal">
      <formula>"OK"</formula>
    </cfRule>
    <cfRule type="cellIs" dxfId="233" priority="63" stopIfTrue="1" operator="equal">
      <formula>"WARNING"</formula>
    </cfRule>
  </conditionalFormatting>
  <conditionalFormatting sqref="J20 J23">
    <cfRule type="cellIs" dxfId="232" priority="70" stopIfTrue="1" operator="equal">
      <formula>"ERROR"</formula>
    </cfRule>
    <cfRule type="cellIs" dxfId="231" priority="71" stopIfTrue="1" operator="equal">
      <formula>"OK"</formula>
    </cfRule>
    <cfRule type="cellIs" dxfId="230" priority="72" stopIfTrue="1" operator="equal">
      <formula>"WARNING"</formula>
    </cfRule>
  </conditionalFormatting>
  <conditionalFormatting sqref="H26:J28 H31:J33">
    <cfRule type="cellIs" dxfId="229" priority="73" stopIfTrue="1" operator="equal">
      <formula>"ERROR"</formula>
    </cfRule>
    <cfRule type="cellIs" dxfId="228" priority="74" stopIfTrue="1" operator="equal">
      <formula>"OK"</formula>
    </cfRule>
    <cfRule type="cellIs" dxfId="227" priority="75" stopIfTrue="1" operator="equal">
      <formula>"WARNING"</formula>
    </cfRule>
  </conditionalFormatting>
  <conditionalFormatting sqref="J39 J42">
    <cfRule type="cellIs" dxfId="226" priority="16" stopIfTrue="1" operator="equal">
      <formula>"ERROR"</formula>
    </cfRule>
    <cfRule type="cellIs" dxfId="225" priority="17" stopIfTrue="1" operator="equal">
      <formula>"OK"</formula>
    </cfRule>
    <cfRule type="cellIs" dxfId="224" priority="18" stopIfTrue="1" operator="equal">
      <formula>"WARNING"</formula>
    </cfRule>
  </conditionalFormatting>
  <conditionalFormatting sqref="H45:J47 H50:J52">
    <cfRule type="cellIs" dxfId="223" priority="19" stopIfTrue="1" operator="equal">
      <formula>"ERROR"</formula>
    </cfRule>
    <cfRule type="cellIs" dxfId="222" priority="20" stopIfTrue="1" operator="equal">
      <formula>"OK"</formula>
    </cfRule>
    <cfRule type="cellIs" dxfId="221" priority="21" stopIfTrue="1" operator="equal">
      <formula>"WARNING"</formula>
    </cfRule>
  </conditionalFormatting>
  <conditionalFormatting sqref="C9">
    <cfRule type="cellIs" dxfId="220" priority="13" stopIfTrue="1" operator="equal">
      <formula>"ERROR"</formula>
    </cfRule>
    <cfRule type="cellIs" dxfId="219" priority="14" stopIfTrue="1" operator="equal">
      <formula>"OK"</formula>
    </cfRule>
    <cfRule type="cellIs" dxfId="218" priority="15" stopIfTrue="1" operator="equal">
      <formula>"WARNING"</formula>
    </cfRule>
  </conditionalFormatting>
  <conditionalFormatting sqref="Y20 Y23 Y26 Y31">
    <cfRule type="cellIs" dxfId="217" priority="76" stopIfTrue="1" operator="equal">
      <formula>"ERROR"</formula>
    </cfRule>
    <cfRule type="cellIs" dxfId="216" priority="77" stopIfTrue="1" operator="equal">
      <formula>"OK"</formula>
    </cfRule>
    <cfRule type="cellIs" dxfId="215" priority="78" stopIfTrue="1" operator="equal">
      <formula>"WARNING"</formula>
    </cfRule>
  </conditionalFormatting>
  <conditionalFormatting sqref="Y39">
    <cfRule type="cellIs" dxfId="214" priority="10" stopIfTrue="1" operator="equal">
      <formula>"ERROR"</formula>
    </cfRule>
    <cfRule type="cellIs" dxfId="213" priority="11" stopIfTrue="1" operator="equal">
      <formula>"OK"</formula>
    </cfRule>
    <cfRule type="cellIs" dxfId="212" priority="12" stopIfTrue="1" operator="equal">
      <formula>"WARNING"</formula>
    </cfRule>
  </conditionalFormatting>
  <conditionalFormatting sqref="Y42">
    <cfRule type="cellIs" dxfId="211" priority="7" stopIfTrue="1" operator="equal">
      <formula>"ERROR"</formula>
    </cfRule>
    <cfRule type="cellIs" dxfId="210" priority="8" stopIfTrue="1" operator="equal">
      <formula>"OK"</formula>
    </cfRule>
    <cfRule type="cellIs" dxfId="209" priority="9" stopIfTrue="1" operator="equal">
      <formula>"WARNING"</formula>
    </cfRule>
  </conditionalFormatting>
  <conditionalFormatting sqref="Y45">
    <cfRule type="cellIs" dxfId="208" priority="4" stopIfTrue="1" operator="equal">
      <formula>"ERROR"</formula>
    </cfRule>
    <cfRule type="cellIs" dxfId="207" priority="5" stopIfTrue="1" operator="equal">
      <formula>"OK"</formula>
    </cfRule>
    <cfRule type="cellIs" dxfId="206" priority="6" stopIfTrue="1" operator="equal">
      <formula>"WARNING"</formula>
    </cfRule>
  </conditionalFormatting>
  <conditionalFormatting sqref="Y50">
    <cfRule type="cellIs" dxfId="205" priority="1" stopIfTrue="1" operator="equal">
      <formula>"ERROR"</formula>
    </cfRule>
    <cfRule type="cellIs" dxfId="204" priority="2" stopIfTrue="1" operator="equal">
      <formula>"OK"</formula>
    </cfRule>
    <cfRule type="cellIs" dxfId="203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373</v>
      </c>
    </row>
    <row r="2" spans="2:21" ht="26.25">
      <c r="B2" s="2" t="s">
        <v>519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436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435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521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516</v>
      </c>
      <c r="D18" s="584" t="s">
        <v>517</v>
      </c>
    </row>
    <row r="19" spans="2:11" s="430" customFormat="1" ht="15.75">
      <c r="B19" s="591" t="s">
        <v>515</v>
      </c>
      <c r="C19" s="583"/>
      <c r="D19" s="4" t="s">
        <v>523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514</v>
      </c>
      <c r="E22" s="41" t="s">
        <v>520</v>
      </c>
    </row>
    <row r="23" spans="2:11">
      <c r="B23" s="471" t="s">
        <v>523</v>
      </c>
      <c r="C23" s="471" t="s">
        <v>523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516</v>
      </c>
      <c r="C30" s="430"/>
      <c r="D30" s="584" t="s">
        <v>517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515</v>
      </c>
      <c r="C31" s="583"/>
      <c r="D31" s="4" t="s">
        <v>524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514</v>
      </c>
      <c r="E34" s="41" t="s">
        <v>520</v>
      </c>
      <c r="F34" s="430"/>
      <c r="G34" s="430"/>
      <c r="H34" s="430"/>
      <c r="I34" s="430"/>
      <c r="J34" s="430"/>
      <c r="K34" s="430"/>
    </row>
    <row r="35" spans="2:11">
      <c r="B35" s="471" t="s">
        <v>524</v>
      </c>
      <c r="C35" s="471" t="s">
        <v>524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516</v>
      </c>
      <c r="C42" s="430"/>
      <c r="D42" s="584" t="s">
        <v>517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515</v>
      </c>
      <c r="C43" s="583"/>
      <c r="D43" s="4" t="s">
        <v>526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514</v>
      </c>
      <c r="E46" s="41" t="s">
        <v>520</v>
      </c>
      <c r="F46" s="430"/>
      <c r="G46" s="430"/>
      <c r="H46" s="430"/>
      <c r="I46" s="430"/>
      <c r="J46" s="430"/>
      <c r="K46" s="430"/>
    </row>
    <row r="47" spans="2:11">
      <c r="B47" s="471" t="s">
        <v>526</v>
      </c>
      <c r="C47" s="471" t="s">
        <v>526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516</v>
      </c>
      <c r="C54" s="430"/>
      <c r="D54" s="584" t="s">
        <v>517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515</v>
      </c>
      <c r="C55" s="583"/>
      <c r="D55" s="4" t="s">
        <v>528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514</v>
      </c>
      <c r="E58" s="41" t="s">
        <v>520</v>
      </c>
      <c r="F58" s="430"/>
      <c r="G58" s="430"/>
      <c r="H58" s="430"/>
      <c r="I58" s="430"/>
      <c r="J58" s="430"/>
      <c r="K58" s="430"/>
    </row>
    <row r="59" spans="2:11">
      <c r="B59" s="471" t="s">
        <v>528</v>
      </c>
      <c r="C59" s="471" t="s">
        <v>528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516</v>
      </c>
      <c r="C66" s="430"/>
      <c r="D66" s="584" t="s">
        <v>517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515</v>
      </c>
      <c r="C67" s="583"/>
      <c r="D67" s="4" t="s">
        <v>529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530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514</v>
      </c>
      <c r="E70" s="41" t="s">
        <v>520</v>
      </c>
      <c r="F70" s="430"/>
      <c r="G70" s="430"/>
      <c r="H70" s="430"/>
      <c r="I70" s="430"/>
      <c r="J70" s="430"/>
      <c r="K70" s="430"/>
    </row>
    <row r="71" spans="2:11">
      <c r="B71" s="471" t="s">
        <v>529</v>
      </c>
      <c r="C71" s="471" t="s">
        <v>529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530</v>
      </c>
      <c r="C72" s="471" t="s">
        <v>530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202" priority="43" stopIfTrue="1" operator="equal">
      <formula>"ERROR"</formula>
    </cfRule>
    <cfRule type="cellIs" dxfId="201" priority="44" stopIfTrue="1" operator="equal">
      <formula>"OK"</formula>
    </cfRule>
    <cfRule type="cellIs" dxfId="200" priority="45" stopIfTrue="1" operator="equal">
      <formula>"WARNING"</formula>
    </cfRule>
  </conditionalFormatting>
  <conditionalFormatting sqref="C7:C11">
    <cfRule type="cellIs" dxfId="199" priority="46" stopIfTrue="1" operator="equal">
      <formula>"ERROR"</formula>
    </cfRule>
    <cfRule type="cellIs" dxfId="198" priority="47" stopIfTrue="1" operator="equal">
      <formula>"OK"</formula>
    </cfRule>
    <cfRule type="cellIs" dxfId="197" priority="48" stopIfTrue="1" operator="equal">
      <formula>"WARNING"</formula>
    </cfRule>
  </conditionalFormatting>
  <conditionalFormatting sqref="C16">
    <cfRule type="cellIs" dxfId="196" priority="40" stopIfTrue="1" operator="equal">
      <formula>"ERROR"</formula>
    </cfRule>
    <cfRule type="cellIs" dxfId="195" priority="41" stopIfTrue="1" operator="equal">
      <formula>"OK"</formula>
    </cfRule>
    <cfRule type="cellIs" dxfId="194" priority="42" stopIfTrue="1" operator="equal">
      <formula>"WARNING"</formula>
    </cfRule>
  </conditionalFormatting>
  <conditionalFormatting sqref="D23">
    <cfRule type="cellIs" dxfId="193" priority="49" stopIfTrue="1" operator="equal">
      <formula>"ERROR"</formula>
    </cfRule>
    <cfRule type="cellIs" dxfId="192" priority="50" stopIfTrue="1" operator="equal">
      <formula>"OK"</formula>
    </cfRule>
    <cfRule type="cellIs" dxfId="191" priority="51" stopIfTrue="1" operator="equal">
      <formula>"WARNING"</formula>
    </cfRule>
  </conditionalFormatting>
  <conditionalFormatting sqref="E23">
    <cfRule type="cellIs" dxfId="190" priority="37" stopIfTrue="1" operator="equal">
      <formula>"ERROR"</formula>
    </cfRule>
    <cfRule type="cellIs" dxfId="189" priority="38" stopIfTrue="1" operator="equal">
      <formula>"OK"</formula>
    </cfRule>
    <cfRule type="cellIs" dxfId="188" priority="39" stopIfTrue="1" operator="equal">
      <formula>"WARNING"</formula>
    </cfRule>
  </conditionalFormatting>
  <conditionalFormatting sqref="C28">
    <cfRule type="cellIs" dxfId="187" priority="31" stopIfTrue="1" operator="equal">
      <formula>"ERROR"</formula>
    </cfRule>
    <cfRule type="cellIs" dxfId="186" priority="32" stopIfTrue="1" operator="equal">
      <formula>"OK"</formula>
    </cfRule>
    <cfRule type="cellIs" dxfId="185" priority="33" stopIfTrue="1" operator="equal">
      <formula>"WARNING"</formula>
    </cfRule>
  </conditionalFormatting>
  <conditionalFormatting sqref="D35">
    <cfRule type="cellIs" dxfId="184" priority="34" stopIfTrue="1" operator="equal">
      <formula>"ERROR"</formula>
    </cfRule>
    <cfRule type="cellIs" dxfId="183" priority="35" stopIfTrue="1" operator="equal">
      <formula>"OK"</formula>
    </cfRule>
    <cfRule type="cellIs" dxfId="182" priority="36" stopIfTrue="1" operator="equal">
      <formula>"WARNING"</formula>
    </cfRule>
  </conditionalFormatting>
  <conditionalFormatting sqref="E35">
    <cfRule type="cellIs" dxfId="181" priority="28" stopIfTrue="1" operator="equal">
      <formula>"ERROR"</formula>
    </cfRule>
    <cfRule type="cellIs" dxfId="180" priority="29" stopIfTrue="1" operator="equal">
      <formula>"OK"</formula>
    </cfRule>
    <cfRule type="cellIs" dxfId="179" priority="30" stopIfTrue="1" operator="equal">
      <formula>"WARNING"</formula>
    </cfRule>
  </conditionalFormatting>
  <conditionalFormatting sqref="C40">
    <cfRule type="cellIs" dxfId="178" priority="22" stopIfTrue="1" operator="equal">
      <formula>"ERROR"</formula>
    </cfRule>
    <cfRule type="cellIs" dxfId="177" priority="23" stopIfTrue="1" operator="equal">
      <formula>"OK"</formula>
    </cfRule>
    <cfRule type="cellIs" dxfId="176" priority="24" stopIfTrue="1" operator="equal">
      <formula>"WARNING"</formula>
    </cfRule>
  </conditionalFormatting>
  <conditionalFormatting sqref="D47">
    <cfRule type="cellIs" dxfId="175" priority="25" stopIfTrue="1" operator="equal">
      <formula>"ERROR"</formula>
    </cfRule>
    <cfRule type="cellIs" dxfId="174" priority="26" stopIfTrue="1" operator="equal">
      <formula>"OK"</formula>
    </cfRule>
    <cfRule type="cellIs" dxfId="173" priority="27" stopIfTrue="1" operator="equal">
      <formula>"WARNING"</formula>
    </cfRule>
  </conditionalFormatting>
  <conditionalFormatting sqref="E47">
    <cfRule type="cellIs" dxfId="172" priority="19" stopIfTrue="1" operator="equal">
      <formula>"ERROR"</formula>
    </cfRule>
    <cfRule type="cellIs" dxfId="171" priority="20" stopIfTrue="1" operator="equal">
      <formula>"OK"</formula>
    </cfRule>
    <cfRule type="cellIs" dxfId="170" priority="21" stopIfTrue="1" operator="equal">
      <formula>"WARNING"</formula>
    </cfRule>
  </conditionalFormatting>
  <conditionalFormatting sqref="C52">
    <cfRule type="cellIs" dxfId="169" priority="13" stopIfTrue="1" operator="equal">
      <formula>"ERROR"</formula>
    </cfRule>
    <cfRule type="cellIs" dxfId="168" priority="14" stopIfTrue="1" operator="equal">
      <formula>"OK"</formula>
    </cfRule>
    <cfRule type="cellIs" dxfId="167" priority="15" stopIfTrue="1" operator="equal">
      <formula>"WARNING"</formula>
    </cfRule>
  </conditionalFormatting>
  <conditionalFormatting sqref="D59">
    <cfRule type="cellIs" dxfId="166" priority="16" stopIfTrue="1" operator="equal">
      <formula>"ERROR"</formula>
    </cfRule>
    <cfRule type="cellIs" dxfId="165" priority="17" stopIfTrue="1" operator="equal">
      <formula>"OK"</formula>
    </cfRule>
    <cfRule type="cellIs" dxfId="164" priority="18" stopIfTrue="1" operator="equal">
      <formula>"WARNING"</formula>
    </cfRule>
  </conditionalFormatting>
  <conditionalFormatting sqref="E59">
    <cfRule type="cellIs" dxfId="163" priority="10" stopIfTrue="1" operator="equal">
      <formula>"ERROR"</formula>
    </cfRule>
    <cfRule type="cellIs" dxfId="162" priority="11" stopIfTrue="1" operator="equal">
      <formula>"OK"</formula>
    </cfRule>
    <cfRule type="cellIs" dxfId="161" priority="12" stopIfTrue="1" operator="equal">
      <formula>"WARNING"</formula>
    </cfRule>
  </conditionalFormatting>
  <conditionalFormatting sqref="C64">
    <cfRule type="cellIs" dxfId="160" priority="4" stopIfTrue="1" operator="equal">
      <formula>"ERROR"</formula>
    </cfRule>
    <cfRule type="cellIs" dxfId="159" priority="5" stopIfTrue="1" operator="equal">
      <formula>"OK"</formula>
    </cfRule>
    <cfRule type="cellIs" dxfId="158" priority="6" stopIfTrue="1" operator="equal">
      <formula>"WARNING"</formula>
    </cfRule>
  </conditionalFormatting>
  <conditionalFormatting sqref="D71:D72">
    <cfRule type="cellIs" dxfId="157" priority="7" stopIfTrue="1" operator="equal">
      <formula>"ERROR"</formula>
    </cfRule>
    <cfRule type="cellIs" dxfId="156" priority="8" stopIfTrue="1" operator="equal">
      <formula>"OK"</formula>
    </cfRule>
    <cfRule type="cellIs" dxfId="155" priority="9" stopIfTrue="1" operator="equal">
      <formula>"WARNING"</formula>
    </cfRule>
  </conditionalFormatting>
  <conditionalFormatting sqref="E71:E72">
    <cfRule type="cellIs" dxfId="154" priority="1" stopIfTrue="1" operator="equal">
      <formula>"ERROR"</formula>
    </cfRule>
    <cfRule type="cellIs" dxfId="153" priority="2" stopIfTrue="1" operator="equal">
      <formula>"OK"</formula>
    </cfRule>
    <cfRule type="cellIs" dxfId="152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373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ref="C4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>C197</f>
        <v>Ok</v>
      </c>
    </row>
    <row r="16" spans="2:23">
      <c r="B16" s="198" t="s">
        <v>169</v>
      </c>
      <c r="C16" s="163" t="str">
        <f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ref="C2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ref="C27">_xll.d.TestUtils_IsTrue(C32="OK")</f>
        <v>Ok</v>
      </c>
      <c r="E27" s="50" t="s">
        <v>106</v>
      </c>
      <c r="F27" s="163" t="str" cm="1">
        <f t="array" ref="F27">_xll.d.TestUtils_IsTrue(E35="OK")</f>
        <v>Ok</v>
      </c>
      <c r="J27" s="50" t="s">
        <v>106</v>
      </c>
      <c r="K27" s="163" t="str" cm="1">
        <f t="array" ref="K27">_xll.d.TestUtils_IsTrue(J32="OK")</f>
        <v>Ok</v>
      </c>
      <c r="O27" s="50" t="s">
        <v>106</v>
      </c>
      <c r="P27" s="163" t="str" cm="1">
        <f t="array" ref="P27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ref="C32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ref="J32">_xll.d.TestUtils_And(J35:M38)</f>
        <v>Ok</v>
      </c>
      <c r="O32" s="164" t="str" cm="1">
        <f t="array" ref="O32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ref="E35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ref="C43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ref="C49">_xll.d.TestUtils_IsTrue(C54="ERROR")</f>
        <v>Ok</v>
      </c>
      <c r="E49" s="50" t="s">
        <v>106</v>
      </c>
      <c r="F49" s="163" t="str" cm="1">
        <f t="array" ref="F49">_xll.d.TestUtils_IsTrue(E54="ERROR")</f>
        <v>Ok</v>
      </c>
      <c r="J49" s="50" t="s">
        <v>106</v>
      </c>
      <c r="K49" s="163" t="str" cm="1">
        <f t="array" ref="K49">_xll.d.TestUtils_IsTrue(J54="ERROR")</f>
        <v>Ok</v>
      </c>
      <c r="O49" s="50" t="s">
        <v>106</v>
      </c>
      <c r="P49" s="163" t="str" cm="1">
        <f t="array" ref="P49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ref="C54">_xll.d.TestUtils_And(B54:B57)</f>
        <v>Error</v>
      </c>
      <c r="E54" s="164" t="str" cm="1">
        <f t="array" ref="E54">_xll.d.TestUtils_And(E57:H57)</f>
        <v>Error</v>
      </c>
      <c r="J54" s="164" t="str" cm="1">
        <f t="array" ref="J54">_xll.d.TestUtils_And(J57:M60)</f>
        <v>Error</v>
      </c>
      <c r="O54" s="164" t="str" cm="1">
        <f t="array" ref="O54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ref="C65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ref="C71">_xll.d.TestUtils_IsTrue(C76="WARNING")</f>
        <v>Ok</v>
      </c>
      <c r="E71" s="50" t="s">
        <v>106</v>
      </c>
      <c r="F71" s="163" t="str" cm="1">
        <f t="array" ref="F71">_xll.d.TestUtils_IsTrue(E76="WARNING")</f>
        <v>Ok</v>
      </c>
      <c r="J71" s="50" t="s">
        <v>106</v>
      </c>
      <c r="K71" s="163" t="str" cm="1">
        <f t="array" ref="K71">_xll.d.TestUtils_IsTrue(J76="WARNING")</f>
        <v>Ok</v>
      </c>
      <c r="O71" s="50" t="s">
        <v>106</v>
      </c>
      <c r="P71" s="163" t="str" cm="1">
        <f t="array" ref="P7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ref="C76">_xll.d.TestUtils_And(B76:B79)</f>
        <v>Warning</v>
      </c>
      <c r="E76" s="164" t="str" cm="1">
        <f t="array" ref="E76">_xll.d.TestUtils_And(E79:H79)</f>
        <v>Warning</v>
      </c>
      <c r="J76" s="164" t="str" cm="1">
        <f t="array" ref="J76">_xll.d.TestUtils_And(J79:M82)</f>
        <v>Warning</v>
      </c>
      <c r="O76" s="164" t="str" cm="1">
        <f t="array" ref="O76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ref="C87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ref="C93">_xll.d.TestUtils_IsTrue(C98="ERROR")</f>
        <v>Ok</v>
      </c>
      <c r="E93" s="50" t="s">
        <v>106</v>
      </c>
      <c r="F93" s="163" t="str" cm="1">
        <f t="array" ref="F93">_xll.d.TestUtils_IsTrue(E98="ERROR")</f>
        <v>Ok</v>
      </c>
      <c r="J93" s="50" t="s">
        <v>106</v>
      </c>
      <c r="K93" s="163" t="str" cm="1">
        <f t="array" ref="K93">_xll.d.TestUtils_IsTrue(J98="ERROR")</f>
        <v>Ok</v>
      </c>
      <c r="O93" s="50" t="s">
        <v>106</v>
      </c>
      <c r="P93" s="163" t="str" cm="1">
        <f t="array" ref="P93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ref="C98">_xll.d.TestUtils_And(B98:B101)</f>
        <v>Error</v>
      </c>
      <c r="E98" s="164" t="str" cm="1">
        <f t="array" ref="E98">_xll.d.TestUtils_And(E101:H101)</f>
        <v>Error</v>
      </c>
      <c r="J98" s="164" t="str" cm="1">
        <f t="array" ref="J98">_xll.d.TestUtils_And(J101:M104)</f>
        <v>Error</v>
      </c>
      <c r="O98" s="164" t="str" cm="1">
        <f t="array" ref="O98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ref="C109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ref="C115">_xll.d.TestUtils_IsTrue(C120="ERROR")</f>
        <v>Ok</v>
      </c>
      <c r="E115" s="50" t="s">
        <v>106</v>
      </c>
      <c r="F115" s="163" t="str" cm="1">
        <f t="array" ref="F115">_xll.d.TestUtils_IsTrue(E120="ERROR")</f>
        <v>Ok</v>
      </c>
      <c r="J115" s="50" t="s">
        <v>106</v>
      </c>
      <c r="K115" s="163" t="str" cm="1">
        <f t="array" ref="K115">_xll.d.TestUtils_IsTrue(J120="ERROR")</f>
        <v>Ok</v>
      </c>
      <c r="O115" s="50" t="s">
        <v>106</v>
      </c>
      <c r="P115" s="163" t="str" cm="1">
        <f t="array" ref="P115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ref="C120">_xll.d.TestUtils_Or(B120:B123)</f>
        <v>Error</v>
      </c>
      <c r="E120" s="164" t="str" cm="1">
        <f t="array" ref="E120">_xll.d.TestUtils_Or(E123:H123)</f>
        <v>Error</v>
      </c>
      <c r="J120" s="164" t="str" cm="1">
        <f t="array" ref="J120">_xll.d.TestUtils_Or(J123:M126)</f>
        <v>Error</v>
      </c>
      <c r="O120" s="164" t="str" cm="1">
        <f t="array" ref="O120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ref="C13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ref="C137">_xll.d.TestUtils_IsTrue(C142="OK")</f>
        <v>Ok</v>
      </c>
      <c r="E137" s="50" t="s">
        <v>106</v>
      </c>
      <c r="F137" s="163" t="str" cm="1">
        <f t="array" ref="F137">_xll.d.TestUtils_IsTrue(E142="OK")</f>
        <v>Ok</v>
      </c>
      <c r="J137" s="50" t="s">
        <v>106</v>
      </c>
      <c r="K137" s="163" t="str" cm="1">
        <f t="array" ref="K137">_xll.d.TestUtils_IsTrue(J142="OK")</f>
        <v>Ok</v>
      </c>
      <c r="O137" s="50" t="s">
        <v>106</v>
      </c>
      <c r="P137" s="163" t="str" cm="1">
        <f t="array" ref="P137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ref="C142">_xll.d.TestUtils_Or(B142:B145)</f>
        <v>Ok</v>
      </c>
      <c r="E142" s="164" t="str" cm="1">
        <f t="array" ref="E142">_xll.d.TestUtils_Or(E145:H145)</f>
        <v>Ok</v>
      </c>
      <c r="J142" s="164" t="str" cm="1">
        <f t="array" ref="J142">_xll.d.TestUtils_Or(J145:M148)</f>
        <v>Ok</v>
      </c>
      <c r="O142" s="164" t="str" cm="1">
        <f t="array" ref="O142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ref="C153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ref="C159">_xll.d.TestUtils_IsTrue(C164="WARNING")</f>
        <v>Ok</v>
      </c>
      <c r="E159" s="50" t="s">
        <v>106</v>
      </c>
      <c r="F159" s="163" t="str" cm="1">
        <f t="array" ref="F159">_xll.d.TestUtils_IsTrue(E164="WARNING")</f>
        <v>Ok</v>
      </c>
      <c r="J159" s="50" t="s">
        <v>106</v>
      </c>
      <c r="K159" s="163" t="str" cm="1">
        <f t="array" ref="K159">_xll.d.TestUtils_IsTrue(J164="WARNING")</f>
        <v>Ok</v>
      </c>
      <c r="O159" s="50" t="s">
        <v>106</v>
      </c>
      <c r="P159" s="163" t="str" cm="1">
        <f t="array" ref="P159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ref="C164">_xll.d.TestUtils_Or(B164:B167)</f>
        <v>Warning</v>
      </c>
      <c r="E164" s="164" t="str" cm="1">
        <f t="array" ref="E164">_xll.d.TestUtils_Or(E167:H167)</f>
        <v>Warning</v>
      </c>
      <c r="J164" s="164" t="str" cm="1">
        <f t="array" ref="J164">_xll.d.TestUtils_Or(J167:M170)</f>
        <v>Warning</v>
      </c>
      <c r="O164" s="164" t="str" cm="1">
        <f t="array" ref="O164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ref="C175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ref="C181">_xll.d.TestUtils_IsTrue(C186="OK")</f>
        <v>Ok</v>
      </c>
      <c r="E181" s="50" t="s">
        <v>106</v>
      </c>
      <c r="F181" s="163" t="str" cm="1">
        <f t="array" ref="F181">_xll.d.TestUtils_IsTrue(E186="OK")</f>
        <v>Ok</v>
      </c>
      <c r="J181" s="50" t="s">
        <v>106</v>
      </c>
      <c r="K181" s="163" t="str" cm="1">
        <f t="array" ref="K181">_xll.d.TestUtils_IsTrue(J186="OK")</f>
        <v>Ok</v>
      </c>
      <c r="O181" s="50" t="s">
        <v>106</v>
      </c>
      <c r="P181" s="163" t="str" cm="1">
        <f t="array" ref="P18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ref="C186">_xll.d.TestUtils_Or(B186:B189)</f>
        <v>Ok</v>
      </c>
      <c r="E186" s="164" t="str" cm="1">
        <f t="array" ref="E186">_xll.d.TestUtils_Or(E189:H189)</f>
        <v>Ok</v>
      </c>
      <c r="J186" s="164" t="str" cm="1">
        <f t="array" ref="J186">_xll.d.TestUtils_Or(J189:M192)</f>
        <v>Ok</v>
      </c>
      <c r="O186" s="164" t="str" cm="1">
        <f t="array" ref="O186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ref="C197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ref="C203">_xll.d.TestUtils_IsTrue(C208="OK")</f>
        <v>Ok</v>
      </c>
      <c r="E203" s="50" t="s">
        <v>106</v>
      </c>
      <c r="F203" s="163" t="str" cm="1">
        <f t="array" ref="F203">_xll.d.TestUtils_IsTrue(E208="OK")</f>
        <v>Ok</v>
      </c>
      <c r="J203" s="50" t="s">
        <v>106</v>
      </c>
      <c r="K203" s="163" t="str" cm="1">
        <f t="array" ref="K203">_xll.d.TestUtils_IsTrue(J208="OK")</f>
        <v>Ok</v>
      </c>
      <c r="O203" s="50" t="s">
        <v>106</v>
      </c>
      <c r="P203" s="163" t="str" cm="1">
        <f t="array" ref="P203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ref="C208:C211">_xll.d.TestUtils_Not(B208:B211)</f>
        <v>Ok</v>
      </c>
      <c r="E208" s="164" t="str" cm="1">
        <f t="array" ref="E208">_xll.d.TestUtils_Or(E211:H211)</f>
        <v>Ok</v>
      </c>
      <c r="J208" s="164" t="str" cm="1">
        <f t="array" ref="J208">_xll.d.TestUtils_Or(J211:M214)</f>
        <v>Ok</v>
      </c>
      <c r="O208" s="164" t="str" cm="1">
        <f t="array" ref="O208">_xll.d.TestUtils_Or(O211,O213:Q213,S211:S214,U211:W214)</f>
        <v>Ok</v>
      </c>
    </row>
    <row r="209" spans="2:23">
      <c r="B209" s="164" t="s">
        <v>122</v>
      </c>
      <c r="C209" t="str">
        <v>Warning</v>
      </c>
    </row>
    <row r="210" spans="2:23">
      <c r="B210" s="164" t="s">
        <v>118</v>
      </c>
      <c r="C210" t="str"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ref="C219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ref="C225">_xll.d.TestUtils_IsTrue(C230="ERROR")</f>
        <v>Ok</v>
      </c>
      <c r="E225" s="50" t="s">
        <v>106</v>
      </c>
      <c r="F225" s="163" t="str" cm="1">
        <f t="array" ref="F225">_xll.d.TestUtils_IsTrue(F230="ERROR")</f>
        <v>Ok</v>
      </c>
      <c r="H225" s="50" t="s">
        <v>106</v>
      </c>
      <c r="I225" s="163" t="str" cm="1">
        <f t="array" ref="I225">_xll.d.TestUtils_IsTrue(_xll.d.TestUtils_Or(I230:I233)="ERROR")</f>
        <v>Ok</v>
      </c>
      <c r="K225" s="50" t="s">
        <v>106</v>
      </c>
      <c r="L225" s="163" t="str" cm="1">
        <f t="array" ref="L225">_xll.d.TestUtils_IsTrue(L230="ERROR")</f>
        <v>Ok</v>
      </c>
      <c r="N225" s="50" t="s">
        <v>106</v>
      </c>
      <c r="O225" s="163" t="str" cm="1">
        <f t="array" ref="O225">_xll.d.TestUtils_IsTrue(O230="ERROR")</f>
        <v>Ok</v>
      </c>
      <c r="Q225" s="50" t="s">
        <v>106</v>
      </c>
      <c r="R225" s="163" t="str" cm="1">
        <f t="array" ref="R225">_xll.d.TestUtils_IsTrue(R230="ERROR")</f>
        <v>Ok</v>
      </c>
      <c r="T225" s="50" t="s">
        <v>106</v>
      </c>
      <c r="U225" s="163" t="str" cm="1">
        <f t="array" ref="U225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ref="C230">_xll.d.TestUtils_And(B230:B233)</f>
        <v>Error</v>
      </c>
      <c r="E230" s="164" t="s">
        <v>108</v>
      </c>
      <c r="F230" s="164" t="str" cm="1">
        <f t="array" ref="F230">_xll.d.TestUtils_Or(E230:E233)</f>
        <v>Error</v>
      </c>
      <c r="H230" s="164" t="s">
        <v>108</v>
      </c>
      <c r="I230" s="163" t="str">
        <f t="array" ref="I230:I233">_xll.d.TestUtils_Not(H230:H233)</f>
        <v>Error</v>
      </c>
      <c r="K230" s="164" t="e">
        <f>NA()</f>
        <v>#N/A</v>
      </c>
      <c r="L230" s="163" t="str" cm="1">
        <f t="array" ref="L230">_xll.d.TestUtils_IsTrue(K230)</f>
        <v>Error</v>
      </c>
      <c r="N230" s="164" t="e">
        <f>NA()</f>
        <v>#N/A</v>
      </c>
      <c r="O230" s="163" t="str" cm="1">
        <f t="array" ref="O230">_xll.d.TestUtils_IsFalse(N230)</f>
        <v>Error</v>
      </c>
      <c r="Q230" s="164">
        <v>10</v>
      </c>
      <c r="R230" s="163" t="str" cm="1">
        <f t="array" ref="R230">_xll.d.TestUtils_GreaterThan(Q230,Q231)</f>
        <v>Error</v>
      </c>
      <c r="T230" s="164">
        <v>10</v>
      </c>
      <c r="U230" s="163" t="str" cm="1">
        <f t="array" ref="U230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51" priority="52" stopIfTrue="1" operator="equal">
      <formula>"ERROR"</formula>
    </cfRule>
    <cfRule type="cellIs" dxfId="150" priority="53" stopIfTrue="1" operator="equal">
      <formula>"OK"</formula>
    </cfRule>
    <cfRule type="cellIs" dxfId="149" priority="54" stopIfTrue="1" operator="equal">
      <formula>"WARNING"</formula>
    </cfRule>
  </conditionalFormatting>
  <conditionalFormatting sqref="C27 F27 K27 P27">
    <cfRule type="cellIs" dxfId="148" priority="55" stopIfTrue="1" operator="equal">
      <formula>"ERROR"</formula>
    </cfRule>
    <cfRule type="cellIs" dxfId="147" priority="56" stopIfTrue="1" operator="equal">
      <formula>"OK"</formula>
    </cfRule>
    <cfRule type="cellIs" dxfId="146" priority="57" stopIfTrue="1" operator="equal">
      <formula>"WARNING"</formula>
    </cfRule>
  </conditionalFormatting>
  <conditionalFormatting sqref="C49 F49 K49 P49">
    <cfRule type="cellIs" dxfId="145" priority="58" stopIfTrue="1" operator="equal">
      <formula>"ERROR"</formula>
    </cfRule>
    <cfRule type="cellIs" dxfId="144" priority="59" stopIfTrue="1" operator="equal">
      <formula>"OK"</formula>
    </cfRule>
    <cfRule type="cellIs" dxfId="143" priority="60" stopIfTrue="1" operator="equal">
      <formula>"WARNING"</formula>
    </cfRule>
  </conditionalFormatting>
  <conditionalFormatting sqref="C71 F71 K71 P71">
    <cfRule type="cellIs" dxfId="142" priority="61" stopIfTrue="1" operator="equal">
      <formula>"ERROR"</formula>
    </cfRule>
    <cfRule type="cellIs" dxfId="141" priority="62" stopIfTrue="1" operator="equal">
      <formula>"OK"</formula>
    </cfRule>
    <cfRule type="cellIs" dxfId="140" priority="63" stopIfTrue="1" operator="equal">
      <formula>"WARNING"</formula>
    </cfRule>
  </conditionalFormatting>
  <conditionalFormatting sqref="C93 F93 K93 P93">
    <cfRule type="cellIs" dxfId="139" priority="64" stopIfTrue="1" operator="equal">
      <formula>"ERROR"</formula>
    </cfRule>
    <cfRule type="cellIs" dxfId="138" priority="65" stopIfTrue="1" operator="equal">
      <formula>"OK"</formula>
    </cfRule>
    <cfRule type="cellIs" dxfId="137" priority="66" stopIfTrue="1" operator="equal">
      <formula>"WARNING"</formula>
    </cfRule>
  </conditionalFormatting>
  <conditionalFormatting sqref="C115 F115 K115 P115">
    <cfRule type="cellIs" dxfId="136" priority="67" stopIfTrue="1" operator="equal">
      <formula>"ERROR"</formula>
    </cfRule>
  </conditionalFormatting>
  <conditionalFormatting sqref="C115 F115 K115 P115">
    <cfRule type="cellIs" dxfId="135" priority="68" stopIfTrue="1" operator="equal">
      <formula>"OK"</formula>
    </cfRule>
  </conditionalFormatting>
  <conditionalFormatting sqref="C115 F115 K115 P115">
    <cfRule type="cellIs" dxfId="134" priority="69" stopIfTrue="1" operator="equal">
      <formula>"WARNING"</formula>
    </cfRule>
  </conditionalFormatting>
  <conditionalFormatting sqref="C137 F137 K137 P137">
    <cfRule type="cellIs" dxfId="133" priority="70" stopIfTrue="1" operator="equal">
      <formula>"ERROR"</formula>
    </cfRule>
  </conditionalFormatting>
  <conditionalFormatting sqref="C137 F137 K137 P137">
    <cfRule type="cellIs" dxfId="132" priority="71" stopIfTrue="1" operator="equal">
      <formula>"OK"</formula>
    </cfRule>
  </conditionalFormatting>
  <conditionalFormatting sqref="C137 F137 K137 P137">
    <cfRule type="cellIs" dxfId="131" priority="72" stopIfTrue="1" operator="equal">
      <formula>"WARNING"</formula>
    </cfRule>
  </conditionalFormatting>
  <conditionalFormatting sqref="C159 F159 K159 P159">
    <cfRule type="cellIs" dxfId="130" priority="49" stopIfTrue="1" operator="equal">
      <formula>"ERROR"</formula>
    </cfRule>
  </conditionalFormatting>
  <conditionalFormatting sqref="C159 F159 K159 P159">
    <cfRule type="cellIs" dxfId="129" priority="50" stopIfTrue="1" operator="equal">
      <formula>"OK"</formula>
    </cfRule>
  </conditionalFormatting>
  <conditionalFormatting sqref="C159 F159 K159 P159">
    <cfRule type="cellIs" dxfId="128" priority="51" stopIfTrue="1" operator="equal">
      <formula>"WARNING"</formula>
    </cfRule>
  </conditionalFormatting>
  <conditionalFormatting sqref="C153">
    <cfRule type="cellIs" dxfId="127" priority="73" stopIfTrue="1" operator="equal">
      <formula>"ERROR"</formula>
    </cfRule>
  </conditionalFormatting>
  <conditionalFormatting sqref="C153">
    <cfRule type="cellIs" dxfId="126" priority="74" stopIfTrue="1" operator="equal">
      <formula>"OK"</formula>
    </cfRule>
  </conditionalFormatting>
  <conditionalFormatting sqref="C153">
    <cfRule type="cellIs" dxfId="125" priority="75" stopIfTrue="1" operator="equal">
      <formula>"WARNING"</formula>
    </cfRule>
  </conditionalFormatting>
  <conditionalFormatting sqref="C131">
    <cfRule type="cellIs" dxfId="124" priority="46" stopIfTrue="1" operator="equal">
      <formula>"ERROR"</formula>
    </cfRule>
  </conditionalFormatting>
  <conditionalFormatting sqref="C131">
    <cfRule type="cellIs" dxfId="123" priority="47" stopIfTrue="1" operator="equal">
      <formula>"OK"</formula>
    </cfRule>
  </conditionalFormatting>
  <conditionalFormatting sqref="C131">
    <cfRule type="cellIs" dxfId="122" priority="48" stopIfTrue="1" operator="equal">
      <formula>"WARNING"</formula>
    </cfRule>
  </conditionalFormatting>
  <conditionalFormatting sqref="C109">
    <cfRule type="cellIs" dxfId="121" priority="43" stopIfTrue="1" operator="equal">
      <formula>"ERROR"</formula>
    </cfRule>
  </conditionalFormatting>
  <conditionalFormatting sqref="C109">
    <cfRule type="cellIs" dxfId="120" priority="44" stopIfTrue="1" operator="equal">
      <formula>"OK"</formula>
    </cfRule>
  </conditionalFormatting>
  <conditionalFormatting sqref="C109">
    <cfRule type="cellIs" dxfId="119" priority="45" stopIfTrue="1" operator="equal">
      <formula>"WARNING"</formula>
    </cfRule>
  </conditionalFormatting>
  <conditionalFormatting sqref="C87">
    <cfRule type="cellIs" dxfId="118" priority="40" stopIfTrue="1" operator="equal">
      <formula>"ERROR"</formula>
    </cfRule>
  </conditionalFormatting>
  <conditionalFormatting sqref="C87">
    <cfRule type="cellIs" dxfId="117" priority="41" stopIfTrue="1" operator="equal">
      <formula>"OK"</formula>
    </cfRule>
  </conditionalFormatting>
  <conditionalFormatting sqref="C87">
    <cfRule type="cellIs" dxfId="116" priority="42" stopIfTrue="1" operator="equal">
      <formula>"WARNING"</formula>
    </cfRule>
  </conditionalFormatting>
  <conditionalFormatting sqref="C65">
    <cfRule type="cellIs" dxfId="115" priority="37" stopIfTrue="1" operator="equal">
      <formula>"ERROR"</formula>
    </cfRule>
  </conditionalFormatting>
  <conditionalFormatting sqref="C65">
    <cfRule type="cellIs" dxfId="114" priority="38" stopIfTrue="1" operator="equal">
      <formula>"OK"</formula>
    </cfRule>
  </conditionalFormatting>
  <conditionalFormatting sqref="C65">
    <cfRule type="cellIs" dxfId="113" priority="39" stopIfTrue="1" operator="equal">
      <formula>"WARNING"</formula>
    </cfRule>
  </conditionalFormatting>
  <conditionalFormatting sqref="C43">
    <cfRule type="cellIs" dxfId="112" priority="34" stopIfTrue="1" operator="equal">
      <formula>"ERROR"</formula>
    </cfRule>
  </conditionalFormatting>
  <conditionalFormatting sqref="C43">
    <cfRule type="cellIs" dxfId="111" priority="35" stopIfTrue="1" operator="equal">
      <formula>"OK"</formula>
    </cfRule>
  </conditionalFormatting>
  <conditionalFormatting sqref="C43">
    <cfRule type="cellIs" dxfId="110" priority="36" stopIfTrue="1" operator="equal">
      <formula>"WARNING"</formula>
    </cfRule>
  </conditionalFormatting>
  <conditionalFormatting sqref="C21">
    <cfRule type="cellIs" dxfId="109" priority="31" stopIfTrue="1" operator="equal">
      <formula>"ERROR"</formula>
    </cfRule>
  </conditionalFormatting>
  <conditionalFormatting sqref="C21">
    <cfRule type="cellIs" dxfId="108" priority="32" stopIfTrue="1" operator="equal">
      <formula>"OK"</formula>
    </cfRule>
  </conditionalFormatting>
  <conditionalFormatting sqref="C21">
    <cfRule type="cellIs" dxfId="107" priority="33" stopIfTrue="1" operator="equal">
      <formula>"WARNING"</formula>
    </cfRule>
  </conditionalFormatting>
  <conditionalFormatting sqref="C13:C15">
    <cfRule type="cellIs" dxfId="106" priority="76" stopIfTrue="1" operator="equal">
      <formula>"ERROR"</formula>
    </cfRule>
    <cfRule type="cellIs" dxfId="105" priority="77" stopIfTrue="1" operator="equal">
      <formula>"OK"</formula>
    </cfRule>
    <cfRule type="cellIs" dxfId="104" priority="78" stopIfTrue="1" operator="equal">
      <formula>"WARNING"</formula>
    </cfRule>
  </conditionalFormatting>
  <conditionalFormatting sqref="C181 F181 K181 P181">
    <cfRule type="cellIs" dxfId="103" priority="25" stopIfTrue="1" operator="equal">
      <formula>"ERROR"</formula>
    </cfRule>
  </conditionalFormatting>
  <conditionalFormatting sqref="C181 F181 K181 P181">
    <cfRule type="cellIs" dxfId="102" priority="26" stopIfTrue="1" operator="equal">
      <formula>"OK"</formula>
    </cfRule>
  </conditionalFormatting>
  <conditionalFormatting sqref="C181 F181 K181 P181">
    <cfRule type="cellIs" dxfId="101" priority="27" stopIfTrue="1" operator="equal">
      <formula>"WARNING"</formula>
    </cfRule>
  </conditionalFormatting>
  <conditionalFormatting sqref="C175">
    <cfRule type="cellIs" dxfId="100" priority="28" stopIfTrue="1" operator="equal">
      <formula>"ERROR"</formula>
    </cfRule>
  </conditionalFormatting>
  <conditionalFormatting sqref="C175">
    <cfRule type="cellIs" dxfId="99" priority="29" stopIfTrue="1" operator="equal">
      <formula>"OK"</formula>
    </cfRule>
  </conditionalFormatting>
  <conditionalFormatting sqref="C175">
    <cfRule type="cellIs" dxfId="98" priority="30" stopIfTrue="1" operator="equal">
      <formula>"WARNING"</formula>
    </cfRule>
  </conditionalFormatting>
  <conditionalFormatting sqref="C203 F203 K203 P203">
    <cfRule type="cellIs" dxfId="97" priority="19" stopIfTrue="1" operator="equal">
      <formula>"ERROR"</formula>
    </cfRule>
  </conditionalFormatting>
  <conditionalFormatting sqref="C203 F203 K203 P203">
    <cfRule type="cellIs" dxfId="96" priority="20" stopIfTrue="1" operator="equal">
      <formula>"OK"</formula>
    </cfRule>
  </conditionalFormatting>
  <conditionalFormatting sqref="C203 F203 K203 P203">
    <cfRule type="cellIs" dxfId="95" priority="21" stopIfTrue="1" operator="equal">
      <formula>"WARNING"</formula>
    </cfRule>
  </conditionalFormatting>
  <conditionalFormatting sqref="C197">
    <cfRule type="cellIs" dxfId="94" priority="22" stopIfTrue="1" operator="equal">
      <formula>"ERROR"</formula>
    </cfRule>
  </conditionalFormatting>
  <conditionalFormatting sqref="C197">
    <cfRule type="cellIs" dxfId="93" priority="23" stopIfTrue="1" operator="equal">
      <formula>"OK"</formula>
    </cfRule>
  </conditionalFormatting>
  <conditionalFormatting sqref="C197">
    <cfRule type="cellIs" dxfId="92" priority="24" stopIfTrue="1" operator="equal">
      <formula>"WARNING"</formula>
    </cfRule>
  </conditionalFormatting>
  <conditionalFormatting sqref="C225 F225 I225 L225">
    <cfRule type="cellIs" dxfId="91" priority="13" stopIfTrue="1" operator="equal">
      <formula>"ERROR"</formula>
    </cfRule>
  </conditionalFormatting>
  <conditionalFormatting sqref="C225 F225 I225 L225">
    <cfRule type="cellIs" dxfId="90" priority="14" stopIfTrue="1" operator="equal">
      <formula>"OK"</formula>
    </cfRule>
  </conditionalFormatting>
  <conditionalFormatting sqref="C225 F225 I225 L225">
    <cfRule type="cellIs" dxfId="89" priority="15" stopIfTrue="1" operator="equal">
      <formula>"WARNING"</formula>
    </cfRule>
  </conditionalFormatting>
  <conditionalFormatting sqref="C219">
    <cfRule type="cellIs" dxfId="88" priority="16" stopIfTrue="1" operator="equal">
      <formula>"ERROR"</formula>
    </cfRule>
  </conditionalFormatting>
  <conditionalFormatting sqref="C219">
    <cfRule type="cellIs" dxfId="87" priority="17" stopIfTrue="1" operator="equal">
      <formula>"OK"</formula>
    </cfRule>
  </conditionalFormatting>
  <conditionalFormatting sqref="C219">
    <cfRule type="cellIs" dxfId="86" priority="18" stopIfTrue="1" operator="equal">
      <formula>"WARNING"</formula>
    </cfRule>
  </conditionalFormatting>
  <conditionalFormatting sqref="O225">
    <cfRule type="cellIs" dxfId="85" priority="10" stopIfTrue="1" operator="equal">
      <formula>"ERROR"</formula>
    </cfRule>
  </conditionalFormatting>
  <conditionalFormatting sqref="O225">
    <cfRule type="cellIs" dxfId="84" priority="11" stopIfTrue="1" operator="equal">
      <formula>"OK"</formula>
    </cfRule>
  </conditionalFormatting>
  <conditionalFormatting sqref="O225">
    <cfRule type="cellIs" dxfId="83" priority="12" stopIfTrue="1" operator="equal">
      <formula>"WARNING"</formula>
    </cfRule>
  </conditionalFormatting>
  <conditionalFormatting sqref="C16">
    <cfRule type="cellIs" dxfId="82" priority="79" stopIfTrue="1" operator="equal">
      <formula>"ERROR"</formula>
    </cfRule>
    <cfRule type="cellIs" dxfId="81" priority="80" stopIfTrue="1" operator="equal">
      <formula>"OK"</formula>
    </cfRule>
    <cfRule type="cellIs" dxfId="80" priority="81" stopIfTrue="1" operator="equal">
      <formula>"WARNING"</formula>
    </cfRule>
  </conditionalFormatting>
  <conditionalFormatting sqref="R225">
    <cfRule type="cellIs" dxfId="79" priority="4" stopIfTrue="1" operator="equal">
      <formula>"ERROR"</formula>
    </cfRule>
  </conditionalFormatting>
  <conditionalFormatting sqref="R225">
    <cfRule type="cellIs" dxfId="78" priority="5" stopIfTrue="1" operator="equal">
      <formula>"OK"</formula>
    </cfRule>
  </conditionalFormatting>
  <conditionalFormatting sqref="R225">
    <cfRule type="cellIs" dxfId="77" priority="6" stopIfTrue="1" operator="equal">
      <formula>"WARNING"</formula>
    </cfRule>
  </conditionalFormatting>
  <conditionalFormatting sqref="U225">
    <cfRule type="cellIs" dxfId="76" priority="1" stopIfTrue="1" operator="equal">
      <formula>"ERROR"</formula>
    </cfRule>
  </conditionalFormatting>
  <conditionalFormatting sqref="U225">
    <cfRule type="cellIs" dxfId="75" priority="2" stopIfTrue="1" operator="equal">
      <formula>"OK"</formula>
    </cfRule>
  </conditionalFormatting>
  <conditionalFormatting sqref="U225">
    <cfRule type="cellIs" dxfId="74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373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436</v>
      </c>
      <c r="F5" s="401"/>
    </row>
    <row r="6" spans="2:56">
      <c r="B6" s="188" t="s">
        <v>9</v>
      </c>
      <c r="C6" s="189" t="s">
        <v>10</v>
      </c>
      <c r="E6" s="402" t="s">
        <v>435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512</v>
      </c>
    </row>
    <row r="18" spans="2:72">
      <c r="B18" s="582" t="s">
        <v>518</v>
      </c>
    </row>
    <row r="19" spans="2:72">
      <c r="B19" s="582"/>
    </row>
    <row r="20" spans="2:72">
      <c r="B20" s="582" t="s">
        <v>513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94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94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95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95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95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95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95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95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95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95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95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95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95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95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95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95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95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95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95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95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95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95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95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95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95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95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95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95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95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95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95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95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96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96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097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098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098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098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098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098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098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098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098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098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098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098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098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098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098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098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098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94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94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96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96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94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94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95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95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95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95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95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95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96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96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73" priority="16" stopIfTrue="1" operator="equal">
      <formula>"ERROR"</formula>
    </cfRule>
    <cfRule type="cellIs" dxfId="72" priority="17" stopIfTrue="1" operator="equal">
      <formula>"OK"</formula>
    </cfRule>
    <cfRule type="cellIs" dxfId="71" priority="18" stopIfTrue="1" operator="equal">
      <formula>"WARNING"</formula>
    </cfRule>
  </conditionalFormatting>
  <conditionalFormatting sqref="C7:C12">
    <cfRule type="cellIs" dxfId="70" priority="19" stopIfTrue="1" operator="equal">
      <formula>"ERROR"</formula>
    </cfRule>
    <cfRule type="cellIs" dxfId="69" priority="20" stopIfTrue="1" operator="equal">
      <formula>"OK"</formula>
    </cfRule>
    <cfRule type="cellIs" dxfId="68" priority="21" stopIfTrue="1" operator="equal">
      <formula>"WARNING"</formula>
    </cfRule>
  </conditionalFormatting>
  <conditionalFormatting sqref="C24">
    <cfRule type="cellIs" dxfId="67" priority="22" stopIfTrue="1" operator="equal">
      <formula>"ERROR"</formula>
    </cfRule>
    <cfRule type="cellIs" dxfId="66" priority="23" stopIfTrue="1" operator="equal">
      <formula>"OK"</formula>
    </cfRule>
    <cfRule type="cellIs" dxfId="65" priority="24" stopIfTrue="1" operator="equal">
      <formula>"WARNING"</formula>
    </cfRule>
  </conditionalFormatting>
  <conditionalFormatting sqref="BD39:BT43">
    <cfRule type="cellIs" dxfId="64" priority="25" stopIfTrue="1" operator="equal">
      <formula>"ERROR"</formula>
    </cfRule>
    <cfRule type="cellIs" dxfId="63" priority="26" stopIfTrue="1" operator="equal">
      <formula>"OK"</formula>
    </cfRule>
    <cfRule type="cellIs" dxfId="62" priority="27" stopIfTrue="1" operator="equal">
      <formula>"WARNING"</formula>
    </cfRule>
  </conditionalFormatting>
  <conditionalFormatting sqref="C48">
    <cfRule type="cellIs" dxfId="61" priority="28" stopIfTrue="1" operator="equal">
      <formula>"ERROR"</formula>
    </cfRule>
    <cfRule type="cellIs" dxfId="60" priority="29" stopIfTrue="1" operator="equal">
      <formula>"OK"</formula>
    </cfRule>
    <cfRule type="cellIs" dxfId="59" priority="30" stopIfTrue="1" operator="equal">
      <formula>"WARNING"</formula>
    </cfRule>
  </conditionalFormatting>
  <conditionalFormatting sqref="BD63:BT67">
    <cfRule type="cellIs" dxfId="58" priority="31" stopIfTrue="1" operator="equal">
      <formula>"ERROR"</formula>
    </cfRule>
    <cfRule type="cellIs" dxfId="57" priority="32" stopIfTrue="1" operator="equal">
      <formula>"OK"</formula>
    </cfRule>
    <cfRule type="cellIs" dxfId="56" priority="33" stopIfTrue="1" operator="equal">
      <formula>"WARNING"</formula>
    </cfRule>
  </conditionalFormatting>
  <conditionalFormatting sqref="C72">
    <cfRule type="cellIs" dxfId="55" priority="34" stopIfTrue="1" operator="equal">
      <formula>"ERROR"</formula>
    </cfRule>
    <cfRule type="cellIs" dxfId="54" priority="35" stopIfTrue="1" operator="equal">
      <formula>"OK"</formula>
    </cfRule>
    <cfRule type="cellIs" dxfId="53" priority="36" stopIfTrue="1" operator="equal">
      <formula>"WARNING"</formula>
    </cfRule>
  </conditionalFormatting>
  <conditionalFormatting sqref="T87:X103">
    <cfRule type="cellIs" dxfId="52" priority="37" stopIfTrue="1" operator="equal">
      <formula>"ERROR"</formula>
    </cfRule>
    <cfRule type="cellIs" dxfId="51" priority="38" stopIfTrue="1" operator="equal">
      <formula>"OK"</formula>
    </cfRule>
    <cfRule type="cellIs" dxfId="50" priority="39" stopIfTrue="1" operator="equal">
      <formula>"WARNING"</formula>
    </cfRule>
  </conditionalFormatting>
  <conditionalFormatting sqref="C108">
    <cfRule type="cellIs" dxfId="49" priority="40" stopIfTrue="1" operator="equal">
      <formula>"ERROR"</formula>
    </cfRule>
    <cfRule type="cellIs" dxfId="48" priority="41" stopIfTrue="1" operator="equal">
      <formula>"OK"</formula>
    </cfRule>
    <cfRule type="cellIs" dxfId="47" priority="42" stopIfTrue="1" operator="equal">
      <formula>"WARNING"</formula>
    </cfRule>
  </conditionalFormatting>
  <conditionalFormatting sqref="T123:X139">
    <cfRule type="cellIs" dxfId="46" priority="43" stopIfTrue="1" operator="equal">
      <formula>"ERROR"</formula>
    </cfRule>
    <cfRule type="cellIs" dxfId="45" priority="44" stopIfTrue="1" operator="equal">
      <formula>"OK"</formula>
    </cfRule>
    <cfRule type="cellIs" dxfId="44" priority="45" stopIfTrue="1" operator="equal">
      <formula>"WARNING"</formula>
    </cfRule>
  </conditionalFormatting>
  <conditionalFormatting sqref="C144">
    <cfRule type="cellIs" dxfId="43" priority="46" stopIfTrue="1" operator="equal">
      <formula>"ERROR"</formula>
    </cfRule>
    <cfRule type="cellIs" dxfId="42" priority="47" stopIfTrue="1" operator="equal">
      <formula>"OK"</formula>
    </cfRule>
    <cfRule type="cellIs" dxfId="41" priority="48" stopIfTrue="1" operator="equal">
      <formula>"WARNING"</formula>
    </cfRule>
  </conditionalFormatting>
  <conditionalFormatting sqref="K157:L161">
    <cfRule type="cellIs" dxfId="40" priority="49" stopIfTrue="1" operator="equal">
      <formula>"ERROR"</formula>
    </cfRule>
    <cfRule type="cellIs" dxfId="39" priority="50" stopIfTrue="1" operator="equal">
      <formula>"OK"</formula>
    </cfRule>
    <cfRule type="cellIs" dxfId="38" priority="51" stopIfTrue="1" operator="equal">
      <formula>"WARNING"</formula>
    </cfRule>
  </conditionalFormatting>
  <conditionalFormatting sqref="K177:L181">
    <cfRule type="cellIs" dxfId="37" priority="52" stopIfTrue="1" operator="equal">
      <formula>"ERROR"</formula>
    </cfRule>
    <cfRule type="cellIs" dxfId="36" priority="53" stopIfTrue="1" operator="equal">
      <formula>"OK"</formula>
    </cfRule>
    <cfRule type="cellIs" dxfId="35" priority="54" stopIfTrue="1" operator="equal">
      <formula>"WARNING"</formula>
    </cfRule>
  </conditionalFormatting>
  <conditionalFormatting sqref="C166">
    <cfRule type="cellIs" dxfId="34" priority="55" stopIfTrue="1" operator="equal">
      <formula>"ERROR"</formula>
    </cfRule>
    <cfRule type="cellIs" dxfId="33" priority="56" stopIfTrue="1" operator="equal">
      <formula>"OK"</formula>
    </cfRule>
    <cfRule type="cellIs" dxfId="32" priority="57" stopIfTrue="1" operator="equal">
      <formula>"WARNING"</formula>
    </cfRule>
  </conditionalFormatting>
  <conditionalFormatting sqref="C186">
    <cfRule type="cellIs" dxfId="31" priority="13" stopIfTrue="1" operator="equal">
      <formula>"ERROR"</formula>
    </cfRule>
    <cfRule type="cellIs" dxfId="30" priority="14" stopIfTrue="1" operator="equal">
      <formula>"OK"</formula>
    </cfRule>
    <cfRule type="cellIs" dxfId="29" priority="15" stopIfTrue="1" operator="equal">
      <formula>"WARNING"</formula>
    </cfRule>
  </conditionalFormatting>
  <conditionalFormatting sqref="T197:X198">
    <cfRule type="cellIs" dxfId="28" priority="58" stopIfTrue="1" operator="equal">
      <formula>"ERROR"</formula>
    </cfRule>
    <cfRule type="cellIs" dxfId="27" priority="59" stopIfTrue="1" operator="equal">
      <formula>"OK"</formula>
    </cfRule>
    <cfRule type="cellIs" dxfId="26" priority="60" stopIfTrue="1" operator="equal">
      <formula>"WARNING"</formula>
    </cfRule>
  </conditionalFormatting>
  <conditionalFormatting sqref="C13:C14">
    <cfRule type="cellIs" dxfId="25" priority="61" stopIfTrue="1" operator="equal">
      <formula>"ERROR"</formula>
    </cfRule>
    <cfRule type="cellIs" dxfId="24" priority="62" stopIfTrue="1" operator="equal">
      <formula>"OK"</formula>
    </cfRule>
    <cfRule type="cellIs" dxfId="23" priority="63" stopIfTrue="1" operator="equal">
      <formula>"WARNING"</formula>
    </cfRule>
  </conditionalFormatting>
  <conditionalFormatting sqref="C203">
    <cfRule type="cellIs" dxfId="22" priority="4" stopIfTrue="1" operator="equal">
      <formula>"ERROR"</formula>
    </cfRule>
    <cfRule type="cellIs" dxfId="21" priority="5" stopIfTrue="1" operator="equal">
      <formula>"OK"</formula>
    </cfRule>
    <cfRule type="cellIs" dxfId="20" priority="6" stopIfTrue="1" operator="equal">
      <formula>"WARNING"</formula>
    </cfRule>
  </conditionalFormatting>
  <conditionalFormatting sqref="T217:X223">
    <cfRule type="cellIs" dxfId="19" priority="1" stopIfTrue="1" operator="equal">
      <formula>"ERROR"</formula>
    </cfRule>
    <cfRule type="cellIs" dxfId="18" priority="2" stopIfTrue="1" operator="equal">
      <formula>"OK"</formula>
    </cfRule>
    <cfRule type="cellIs" dxfId="17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238</vt:i4>
      </vt:variant>
    </vt:vector>
  </HeadingPairs>
  <TitlesOfParts>
    <vt:vector size="26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2023-06-27T14:36:35Z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